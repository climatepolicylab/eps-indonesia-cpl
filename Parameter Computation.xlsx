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sy02/Desktop/Postdoc Projects/eps-indonesia-cpl/"/>
    </mc:Choice>
  </mc:AlternateContent>
  <xr:revisionPtr revIDLastSave="0" documentId="13_ncr:1_{3DCBEC1A-2BCE-5D4C-9B24-74AC564BF16E}" xr6:coauthVersionLast="47" xr6:coauthVersionMax="47" xr10:uidLastSave="{00000000-0000-0000-0000-000000000000}"/>
  <bookViews>
    <workbookView xWindow="0" yWindow="780" windowWidth="34200" windowHeight="21360" xr2:uid="{118D261B-7A5D-6D4F-8950-DF955CCF9A8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W1" i="1" l="1"/>
  <c r="AX1" i="1" s="1"/>
  <c r="AY1" i="1" s="1"/>
  <c r="AZ1" i="1" s="1"/>
  <c r="C51" i="1"/>
  <c r="D51" i="1"/>
  <c r="E51" i="1"/>
  <c r="F51" i="1"/>
  <c r="G51" i="1"/>
  <c r="H51" i="1"/>
  <c r="I51" i="1"/>
  <c r="J51" i="1"/>
  <c r="K51" i="1"/>
  <c r="L51" i="1"/>
  <c r="M51" i="1"/>
  <c r="N51" i="1"/>
  <c r="O51" i="1"/>
  <c r="P51" i="1"/>
  <c r="Q51" i="1"/>
  <c r="R51" i="1"/>
  <c r="S51" i="1"/>
  <c r="T51" i="1"/>
  <c r="U51" i="1"/>
  <c r="V51" i="1"/>
  <c r="W51" i="1"/>
  <c r="X51" i="1"/>
  <c r="Y51" i="1"/>
  <c r="Z51" i="1"/>
  <c r="AA51" i="1"/>
  <c r="AB51" i="1"/>
  <c r="AC51" i="1"/>
  <c r="AD51" i="1"/>
  <c r="AE51" i="1"/>
  <c r="AF51" i="1"/>
  <c r="B51" i="1"/>
  <c r="Q47" i="1" l="1"/>
  <c r="B47" i="1"/>
  <c r="J42" i="1"/>
  <c r="K42" i="1" s="1"/>
  <c r="L42" i="1" s="1"/>
  <c r="M42" i="1" s="1"/>
  <c r="N42" i="1" s="1"/>
  <c r="O42" i="1" s="1"/>
  <c r="P42" i="1" s="1"/>
  <c r="Q42" i="1" s="1"/>
  <c r="J43" i="1"/>
  <c r="K43" i="1" s="1"/>
  <c r="L43" i="1" s="1"/>
  <c r="M43" i="1" s="1"/>
  <c r="N43" i="1" s="1"/>
  <c r="O43" i="1" s="1"/>
  <c r="P43" i="1" s="1"/>
  <c r="Q43" i="1" s="1"/>
  <c r="J44" i="1"/>
  <c r="K44" i="1" s="1"/>
  <c r="L44" i="1" s="1"/>
  <c r="M44" i="1" s="1"/>
  <c r="N44" i="1" s="1"/>
  <c r="O44" i="1" s="1"/>
  <c r="P44" i="1" s="1"/>
  <c r="Q44" i="1" s="1"/>
  <c r="J45" i="1"/>
  <c r="K45" i="1" s="1"/>
  <c r="L45" i="1" s="1"/>
  <c r="M45" i="1" s="1"/>
  <c r="N45" i="1" s="1"/>
  <c r="O45" i="1" s="1"/>
  <c r="P45" i="1" s="1"/>
  <c r="Q45" i="1" s="1"/>
  <c r="J46" i="1"/>
  <c r="K46" i="1" s="1"/>
  <c r="L46" i="1" s="1"/>
  <c r="M46" i="1" s="1"/>
  <c r="N46" i="1" s="1"/>
  <c r="O46" i="1" s="1"/>
  <c r="P46" i="1" s="1"/>
  <c r="Q46" i="1" s="1"/>
  <c r="I43" i="1"/>
  <c r="I44" i="1"/>
  <c r="I45" i="1"/>
  <c r="I46" i="1"/>
  <c r="I42" i="1"/>
  <c r="C41" i="1"/>
  <c r="D41" i="1" s="1"/>
  <c r="E41" i="1" s="1"/>
  <c r="F41" i="1" s="1"/>
  <c r="G41" i="1" s="1"/>
  <c r="H41" i="1" s="1"/>
  <c r="I41" i="1" s="1"/>
  <c r="J41" i="1" s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B17" i="1" l="1"/>
  <c r="B13" i="1"/>
  <c r="C7" i="1"/>
  <c r="D7" i="1"/>
  <c r="E7" i="1"/>
  <c r="F7" i="1"/>
  <c r="G7" i="1"/>
  <c r="H7" i="1"/>
  <c r="C8" i="1"/>
  <c r="D8" i="1"/>
  <c r="E8" i="1"/>
  <c r="F8" i="1"/>
  <c r="G8" i="1"/>
  <c r="H8" i="1"/>
  <c r="B8" i="1"/>
  <c r="B7" i="1"/>
  <c r="I3" i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I2" i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C1" i="1"/>
  <c r="D1" i="1" s="1"/>
  <c r="E1" i="1" s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F1" i="1" s="1"/>
  <c r="AF7" i="1" l="1"/>
  <c r="AG2" i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AF8" i="1"/>
  <c r="AG3" i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R8" i="1"/>
  <c r="Y8" i="1"/>
  <c r="I8" i="1"/>
  <c r="X8" i="1"/>
  <c r="W8" i="1"/>
  <c r="AC8" i="1"/>
  <c r="U8" i="1"/>
  <c r="M8" i="1"/>
  <c r="Z8" i="1"/>
  <c r="J8" i="1"/>
  <c r="Q8" i="1"/>
  <c r="P8" i="1"/>
  <c r="AE8" i="1"/>
  <c r="O8" i="1"/>
  <c r="AD8" i="1"/>
  <c r="V8" i="1"/>
  <c r="N8" i="1"/>
  <c r="AB8" i="1"/>
  <c r="T8" i="1"/>
  <c r="L8" i="1"/>
  <c r="AA8" i="1"/>
  <c r="S8" i="1"/>
  <c r="K8" i="1"/>
  <c r="Z7" i="1"/>
  <c r="R7" i="1"/>
  <c r="Y7" i="1"/>
  <c r="Q7" i="1"/>
  <c r="X7" i="1"/>
  <c r="P7" i="1"/>
  <c r="AE7" i="1"/>
  <c r="W7" i="1"/>
  <c r="O7" i="1"/>
  <c r="AD7" i="1"/>
  <c r="V7" i="1"/>
  <c r="N7" i="1"/>
  <c r="AC7" i="1"/>
  <c r="U7" i="1"/>
  <c r="M7" i="1"/>
  <c r="AB7" i="1"/>
  <c r="T7" i="1"/>
  <c r="L7" i="1"/>
  <c r="AA7" i="1"/>
  <c r="S7" i="1"/>
  <c r="K7" i="1"/>
  <c r="J7" i="1"/>
  <c r="I7" i="1"/>
</calcChain>
</file>

<file path=xl/sharedStrings.xml><?xml version="1.0" encoding="utf-8"?>
<sst xmlns="http://schemas.openxmlformats.org/spreadsheetml/2006/main" count="21" uniqueCount="19">
  <si>
    <t>Time</t>
  </si>
  <si>
    <t>Growth rate (Expert)</t>
  </si>
  <si>
    <t>Growth rate (RAS)</t>
  </si>
  <si>
    <t>Carbon Tax (USD)-Expert</t>
  </si>
  <si>
    <t>Carbon Tax (USD)-RAS</t>
  </si>
  <si>
    <t>USD to Rupiah</t>
  </si>
  <si>
    <t>Electricity CCS</t>
  </si>
  <si>
    <t>RnD</t>
  </si>
  <si>
    <t>Feed-in-Tariffs</t>
  </si>
  <si>
    <t>Geothermal (USD/kWh)</t>
  </si>
  <si>
    <t>Solar (USD/kWh)</t>
  </si>
  <si>
    <t>Biomass (Rupiah/kWh)</t>
  </si>
  <si>
    <t>Waste (Rupiah/kWh)</t>
  </si>
  <si>
    <t>Hydro (Rupiah/kWh)</t>
  </si>
  <si>
    <t>Increase rate 2% per year</t>
  </si>
  <si>
    <t>Subsidy for electricity production (Expert)</t>
  </si>
  <si>
    <t>Subsidy for electricity production (CAS)</t>
  </si>
  <si>
    <t>GR (Expert)</t>
  </si>
  <si>
    <t>GR(CAS)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</si>
</sst>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Sheet1!$A$2</c:f>
              <c:strCache>
                <c:ptCount val="1"/>
                <c:pt idx="0">
                  <c:v>Carbon Tax (USD)-Expert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Sheet1!$B$1:$AF$1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Sheet1!$B$2:$AF$2</c:f>
              <c:numCache>
                <c:formatCode>General</c:formatCode>
                <c:ptCount val="31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4.7249999999999996</c:v>
                </c:pt>
                <c:pt idx="8">
                  <c:v>4.9612499999999997</c:v>
                </c:pt>
                <c:pt idx="9">
                  <c:v>5.2093124999999993</c:v>
                </c:pt>
                <c:pt idx="10">
                  <c:v>5.4697781249999995</c:v>
                </c:pt>
                <c:pt idx="11">
                  <c:v>5.7432670312499994</c:v>
                </c:pt>
                <c:pt idx="12">
                  <c:v>6.030430382812499</c:v>
                </c:pt>
                <c:pt idx="13">
                  <c:v>6.3319519019531239</c:v>
                </c:pt>
                <c:pt idx="14">
                  <c:v>6.6485494970507801</c:v>
                </c:pt>
                <c:pt idx="15">
                  <c:v>6.9809769719033188</c:v>
                </c:pt>
                <c:pt idx="16">
                  <c:v>7.3300258204984843</c:v>
                </c:pt>
                <c:pt idx="17">
                  <c:v>7.6965271115234088</c:v>
                </c:pt>
                <c:pt idx="18">
                  <c:v>8.0813534670995786</c:v>
                </c:pt>
                <c:pt idx="19">
                  <c:v>8.485421140454557</c:v>
                </c:pt>
                <c:pt idx="20">
                  <c:v>8.909692197477284</c:v>
                </c:pt>
                <c:pt idx="21">
                  <c:v>9.3551768073511479</c:v>
                </c:pt>
                <c:pt idx="22">
                  <c:v>9.8229356477187046</c:v>
                </c:pt>
                <c:pt idx="23">
                  <c:v>10.314082430104641</c:v>
                </c:pt>
                <c:pt idx="24">
                  <c:v>10.829786551609873</c:v>
                </c:pt>
                <c:pt idx="25">
                  <c:v>11.371275879190366</c:v>
                </c:pt>
                <c:pt idx="26">
                  <c:v>11.939839673149883</c:v>
                </c:pt>
                <c:pt idx="27">
                  <c:v>12.536831656807378</c:v>
                </c:pt>
                <c:pt idx="28">
                  <c:v>13.163673239647746</c:v>
                </c:pt>
                <c:pt idx="29">
                  <c:v>13.821856901630134</c:v>
                </c:pt>
                <c:pt idx="30">
                  <c:v>14.512949746711641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E21-C948-AE73-3F0FD65E4183}"/>
            </c:ext>
          </c:extLst>
        </c:ser>
        <c:ser>
          <c:idx val="1"/>
          <c:order val="1"/>
          <c:tx>
            <c:strRef>
              <c:f>Sheet1!$A$3</c:f>
              <c:strCache>
                <c:ptCount val="1"/>
                <c:pt idx="0">
                  <c:v>Carbon Tax (USD)-RAS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Sheet1!$B$1:$AF$1</c:f>
              <c:numCache>
                <c:formatCode>General</c:formatCode>
                <c:ptCount val="31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  <c:pt idx="5">
                  <c:v>2025</c:v>
                </c:pt>
                <c:pt idx="6">
                  <c:v>2026</c:v>
                </c:pt>
                <c:pt idx="7">
                  <c:v>2027</c:v>
                </c:pt>
                <c:pt idx="8">
                  <c:v>2028</c:v>
                </c:pt>
                <c:pt idx="9">
                  <c:v>2029</c:v>
                </c:pt>
                <c:pt idx="10">
                  <c:v>2030</c:v>
                </c:pt>
                <c:pt idx="11">
                  <c:v>2031</c:v>
                </c:pt>
                <c:pt idx="12">
                  <c:v>2032</c:v>
                </c:pt>
                <c:pt idx="13">
                  <c:v>2033</c:v>
                </c:pt>
                <c:pt idx="14">
                  <c:v>2034</c:v>
                </c:pt>
                <c:pt idx="15">
                  <c:v>2035</c:v>
                </c:pt>
                <c:pt idx="16">
                  <c:v>2036</c:v>
                </c:pt>
                <c:pt idx="17">
                  <c:v>2037</c:v>
                </c:pt>
                <c:pt idx="18">
                  <c:v>2038</c:v>
                </c:pt>
                <c:pt idx="19">
                  <c:v>2039</c:v>
                </c:pt>
                <c:pt idx="20">
                  <c:v>2040</c:v>
                </c:pt>
                <c:pt idx="21">
                  <c:v>2041</c:v>
                </c:pt>
                <c:pt idx="22">
                  <c:v>2042</c:v>
                </c:pt>
                <c:pt idx="23">
                  <c:v>2043</c:v>
                </c:pt>
                <c:pt idx="24">
                  <c:v>2044</c:v>
                </c:pt>
                <c:pt idx="25">
                  <c:v>2045</c:v>
                </c:pt>
                <c:pt idx="26">
                  <c:v>2046</c:v>
                </c:pt>
                <c:pt idx="27">
                  <c:v>2047</c:v>
                </c:pt>
                <c:pt idx="28">
                  <c:v>2048</c:v>
                </c:pt>
                <c:pt idx="29">
                  <c:v>2049</c:v>
                </c:pt>
                <c:pt idx="30">
                  <c:v>2050</c:v>
                </c:pt>
              </c:numCache>
            </c:numRef>
          </c:cat>
          <c:val>
            <c:numRef>
              <c:f>Sheet1!$B$3:$AF$3</c:f>
              <c:numCache>
                <c:formatCode>General</c:formatCode>
                <c:ptCount val="31"/>
                <c:pt idx="0">
                  <c:v>4.5</c:v>
                </c:pt>
                <c:pt idx="1">
                  <c:v>4.5</c:v>
                </c:pt>
                <c:pt idx="2">
                  <c:v>4.5</c:v>
                </c:pt>
                <c:pt idx="3">
                  <c:v>4.5</c:v>
                </c:pt>
                <c:pt idx="4">
                  <c:v>4.5</c:v>
                </c:pt>
                <c:pt idx="5">
                  <c:v>4.5</c:v>
                </c:pt>
                <c:pt idx="6">
                  <c:v>4.5</c:v>
                </c:pt>
                <c:pt idx="7">
                  <c:v>4.95</c:v>
                </c:pt>
                <c:pt idx="8">
                  <c:v>5.4450000000000003</c:v>
                </c:pt>
                <c:pt idx="9">
                  <c:v>5.9895000000000005</c:v>
                </c:pt>
                <c:pt idx="10">
                  <c:v>6.5884500000000008</c:v>
                </c:pt>
                <c:pt idx="11">
                  <c:v>7.2472950000000012</c:v>
                </c:pt>
                <c:pt idx="12">
                  <c:v>7.9720245000000016</c:v>
                </c:pt>
                <c:pt idx="13">
                  <c:v>8.769226950000002</c:v>
                </c:pt>
                <c:pt idx="14">
                  <c:v>9.6461496450000013</c:v>
                </c:pt>
                <c:pt idx="15">
                  <c:v>10.610764609500002</c:v>
                </c:pt>
                <c:pt idx="16">
                  <c:v>11.671841070450002</c:v>
                </c:pt>
                <c:pt idx="17">
                  <c:v>12.839025177495003</c:v>
                </c:pt>
                <c:pt idx="18">
                  <c:v>14.122927695244503</c:v>
                </c:pt>
                <c:pt idx="19">
                  <c:v>15.535220464768953</c:v>
                </c:pt>
                <c:pt idx="20">
                  <c:v>17.088742511245847</c:v>
                </c:pt>
                <c:pt idx="21">
                  <c:v>18.797616762370431</c:v>
                </c:pt>
                <c:pt idx="22">
                  <c:v>20.677378438607473</c:v>
                </c:pt>
                <c:pt idx="23">
                  <c:v>22.745116282468221</c:v>
                </c:pt>
                <c:pt idx="24">
                  <c:v>25.019627910715045</c:v>
                </c:pt>
                <c:pt idx="25">
                  <c:v>27.52159070178655</c:v>
                </c:pt>
                <c:pt idx="26">
                  <c:v>30.273749771965207</c:v>
                </c:pt>
                <c:pt idx="27">
                  <c:v>33.30112474916173</c:v>
                </c:pt>
                <c:pt idx="28">
                  <c:v>36.6312372240779</c:v>
                </c:pt>
                <c:pt idx="29">
                  <c:v>40.294360946485689</c:v>
                </c:pt>
                <c:pt idx="30">
                  <c:v>44.323797041134256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E21-C948-AE73-3F0FD65E41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49227664"/>
        <c:axId val="849079088"/>
      </c:lineChart>
      <c:catAx>
        <c:axId val="84922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079088"/>
        <c:crosses val="autoZero"/>
        <c:auto val="1"/>
        <c:lblAlgn val="ctr"/>
        <c:lblOffset val="100"/>
        <c:noMultiLvlLbl val="0"/>
      </c:catAx>
      <c:valAx>
        <c:axId val="84907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92276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215900</xdr:colOff>
      <xdr:row>10</xdr:row>
      <xdr:rowOff>0</xdr:rowOff>
    </xdr:from>
    <xdr:to>
      <xdr:col>20</xdr:col>
      <xdr:colOff>482600</xdr:colOff>
      <xdr:row>36</xdr:row>
      <xdr:rowOff>139700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6349E60-BFDE-968E-F238-FC7220F3206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D626BF-C9A0-9A4E-87C5-DEF3E7285258}">
  <dimension ref="A1:BD57"/>
  <sheetViews>
    <sheetView tabSelected="1" workbookViewId="0">
      <selection activeCell="B5" sqref="B5"/>
    </sheetView>
  </sheetViews>
  <sheetFormatPr baseColWidth="10" defaultRowHeight="16" x14ac:dyDescent="0.2"/>
  <cols>
    <col min="1" max="1" width="27.33203125" customWidth="1"/>
  </cols>
  <sheetData>
    <row r="1" spans="1:56" x14ac:dyDescent="0.2">
      <c r="A1" s="1" t="s">
        <v>0</v>
      </c>
      <c r="B1" s="1">
        <v>2020</v>
      </c>
      <c r="C1" s="1">
        <f>B1+1</f>
        <v>2021</v>
      </c>
      <c r="D1" s="1">
        <f t="shared" ref="D1:AE1" si="0">C1+1</f>
        <v>2022</v>
      </c>
      <c r="E1" s="1">
        <f t="shared" si="0"/>
        <v>2023</v>
      </c>
      <c r="F1" s="1">
        <f t="shared" si="0"/>
        <v>2024</v>
      </c>
      <c r="G1" s="1">
        <f t="shared" si="0"/>
        <v>2025</v>
      </c>
      <c r="H1" s="1">
        <f t="shared" si="0"/>
        <v>2026</v>
      </c>
      <c r="I1" s="1">
        <f t="shared" si="0"/>
        <v>2027</v>
      </c>
      <c r="J1" s="1">
        <f t="shared" si="0"/>
        <v>2028</v>
      </c>
      <c r="K1" s="1">
        <f t="shared" si="0"/>
        <v>2029</v>
      </c>
      <c r="L1" s="1">
        <f t="shared" si="0"/>
        <v>2030</v>
      </c>
      <c r="M1" s="1">
        <f t="shared" si="0"/>
        <v>2031</v>
      </c>
      <c r="N1" s="1">
        <f t="shared" si="0"/>
        <v>2032</v>
      </c>
      <c r="O1" s="1">
        <f t="shared" si="0"/>
        <v>2033</v>
      </c>
      <c r="P1" s="1">
        <f t="shared" si="0"/>
        <v>2034</v>
      </c>
      <c r="Q1" s="1">
        <f t="shared" si="0"/>
        <v>2035</v>
      </c>
      <c r="R1" s="1">
        <f t="shared" si="0"/>
        <v>2036</v>
      </c>
      <c r="S1" s="1">
        <f t="shared" si="0"/>
        <v>2037</v>
      </c>
      <c r="T1" s="1">
        <f t="shared" si="0"/>
        <v>2038</v>
      </c>
      <c r="U1" s="1">
        <f t="shared" si="0"/>
        <v>2039</v>
      </c>
      <c r="V1" s="1">
        <f t="shared" si="0"/>
        <v>2040</v>
      </c>
      <c r="W1" s="1">
        <f t="shared" si="0"/>
        <v>2041</v>
      </c>
      <c r="X1" s="1">
        <f t="shared" si="0"/>
        <v>2042</v>
      </c>
      <c r="Y1" s="1">
        <f t="shared" si="0"/>
        <v>2043</v>
      </c>
      <c r="Z1" s="1">
        <f>Y1+1</f>
        <v>2044</v>
      </c>
      <c r="AA1" s="1">
        <f t="shared" si="0"/>
        <v>2045</v>
      </c>
      <c r="AB1" s="1">
        <f t="shared" si="0"/>
        <v>2046</v>
      </c>
      <c r="AC1" s="1">
        <f t="shared" si="0"/>
        <v>2047</v>
      </c>
      <c r="AD1" s="1">
        <f t="shared" si="0"/>
        <v>2048</v>
      </c>
      <c r="AE1" s="1">
        <f t="shared" si="0"/>
        <v>2049</v>
      </c>
      <c r="AF1" s="1">
        <f>AE1+1</f>
        <v>2050</v>
      </c>
      <c r="AG1" s="1">
        <v>2051</v>
      </c>
      <c r="AH1" s="1">
        <v>2052</v>
      </c>
      <c r="AI1" s="1">
        <v>2053</v>
      </c>
      <c r="AJ1" s="1">
        <v>2054</v>
      </c>
      <c r="AK1" s="1">
        <v>2055</v>
      </c>
      <c r="AL1" s="1">
        <v>2056</v>
      </c>
      <c r="AM1" s="1">
        <v>2057</v>
      </c>
      <c r="AN1" s="1">
        <v>2058</v>
      </c>
      <c r="AO1" s="1">
        <v>2059</v>
      </c>
      <c r="AP1" s="1">
        <v>2060</v>
      </c>
      <c r="AQ1" s="1">
        <v>2061</v>
      </c>
      <c r="AR1" s="1">
        <v>2062</v>
      </c>
      <c r="AS1" s="1">
        <v>2063</v>
      </c>
      <c r="AT1" s="1">
        <v>2064</v>
      </c>
      <c r="AU1" s="1">
        <v>2065</v>
      </c>
      <c r="AV1" s="1">
        <v>2066</v>
      </c>
      <c r="AW1" s="1">
        <f t="shared" ref="AW1:AZ1" si="1">AV1+1</f>
        <v>2067</v>
      </c>
      <c r="AX1" s="1">
        <f t="shared" si="1"/>
        <v>2068</v>
      </c>
      <c r="AY1" s="1">
        <f t="shared" si="1"/>
        <v>2069</v>
      </c>
      <c r="AZ1" s="1">
        <f t="shared" si="1"/>
        <v>2070</v>
      </c>
      <c r="BA1" s="1"/>
      <c r="BB1" s="1"/>
      <c r="BC1" s="1"/>
      <c r="BD1" s="1"/>
    </row>
    <row r="2" spans="1:56" x14ac:dyDescent="0.2">
      <c r="A2" s="1" t="s">
        <v>3</v>
      </c>
      <c r="B2">
        <v>4.5</v>
      </c>
      <c r="C2">
        <v>4.5</v>
      </c>
      <c r="D2">
        <v>4.5</v>
      </c>
      <c r="E2">
        <v>4.5</v>
      </c>
      <c r="F2">
        <v>4.5</v>
      </c>
      <c r="G2">
        <v>4.5</v>
      </c>
      <c r="H2">
        <v>4.5</v>
      </c>
      <c r="I2">
        <f>(H2+$B$4*H2)</f>
        <v>4.7249999999999996</v>
      </c>
      <c r="J2">
        <f t="shared" ref="J2:AF2" si="2">(I2+$B$4*I2)</f>
        <v>4.9612499999999997</v>
      </c>
      <c r="K2">
        <f t="shared" si="2"/>
        <v>5.2093124999999993</v>
      </c>
      <c r="L2">
        <f t="shared" si="2"/>
        <v>5.4697781249999995</v>
      </c>
      <c r="M2">
        <f t="shared" si="2"/>
        <v>5.7432670312499994</v>
      </c>
      <c r="N2">
        <f t="shared" si="2"/>
        <v>6.030430382812499</v>
      </c>
      <c r="O2">
        <f t="shared" si="2"/>
        <v>6.3319519019531239</v>
      </c>
      <c r="P2">
        <f t="shared" si="2"/>
        <v>6.6485494970507801</v>
      </c>
      <c r="Q2">
        <f t="shared" si="2"/>
        <v>6.9809769719033188</v>
      </c>
      <c r="R2">
        <f t="shared" si="2"/>
        <v>7.3300258204984843</v>
      </c>
      <c r="S2">
        <f t="shared" si="2"/>
        <v>7.6965271115234088</v>
      </c>
      <c r="T2">
        <f t="shared" si="2"/>
        <v>8.0813534670995786</v>
      </c>
      <c r="U2">
        <f t="shared" si="2"/>
        <v>8.485421140454557</v>
      </c>
      <c r="V2">
        <f t="shared" si="2"/>
        <v>8.909692197477284</v>
      </c>
      <c r="W2">
        <f t="shared" si="2"/>
        <v>9.3551768073511479</v>
      </c>
      <c r="X2">
        <f t="shared" si="2"/>
        <v>9.8229356477187046</v>
      </c>
      <c r="Y2">
        <f t="shared" si="2"/>
        <v>10.314082430104641</v>
      </c>
      <c r="Z2">
        <f t="shared" si="2"/>
        <v>10.829786551609873</v>
      </c>
      <c r="AA2">
        <f t="shared" si="2"/>
        <v>11.371275879190366</v>
      </c>
      <c r="AB2">
        <f t="shared" si="2"/>
        <v>11.939839673149883</v>
      </c>
      <c r="AC2">
        <f t="shared" si="2"/>
        <v>12.536831656807378</v>
      </c>
      <c r="AD2">
        <f t="shared" si="2"/>
        <v>13.163673239647746</v>
      </c>
      <c r="AE2">
        <f t="shared" si="2"/>
        <v>13.821856901630134</v>
      </c>
      <c r="AF2">
        <f t="shared" si="2"/>
        <v>14.512949746711641</v>
      </c>
      <c r="AG2">
        <f t="shared" ref="AG2" si="3">(AF2+$B$4*AF2)</f>
        <v>15.238597234047223</v>
      </c>
      <c r="AH2">
        <f t="shared" ref="AH2" si="4">(AG2+$B$4*AG2)</f>
        <v>16.000527095749582</v>
      </c>
      <c r="AI2">
        <f t="shared" ref="AI2" si="5">(AH2+$B$4*AH2)</f>
        <v>16.800553450537063</v>
      </c>
      <c r="AJ2">
        <f t="shared" ref="AJ2" si="6">(AI2+$B$4*AI2)</f>
        <v>17.640581123063917</v>
      </c>
      <c r="AK2">
        <f t="shared" ref="AK2" si="7">(AJ2+$B$4*AJ2)</f>
        <v>18.522610179217114</v>
      </c>
      <c r="AL2">
        <f t="shared" ref="AL2" si="8">(AK2+$B$4*AK2)</f>
        <v>19.448740688177971</v>
      </c>
      <c r="AM2">
        <f t="shared" ref="AM2" si="9">(AL2+$B$4*AL2)</f>
        <v>20.421177722586869</v>
      </c>
      <c r="AN2">
        <f t="shared" ref="AN2" si="10">(AM2+$B$4*AM2)</f>
        <v>21.442236608716211</v>
      </c>
      <c r="AO2">
        <f t="shared" ref="AO2" si="11">(AN2+$B$4*AN2)</f>
        <v>22.514348439152023</v>
      </c>
      <c r="AP2">
        <f t="shared" ref="AP2" si="12">(AO2+$B$4*AO2)</f>
        <v>23.640065861109626</v>
      </c>
      <c r="AQ2">
        <f t="shared" ref="AQ2" si="13">(AP2+$B$4*AP2)</f>
        <v>24.822069154165106</v>
      </c>
      <c r="AR2">
        <f t="shared" ref="AR2" si="14">(AQ2+$B$4*AQ2)</f>
        <v>26.063172611873362</v>
      </c>
      <c r="AS2">
        <f t="shared" ref="AS2" si="15">(AR2+$B$4*AR2)</f>
        <v>27.36633124246703</v>
      </c>
      <c r="AT2">
        <f t="shared" ref="AT2" si="16">(AS2+$B$4*AS2)</f>
        <v>28.734647804590381</v>
      </c>
      <c r="AU2">
        <f t="shared" ref="AU2" si="17">(AT2+$B$4*AT2)</f>
        <v>30.1713801948199</v>
      </c>
      <c r="AV2">
        <f t="shared" ref="AV2" si="18">(AU2+$B$4*AU2)</f>
        <v>31.679949204560895</v>
      </c>
      <c r="AW2">
        <f t="shared" ref="AW2" si="19">(AV2+$B$4*AV2)</f>
        <v>33.263946664788939</v>
      </c>
      <c r="AX2">
        <f t="shared" ref="AX2" si="20">(AW2+$B$4*AW2)</f>
        <v>34.927143998028384</v>
      </c>
      <c r="AY2">
        <f t="shared" ref="AY2" si="21">(AX2+$B$4*AX2)</f>
        <v>36.673501197929802</v>
      </c>
      <c r="AZ2">
        <f t="shared" ref="AZ2" si="22">(AY2+$B$4*AY2)</f>
        <v>38.507176257826295</v>
      </c>
    </row>
    <row r="3" spans="1:56" x14ac:dyDescent="0.2">
      <c r="A3" s="1" t="s">
        <v>4</v>
      </c>
      <c r="B3">
        <v>4.5</v>
      </c>
      <c r="C3">
        <v>4.5</v>
      </c>
      <c r="D3">
        <v>4.5</v>
      </c>
      <c r="E3">
        <v>4.5</v>
      </c>
      <c r="F3">
        <v>4.5</v>
      </c>
      <c r="G3">
        <v>4.5</v>
      </c>
      <c r="H3">
        <v>4.5</v>
      </c>
      <c r="I3">
        <f>(H3+$B$5*H3)</f>
        <v>4.95</v>
      </c>
      <c r="J3">
        <f t="shared" ref="J3:AF3" si="23">(I3+$B$5*I3)</f>
        <v>5.4450000000000003</v>
      </c>
      <c r="K3">
        <f t="shared" si="23"/>
        <v>5.9895000000000005</v>
      </c>
      <c r="L3">
        <f t="shared" si="23"/>
        <v>6.5884500000000008</v>
      </c>
      <c r="M3">
        <f t="shared" si="23"/>
        <v>7.2472950000000012</v>
      </c>
      <c r="N3">
        <f t="shared" si="23"/>
        <v>7.9720245000000016</v>
      </c>
      <c r="O3">
        <f t="shared" si="23"/>
        <v>8.769226950000002</v>
      </c>
      <c r="P3">
        <f t="shared" si="23"/>
        <v>9.6461496450000013</v>
      </c>
      <c r="Q3">
        <f t="shared" si="23"/>
        <v>10.610764609500002</v>
      </c>
      <c r="R3">
        <f t="shared" si="23"/>
        <v>11.671841070450002</v>
      </c>
      <c r="S3">
        <f t="shared" si="23"/>
        <v>12.839025177495003</v>
      </c>
      <c r="T3">
        <f t="shared" si="23"/>
        <v>14.122927695244503</v>
      </c>
      <c r="U3">
        <f t="shared" si="23"/>
        <v>15.535220464768953</v>
      </c>
      <c r="V3">
        <f t="shared" si="23"/>
        <v>17.088742511245847</v>
      </c>
      <c r="W3">
        <f t="shared" si="23"/>
        <v>18.797616762370431</v>
      </c>
      <c r="X3">
        <f t="shared" si="23"/>
        <v>20.677378438607473</v>
      </c>
      <c r="Y3">
        <f t="shared" si="23"/>
        <v>22.745116282468221</v>
      </c>
      <c r="Z3">
        <f t="shared" si="23"/>
        <v>25.019627910715045</v>
      </c>
      <c r="AA3">
        <f t="shared" si="23"/>
        <v>27.52159070178655</v>
      </c>
      <c r="AB3">
        <f t="shared" si="23"/>
        <v>30.273749771965207</v>
      </c>
      <c r="AC3">
        <f t="shared" si="23"/>
        <v>33.30112474916173</v>
      </c>
      <c r="AD3">
        <f t="shared" si="23"/>
        <v>36.6312372240779</v>
      </c>
      <c r="AE3">
        <f t="shared" si="23"/>
        <v>40.294360946485689</v>
      </c>
      <c r="AF3">
        <f t="shared" si="23"/>
        <v>44.323797041134256</v>
      </c>
      <c r="AG3">
        <f t="shared" ref="AG3" si="24">(AF3+$B$5*AF3)</f>
        <v>48.756176745247679</v>
      </c>
      <c r="AH3">
        <f t="shared" ref="AH3" si="25">(AG3+$B$5*AG3)</f>
        <v>53.631794419772447</v>
      </c>
      <c r="AI3">
        <f t="shared" ref="AI3" si="26">(AH3+$B$5*AH3)</f>
        <v>58.994973861749692</v>
      </c>
      <c r="AJ3">
        <f t="shared" ref="AJ3" si="27">(AI3+$B$5*AI3)</f>
        <v>64.894471247924656</v>
      </c>
      <c r="AK3">
        <f t="shared" ref="AK3" si="28">(AJ3+$B$5*AJ3)</f>
        <v>71.383918372717119</v>
      </c>
      <c r="AL3">
        <f t="shared" ref="AL3" si="29">(AK3+$B$5*AK3)</f>
        <v>78.522310209988831</v>
      </c>
      <c r="AM3">
        <f t="shared" ref="AM3" si="30">(AL3+$B$5*AL3)</f>
        <v>86.374541230987717</v>
      </c>
      <c r="AN3">
        <f t="shared" ref="AN3" si="31">(AM3+$B$5*AM3)</f>
        <v>95.011995354086494</v>
      </c>
      <c r="AO3">
        <f t="shared" ref="AO3" si="32">(AN3+$B$5*AN3)</f>
        <v>104.51319488949514</v>
      </c>
      <c r="AP3">
        <f t="shared" ref="AP3" si="33">(AO3+$B$5*AO3)</f>
        <v>114.96451437844465</v>
      </c>
      <c r="AQ3">
        <f t="shared" ref="AQ3" si="34">(AP3+$B$5*AP3)</f>
        <v>126.46096581628912</v>
      </c>
      <c r="AR3">
        <f t="shared" ref="AR3" si="35">(AQ3+$B$5*AQ3)</f>
        <v>139.10706239791804</v>
      </c>
      <c r="AS3">
        <f t="shared" ref="AS3" si="36">(AR3+$B$5*AR3)</f>
        <v>153.01776863770985</v>
      </c>
      <c r="AT3">
        <f t="shared" ref="AT3" si="37">(AS3+$B$5*AS3)</f>
        <v>168.31954550148083</v>
      </c>
      <c r="AU3">
        <f t="shared" ref="AU3" si="38">(AT3+$B$5*AT3)</f>
        <v>185.15150005162891</v>
      </c>
      <c r="AV3">
        <f t="shared" ref="AV3" si="39">(AU3+$B$5*AU3)</f>
        <v>203.66665005679181</v>
      </c>
      <c r="AW3">
        <f t="shared" ref="AW3" si="40">(AV3+$B$5*AV3)</f>
        <v>224.03331506247099</v>
      </c>
      <c r="AX3">
        <f t="shared" ref="AX3" si="41">(AW3+$B$5*AW3)</f>
        <v>246.43664656871809</v>
      </c>
      <c r="AY3">
        <f t="shared" ref="AY3" si="42">(AX3+$B$5*AX3)</f>
        <v>271.08031122558992</v>
      </c>
      <c r="AZ3">
        <f t="shared" ref="AZ3" si="43">(AY3+$B$5*AY3)</f>
        <v>298.18834234814892</v>
      </c>
    </row>
    <row r="4" spans="1:56" x14ac:dyDescent="0.2">
      <c r="A4" s="1" t="s">
        <v>1</v>
      </c>
      <c r="B4">
        <v>0.05</v>
      </c>
    </row>
    <row r="5" spans="1:56" x14ac:dyDescent="0.2">
      <c r="A5" s="1" t="s">
        <v>2</v>
      </c>
      <c r="B5">
        <v>0.1</v>
      </c>
    </row>
    <row r="6" spans="1:56" x14ac:dyDescent="0.2">
      <c r="A6" s="1" t="s">
        <v>5</v>
      </c>
      <c r="B6" s="2">
        <v>14137</v>
      </c>
    </row>
    <row r="7" spans="1:56" x14ac:dyDescent="0.2">
      <c r="A7" s="1" t="s">
        <v>3</v>
      </c>
      <c r="B7">
        <f>B2*$B$6</f>
        <v>63616.5</v>
      </c>
      <c r="C7">
        <f t="shared" ref="C7:AF7" si="44">C2*$B$6</f>
        <v>63616.5</v>
      </c>
      <c r="D7">
        <f t="shared" si="44"/>
        <v>63616.5</v>
      </c>
      <c r="E7">
        <f t="shared" si="44"/>
        <v>63616.5</v>
      </c>
      <c r="F7">
        <f t="shared" si="44"/>
        <v>63616.5</v>
      </c>
      <c r="G7">
        <f t="shared" si="44"/>
        <v>63616.5</v>
      </c>
      <c r="H7">
        <f t="shared" si="44"/>
        <v>63616.5</v>
      </c>
      <c r="I7">
        <f t="shared" si="44"/>
        <v>66797.324999999997</v>
      </c>
      <c r="J7">
        <f t="shared" si="44"/>
        <v>70137.191249999989</v>
      </c>
      <c r="K7">
        <f t="shared" si="44"/>
        <v>73644.050812499991</v>
      </c>
      <c r="L7">
        <f t="shared" si="44"/>
        <v>77326.253353124994</v>
      </c>
      <c r="M7">
        <f t="shared" si="44"/>
        <v>81192.566020781247</v>
      </c>
      <c r="N7">
        <f t="shared" si="44"/>
        <v>85252.194321820294</v>
      </c>
      <c r="O7">
        <f t="shared" si="44"/>
        <v>89514.804037911308</v>
      </c>
      <c r="P7">
        <f t="shared" si="44"/>
        <v>93990.544239806884</v>
      </c>
      <c r="Q7">
        <f t="shared" si="44"/>
        <v>98690.071451797223</v>
      </c>
      <c r="R7">
        <f t="shared" si="44"/>
        <v>103624.57502438707</v>
      </c>
      <c r="S7">
        <f t="shared" si="44"/>
        <v>108805.80377560643</v>
      </c>
      <c r="T7">
        <f t="shared" si="44"/>
        <v>114246.09396438675</v>
      </c>
      <c r="U7">
        <f t="shared" si="44"/>
        <v>119958.39866260607</v>
      </c>
      <c r="V7">
        <f t="shared" si="44"/>
        <v>125956.31859573636</v>
      </c>
      <c r="W7">
        <f t="shared" si="44"/>
        <v>132254.13452552317</v>
      </c>
      <c r="X7">
        <f t="shared" si="44"/>
        <v>138866.84125179934</v>
      </c>
      <c r="Y7">
        <f t="shared" si="44"/>
        <v>145810.18331438932</v>
      </c>
      <c r="Z7">
        <f t="shared" si="44"/>
        <v>153100.69248010876</v>
      </c>
      <c r="AA7">
        <f t="shared" si="44"/>
        <v>160755.72710411419</v>
      </c>
      <c r="AB7">
        <f t="shared" si="44"/>
        <v>168793.51345931989</v>
      </c>
      <c r="AC7">
        <f t="shared" si="44"/>
        <v>177233.18913228589</v>
      </c>
      <c r="AD7">
        <f t="shared" si="44"/>
        <v>186094.84858890017</v>
      </c>
      <c r="AE7">
        <f t="shared" si="44"/>
        <v>195399.59101834521</v>
      </c>
      <c r="AF7">
        <f t="shared" si="44"/>
        <v>205169.57056926246</v>
      </c>
    </row>
    <row r="8" spans="1:56" x14ac:dyDescent="0.2">
      <c r="A8" s="1" t="s">
        <v>4</v>
      </c>
      <c r="B8">
        <f>B3*$B$6</f>
        <v>63616.5</v>
      </c>
      <c r="C8">
        <f t="shared" ref="C8:AF8" si="45">C3*$B$6</f>
        <v>63616.5</v>
      </c>
      <c r="D8">
        <f t="shared" si="45"/>
        <v>63616.5</v>
      </c>
      <c r="E8">
        <f t="shared" si="45"/>
        <v>63616.5</v>
      </c>
      <c r="F8">
        <f t="shared" si="45"/>
        <v>63616.5</v>
      </c>
      <c r="G8">
        <f t="shared" si="45"/>
        <v>63616.5</v>
      </c>
      <c r="H8">
        <f t="shared" si="45"/>
        <v>63616.5</v>
      </c>
      <c r="I8">
        <f t="shared" si="45"/>
        <v>69978.150000000009</v>
      </c>
      <c r="J8">
        <f t="shared" si="45"/>
        <v>76975.965000000011</v>
      </c>
      <c r="K8">
        <f t="shared" si="45"/>
        <v>84673.561500000011</v>
      </c>
      <c r="L8">
        <f t="shared" si="45"/>
        <v>93140.917650000018</v>
      </c>
      <c r="M8">
        <f t="shared" si="45"/>
        <v>102455.00941500002</v>
      </c>
      <c r="N8">
        <f t="shared" si="45"/>
        <v>112700.51035650002</v>
      </c>
      <c r="O8">
        <f t="shared" si="45"/>
        <v>123970.56139215003</v>
      </c>
      <c r="P8">
        <f t="shared" si="45"/>
        <v>136367.61753136502</v>
      </c>
      <c r="Q8">
        <f t="shared" si="45"/>
        <v>150004.37928450154</v>
      </c>
      <c r="R8">
        <f t="shared" si="45"/>
        <v>165004.81721295169</v>
      </c>
      <c r="S8">
        <f t="shared" si="45"/>
        <v>181505.29893424685</v>
      </c>
      <c r="T8">
        <f t="shared" si="45"/>
        <v>199655.82882767153</v>
      </c>
      <c r="U8">
        <f t="shared" si="45"/>
        <v>219621.4117104387</v>
      </c>
      <c r="V8">
        <f t="shared" si="45"/>
        <v>241583.55288148255</v>
      </c>
      <c r="W8">
        <f t="shared" si="45"/>
        <v>265741.9081696308</v>
      </c>
      <c r="X8">
        <f t="shared" si="45"/>
        <v>292316.09898659383</v>
      </c>
      <c r="Y8">
        <f t="shared" si="45"/>
        <v>321547.70888525323</v>
      </c>
      <c r="Z8">
        <f t="shared" si="45"/>
        <v>353702.47977377858</v>
      </c>
      <c r="AA8">
        <f t="shared" si="45"/>
        <v>389072.72775115649</v>
      </c>
      <c r="AB8">
        <f t="shared" si="45"/>
        <v>427980.00052627211</v>
      </c>
      <c r="AC8">
        <f t="shared" si="45"/>
        <v>470778.00057889934</v>
      </c>
      <c r="AD8">
        <f t="shared" si="45"/>
        <v>517855.8006367893</v>
      </c>
      <c r="AE8">
        <f t="shared" si="45"/>
        <v>569641.3807004682</v>
      </c>
      <c r="AF8">
        <f t="shared" si="45"/>
        <v>626605.51877051499</v>
      </c>
    </row>
    <row r="11" spans="1:56" x14ac:dyDescent="0.2">
      <c r="A11" s="1" t="s">
        <v>6</v>
      </c>
    </row>
    <row r="12" spans="1:56" x14ac:dyDescent="0.2">
      <c r="A12">
        <v>50</v>
      </c>
      <c r="B12">
        <v>1</v>
      </c>
    </row>
    <row r="13" spans="1:56" x14ac:dyDescent="0.2">
      <c r="A13">
        <v>30</v>
      </c>
      <c r="B13">
        <f>A13/A12</f>
        <v>0.6</v>
      </c>
    </row>
    <row r="15" spans="1:56" x14ac:dyDescent="0.2">
      <c r="A15" s="1" t="s">
        <v>7</v>
      </c>
    </row>
    <row r="16" spans="1:56" x14ac:dyDescent="0.2">
      <c r="A16">
        <v>55</v>
      </c>
      <c r="B16">
        <v>1</v>
      </c>
    </row>
    <row r="17" spans="1:2" x14ac:dyDescent="0.2">
      <c r="A17">
        <v>45</v>
      </c>
      <c r="B17">
        <f>A17/A16</f>
        <v>0.81818181818181823</v>
      </c>
    </row>
    <row r="41" spans="1:32" x14ac:dyDescent="0.2">
      <c r="A41" t="s">
        <v>8</v>
      </c>
      <c r="B41" s="1">
        <v>2020</v>
      </c>
      <c r="C41" s="1">
        <f>B41+1</f>
        <v>2021</v>
      </c>
      <c r="D41" s="1">
        <f t="shared" ref="D41" si="46">C41+1</f>
        <v>2022</v>
      </c>
      <c r="E41" s="1">
        <f t="shared" ref="E41" si="47">D41+1</f>
        <v>2023</v>
      </c>
      <c r="F41" s="1">
        <f t="shared" ref="F41" si="48">E41+1</f>
        <v>2024</v>
      </c>
      <c r="G41" s="1">
        <f t="shared" ref="G41" si="49">F41+1</f>
        <v>2025</v>
      </c>
      <c r="H41" s="1">
        <f t="shared" ref="H41" si="50">G41+1</f>
        <v>2026</v>
      </c>
      <c r="I41" s="1">
        <f t="shared" ref="I41" si="51">H41+1</f>
        <v>2027</v>
      </c>
      <c r="J41" s="1">
        <f t="shared" ref="J41" si="52">I41+1</f>
        <v>2028</v>
      </c>
      <c r="K41" s="1">
        <f t="shared" ref="K41" si="53">J41+1</f>
        <v>2029</v>
      </c>
      <c r="L41" s="1">
        <f t="shared" ref="L41" si="54">K41+1</f>
        <v>2030</v>
      </c>
      <c r="M41" s="1">
        <f t="shared" ref="M41" si="55">L41+1</f>
        <v>2031</v>
      </c>
      <c r="N41" s="1">
        <f t="shared" ref="N41" si="56">M41+1</f>
        <v>2032</v>
      </c>
      <c r="O41" s="1">
        <f t="shared" ref="O41" si="57">N41+1</f>
        <v>2033</v>
      </c>
      <c r="P41" s="1">
        <f t="shared" ref="P41" si="58">O41+1</f>
        <v>2034</v>
      </c>
      <c r="Q41" s="1">
        <f t="shared" ref="Q41" si="59">P41+1</f>
        <v>2035</v>
      </c>
      <c r="R41" s="1">
        <f t="shared" ref="R41" si="60">Q41+1</f>
        <v>2036</v>
      </c>
      <c r="S41" s="1">
        <f t="shared" ref="S41" si="61">R41+1</f>
        <v>2037</v>
      </c>
      <c r="T41" s="1">
        <f t="shared" ref="T41" si="62">S41+1</f>
        <v>2038</v>
      </c>
      <c r="U41" s="1">
        <f t="shared" ref="U41" si="63">T41+1</f>
        <v>2039</v>
      </c>
      <c r="V41" s="1">
        <f t="shared" ref="V41" si="64">U41+1</f>
        <v>2040</v>
      </c>
      <c r="W41" s="1">
        <f t="shared" ref="W41" si="65">V41+1</f>
        <v>2041</v>
      </c>
      <c r="X41" s="1">
        <f t="shared" ref="X41" si="66">W41+1</f>
        <v>2042</v>
      </c>
      <c r="Y41" s="1">
        <f t="shared" ref="Y41" si="67">X41+1</f>
        <v>2043</v>
      </c>
      <c r="Z41" s="1">
        <f>Y41+1</f>
        <v>2044</v>
      </c>
      <c r="AA41" s="1">
        <f t="shared" ref="AA41" si="68">Z41+1</f>
        <v>2045</v>
      </c>
      <c r="AB41" s="1">
        <f t="shared" ref="AB41" si="69">AA41+1</f>
        <v>2046</v>
      </c>
      <c r="AC41" s="1">
        <f t="shared" ref="AC41" si="70">AB41+1</f>
        <v>2047</v>
      </c>
      <c r="AD41" s="1">
        <f t="shared" ref="AD41" si="71">AC41+1</f>
        <v>2048</v>
      </c>
      <c r="AE41" s="1">
        <f t="shared" ref="AE41" si="72">AD41+1</f>
        <v>2049</v>
      </c>
      <c r="AF41" s="1">
        <f>AE41+1</f>
        <v>2050</v>
      </c>
    </row>
    <row r="42" spans="1:32" x14ac:dyDescent="0.2">
      <c r="A42" t="s">
        <v>9</v>
      </c>
      <c r="B42">
        <v>1413.7</v>
      </c>
      <c r="C42">
        <v>1413.7</v>
      </c>
      <c r="D42">
        <v>1413.7</v>
      </c>
      <c r="E42">
        <v>1413.7</v>
      </c>
      <c r="F42">
        <v>1413.7</v>
      </c>
      <c r="G42">
        <v>1413.7</v>
      </c>
      <c r="H42">
        <v>1413.7</v>
      </c>
      <c r="I42">
        <f>H42+H42*$B$48</f>
        <v>1441.9740000000002</v>
      </c>
      <c r="J42">
        <f t="shared" ref="J42:Q42" si="73">I42+I42*$B$48</f>
        <v>1470.8134800000003</v>
      </c>
      <c r="K42">
        <f t="shared" si="73"/>
        <v>1500.2297496000003</v>
      </c>
      <c r="L42">
        <f t="shared" si="73"/>
        <v>1530.2343445920003</v>
      </c>
      <c r="M42">
        <f t="shared" si="73"/>
        <v>1560.8390314838402</v>
      </c>
      <c r="N42">
        <f t="shared" si="73"/>
        <v>1592.055812113517</v>
      </c>
      <c r="O42">
        <f t="shared" si="73"/>
        <v>1623.8969283557874</v>
      </c>
      <c r="P42">
        <f t="shared" si="73"/>
        <v>1656.374866922903</v>
      </c>
      <c r="Q42">
        <f t="shared" si="73"/>
        <v>1689.5023642613612</v>
      </c>
      <c r="R42">
        <v>1413.7</v>
      </c>
      <c r="S42">
        <v>1413.7</v>
      </c>
      <c r="T42">
        <v>1413.7</v>
      </c>
      <c r="U42">
        <v>1413.7</v>
      </c>
      <c r="V42">
        <v>1413.7</v>
      </c>
      <c r="W42">
        <v>1413.7</v>
      </c>
      <c r="X42">
        <v>1413.7</v>
      </c>
      <c r="Y42">
        <v>1413.7</v>
      </c>
      <c r="Z42">
        <v>1413.7</v>
      </c>
      <c r="AA42">
        <v>1413.7</v>
      </c>
      <c r="AB42">
        <v>1413.7</v>
      </c>
      <c r="AC42">
        <v>1413.7</v>
      </c>
      <c r="AD42">
        <v>1413.7</v>
      </c>
      <c r="AE42">
        <v>1413.7</v>
      </c>
      <c r="AF42">
        <v>1413.7</v>
      </c>
    </row>
    <row r="43" spans="1:32" x14ac:dyDescent="0.2">
      <c r="A43" t="s">
        <v>13</v>
      </c>
      <c r="B43">
        <v>1081</v>
      </c>
      <c r="C43">
        <v>1081</v>
      </c>
      <c r="D43">
        <v>1081</v>
      </c>
      <c r="E43">
        <v>1081</v>
      </c>
      <c r="F43">
        <v>1081</v>
      </c>
      <c r="G43">
        <v>1081</v>
      </c>
      <c r="H43">
        <v>1081</v>
      </c>
      <c r="I43">
        <f t="shared" ref="I43:Q46" si="74">H43+H43*$B$48</f>
        <v>1102.6199999999999</v>
      </c>
      <c r="J43">
        <f t="shared" si="74"/>
        <v>1124.6723999999999</v>
      </c>
      <c r="K43">
        <f t="shared" si="74"/>
        <v>1147.1658479999999</v>
      </c>
      <c r="L43">
        <f t="shared" si="74"/>
        <v>1170.1091649599998</v>
      </c>
      <c r="M43">
        <f t="shared" si="74"/>
        <v>1193.5113482591998</v>
      </c>
      <c r="N43">
        <f t="shared" si="74"/>
        <v>1217.3815752243838</v>
      </c>
      <c r="O43">
        <f t="shared" si="74"/>
        <v>1241.7292067288715</v>
      </c>
      <c r="P43">
        <f t="shared" si="74"/>
        <v>1266.563790863449</v>
      </c>
      <c r="Q43">
        <f t="shared" si="74"/>
        <v>1291.8950666807179</v>
      </c>
      <c r="R43">
        <v>1081</v>
      </c>
      <c r="S43">
        <v>1081</v>
      </c>
      <c r="T43">
        <v>1081</v>
      </c>
      <c r="U43">
        <v>1081</v>
      </c>
      <c r="V43">
        <v>1081</v>
      </c>
      <c r="W43">
        <v>1081</v>
      </c>
      <c r="X43">
        <v>1081</v>
      </c>
      <c r="Y43">
        <v>1081</v>
      </c>
      <c r="Z43">
        <v>1081</v>
      </c>
      <c r="AA43">
        <v>1081</v>
      </c>
      <c r="AB43">
        <v>1081</v>
      </c>
      <c r="AC43">
        <v>1081</v>
      </c>
      <c r="AD43">
        <v>1081</v>
      </c>
      <c r="AE43">
        <v>1081</v>
      </c>
      <c r="AF43">
        <v>1081</v>
      </c>
    </row>
    <row r="44" spans="1:32" x14ac:dyDescent="0.2">
      <c r="A44" t="s">
        <v>11</v>
      </c>
      <c r="B44">
        <v>1348.5</v>
      </c>
      <c r="C44">
        <v>1348.5</v>
      </c>
      <c r="D44">
        <v>1348.5</v>
      </c>
      <c r="E44">
        <v>1348.5</v>
      </c>
      <c r="F44">
        <v>1348.5</v>
      </c>
      <c r="G44">
        <v>1348.5</v>
      </c>
      <c r="H44">
        <v>1348.5</v>
      </c>
      <c r="I44">
        <f t="shared" si="74"/>
        <v>1375.47</v>
      </c>
      <c r="J44">
        <f t="shared" si="74"/>
        <v>1402.9793999999999</v>
      </c>
      <c r="K44">
        <f t="shared" si="74"/>
        <v>1431.038988</v>
      </c>
      <c r="L44">
        <f t="shared" si="74"/>
        <v>1459.65976776</v>
      </c>
      <c r="M44">
        <f t="shared" si="74"/>
        <v>1488.8529631152001</v>
      </c>
      <c r="N44">
        <f t="shared" si="74"/>
        <v>1518.630022377504</v>
      </c>
      <c r="O44">
        <f t="shared" si="74"/>
        <v>1549.002622825054</v>
      </c>
      <c r="P44">
        <f t="shared" si="74"/>
        <v>1579.982675281555</v>
      </c>
      <c r="Q44">
        <f t="shared" si="74"/>
        <v>1611.582328787186</v>
      </c>
      <c r="R44">
        <v>1348.5</v>
      </c>
      <c r="S44">
        <v>1348.5</v>
      </c>
      <c r="T44">
        <v>1348.5</v>
      </c>
      <c r="U44">
        <v>1348.5</v>
      </c>
      <c r="V44">
        <v>1348.5</v>
      </c>
      <c r="W44">
        <v>1348.5</v>
      </c>
      <c r="X44">
        <v>1348.5</v>
      </c>
      <c r="Y44">
        <v>1348.5</v>
      </c>
      <c r="Z44">
        <v>1348.5</v>
      </c>
      <c r="AA44">
        <v>1348.5</v>
      </c>
      <c r="AB44">
        <v>1348.5</v>
      </c>
      <c r="AC44">
        <v>1348.5</v>
      </c>
      <c r="AD44">
        <v>1348.5</v>
      </c>
      <c r="AE44">
        <v>1348.5</v>
      </c>
      <c r="AF44">
        <v>1348.5</v>
      </c>
    </row>
    <row r="45" spans="1:32" x14ac:dyDescent="0.2">
      <c r="A45" t="s">
        <v>12</v>
      </c>
      <c r="B45">
        <v>1024</v>
      </c>
      <c r="C45">
        <v>1024</v>
      </c>
      <c r="D45">
        <v>1024</v>
      </c>
      <c r="E45">
        <v>1024</v>
      </c>
      <c r="F45">
        <v>1024</v>
      </c>
      <c r="G45">
        <v>1024</v>
      </c>
      <c r="H45">
        <v>1024</v>
      </c>
      <c r="I45">
        <f t="shared" si="74"/>
        <v>1044.48</v>
      </c>
      <c r="J45">
        <f t="shared" si="74"/>
        <v>1065.3696</v>
      </c>
      <c r="K45">
        <f t="shared" si="74"/>
        <v>1086.6769919999999</v>
      </c>
      <c r="L45">
        <f t="shared" si="74"/>
        <v>1108.41053184</v>
      </c>
      <c r="M45">
        <f t="shared" si="74"/>
        <v>1130.5787424768</v>
      </c>
      <c r="N45">
        <f t="shared" si="74"/>
        <v>1153.1903173263361</v>
      </c>
      <c r="O45">
        <f t="shared" si="74"/>
        <v>1176.2541236728628</v>
      </c>
      <c r="P45">
        <f t="shared" si="74"/>
        <v>1199.7792061463201</v>
      </c>
      <c r="Q45">
        <f t="shared" si="74"/>
        <v>1223.7747902692465</v>
      </c>
      <c r="R45">
        <v>1024</v>
      </c>
      <c r="S45">
        <v>1024</v>
      </c>
      <c r="T45">
        <v>1024</v>
      </c>
      <c r="U45">
        <v>1024</v>
      </c>
      <c r="V45">
        <v>1024</v>
      </c>
      <c r="W45">
        <v>1024</v>
      </c>
      <c r="X45">
        <v>1024</v>
      </c>
      <c r="Y45">
        <v>1024</v>
      </c>
      <c r="Z45">
        <v>1024</v>
      </c>
      <c r="AA45">
        <v>1024</v>
      </c>
      <c r="AB45">
        <v>1024</v>
      </c>
      <c r="AC45">
        <v>1024</v>
      </c>
      <c r="AD45">
        <v>1024</v>
      </c>
      <c r="AE45">
        <v>1024</v>
      </c>
      <c r="AF45">
        <v>1024</v>
      </c>
    </row>
    <row r="46" spans="1:32" x14ac:dyDescent="0.2">
      <c r="A46" t="s">
        <v>10</v>
      </c>
      <c r="B46">
        <v>3887.6750000000002</v>
      </c>
      <c r="C46">
        <v>3887.6750000000002</v>
      </c>
      <c r="D46">
        <v>3887.6750000000002</v>
      </c>
      <c r="E46">
        <v>3887.6750000000002</v>
      </c>
      <c r="F46">
        <v>3887.6750000000002</v>
      </c>
      <c r="G46">
        <v>3887.6750000000002</v>
      </c>
      <c r="H46">
        <v>3887.6750000000002</v>
      </c>
      <c r="I46">
        <f t="shared" si="74"/>
        <v>3965.4285</v>
      </c>
      <c r="J46">
        <f t="shared" si="74"/>
        <v>4044.7370700000001</v>
      </c>
      <c r="K46">
        <f t="shared" si="74"/>
        <v>4125.6318114000005</v>
      </c>
      <c r="L46">
        <f t="shared" si="74"/>
        <v>4208.1444476280003</v>
      </c>
      <c r="M46">
        <f t="shared" si="74"/>
        <v>4292.3073365805603</v>
      </c>
      <c r="N46">
        <f t="shared" si="74"/>
        <v>4378.1534833121714</v>
      </c>
      <c r="O46">
        <f t="shared" si="74"/>
        <v>4465.7165529784152</v>
      </c>
      <c r="P46">
        <f t="shared" si="74"/>
        <v>4555.0308840379839</v>
      </c>
      <c r="Q46">
        <f t="shared" si="74"/>
        <v>4646.1315017187435</v>
      </c>
      <c r="R46">
        <v>3887.6750000000002</v>
      </c>
      <c r="S46">
        <v>3887.6750000000002</v>
      </c>
      <c r="T46">
        <v>3887.6750000000002</v>
      </c>
      <c r="U46">
        <v>3887.6750000000002</v>
      </c>
      <c r="V46">
        <v>3887.6750000000002</v>
      </c>
      <c r="W46">
        <v>3887.6750000000002</v>
      </c>
      <c r="X46">
        <v>3887.6750000000002</v>
      </c>
      <c r="Y46">
        <v>3887.6750000000002</v>
      </c>
      <c r="Z46">
        <v>3887.6750000000002</v>
      </c>
      <c r="AA46">
        <v>3887.6750000000002</v>
      </c>
      <c r="AB46">
        <v>3887.6750000000002</v>
      </c>
      <c r="AC46">
        <v>3887.6750000000002</v>
      </c>
      <c r="AD46">
        <v>3887.6750000000002</v>
      </c>
      <c r="AE46">
        <v>3887.6750000000002</v>
      </c>
      <c r="AF46">
        <v>3887.6750000000002</v>
      </c>
    </row>
    <row r="47" spans="1:32" x14ac:dyDescent="0.2">
      <c r="B47">
        <f>SUM(B42:B46)</f>
        <v>8754.875</v>
      </c>
      <c r="Q47">
        <f>SUM(Q42:Q46)</f>
        <v>10462.886051717254</v>
      </c>
    </row>
    <row r="48" spans="1:32" x14ac:dyDescent="0.2">
      <c r="A48" t="s">
        <v>14</v>
      </c>
      <c r="B48">
        <v>0.02</v>
      </c>
    </row>
    <row r="51" spans="1:32" x14ac:dyDescent="0.2">
      <c r="B51">
        <f>B41</f>
        <v>2020</v>
      </c>
      <c r="C51">
        <f t="shared" ref="C51:AF51" si="75">C41</f>
        <v>2021</v>
      </c>
      <c r="D51">
        <f t="shared" si="75"/>
        <v>2022</v>
      </c>
      <c r="E51">
        <f t="shared" si="75"/>
        <v>2023</v>
      </c>
      <c r="F51">
        <f t="shared" si="75"/>
        <v>2024</v>
      </c>
      <c r="G51">
        <f t="shared" si="75"/>
        <v>2025</v>
      </c>
      <c r="H51">
        <f t="shared" si="75"/>
        <v>2026</v>
      </c>
      <c r="I51">
        <f t="shared" si="75"/>
        <v>2027</v>
      </c>
      <c r="J51">
        <f t="shared" si="75"/>
        <v>2028</v>
      </c>
      <c r="K51">
        <f t="shared" si="75"/>
        <v>2029</v>
      </c>
      <c r="L51">
        <f t="shared" si="75"/>
        <v>2030</v>
      </c>
      <c r="M51">
        <f t="shared" si="75"/>
        <v>2031</v>
      </c>
      <c r="N51">
        <f t="shared" si="75"/>
        <v>2032</v>
      </c>
      <c r="O51">
        <f t="shared" si="75"/>
        <v>2033</v>
      </c>
      <c r="P51">
        <f t="shared" si="75"/>
        <v>2034</v>
      </c>
      <c r="Q51">
        <f t="shared" si="75"/>
        <v>2035</v>
      </c>
      <c r="R51">
        <f t="shared" si="75"/>
        <v>2036</v>
      </c>
      <c r="S51">
        <f t="shared" si="75"/>
        <v>2037</v>
      </c>
      <c r="T51">
        <f t="shared" si="75"/>
        <v>2038</v>
      </c>
      <c r="U51">
        <f t="shared" si="75"/>
        <v>2039</v>
      </c>
      <c r="V51">
        <f t="shared" si="75"/>
        <v>2040</v>
      </c>
      <c r="W51">
        <f t="shared" si="75"/>
        <v>2041</v>
      </c>
      <c r="X51">
        <f t="shared" si="75"/>
        <v>2042</v>
      </c>
      <c r="Y51">
        <f t="shared" si="75"/>
        <v>2043</v>
      </c>
      <c r="Z51">
        <f t="shared" si="75"/>
        <v>2044</v>
      </c>
      <c r="AA51">
        <f t="shared" si="75"/>
        <v>2045</v>
      </c>
      <c r="AB51">
        <f t="shared" si="75"/>
        <v>2046</v>
      </c>
      <c r="AC51">
        <f t="shared" si="75"/>
        <v>2047</v>
      </c>
      <c r="AD51">
        <f t="shared" si="75"/>
        <v>2048</v>
      </c>
      <c r="AE51">
        <f t="shared" si="75"/>
        <v>2049</v>
      </c>
      <c r="AF51">
        <f t="shared" si="75"/>
        <v>2050</v>
      </c>
    </row>
    <row r="52" spans="1:32" x14ac:dyDescent="0.2">
      <c r="A52" t="s">
        <v>15</v>
      </c>
      <c r="B52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</row>
    <row r="53" spans="1:32" x14ac:dyDescent="0.2">
      <c r="A53" t="s">
        <v>16</v>
      </c>
      <c r="B5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</row>
    <row r="56" spans="1:32" x14ac:dyDescent="0.2">
      <c r="A56" t="s">
        <v>17</v>
      </c>
      <c r="B56">
        <v>0.05</v>
      </c>
    </row>
    <row r="57" spans="1:32" x14ac:dyDescent="0.2">
      <c r="A57" t="s">
        <v>18</v>
      </c>
      <c r="B57">
        <v>0.15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Sy, Saidou Abdoulaye</dc:creator>
  <cp:lastModifiedBy>Sy, Saidou Abdoulaye</cp:lastModifiedBy>
  <dcterms:created xsi:type="dcterms:W3CDTF">2025-03-05T23:16:30Z</dcterms:created>
  <dcterms:modified xsi:type="dcterms:W3CDTF">2025-06-16T21:43:43Z</dcterms:modified>
</cp:coreProperties>
</file>