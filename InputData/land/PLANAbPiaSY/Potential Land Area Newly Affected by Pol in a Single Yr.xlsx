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PLANAbPiaSY/"/>
    </mc:Choice>
  </mc:AlternateContent>
  <xr:revisionPtr revIDLastSave="0" documentId="13_ncr:1_{4AAA70E1-B030-2D4C-8A4F-B4EB4616CE32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About" sheetId="1" r:id="rId1"/>
    <sheet name="Set Asides" sheetId="13" r:id="rId2"/>
    <sheet name="Potential land area" sheetId="18" r:id="rId3"/>
    <sheet name="PLANAbPiaSY" sheetId="3" r:id="rId4"/>
  </sheets>
  <externalReferences>
    <externalReference r:id="rId5"/>
  </externalReferences>
  <definedNames>
    <definedName name="acres_per_hectare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8" l="1"/>
  <c r="B5" i="3"/>
  <c r="J5" i="18"/>
  <c r="B21" i="18"/>
  <c r="B22" i="18" s="1"/>
  <c r="B23" i="18" s="1"/>
  <c r="B25" i="18" s="1"/>
  <c r="B17" i="18"/>
  <c r="N8" i="18"/>
  <c r="N9" i="18" s="1"/>
  <c r="N11" i="18" s="1"/>
  <c r="F8" i="18"/>
  <c r="F9" i="18" s="1"/>
  <c r="F11" i="18" s="1"/>
  <c r="N7" i="18"/>
  <c r="F7" i="18"/>
  <c r="B7" i="18"/>
  <c r="B8" i="18" s="1"/>
  <c r="N3" i="18"/>
  <c r="B9" i="18" l="1"/>
  <c r="B11" i="18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C2" i="3"/>
  <c r="C4" i="3"/>
  <c r="D4" i="3" s="1"/>
  <c r="E4" i="3" s="1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AG4" i="3" s="1"/>
  <c r="AH4" i="3" s="1"/>
  <c r="AI4" i="3" s="1"/>
  <c r="AJ4" i="3" s="1"/>
  <c r="AK4" i="3" s="1"/>
  <c r="AL4" i="3" s="1"/>
  <c r="AM4" i="3" s="1"/>
  <c r="AN4" i="3" s="1"/>
  <c r="AO4" i="3" s="1"/>
  <c r="AP4" i="3" s="1"/>
  <c r="AQ4" i="3" s="1"/>
  <c r="AR4" i="3" s="1"/>
  <c r="AS4" i="3" s="1"/>
  <c r="AT4" i="3" s="1"/>
  <c r="AU4" i="3" s="1"/>
  <c r="AV4" i="3" s="1"/>
  <c r="AW4" i="3" s="1"/>
  <c r="AX4" i="3" s="1"/>
  <c r="AY4" i="3" s="1"/>
  <c r="AZ4" i="3" s="1"/>
  <c r="B4" i="3"/>
  <c r="B3" i="3"/>
  <c r="C3" i="3" s="1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AV3" i="3" s="1"/>
  <c r="AW3" i="3" s="1"/>
  <c r="AX3" i="3" s="1"/>
  <c r="AY3" i="3" s="1"/>
  <c r="AZ3" i="3" s="1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6" i="3"/>
  <c r="C6" i="3" s="1"/>
  <c r="D6" i="3" s="1"/>
  <c r="E6" i="3" s="1"/>
  <c r="F6" i="3" s="1"/>
  <c r="G6" i="3" s="1"/>
  <c r="H6" i="3" s="1"/>
  <c r="I6" i="3" s="1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W6" i="3" s="1"/>
  <c r="X6" i="3" s="1"/>
  <c r="Y6" i="3" s="1"/>
  <c r="Z6" i="3" s="1"/>
  <c r="AA6" i="3" s="1"/>
  <c r="AB6" i="3" s="1"/>
  <c r="AC6" i="3" s="1"/>
  <c r="AD6" i="3" s="1"/>
  <c r="AE6" i="3" s="1"/>
  <c r="AF6" i="3" s="1"/>
  <c r="AG6" i="3" s="1"/>
  <c r="AH6" i="3" s="1"/>
  <c r="AI6" i="3" s="1"/>
  <c r="AJ6" i="3" s="1"/>
  <c r="AK6" i="3" s="1"/>
  <c r="AL6" i="3" s="1"/>
  <c r="AM6" i="3" s="1"/>
  <c r="AN6" i="3" s="1"/>
  <c r="AO6" i="3" s="1"/>
  <c r="AP6" i="3" s="1"/>
  <c r="AQ6" i="3" s="1"/>
  <c r="AR6" i="3" s="1"/>
  <c r="AS6" i="3" s="1"/>
  <c r="AT6" i="3" s="1"/>
  <c r="AU6" i="3" s="1"/>
  <c r="AV6" i="3" s="1"/>
  <c r="AW6" i="3" s="1"/>
  <c r="AX6" i="3" s="1"/>
  <c r="AY6" i="3" s="1"/>
  <c r="AZ6" i="3" s="1"/>
  <c r="C5" i="3"/>
  <c r="D5" i="3" s="1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AH5" i="3" s="1"/>
  <c r="AI5" i="3" s="1"/>
  <c r="AJ5" i="3" s="1"/>
  <c r="AK5" i="3" s="1"/>
  <c r="AL5" i="3" s="1"/>
  <c r="AM5" i="3" s="1"/>
  <c r="AN5" i="3" s="1"/>
  <c r="AO5" i="3" s="1"/>
  <c r="AP5" i="3" s="1"/>
  <c r="AQ5" i="3" s="1"/>
  <c r="AR5" i="3" s="1"/>
  <c r="AS5" i="3" s="1"/>
  <c r="AT5" i="3" s="1"/>
  <c r="AU5" i="3" s="1"/>
  <c r="AV5" i="3" s="1"/>
  <c r="AW5" i="3" s="1"/>
  <c r="AX5" i="3" s="1"/>
  <c r="AY5" i="3" s="1"/>
  <c r="AZ5" i="3" s="1"/>
  <c r="B2" i="3" l="1"/>
  <c r="A11" i="13"/>
  <c r="A12" i="13" s="1"/>
  <c r="A29" i="13" s="1"/>
</calcChain>
</file>

<file path=xl/sharedStrings.xml><?xml version="1.0" encoding="utf-8"?>
<sst xmlns="http://schemas.openxmlformats.org/spreadsheetml/2006/main" count="113" uniqueCount="93">
  <si>
    <t>PLANAbPiaSY Potential Land Area Newly Affected by Policy in a Single Year</t>
  </si>
  <si>
    <t>Sources: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</si>
  <si>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</si>
  <si>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</si>
  <si>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</si>
  <si>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</si>
  <si>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</si>
  <si>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</si>
  <si>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acres</t>
  </si>
  <si>
    <t>Annual Acreage Cut</t>
  </si>
  <si>
    <t>Notes</t>
  </si>
  <si>
    <t>Potential Land Area (acres/year)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</si>
  <si>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</si>
  <si>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</si>
  <si>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</si>
  <si>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</si>
  <si>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</si>
  <si>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</si>
  <si>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</si>
  <si>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</si>
  <si>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</si>
  <si>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</si>
  <si>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</si>
  <si>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</si>
  <si>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</si>
  <si>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</si>
  <si>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</si>
  <si>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</si>
  <si>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</si>
  <si>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</si>
  <si>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</si>
  <si>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</si>
  <si>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</si>
  <si>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</si>
  <si>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Guidance regarding acres available per year in TNC data:</t>
  </si>
  <si>
    <t>Because most forest management policies in the US are targeted at privately</t>
  </si>
  <si>
    <t>owned lands, we calculate the available acreage for the forest management</t>
  </si>
  <si>
    <t>policy based on a share of private owned forests.</t>
  </si>
  <si>
    <t>In the US EPS, we repurpose the forest restoration policy to represent</t>
  </si>
  <si>
    <t>grassland restoration and avoided conversion.</t>
  </si>
  <si>
    <t>Peatland Restoration</t>
  </si>
  <si>
    <t>ha to acres</t>
  </si>
  <si>
    <t>avoid deforestation (acres/year)</t>
  </si>
  <si>
    <t>2015-2020</t>
  </si>
  <si>
    <t>Year</t>
  </si>
  <si>
    <t>Deforestation rate (kha/year)</t>
  </si>
  <si>
    <t>kha to acres</t>
  </si>
  <si>
    <t>Tg CO2e to t CO2e</t>
  </si>
  <si>
    <t>Tg CO2e to g CO2e</t>
  </si>
  <si>
    <t>g CO2e to t CO2e</t>
  </si>
  <si>
    <t>Carbon sequestration rate (tonnes/ha/year)</t>
  </si>
  <si>
    <t>Reforestation (Tg CO2e/year)</t>
  </si>
  <si>
    <t>Reforestation (t CO2e/year)</t>
  </si>
  <si>
    <t>Reforestation (ha/year)</t>
  </si>
  <si>
    <t>Afforestation and Reforestation</t>
  </si>
  <si>
    <t>Forest Management</t>
  </si>
  <si>
    <t>Forest management (acres/year)</t>
  </si>
  <si>
    <t>Afforestation and Reforestation (acres/year)</t>
  </si>
  <si>
    <t>Forest management (Tg CO2e/year)</t>
  </si>
  <si>
    <t>Forest management (t CO2e/year)</t>
  </si>
  <si>
    <t>Forest management (ha/year)</t>
  </si>
  <si>
    <t>Deforestation</t>
  </si>
  <si>
    <t>Peatland restoration (Tg CO2e/year)</t>
  </si>
  <si>
    <t>Peatland restoration (t CO2e/year)</t>
  </si>
  <si>
    <t>Peatland restoration (ha/year)</t>
  </si>
  <si>
    <t>Peatland restoration (acres/year)</t>
  </si>
  <si>
    <t>Carbon sequestration rate (pounds/acres/year)</t>
  </si>
  <si>
    <t>Average (tonnes/ha/year)</t>
  </si>
  <si>
    <t>Forest Restoration</t>
  </si>
  <si>
    <t>Forest restoration (Tg CO2e/year)</t>
  </si>
  <si>
    <t>Forest restoration (t CO2e/year)</t>
  </si>
  <si>
    <t>Forest restoration (ha/year)</t>
  </si>
  <si>
    <t>Forest restoration (acres/year)</t>
  </si>
  <si>
    <t>300 to 400</t>
  </si>
  <si>
    <t>4.5 to 40.7</t>
  </si>
  <si>
    <t>An Analysis of Forestry Carbon Sequestration as a Response to Climate Change</t>
  </si>
  <si>
    <t>COPENHAGEN CONSENSUS ON CLIMATE</t>
  </si>
  <si>
    <t>5 to 11</t>
  </si>
  <si>
    <t>https://aede.osu.edu/sites/aede/files/publication_files/Analysis%20of%20Forestry%20Carbon.pdf#:~:text=Deforestation%20causes%20about%205%20billion%20tons%20CO2,in%20biomass%20(see%20Kindermann%20et%20al.%2C%202008).</t>
  </si>
  <si>
    <t>Page 7 to 9</t>
  </si>
  <si>
    <t>Carbon Sequestration rate for Afforestation, reforestation and restoration</t>
  </si>
  <si>
    <t>Global Watch Forest</t>
  </si>
  <si>
    <t>Potential land area (deforestation)</t>
  </si>
  <si>
    <t>Deforestation rate</t>
  </si>
  <si>
    <t>https://www.globalforestwatch.org/dashboards/country/IDN/?category=climate&amp;location=WyJjb3VudHJ5IiwiSUROIl0%3D</t>
  </si>
  <si>
    <t>PennState Extension</t>
  </si>
  <si>
    <t>Carbon Accounting in Forest Management</t>
  </si>
  <si>
    <t>Carbon Sequestration rate for forest management</t>
  </si>
  <si>
    <t>https://extension.psu.edu/carbon-accounting-in-forest-management#:~:text=Delaying%20harvest%20is%20another%20common,stored%20beyond%20the%20baseline%20amount.</t>
  </si>
  <si>
    <t>Country level maximum mitigation potential</t>
  </si>
  <si>
    <t>https://www.pnas.org/doi/10.1073/pnas.1710465114</t>
  </si>
  <si>
    <t xml:space="preserve">Griscom et al. </t>
  </si>
  <si>
    <t>Natural climate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</si>
</sst>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B0B0B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1" fontId="0" fillId="0" borderId="0" xfId="0" applyNumberFormat="1"/>
    <xf numFmtId="0" fontId="2" fillId="0" borderId="0" xfId="1"/>
    <xf numFmtId="0" fontId="3" fillId="0" borderId="0" xfId="0" applyFont="1"/>
    <xf numFmtId="9" fontId="0" fillId="3" borderId="0" xfId="0" applyNumberFormat="1" applyFill="1"/>
    <xf numFmtId="0" fontId="1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Font="1"/>
    <xf numFmtId="0" fontId="6" fillId="0" borderId="0" xfId="0" applyFont="1"/>
  </cellXfs>
  <cellStyles count="4">
    <cellStyle name="Comma 2" xfId="3" xr:uid="{DE5C1F08-8D32-485A-AE57-A6B901E59438}"/>
    <cellStyle name="Hyperlink" xfId="1" builtinId="8"/>
    <cellStyle name="Normal" xfId="0" builtinId="0"/>
    <cellStyle name="Normal 2" xfId="2" xr:uid="{C8E16585-9EA0-4D3E-9EA1-6CBA1D7042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571500</xdr:colOff>
      <xdr:row>6</xdr:row>
      <xdr:rowOff>12700</xdr:rowOff>
    </xdr:from>
    <xdr:to>
      <xdr:col>10</xdr:col>
      <xdr:colOff>309563</xdr:colOff>
      <xdr:row>28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7AE26-E0F5-EA40-9AD9-95721B41B51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35484"/>
        <a:stretch/>
      </xdr:blipFill>
      <xdr:spPr>
        <a:xfrm>
          <a:off x="11010900" y="1231900"/>
          <a:ext cx="4678363" cy="4318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A4">
            <v>3.6666666666666665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xtension.psu.edu/carbon-accounting-in-forest-managemen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"/>
  <sheetViews>
    <sheetView tabSelected="1" workbookViewId="0">
      <selection activeCell="E31" sqref="E31"/>
    </sheetView>
  </sheetViews>
  <sheetFormatPr baseColWidth="10" defaultColWidth="8.83203125" defaultRowHeight="15" x14ac:dyDescent="0.2"/>
  <cols>
    <col min="2" max="2" width="57.66406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t="s">
        <v>76</v>
      </c>
    </row>
    <row r="4" spans="1:2" x14ac:dyDescent="0.2">
      <c r="B4" t="s">
        <v>75</v>
      </c>
    </row>
    <row r="5" spans="1:2" x14ac:dyDescent="0.2">
      <c r="B5" s="3">
        <v>2009</v>
      </c>
    </row>
    <row r="6" spans="1:2" x14ac:dyDescent="0.2">
      <c r="B6" t="s">
        <v>80</v>
      </c>
    </row>
    <row r="7" spans="1:2" x14ac:dyDescent="0.2">
      <c r="B7" s="5" t="s">
        <v>78</v>
      </c>
    </row>
    <row r="8" spans="1:2" x14ac:dyDescent="0.2">
      <c r="B8" t="s">
        <v>79</v>
      </c>
    </row>
    <row r="10" spans="1:2" x14ac:dyDescent="0.2">
      <c r="B10" s="2" t="s">
        <v>81</v>
      </c>
    </row>
    <row r="11" spans="1:2" x14ac:dyDescent="0.2">
      <c r="B11" t="s">
        <v>82</v>
      </c>
    </row>
    <row r="12" spans="1:2" x14ac:dyDescent="0.2">
      <c r="B12" s="3" t="s">
        <v>43</v>
      </c>
    </row>
    <row r="13" spans="1:2" x14ac:dyDescent="0.2">
      <c r="B13" t="s">
        <v>83</v>
      </c>
    </row>
    <row r="14" spans="1:2" x14ac:dyDescent="0.2">
      <c r="B14" s="5" t="s">
        <v>84</v>
      </c>
    </row>
    <row r="17" spans="2:4" x14ac:dyDescent="0.2">
      <c r="B17" s="2" t="s">
        <v>85</v>
      </c>
    </row>
    <row r="18" spans="2:4" x14ac:dyDescent="0.2">
      <c r="B18" s="12" t="s">
        <v>86</v>
      </c>
    </row>
    <row r="19" spans="2:4" x14ac:dyDescent="0.2">
      <c r="B19" s="3">
        <v>2023</v>
      </c>
    </row>
    <row r="20" spans="2:4" x14ac:dyDescent="0.2">
      <c r="B20" t="s">
        <v>87</v>
      </c>
    </row>
    <row r="21" spans="2:4" x14ac:dyDescent="0.2">
      <c r="B21" s="5" t="s">
        <v>88</v>
      </c>
    </row>
    <row r="24" spans="2:4" x14ac:dyDescent="0.2">
      <c r="B24" s="2" t="s">
        <v>91</v>
      </c>
    </row>
    <row r="25" spans="2:4" x14ac:dyDescent="0.2">
      <c r="B25" s="13" t="s">
        <v>92</v>
      </c>
      <c r="D25" s="13"/>
    </row>
    <row r="26" spans="2:4" x14ac:dyDescent="0.2">
      <c r="B26" s="12" t="s">
        <v>89</v>
      </c>
      <c r="D26" s="13"/>
    </row>
    <row r="27" spans="2:4" x14ac:dyDescent="0.2">
      <c r="B27" s="3">
        <v>2017</v>
      </c>
    </row>
    <row r="28" spans="2:4" x14ac:dyDescent="0.2">
      <c r="B28" t="s">
        <v>87</v>
      </c>
    </row>
    <row r="29" spans="2:4" x14ac:dyDescent="0.2">
      <c r="B29" s="5" t="s">
        <v>90</v>
      </c>
    </row>
    <row r="30" spans="2:4" x14ac:dyDescent="0.2">
      <c r="B30" s="12"/>
    </row>
    <row r="33" spans="1:1" x14ac:dyDescent="0.2">
      <c r="A33" s="1" t="s">
        <v>10</v>
      </c>
    </row>
    <row r="34" spans="1:1" x14ac:dyDescent="0.2">
      <c r="A34" t="s">
        <v>38</v>
      </c>
    </row>
    <row r="35" spans="1:1" x14ac:dyDescent="0.2">
      <c r="A35" t="s">
        <v>39</v>
      </c>
    </row>
    <row r="36" spans="1:1" x14ac:dyDescent="0.2">
      <c r="A36" s="1"/>
    </row>
    <row r="37" spans="1:1" x14ac:dyDescent="0.2">
      <c r="A37" t="s">
        <v>35</v>
      </c>
    </row>
    <row r="38" spans="1:1" x14ac:dyDescent="0.2">
      <c r="A38" t="s">
        <v>36</v>
      </c>
    </row>
    <row r="39" spans="1:1" x14ac:dyDescent="0.2">
      <c r="A39" t="s">
        <v>37</v>
      </c>
    </row>
    <row r="41" spans="1:1" x14ac:dyDescent="0.2">
      <c r="A41" t="s">
        <v>34</v>
      </c>
    </row>
  </sheetData>
  <hyperlinks>
    <hyperlink ref="B21" r:id="rId1" location=":~:text=Delaying%20harvest%20is%20another%20common,stored%20beyond%20the%20baseline%20amount." xr:uid="{EE117172-57FC-F24E-A2C2-30C4FC4BB5BD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23FDE-5FF5-4A50-A01E-3A71ABF7B57F}">
  <dimension ref="A1:C29"/>
  <sheetViews>
    <sheetView workbookViewId="0">
      <selection activeCell="B35" sqref="B35"/>
    </sheetView>
  </sheetViews>
  <sheetFormatPr baseColWidth="10" defaultColWidth="8.83203125" defaultRowHeight="15" x14ac:dyDescent="0.2"/>
  <cols>
    <col min="1" max="1" width="15.83203125" customWidth="1"/>
  </cols>
  <sheetData>
    <row r="1" spans="1:3" x14ac:dyDescent="0.2">
      <c r="A1" s="1" t="s">
        <v>9</v>
      </c>
    </row>
    <row r="2" spans="1:3" x14ac:dyDescent="0.2">
      <c r="A2" s="6" t="s">
        <v>12</v>
      </c>
    </row>
    <row r="3" spans="1:3" x14ac:dyDescent="0.2">
      <c r="B3" t="s">
        <v>13</v>
      </c>
      <c r="C3" t="s">
        <v>14</v>
      </c>
    </row>
    <row r="4" spans="1:3" x14ac:dyDescent="0.2">
      <c r="A4" t="s">
        <v>15</v>
      </c>
      <c r="B4" s="3">
        <v>3774</v>
      </c>
      <c r="C4" s="3">
        <v>6081</v>
      </c>
    </row>
    <row r="6" spans="1:3" x14ac:dyDescent="0.2">
      <c r="A6" t="s">
        <v>16</v>
      </c>
    </row>
    <row r="7" spans="1:3" x14ac:dyDescent="0.2">
      <c r="A7" t="s">
        <v>17</v>
      </c>
    </row>
    <row r="8" spans="1:3" x14ac:dyDescent="0.2">
      <c r="A8" t="s">
        <v>18</v>
      </c>
    </row>
    <row r="10" spans="1:3" x14ac:dyDescent="0.2">
      <c r="A10" t="s">
        <v>19</v>
      </c>
    </row>
    <row r="11" spans="1:3" x14ac:dyDescent="0.2">
      <c r="A11">
        <f>B4+(0.5*C4)</f>
        <v>6814.5</v>
      </c>
      <c r="B11" t="s">
        <v>12</v>
      </c>
    </row>
    <row r="12" spans="1:3" x14ac:dyDescent="0.2">
      <c r="A12">
        <f>A11*1000</f>
        <v>6814500</v>
      </c>
      <c r="B12" t="s">
        <v>8</v>
      </c>
    </row>
    <row r="14" spans="1:3" x14ac:dyDescent="0.2">
      <c r="A14" s="1" t="s">
        <v>20</v>
      </c>
    </row>
    <row r="15" spans="1:3" x14ac:dyDescent="0.2">
      <c r="A15" t="s">
        <v>21</v>
      </c>
    </row>
    <row r="16" spans="1:3" x14ac:dyDescent="0.2">
      <c r="A16" t="s">
        <v>22</v>
      </c>
    </row>
    <row r="17" spans="1:2" x14ac:dyDescent="0.2">
      <c r="A17" t="s">
        <v>23</v>
      </c>
    </row>
    <row r="18" spans="1:2" x14ac:dyDescent="0.2">
      <c r="A18" t="s">
        <v>24</v>
      </c>
    </row>
    <row r="19" spans="1:2" x14ac:dyDescent="0.2">
      <c r="A19" t="s">
        <v>25</v>
      </c>
    </row>
    <row r="20" spans="1:2" x14ac:dyDescent="0.2">
      <c r="A20" t="s">
        <v>26</v>
      </c>
    </row>
    <row r="21" spans="1:2" x14ac:dyDescent="0.2">
      <c r="A21" t="s">
        <v>27</v>
      </c>
    </row>
    <row r="22" spans="1:2" x14ac:dyDescent="0.2">
      <c r="A22" t="s">
        <v>28</v>
      </c>
    </row>
    <row r="23" spans="1:2" x14ac:dyDescent="0.2">
      <c r="A23" t="s">
        <v>29</v>
      </c>
    </row>
    <row r="24" spans="1:2" x14ac:dyDescent="0.2">
      <c r="A24" t="s">
        <v>30</v>
      </c>
    </row>
    <row r="25" spans="1:2" x14ac:dyDescent="0.2">
      <c r="A25" t="s">
        <v>31</v>
      </c>
    </row>
    <row r="27" spans="1:2" x14ac:dyDescent="0.2">
      <c r="A27" s="7">
        <v>0.02</v>
      </c>
      <c r="B27" t="s">
        <v>32</v>
      </c>
    </row>
    <row r="29" spans="1:2" x14ac:dyDescent="0.2">
      <c r="A29">
        <f>A12*A27</f>
        <v>136290</v>
      </c>
      <c r="B29" t="s">
        <v>33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F8DF-1DD9-A74C-AF1A-E96EEFAAA2A7}">
  <dimension ref="A1:N25"/>
  <sheetViews>
    <sheetView workbookViewId="0">
      <selection activeCell="E19" sqref="E19"/>
    </sheetView>
  </sheetViews>
  <sheetFormatPr baseColWidth="10" defaultRowHeight="15" x14ac:dyDescent="0.2"/>
  <cols>
    <col min="1" max="1" width="39.33203125" customWidth="1"/>
    <col min="4" max="4" width="14" customWidth="1"/>
    <col min="5" max="5" width="40.33203125" customWidth="1"/>
    <col min="9" max="9" width="43.1640625" customWidth="1"/>
    <col min="13" max="13" width="35.1640625" customWidth="1"/>
    <col min="14" max="14" width="11.6640625" customWidth="1"/>
  </cols>
  <sheetData>
    <row r="1" spans="1:14" ht="21" x14ac:dyDescent="0.25">
      <c r="A1" s="11" t="s">
        <v>54</v>
      </c>
      <c r="B1" s="11"/>
      <c r="E1" s="11" t="s">
        <v>55</v>
      </c>
      <c r="F1" s="11"/>
      <c r="G1" s="10"/>
      <c r="I1" s="11" t="s">
        <v>61</v>
      </c>
      <c r="J1" s="11"/>
      <c r="M1" s="11" t="s">
        <v>40</v>
      </c>
      <c r="N1" s="11"/>
    </row>
    <row r="2" spans="1:14" x14ac:dyDescent="0.2">
      <c r="A2" s="1" t="s">
        <v>50</v>
      </c>
      <c r="B2" s="9" t="s">
        <v>77</v>
      </c>
      <c r="E2" s="1" t="s">
        <v>66</v>
      </c>
      <c r="F2">
        <v>80000</v>
      </c>
      <c r="I2" s="1" t="s">
        <v>44</v>
      </c>
      <c r="J2" s="8" t="s">
        <v>43</v>
      </c>
      <c r="M2" s="1" t="s">
        <v>50</v>
      </c>
      <c r="N2" s="9" t="s">
        <v>73</v>
      </c>
    </row>
    <row r="3" spans="1:14" x14ac:dyDescent="0.2">
      <c r="A3" s="1" t="s">
        <v>67</v>
      </c>
      <c r="B3">
        <f>(5+11)/2</f>
        <v>8</v>
      </c>
      <c r="E3" s="1" t="s">
        <v>67</v>
      </c>
      <c r="F3">
        <v>36.29</v>
      </c>
      <c r="I3" s="1" t="s">
        <v>45</v>
      </c>
      <c r="J3">
        <v>650</v>
      </c>
      <c r="M3" s="1" t="s">
        <v>67</v>
      </c>
      <c r="N3">
        <f>(300+400)/2</f>
        <v>350</v>
      </c>
    </row>
    <row r="4" spans="1:14" x14ac:dyDescent="0.2">
      <c r="A4" s="1" t="s">
        <v>51</v>
      </c>
      <c r="B4">
        <v>212.02</v>
      </c>
      <c r="E4" s="1" t="s">
        <v>58</v>
      </c>
      <c r="F4">
        <v>80.25</v>
      </c>
      <c r="I4" t="s">
        <v>46</v>
      </c>
      <c r="J4">
        <v>2471</v>
      </c>
      <c r="M4" s="1" t="s">
        <v>62</v>
      </c>
      <c r="N4">
        <v>363.85</v>
      </c>
    </row>
    <row r="5" spans="1:14" x14ac:dyDescent="0.2">
      <c r="A5" t="s">
        <v>48</v>
      </c>
      <c r="B5">
        <v>1000000000000</v>
      </c>
      <c r="E5" t="s">
        <v>48</v>
      </c>
      <c r="F5">
        <v>1000000000000</v>
      </c>
      <c r="I5" s="1" t="s">
        <v>42</v>
      </c>
      <c r="J5" s="4">
        <f>J3*J4</f>
        <v>1606150</v>
      </c>
      <c r="M5" t="s">
        <v>48</v>
      </c>
      <c r="N5">
        <v>1000000000000</v>
      </c>
    </row>
    <row r="6" spans="1:14" x14ac:dyDescent="0.2">
      <c r="A6" t="s">
        <v>49</v>
      </c>
      <c r="B6" s="4">
        <v>9.9999999999999995E-7</v>
      </c>
      <c r="E6" t="s">
        <v>49</v>
      </c>
      <c r="F6" s="4">
        <v>9.9999999999999995E-7</v>
      </c>
      <c r="J6" s="4"/>
      <c r="M6" t="s">
        <v>49</v>
      </c>
      <c r="N6" s="4">
        <v>9.9999999999999995E-7</v>
      </c>
    </row>
    <row r="7" spans="1:14" x14ac:dyDescent="0.2">
      <c r="A7" t="s">
        <v>47</v>
      </c>
      <c r="B7" s="4">
        <f>B5*B6</f>
        <v>1000000</v>
      </c>
      <c r="E7" t="s">
        <v>47</v>
      </c>
      <c r="F7" s="4">
        <f>F5*F6</f>
        <v>1000000</v>
      </c>
      <c r="J7" s="4"/>
      <c r="M7" t="s">
        <v>47</v>
      </c>
      <c r="N7" s="4">
        <f>N5*N6</f>
        <v>1000000</v>
      </c>
    </row>
    <row r="8" spans="1:14" x14ac:dyDescent="0.2">
      <c r="A8" s="1" t="s">
        <v>52</v>
      </c>
      <c r="B8" s="4">
        <f>B4*B7</f>
        <v>212020000</v>
      </c>
      <c r="E8" s="1" t="s">
        <v>59</v>
      </c>
      <c r="F8" s="4">
        <f>F4*F7</f>
        <v>80250000</v>
      </c>
      <c r="I8" s="1"/>
      <c r="J8" s="4"/>
      <c r="M8" s="1" t="s">
        <v>63</v>
      </c>
      <c r="N8" s="4">
        <f>N4*N7</f>
        <v>363850000</v>
      </c>
    </row>
    <row r="9" spans="1:14" x14ac:dyDescent="0.2">
      <c r="A9" s="1" t="s">
        <v>53</v>
      </c>
      <c r="B9" s="4">
        <f>B8/B3</f>
        <v>26502500</v>
      </c>
      <c r="E9" s="1" t="s">
        <v>60</v>
      </c>
      <c r="F9" s="4">
        <f>F8/F3</f>
        <v>2211352.989804354</v>
      </c>
      <c r="I9" s="1"/>
      <c r="J9" s="4"/>
      <c r="M9" s="1" t="s">
        <v>64</v>
      </c>
      <c r="N9" s="4">
        <f>N8/N3</f>
        <v>1039571.4285714285</v>
      </c>
    </row>
    <row r="10" spans="1:14" x14ac:dyDescent="0.2">
      <c r="A10" t="s">
        <v>41</v>
      </c>
      <c r="B10">
        <v>2.47105</v>
      </c>
      <c r="E10" t="s">
        <v>41</v>
      </c>
      <c r="F10">
        <v>2.47105</v>
      </c>
      <c r="M10" t="s">
        <v>41</v>
      </c>
      <c r="N10">
        <v>2.47105</v>
      </c>
    </row>
    <row r="11" spans="1:14" x14ac:dyDescent="0.2">
      <c r="A11" s="1" t="s">
        <v>57</v>
      </c>
      <c r="B11" s="4">
        <f>B9*B10</f>
        <v>65489002.625</v>
      </c>
      <c r="E11" s="1" t="s">
        <v>56</v>
      </c>
      <c r="F11" s="4">
        <f>F9*F10</f>
        <v>5464363.8054560488</v>
      </c>
      <c r="I11" s="1"/>
      <c r="J11" s="4"/>
      <c r="M11" s="1" t="s">
        <v>65</v>
      </c>
      <c r="N11" s="4">
        <f>N9*N10</f>
        <v>2568832.9785714285</v>
      </c>
    </row>
    <row r="15" spans="1:14" ht="21" x14ac:dyDescent="0.25">
      <c r="A15" s="11" t="s">
        <v>68</v>
      </c>
      <c r="B15" s="11"/>
    </row>
    <row r="16" spans="1:14" x14ac:dyDescent="0.2">
      <c r="A16" s="1" t="s">
        <v>50</v>
      </c>
      <c r="B16" s="9" t="s">
        <v>74</v>
      </c>
    </row>
    <row r="17" spans="1:2" x14ac:dyDescent="0.2">
      <c r="A17" s="1" t="s">
        <v>67</v>
      </c>
      <c r="B17">
        <f>(4.5+40.7)/2</f>
        <v>22.6</v>
      </c>
    </row>
    <row r="18" spans="1:2" x14ac:dyDescent="0.2">
      <c r="A18" s="1" t="s">
        <v>69</v>
      </c>
      <c r="B18">
        <v>21.56</v>
      </c>
    </row>
    <row r="19" spans="1:2" x14ac:dyDescent="0.2">
      <c r="A19" t="s">
        <v>48</v>
      </c>
      <c r="B19">
        <v>1000000000000</v>
      </c>
    </row>
    <row r="20" spans="1:2" x14ac:dyDescent="0.2">
      <c r="A20" t="s">
        <v>49</v>
      </c>
      <c r="B20" s="4">
        <v>9.9999999999999995E-7</v>
      </c>
    </row>
    <row r="21" spans="1:2" x14ac:dyDescent="0.2">
      <c r="A21" t="s">
        <v>47</v>
      </c>
      <c r="B21" s="4">
        <f>B19*B20</f>
        <v>1000000</v>
      </c>
    </row>
    <row r="22" spans="1:2" x14ac:dyDescent="0.2">
      <c r="A22" s="1" t="s">
        <v>70</v>
      </c>
      <c r="B22" s="4">
        <f>B18*B21</f>
        <v>21560000</v>
      </c>
    </row>
    <row r="23" spans="1:2" x14ac:dyDescent="0.2">
      <c r="A23" s="1" t="s">
        <v>71</v>
      </c>
      <c r="B23" s="4">
        <f>B22/B17</f>
        <v>953982.30088495568</v>
      </c>
    </row>
    <row r="24" spans="1:2" x14ac:dyDescent="0.2">
      <c r="A24" t="s">
        <v>41</v>
      </c>
      <c r="B24">
        <v>2.47105</v>
      </c>
    </row>
    <row r="25" spans="1:2" x14ac:dyDescent="0.2">
      <c r="A25" s="1" t="s">
        <v>72</v>
      </c>
      <c r="B25" s="4">
        <f>B23*B24</f>
        <v>2357337.9646017696</v>
      </c>
    </row>
  </sheetData>
  <mergeCells count="5">
    <mergeCell ref="A1:B1"/>
    <mergeCell ref="E1:F1"/>
    <mergeCell ref="I1:J1"/>
    <mergeCell ref="M1:N1"/>
    <mergeCell ref="A15:B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Z7"/>
  <sheetViews>
    <sheetView zoomScale="140" zoomScaleNormal="140" workbookViewId="0">
      <selection activeCell="J16" sqref="J16"/>
    </sheetView>
  </sheetViews>
  <sheetFormatPr baseColWidth="10" defaultColWidth="8.83203125" defaultRowHeight="15" x14ac:dyDescent="0.2"/>
  <cols>
    <col min="1" max="1" width="29.33203125" customWidth="1"/>
    <col min="2" max="32" width="10" bestFit="1" customWidth="1"/>
  </cols>
  <sheetData>
    <row r="1" spans="1:52" s="1" customFormat="1" x14ac:dyDescent="0.2">
      <c r="A1" s="1" t="s">
        <v>11</v>
      </c>
      <c r="B1" s="8">
        <v>2020</v>
      </c>
      <c r="C1" s="1">
        <v>2021</v>
      </c>
      <c r="D1" s="8">
        <v>2022</v>
      </c>
      <c r="E1" s="1">
        <v>2023</v>
      </c>
      <c r="F1" s="8">
        <v>2024</v>
      </c>
      <c r="G1" s="1">
        <v>2025</v>
      </c>
      <c r="H1" s="8">
        <v>2026</v>
      </c>
      <c r="I1" s="1">
        <v>2027</v>
      </c>
      <c r="J1" s="8">
        <v>2028</v>
      </c>
      <c r="K1" s="1">
        <v>2029</v>
      </c>
      <c r="L1" s="8">
        <v>2030</v>
      </c>
      <c r="M1" s="1">
        <v>2031</v>
      </c>
      <c r="N1" s="8">
        <v>2032</v>
      </c>
      <c r="O1" s="1">
        <v>2033</v>
      </c>
      <c r="P1" s="8">
        <v>2034</v>
      </c>
      <c r="Q1" s="1">
        <v>2035</v>
      </c>
      <c r="R1" s="8">
        <v>2036</v>
      </c>
      <c r="S1" s="1">
        <v>2037</v>
      </c>
      <c r="T1" s="8">
        <v>2038</v>
      </c>
      <c r="U1" s="1">
        <v>2039</v>
      </c>
      <c r="V1" s="8">
        <v>2040</v>
      </c>
      <c r="W1" s="1">
        <v>2041</v>
      </c>
      <c r="X1" s="8">
        <v>2042</v>
      </c>
      <c r="Y1" s="1">
        <v>2043</v>
      </c>
      <c r="Z1" s="8">
        <v>2044</v>
      </c>
      <c r="AA1" s="1">
        <v>2045</v>
      </c>
      <c r="AB1" s="8">
        <v>2046</v>
      </c>
      <c r="AC1" s="1">
        <v>2047</v>
      </c>
      <c r="AD1" s="8">
        <v>2048</v>
      </c>
      <c r="AE1" s="1">
        <v>2049</v>
      </c>
      <c r="AF1" s="8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t="s">
        <v>2</v>
      </c>
      <c r="B2" s="4">
        <f>'Set Asides'!$A$29</f>
        <v>136290</v>
      </c>
      <c r="C2" s="4">
        <f t="shared" ref="C2:C7" si="0">B2</f>
        <v>136290</v>
      </c>
      <c r="D2" s="4">
        <f t="shared" ref="D2:AZ2" si="1">C2</f>
        <v>136290</v>
      </c>
      <c r="E2" s="4">
        <f t="shared" si="1"/>
        <v>136290</v>
      </c>
      <c r="F2" s="4">
        <f t="shared" si="1"/>
        <v>136290</v>
      </c>
      <c r="G2" s="4">
        <f t="shared" si="1"/>
        <v>136290</v>
      </c>
      <c r="H2" s="4">
        <f t="shared" si="1"/>
        <v>136290</v>
      </c>
      <c r="I2" s="4">
        <f t="shared" si="1"/>
        <v>136290</v>
      </c>
      <c r="J2" s="4">
        <f t="shared" si="1"/>
        <v>136290</v>
      </c>
      <c r="K2" s="4">
        <f t="shared" si="1"/>
        <v>136290</v>
      </c>
      <c r="L2" s="4">
        <f t="shared" si="1"/>
        <v>136290</v>
      </c>
      <c r="M2" s="4">
        <f t="shared" si="1"/>
        <v>136290</v>
      </c>
      <c r="N2" s="4">
        <f t="shared" si="1"/>
        <v>136290</v>
      </c>
      <c r="O2" s="4">
        <f t="shared" si="1"/>
        <v>136290</v>
      </c>
      <c r="P2" s="4">
        <f t="shared" si="1"/>
        <v>136290</v>
      </c>
      <c r="Q2" s="4">
        <f t="shared" si="1"/>
        <v>136290</v>
      </c>
      <c r="R2" s="4">
        <f t="shared" si="1"/>
        <v>136290</v>
      </c>
      <c r="S2" s="4">
        <f t="shared" si="1"/>
        <v>136290</v>
      </c>
      <c r="T2" s="4">
        <f t="shared" si="1"/>
        <v>136290</v>
      </c>
      <c r="U2" s="4">
        <f t="shared" si="1"/>
        <v>136290</v>
      </c>
      <c r="V2" s="4">
        <f t="shared" si="1"/>
        <v>136290</v>
      </c>
      <c r="W2" s="4">
        <f t="shared" si="1"/>
        <v>136290</v>
      </c>
      <c r="X2" s="4">
        <f t="shared" si="1"/>
        <v>136290</v>
      </c>
      <c r="Y2" s="4">
        <f t="shared" si="1"/>
        <v>136290</v>
      </c>
      <c r="Z2" s="4">
        <f t="shared" si="1"/>
        <v>136290</v>
      </c>
      <c r="AA2" s="4">
        <f t="shared" si="1"/>
        <v>136290</v>
      </c>
      <c r="AB2" s="4">
        <f t="shared" si="1"/>
        <v>136290</v>
      </c>
      <c r="AC2" s="4">
        <f t="shared" si="1"/>
        <v>136290</v>
      </c>
      <c r="AD2" s="4">
        <f t="shared" si="1"/>
        <v>136290</v>
      </c>
      <c r="AE2" s="4">
        <f t="shared" si="1"/>
        <v>136290</v>
      </c>
      <c r="AF2" s="4">
        <f t="shared" si="1"/>
        <v>136290</v>
      </c>
      <c r="AG2" s="4">
        <f t="shared" si="1"/>
        <v>136290</v>
      </c>
      <c r="AH2" s="4">
        <f t="shared" si="1"/>
        <v>136290</v>
      </c>
      <c r="AI2" s="4">
        <f t="shared" si="1"/>
        <v>136290</v>
      </c>
      <c r="AJ2" s="4">
        <f t="shared" si="1"/>
        <v>136290</v>
      </c>
      <c r="AK2" s="4">
        <f t="shared" si="1"/>
        <v>136290</v>
      </c>
      <c r="AL2" s="4">
        <f t="shared" si="1"/>
        <v>136290</v>
      </c>
      <c r="AM2" s="4">
        <f t="shared" si="1"/>
        <v>136290</v>
      </c>
      <c r="AN2" s="4">
        <f t="shared" si="1"/>
        <v>136290</v>
      </c>
      <c r="AO2" s="4">
        <f t="shared" si="1"/>
        <v>136290</v>
      </c>
      <c r="AP2" s="4">
        <f t="shared" si="1"/>
        <v>136290</v>
      </c>
      <c r="AQ2" s="4">
        <f t="shared" si="1"/>
        <v>136290</v>
      </c>
      <c r="AR2" s="4">
        <f t="shared" si="1"/>
        <v>136290</v>
      </c>
      <c r="AS2" s="4">
        <f t="shared" si="1"/>
        <v>136290</v>
      </c>
      <c r="AT2" s="4">
        <f t="shared" si="1"/>
        <v>136290</v>
      </c>
      <c r="AU2" s="4">
        <f t="shared" si="1"/>
        <v>136290</v>
      </c>
      <c r="AV2" s="4">
        <f t="shared" si="1"/>
        <v>136290</v>
      </c>
      <c r="AW2" s="4">
        <f t="shared" si="1"/>
        <v>136290</v>
      </c>
      <c r="AX2" s="4">
        <f t="shared" si="1"/>
        <v>136290</v>
      </c>
      <c r="AY2" s="4">
        <f t="shared" si="1"/>
        <v>136290</v>
      </c>
      <c r="AZ2" s="4">
        <f t="shared" si="1"/>
        <v>136290</v>
      </c>
    </row>
    <row r="3" spans="1:52" x14ac:dyDescent="0.2">
      <c r="A3" t="s">
        <v>3</v>
      </c>
      <c r="B3" s="4">
        <f>'Potential land area'!B11</f>
        <v>65489002.625</v>
      </c>
      <c r="C3" s="4">
        <f t="shared" si="0"/>
        <v>65489002.625</v>
      </c>
      <c r="D3" s="4">
        <f t="shared" ref="D3:AZ3" si="2">C3</f>
        <v>65489002.625</v>
      </c>
      <c r="E3" s="4">
        <f t="shared" si="2"/>
        <v>65489002.625</v>
      </c>
      <c r="F3" s="4">
        <f t="shared" si="2"/>
        <v>65489002.625</v>
      </c>
      <c r="G3" s="4">
        <f t="shared" si="2"/>
        <v>65489002.625</v>
      </c>
      <c r="H3" s="4">
        <f t="shared" si="2"/>
        <v>65489002.625</v>
      </c>
      <c r="I3" s="4">
        <f t="shared" si="2"/>
        <v>65489002.625</v>
      </c>
      <c r="J3" s="4">
        <f t="shared" si="2"/>
        <v>65489002.625</v>
      </c>
      <c r="K3" s="4">
        <f t="shared" si="2"/>
        <v>65489002.625</v>
      </c>
      <c r="L3" s="4">
        <f t="shared" si="2"/>
        <v>65489002.625</v>
      </c>
      <c r="M3" s="4">
        <f t="shared" si="2"/>
        <v>65489002.625</v>
      </c>
      <c r="N3" s="4">
        <f t="shared" si="2"/>
        <v>65489002.625</v>
      </c>
      <c r="O3" s="4">
        <f t="shared" si="2"/>
        <v>65489002.625</v>
      </c>
      <c r="P3" s="4">
        <f t="shared" si="2"/>
        <v>65489002.625</v>
      </c>
      <c r="Q3" s="4">
        <f t="shared" si="2"/>
        <v>65489002.625</v>
      </c>
      <c r="R3" s="4">
        <f t="shared" si="2"/>
        <v>65489002.625</v>
      </c>
      <c r="S3" s="4">
        <f t="shared" si="2"/>
        <v>65489002.625</v>
      </c>
      <c r="T3" s="4">
        <f t="shared" si="2"/>
        <v>65489002.625</v>
      </c>
      <c r="U3" s="4">
        <f t="shared" si="2"/>
        <v>65489002.625</v>
      </c>
      <c r="V3" s="4">
        <f t="shared" si="2"/>
        <v>65489002.625</v>
      </c>
      <c r="W3" s="4">
        <f t="shared" si="2"/>
        <v>65489002.625</v>
      </c>
      <c r="X3" s="4">
        <f t="shared" si="2"/>
        <v>65489002.625</v>
      </c>
      <c r="Y3" s="4">
        <f t="shared" si="2"/>
        <v>65489002.625</v>
      </c>
      <c r="Z3" s="4">
        <f t="shared" si="2"/>
        <v>65489002.625</v>
      </c>
      <c r="AA3" s="4">
        <f t="shared" si="2"/>
        <v>65489002.625</v>
      </c>
      <c r="AB3" s="4">
        <f t="shared" si="2"/>
        <v>65489002.625</v>
      </c>
      <c r="AC3" s="4">
        <f t="shared" si="2"/>
        <v>65489002.625</v>
      </c>
      <c r="AD3" s="4">
        <f t="shared" si="2"/>
        <v>65489002.625</v>
      </c>
      <c r="AE3" s="4">
        <f t="shared" si="2"/>
        <v>65489002.625</v>
      </c>
      <c r="AF3" s="4">
        <f t="shared" si="2"/>
        <v>65489002.625</v>
      </c>
      <c r="AG3" s="4">
        <f t="shared" si="2"/>
        <v>65489002.625</v>
      </c>
      <c r="AH3" s="4">
        <f t="shared" si="2"/>
        <v>65489002.625</v>
      </c>
      <c r="AI3" s="4">
        <f t="shared" si="2"/>
        <v>65489002.625</v>
      </c>
      <c r="AJ3" s="4">
        <f t="shared" si="2"/>
        <v>65489002.625</v>
      </c>
      <c r="AK3" s="4">
        <f t="shared" si="2"/>
        <v>65489002.625</v>
      </c>
      <c r="AL3" s="4">
        <f t="shared" si="2"/>
        <v>65489002.625</v>
      </c>
      <c r="AM3" s="4">
        <f t="shared" si="2"/>
        <v>65489002.625</v>
      </c>
      <c r="AN3" s="4">
        <f t="shared" si="2"/>
        <v>65489002.625</v>
      </c>
      <c r="AO3" s="4">
        <f t="shared" si="2"/>
        <v>65489002.625</v>
      </c>
      <c r="AP3" s="4">
        <f t="shared" si="2"/>
        <v>65489002.625</v>
      </c>
      <c r="AQ3" s="4">
        <f t="shared" si="2"/>
        <v>65489002.625</v>
      </c>
      <c r="AR3" s="4">
        <f t="shared" si="2"/>
        <v>65489002.625</v>
      </c>
      <c r="AS3" s="4">
        <f t="shared" si="2"/>
        <v>65489002.625</v>
      </c>
      <c r="AT3" s="4">
        <f t="shared" si="2"/>
        <v>65489002.625</v>
      </c>
      <c r="AU3" s="4">
        <f t="shared" si="2"/>
        <v>65489002.625</v>
      </c>
      <c r="AV3" s="4">
        <f t="shared" si="2"/>
        <v>65489002.625</v>
      </c>
      <c r="AW3" s="4">
        <f t="shared" si="2"/>
        <v>65489002.625</v>
      </c>
      <c r="AX3" s="4">
        <f t="shared" si="2"/>
        <v>65489002.625</v>
      </c>
      <c r="AY3" s="4">
        <f t="shared" si="2"/>
        <v>65489002.625</v>
      </c>
      <c r="AZ3" s="4">
        <f t="shared" si="2"/>
        <v>65489002.625</v>
      </c>
    </row>
    <row r="4" spans="1:52" x14ac:dyDescent="0.2">
      <c r="A4" t="s">
        <v>4</v>
      </c>
      <c r="B4" s="4">
        <f>'Potential land area'!F11</f>
        <v>5464363.8054560488</v>
      </c>
      <c r="C4" s="4">
        <f t="shared" si="0"/>
        <v>5464363.8054560488</v>
      </c>
      <c r="D4" s="4">
        <f t="shared" ref="D4:AZ4" si="3">C4</f>
        <v>5464363.8054560488</v>
      </c>
      <c r="E4" s="4">
        <f t="shared" si="3"/>
        <v>5464363.8054560488</v>
      </c>
      <c r="F4" s="4">
        <f t="shared" si="3"/>
        <v>5464363.8054560488</v>
      </c>
      <c r="G4" s="4">
        <f t="shared" si="3"/>
        <v>5464363.8054560488</v>
      </c>
      <c r="H4" s="4">
        <f t="shared" si="3"/>
        <v>5464363.8054560488</v>
      </c>
      <c r="I4" s="4">
        <f t="shared" si="3"/>
        <v>5464363.8054560488</v>
      </c>
      <c r="J4" s="4">
        <f t="shared" si="3"/>
        <v>5464363.8054560488</v>
      </c>
      <c r="K4" s="4">
        <f t="shared" si="3"/>
        <v>5464363.8054560488</v>
      </c>
      <c r="L4" s="4">
        <f t="shared" si="3"/>
        <v>5464363.8054560488</v>
      </c>
      <c r="M4" s="4">
        <f t="shared" si="3"/>
        <v>5464363.8054560488</v>
      </c>
      <c r="N4" s="4">
        <f t="shared" si="3"/>
        <v>5464363.8054560488</v>
      </c>
      <c r="O4" s="4">
        <f t="shared" si="3"/>
        <v>5464363.8054560488</v>
      </c>
      <c r="P4" s="4">
        <f t="shared" si="3"/>
        <v>5464363.8054560488</v>
      </c>
      <c r="Q4" s="4">
        <f t="shared" si="3"/>
        <v>5464363.8054560488</v>
      </c>
      <c r="R4" s="4">
        <f t="shared" si="3"/>
        <v>5464363.8054560488</v>
      </c>
      <c r="S4" s="4">
        <f t="shared" si="3"/>
        <v>5464363.8054560488</v>
      </c>
      <c r="T4" s="4">
        <f t="shared" si="3"/>
        <v>5464363.8054560488</v>
      </c>
      <c r="U4" s="4">
        <f t="shared" si="3"/>
        <v>5464363.8054560488</v>
      </c>
      <c r="V4" s="4">
        <f t="shared" si="3"/>
        <v>5464363.8054560488</v>
      </c>
      <c r="W4" s="4">
        <f t="shared" si="3"/>
        <v>5464363.8054560488</v>
      </c>
      <c r="X4" s="4">
        <f t="shared" si="3"/>
        <v>5464363.8054560488</v>
      </c>
      <c r="Y4" s="4">
        <f t="shared" si="3"/>
        <v>5464363.8054560488</v>
      </c>
      <c r="Z4" s="4">
        <f t="shared" si="3"/>
        <v>5464363.8054560488</v>
      </c>
      <c r="AA4" s="4">
        <f t="shared" si="3"/>
        <v>5464363.8054560488</v>
      </c>
      <c r="AB4" s="4">
        <f t="shared" si="3"/>
        <v>5464363.8054560488</v>
      </c>
      <c r="AC4" s="4">
        <f t="shared" si="3"/>
        <v>5464363.8054560488</v>
      </c>
      <c r="AD4" s="4">
        <f t="shared" si="3"/>
        <v>5464363.8054560488</v>
      </c>
      <c r="AE4" s="4">
        <f t="shared" si="3"/>
        <v>5464363.8054560488</v>
      </c>
      <c r="AF4" s="4">
        <f t="shared" si="3"/>
        <v>5464363.8054560488</v>
      </c>
      <c r="AG4" s="4">
        <f t="shared" si="3"/>
        <v>5464363.8054560488</v>
      </c>
      <c r="AH4" s="4">
        <f t="shared" si="3"/>
        <v>5464363.8054560488</v>
      </c>
      <c r="AI4" s="4">
        <f t="shared" si="3"/>
        <v>5464363.8054560488</v>
      </c>
      <c r="AJ4" s="4">
        <f t="shared" si="3"/>
        <v>5464363.8054560488</v>
      </c>
      <c r="AK4" s="4">
        <f t="shared" si="3"/>
        <v>5464363.8054560488</v>
      </c>
      <c r="AL4" s="4">
        <f t="shared" si="3"/>
        <v>5464363.8054560488</v>
      </c>
      <c r="AM4" s="4">
        <f t="shared" si="3"/>
        <v>5464363.8054560488</v>
      </c>
      <c r="AN4" s="4">
        <f t="shared" si="3"/>
        <v>5464363.8054560488</v>
      </c>
      <c r="AO4" s="4">
        <f t="shared" si="3"/>
        <v>5464363.8054560488</v>
      </c>
      <c r="AP4" s="4">
        <f t="shared" si="3"/>
        <v>5464363.8054560488</v>
      </c>
      <c r="AQ4" s="4">
        <f t="shared" si="3"/>
        <v>5464363.8054560488</v>
      </c>
      <c r="AR4" s="4">
        <f t="shared" si="3"/>
        <v>5464363.8054560488</v>
      </c>
      <c r="AS4" s="4">
        <f t="shared" si="3"/>
        <v>5464363.8054560488</v>
      </c>
      <c r="AT4" s="4">
        <f t="shared" si="3"/>
        <v>5464363.8054560488</v>
      </c>
      <c r="AU4" s="4">
        <f t="shared" si="3"/>
        <v>5464363.8054560488</v>
      </c>
      <c r="AV4" s="4">
        <f t="shared" si="3"/>
        <v>5464363.8054560488</v>
      </c>
      <c r="AW4" s="4">
        <f t="shared" si="3"/>
        <v>5464363.8054560488</v>
      </c>
      <c r="AX4" s="4">
        <f t="shared" si="3"/>
        <v>5464363.8054560488</v>
      </c>
      <c r="AY4" s="4">
        <f t="shared" si="3"/>
        <v>5464363.8054560488</v>
      </c>
      <c r="AZ4" s="4">
        <f t="shared" si="3"/>
        <v>5464363.8054560488</v>
      </c>
    </row>
    <row r="5" spans="1:52" x14ac:dyDescent="0.2">
      <c r="A5" t="s">
        <v>5</v>
      </c>
      <c r="B5" s="4">
        <f>'Potential land area'!J5</f>
        <v>1606150</v>
      </c>
      <c r="C5" s="4">
        <f t="shared" si="0"/>
        <v>1606150</v>
      </c>
      <c r="D5" s="4">
        <f t="shared" ref="D5:AZ5" si="4">C5</f>
        <v>1606150</v>
      </c>
      <c r="E5" s="4">
        <f t="shared" si="4"/>
        <v>1606150</v>
      </c>
      <c r="F5" s="4">
        <f t="shared" si="4"/>
        <v>1606150</v>
      </c>
      <c r="G5" s="4">
        <f t="shared" si="4"/>
        <v>1606150</v>
      </c>
      <c r="H5" s="4">
        <f t="shared" si="4"/>
        <v>1606150</v>
      </c>
      <c r="I5" s="4">
        <f t="shared" si="4"/>
        <v>1606150</v>
      </c>
      <c r="J5" s="4">
        <f t="shared" si="4"/>
        <v>1606150</v>
      </c>
      <c r="K5" s="4">
        <f t="shared" si="4"/>
        <v>1606150</v>
      </c>
      <c r="L5" s="4">
        <f t="shared" si="4"/>
        <v>1606150</v>
      </c>
      <c r="M5" s="4">
        <f t="shared" si="4"/>
        <v>1606150</v>
      </c>
      <c r="N5" s="4">
        <f t="shared" si="4"/>
        <v>1606150</v>
      </c>
      <c r="O5" s="4">
        <f t="shared" si="4"/>
        <v>1606150</v>
      </c>
      <c r="P5" s="4">
        <f t="shared" si="4"/>
        <v>1606150</v>
      </c>
      <c r="Q5" s="4">
        <f t="shared" si="4"/>
        <v>1606150</v>
      </c>
      <c r="R5" s="4">
        <f t="shared" si="4"/>
        <v>1606150</v>
      </c>
      <c r="S5" s="4">
        <f t="shared" si="4"/>
        <v>1606150</v>
      </c>
      <c r="T5" s="4">
        <f t="shared" si="4"/>
        <v>1606150</v>
      </c>
      <c r="U5" s="4">
        <f t="shared" si="4"/>
        <v>1606150</v>
      </c>
      <c r="V5" s="4">
        <f t="shared" si="4"/>
        <v>1606150</v>
      </c>
      <c r="W5" s="4">
        <f t="shared" si="4"/>
        <v>1606150</v>
      </c>
      <c r="X5" s="4">
        <f t="shared" si="4"/>
        <v>1606150</v>
      </c>
      <c r="Y5" s="4">
        <f t="shared" si="4"/>
        <v>1606150</v>
      </c>
      <c r="Z5" s="4">
        <f t="shared" si="4"/>
        <v>1606150</v>
      </c>
      <c r="AA5" s="4">
        <f t="shared" si="4"/>
        <v>1606150</v>
      </c>
      <c r="AB5" s="4">
        <f t="shared" si="4"/>
        <v>1606150</v>
      </c>
      <c r="AC5" s="4">
        <f t="shared" si="4"/>
        <v>1606150</v>
      </c>
      <c r="AD5" s="4">
        <f t="shared" si="4"/>
        <v>1606150</v>
      </c>
      <c r="AE5" s="4">
        <f t="shared" si="4"/>
        <v>1606150</v>
      </c>
      <c r="AF5" s="4">
        <f t="shared" si="4"/>
        <v>1606150</v>
      </c>
      <c r="AG5" s="4">
        <f t="shared" si="4"/>
        <v>1606150</v>
      </c>
      <c r="AH5" s="4">
        <f t="shared" si="4"/>
        <v>1606150</v>
      </c>
      <c r="AI5" s="4">
        <f t="shared" si="4"/>
        <v>1606150</v>
      </c>
      <c r="AJ5" s="4">
        <f t="shared" si="4"/>
        <v>1606150</v>
      </c>
      <c r="AK5" s="4">
        <f t="shared" si="4"/>
        <v>1606150</v>
      </c>
      <c r="AL5" s="4">
        <f t="shared" si="4"/>
        <v>1606150</v>
      </c>
      <c r="AM5" s="4">
        <f t="shared" si="4"/>
        <v>1606150</v>
      </c>
      <c r="AN5" s="4">
        <f t="shared" si="4"/>
        <v>1606150</v>
      </c>
      <c r="AO5" s="4">
        <f t="shared" si="4"/>
        <v>1606150</v>
      </c>
      <c r="AP5" s="4">
        <f t="shared" si="4"/>
        <v>1606150</v>
      </c>
      <c r="AQ5" s="4">
        <f t="shared" si="4"/>
        <v>1606150</v>
      </c>
      <c r="AR5" s="4">
        <f t="shared" si="4"/>
        <v>1606150</v>
      </c>
      <c r="AS5" s="4">
        <f t="shared" si="4"/>
        <v>1606150</v>
      </c>
      <c r="AT5" s="4">
        <f t="shared" si="4"/>
        <v>1606150</v>
      </c>
      <c r="AU5" s="4">
        <f t="shared" si="4"/>
        <v>1606150</v>
      </c>
      <c r="AV5" s="4">
        <f t="shared" si="4"/>
        <v>1606150</v>
      </c>
      <c r="AW5" s="4">
        <f t="shared" si="4"/>
        <v>1606150</v>
      </c>
      <c r="AX5" s="4">
        <f t="shared" si="4"/>
        <v>1606150</v>
      </c>
      <c r="AY5" s="4">
        <f t="shared" si="4"/>
        <v>1606150</v>
      </c>
      <c r="AZ5" s="4">
        <f t="shared" si="4"/>
        <v>1606150</v>
      </c>
    </row>
    <row r="6" spans="1:52" x14ac:dyDescent="0.2">
      <c r="A6" t="s">
        <v>6</v>
      </c>
      <c r="B6" s="4">
        <f>'Potential land area'!N11</f>
        <v>2568832.9785714285</v>
      </c>
      <c r="C6" s="4">
        <f t="shared" si="0"/>
        <v>2568832.9785714285</v>
      </c>
      <c r="D6" s="4">
        <f t="shared" ref="D6:AZ6" si="5">C6</f>
        <v>2568832.9785714285</v>
      </c>
      <c r="E6" s="4">
        <f t="shared" si="5"/>
        <v>2568832.9785714285</v>
      </c>
      <c r="F6" s="4">
        <f t="shared" si="5"/>
        <v>2568832.9785714285</v>
      </c>
      <c r="G6" s="4">
        <f t="shared" si="5"/>
        <v>2568832.9785714285</v>
      </c>
      <c r="H6" s="4">
        <f t="shared" si="5"/>
        <v>2568832.9785714285</v>
      </c>
      <c r="I6" s="4">
        <f t="shared" si="5"/>
        <v>2568832.9785714285</v>
      </c>
      <c r="J6" s="4">
        <f t="shared" si="5"/>
        <v>2568832.9785714285</v>
      </c>
      <c r="K6" s="4">
        <f t="shared" si="5"/>
        <v>2568832.9785714285</v>
      </c>
      <c r="L6" s="4">
        <f t="shared" si="5"/>
        <v>2568832.9785714285</v>
      </c>
      <c r="M6" s="4">
        <f t="shared" si="5"/>
        <v>2568832.9785714285</v>
      </c>
      <c r="N6" s="4">
        <f t="shared" si="5"/>
        <v>2568832.9785714285</v>
      </c>
      <c r="O6" s="4">
        <f t="shared" si="5"/>
        <v>2568832.9785714285</v>
      </c>
      <c r="P6" s="4">
        <f t="shared" si="5"/>
        <v>2568832.9785714285</v>
      </c>
      <c r="Q6" s="4">
        <f t="shared" si="5"/>
        <v>2568832.9785714285</v>
      </c>
      <c r="R6" s="4">
        <f t="shared" si="5"/>
        <v>2568832.9785714285</v>
      </c>
      <c r="S6" s="4">
        <f t="shared" si="5"/>
        <v>2568832.9785714285</v>
      </c>
      <c r="T6" s="4">
        <f t="shared" si="5"/>
        <v>2568832.9785714285</v>
      </c>
      <c r="U6" s="4">
        <f t="shared" si="5"/>
        <v>2568832.9785714285</v>
      </c>
      <c r="V6" s="4">
        <f t="shared" si="5"/>
        <v>2568832.9785714285</v>
      </c>
      <c r="W6" s="4">
        <f t="shared" si="5"/>
        <v>2568832.9785714285</v>
      </c>
      <c r="X6" s="4">
        <f t="shared" si="5"/>
        <v>2568832.9785714285</v>
      </c>
      <c r="Y6" s="4">
        <f t="shared" si="5"/>
        <v>2568832.9785714285</v>
      </c>
      <c r="Z6" s="4">
        <f t="shared" si="5"/>
        <v>2568832.9785714285</v>
      </c>
      <c r="AA6" s="4">
        <f t="shared" si="5"/>
        <v>2568832.9785714285</v>
      </c>
      <c r="AB6" s="4">
        <f t="shared" si="5"/>
        <v>2568832.9785714285</v>
      </c>
      <c r="AC6" s="4">
        <f t="shared" si="5"/>
        <v>2568832.9785714285</v>
      </c>
      <c r="AD6" s="4">
        <f t="shared" si="5"/>
        <v>2568832.9785714285</v>
      </c>
      <c r="AE6" s="4">
        <f t="shared" si="5"/>
        <v>2568832.9785714285</v>
      </c>
      <c r="AF6" s="4">
        <f t="shared" si="5"/>
        <v>2568832.9785714285</v>
      </c>
      <c r="AG6" s="4">
        <f t="shared" si="5"/>
        <v>2568832.9785714285</v>
      </c>
      <c r="AH6" s="4">
        <f t="shared" si="5"/>
        <v>2568832.9785714285</v>
      </c>
      <c r="AI6" s="4">
        <f t="shared" si="5"/>
        <v>2568832.9785714285</v>
      </c>
      <c r="AJ6" s="4">
        <f t="shared" si="5"/>
        <v>2568832.9785714285</v>
      </c>
      <c r="AK6" s="4">
        <f t="shared" si="5"/>
        <v>2568832.9785714285</v>
      </c>
      <c r="AL6" s="4">
        <f t="shared" si="5"/>
        <v>2568832.9785714285</v>
      </c>
      <c r="AM6" s="4">
        <f t="shared" si="5"/>
        <v>2568832.9785714285</v>
      </c>
      <c r="AN6" s="4">
        <f t="shared" si="5"/>
        <v>2568832.9785714285</v>
      </c>
      <c r="AO6" s="4">
        <f t="shared" si="5"/>
        <v>2568832.9785714285</v>
      </c>
      <c r="AP6" s="4">
        <f t="shared" si="5"/>
        <v>2568832.9785714285</v>
      </c>
      <c r="AQ6" s="4">
        <f t="shared" si="5"/>
        <v>2568832.9785714285</v>
      </c>
      <c r="AR6" s="4">
        <f t="shared" si="5"/>
        <v>2568832.9785714285</v>
      </c>
      <c r="AS6" s="4">
        <f t="shared" si="5"/>
        <v>2568832.9785714285</v>
      </c>
      <c r="AT6" s="4">
        <f t="shared" si="5"/>
        <v>2568832.9785714285</v>
      </c>
      <c r="AU6" s="4">
        <f t="shared" si="5"/>
        <v>2568832.9785714285</v>
      </c>
      <c r="AV6" s="4">
        <f t="shared" si="5"/>
        <v>2568832.9785714285</v>
      </c>
      <c r="AW6" s="4">
        <f t="shared" si="5"/>
        <v>2568832.9785714285</v>
      </c>
      <c r="AX6" s="4">
        <f t="shared" si="5"/>
        <v>2568832.9785714285</v>
      </c>
      <c r="AY6" s="4">
        <f t="shared" si="5"/>
        <v>2568832.9785714285</v>
      </c>
      <c r="AZ6" s="4">
        <f t="shared" si="5"/>
        <v>2568832.9785714285</v>
      </c>
    </row>
    <row r="7" spans="1:52" x14ac:dyDescent="0.2">
      <c r="A7" t="s">
        <v>7</v>
      </c>
      <c r="B7" s="4">
        <f>'Potential land area'!B25</f>
        <v>2357337.9646017696</v>
      </c>
      <c r="C7" s="4">
        <f t="shared" si="0"/>
        <v>2357337.9646017696</v>
      </c>
      <c r="D7" s="4">
        <f t="shared" ref="D7:AZ7" si="6">C7</f>
        <v>2357337.9646017696</v>
      </c>
      <c r="E7" s="4">
        <f t="shared" si="6"/>
        <v>2357337.9646017696</v>
      </c>
      <c r="F7" s="4">
        <f t="shared" si="6"/>
        <v>2357337.9646017696</v>
      </c>
      <c r="G7" s="4">
        <f t="shared" si="6"/>
        <v>2357337.9646017696</v>
      </c>
      <c r="H7" s="4">
        <f t="shared" si="6"/>
        <v>2357337.9646017696</v>
      </c>
      <c r="I7" s="4">
        <f t="shared" si="6"/>
        <v>2357337.9646017696</v>
      </c>
      <c r="J7" s="4">
        <f t="shared" si="6"/>
        <v>2357337.9646017696</v>
      </c>
      <c r="K7" s="4">
        <f t="shared" si="6"/>
        <v>2357337.9646017696</v>
      </c>
      <c r="L7" s="4">
        <f t="shared" si="6"/>
        <v>2357337.9646017696</v>
      </c>
      <c r="M7" s="4">
        <f t="shared" si="6"/>
        <v>2357337.9646017696</v>
      </c>
      <c r="N7" s="4">
        <f t="shared" si="6"/>
        <v>2357337.9646017696</v>
      </c>
      <c r="O7" s="4">
        <f t="shared" si="6"/>
        <v>2357337.9646017696</v>
      </c>
      <c r="P7" s="4">
        <f t="shared" si="6"/>
        <v>2357337.9646017696</v>
      </c>
      <c r="Q7" s="4">
        <f t="shared" si="6"/>
        <v>2357337.9646017696</v>
      </c>
      <c r="R7" s="4">
        <f t="shared" si="6"/>
        <v>2357337.9646017696</v>
      </c>
      <c r="S7" s="4">
        <f t="shared" si="6"/>
        <v>2357337.9646017696</v>
      </c>
      <c r="T7" s="4">
        <f t="shared" si="6"/>
        <v>2357337.9646017696</v>
      </c>
      <c r="U7" s="4">
        <f t="shared" si="6"/>
        <v>2357337.9646017696</v>
      </c>
      <c r="V7" s="4">
        <f t="shared" si="6"/>
        <v>2357337.9646017696</v>
      </c>
      <c r="W7" s="4">
        <f t="shared" si="6"/>
        <v>2357337.9646017696</v>
      </c>
      <c r="X7" s="4">
        <f t="shared" si="6"/>
        <v>2357337.9646017696</v>
      </c>
      <c r="Y7" s="4">
        <f t="shared" si="6"/>
        <v>2357337.9646017696</v>
      </c>
      <c r="Z7" s="4">
        <f t="shared" si="6"/>
        <v>2357337.9646017696</v>
      </c>
      <c r="AA7" s="4">
        <f t="shared" si="6"/>
        <v>2357337.9646017696</v>
      </c>
      <c r="AB7" s="4">
        <f t="shared" si="6"/>
        <v>2357337.9646017696</v>
      </c>
      <c r="AC7" s="4">
        <f t="shared" si="6"/>
        <v>2357337.9646017696</v>
      </c>
      <c r="AD7" s="4">
        <f t="shared" si="6"/>
        <v>2357337.9646017696</v>
      </c>
      <c r="AE7" s="4">
        <f t="shared" si="6"/>
        <v>2357337.9646017696</v>
      </c>
      <c r="AF7" s="4">
        <f t="shared" si="6"/>
        <v>2357337.9646017696</v>
      </c>
      <c r="AG7" s="4">
        <f t="shared" si="6"/>
        <v>2357337.9646017696</v>
      </c>
      <c r="AH7" s="4">
        <f t="shared" si="6"/>
        <v>2357337.9646017696</v>
      </c>
      <c r="AI7" s="4">
        <f t="shared" si="6"/>
        <v>2357337.9646017696</v>
      </c>
      <c r="AJ7" s="4">
        <f t="shared" si="6"/>
        <v>2357337.9646017696</v>
      </c>
      <c r="AK7" s="4">
        <f t="shared" si="6"/>
        <v>2357337.9646017696</v>
      </c>
      <c r="AL7" s="4">
        <f t="shared" si="6"/>
        <v>2357337.9646017696</v>
      </c>
      <c r="AM7" s="4">
        <f t="shared" si="6"/>
        <v>2357337.9646017696</v>
      </c>
      <c r="AN7" s="4">
        <f t="shared" si="6"/>
        <v>2357337.9646017696</v>
      </c>
      <c r="AO7" s="4">
        <f t="shared" si="6"/>
        <v>2357337.9646017696</v>
      </c>
      <c r="AP7" s="4">
        <f t="shared" si="6"/>
        <v>2357337.9646017696</v>
      </c>
      <c r="AQ7" s="4">
        <f t="shared" si="6"/>
        <v>2357337.9646017696</v>
      </c>
      <c r="AR7" s="4">
        <f t="shared" si="6"/>
        <v>2357337.9646017696</v>
      </c>
      <c r="AS7" s="4">
        <f t="shared" si="6"/>
        <v>2357337.9646017696</v>
      </c>
      <c r="AT7" s="4">
        <f t="shared" si="6"/>
        <v>2357337.9646017696</v>
      </c>
      <c r="AU7" s="4">
        <f t="shared" si="6"/>
        <v>2357337.9646017696</v>
      </c>
      <c r="AV7" s="4">
        <f t="shared" si="6"/>
        <v>2357337.9646017696</v>
      </c>
      <c r="AW7" s="4">
        <f t="shared" si="6"/>
        <v>2357337.9646017696</v>
      </c>
      <c r="AX7" s="4">
        <f t="shared" si="6"/>
        <v>2357337.9646017696</v>
      </c>
      <c r="AY7" s="4">
        <f t="shared" si="6"/>
        <v>2357337.9646017696</v>
      </c>
      <c r="AZ7" s="4">
        <f t="shared" si="6"/>
        <v>2357337.9646017696</v>
      </c>
    </row>
  </sheetData>
  <pageMargins left="0.7" right="0.7" top="0.75" bottom="0.75" header="0.3" footer="0.3"/>
  <ignoredErrors>
    <ignoredError sqref="C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Set Asides</vt:lpstr>
      <vt:lpstr>Potential land area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2017-01-27T05:17:42Z</dcterms:created>
  <dcterms:modified xsi:type="dcterms:W3CDTF">2025-05-11T20:00:37Z</dcterms:modified>
</cp:coreProperties>
</file>