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BLAPE/"/>
    </mc:Choice>
  </mc:AlternateContent>
  <xr:revisionPtr revIDLastSave="0" documentId="13_ncr:1_{9120A831-B2DA-C743-ACC8-7132375E1282}" xr6:coauthVersionLast="47" xr6:coauthVersionMax="47" xr10:uidLastSave="{00000000-0000-0000-0000-000000000000}"/>
  <bookViews>
    <workbookView xWindow="0" yWindow="760" windowWidth="34200" windowHeight="21380" activeTab="4" xr2:uid="{00000000-000D-0000-FFFF-FFFF00000000}"/>
  </bookViews>
  <sheets>
    <sheet name="About" sheetId="1" r:id="rId1"/>
    <sheet name="UNFCCC" sheetId="5" r:id="rId2"/>
    <sheet name="Growth Rate" sheetId="6" r:id="rId3"/>
    <sheet name="BLAPE-not Adjusted" sheetId="4" r:id="rId4"/>
    <sheet name="MEF Projections" sheetId="8" r:id="rId5"/>
    <sheet name="BLAPE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30kEgygm9Ug6YpWMjb1cVZnDsLql6XCI1/oB84BG7Y="/>
    </ext>
  </extLst>
</workbook>
</file>

<file path=xl/calcChain.xml><?xml version="1.0" encoding="utf-8"?>
<calcChain xmlns="http://schemas.openxmlformats.org/spreadsheetml/2006/main">
  <c r="B19" i="4" l="1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2" i="7"/>
  <c r="B1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B5" i="8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1" i="4"/>
  <c r="B20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8" i="4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B3" i="8"/>
  <c r="AA2" i="8"/>
  <c r="X2" i="8"/>
  <c r="Y2" i="8"/>
  <c r="Z2" i="8"/>
  <c r="AB2" i="8"/>
  <c r="AC2" i="8"/>
  <c r="AD2" i="8"/>
  <c r="AE2" i="8"/>
  <c r="W2" i="8"/>
  <c r="N2" i="8"/>
  <c r="O2" i="8"/>
  <c r="P2" i="8"/>
  <c r="Q2" i="8"/>
  <c r="R2" i="8"/>
  <c r="S2" i="8"/>
  <c r="T2" i="8"/>
  <c r="U2" i="8"/>
  <c r="M2" i="8"/>
  <c r="C2" i="8"/>
  <c r="D2" i="8"/>
  <c r="E2" i="8"/>
  <c r="F2" i="8"/>
  <c r="G2" i="8"/>
  <c r="H2" i="8"/>
  <c r="I2" i="8"/>
  <c r="J2" i="8"/>
  <c r="K2" i="8"/>
  <c r="C12" i="4"/>
  <c r="D12" i="4"/>
  <c r="B12" i="4"/>
  <c r="F2" i="6"/>
  <c r="G2" i="6" s="1"/>
  <c r="D5" i="5"/>
  <c r="C11" i="4" s="1"/>
  <c r="C5" i="5"/>
  <c r="B2" i="4" s="1"/>
  <c r="H2" i="6" l="1"/>
  <c r="G12" i="4" s="1"/>
  <c r="F12" i="4"/>
  <c r="E2" i="4"/>
  <c r="E12" i="4"/>
  <c r="B11" i="4"/>
  <c r="G11" i="4"/>
  <c r="E11" i="4"/>
  <c r="F11" i="4"/>
  <c r="D11" i="4"/>
  <c r="D2" i="4"/>
  <c r="G2" i="4"/>
  <c r="C2" i="4"/>
  <c r="F2" i="4"/>
  <c r="I2" i="6"/>
  <c r="H12" i="4" s="1"/>
  <c r="H2" i="4" l="1"/>
  <c r="H11" i="4"/>
  <c r="J2" i="6"/>
  <c r="I12" i="4" l="1"/>
  <c r="I11" i="4"/>
  <c r="I2" i="4"/>
  <c r="K2" i="6"/>
  <c r="J12" i="4" l="1"/>
  <c r="J2" i="4"/>
  <c r="J11" i="4"/>
  <c r="L2" i="6"/>
  <c r="K12" i="4" l="1"/>
  <c r="K11" i="4"/>
  <c r="K2" i="4"/>
  <c r="M2" i="6"/>
  <c r="L12" i="4" l="1"/>
  <c r="L11" i="4"/>
  <c r="L2" i="4"/>
  <c r="N2" i="6"/>
  <c r="M12" i="4" l="1"/>
  <c r="M11" i="4"/>
  <c r="M2" i="4"/>
  <c r="O2" i="6"/>
  <c r="N12" i="4" l="1"/>
  <c r="N11" i="4"/>
  <c r="N2" i="4"/>
  <c r="P2" i="6"/>
  <c r="O12" i="4" l="1"/>
  <c r="O11" i="4"/>
  <c r="O2" i="4"/>
  <c r="Q2" i="6"/>
  <c r="P12" i="4" l="1"/>
  <c r="P2" i="4"/>
  <c r="P11" i="4"/>
  <c r="R2" i="6"/>
  <c r="Q12" i="4" l="1"/>
  <c r="Q2" i="4"/>
  <c r="Q11" i="4"/>
  <c r="S2" i="6"/>
  <c r="R12" i="4" l="1"/>
  <c r="R2" i="4"/>
  <c r="R11" i="4"/>
  <c r="T2" i="6"/>
  <c r="S12" i="4" l="1"/>
  <c r="S11" i="4"/>
  <c r="S2" i="4"/>
  <c r="U2" i="6"/>
  <c r="T12" i="4" l="1"/>
  <c r="T2" i="4"/>
  <c r="T11" i="4"/>
  <c r="V2" i="6"/>
  <c r="U12" i="4" l="1"/>
  <c r="U11" i="4"/>
  <c r="U2" i="4"/>
  <c r="W2" i="6"/>
  <c r="V12" i="4" l="1"/>
  <c r="V11" i="4"/>
  <c r="V2" i="4"/>
  <c r="X2" i="6"/>
  <c r="W12" i="4" l="1"/>
  <c r="W2" i="4"/>
  <c r="W11" i="4"/>
  <c r="Y2" i="6"/>
  <c r="X12" i="4" l="1"/>
  <c r="X2" i="4"/>
  <c r="X11" i="4"/>
  <c r="Z2" i="6"/>
  <c r="Y12" i="4" l="1"/>
  <c r="Y2" i="4"/>
  <c r="Y11" i="4"/>
  <c r="AA2" i="6"/>
  <c r="Z12" i="4" l="1"/>
  <c r="Z2" i="4"/>
  <c r="Z11" i="4"/>
  <c r="AB2" i="6"/>
  <c r="AA12" i="4" l="1"/>
  <c r="AA2" i="4"/>
  <c r="AA11" i="4"/>
  <c r="AC2" i="6"/>
  <c r="AB12" i="4" l="1"/>
  <c r="AB11" i="4"/>
  <c r="AB2" i="4"/>
  <c r="AD2" i="6"/>
  <c r="AC12" i="4" l="1"/>
  <c r="AC11" i="4"/>
  <c r="AC2" i="4"/>
  <c r="AE2" i="6"/>
  <c r="AD12" i="4" l="1"/>
  <c r="AD11" i="4"/>
  <c r="AD2" i="4"/>
  <c r="AF2" i="6"/>
  <c r="AG2" i="6" l="1"/>
  <c r="AE12" i="4"/>
  <c r="AE2" i="4"/>
  <c r="AE11" i="4"/>
  <c r="AF12" i="4" l="1"/>
  <c r="AF2" i="4"/>
  <c r="AF11" i="4"/>
</calcChain>
</file>

<file path=xl/sharedStrings.xml><?xml version="1.0" encoding="utf-8"?>
<sst xmlns="http://schemas.openxmlformats.org/spreadsheetml/2006/main" count="84" uniqueCount="65">
  <si>
    <t>BLAPE BAU LULUCF Anthropogenic Pollutant Emissions</t>
  </si>
  <si>
    <t>Source:</t>
  </si>
  <si>
    <t>UNFCCC</t>
  </si>
  <si>
    <t>Third Biennial Update Report</t>
  </si>
  <si>
    <t>https://www.climatewatchdata.org/ghg-emissions?breakBy=gas&amp;gases=ch4%2Cco2%2Cf-gas%2Cn2o&amp;regions=IDN&amp;source=Climate%20Watch</t>
  </si>
  <si>
    <t>Notes</t>
  </si>
  <si>
    <t>We project the 2000-2019 trend forward to 2050.</t>
  </si>
  <si>
    <t>Year</t>
  </si>
  <si>
    <t>CO2</t>
  </si>
  <si>
    <t>CH4</t>
  </si>
  <si>
    <t>N2O</t>
  </si>
  <si>
    <t>CF4</t>
  </si>
  <si>
    <t>CO</t>
  </si>
  <si>
    <t>NOx</t>
  </si>
  <si>
    <t>SOx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</si>
  <si>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</si>
  <si>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</si>
  <si>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</si>
  <si>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</si>
  <si>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</si>
  <si>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</si>
  <si>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</si>
  <si>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</si>
  <si>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</si>
  <si>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</si>
  <si>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</si>
  <si>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</si>
  <si>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N20</t>
  </si>
  <si>
    <t>Non CO2 Biomass Burning GL &amp; GL</t>
  </si>
  <si>
    <t>HFCs</t>
  </si>
  <si>
    <t>PFCs</t>
  </si>
  <si>
    <t>SF6</t>
  </si>
  <si>
    <t>Other halogenated gases with CO2 equivalent conversion factors</t>
  </si>
  <si>
    <t>Other halogenated gases without CO2 equivalent conversion factors</t>
  </si>
  <si>
    <t>Nox</t>
  </si>
  <si>
    <t>NMVOCs</t>
  </si>
  <si>
    <t>SO2</t>
  </si>
  <si>
    <t>Total CO2e</t>
  </si>
  <si>
    <t>CO2e (g)</t>
  </si>
  <si>
    <t>total</t>
  </si>
  <si>
    <t>AFOLU</t>
  </si>
  <si>
    <t>Sector</t>
  </si>
  <si>
    <t>Global Warming Potential (g CO2e/g pollutant)</t>
  </si>
  <si>
    <t>one hundred years</t>
  </si>
  <si>
    <t>VOC</t>
  </si>
  <si>
    <t>PM10</t>
  </si>
  <si>
    <t>PM25</t>
  </si>
  <si>
    <t>BC</t>
  </si>
  <si>
    <t>OC</t>
  </si>
  <si>
    <t>F gases</t>
  </si>
  <si>
    <t>Agriculture and forestry Ouput (% GDP)</t>
  </si>
  <si>
    <t>Growth Rate</t>
  </si>
  <si>
    <t>Trading Economics</t>
  </si>
  <si>
    <t>https://tradingeconomics.com/indonesia/agriculture-value-added-percent-of-gdp-wb-data.html</t>
  </si>
  <si>
    <t>agriculture and forestry 01T03 (g)</t>
  </si>
  <si>
    <t>agriculture sector</t>
  </si>
  <si>
    <t>forestry sector</t>
  </si>
  <si>
    <t>FOLU Emissions (Mt CO2e)</t>
  </si>
  <si>
    <t>FOLU Emissions (g CO2e)</t>
  </si>
  <si>
    <t>Mt CO2e to g CO2e</t>
  </si>
  <si>
    <t>Total</t>
  </si>
  <si>
    <t>Share of CO2 (g)</t>
  </si>
  <si>
    <t>Share of CH4 (g)</t>
  </si>
  <si>
    <t>Share of N2O (g)</t>
  </si>
  <si>
    <t>FOLU Emissions-Adjusted (g CO2e)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</si>
</sst>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212529"/>
      <name val="Calibri"/>
      <family val="2"/>
      <scheme val="maj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/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4" fontId="3" fillId="0" borderId="0" xfId="0" applyNumberFormat="1" applyFont="1"/>
    <xf numFmtId="11" fontId="4" fillId="0" borderId="0" xfId="0" applyNumberFormat="1" applyFont="1"/>
    <xf numFmtId="0" fontId="6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11" fontId="1" fillId="2" borderId="2" xfId="0" applyNumberFormat="1" applyFont="1" applyFill="1" applyBorder="1" applyAlignment="1">
      <alignment horizontal="left"/>
    </xf>
    <xf numFmtId="11" fontId="1" fillId="2" borderId="2" xfId="0" applyNumberFormat="1" applyFont="1" applyFill="1" applyBorder="1" applyAlignment="1">
      <alignment horizontal="left" vertical="center"/>
    </xf>
    <xf numFmtId="11" fontId="1" fillId="2" borderId="2" xfId="0" applyNumberFormat="1" applyFont="1" applyFill="1" applyBorder="1" applyAlignment="1">
      <alignment horizontal="left" vertical="center" wrapText="1"/>
    </xf>
    <xf numFmtId="11" fontId="1" fillId="2" borderId="3" xfId="0" applyNumberFormat="1" applyFont="1" applyFill="1" applyBorder="1" applyAlignment="1">
      <alignment horizontal="left"/>
    </xf>
    <xf numFmtId="11" fontId="1" fillId="2" borderId="9" xfId="0" applyNumberFormat="1" applyFont="1" applyFill="1" applyBorder="1" applyAlignment="1">
      <alignment horizontal="left"/>
    </xf>
    <xf numFmtId="11" fontId="1" fillId="2" borderId="9" xfId="0" applyNumberFormat="1" applyFont="1" applyFill="1" applyBorder="1" applyAlignment="1">
      <alignment horizontal="left" vertical="center"/>
    </xf>
    <xf numFmtId="11" fontId="1" fillId="2" borderId="10" xfId="0" applyNumberFormat="1" applyFont="1" applyFill="1" applyBorder="1" applyAlignment="1">
      <alignment horizontal="left"/>
    </xf>
    <xf numFmtId="0" fontId="0" fillId="2" borderId="12" xfId="0" applyFill="1" applyBorder="1"/>
    <xf numFmtId="11" fontId="1" fillId="2" borderId="12" xfId="0" applyNumberFormat="1" applyFont="1" applyFill="1" applyBorder="1" applyAlignment="1">
      <alignment horizontal="left"/>
    </xf>
    <xf numFmtId="11" fontId="1" fillId="2" borderId="13" xfId="0" applyNumberFormat="1" applyFont="1" applyFill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3" borderId="0" xfId="0" applyFont="1" applyFill="1" applyAlignment="1">
      <alignment wrapText="1"/>
    </xf>
    <xf numFmtId="0" fontId="8" fillId="3" borderId="0" xfId="0" applyFont="1" applyFill="1" applyAlignment="1">
      <alignment horizontal="center" vertical="top" wrapText="1"/>
    </xf>
    <xf numFmtId="0" fontId="8" fillId="3" borderId="0" xfId="0" applyFont="1" applyFill="1"/>
    <xf numFmtId="0" fontId="9" fillId="3" borderId="0" xfId="0" applyFont="1" applyFill="1" applyAlignment="1">
      <alignment horizontal="center"/>
    </xf>
    <xf numFmtId="11" fontId="0" fillId="0" borderId="0" xfId="0" applyNumberFormat="1" applyAlignment="1">
      <alignment vertical="center"/>
    </xf>
    <xf numFmtId="11" fontId="3" fillId="0" borderId="0" xfId="0" applyNumberFormat="1" applyFont="1" applyAlignment="1">
      <alignment vertical="center"/>
    </xf>
    <xf numFmtId="0" fontId="10" fillId="0" borderId="0" xfId="0" applyFont="1"/>
    <xf numFmtId="0" fontId="7" fillId="0" borderId="0" xfId="0" applyFont="1" applyAlignment="1">
      <alignment horizontal="right"/>
    </xf>
    <xf numFmtId="0" fontId="12" fillId="0" borderId="0" xfId="0" applyFont="1"/>
    <xf numFmtId="0" fontId="11" fillId="0" borderId="0" xfId="1"/>
    <xf numFmtId="0" fontId="3" fillId="2" borderId="2" xfId="0" applyFont="1" applyFill="1" applyBorder="1"/>
    <xf numFmtId="0" fontId="3" fillId="2" borderId="9" xfId="0" applyFont="1" applyFill="1" applyBorder="1"/>
    <xf numFmtId="11" fontId="0" fillId="0" borderId="0" xfId="0" applyNumberFormat="1"/>
    <xf numFmtId="0" fontId="3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4" fontId="3" fillId="0" borderId="0" xfId="0" applyNumberFormat="1" applyFont="1">
      <extLst>
        <ext xmlns:xfpb="http://schemas.microsoft.com/office/spreadsheetml/2022/featurepropertybag" uri="{C7286773-470A-42A8-94C5-96B5CB345126}">
          <xfpb:xfComplement i="0"/>
        </ext>
      </extLst>
    </xf>
    <xf numFmtId="1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1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  <xf numFmtId="0" fontId="6" fillId="2" borderId="1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dingeconomics.com/indonesia/agriculture-value-added-percent-of-gdp-wb-data.html" TargetMode="External"/><Relationship Id="rId1" Type="http://schemas.openxmlformats.org/officeDocument/2006/relationships/hyperlink" Target="https://www.climatewatchdata.org/ghg-emissions?breakBy=gas&amp;gases=ch4%2Cco2%2Cf-gas%2Cn2o&amp;regions=IDN&amp;source=Climate%20Wa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88"/>
  <sheetViews>
    <sheetView workbookViewId="0">
      <selection activeCell="I26" sqref="I26"/>
    </sheetView>
  </sheetViews>
  <sheetFormatPr baseColWidth="10" defaultColWidth="14.5" defaultRowHeight="15" customHeight="1" x14ac:dyDescent="0.2"/>
  <cols>
    <col min="1" max="1" width="9.5" customWidth="1"/>
    <col min="2" max="2" width="51.5" customWidth="1"/>
    <col min="3" max="26" width="8.6640625" customWidth="1"/>
  </cols>
  <sheetData>
    <row r="1" spans="1:2" ht="14.25" customHeight="1" x14ac:dyDescent="0.2">
      <c r="A1" s="1" t="s">
        <v>0</v>
      </c>
    </row>
    <row r="2" spans="1:2" ht="14.25" customHeight="1" x14ac:dyDescent="0.2"/>
    <row r="3" spans="1:2" ht="14.25" customHeight="1" x14ac:dyDescent="0.2">
      <c r="A3" s="1" t="s">
        <v>1</v>
      </c>
      <c r="B3" s="2" t="s">
        <v>2</v>
      </c>
    </row>
    <row r="4" spans="1:2" ht="14.25" customHeight="1" x14ac:dyDescent="0.2">
      <c r="B4" s="3">
        <v>2021</v>
      </c>
    </row>
    <row r="5" spans="1:2" ht="14.25" customHeight="1" x14ac:dyDescent="0.2">
      <c r="B5" s="2" t="s">
        <v>3</v>
      </c>
    </row>
    <row r="6" spans="1:2" ht="14.25" customHeight="1" x14ac:dyDescent="0.2">
      <c r="B6" s="4" t="s">
        <v>4</v>
      </c>
    </row>
    <row r="7" spans="1:2" ht="14.25" customHeight="1" x14ac:dyDescent="0.2"/>
    <row r="8" spans="1:2" ht="14.25" customHeight="1" x14ac:dyDescent="0.2">
      <c r="A8" s="1" t="s">
        <v>5</v>
      </c>
    </row>
    <row r="9" spans="1:2" ht="14.25" customHeight="1" x14ac:dyDescent="0.2">
      <c r="A9" s="2" t="s">
        <v>6</v>
      </c>
    </row>
    <row r="10" spans="1:2" ht="14.25" customHeight="1" x14ac:dyDescent="0.2"/>
    <row r="11" spans="1:2" ht="14.25" customHeight="1" x14ac:dyDescent="0.2"/>
    <row r="12" spans="1:2" ht="14.25" customHeight="1" x14ac:dyDescent="0.2">
      <c r="A12" s="29" t="s">
        <v>51</v>
      </c>
    </row>
    <row r="13" spans="1:2" ht="14.25" customHeight="1" x14ac:dyDescent="0.2"/>
    <row r="14" spans="1:2" ht="14.25" customHeight="1" x14ac:dyDescent="0.2">
      <c r="A14" s="29" t="s">
        <v>1</v>
      </c>
      <c r="B14" s="2" t="s">
        <v>52</v>
      </c>
    </row>
    <row r="15" spans="1:2" ht="14.25" customHeight="1" x14ac:dyDescent="0.2">
      <c r="B15" s="30" t="s">
        <v>53</v>
      </c>
    </row>
    <row r="16" spans="1:2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</sheetData>
  <hyperlinks>
    <hyperlink ref="B6" r:id="rId1" xr:uid="{00000000-0004-0000-0000-000000000000}"/>
    <hyperlink ref="B15" r:id="rId2" xr:uid="{D4EDA6E0-4E08-A941-99B8-036097BA6D72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F182-DBC3-7547-BCE8-218E0100505E}">
  <dimension ref="A1:Q21"/>
  <sheetViews>
    <sheetView workbookViewId="0">
      <selection activeCell="C16" sqref="C16"/>
    </sheetView>
  </sheetViews>
  <sheetFormatPr baseColWidth="10" defaultRowHeight="15" x14ac:dyDescent="0.2"/>
  <cols>
    <col min="1" max="1" width="28.83203125" customWidth="1"/>
    <col min="2" max="2" width="32.6640625" customWidth="1"/>
  </cols>
  <sheetData>
    <row r="1" spans="1:17" ht="136" x14ac:dyDescent="0.2">
      <c r="A1" s="37" t="s">
        <v>40</v>
      </c>
      <c r="B1" s="39" t="s">
        <v>41</v>
      </c>
      <c r="C1" s="7" t="s">
        <v>8</v>
      </c>
      <c r="D1" s="7" t="s">
        <v>9</v>
      </c>
      <c r="E1" s="7" t="s">
        <v>27</v>
      </c>
      <c r="F1" s="7" t="s">
        <v>11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  <c r="M1" s="8" t="s">
        <v>34</v>
      </c>
      <c r="N1" s="8" t="s">
        <v>12</v>
      </c>
      <c r="O1" s="7" t="s">
        <v>35</v>
      </c>
      <c r="P1" s="8" t="s">
        <v>36</v>
      </c>
      <c r="Q1" s="9" t="s">
        <v>37</v>
      </c>
    </row>
    <row r="2" spans="1:17" ht="16" thickBot="1" x14ac:dyDescent="0.25">
      <c r="A2" s="38"/>
      <c r="B2" s="40"/>
      <c r="C2" s="41" t="s">
        <v>38</v>
      </c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2"/>
    </row>
    <row r="3" spans="1:17" ht="17" thickBot="1" x14ac:dyDescent="0.25">
      <c r="A3" s="43" t="s">
        <v>54</v>
      </c>
      <c r="B3" s="31" t="s">
        <v>55</v>
      </c>
      <c r="C3" s="10">
        <v>160420000000000</v>
      </c>
      <c r="D3" s="10">
        <v>54965000000000</v>
      </c>
      <c r="E3" s="10">
        <v>43669000000000</v>
      </c>
      <c r="F3" s="11">
        <v>0</v>
      </c>
      <c r="G3" s="11">
        <v>2077000000000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66000000000</v>
      </c>
      <c r="N3" s="12">
        <v>2436000000000</v>
      </c>
      <c r="O3" s="12">
        <v>0</v>
      </c>
      <c r="P3" s="12">
        <v>0</v>
      </c>
      <c r="Q3" s="13">
        <v>98053000000000</v>
      </c>
    </row>
    <row r="4" spans="1:17" ht="17" thickBot="1" x14ac:dyDescent="0.25">
      <c r="A4" s="44"/>
      <c r="B4" s="32" t="s">
        <v>56</v>
      </c>
      <c r="C4" s="14">
        <v>16410290000</v>
      </c>
      <c r="D4" s="14">
        <v>14573000000000</v>
      </c>
      <c r="E4" s="14">
        <v>0</v>
      </c>
      <c r="F4" s="11">
        <v>0</v>
      </c>
      <c r="G4" s="15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6">
        <v>1655602000000000</v>
      </c>
    </row>
    <row r="5" spans="1:17" ht="17" thickBot="1" x14ac:dyDescent="0.25">
      <c r="A5" s="45"/>
      <c r="B5" s="17" t="s">
        <v>39</v>
      </c>
      <c r="C5" s="18">
        <f>C3+C4</f>
        <v>160436410290000</v>
      </c>
      <c r="D5" s="18">
        <f>D3+D4</f>
        <v>69538000000000</v>
      </c>
      <c r="E5" s="18">
        <v>43669000000000</v>
      </c>
      <c r="F5" s="11">
        <v>0</v>
      </c>
      <c r="G5" s="18">
        <v>2077000000000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66000000000</v>
      </c>
      <c r="N5" s="12">
        <v>2436000000000</v>
      </c>
      <c r="O5" s="12">
        <v>0</v>
      </c>
      <c r="P5" s="12">
        <v>0</v>
      </c>
      <c r="Q5" s="19">
        <v>1753655000000000</v>
      </c>
    </row>
    <row r="9" spans="1:17" ht="32" x14ac:dyDescent="0.2">
      <c r="A9" s="21" t="s">
        <v>42</v>
      </c>
      <c r="B9" s="22" t="s">
        <v>43</v>
      </c>
    </row>
    <row r="10" spans="1:17" x14ac:dyDescent="0.2">
      <c r="A10" s="23" t="s">
        <v>8</v>
      </c>
      <c r="B10" s="24">
        <v>1</v>
      </c>
    </row>
    <row r="11" spans="1:17" x14ac:dyDescent="0.2">
      <c r="A11" s="23" t="s">
        <v>44</v>
      </c>
      <c r="B11" s="24">
        <v>0</v>
      </c>
    </row>
    <row r="12" spans="1:17" x14ac:dyDescent="0.2">
      <c r="A12" s="23" t="s">
        <v>12</v>
      </c>
      <c r="B12" s="24">
        <v>0</v>
      </c>
    </row>
    <row r="13" spans="1:17" x14ac:dyDescent="0.2">
      <c r="A13" s="23" t="s">
        <v>13</v>
      </c>
      <c r="B13" s="24">
        <v>0</v>
      </c>
    </row>
    <row r="14" spans="1:17" x14ac:dyDescent="0.2">
      <c r="A14" s="23" t="s">
        <v>45</v>
      </c>
      <c r="B14" s="24">
        <v>0</v>
      </c>
    </row>
    <row r="15" spans="1:17" x14ac:dyDescent="0.2">
      <c r="A15" s="23" t="s">
        <v>46</v>
      </c>
      <c r="B15" s="24">
        <v>0</v>
      </c>
    </row>
    <row r="16" spans="1:17" x14ac:dyDescent="0.2">
      <c r="A16" s="23" t="s">
        <v>14</v>
      </c>
      <c r="B16" s="24">
        <v>0</v>
      </c>
    </row>
    <row r="17" spans="1:2" x14ac:dyDescent="0.2">
      <c r="A17" s="23" t="s">
        <v>47</v>
      </c>
      <c r="B17" s="24">
        <v>0</v>
      </c>
    </row>
    <row r="18" spans="1:2" x14ac:dyDescent="0.2">
      <c r="A18" s="23" t="s">
        <v>48</v>
      </c>
      <c r="B18" s="24">
        <v>0</v>
      </c>
    </row>
    <row r="19" spans="1:2" x14ac:dyDescent="0.2">
      <c r="A19" s="23" t="s">
        <v>9</v>
      </c>
      <c r="B19" s="24">
        <v>28</v>
      </c>
    </row>
    <row r="20" spans="1:2" x14ac:dyDescent="0.2">
      <c r="A20" s="23" t="s">
        <v>10</v>
      </c>
      <c r="B20" s="24">
        <v>265</v>
      </c>
    </row>
    <row r="21" spans="1:2" x14ac:dyDescent="0.2">
      <c r="A21" s="23" t="s">
        <v>49</v>
      </c>
      <c r="B21" s="24">
        <v>1</v>
      </c>
    </row>
  </sheetData>
  <mergeCells count="4">
    <mergeCell ref="A1:A2"/>
    <mergeCell ref="B1:B2"/>
    <mergeCell ref="C2:Q2"/>
    <mergeCell ref="A3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70B2-AE97-AE4E-842F-E16FFC0DF749}">
  <dimension ref="A1:AL2"/>
  <sheetViews>
    <sheetView workbookViewId="0">
      <selection activeCell="B2" sqref="B2"/>
    </sheetView>
  </sheetViews>
  <sheetFormatPr baseColWidth="10" defaultRowHeight="15" x14ac:dyDescent="0.2"/>
  <cols>
    <col min="1" max="1" width="31.6640625" customWidth="1"/>
  </cols>
  <sheetData>
    <row r="1" spans="1:38" ht="16" x14ac:dyDescent="0.2">
      <c r="A1" s="20" t="s">
        <v>40</v>
      </c>
      <c r="B1" s="28">
        <v>2019</v>
      </c>
      <c r="C1" s="28">
        <v>2020</v>
      </c>
      <c r="D1" s="28">
        <v>2021</v>
      </c>
      <c r="E1" s="28">
        <v>2022</v>
      </c>
      <c r="F1" s="28">
        <v>2023</v>
      </c>
      <c r="G1" s="28">
        <v>2024</v>
      </c>
      <c r="H1" s="28">
        <v>2025</v>
      </c>
      <c r="I1" s="28">
        <v>2026</v>
      </c>
      <c r="J1" s="28">
        <v>2027</v>
      </c>
      <c r="K1" s="28">
        <v>2028</v>
      </c>
      <c r="L1" s="28">
        <v>2029</v>
      </c>
      <c r="M1" s="28">
        <v>2030</v>
      </c>
      <c r="N1" s="28">
        <v>2031</v>
      </c>
      <c r="O1" s="28">
        <v>2032</v>
      </c>
      <c r="P1" s="28">
        <v>2033</v>
      </c>
      <c r="Q1" s="28">
        <v>2034</v>
      </c>
      <c r="R1" s="28">
        <v>2035</v>
      </c>
      <c r="S1" s="28">
        <v>2036</v>
      </c>
      <c r="T1" s="28">
        <v>2037</v>
      </c>
      <c r="U1" s="28">
        <v>2038</v>
      </c>
      <c r="V1" s="28">
        <v>2039</v>
      </c>
      <c r="W1" s="28">
        <v>2040</v>
      </c>
      <c r="X1" s="28">
        <v>2041</v>
      </c>
      <c r="Y1" s="28">
        <v>2042</v>
      </c>
      <c r="Z1" s="28">
        <v>2043</v>
      </c>
      <c r="AA1" s="28">
        <v>2044</v>
      </c>
      <c r="AB1" s="28">
        <v>2045</v>
      </c>
      <c r="AC1" s="28">
        <v>2046</v>
      </c>
      <c r="AD1" s="28">
        <v>2047</v>
      </c>
      <c r="AE1" s="28">
        <v>2048</v>
      </c>
      <c r="AF1" s="28">
        <v>2049</v>
      </c>
      <c r="AG1" s="28">
        <v>2050</v>
      </c>
    </row>
    <row r="2" spans="1:38" x14ac:dyDescent="0.2">
      <c r="A2" s="27" t="s">
        <v>50</v>
      </c>
      <c r="B2" s="25">
        <v>0.106</v>
      </c>
      <c r="C2" s="26">
        <v>0.121</v>
      </c>
      <c r="D2" s="25">
        <v>0.14299999999999999</v>
      </c>
      <c r="E2" s="25">
        <v>0.155</v>
      </c>
      <c r="F2" s="25">
        <f>_xlfn.FORECAST.LINEAR(F1,D2:E2,D1:E1)</f>
        <v>0.16700000000000159</v>
      </c>
      <c r="G2" s="25">
        <f t="shared" ref="G2:AG2" si="0">_xlfn.FORECAST.LINEAR(G1,E2:F2,E1:F1)</f>
        <v>0.17900000000000205</v>
      </c>
      <c r="H2" s="25">
        <f t="shared" si="0"/>
        <v>0.1910000000000025</v>
      </c>
      <c r="I2" s="25">
        <f t="shared" si="0"/>
        <v>0.20300000000000296</v>
      </c>
      <c r="J2" s="25">
        <f t="shared" si="0"/>
        <v>0.21500000000000341</v>
      </c>
      <c r="K2" s="25">
        <f t="shared" si="0"/>
        <v>0.22700000000000387</v>
      </c>
      <c r="L2" s="25">
        <f t="shared" si="0"/>
        <v>0.23900000000000432</v>
      </c>
      <c r="M2" s="25">
        <f t="shared" si="0"/>
        <v>0.25100000000000477</v>
      </c>
      <c r="N2" s="25">
        <f t="shared" si="0"/>
        <v>0.26300000000000523</v>
      </c>
      <c r="O2" s="25">
        <f t="shared" si="0"/>
        <v>0.27500000000000568</v>
      </c>
      <c r="P2" s="25">
        <f t="shared" si="0"/>
        <v>0.28700000000000614</v>
      </c>
      <c r="Q2" s="25">
        <f t="shared" si="0"/>
        <v>0.29900000000000659</v>
      </c>
      <c r="R2" s="25">
        <f t="shared" si="0"/>
        <v>0.31100000000000705</v>
      </c>
      <c r="S2" s="25">
        <f t="shared" si="0"/>
        <v>0.3230000000000075</v>
      </c>
      <c r="T2" s="25">
        <f t="shared" si="0"/>
        <v>0.33500000000000796</v>
      </c>
      <c r="U2" s="25">
        <f t="shared" si="0"/>
        <v>0.34700000000000841</v>
      </c>
      <c r="V2" s="25">
        <f t="shared" si="0"/>
        <v>0.35900000000000887</v>
      </c>
      <c r="W2" s="25">
        <f t="shared" si="0"/>
        <v>0.37100000000000932</v>
      </c>
      <c r="X2" s="25">
        <f t="shared" si="0"/>
        <v>0.38300000000000978</v>
      </c>
      <c r="Y2" s="25">
        <f t="shared" si="0"/>
        <v>0.39500000000001023</v>
      </c>
      <c r="Z2" s="25">
        <f t="shared" si="0"/>
        <v>0.40700000000001069</v>
      </c>
      <c r="AA2" s="25">
        <f t="shared" si="0"/>
        <v>0.41900000000001114</v>
      </c>
      <c r="AB2" s="25">
        <f t="shared" si="0"/>
        <v>0.4310000000000116</v>
      </c>
      <c r="AC2" s="25">
        <f t="shared" si="0"/>
        <v>0.44300000000001205</v>
      </c>
      <c r="AD2" s="25">
        <f t="shared" si="0"/>
        <v>0.45500000000001251</v>
      </c>
      <c r="AE2" s="25">
        <f t="shared" si="0"/>
        <v>0.46700000000001296</v>
      </c>
      <c r="AF2" s="25">
        <f t="shared" si="0"/>
        <v>0.47900000000001342</v>
      </c>
      <c r="AG2" s="25">
        <f t="shared" si="0"/>
        <v>0.49100000000001387</v>
      </c>
      <c r="AH2" s="25"/>
      <c r="AI2" s="25"/>
      <c r="AJ2" s="25"/>
      <c r="AK2" s="25"/>
      <c r="AL2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F1000"/>
  <sheetViews>
    <sheetView workbookViewId="0">
      <selection activeCell="F33" sqref="F33"/>
    </sheetView>
  </sheetViews>
  <sheetFormatPr baseColWidth="10" defaultColWidth="14.5" defaultRowHeight="15" customHeight="1" x14ac:dyDescent="0.2"/>
  <cols>
    <col min="1" max="1" width="16.6640625" customWidth="1"/>
    <col min="2" max="17" width="11.33203125" customWidth="1"/>
    <col min="18" max="32" width="8.6640625" customWidth="1"/>
  </cols>
  <sheetData>
    <row r="1" spans="1:32" ht="14.25" customHeight="1" x14ac:dyDescent="0.2">
      <c r="A1" s="2" t="s">
        <v>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ht="14.25" customHeight="1" x14ac:dyDescent="0.2">
      <c r="A2" s="5" t="s">
        <v>15</v>
      </c>
      <c r="B2" s="6">
        <f>(UNFCCC!$C$5+UNFCCC!$C$5*'Growth Rate'!C2)/UNFCCC!$B10</f>
        <v>179849215935090</v>
      </c>
      <c r="C2" s="6">
        <f>(UNFCCC!$C$5+UNFCCC!$C$5*'Growth Rate'!D2)/UNFCCC!$B10</f>
        <v>183378816961470</v>
      </c>
      <c r="D2" s="6">
        <f>(UNFCCC!$C$5+UNFCCC!$C$5*'Growth Rate'!E2)/UNFCCC!$B10</f>
        <v>185304053884950</v>
      </c>
      <c r="E2" s="6">
        <f>(UNFCCC!$C$5+UNFCCC!$C$5*'Growth Rate'!F2)/UNFCCC!$B10</f>
        <v>187229290808430.25</v>
      </c>
      <c r="F2" s="6">
        <f>(UNFCCC!$C$5+UNFCCC!$C$5*'Growth Rate'!G2)/UNFCCC!$B10</f>
        <v>189154527731910.31</v>
      </c>
      <c r="G2" s="6">
        <f>(UNFCCC!$C$5+UNFCCC!$C$5*'Growth Rate'!H2)/UNFCCC!$B10</f>
        <v>191079764655390.41</v>
      </c>
      <c r="H2" s="6">
        <f>(UNFCCC!$C$5+UNFCCC!$C$5*'Growth Rate'!I2)/UNFCCC!$B10</f>
        <v>193005001578870.47</v>
      </c>
      <c r="I2" s="6">
        <f>(UNFCCC!$C$5+UNFCCC!$C$5*'Growth Rate'!J2)/UNFCCC!$B10</f>
        <v>194930238502350.56</v>
      </c>
      <c r="J2" s="6">
        <f>(UNFCCC!$C$5+UNFCCC!$C$5*'Growth Rate'!K2)/UNFCCC!$B10</f>
        <v>196855475425830.62</v>
      </c>
      <c r="K2" s="6">
        <f>(UNFCCC!$C$5+UNFCCC!$C$5*'Growth Rate'!L2)/UNFCCC!$B10</f>
        <v>198780712349310.69</v>
      </c>
      <c r="L2" s="6">
        <f>(UNFCCC!$C$5+UNFCCC!$C$5*'Growth Rate'!M2)/UNFCCC!$B10</f>
        <v>200705949272790.75</v>
      </c>
      <c r="M2" s="6">
        <f>(UNFCCC!$C$5+UNFCCC!$C$5*'Growth Rate'!N2)/UNFCCC!$B10</f>
        <v>202631186196270.84</v>
      </c>
      <c r="N2" s="6">
        <f>(UNFCCC!$C$5+UNFCCC!$C$5*'Growth Rate'!O2)/UNFCCC!$B10</f>
        <v>204556423119750.91</v>
      </c>
      <c r="O2" s="6">
        <f>(UNFCCC!$C$5+UNFCCC!$C$5*'Growth Rate'!P2)/UNFCCC!$B10</f>
        <v>206481660043231</v>
      </c>
      <c r="P2" s="6">
        <f>(UNFCCC!$C$5+UNFCCC!$C$5*'Growth Rate'!Q2)/UNFCCC!$B10</f>
        <v>208406896966711.06</v>
      </c>
      <c r="Q2" s="6">
        <f>(UNFCCC!$C$5+UNFCCC!$C$5*'Growth Rate'!R2)/UNFCCC!$B10</f>
        <v>210332133890191.12</v>
      </c>
      <c r="R2" s="6">
        <f>(UNFCCC!$C$5+UNFCCC!$C$5*'Growth Rate'!S2)/UNFCCC!$B10</f>
        <v>212257370813671.19</v>
      </c>
      <c r="S2" s="6">
        <f>(UNFCCC!$C$5+UNFCCC!$C$5*'Growth Rate'!T2)/UNFCCC!$B10</f>
        <v>214182607737151.28</v>
      </c>
      <c r="T2" s="6">
        <f>(UNFCCC!$C$5+UNFCCC!$C$5*'Growth Rate'!U2)/UNFCCC!$B10</f>
        <v>216107844660631.34</v>
      </c>
      <c r="U2" s="6">
        <f>(UNFCCC!$C$5+UNFCCC!$C$5*'Growth Rate'!V2)/UNFCCC!$B10</f>
        <v>218033081584111.44</v>
      </c>
      <c r="V2" s="6">
        <f>(UNFCCC!$C$5+UNFCCC!$C$5*'Growth Rate'!W2)/UNFCCC!$B10</f>
        <v>219958318507591.5</v>
      </c>
      <c r="W2" s="6">
        <f>(UNFCCC!$C$5+UNFCCC!$C$5*'Growth Rate'!X2)/UNFCCC!$B10</f>
        <v>221883555431071.56</v>
      </c>
      <c r="X2" s="6">
        <f>(UNFCCC!$C$5+UNFCCC!$C$5*'Growth Rate'!Y2)/UNFCCC!$B10</f>
        <v>223808792354551.62</v>
      </c>
      <c r="Y2" s="6">
        <f>(UNFCCC!$C$5+UNFCCC!$C$5*'Growth Rate'!Z2)/UNFCCC!$B10</f>
        <v>225734029278031.72</v>
      </c>
      <c r="Z2" s="6">
        <f>(UNFCCC!$C$5+UNFCCC!$C$5*'Growth Rate'!AA2)/UNFCCC!$B10</f>
        <v>227659266201511.78</v>
      </c>
      <c r="AA2" s="6">
        <f>(UNFCCC!$C$5+UNFCCC!$C$5*'Growth Rate'!AB2)/UNFCCC!$B10</f>
        <v>229584503124991.88</v>
      </c>
      <c r="AB2" s="6">
        <f>(UNFCCC!$C$5+UNFCCC!$C$5*'Growth Rate'!AC2)/UNFCCC!$B10</f>
        <v>231509740048471.94</v>
      </c>
      <c r="AC2" s="6">
        <f>(UNFCCC!$C$5+UNFCCC!$C$5*'Growth Rate'!AD2)/UNFCCC!$B10</f>
        <v>233434976971952</v>
      </c>
      <c r="AD2" s="6">
        <f>(UNFCCC!$C$5+UNFCCC!$C$5*'Growth Rate'!AE2)/UNFCCC!$B10</f>
        <v>235360213895432.06</v>
      </c>
      <c r="AE2" s="6">
        <f>(UNFCCC!$C$5+UNFCCC!$C$5*'Growth Rate'!AF2)/UNFCCC!$B10</f>
        <v>237285450818912.16</v>
      </c>
      <c r="AF2" s="6">
        <f>(UNFCCC!$C$5+UNFCCC!$C$5*'Growth Rate'!AG2)/UNFCCC!$B10</f>
        <v>239210687742392.22</v>
      </c>
    </row>
    <row r="3" spans="1:32" ht="14.25" customHeight="1" x14ac:dyDescent="0.2">
      <c r="A3" s="5" t="s">
        <v>16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 ht="14.25" customHeight="1" x14ac:dyDescent="0.2">
      <c r="A4" s="5" t="s">
        <v>17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</row>
    <row r="5" spans="1:32" ht="14.25" customHeight="1" x14ac:dyDescent="0.2">
      <c r="A5" s="5" t="s">
        <v>18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</row>
    <row r="6" spans="1:32" ht="14.25" customHeight="1" x14ac:dyDescent="0.2">
      <c r="A6" s="5" t="s">
        <v>19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 ht="14.25" customHeight="1" x14ac:dyDescent="0.2">
      <c r="A7" s="5" t="s">
        <v>20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 ht="14.25" customHeight="1" x14ac:dyDescent="0.2">
      <c r="A8" s="5" t="s">
        <v>21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</row>
    <row r="9" spans="1:32" ht="14.25" customHeight="1" x14ac:dyDescent="0.2">
      <c r="A9" s="5" t="s">
        <v>22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</row>
    <row r="10" spans="1:32" ht="14.25" customHeight="1" x14ac:dyDescent="0.2">
      <c r="A10" s="5" t="s">
        <v>23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</row>
    <row r="11" spans="1:32" ht="14.25" customHeight="1" x14ac:dyDescent="0.2">
      <c r="A11" s="5" t="s">
        <v>24</v>
      </c>
      <c r="B11" s="6">
        <f>(UNFCCC!$D$5+UNFCCC!$D$5*'Growth Rate'!C2)/UNFCCC!$B19</f>
        <v>2784003500000</v>
      </c>
      <c r="C11" s="6">
        <f>(UNFCCC!$D$5+UNFCCC!$D$5*'Growth Rate'!D2)/UNFCCC!$B19</f>
        <v>2838640500000</v>
      </c>
      <c r="D11" s="6">
        <f>(UNFCCC!$D$5+UNFCCC!$D$5*'Growth Rate'!E2)/UNFCCC!$B19</f>
        <v>2868442500000</v>
      </c>
      <c r="E11" s="6">
        <f>(UNFCCC!$D$5+UNFCCC!$D$5*'Growth Rate'!F2)/UNFCCC!$B19</f>
        <v>2898244500000.0039</v>
      </c>
      <c r="F11" s="6">
        <f>(UNFCCC!$D$5+UNFCCC!$D$5*'Growth Rate'!G2)/UNFCCC!$B19</f>
        <v>2928046500000.0049</v>
      </c>
      <c r="G11" s="6">
        <f>(UNFCCC!$D$5+UNFCCC!$D$5*'Growth Rate'!H2)/UNFCCC!$B19</f>
        <v>2957848500000.0063</v>
      </c>
      <c r="H11" s="6">
        <f>(UNFCCC!$D$5+UNFCCC!$D$5*'Growth Rate'!I2)/UNFCCC!$B19</f>
        <v>2987650500000.0073</v>
      </c>
      <c r="I11" s="6">
        <f>(UNFCCC!$D$5+UNFCCC!$D$5*'Growth Rate'!J2)/UNFCCC!$B19</f>
        <v>3017452500000.0083</v>
      </c>
      <c r="J11" s="6">
        <f>(UNFCCC!$D$5+UNFCCC!$D$5*'Growth Rate'!K2)/UNFCCC!$B19</f>
        <v>3047254500000.0093</v>
      </c>
      <c r="K11" s="6">
        <f>(UNFCCC!$D$5+UNFCCC!$D$5*'Growth Rate'!L2)/UNFCCC!$B19</f>
        <v>3077056500000.0107</v>
      </c>
      <c r="L11" s="6">
        <f>(UNFCCC!$D$5+UNFCCC!$D$5*'Growth Rate'!M2)/UNFCCC!$B19</f>
        <v>3106858500000.0117</v>
      </c>
      <c r="M11" s="6">
        <f>(UNFCCC!$D$5+UNFCCC!$D$5*'Growth Rate'!N2)/UNFCCC!$B19</f>
        <v>3136660500000.0127</v>
      </c>
      <c r="N11" s="6">
        <f>(UNFCCC!$D$5+UNFCCC!$D$5*'Growth Rate'!O2)/UNFCCC!$B19</f>
        <v>3166462500000.0142</v>
      </c>
      <c r="O11" s="6">
        <f>(UNFCCC!$D$5+UNFCCC!$D$5*'Growth Rate'!P2)/UNFCCC!$B19</f>
        <v>3196264500000.0151</v>
      </c>
      <c r="P11" s="6">
        <f>(UNFCCC!$D$5+UNFCCC!$D$5*'Growth Rate'!Q2)/UNFCCC!$B19</f>
        <v>3226066500000.0161</v>
      </c>
      <c r="Q11" s="6">
        <f>(UNFCCC!$D$5+UNFCCC!$D$5*'Growth Rate'!R2)/UNFCCC!$B19</f>
        <v>3255868500000.0171</v>
      </c>
      <c r="R11" s="6">
        <f>(UNFCCC!$D$5+UNFCCC!$D$5*'Growth Rate'!S2)/UNFCCC!$B19</f>
        <v>3285670500000.019</v>
      </c>
      <c r="S11" s="6">
        <f>(UNFCCC!$D$5+UNFCCC!$D$5*'Growth Rate'!T2)/UNFCCC!$B19</f>
        <v>3315472500000.02</v>
      </c>
      <c r="T11" s="6">
        <f>(UNFCCC!$D$5+UNFCCC!$D$5*'Growth Rate'!U2)/UNFCCC!$B19</f>
        <v>3345274500000.021</v>
      </c>
      <c r="U11" s="6">
        <f>(UNFCCC!$D$5+UNFCCC!$D$5*'Growth Rate'!V2)/UNFCCC!$B19</f>
        <v>3375076500000.0225</v>
      </c>
      <c r="V11" s="6">
        <f>(UNFCCC!$D$5+UNFCCC!$D$5*'Growth Rate'!W2)/UNFCCC!$B19</f>
        <v>3404878500000.0234</v>
      </c>
      <c r="W11" s="6">
        <f>(UNFCCC!$D$5+UNFCCC!$D$5*'Growth Rate'!X2)/UNFCCC!$B19</f>
        <v>3434680500000.0244</v>
      </c>
      <c r="X11" s="6">
        <f>(UNFCCC!$D$5+UNFCCC!$D$5*'Growth Rate'!Y2)/UNFCCC!$B19</f>
        <v>3464482500000.0259</v>
      </c>
      <c r="Y11" s="6">
        <f>(UNFCCC!$D$5+UNFCCC!$D$5*'Growth Rate'!Z2)/UNFCCC!$B19</f>
        <v>3494284500000.0269</v>
      </c>
      <c r="Z11" s="6">
        <f>(UNFCCC!$D$5+UNFCCC!$D$5*'Growth Rate'!AA2)/UNFCCC!$B19</f>
        <v>3524086500000.0278</v>
      </c>
      <c r="AA11" s="6">
        <f>(UNFCCC!$D$5+UNFCCC!$D$5*'Growth Rate'!AB2)/UNFCCC!$B19</f>
        <v>3553888500000.0288</v>
      </c>
      <c r="AB11" s="6">
        <f>(UNFCCC!$D$5+UNFCCC!$D$5*'Growth Rate'!AC2)/UNFCCC!$B19</f>
        <v>3583690500000.0303</v>
      </c>
      <c r="AC11" s="6">
        <f>(UNFCCC!$D$5+UNFCCC!$D$5*'Growth Rate'!AD2)/UNFCCC!$B19</f>
        <v>3613492500000.0312</v>
      </c>
      <c r="AD11" s="6">
        <f>(UNFCCC!$D$5+UNFCCC!$D$5*'Growth Rate'!AE2)/UNFCCC!$B19</f>
        <v>3643294500000.0322</v>
      </c>
      <c r="AE11" s="6">
        <f>(UNFCCC!$D$5+UNFCCC!$D$5*'Growth Rate'!AF2)/UNFCCC!$B19</f>
        <v>3673096500000.0337</v>
      </c>
      <c r="AF11" s="6">
        <f>(UNFCCC!$D$5+UNFCCC!$D$5*'Growth Rate'!AG2)/UNFCCC!$B19</f>
        <v>3702898500000.0347</v>
      </c>
    </row>
    <row r="12" spans="1:32" ht="14.25" customHeight="1" x14ac:dyDescent="0.2">
      <c r="A12" s="5" t="s">
        <v>25</v>
      </c>
      <c r="B12" s="6">
        <f>(UNFCCC!$E$5+UNFCCC!$E$5*'Growth Rate'!C2)/UNFCCC!$B20</f>
        <v>184728109433.96225</v>
      </c>
      <c r="C12" s="6">
        <f>(UNFCCC!$E$5+UNFCCC!$E$5*'Growth Rate'!D2)/UNFCCC!$B20</f>
        <v>188353460377.35849</v>
      </c>
      <c r="D12" s="6">
        <f>(UNFCCC!$E$5+UNFCCC!$E$5*'Growth Rate'!E2)/UNFCCC!$B20</f>
        <v>190330924528.30188</v>
      </c>
      <c r="E12" s="6">
        <f>(UNFCCC!$E$5+UNFCCC!$E$5*'Growth Rate'!F2)/UNFCCC!$B20</f>
        <v>192308388679.24554</v>
      </c>
      <c r="F12" s="6">
        <f>(UNFCCC!$E$5+UNFCCC!$E$5*'Growth Rate'!G2)/UNFCCC!$B20</f>
        <v>194285852830.18903</v>
      </c>
      <c r="G12" s="6">
        <f>(UNFCCC!$E$5+UNFCCC!$E$5*'Growth Rate'!H2)/UNFCCC!$B20</f>
        <v>196263316981.13248</v>
      </c>
      <c r="H12" s="6">
        <f>(UNFCCC!$E$5+UNFCCC!$E$5*'Growth Rate'!I2)/UNFCCC!$B20</f>
        <v>198240781132.07596</v>
      </c>
      <c r="I12" s="6">
        <f>(UNFCCC!$E$5+UNFCCC!$E$5*'Growth Rate'!J2)/UNFCCC!$B20</f>
        <v>200218245283.01944</v>
      </c>
      <c r="J12" s="6">
        <f>(UNFCCC!$E$5+UNFCCC!$E$5*'Growth Rate'!K2)/UNFCCC!$B20</f>
        <v>202195709433.96292</v>
      </c>
      <c r="K12" s="6">
        <f>(UNFCCC!$E$5+UNFCCC!$E$5*'Growth Rate'!L2)/UNFCCC!$B20</f>
        <v>204173173584.90637</v>
      </c>
      <c r="L12" s="6">
        <f>(UNFCCC!$E$5+UNFCCC!$E$5*'Growth Rate'!M2)/UNFCCC!$B20</f>
        <v>206150637735.84985</v>
      </c>
      <c r="M12" s="6">
        <f>(UNFCCC!$E$5+UNFCCC!$E$5*'Growth Rate'!N2)/UNFCCC!$B20</f>
        <v>208128101886.7933</v>
      </c>
      <c r="N12" s="6">
        <f>(UNFCCC!$E$5+UNFCCC!$E$5*'Growth Rate'!O2)/UNFCCC!$B20</f>
        <v>210105566037.73679</v>
      </c>
      <c r="O12" s="6">
        <f>(UNFCCC!$E$5+UNFCCC!$E$5*'Growth Rate'!P2)/UNFCCC!$B20</f>
        <v>212083030188.68024</v>
      </c>
      <c r="P12" s="6">
        <f>(UNFCCC!$E$5+UNFCCC!$E$5*'Growth Rate'!Q2)/UNFCCC!$B20</f>
        <v>214060494339.62372</v>
      </c>
      <c r="Q12" s="6">
        <f>(UNFCCC!$E$5+UNFCCC!$E$5*'Growth Rate'!R2)/UNFCCC!$B20</f>
        <v>216037958490.56723</v>
      </c>
      <c r="R12" s="6">
        <f>(UNFCCC!$E$5+UNFCCC!$E$5*'Growth Rate'!S2)/UNFCCC!$B20</f>
        <v>218015422641.51068</v>
      </c>
      <c r="S12" s="6">
        <f>(UNFCCC!$E$5+UNFCCC!$E$5*'Growth Rate'!T2)/UNFCCC!$B20</f>
        <v>219992886792.45413</v>
      </c>
      <c r="T12" s="6">
        <f>(UNFCCC!$E$5+UNFCCC!$E$5*'Growth Rate'!U2)/UNFCCC!$B20</f>
        <v>221970350943.39761</v>
      </c>
      <c r="U12" s="6">
        <f>(UNFCCC!$E$5+UNFCCC!$E$5*'Growth Rate'!V2)/UNFCCC!$B20</f>
        <v>223947815094.34109</v>
      </c>
      <c r="V12" s="6">
        <f>(UNFCCC!$E$5+UNFCCC!$E$5*'Growth Rate'!W2)/UNFCCC!$B20</f>
        <v>225925279245.28455</v>
      </c>
      <c r="W12" s="6">
        <f>(UNFCCC!$E$5+UNFCCC!$E$5*'Growth Rate'!X2)/UNFCCC!$B20</f>
        <v>227902743396.22803</v>
      </c>
      <c r="X12" s="6">
        <f>(UNFCCC!$E$5+UNFCCC!$E$5*'Growth Rate'!Y2)/UNFCCC!$B20</f>
        <v>229880207547.17148</v>
      </c>
      <c r="Y12" s="6">
        <f>(UNFCCC!$E$5+UNFCCC!$E$5*'Growth Rate'!Z2)/UNFCCC!$B20</f>
        <v>231857671698.11499</v>
      </c>
      <c r="Z12" s="6">
        <f>(UNFCCC!$E$5+UNFCCC!$E$5*'Growth Rate'!AA2)/UNFCCC!$B20</f>
        <v>233835135849.05844</v>
      </c>
      <c r="AA12" s="6">
        <f>(UNFCCC!$E$5+UNFCCC!$E$5*'Growth Rate'!AB2)/UNFCCC!$B20</f>
        <v>235812600000.00192</v>
      </c>
      <c r="AB12" s="6">
        <f>(UNFCCC!$E$5+UNFCCC!$E$5*'Growth Rate'!AC2)/UNFCCC!$B20</f>
        <v>237790064150.9454</v>
      </c>
      <c r="AC12" s="6">
        <f>(UNFCCC!$E$5+UNFCCC!$E$5*'Growth Rate'!AD2)/UNFCCC!$B20</f>
        <v>239767528301.88885</v>
      </c>
      <c r="AD12" s="6">
        <f>(UNFCCC!$E$5+UNFCCC!$E$5*'Growth Rate'!AE2)/UNFCCC!$B20</f>
        <v>241744992452.83231</v>
      </c>
      <c r="AE12" s="6">
        <f>(UNFCCC!$E$5+UNFCCC!$E$5*'Growth Rate'!AF2)/UNFCCC!$B20</f>
        <v>243722456603.77579</v>
      </c>
      <c r="AF12" s="6">
        <f>(UNFCCC!$E$5+UNFCCC!$E$5*'Growth Rate'!AG2)/UNFCCC!$B20</f>
        <v>245699920754.71927</v>
      </c>
    </row>
    <row r="13" spans="1:32" ht="14.25" customHeight="1" x14ac:dyDescent="0.2">
      <c r="A13" s="5" t="s">
        <v>26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1:32" ht="14.25" customHeight="1" x14ac:dyDescent="0.2"/>
    <row r="15" spans="1:32" ht="14.25" customHeight="1" x14ac:dyDescent="0.2">
      <c r="A15" s="5"/>
    </row>
    <row r="16" spans="1:32" ht="14.25" customHeight="1" x14ac:dyDescent="0.2"/>
    <row r="17" spans="1:32" ht="14.25" customHeight="1" x14ac:dyDescent="0.2"/>
    <row r="18" spans="1:32" ht="14.25" customHeight="1" x14ac:dyDescent="0.2">
      <c r="A18" s="2" t="s">
        <v>60</v>
      </c>
      <c r="B18" s="33">
        <f>SUM(B2:B13)</f>
        <v>182817947544523.97</v>
      </c>
      <c r="C18" s="33">
        <f t="shared" ref="C18:AF18" si="0">SUM(C2:C13)</f>
        <v>186405810921847.34</v>
      </c>
      <c r="D18" s="33">
        <f t="shared" si="0"/>
        <v>188362827309478.31</v>
      </c>
      <c r="E18" s="33">
        <f t="shared" si="0"/>
        <v>190319843697109.5</v>
      </c>
      <c r="F18" s="33">
        <f t="shared" si="0"/>
        <v>192276860084740.5</v>
      </c>
      <c r="G18" s="33">
        <f t="shared" si="0"/>
        <v>194233876472371.53</v>
      </c>
      <c r="H18" s="33">
        <f t="shared" si="0"/>
        <v>196190892860002.53</v>
      </c>
      <c r="I18" s="33">
        <f t="shared" si="0"/>
        <v>198147909247633.59</v>
      </c>
      <c r="J18" s="33">
        <f t="shared" si="0"/>
        <v>200104925635264.59</v>
      </c>
      <c r="K18" s="33">
        <f t="shared" si="0"/>
        <v>202061942022895.59</v>
      </c>
      <c r="L18" s="33">
        <f t="shared" si="0"/>
        <v>204018958410526.59</v>
      </c>
      <c r="M18" s="33">
        <f t="shared" si="0"/>
        <v>205975974798157.62</v>
      </c>
      <c r="N18" s="33">
        <f t="shared" si="0"/>
        <v>207932991185788.66</v>
      </c>
      <c r="O18" s="33">
        <f t="shared" si="0"/>
        <v>209890007573419.69</v>
      </c>
      <c r="P18" s="33">
        <f t="shared" si="0"/>
        <v>211847023961050.72</v>
      </c>
      <c r="Q18" s="33">
        <f t="shared" si="0"/>
        <v>213804040348681.72</v>
      </c>
      <c r="R18" s="33">
        <f t="shared" si="0"/>
        <v>215761056736312.72</v>
      </c>
      <c r="S18" s="33">
        <f t="shared" si="0"/>
        <v>217718073123943.78</v>
      </c>
      <c r="T18" s="33">
        <f t="shared" si="0"/>
        <v>219675089511574.78</v>
      </c>
      <c r="U18" s="33">
        <f t="shared" si="0"/>
        <v>221632105899205.81</v>
      </c>
      <c r="V18" s="33">
        <f t="shared" si="0"/>
        <v>223589122286836.81</v>
      </c>
      <c r="W18" s="33">
        <f t="shared" si="0"/>
        <v>225546138674467.81</v>
      </c>
      <c r="X18" s="33">
        <f t="shared" si="0"/>
        <v>227503155062098.81</v>
      </c>
      <c r="Y18" s="33">
        <f t="shared" si="0"/>
        <v>229460171449729.88</v>
      </c>
      <c r="Z18" s="33">
        <f t="shared" si="0"/>
        <v>231417187837360.88</v>
      </c>
      <c r="AA18" s="33">
        <f t="shared" si="0"/>
        <v>233374204224991.91</v>
      </c>
      <c r="AB18" s="33">
        <f t="shared" si="0"/>
        <v>235331220612622.91</v>
      </c>
      <c r="AC18" s="33">
        <f t="shared" si="0"/>
        <v>237288237000253.91</v>
      </c>
      <c r="AD18" s="33">
        <f t="shared" si="0"/>
        <v>239245253387884.94</v>
      </c>
      <c r="AE18" s="33">
        <f t="shared" si="0"/>
        <v>241202269775515.97</v>
      </c>
      <c r="AF18" s="33">
        <f t="shared" si="0"/>
        <v>243159286163146.97</v>
      </c>
    </row>
    <row r="19" spans="1:32" ht="14.25" customHeight="1" x14ac:dyDescent="0.2">
      <c r="A19" s="5" t="s">
        <v>61</v>
      </c>
      <c r="B19">
        <f>B2/B18</f>
        <v>0.98376126824905441</v>
      </c>
      <c r="C19">
        <f t="shared" ref="C19:AF19" si="1">C2/C18</f>
        <v>0.98376126824905452</v>
      </c>
      <c r="D19">
        <f t="shared" si="1"/>
        <v>0.98376126824905441</v>
      </c>
      <c r="E19">
        <f t="shared" si="1"/>
        <v>0.98376126824905441</v>
      </c>
      <c r="F19">
        <f t="shared" si="1"/>
        <v>0.98376126824905452</v>
      </c>
      <c r="G19">
        <f t="shared" si="1"/>
        <v>0.98376126824905452</v>
      </c>
      <c r="H19">
        <f t="shared" si="1"/>
        <v>0.98376126824905452</v>
      </c>
      <c r="I19">
        <f t="shared" si="1"/>
        <v>0.98376126824905441</v>
      </c>
      <c r="J19">
        <f t="shared" si="1"/>
        <v>0.98376126824905441</v>
      </c>
      <c r="K19">
        <f t="shared" si="1"/>
        <v>0.98376126824905452</v>
      </c>
      <c r="L19">
        <f t="shared" si="1"/>
        <v>0.98376126824905452</v>
      </c>
      <c r="M19">
        <f t="shared" si="1"/>
        <v>0.98376126824905452</v>
      </c>
      <c r="N19">
        <f t="shared" si="1"/>
        <v>0.98376126824905441</v>
      </c>
      <c r="O19">
        <f t="shared" si="1"/>
        <v>0.98376126824905452</v>
      </c>
      <c r="P19">
        <f t="shared" si="1"/>
        <v>0.98376126824905441</v>
      </c>
      <c r="Q19">
        <f t="shared" si="1"/>
        <v>0.98376126824905441</v>
      </c>
      <c r="R19">
        <f t="shared" si="1"/>
        <v>0.98376126824905441</v>
      </c>
      <c r="S19">
        <f t="shared" si="1"/>
        <v>0.9837612682490543</v>
      </c>
      <c r="T19">
        <f t="shared" si="1"/>
        <v>0.9837612682490543</v>
      </c>
      <c r="U19">
        <f t="shared" si="1"/>
        <v>0.98376126824905441</v>
      </c>
      <c r="V19">
        <f t="shared" si="1"/>
        <v>0.98376126824905441</v>
      </c>
      <c r="W19">
        <f t="shared" si="1"/>
        <v>0.98376126824905441</v>
      </c>
      <c r="X19">
        <f t="shared" si="1"/>
        <v>0.98376126824905452</v>
      </c>
      <c r="Y19">
        <f t="shared" si="1"/>
        <v>0.98376126824905441</v>
      </c>
      <c r="Z19">
        <f t="shared" si="1"/>
        <v>0.98376126824905441</v>
      </c>
      <c r="AA19">
        <f t="shared" si="1"/>
        <v>0.98376126824905441</v>
      </c>
      <c r="AB19">
        <f t="shared" si="1"/>
        <v>0.98376126824905441</v>
      </c>
      <c r="AC19">
        <f t="shared" si="1"/>
        <v>0.98376126824905452</v>
      </c>
      <c r="AD19">
        <f t="shared" si="1"/>
        <v>0.98376126824905441</v>
      </c>
      <c r="AE19">
        <f t="shared" si="1"/>
        <v>0.98376126824905441</v>
      </c>
      <c r="AF19">
        <f t="shared" si="1"/>
        <v>0.98376126824905441</v>
      </c>
    </row>
    <row r="20" spans="1:32" ht="14.25" customHeight="1" x14ac:dyDescent="0.2">
      <c r="A20" s="5" t="s">
        <v>62</v>
      </c>
      <c r="B20">
        <f>B11/B18</f>
        <v>1.5228283313496759E-2</v>
      </c>
      <c r="C20">
        <f t="shared" ref="C20:AF20" si="2">C11/C18</f>
        <v>1.522828331349676E-2</v>
      </c>
      <c r="D20">
        <f t="shared" si="2"/>
        <v>1.5228283313496759E-2</v>
      </c>
      <c r="E20">
        <f t="shared" si="2"/>
        <v>1.5228283313496759E-2</v>
      </c>
      <c r="F20">
        <f t="shared" si="2"/>
        <v>1.522828331349676E-2</v>
      </c>
      <c r="G20">
        <f t="shared" si="2"/>
        <v>1.522828331349676E-2</v>
      </c>
      <c r="H20">
        <f t="shared" si="2"/>
        <v>1.522828331349676E-2</v>
      </c>
      <c r="I20">
        <f t="shared" si="2"/>
        <v>1.5228283313496757E-2</v>
      </c>
      <c r="J20">
        <f t="shared" si="2"/>
        <v>1.5228283313496757E-2</v>
      </c>
      <c r="K20">
        <f t="shared" si="2"/>
        <v>1.522828331349676E-2</v>
      </c>
      <c r="L20">
        <f t="shared" si="2"/>
        <v>1.522828331349676E-2</v>
      </c>
      <c r="M20">
        <f t="shared" si="2"/>
        <v>1.5228283313496759E-2</v>
      </c>
      <c r="N20">
        <f t="shared" si="2"/>
        <v>1.522828331349676E-2</v>
      </c>
      <c r="O20">
        <f t="shared" si="2"/>
        <v>1.5228283313496759E-2</v>
      </c>
      <c r="P20">
        <f t="shared" si="2"/>
        <v>1.5228283313496757E-2</v>
      </c>
      <c r="Q20">
        <f t="shared" si="2"/>
        <v>1.5228283313496757E-2</v>
      </c>
      <c r="R20">
        <f t="shared" si="2"/>
        <v>1.5228283313496762E-2</v>
      </c>
      <c r="S20">
        <f t="shared" si="2"/>
        <v>1.5228283313496759E-2</v>
      </c>
      <c r="T20">
        <f t="shared" si="2"/>
        <v>1.5228283313496759E-2</v>
      </c>
      <c r="U20">
        <f t="shared" si="2"/>
        <v>1.5228283313496759E-2</v>
      </c>
      <c r="V20">
        <f t="shared" si="2"/>
        <v>1.522828331349676E-2</v>
      </c>
      <c r="W20">
        <f t="shared" si="2"/>
        <v>1.522828331349676E-2</v>
      </c>
      <c r="X20">
        <f t="shared" si="2"/>
        <v>1.5228283313496762E-2</v>
      </c>
      <c r="Y20">
        <f t="shared" si="2"/>
        <v>1.5228283313496759E-2</v>
      </c>
      <c r="Z20">
        <f t="shared" si="2"/>
        <v>1.522828331349676E-2</v>
      </c>
      <c r="AA20">
        <f t="shared" si="2"/>
        <v>1.5228283313496759E-2</v>
      </c>
      <c r="AB20">
        <f t="shared" si="2"/>
        <v>1.522828331349676E-2</v>
      </c>
      <c r="AC20">
        <f t="shared" si="2"/>
        <v>1.522828331349676E-2</v>
      </c>
      <c r="AD20">
        <f t="shared" si="2"/>
        <v>1.5228283313496759E-2</v>
      </c>
      <c r="AE20">
        <f t="shared" si="2"/>
        <v>1.522828331349676E-2</v>
      </c>
      <c r="AF20">
        <f t="shared" si="2"/>
        <v>1.522828331349676E-2</v>
      </c>
    </row>
    <row r="21" spans="1:32" ht="14.25" customHeight="1" x14ac:dyDescent="0.2">
      <c r="A21" s="5" t="s">
        <v>63</v>
      </c>
      <c r="B21">
        <f>B12/B18</f>
        <v>1.0104484374488072E-3</v>
      </c>
      <c r="C21">
        <f t="shared" ref="C21:AF21" si="3">C12/C18</f>
        <v>1.0104484374488074E-3</v>
      </c>
      <c r="D21">
        <f t="shared" si="3"/>
        <v>1.0104484374488072E-3</v>
      </c>
      <c r="E21">
        <f t="shared" si="3"/>
        <v>1.0104484374488074E-3</v>
      </c>
      <c r="F21">
        <f t="shared" si="3"/>
        <v>1.0104484374488076E-3</v>
      </c>
      <c r="G21">
        <f t="shared" si="3"/>
        <v>1.0104484374488074E-3</v>
      </c>
      <c r="H21">
        <f t="shared" si="3"/>
        <v>1.0104484374488074E-3</v>
      </c>
      <c r="I21">
        <f t="shared" si="3"/>
        <v>1.0104484374488074E-3</v>
      </c>
      <c r="J21">
        <f t="shared" si="3"/>
        <v>1.0104484374488074E-3</v>
      </c>
      <c r="K21">
        <f t="shared" si="3"/>
        <v>1.0104484374488074E-3</v>
      </c>
      <c r="L21">
        <f t="shared" si="3"/>
        <v>1.0104484374488076E-3</v>
      </c>
      <c r="M21">
        <f t="shared" si="3"/>
        <v>1.0104484374488074E-3</v>
      </c>
      <c r="N21">
        <f t="shared" si="3"/>
        <v>1.0104484374488074E-3</v>
      </c>
      <c r="O21">
        <f t="shared" si="3"/>
        <v>1.0104484374488072E-3</v>
      </c>
      <c r="P21">
        <f t="shared" si="3"/>
        <v>1.0104484374488072E-3</v>
      </c>
      <c r="Q21">
        <f t="shared" si="3"/>
        <v>1.0104484374488074E-3</v>
      </c>
      <c r="R21">
        <f t="shared" si="3"/>
        <v>1.0104484374488074E-3</v>
      </c>
      <c r="S21">
        <f t="shared" si="3"/>
        <v>1.0104484374488072E-3</v>
      </c>
      <c r="T21">
        <f t="shared" si="3"/>
        <v>1.0104484374488074E-3</v>
      </c>
      <c r="U21">
        <f t="shared" si="3"/>
        <v>1.0104484374488074E-3</v>
      </c>
      <c r="V21">
        <f t="shared" si="3"/>
        <v>1.0104484374488074E-3</v>
      </c>
      <c r="W21">
        <f t="shared" si="3"/>
        <v>1.0104484374488074E-3</v>
      </c>
      <c r="X21">
        <f t="shared" si="3"/>
        <v>1.0104484374488074E-3</v>
      </c>
      <c r="Y21">
        <f t="shared" si="3"/>
        <v>1.0104484374488074E-3</v>
      </c>
      <c r="Z21">
        <f t="shared" si="3"/>
        <v>1.0104484374488074E-3</v>
      </c>
      <c r="AA21">
        <f t="shared" si="3"/>
        <v>1.0104484374488074E-3</v>
      </c>
      <c r="AB21">
        <f t="shared" si="3"/>
        <v>1.0104484374488074E-3</v>
      </c>
      <c r="AC21">
        <f t="shared" si="3"/>
        <v>1.0104484374488074E-3</v>
      </c>
      <c r="AD21">
        <f t="shared" si="3"/>
        <v>1.0104484374488074E-3</v>
      </c>
      <c r="AE21">
        <f t="shared" si="3"/>
        <v>1.0104484374488074E-3</v>
      </c>
      <c r="AF21">
        <f t="shared" si="3"/>
        <v>1.0104484374488074E-3</v>
      </c>
    </row>
    <row r="22" spans="1:32" ht="14.25" customHeight="1" x14ac:dyDescent="0.2"/>
    <row r="23" spans="1:32" ht="14.25" customHeight="1" x14ac:dyDescent="0.2"/>
    <row r="24" spans="1:32" ht="14.25" customHeight="1" x14ac:dyDescent="0.2"/>
    <row r="25" spans="1:32" ht="14.25" customHeight="1" x14ac:dyDescent="0.2"/>
    <row r="26" spans="1:32" ht="14.25" customHeight="1" x14ac:dyDescent="0.2"/>
    <row r="27" spans="1:32" ht="14.25" customHeight="1" x14ac:dyDescent="0.2"/>
    <row r="28" spans="1:32" ht="14.25" customHeight="1" x14ac:dyDescent="0.2"/>
    <row r="29" spans="1:32" ht="14.25" customHeight="1" x14ac:dyDescent="0.2"/>
    <row r="30" spans="1:32" ht="14.25" customHeight="1" x14ac:dyDescent="0.2"/>
    <row r="31" spans="1:32" ht="14.25" customHeight="1" x14ac:dyDescent="0.2"/>
    <row r="32" spans="1: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2EC34-7E3E-C64E-8A49-B83C16A04B23}">
  <dimension ref="A1:AF9"/>
  <sheetViews>
    <sheetView tabSelected="1" workbookViewId="0">
      <selection activeCell="D14" sqref="D14"/>
    </sheetView>
  </sheetViews>
  <sheetFormatPr baseColWidth="10" defaultRowHeight="15" x14ac:dyDescent="0.2"/>
  <cols>
    <col min="1" max="1" width="29.83203125" customWidth="1"/>
    <col min="25" max="25" width="12.1640625" bestFit="1" customWidth="1"/>
  </cols>
  <sheetData>
    <row r="1" spans="1:32" x14ac:dyDescent="0.2">
      <c r="A1" s="29" t="s">
        <v>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</row>
    <row r="2" spans="1:32" x14ac:dyDescent="0.2">
      <c r="A2" s="2" t="s">
        <v>57</v>
      </c>
      <c r="B2" s="2">
        <v>349</v>
      </c>
      <c r="C2">
        <f>$B$2+(($L$2-$B$2)/($L$1-$B$1))*(C1-$B$1)</f>
        <v>331.1</v>
      </c>
      <c r="D2">
        <f t="shared" ref="D2:K2" si="0">$B$2+(($L$2-$B$2)/($L$1-$B$1))*(D1-$B$1)</f>
        <v>313.2</v>
      </c>
      <c r="E2">
        <f t="shared" si="0"/>
        <v>295.3</v>
      </c>
      <c r="F2">
        <f t="shared" si="0"/>
        <v>277.39999999999998</v>
      </c>
      <c r="G2">
        <f t="shared" si="0"/>
        <v>259.5</v>
      </c>
      <c r="H2">
        <f t="shared" si="0"/>
        <v>241.60000000000002</v>
      </c>
      <c r="I2">
        <f t="shared" si="0"/>
        <v>223.70000000000002</v>
      </c>
      <c r="J2">
        <f t="shared" si="0"/>
        <v>205.8</v>
      </c>
      <c r="K2">
        <f t="shared" si="0"/>
        <v>187.9</v>
      </c>
      <c r="L2" s="2">
        <v>170</v>
      </c>
      <c r="M2">
        <f>$L$2+(($V$2-$L$2)/($V$1-$L$1))*(M1-$L$1)</f>
        <v>155.9</v>
      </c>
      <c r="N2">
        <f t="shared" ref="N2:U2" si="1">$L$2+(($V$2-$L$2)/($V$1-$L$1))*(N1-$L$1)</f>
        <v>141.80000000000001</v>
      </c>
      <c r="O2">
        <f t="shared" si="1"/>
        <v>127.7</v>
      </c>
      <c r="P2">
        <f t="shared" si="1"/>
        <v>113.6</v>
      </c>
      <c r="Q2">
        <f t="shared" si="1"/>
        <v>99.5</v>
      </c>
      <c r="R2">
        <f t="shared" si="1"/>
        <v>85.4</v>
      </c>
      <c r="S2">
        <f t="shared" si="1"/>
        <v>71.3</v>
      </c>
      <c r="T2">
        <f t="shared" si="1"/>
        <v>57.2</v>
      </c>
      <c r="U2">
        <f t="shared" si="1"/>
        <v>43.100000000000009</v>
      </c>
      <c r="V2">
        <v>29</v>
      </c>
      <c r="W2">
        <f>$V$2+(($AF$2-$V$2)/($AF$1-$V$1))*(W1-$V$1)</f>
        <v>15.2</v>
      </c>
      <c r="X2">
        <f t="shared" ref="X2:AE2" si="2">$V$2+(($AF$2-$V$2)/($AF$1-$V$1))*(X1-$V$1)</f>
        <v>1.3999999999999986</v>
      </c>
      <c r="Y2">
        <f t="shared" si="2"/>
        <v>-12.400000000000006</v>
      </c>
      <c r="Z2">
        <f t="shared" si="2"/>
        <v>-26.200000000000003</v>
      </c>
      <c r="AA2">
        <f t="shared" si="2"/>
        <v>-40</v>
      </c>
      <c r="AB2">
        <f t="shared" si="2"/>
        <v>-53.800000000000011</v>
      </c>
      <c r="AC2">
        <f t="shared" si="2"/>
        <v>-67.600000000000009</v>
      </c>
      <c r="AD2">
        <f t="shared" si="2"/>
        <v>-81.400000000000006</v>
      </c>
      <c r="AE2">
        <f t="shared" si="2"/>
        <v>-95.2</v>
      </c>
      <c r="AF2">
        <v>-109</v>
      </c>
    </row>
    <row r="3" spans="1:32" x14ac:dyDescent="0.2">
      <c r="A3" s="2" t="s">
        <v>58</v>
      </c>
      <c r="B3">
        <f>B2*$B$4</f>
        <v>349000000000000</v>
      </c>
      <c r="C3">
        <f t="shared" ref="C3:AF3" si="3">C2*$B$4</f>
        <v>331100000000000</v>
      </c>
      <c r="D3">
        <f t="shared" si="3"/>
        <v>313200000000000</v>
      </c>
      <c r="E3">
        <f t="shared" si="3"/>
        <v>295300000000000</v>
      </c>
      <c r="F3">
        <f t="shared" si="3"/>
        <v>277399999999999.97</v>
      </c>
      <c r="G3">
        <f t="shared" si="3"/>
        <v>259500000000000</v>
      </c>
      <c r="H3">
        <f t="shared" si="3"/>
        <v>241600000000000.03</v>
      </c>
      <c r="I3">
        <f t="shared" si="3"/>
        <v>223700000000000.03</v>
      </c>
      <c r="J3">
        <f t="shared" si="3"/>
        <v>205800000000000</v>
      </c>
      <c r="K3">
        <f t="shared" si="3"/>
        <v>187900000000000</v>
      </c>
      <c r="L3">
        <f t="shared" si="3"/>
        <v>170000000000000</v>
      </c>
      <c r="M3">
        <f t="shared" si="3"/>
        <v>155900000000000</v>
      </c>
      <c r="N3">
        <f t="shared" si="3"/>
        <v>141800000000000</v>
      </c>
      <c r="O3">
        <f t="shared" si="3"/>
        <v>127700000000000</v>
      </c>
      <c r="P3">
        <f t="shared" si="3"/>
        <v>113600000000000</v>
      </c>
      <c r="Q3">
        <f t="shared" si="3"/>
        <v>99500000000000</v>
      </c>
      <c r="R3">
        <f t="shared" si="3"/>
        <v>85400000000000</v>
      </c>
      <c r="S3">
        <f t="shared" si="3"/>
        <v>71300000000000</v>
      </c>
      <c r="T3">
        <f t="shared" si="3"/>
        <v>57200000000000</v>
      </c>
      <c r="U3">
        <f t="shared" si="3"/>
        <v>43100000000000.008</v>
      </c>
      <c r="V3">
        <f t="shared" si="3"/>
        <v>29000000000000</v>
      </c>
      <c r="W3">
        <f t="shared" si="3"/>
        <v>15200000000000</v>
      </c>
      <c r="X3">
        <f t="shared" si="3"/>
        <v>1399999999999.9985</v>
      </c>
      <c r="Y3">
        <f t="shared" si="3"/>
        <v>-12400000000000.006</v>
      </c>
      <c r="Z3">
        <f t="shared" si="3"/>
        <v>-26200000000000.004</v>
      </c>
      <c r="AA3">
        <f t="shared" si="3"/>
        <v>-40000000000000</v>
      </c>
      <c r="AB3">
        <f t="shared" si="3"/>
        <v>-53800000000000.008</v>
      </c>
      <c r="AC3">
        <f t="shared" si="3"/>
        <v>-67600000000000.008</v>
      </c>
      <c r="AD3">
        <f t="shared" si="3"/>
        <v>-81400000000000</v>
      </c>
      <c r="AE3">
        <f t="shared" si="3"/>
        <v>-95200000000000</v>
      </c>
      <c r="AF3">
        <f t="shared" si="3"/>
        <v>-109000000000000</v>
      </c>
    </row>
    <row r="4" spans="1:32" x14ac:dyDescent="0.2">
      <c r="A4" s="2" t="s">
        <v>59</v>
      </c>
      <c r="B4">
        <v>1000000000000</v>
      </c>
    </row>
    <row r="5" spans="1:32" x14ac:dyDescent="0.2">
      <c r="A5" s="2" t="s">
        <v>64</v>
      </c>
      <c r="B5">
        <f>B3/2</f>
        <v>174500000000000</v>
      </c>
      <c r="C5">
        <f t="shared" ref="C5:AF5" si="4">C3/2</f>
        <v>165550000000000</v>
      </c>
      <c r="D5">
        <f t="shared" si="4"/>
        <v>156600000000000</v>
      </c>
      <c r="E5">
        <f t="shared" si="4"/>
        <v>147650000000000</v>
      </c>
      <c r="F5">
        <f t="shared" si="4"/>
        <v>138699999999999.98</v>
      </c>
      <c r="G5">
        <f t="shared" si="4"/>
        <v>129750000000000</v>
      </c>
      <c r="H5">
        <f t="shared" si="4"/>
        <v>120800000000000.02</v>
      </c>
      <c r="I5">
        <f t="shared" si="4"/>
        <v>111850000000000.02</v>
      </c>
      <c r="J5">
        <f t="shared" si="4"/>
        <v>102900000000000</v>
      </c>
      <c r="K5">
        <f t="shared" si="4"/>
        <v>93950000000000</v>
      </c>
      <c r="L5">
        <f t="shared" si="4"/>
        <v>85000000000000</v>
      </c>
      <c r="M5">
        <f t="shared" si="4"/>
        <v>77950000000000</v>
      </c>
      <c r="N5">
        <f t="shared" si="4"/>
        <v>70900000000000</v>
      </c>
      <c r="O5">
        <f t="shared" si="4"/>
        <v>63850000000000</v>
      </c>
      <c r="P5">
        <f t="shared" si="4"/>
        <v>56800000000000</v>
      </c>
      <c r="Q5">
        <f t="shared" si="4"/>
        <v>49750000000000</v>
      </c>
      <c r="R5">
        <f t="shared" si="4"/>
        <v>42700000000000</v>
      </c>
      <c r="S5">
        <f t="shared" si="4"/>
        <v>35650000000000</v>
      </c>
      <c r="T5">
        <f t="shared" si="4"/>
        <v>28600000000000</v>
      </c>
      <c r="U5">
        <f t="shared" si="4"/>
        <v>21550000000000.004</v>
      </c>
      <c r="V5">
        <f t="shared" si="4"/>
        <v>14500000000000</v>
      </c>
      <c r="W5">
        <f t="shared" si="4"/>
        <v>7600000000000</v>
      </c>
      <c r="X5">
        <f t="shared" si="4"/>
        <v>699999999999.99927</v>
      </c>
      <c r="Y5">
        <f t="shared" si="4"/>
        <v>-6200000000000.0029</v>
      </c>
      <c r="Z5">
        <f t="shared" si="4"/>
        <v>-13100000000000.002</v>
      </c>
      <c r="AA5">
        <f t="shared" si="4"/>
        <v>-20000000000000</v>
      </c>
      <c r="AB5">
        <f t="shared" si="4"/>
        <v>-26900000000000.004</v>
      </c>
      <c r="AC5">
        <f t="shared" si="4"/>
        <v>-33800000000000.004</v>
      </c>
      <c r="AD5">
        <f t="shared" si="4"/>
        <v>-40700000000000</v>
      </c>
      <c r="AE5">
        <f t="shared" si="4"/>
        <v>-47600000000000</v>
      </c>
      <c r="AF5">
        <f t="shared" si="4"/>
        <v>-54500000000000</v>
      </c>
    </row>
    <row r="6" spans="1:32" x14ac:dyDescent="0.2">
      <c r="A6" s="2"/>
    </row>
    <row r="7" spans="1:32" x14ac:dyDescent="0.2">
      <c r="B7" s="2"/>
      <c r="C7" s="2"/>
      <c r="D7" s="2"/>
      <c r="E7" s="2"/>
    </row>
    <row r="8" spans="1:32" x14ac:dyDescent="0.2">
      <c r="A8" s="2"/>
      <c r="Y8" s="33"/>
      <c r="Z8" s="33"/>
      <c r="AA8" s="33"/>
      <c r="AB8" s="33"/>
      <c r="AC8" s="33"/>
      <c r="AD8" s="33"/>
      <c r="AE8" s="33"/>
      <c r="AF8" s="33"/>
    </row>
    <row r="9" spans="1:32" x14ac:dyDescent="0.2">
      <c r="Y9" s="3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0411-ADAC-D94F-9CA3-BD5BA5358F0E}">
  <sheetPr>
    <tabColor rgb="FF002060"/>
  </sheetPr>
  <dimension ref="A1:AF24"/>
  <sheetViews>
    <sheetView workbookViewId="0">
      <selection activeCell="D18" sqref="D18"/>
    </sheetView>
  </sheetViews>
  <sheetFormatPr baseColWidth="10" defaultRowHeight="15" x14ac:dyDescent="0.2"/>
  <sheetData>
    <row r="1" spans="1:32" x14ac:dyDescent="0.2">
      <c r="A1" s="34" t="s">
        <v>7</v>
      </c>
      <c r="B1" s="34">
        <v>2020</v>
      </c>
      <c r="C1" s="34">
        <v>2021</v>
      </c>
      <c r="D1" s="34">
        <v>2022</v>
      </c>
      <c r="E1" s="34">
        <v>2023</v>
      </c>
      <c r="F1" s="34">
        <v>2024</v>
      </c>
      <c r="G1" s="34">
        <v>2025</v>
      </c>
      <c r="H1" s="34">
        <v>2026</v>
      </c>
      <c r="I1" s="34">
        <v>2027</v>
      </c>
      <c r="J1" s="34">
        <v>2028</v>
      </c>
      <c r="K1" s="34">
        <v>2029</v>
      </c>
      <c r="L1" s="34">
        <v>2030</v>
      </c>
      <c r="M1" s="34">
        <v>2031</v>
      </c>
      <c r="N1" s="34">
        <v>2032</v>
      </c>
      <c r="O1" s="34">
        <v>2033</v>
      </c>
      <c r="P1" s="34">
        <v>2034</v>
      </c>
      <c r="Q1" s="34">
        <v>2035</v>
      </c>
      <c r="R1" s="34">
        <v>2036</v>
      </c>
      <c r="S1" s="34">
        <v>2037</v>
      </c>
      <c r="T1" s="34">
        <v>2038</v>
      </c>
      <c r="U1" s="34">
        <v>2039</v>
      </c>
      <c r="V1" s="34">
        <v>2040</v>
      </c>
      <c r="W1" s="34">
        <v>2041</v>
      </c>
      <c r="X1" s="34">
        <v>2042</v>
      </c>
      <c r="Y1" s="34">
        <v>2043</v>
      </c>
      <c r="Z1" s="34">
        <v>2044</v>
      </c>
      <c r="AA1" s="34">
        <v>2045</v>
      </c>
      <c r="AB1" s="34">
        <v>2046</v>
      </c>
      <c r="AC1" s="34">
        <v>2047</v>
      </c>
      <c r="AD1" s="34">
        <v>2048</v>
      </c>
      <c r="AE1" s="34">
        <v>2049</v>
      </c>
      <c r="AF1" s="34">
        <v>2050</v>
      </c>
    </row>
    <row r="2" spans="1:32" x14ac:dyDescent="0.2">
      <c r="A2" s="35" t="s">
        <v>15</v>
      </c>
      <c r="B2" s="36">
        <f>'BLAPE-not Adjusted'!B19*'MEF Projections'!B5</f>
        <v>171666341309460</v>
      </c>
      <c r="C2" s="36">
        <f>'BLAPE-not Adjusted'!C19*'MEF Projections'!C5</f>
        <v>162861677958630.97</v>
      </c>
      <c r="D2" s="36">
        <f>'BLAPE-not Adjusted'!D19*'MEF Projections'!D5</f>
        <v>154057014607801.91</v>
      </c>
      <c r="E2" s="36">
        <f>'BLAPE-not Adjusted'!E19*'MEF Projections'!E5</f>
        <v>145252351256972.88</v>
      </c>
      <c r="F2" s="36">
        <f>'BLAPE-not Adjusted'!F19*'MEF Projections'!F5</f>
        <v>136447687906143.84</v>
      </c>
      <c r="G2" s="36">
        <f>'BLAPE-not Adjusted'!G19*'MEF Projections'!G5</f>
        <v>127643024555314.83</v>
      </c>
      <c r="H2" s="36">
        <f>'BLAPE-not Adjusted'!H19*'MEF Projections'!H5</f>
        <v>118838361204485.8</v>
      </c>
      <c r="I2" s="36">
        <f>'BLAPE-not Adjusted'!I19*'MEF Projections'!I5</f>
        <v>110033697853656.75</v>
      </c>
      <c r="J2" s="36">
        <f>'BLAPE-not Adjusted'!J19*'MEF Projections'!J5</f>
        <v>101229034502827.7</v>
      </c>
      <c r="K2" s="36">
        <f>'BLAPE-not Adjusted'!K19*'MEF Projections'!K5</f>
        <v>92424371151998.672</v>
      </c>
      <c r="L2" s="36">
        <f>'BLAPE-not Adjusted'!L19*'MEF Projections'!L5</f>
        <v>83619707801169.641</v>
      </c>
      <c r="M2" s="36">
        <f>'BLAPE-not Adjusted'!M19*'MEF Projections'!M5</f>
        <v>76684190860013.797</v>
      </c>
      <c r="N2" s="36">
        <f>'BLAPE-not Adjusted'!N19*'MEF Projections'!N5</f>
        <v>69748673918857.961</v>
      </c>
      <c r="O2" s="36">
        <f>'BLAPE-not Adjusted'!O19*'MEF Projections'!O5</f>
        <v>62813156977702.133</v>
      </c>
      <c r="P2" s="36">
        <f>'BLAPE-not Adjusted'!P19*'MEF Projections'!P5</f>
        <v>55877640036546.289</v>
      </c>
      <c r="Q2" s="36">
        <f>'BLAPE-not Adjusted'!Q19*'MEF Projections'!Q5</f>
        <v>48942123095390.453</v>
      </c>
      <c r="R2" s="36">
        <f>'BLAPE-not Adjusted'!R19*'MEF Projections'!R5</f>
        <v>42006606154234.625</v>
      </c>
      <c r="S2" s="36">
        <f>'BLAPE-not Adjusted'!S19*'MEF Projections'!S5</f>
        <v>35071089213078.785</v>
      </c>
      <c r="T2" s="36">
        <f>'BLAPE-not Adjusted'!T19*'MEF Projections'!T5</f>
        <v>28135572271922.953</v>
      </c>
      <c r="U2" s="36">
        <f>'BLAPE-not Adjusted'!U19*'MEF Projections'!U5</f>
        <v>21200055330767.125</v>
      </c>
      <c r="V2" s="36">
        <f>'BLAPE-not Adjusted'!V19*'MEF Projections'!V5</f>
        <v>14264538389611.289</v>
      </c>
      <c r="W2" s="36">
        <f>'BLAPE-not Adjusted'!W19*'MEF Projections'!W5</f>
        <v>7476585638692.8135</v>
      </c>
      <c r="X2" s="36">
        <f>'BLAPE-not Adjusted'!X19*'MEF Projections'!X5</f>
        <v>688632887774.3374</v>
      </c>
      <c r="Y2" s="36">
        <f>'BLAPE-not Adjusted'!Y19*'MEF Projections'!Y5</f>
        <v>-6099319863144.1406</v>
      </c>
      <c r="Z2" s="36">
        <f>'BLAPE-not Adjusted'!Z19*'MEF Projections'!Z5</f>
        <v>-12887272614062.615</v>
      </c>
      <c r="AA2" s="36">
        <f>'BLAPE-not Adjusted'!AA19*'MEF Projections'!AA5</f>
        <v>-19675225364981.09</v>
      </c>
      <c r="AB2" s="36">
        <f>'BLAPE-not Adjusted'!AB19*'MEF Projections'!AB5</f>
        <v>-26463178115899.566</v>
      </c>
      <c r="AC2" s="36">
        <f>'BLAPE-not Adjusted'!AC19*'MEF Projections'!AC5</f>
        <v>-33251130866818.047</v>
      </c>
      <c r="AD2" s="36">
        <f>'BLAPE-not Adjusted'!AD19*'MEF Projections'!AD5</f>
        <v>-40039083617736.516</v>
      </c>
      <c r="AE2" s="36">
        <f>'BLAPE-not Adjusted'!AE19*'MEF Projections'!AE5</f>
        <v>-46827036368654.992</v>
      </c>
      <c r="AF2" s="36">
        <f>'BLAPE-not Adjusted'!AF19*'MEF Projections'!AF5</f>
        <v>-53614989119573.469</v>
      </c>
    </row>
    <row r="3" spans="1:32" x14ac:dyDescent="0.2">
      <c r="A3" s="35" t="s">
        <v>16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  <c r="G3" s="36">
        <v>0</v>
      </c>
      <c r="H3" s="36">
        <v>0</v>
      </c>
      <c r="I3" s="36">
        <v>0</v>
      </c>
      <c r="J3" s="36">
        <v>0</v>
      </c>
      <c r="K3" s="36">
        <v>0</v>
      </c>
      <c r="L3" s="36">
        <v>0</v>
      </c>
      <c r="M3" s="36">
        <v>0</v>
      </c>
      <c r="N3" s="36">
        <v>0</v>
      </c>
      <c r="O3" s="36">
        <v>0</v>
      </c>
      <c r="P3" s="36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  <c r="AB3" s="36">
        <v>0</v>
      </c>
      <c r="AC3" s="36">
        <v>0</v>
      </c>
      <c r="AD3" s="36">
        <v>0</v>
      </c>
      <c r="AE3" s="36">
        <v>0</v>
      </c>
      <c r="AF3" s="36">
        <v>0</v>
      </c>
    </row>
    <row r="4" spans="1:32" x14ac:dyDescent="0.2">
      <c r="A4" s="35" t="s">
        <v>17</v>
      </c>
      <c r="B4" s="36">
        <v>0</v>
      </c>
      <c r="C4" s="36">
        <v>0</v>
      </c>
      <c r="D4" s="36">
        <v>0</v>
      </c>
      <c r="E4" s="36">
        <v>0</v>
      </c>
      <c r="F4" s="36">
        <v>0</v>
      </c>
      <c r="G4" s="36">
        <v>0</v>
      </c>
      <c r="H4" s="36">
        <v>0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6">
        <v>0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  <c r="AB4" s="36">
        <v>0</v>
      </c>
      <c r="AC4" s="36">
        <v>0</v>
      </c>
      <c r="AD4" s="36">
        <v>0</v>
      </c>
      <c r="AE4" s="36">
        <v>0</v>
      </c>
      <c r="AF4" s="36">
        <v>0</v>
      </c>
    </row>
    <row r="5" spans="1:32" x14ac:dyDescent="0.2">
      <c r="A5" s="35" t="s">
        <v>18</v>
      </c>
      <c r="B5" s="36">
        <v>0</v>
      </c>
      <c r="C5" s="36">
        <v>0</v>
      </c>
      <c r="D5" s="36">
        <v>0</v>
      </c>
      <c r="E5" s="36">
        <v>0</v>
      </c>
      <c r="F5" s="36">
        <v>0</v>
      </c>
      <c r="G5" s="36">
        <v>0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0</v>
      </c>
      <c r="O5" s="36">
        <v>0</v>
      </c>
      <c r="P5" s="36">
        <v>0</v>
      </c>
      <c r="Q5" s="36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  <c r="AB5" s="36">
        <v>0</v>
      </c>
      <c r="AC5" s="36">
        <v>0</v>
      </c>
      <c r="AD5" s="36">
        <v>0</v>
      </c>
      <c r="AE5" s="36">
        <v>0</v>
      </c>
      <c r="AF5" s="36">
        <v>0</v>
      </c>
    </row>
    <row r="6" spans="1:32" x14ac:dyDescent="0.2">
      <c r="A6" s="35" t="s">
        <v>19</v>
      </c>
      <c r="B6" s="36">
        <v>0</v>
      </c>
      <c r="C6" s="36">
        <v>0</v>
      </c>
      <c r="D6" s="36">
        <v>0</v>
      </c>
      <c r="E6" s="36">
        <v>0</v>
      </c>
      <c r="F6" s="36">
        <v>0</v>
      </c>
      <c r="G6" s="36">
        <v>0</v>
      </c>
      <c r="H6" s="36">
        <v>0</v>
      </c>
      <c r="I6" s="36">
        <v>0</v>
      </c>
      <c r="J6" s="36">
        <v>0</v>
      </c>
      <c r="K6" s="36">
        <v>0</v>
      </c>
      <c r="L6" s="36">
        <v>0</v>
      </c>
      <c r="M6" s="36">
        <v>0</v>
      </c>
      <c r="N6" s="36">
        <v>0</v>
      </c>
      <c r="O6" s="36">
        <v>0</v>
      </c>
      <c r="P6" s="36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  <c r="AB6" s="36">
        <v>0</v>
      </c>
      <c r="AC6" s="36">
        <v>0</v>
      </c>
      <c r="AD6" s="36">
        <v>0</v>
      </c>
      <c r="AE6" s="36">
        <v>0</v>
      </c>
      <c r="AF6" s="36">
        <v>0</v>
      </c>
    </row>
    <row r="7" spans="1:32" x14ac:dyDescent="0.2">
      <c r="A7" s="35" t="s">
        <v>20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  <c r="AB7" s="36">
        <v>0</v>
      </c>
      <c r="AC7" s="36">
        <v>0</v>
      </c>
      <c r="AD7" s="36">
        <v>0</v>
      </c>
      <c r="AE7" s="36">
        <v>0</v>
      </c>
      <c r="AF7" s="36">
        <v>0</v>
      </c>
    </row>
    <row r="8" spans="1:32" x14ac:dyDescent="0.2">
      <c r="A8" s="35" t="s">
        <v>21</v>
      </c>
      <c r="B8" s="36">
        <v>0</v>
      </c>
      <c r="C8" s="36">
        <v>0</v>
      </c>
      <c r="D8" s="36">
        <v>0</v>
      </c>
      <c r="E8" s="36">
        <v>0</v>
      </c>
      <c r="F8" s="36">
        <v>0</v>
      </c>
      <c r="G8" s="36">
        <v>0</v>
      </c>
      <c r="H8" s="36">
        <v>0</v>
      </c>
      <c r="I8" s="36">
        <v>0</v>
      </c>
      <c r="J8" s="36">
        <v>0</v>
      </c>
      <c r="K8" s="36">
        <v>0</v>
      </c>
      <c r="L8" s="36">
        <v>0</v>
      </c>
      <c r="M8" s="36">
        <v>0</v>
      </c>
      <c r="N8" s="36">
        <v>0</v>
      </c>
      <c r="O8" s="36">
        <v>0</v>
      </c>
      <c r="P8" s="36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  <c r="AB8" s="36">
        <v>0</v>
      </c>
      <c r="AC8" s="36">
        <v>0</v>
      </c>
      <c r="AD8" s="36">
        <v>0</v>
      </c>
      <c r="AE8" s="36">
        <v>0</v>
      </c>
      <c r="AF8" s="36">
        <v>0</v>
      </c>
    </row>
    <row r="9" spans="1:32" x14ac:dyDescent="0.2">
      <c r="A9" s="35" t="s">
        <v>22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</row>
    <row r="10" spans="1:32" x14ac:dyDescent="0.2">
      <c r="A10" s="35" t="s">
        <v>23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</row>
    <row r="11" spans="1:32" x14ac:dyDescent="0.2">
      <c r="A11" s="35" t="s">
        <v>24</v>
      </c>
      <c r="B11" s="36">
        <f>'BLAPE-not Adjusted'!B20*'MEF Projections'!B5</f>
        <v>2657335438205.1846</v>
      </c>
      <c r="C11" s="36">
        <f>'BLAPE-not Adjusted'!C20*'MEF Projections'!C5</f>
        <v>2521042302549.3887</v>
      </c>
      <c r="D11" s="36">
        <f>'BLAPE-not Adjusted'!D20*'MEF Projections'!D5</f>
        <v>2384749166893.5923</v>
      </c>
      <c r="E11" s="36">
        <f>'BLAPE-not Adjusted'!E20*'MEF Projections'!E5</f>
        <v>2248456031237.7964</v>
      </c>
      <c r="F11" s="36">
        <f>'BLAPE-not Adjusted'!F20*'MEF Projections'!F5</f>
        <v>2112162895582.0005</v>
      </c>
      <c r="G11" s="36">
        <f>'BLAPE-not Adjusted'!G20*'MEF Projections'!G5</f>
        <v>1975869759926.2046</v>
      </c>
      <c r="H11" s="36">
        <f>'BLAPE-not Adjusted'!H20*'MEF Projections'!H5</f>
        <v>1839576624270.4089</v>
      </c>
      <c r="I11" s="36">
        <f>'BLAPE-not Adjusted'!I20*'MEF Projections'!I5</f>
        <v>1703283488614.6125</v>
      </c>
      <c r="J11" s="36">
        <f>'BLAPE-not Adjusted'!J20*'MEF Projections'!J5</f>
        <v>1566990352958.8162</v>
      </c>
      <c r="K11" s="36">
        <f>'BLAPE-not Adjusted'!K20*'MEF Projections'!K5</f>
        <v>1430697217303.0205</v>
      </c>
      <c r="L11" s="36">
        <f>'BLAPE-not Adjusted'!L20*'MEF Projections'!L5</f>
        <v>1294404081647.2246</v>
      </c>
      <c r="M11" s="36">
        <f>'BLAPE-not Adjusted'!M20*'MEF Projections'!M5</f>
        <v>1187044684287.0723</v>
      </c>
      <c r="N11" s="36">
        <f>'BLAPE-not Adjusted'!N20*'MEF Projections'!N5</f>
        <v>1079685286926.9203</v>
      </c>
      <c r="O11" s="36">
        <f>'BLAPE-not Adjusted'!O20*'MEF Projections'!O5</f>
        <v>972325889566.76807</v>
      </c>
      <c r="P11" s="36">
        <f>'BLAPE-not Adjusted'!P20*'MEF Projections'!P5</f>
        <v>864966492206.61584</v>
      </c>
      <c r="Q11" s="36">
        <f>'BLAPE-not Adjusted'!Q20*'MEF Projections'!Q5</f>
        <v>757607094846.46362</v>
      </c>
      <c r="R11" s="36">
        <f>'BLAPE-not Adjusted'!R20*'MEF Projections'!R5</f>
        <v>650247697486.31177</v>
      </c>
      <c r="S11" s="36">
        <f>'BLAPE-not Adjusted'!S20*'MEF Projections'!S5</f>
        <v>542888300126.15942</v>
      </c>
      <c r="T11" s="36">
        <f>'BLAPE-not Adjusted'!T20*'MEF Projections'!T5</f>
        <v>435528902766.00726</v>
      </c>
      <c r="U11" s="36">
        <f>'BLAPE-not Adjusted'!U20*'MEF Projections'!U5</f>
        <v>328169505405.85522</v>
      </c>
      <c r="V11" s="36">
        <f>'BLAPE-not Adjusted'!V20*'MEF Projections'!V5</f>
        <v>220810108045.70303</v>
      </c>
      <c r="W11" s="36">
        <f>'BLAPE-not Adjusted'!W20*'MEF Projections'!W5</f>
        <v>115734953182.57538</v>
      </c>
      <c r="X11" s="36">
        <f>'BLAPE-not Adjusted'!X20*'MEF Projections'!X5</f>
        <v>10659798319.447721</v>
      </c>
      <c r="Y11" s="36">
        <f>'BLAPE-not Adjusted'!Y20*'MEF Projections'!Y5</f>
        <v>-94415356543.679947</v>
      </c>
      <c r="Z11" s="36">
        <f>'BLAPE-not Adjusted'!Z20*'MEF Projections'!Z5</f>
        <v>-199490511406.80759</v>
      </c>
      <c r="AA11" s="36">
        <f>'BLAPE-not Adjusted'!AA20*'MEF Projections'!AA5</f>
        <v>-304565666269.93518</v>
      </c>
      <c r="AB11" s="36">
        <f>'BLAPE-not Adjusted'!AB20*'MEF Projections'!AB5</f>
        <v>-409640821133.06293</v>
      </c>
      <c r="AC11" s="36">
        <f>'BLAPE-not Adjusted'!AC20*'MEF Projections'!AC5</f>
        <v>-514715975996.19055</v>
      </c>
      <c r="AD11" s="36">
        <f>'BLAPE-not Adjusted'!AD20*'MEF Projections'!AD5</f>
        <v>-619791130859.31812</v>
      </c>
      <c r="AE11" s="36">
        <f>'BLAPE-not Adjusted'!AE20*'MEF Projections'!AE5</f>
        <v>-724866285722.4458</v>
      </c>
      <c r="AF11" s="36">
        <f>'BLAPE-not Adjusted'!AF20*'MEF Projections'!AF5</f>
        <v>-829941440585.57349</v>
      </c>
    </row>
    <row r="12" spans="1:32" x14ac:dyDescent="0.2">
      <c r="A12" s="35" t="s">
        <v>25</v>
      </c>
      <c r="B12" s="36">
        <f>'BLAPE-not Adjusted'!B21*'MEF Projections'!B5</f>
        <v>176323252334.81686</v>
      </c>
      <c r="C12" s="36">
        <f>'BLAPE-not Adjusted'!C21*'MEF Projections'!C5</f>
        <v>167279738819.65005</v>
      </c>
      <c r="D12" s="36">
        <f>'BLAPE-not Adjusted'!D21*'MEF Projections'!D5</f>
        <v>158236225304.48322</v>
      </c>
      <c r="E12" s="36">
        <f>'BLAPE-not Adjusted'!E21*'MEF Projections'!E5</f>
        <v>149192711789.31641</v>
      </c>
      <c r="F12" s="36">
        <f>'BLAPE-not Adjusted'!F21*'MEF Projections'!F5</f>
        <v>140149198274.1496</v>
      </c>
      <c r="G12" s="36">
        <f>'BLAPE-not Adjusted'!G21*'MEF Projections'!G5</f>
        <v>131105684758.98276</v>
      </c>
      <c r="H12" s="36">
        <f>'BLAPE-not Adjusted'!H21*'MEF Projections'!H5</f>
        <v>122062171243.81595</v>
      </c>
      <c r="I12" s="36">
        <f>'BLAPE-not Adjusted'!I21*'MEF Projections'!I5</f>
        <v>113018657728.64912</v>
      </c>
      <c r="J12" s="36">
        <f>'BLAPE-not Adjusted'!J21*'MEF Projections'!J5</f>
        <v>103975144213.48228</v>
      </c>
      <c r="K12" s="36">
        <f>'BLAPE-not Adjusted'!K21*'MEF Projections'!K5</f>
        <v>94931630698.31546</v>
      </c>
      <c r="L12" s="36">
        <f>'BLAPE-not Adjusted'!L21*'MEF Projections'!L5</f>
        <v>85888117183.148651</v>
      </c>
      <c r="M12" s="36">
        <f>'BLAPE-not Adjusted'!M21*'MEF Projections'!M5</f>
        <v>78764455699.134537</v>
      </c>
      <c r="N12" s="36">
        <f>'BLAPE-not Adjusted'!N21*'MEF Projections'!N5</f>
        <v>71640794215.120438</v>
      </c>
      <c r="O12" s="36">
        <f>'BLAPE-not Adjusted'!O21*'MEF Projections'!O5</f>
        <v>64517132731.106339</v>
      </c>
      <c r="P12" s="36">
        <f>'BLAPE-not Adjusted'!P21*'MEF Projections'!P5</f>
        <v>57393471247.092247</v>
      </c>
      <c r="Q12" s="36">
        <f>'BLAPE-not Adjusted'!Q21*'MEF Projections'!Q5</f>
        <v>50269809763.078163</v>
      </c>
      <c r="R12" s="36">
        <f>'BLAPE-not Adjusted'!R21*'MEF Projections'!R5</f>
        <v>43146148279.064072</v>
      </c>
      <c r="S12" s="36">
        <f>'BLAPE-not Adjusted'!S21*'MEF Projections'!S5</f>
        <v>36022486795.049973</v>
      </c>
      <c r="T12" s="36">
        <f>'BLAPE-not Adjusted'!T21*'MEF Projections'!T5</f>
        <v>28898825311.035892</v>
      </c>
      <c r="U12" s="36">
        <f>'BLAPE-not Adjusted'!U21*'MEF Projections'!U5</f>
        <v>21775163827.021801</v>
      </c>
      <c r="V12" s="36">
        <f>'BLAPE-not Adjusted'!V21*'MEF Projections'!V5</f>
        <v>14651502343.007708</v>
      </c>
      <c r="W12" s="36">
        <f>'BLAPE-not Adjusted'!W21*'MEF Projections'!W5</f>
        <v>7679408124.6109362</v>
      </c>
      <c r="X12" s="36">
        <f>'BLAPE-not Adjusted'!X21*'MEF Projections'!X5</f>
        <v>707313906.21416438</v>
      </c>
      <c r="Y12" s="36">
        <f>'BLAPE-not Adjusted'!Y21*'MEF Projections'!Y5</f>
        <v>-6264780312.1826086</v>
      </c>
      <c r="Z12" s="36">
        <f>'BLAPE-not Adjusted'!Z21*'MEF Projections'!Z5</f>
        <v>-13236874530.579378</v>
      </c>
      <c r="AA12" s="36">
        <f>'BLAPE-not Adjusted'!AA21*'MEF Projections'!AA5</f>
        <v>-20208968748.976147</v>
      </c>
      <c r="AB12" s="36">
        <f>'BLAPE-not Adjusted'!AB21*'MEF Projections'!AB5</f>
        <v>-27181062967.372921</v>
      </c>
      <c r="AC12" s="36">
        <f>'BLAPE-not Adjusted'!AC21*'MEF Projections'!AC5</f>
        <v>-34153157185.769691</v>
      </c>
      <c r="AD12" s="36">
        <f>'BLAPE-not Adjusted'!AD21*'MEF Projections'!AD5</f>
        <v>-41125251404.166458</v>
      </c>
      <c r="AE12" s="36">
        <f>'BLAPE-not Adjusted'!AE21*'MEF Projections'!AE5</f>
        <v>-48097345622.563232</v>
      </c>
      <c r="AF12" s="36">
        <f>'BLAPE-not Adjusted'!AF21*'MEF Projections'!AF5</f>
        <v>-55069439840.959999</v>
      </c>
    </row>
    <row r="13" spans="1:32" x14ac:dyDescent="0.2">
      <c r="A13" s="35" t="s">
        <v>26</v>
      </c>
      <c r="B13" s="36">
        <v>0</v>
      </c>
      <c r="C13" s="36">
        <v>0</v>
      </c>
      <c r="D13" s="36">
        <v>0</v>
      </c>
      <c r="E13" s="36">
        <v>0</v>
      </c>
      <c r="F13" s="36">
        <v>0</v>
      </c>
      <c r="G13" s="36">
        <v>0</v>
      </c>
      <c r="H13" s="36">
        <v>0</v>
      </c>
      <c r="I13" s="36">
        <v>0</v>
      </c>
      <c r="J13" s="36">
        <v>0</v>
      </c>
      <c r="K13" s="36">
        <v>0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</row>
    <row r="14" spans="1:32" x14ac:dyDescent="0.2">
      <c r="B14" s="33"/>
      <c r="C14" s="33"/>
      <c r="D14" s="33"/>
      <c r="E14" s="33"/>
    </row>
    <row r="16" spans="1:32" x14ac:dyDescent="0.2">
      <c r="A16" s="5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22" spans="2:7" x14ac:dyDescent="0.2">
      <c r="B22" s="2"/>
      <c r="C22" s="2"/>
      <c r="D22" s="29"/>
      <c r="E22" s="29"/>
      <c r="F22" s="29"/>
      <c r="G22" s="29"/>
    </row>
    <row r="23" spans="2:7" x14ac:dyDescent="0.2">
      <c r="B23" s="29"/>
      <c r="C23" s="2"/>
      <c r="D23" s="2"/>
      <c r="E23" s="2"/>
      <c r="F23" s="2"/>
      <c r="G23" s="2"/>
    </row>
    <row r="24" spans="2:7" x14ac:dyDescent="0.2">
      <c r="B24" s="29"/>
      <c r="C24" s="2"/>
      <c r="D24" s="2"/>
      <c r="E24" s="2"/>
      <c r="F24" s="2"/>
      <c r="G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UNFCCC</vt:lpstr>
      <vt:lpstr>Growth Rate</vt:lpstr>
      <vt:lpstr>BLAPE-not Adjusted</vt:lpstr>
      <vt:lpstr>MEF Projections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2015-08-06T00:31:42Z</dcterms:created>
  <dcterms:modified xsi:type="dcterms:W3CDTF">2025-03-21T15:57:38Z</dcterms:modified>
</cp:coreProperties>
</file>