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land/CSpULApYbP/"/>
    </mc:Choice>
  </mc:AlternateContent>
  <xr:revisionPtr revIDLastSave="0" documentId="13_ncr:1_{E2CBEEC0-0D42-1C4C-B54F-E09E03608452}" xr6:coauthVersionLast="47" xr6:coauthVersionMax="47" xr10:uidLastSave="{00000000-0000-0000-0000-000000000000}"/>
  <bookViews>
    <workbookView xWindow="0" yWindow="780" windowWidth="34200" windowHeight="21360" activeTab="3" xr2:uid="{00000000-000D-0000-FFFF-FFFF00000000}"/>
  </bookViews>
  <sheets>
    <sheet name="About" sheetId="1" r:id="rId1"/>
    <sheet name="Indonesia Data" sheetId="2" r:id="rId2"/>
    <sheet name="conversion factors" sheetId="4" r:id="rId3"/>
    <sheet name="Sheet1" sheetId="5" r:id="rId4"/>
    <sheet name="CSpULApYbP" sheetId="3" r:id="rId5"/>
  </sheets>
  <definedNames>
    <definedName name="acres_per_hectare">'conversion factors'!$A$1</definedName>
    <definedName name="acres_per_million_hectares">#REF!</definedName>
    <definedName name="grams_per_ton">'conversion factors'!$A$2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4" i="3"/>
  <c r="B2" i="3"/>
  <c r="B7" i="5"/>
  <c r="B7" i="3" s="1"/>
  <c r="B5" i="5"/>
  <c r="B5" i="3" s="1"/>
  <c r="B3" i="5"/>
  <c r="B3" i="3" s="1"/>
  <c r="B21" i="2"/>
  <c r="B19" i="2"/>
  <c r="B23" i="2" s="1"/>
  <c r="B26" i="2" s="1"/>
  <c r="B9" i="2" l="1"/>
  <c r="B6" i="5" s="1"/>
  <c r="B6" i="3" s="1"/>
</calcChain>
</file>

<file path=xl/sharedStrings.xml><?xml version="1.0" encoding="utf-8"?>
<sst xmlns="http://schemas.openxmlformats.org/spreadsheetml/2006/main" count="120" uniqueCount="96">
  <si>
    <t>CSpULApYbP CO2 Sequestered per Unit Land Area per Year by Policy</t>
  </si>
  <si>
    <t>Sources:</t>
  </si>
  <si>
    <t>Notes</t>
  </si>
  <si>
    <t>This variable handles all land use policies except for improved forest management.</t>
  </si>
  <si>
    <t>It reflects the annual sequestration or abatement achieved from each acre of land</t>
  </si>
  <si>
    <t>Some of these policies, such as afforestation/reforestation, clearly generate</t>
  </si>
  <si>
    <t>ongoing flows of benefits.  After you afforest an acre, the trees on that acre grow</t>
  </si>
  <si>
    <t>every year, sequestering more and more carbon, so long as the new forest</t>
  </si>
  <si>
    <t>remains in place.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</si>
  <si>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</si>
  <si>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</si>
  <si>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</si>
  <si>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</si>
  <si>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</si>
  <si>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</si>
  <si>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(forest or peatland) that was affected by one of the land use policies at any</t>
  </si>
  <si>
    <t>prior time during the model run.</t>
  </si>
  <si>
    <t>The policies represent the following actions:</t>
  </si>
  <si>
    <t>not used in this variable</t>
  </si>
  <si>
    <t>permanently cease timber harvesting operations on forest that is regularly logged (e.g. every 20 or 30 years)</t>
  </si>
  <si>
    <t>convert non-forest land to forest</t>
  </si>
  <si>
    <t>prevent forest from being converted to a non-forest land type</t>
  </si>
  <si>
    <t>repair degraded forests, which causes the plants to start growing and sequestering carbon</t>
  </si>
  <si>
    <t>repair degraded peatlands (peat bogs or swamp), which both (1) causes the plants to start growing and sequestering carbon and (2) removes the danger that they will burn in a peat fire, releasing CO2</t>
  </si>
  <si>
    <t>CO2 into the atmosphere (if we ignore the delay between when the trees are cut and when the resulting</t>
  </si>
  <si>
    <t>wood and paper products decay).  We annualize abatement from avoidance of large one-time carbon releases</t>
  </si>
  <si>
    <t>(deforestation, timber harvesting, peat fires) over the time required for the forest or peatland to regenerate</t>
  </si>
  <si>
    <t>after a major carbon release.  This avoids unrealistic, spiky results and also allows the associated policies to be</t>
  </si>
  <si>
    <t>treated in a way consistent with other land use sector policies (except improved forest management).</t>
  </si>
  <si>
    <t>Some of these policies, such as avoiding deforestation, prevent a large, one-time release of</t>
  </si>
  <si>
    <t>The peatland restoration policy has two effects- one of each of the two types described above.  We sum</t>
  </si>
  <si>
    <t>the effects in this variable to obtain total abatement per acre from peatland restoration.</t>
  </si>
  <si>
    <t>Indonesia Notes</t>
  </si>
  <si>
    <t>The Indonesia model does not use the "Forest Set-Asides" policy.</t>
  </si>
  <si>
    <t>Abatment per Million Hectares from Forest Restoration (MtCO2/Mha)</t>
  </si>
  <si>
    <t>Abatment per Million Hectares from Peat Restoration (MtCO2/Mha)</t>
  </si>
  <si>
    <t>Abatement due to Carbon Sequestration from Plant Growth on Restored Lands</t>
  </si>
  <si>
    <t>grams per ton</t>
  </si>
  <si>
    <t>acres per hectare</t>
  </si>
  <si>
    <t>g CO2 / acre / yr</t>
  </si>
  <si>
    <t>Abatement due to Avoided Peat Fires (from Peatland Restoration)</t>
  </si>
  <si>
    <t>CO2 released during a peat fire (tons CO2 / ha)</t>
  </si>
  <si>
    <t>Annualized effect of avoiding peat fire over peatland regrowth lifetime (tons CO2 / ha / yr)</t>
  </si>
  <si>
    <t>Mark T.L. Bonnera, Susanne Schmidta, Luke P. Shoob</t>
  </si>
  <si>
    <t>A meta-analytical global comparison of aboveground biomass accumulation between tropical secondary forests and monoculture plantations</t>
  </si>
  <si>
    <t>http://www.sciencedirect.com/science/article/pii/S0378112712007001</t>
  </si>
  <si>
    <t>National Coordinating Agency for REDD+</t>
  </si>
  <si>
    <t>National Forest Reference Emission Level for Deforestation and Forest Degradation in the Context of the Activities Referred to in Decision 1/ CP.16, Paragraph 70 (REDD+) Under the UNFCCC: A Reference for Decision Makers</t>
  </si>
  <si>
    <t>http://www.cifor.org/publications/pdf_files/Books/BP-REDD_Book.pdf</t>
  </si>
  <si>
    <t>emissions per hectare from burned peatlands</t>
  </si>
  <si>
    <t>annual abatement on restored forest and peatlands</t>
  </si>
  <si>
    <t>time required for forest and peatlands to regrow</t>
  </si>
  <si>
    <t>Fraction of degraded peatlands that will burn if not restored</t>
  </si>
  <si>
    <t>WRI Indonesia</t>
  </si>
  <si>
    <t>expert judgment</t>
  </si>
  <si>
    <t>fraction of degraded peatlands that will burn if not restored</t>
  </si>
  <si>
    <t>Molecular weight CO2 / C</t>
  </si>
  <si>
    <t>primary dryland forest (tons C / ha)</t>
  </si>
  <si>
    <t>secondary dryland forest (tons C / ha)</t>
  </si>
  <si>
    <t>primary swamp forest (tons C / ha)</t>
  </si>
  <si>
    <t>secondary swamp forest (tons C / ha)</t>
  </si>
  <si>
    <t>primary mangrove forest (tons C / ha)</t>
  </si>
  <si>
    <t>secondary mangrove forest (tons C / ha)</t>
  </si>
  <si>
    <t>Average (tons C / ha)</t>
  </si>
  <si>
    <t>Average emissions from deforestation (tons CO2/ha)</t>
  </si>
  <si>
    <t>Time for peatlands to regrow (years)</t>
  </si>
  <si>
    <t>Annualized effect of avoiding deforestation over forest regrowth lifetime (tons CO2 / ha / yr)</t>
  </si>
  <si>
    <t>Carbon released per hectare deforested</t>
  </si>
  <si>
    <t>Ministry of Environment and Forestry</t>
  </si>
  <si>
    <t>National Forest Reference Emissions Level for REDD+ In the Context of Decision 1/CP.16 Paragraph 70 UNFCCC</t>
  </si>
  <si>
    <t>http://redd.unfccc.int/files/national_frel_for_redd__in_indonesia_2015.pdf</t>
  </si>
  <si>
    <t>Page 16, Table 2, Rows "Indonesia" for each forest type</t>
  </si>
  <si>
    <t>Abatement due to Avoided Deforestation, Sequestration due to Afforestation/Reforestation</t>
  </si>
  <si>
    <t>Due to the approach above, the abatement per acre per year for avoided deforestation and afforestation/</t>
  </si>
  <si>
    <t>reforestation is the same.</t>
  </si>
  <si>
    <t>Time for forest to regrow (if deforested) or grow in the first place (if afforested/reforested)</t>
  </si>
  <si>
    <t>US</t>
  </si>
  <si>
    <t>Peatland</t>
  </si>
  <si>
    <t>https://gggi.org/wp-content/uploads/2020/11/Indonesia-Peat-Insight-Brief_October2020_tentative.pdf</t>
  </si>
  <si>
    <t>Input Carbon (Gt C)</t>
  </si>
  <si>
    <t>CO₂ Equivalent (Gt CO₂)</t>
  </si>
  <si>
    <t>CO₂ Equivalent (t CO₂)</t>
  </si>
  <si>
    <t>Area (Mha)</t>
  </si>
  <si>
    <t>Area (ha)</t>
  </si>
  <si>
    <t>Emissions per ha (t CO₂/ha)</t>
  </si>
  <si>
    <t>0.81 Gt C</t>
  </si>
  <si>
    <t>2.9727 Gt CO₂</t>
  </si>
  <si>
    <t>2,972,700,000 t CO₂</t>
  </si>
  <si>
    <t>0.79 Mha</t>
  </si>
  <si>
    <t>790,000 ha</t>
  </si>
  <si>
    <t>3,763.54 t CO₂/ha</t>
  </si>
  <si>
    <t>2.57 Gt C</t>
  </si>
  <si>
    <t>9.4359 Gt CO₂</t>
  </si>
  <si>
    <t>9,435,900,000 t CO₂</t>
  </si>
  <si>
    <t>11,942.91 t CO₂/ha</t>
  </si>
  <si>
    <t>https://www.nature.com/articles/nature01131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</si>
</sst>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1"/>
    <xf numFmtId="0" fontId="5" fillId="0" borderId="0" xfId="0" applyFont="1"/>
    <xf numFmtId="11" fontId="4" fillId="0" borderId="0" xfId="0" applyNumberFormat="1" applyFont="1"/>
    <xf numFmtId="11" fontId="0" fillId="0" borderId="0" xfId="0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iencedirect.com/science/article/pii/S03781127120070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ture.com/articles/nature0113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ggi.org/wp-content/uploads/2020/11/Indonesia-Peat-Insight-Brief_October2020_tentativ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workbookViewId="0"/>
  </sheetViews>
  <sheetFormatPr baseColWidth="10" defaultColWidth="8.83203125" defaultRowHeight="15" x14ac:dyDescent="0.2"/>
  <cols>
    <col min="1" max="1" width="30.1640625" customWidth="1"/>
    <col min="2" max="2" width="66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6" t="s">
        <v>50</v>
      </c>
    </row>
    <row r="4" spans="1:2" x14ac:dyDescent="0.2">
      <c r="A4" s="1"/>
      <c r="B4" t="s">
        <v>43</v>
      </c>
    </row>
    <row r="5" spans="1:2" x14ac:dyDescent="0.2">
      <c r="A5" s="1"/>
      <c r="B5" s="8">
        <v>2013</v>
      </c>
    </row>
    <row r="6" spans="1:2" x14ac:dyDescent="0.2">
      <c r="A6" s="1"/>
      <c r="B6" t="s">
        <v>44</v>
      </c>
    </row>
    <row r="7" spans="1:2" x14ac:dyDescent="0.2">
      <c r="A7" s="1"/>
      <c r="B7" s="10" t="s">
        <v>45</v>
      </c>
    </row>
    <row r="8" spans="1:2" x14ac:dyDescent="0.2">
      <c r="A8" s="1"/>
    </row>
    <row r="9" spans="1:2" x14ac:dyDescent="0.2">
      <c r="A9" s="1"/>
      <c r="B9" s="6" t="s">
        <v>49</v>
      </c>
    </row>
    <row r="10" spans="1:2" x14ac:dyDescent="0.2">
      <c r="B10" t="s">
        <v>46</v>
      </c>
    </row>
    <row r="11" spans="1:2" x14ac:dyDescent="0.2">
      <c r="B11" s="8">
        <v>2014</v>
      </c>
    </row>
    <row r="12" spans="1:2" x14ac:dyDescent="0.2">
      <c r="B12" t="s">
        <v>47</v>
      </c>
    </row>
    <row r="13" spans="1:2" x14ac:dyDescent="0.2">
      <c r="B13" t="s">
        <v>48</v>
      </c>
    </row>
    <row r="15" spans="1:2" x14ac:dyDescent="0.2">
      <c r="B15" s="6" t="s">
        <v>55</v>
      </c>
    </row>
    <row r="16" spans="1:2" x14ac:dyDescent="0.2">
      <c r="B16" t="s">
        <v>53</v>
      </c>
    </row>
    <row r="17" spans="1:2" x14ac:dyDescent="0.2">
      <c r="B17" s="8">
        <v>2017</v>
      </c>
    </row>
    <row r="18" spans="1:2" x14ac:dyDescent="0.2">
      <c r="B18" t="s">
        <v>54</v>
      </c>
    </row>
    <row r="20" spans="1:2" x14ac:dyDescent="0.2">
      <c r="B20" s="6" t="s">
        <v>51</v>
      </c>
    </row>
    <row r="21" spans="1:2" x14ac:dyDescent="0.2">
      <c r="B21" t="s">
        <v>53</v>
      </c>
    </row>
    <row r="22" spans="1:2" x14ac:dyDescent="0.2">
      <c r="B22" s="8">
        <v>2017</v>
      </c>
    </row>
    <row r="23" spans="1:2" x14ac:dyDescent="0.2">
      <c r="B23" t="s">
        <v>54</v>
      </c>
    </row>
    <row r="25" spans="1:2" x14ac:dyDescent="0.2">
      <c r="B25" s="6" t="s">
        <v>67</v>
      </c>
    </row>
    <row r="26" spans="1:2" x14ac:dyDescent="0.2">
      <c r="B26" t="s">
        <v>68</v>
      </c>
    </row>
    <row r="27" spans="1:2" x14ac:dyDescent="0.2">
      <c r="B27" s="8">
        <v>2015</v>
      </c>
    </row>
    <row r="28" spans="1:2" x14ac:dyDescent="0.2">
      <c r="B28" t="s">
        <v>69</v>
      </c>
    </row>
    <row r="29" spans="1:2" x14ac:dyDescent="0.2">
      <c r="B29" t="s">
        <v>70</v>
      </c>
    </row>
    <row r="30" spans="1:2" x14ac:dyDescent="0.2">
      <c r="B30" t="s">
        <v>71</v>
      </c>
    </row>
    <row r="32" spans="1:2" x14ac:dyDescent="0.2">
      <c r="A32" s="1" t="s">
        <v>2</v>
      </c>
    </row>
    <row r="33" spans="1:2" x14ac:dyDescent="0.2">
      <c r="A33" t="s">
        <v>3</v>
      </c>
    </row>
    <row r="34" spans="1:2" x14ac:dyDescent="0.2">
      <c r="A34" t="s">
        <v>4</v>
      </c>
    </row>
    <row r="35" spans="1:2" x14ac:dyDescent="0.2">
      <c r="A35" t="s">
        <v>15</v>
      </c>
    </row>
    <row r="36" spans="1:2" x14ac:dyDescent="0.2">
      <c r="A36" t="s">
        <v>16</v>
      </c>
    </row>
    <row r="38" spans="1:2" x14ac:dyDescent="0.2">
      <c r="A38" s="6" t="s">
        <v>17</v>
      </c>
      <c r="B38" s="5"/>
    </row>
    <row r="39" spans="1:2" ht="32" x14ac:dyDescent="0.2">
      <c r="A39" s="1" t="s">
        <v>9</v>
      </c>
      <c r="B39" s="4" t="s">
        <v>19</v>
      </c>
    </row>
    <row r="40" spans="1:2" ht="16" x14ac:dyDescent="0.2">
      <c r="A40" s="1" t="s">
        <v>10</v>
      </c>
      <c r="B40" s="4" t="s">
        <v>20</v>
      </c>
    </row>
    <row r="41" spans="1:2" ht="16" x14ac:dyDescent="0.2">
      <c r="A41" s="1" t="s">
        <v>11</v>
      </c>
      <c r="B41" s="7" t="s">
        <v>18</v>
      </c>
    </row>
    <row r="42" spans="1:2" ht="16" x14ac:dyDescent="0.2">
      <c r="A42" s="1" t="s">
        <v>12</v>
      </c>
      <c r="B42" s="4" t="s">
        <v>21</v>
      </c>
    </row>
    <row r="43" spans="1:2" ht="48" x14ac:dyDescent="0.2">
      <c r="A43" s="1" t="s">
        <v>13</v>
      </c>
      <c r="B43" s="4" t="s">
        <v>23</v>
      </c>
    </row>
    <row r="44" spans="1:2" ht="32" x14ac:dyDescent="0.2">
      <c r="A44" s="1" t="s">
        <v>14</v>
      </c>
      <c r="B44" s="4" t="s">
        <v>22</v>
      </c>
    </row>
    <row r="47" spans="1:2" x14ac:dyDescent="0.2">
      <c r="A47" t="s">
        <v>5</v>
      </c>
    </row>
    <row r="48" spans="1:2" x14ac:dyDescent="0.2">
      <c r="A48" t="s">
        <v>6</v>
      </c>
    </row>
    <row r="49" spans="1:1" x14ac:dyDescent="0.2">
      <c r="A49" t="s">
        <v>7</v>
      </c>
    </row>
    <row r="50" spans="1:1" x14ac:dyDescent="0.2">
      <c r="A50" t="s">
        <v>8</v>
      </c>
    </row>
    <row r="52" spans="1:1" x14ac:dyDescent="0.2">
      <c r="A52" t="s">
        <v>29</v>
      </c>
    </row>
    <row r="53" spans="1:1" x14ac:dyDescent="0.2">
      <c r="A53" t="s">
        <v>24</v>
      </c>
    </row>
    <row r="54" spans="1:1" x14ac:dyDescent="0.2">
      <c r="A54" t="s">
        <v>25</v>
      </c>
    </row>
    <row r="55" spans="1:1" x14ac:dyDescent="0.2">
      <c r="A55" t="s">
        <v>26</v>
      </c>
    </row>
    <row r="56" spans="1:1" x14ac:dyDescent="0.2">
      <c r="A56" t="s">
        <v>27</v>
      </c>
    </row>
    <row r="57" spans="1:1" x14ac:dyDescent="0.2">
      <c r="A57" t="s">
        <v>28</v>
      </c>
    </row>
    <row r="59" spans="1:1" x14ac:dyDescent="0.2">
      <c r="A59" t="s">
        <v>73</v>
      </c>
    </row>
    <row r="60" spans="1:1" x14ac:dyDescent="0.2">
      <c r="A60" t="s">
        <v>74</v>
      </c>
    </row>
    <row r="62" spans="1:1" x14ac:dyDescent="0.2">
      <c r="A62" t="s">
        <v>30</v>
      </c>
    </row>
    <row r="63" spans="1:1" x14ac:dyDescent="0.2">
      <c r="A63" t="s">
        <v>31</v>
      </c>
    </row>
    <row r="65" spans="1:1" x14ac:dyDescent="0.2">
      <c r="A65" s="1" t="s">
        <v>32</v>
      </c>
    </row>
    <row r="66" spans="1:1" x14ac:dyDescent="0.2">
      <c r="A66" t="s">
        <v>33</v>
      </c>
    </row>
  </sheetData>
  <hyperlinks>
    <hyperlink ref="B7" r:id="rId1" xr:uid="{6A18EC76-2541-D945-B130-8715D912B1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78" customWidth="1"/>
    <col min="2" max="2" width="18.33203125" customWidth="1"/>
  </cols>
  <sheetData>
    <row r="1" spans="1:2" x14ac:dyDescent="0.2">
      <c r="A1" s="6" t="s">
        <v>36</v>
      </c>
      <c r="B1" s="6"/>
    </row>
    <row r="2" spans="1:2" ht="16" x14ac:dyDescent="0.2">
      <c r="A2" s="4" t="s">
        <v>35</v>
      </c>
      <c r="B2">
        <v>11</v>
      </c>
    </row>
    <row r="3" spans="1:2" ht="16" x14ac:dyDescent="0.2">
      <c r="A3" s="4" t="s">
        <v>34</v>
      </c>
      <c r="B3">
        <v>9.1750000000000007</v>
      </c>
    </row>
    <row r="5" spans="1:2" x14ac:dyDescent="0.2">
      <c r="A5" s="6" t="s">
        <v>40</v>
      </c>
      <c r="B5" s="6"/>
    </row>
    <row r="6" spans="1:2" x14ac:dyDescent="0.2">
      <c r="A6" t="s">
        <v>41</v>
      </c>
      <c r="B6" s="14">
        <f>11942.91</f>
        <v>11942.91</v>
      </c>
    </row>
    <row r="7" spans="1:2" x14ac:dyDescent="0.2">
      <c r="A7" t="s">
        <v>52</v>
      </c>
      <c r="B7">
        <v>0.75</v>
      </c>
    </row>
    <row r="8" spans="1:2" x14ac:dyDescent="0.2">
      <c r="A8" t="s">
        <v>65</v>
      </c>
      <c r="B8">
        <v>100</v>
      </c>
    </row>
    <row r="9" spans="1:2" x14ac:dyDescent="0.2">
      <c r="A9" t="s">
        <v>42</v>
      </c>
      <c r="B9" s="9">
        <f>B6*B7/B8</f>
        <v>89.57182499999999</v>
      </c>
    </row>
    <row r="11" spans="1:2" x14ac:dyDescent="0.2">
      <c r="A11" s="6" t="s">
        <v>72</v>
      </c>
      <c r="B11" s="5"/>
    </row>
    <row r="12" spans="1:2" x14ac:dyDescent="0.2">
      <c r="A12" s="1"/>
    </row>
    <row r="13" spans="1:2" x14ac:dyDescent="0.2">
      <c r="A13" t="s">
        <v>57</v>
      </c>
      <c r="B13">
        <v>266</v>
      </c>
    </row>
    <row r="14" spans="1:2" x14ac:dyDescent="0.2">
      <c r="A14" t="s">
        <v>58</v>
      </c>
      <c r="B14">
        <v>197.7</v>
      </c>
    </row>
    <row r="15" spans="1:2" x14ac:dyDescent="0.2">
      <c r="A15" t="s">
        <v>59</v>
      </c>
      <c r="B15">
        <v>192.7</v>
      </c>
    </row>
    <row r="16" spans="1:2" x14ac:dyDescent="0.2">
      <c r="A16" t="s">
        <v>60</v>
      </c>
      <c r="B16">
        <v>159.30000000000001</v>
      </c>
    </row>
    <row r="17" spans="1:6" x14ac:dyDescent="0.2">
      <c r="A17" t="s">
        <v>61</v>
      </c>
      <c r="B17">
        <v>263.89999999999998</v>
      </c>
    </row>
    <row r="18" spans="1:6" x14ac:dyDescent="0.2">
      <c r="A18" t="s">
        <v>62</v>
      </c>
      <c r="B18">
        <v>201.7</v>
      </c>
    </row>
    <row r="19" spans="1:6" x14ac:dyDescent="0.2">
      <c r="A19" s="1" t="s">
        <v>63</v>
      </c>
      <c r="B19" s="1">
        <f>AVERAGE(B13:B18)</f>
        <v>213.54999999999998</v>
      </c>
      <c r="C19" s="1"/>
    </row>
    <row r="20" spans="1:6" x14ac:dyDescent="0.2">
      <c r="A20" s="1"/>
      <c r="B20" s="1"/>
      <c r="C20" s="1"/>
    </row>
    <row r="21" spans="1:6" x14ac:dyDescent="0.2">
      <c r="A21" t="s">
        <v>56</v>
      </c>
      <c r="B21" s="9">
        <f>44/12</f>
        <v>3.6666666666666665</v>
      </c>
    </row>
    <row r="23" spans="1:6" x14ac:dyDescent="0.2">
      <c r="A23" t="s">
        <v>64</v>
      </c>
      <c r="B23" s="3">
        <f>B19*B21</f>
        <v>783.01666666666654</v>
      </c>
    </row>
    <row r="25" spans="1:6" x14ac:dyDescent="0.2">
      <c r="A25" t="s">
        <v>75</v>
      </c>
      <c r="B25">
        <v>40</v>
      </c>
    </row>
    <row r="26" spans="1:6" x14ac:dyDescent="0.2">
      <c r="A26" t="s">
        <v>66</v>
      </c>
      <c r="B26" s="9">
        <f>B23/B25</f>
        <v>19.575416666666662</v>
      </c>
    </row>
    <row r="28" spans="1:6" x14ac:dyDescent="0.2">
      <c r="A28" s="10" t="s">
        <v>95</v>
      </c>
    </row>
    <row r="29" spans="1:6" x14ac:dyDescent="0.2">
      <c r="A29" s="1" t="s">
        <v>79</v>
      </c>
      <c r="B29" s="1" t="s">
        <v>80</v>
      </c>
      <c r="C29" s="1" t="s">
        <v>81</v>
      </c>
      <c r="D29" s="1" t="s">
        <v>82</v>
      </c>
      <c r="E29" s="1" t="s">
        <v>83</v>
      </c>
      <c r="F29" s="1" t="s">
        <v>84</v>
      </c>
    </row>
    <row r="30" spans="1:6" x14ac:dyDescent="0.2">
      <c r="A30" t="s">
        <v>85</v>
      </c>
      <c r="B30" t="s">
        <v>86</v>
      </c>
      <c r="C30" t="s">
        <v>87</v>
      </c>
      <c r="D30" t="s">
        <v>88</v>
      </c>
      <c r="E30" t="s">
        <v>89</v>
      </c>
      <c r="F30" t="s">
        <v>90</v>
      </c>
    </row>
    <row r="31" spans="1:6" x14ac:dyDescent="0.2">
      <c r="A31" t="s">
        <v>91</v>
      </c>
      <c r="B31" t="s">
        <v>92</v>
      </c>
      <c r="C31" t="s">
        <v>93</v>
      </c>
      <c r="D31" t="s">
        <v>88</v>
      </c>
      <c r="E31" t="s">
        <v>89</v>
      </c>
      <c r="F31" t="s">
        <v>94</v>
      </c>
    </row>
  </sheetData>
  <hyperlinks>
    <hyperlink ref="A28" r:id="rId1" xr:uid="{680CBD88-707E-5348-91F0-50F88AB8DB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2.47105</v>
      </c>
      <c r="B1" t="s">
        <v>38</v>
      </c>
    </row>
    <row r="2" spans="1:2" x14ac:dyDescent="0.2">
      <c r="A2">
        <v>1000000</v>
      </c>
      <c r="B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4976-BEA3-4045-A2B2-27FA6ED5BF6A}">
  <dimension ref="A1:F13"/>
  <sheetViews>
    <sheetView tabSelected="1" workbookViewId="0">
      <selection activeCell="B6" sqref="B6"/>
    </sheetView>
  </sheetViews>
  <sheetFormatPr baseColWidth="10" defaultRowHeight="15" x14ac:dyDescent="0.2"/>
  <sheetData>
    <row r="1" spans="1:6" x14ac:dyDescent="0.2">
      <c r="B1" s="2" t="s">
        <v>39</v>
      </c>
      <c r="E1" t="s">
        <v>76</v>
      </c>
      <c r="F1" t="s">
        <v>39</v>
      </c>
    </row>
    <row r="2" spans="1:6" x14ac:dyDescent="0.2">
      <c r="A2" t="s">
        <v>9</v>
      </c>
      <c r="B2" s="13">
        <v>0</v>
      </c>
      <c r="E2" t="s">
        <v>9</v>
      </c>
      <c r="F2" s="13">
        <v>1746915.2241455801</v>
      </c>
    </row>
    <row r="3" spans="1:6" x14ac:dyDescent="0.2">
      <c r="A3" t="s">
        <v>10</v>
      </c>
      <c r="B3" s="13">
        <f>'Indonesia Data'!B26*grams_per_ton/acres_per_hectare</f>
        <v>7921902.2952456083</v>
      </c>
      <c r="E3" t="s">
        <v>10</v>
      </c>
      <c r="F3" s="13">
        <v>1973063.9059045599</v>
      </c>
    </row>
    <row r="4" spans="1:6" x14ac:dyDescent="0.2">
      <c r="A4" t="s">
        <v>11</v>
      </c>
      <c r="B4" s="13">
        <v>0</v>
      </c>
      <c r="E4" t="s">
        <v>11</v>
      </c>
      <c r="F4" s="13">
        <v>0</v>
      </c>
    </row>
    <row r="5" spans="1:6" x14ac:dyDescent="0.2">
      <c r="A5" t="s">
        <v>12</v>
      </c>
      <c r="B5" s="13">
        <f>'Indonesia Data'!B26*grams_per_ton/acres_per_hectare</f>
        <v>7921902.2952456083</v>
      </c>
      <c r="E5" t="s">
        <v>12</v>
      </c>
      <c r="F5" s="13">
        <v>5617477.9584253896</v>
      </c>
    </row>
    <row r="6" spans="1:6" x14ac:dyDescent="0.2">
      <c r="A6" t="s">
        <v>13</v>
      </c>
      <c r="B6" s="13">
        <f>('Indonesia Data'!B2+'Indonesia Data'!B9)*grams_per_ton/acres_per_hectare</f>
        <v>40700036.421764024</v>
      </c>
      <c r="E6" t="s">
        <v>13</v>
      </c>
      <c r="F6" s="13">
        <v>4936277.0697642304</v>
      </c>
    </row>
    <row r="7" spans="1:6" x14ac:dyDescent="0.2">
      <c r="A7" t="s">
        <v>14</v>
      </c>
      <c r="B7" s="13">
        <f>'Indonesia Data'!B3*grams_per_ton/acres_per_hectare</f>
        <v>3712996.4994637906</v>
      </c>
      <c r="E7" t="s">
        <v>14</v>
      </c>
      <c r="F7" s="13">
        <v>17025923.6378057</v>
      </c>
    </row>
    <row r="9" spans="1:6" x14ac:dyDescent="0.2">
      <c r="A9" t="s">
        <v>77</v>
      </c>
      <c r="B9" s="13">
        <v>24266568</v>
      </c>
    </row>
    <row r="10" spans="1:6" ht="15.75" customHeight="1" x14ac:dyDescent="0.2">
      <c r="A10" s="10" t="s">
        <v>78</v>
      </c>
    </row>
    <row r="12" spans="1:6" x14ac:dyDescent="0.2">
      <c r="B12" s="13"/>
    </row>
    <row r="13" spans="1:6" x14ac:dyDescent="0.2">
      <c r="B13" s="13"/>
    </row>
  </sheetData>
  <hyperlinks>
    <hyperlink ref="A10" r:id="rId1" xr:uid="{133676CD-357E-8D4F-956A-7C48A23E3EE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9.33203125" customWidth="1"/>
    <col min="2" max="2" width="17.5" customWidth="1"/>
  </cols>
  <sheetData>
    <row r="1" spans="1:36" x14ac:dyDescent="0.2">
      <c r="B1" s="2" t="s">
        <v>39</v>
      </c>
      <c r="D1" s="2"/>
      <c r="E1" s="11"/>
      <c r="F1" s="11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</row>
    <row r="2" spans="1:36" x14ac:dyDescent="0.2">
      <c r="A2" t="s">
        <v>9</v>
      </c>
      <c r="B2" s="13">
        <f>Sheet1!B2</f>
        <v>0</v>
      </c>
      <c r="E2" s="11"/>
      <c r="F2" s="12"/>
      <c r="H2" s="13"/>
    </row>
    <row r="3" spans="1:36" x14ac:dyDescent="0.2">
      <c r="A3" t="s">
        <v>10</v>
      </c>
      <c r="B3" s="13">
        <f>Sheet1!B3</f>
        <v>7921902.2952456083</v>
      </c>
      <c r="C3" s="3"/>
      <c r="D3" s="3"/>
      <c r="E3" s="11"/>
      <c r="F3" s="12"/>
      <c r="G3" s="3"/>
      <c r="H3" s="1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x14ac:dyDescent="0.2">
      <c r="A4" t="s">
        <v>11</v>
      </c>
      <c r="B4" s="13">
        <f>Sheet1!B4</f>
        <v>0</v>
      </c>
      <c r="E4" s="11"/>
      <c r="F4" s="12"/>
      <c r="H4" s="13"/>
    </row>
    <row r="5" spans="1:36" x14ac:dyDescent="0.2">
      <c r="A5" t="s">
        <v>12</v>
      </c>
      <c r="B5" s="13">
        <f>Sheet1!B5</f>
        <v>7921902.2952456083</v>
      </c>
      <c r="C5" s="3"/>
      <c r="D5" s="3"/>
      <c r="E5" s="11"/>
      <c r="F5" s="12"/>
      <c r="G5" s="3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2">
      <c r="A6" t="s">
        <v>13</v>
      </c>
      <c r="B6" s="13">
        <f>Sheet1!B6</f>
        <v>40700036.421764024</v>
      </c>
      <c r="C6" s="3"/>
      <c r="D6" s="3"/>
      <c r="E6" s="11"/>
      <c r="F6" s="12"/>
      <c r="G6" s="3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2">
      <c r="A7" t="s">
        <v>14</v>
      </c>
      <c r="B7" s="13">
        <f>Sheet1!B7</f>
        <v>3712996.4994637906</v>
      </c>
      <c r="C7" s="3"/>
      <c r="D7" s="3"/>
      <c r="E7" s="11"/>
      <c r="F7" s="12"/>
      <c r="G7" s="3"/>
      <c r="H7" s="1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About</vt:lpstr>
      <vt:lpstr>Indonesia Data</vt:lpstr>
      <vt:lpstr>conversion factors</vt:lpstr>
      <vt:lpstr>Sheet1</vt:lpstr>
      <vt:lpstr>CSpULApYbP</vt:lpstr>
      <vt:lpstr>acres_per_hectare</vt:lpstr>
      <vt:lpstr>grams_per_ton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2017-01-27T07:38:37Z</dcterms:created>
  <dcterms:modified xsi:type="dcterms:W3CDTF">2025-07-31T09:16:18Z</dcterms:modified>
</cp:coreProperties>
</file>