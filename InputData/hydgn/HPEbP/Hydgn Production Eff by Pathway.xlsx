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hydgn/HPEbP/"/>
    </mc:Choice>
  </mc:AlternateContent>
  <xr:revisionPtr revIDLastSave="0" documentId="13_ncr:1_{EBC42961-654D-B747-BD1C-CACF25E7261C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About" sheetId="1" r:id="rId1"/>
    <sheet name="IEA Data" sheetId="3" r:id="rId2"/>
    <sheet name="HPEbP" sheetId="2" r:id="rId3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K3" i="2"/>
  <c r="AL3" i="2"/>
  <c r="AM3" i="2"/>
  <c r="AN3" i="2"/>
  <c r="AO3" i="2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AK4" i="2"/>
  <c r="AL4" i="2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K5" i="2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AK6" i="2"/>
  <c r="AL6" i="2"/>
  <c r="AM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AJ3" i="2"/>
  <c r="AJ4" i="2"/>
  <c r="AJ5" i="2"/>
  <c r="AJ6" i="2"/>
  <c r="AJ2" i="2"/>
  <c r="AK1" i="2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AJ1" i="2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<sst xmlns="http://schemas.openxmlformats.org/spreadsheetml/2006/main" count="63" uniqueCount="46">
  <si>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</si>
  <si>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</si>
  <si>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</si>
  <si>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</si>
  <si>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</si>
  <si>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</si>
  <si>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thermochemical water splitting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</si>
  <si>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</si>
  <si>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</si>
  <si>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</si>
  <si>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</si>
  <si>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</si>
  <si>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</si>
  <si>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</si>
  <si>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</si>
  <si>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</si>
  <si>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</si>
  <si>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</si>
  <si>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</si>
  <si>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</si>
  <si>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</si>
  <si>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</si>
  <si>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</si>
  <si>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</si>
  <si>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</si>
  <si>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</si>
  <si>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</si>
  <si>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</si>
  <si>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</si>
  <si>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</si>
  <si>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</si>
  <si>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</si>
  <si>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</si>
  <si>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</si>
  <si>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</si>
  <si>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</si>
  <si>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the model's results.  We arbitrarily assign a value of 0.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</si>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</sst>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4" sqref="B14"/>
    </sheetView>
  </sheetViews>
  <sheetFormatPr baseColWidth="10" defaultColWidth="8.83203125" defaultRowHeight="15" x14ac:dyDescent="0.2"/>
  <cols>
    <col min="2" max="2" width="98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40</v>
      </c>
    </row>
    <row r="4" spans="1:2" x14ac:dyDescent="0.2">
      <c r="B4" t="s">
        <v>33</v>
      </c>
    </row>
    <row r="5" spans="1:2" x14ac:dyDescent="0.2">
      <c r="B5" s="3">
        <v>2019</v>
      </c>
    </row>
    <row r="6" spans="1:2" x14ac:dyDescent="0.2">
      <c r="B6" t="s">
        <v>34</v>
      </c>
    </row>
    <row r="7" spans="1:2" x14ac:dyDescent="0.2">
      <c r="B7" s="4" t="s">
        <v>38</v>
      </c>
    </row>
    <row r="8" spans="1:2" x14ac:dyDescent="0.2">
      <c r="B8" t="s">
        <v>35</v>
      </c>
    </row>
    <row r="10" spans="1:2" x14ac:dyDescent="0.2">
      <c r="B10" s="2" t="s">
        <v>41</v>
      </c>
    </row>
    <row r="11" spans="1:2" x14ac:dyDescent="0.2">
      <c r="B11" t="s">
        <v>42</v>
      </c>
    </row>
    <row r="12" spans="1:2" x14ac:dyDescent="0.2">
      <c r="B12" s="3">
        <v>2013</v>
      </c>
    </row>
    <row r="13" spans="1:2" x14ac:dyDescent="0.2">
      <c r="B13" t="s">
        <v>43</v>
      </c>
    </row>
    <row r="14" spans="1:2" x14ac:dyDescent="0.2">
      <c r="B14" s="4" t="s">
        <v>44</v>
      </c>
    </row>
    <row r="15" spans="1:2" x14ac:dyDescent="0.2">
      <c r="B15" t="s">
        <v>45</v>
      </c>
    </row>
    <row r="19" spans="1:1" x14ac:dyDescent="0.2">
      <c r="A19" s="1" t="s">
        <v>7</v>
      </c>
    </row>
    <row r="20" spans="1:1" x14ac:dyDescent="0.2">
      <c r="A20" t="s">
        <v>8</v>
      </c>
    </row>
    <row r="21" spans="1:1" x14ac:dyDescent="0.2">
      <c r="A21" t="s">
        <v>9</v>
      </c>
    </row>
    <row r="23" spans="1:1" x14ac:dyDescent="0.2">
      <c r="A23" s="1" t="s">
        <v>10</v>
      </c>
    </row>
    <row r="24" spans="1:1" x14ac:dyDescent="0.2">
      <c r="A24" t="s">
        <v>11</v>
      </c>
    </row>
    <row r="25" spans="1:1" x14ac:dyDescent="0.2">
      <c r="A25" t="s">
        <v>12</v>
      </c>
    </row>
    <row r="26" spans="1:1" x14ac:dyDescent="0.2">
      <c r="A26" t="s">
        <v>13</v>
      </c>
    </row>
    <row r="27" spans="1:1" x14ac:dyDescent="0.2">
      <c r="A27" t="s">
        <v>14</v>
      </c>
    </row>
    <row r="28" spans="1:1" x14ac:dyDescent="0.2">
      <c r="A28" t="s">
        <v>15</v>
      </c>
    </row>
    <row r="29" spans="1:1" x14ac:dyDescent="0.2">
      <c r="A29" t="s">
        <v>16</v>
      </c>
    </row>
    <row r="30" spans="1:1" x14ac:dyDescent="0.2">
      <c r="A30" t="s">
        <v>36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F7" sqref="D7:F7"/>
    </sheetView>
  </sheetViews>
  <sheetFormatPr baseColWidth="10" defaultColWidth="8.83203125" defaultRowHeight="15" x14ac:dyDescent="0.2"/>
  <cols>
    <col min="1" max="3" width="25.5" customWidth="1"/>
    <col min="4" max="4" width="11.5" customWidth="1"/>
    <col min="5" max="5" width="10.1640625" customWidth="1"/>
    <col min="6" max="6" width="14.5" customWidth="1"/>
  </cols>
  <sheetData>
    <row r="1" spans="1:6" ht="16" thickBot="1" x14ac:dyDescent="0.25">
      <c r="A1" s="10" t="s">
        <v>21</v>
      </c>
      <c r="B1" s="10" t="s">
        <v>19</v>
      </c>
      <c r="C1" s="10" t="s">
        <v>20</v>
      </c>
      <c r="D1" s="11" t="s">
        <v>18</v>
      </c>
      <c r="E1" s="11">
        <v>2030</v>
      </c>
      <c r="F1" s="11" t="s">
        <v>17</v>
      </c>
    </row>
    <row r="2" spans="1:6" ht="16" thickTop="1" x14ac:dyDescent="0.2">
      <c r="A2" t="s">
        <v>2</v>
      </c>
      <c r="B2" t="s">
        <v>22</v>
      </c>
      <c r="C2" t="s">
        <v>23</v>
      </c>
      <c r="D2">
        <v>900</v>
      </c>
      <c r="E2">
        <v>700</v>
      </c>
      <c r="F2">
        <v>450</v>
      </c>
    </row>
    <row r="3" spans="1:6" x14ac:dyDescent="0.2">
      <c r="B3" t="s">
        <v>24</v>
      </c>
      <c r="C3" t="s">
        <v>25</v>
      </c>
      <c r="D3" s="7">
        <v>0.64</v>
      </c>
      <c r="E3" s="7">
        <v>0.69</v>
      </c>
      <c r="F3" s="7">
        <v>0.74</v>
      </c>
    </row>
    <row r="4" spans="1:6" x14ac:dyDescent="0.2">
      <c r="B4" t="s">
        <v>26</v>
      </c>
      <c r="C4" t="s">
        <v>27</v>
      </c>
      <c r="D4" s="8">
        <v>1.4999999999999999E-2</v>
      </c>
      <c r="E4" s="8">
        <v>1.4999999999999999E-2</v>
      </c>
      <c r="F4" s="8">
        <v>1.4999999999999999E-2</v>
      </c>
    </row>
    <row r="5" spans="1:6" ht="16" thickBot="1" x14ac:dyDescent="0.25">
      <c r="A5" s="9"/>
      <c r="B5" s="9" t="s">
        <v>28</v>
      </c>
      <c r="C5" s="9" t="s">
        <v>29</v>
      </c>
      <c r="D5" s="9">
        <v>95000</v>
      </c>
      <c r="E5" s="9">
        <v>95000</v>
      </c>
      <c r="F5" s="9">
        <v>100000</v>
      </c>
    </row>
    <row r="6" spans="1:6" ht="16" thickTop="1" x14ac:dyDescent="0.2">
      <c r="A6" t="s">
        <v>3</v>
      </c>
      <c r="B6" t="s">
        <v>22</v>
      </c>
      <c r="C6" t="s">
        <v>23</v>
      </c>
      <c r="D6">
        <v>910</v>
      </c>
      <c r="E6">
        <v>910</v>
      </c>
      <c r="F6">
        <v>910</v>
      </c>
    </row>
    <row r="7" spans="1:6" x14ac:dyDescent="0.2">
      <c r="B7" t="s">
        <v>24</v>
      </c>
      <c r="C7" t="s">
        <v>25</v>
      </c>
      <c r="D7" s="7">
        <v>0.76</v>
      </c>
      <c r="E7" s="7">
        <v>0.76</v>
      </c>
      <c r="F7" s="7">
        <v>0.76</v>
      </c>
    </row>
    <row r="8" spans="1:6" x14ac:dyDescent="0.2">
      <c r="B8" t="s">
        <v>26</v>
      </c>
      <c r="C8" t="s">
        <v>27</v>
      </c>
      <c r="D8" s="8">
        <v>4.7E-2</v>
      </c>
      <c r="E8" s="8">
        <v>4.7E-2</v>
      </c>
      <c r="F8" s="8">
        <v>4.7E-2</v>
      </c>
    </row>
    <row r="9" spans="1:6" ht="16" thickBot="1" x14ac:dyDescent="0.25">
      <c r="A9" s="9"/>
      <c r="B9" s="9" t="s">
        <v>30</v>
      </c>
      <c r="C9" s="9" t="s">
        <v>31</v>
      </c>
      <c r="D9" s="9">
        <v>8.9</v>
      </c>
      <c r="E9" s="9">
        <v>8.9</v>
      </c>
      <c r="F9" s="9">
        <v>8.9</v>
      </c>
    </row>
    <row r="10" spans="1:6" ht="16" thickTop="1" x14ac:dyDescent="0.2">
      <c r="A10" t="s">
        <v>4</v>
      </c>
      <c r="B10" t="s">
        <v>22</v>
      </c>
      <c r="C10" t="s">
        <v>23</v>
      </c>
      <c r="D10">
        <v>2670</v>
      </c>
      <c r="E10">
        <v>2670</v>
      </c>
      <c r="F10">
        <v>2670</v>
      </c>
    </row>
    <row r="11" spans="1:6" x14ac:dyDescent="0.2">
      <c r="B11" t="s">
        <v>24</v>
      </c>
      <c r="C11" t="s">
        <v>25</v>
      </c>
      <c r="D11" s="7">
        <v>0.6</v>
      </c>
      <c r="E11" s="7">
        <v>0.6</v>
      </c>
      <c r="F11" s="7">
        <v>0.6</v>
      </c>
    </row>
    <row r="12" spans="1:6" x14ac:dyDescent="0.2">
      <c r="B12" t="s">
        <v>26</v>
      </c>
      <c r="C12" t="s">
        <v>27</v>
      </c>
      <c r="D12" s="7">
        <v>0.05</v>
      </c>
      <c r="E12" s="7">
        <v>0.05</v>
      </c>
      <c r="F12" s="7">
        <v>0.05</v>
      </c>
    </row>
    <row r="13" spans="1:6" ht="16" thickBot="1" x14ac:dyDescent="0.25">
      <c r="A13" s="9"/>
      <c r="B13" s="9" t="s">
        <v>30</v>
      </c>
      <c r="C13" s="9" t="s">
        <v>31</v>
      </c>
      <c r="D13" s="9">
        <v>20.2</v>
      </c>
      <c r="E13" s="9">
        <v>20.2</v>
      </c>
      <c r="F13" s="9">
        <v>20.2</v>
      </c>
    </row>
    <row r="14" spans="1:6" ht="16" thickTop="1" x14ac:dyDescent="0.2"/>
    <row r="15" spans="1:6" x14ac:dyDescent="0.2">
      <c r="A15" t="s">
        <v>32</v>
      </c>
      <c r="D15">
        <v>2017</v>
      </c>
      <c r="E15">
        <v>2030</v>
      </c>
      <c r="F15">
        <v>2050</v>
      </c>
    </row>
    <row r="18" spans="1:5" x14ac:dyDescent="0.2">
      <c r="A18" t="s">
        <v>39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6"/>
  <sheetViews>
    <sheetView tabSelected="1" topLeftCell="Z1" workbookViewId="0">
      <selection activeCell="AJ2" sqref="AJ2:BC6"/>
    </sheetView>
  </sheetViews>
  <sheetFormatPr baseColWidth="10" defaultColWidth="8.83203125" defaultRowHeight="15" x14ac:dyDescent="0.2"/>
  <cols>
    <col min="1" max="1" width="30.1640625" customWidth="1"/>
    <col min="2" max="2" width="9.5" bestFit="1" customWidth="1"/>
  </cols>
  <sheetData>
    <row r="1" spans="1:55" x14ac:dyDescent="0.2">
      <c r="A1" s="1" t="s">
        <v>37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  <c r="AJ1">
        <f>AI1+1</f>
        <v>2051</v>
      </c>
      <c r="AK1">
        <f t="shared" ref="AK1:BH1" si="0">AJ1+1</f>
        <v>2052</v>
      </c>
      <c r="AL1">
        <f t="shared" si="0"/>
        <v>2053</v>
      </c>
      <c r="AM1">
        <f t="shared" si="0"/>
        <v>2054</v>
      </c>
      <c r="AN1">
        <f t="shared" si="0"/>
        <v>2055</v>
      </c>
      <c r="AO1">
        <f t="shared" si="0"/>
        <v>2056</v>
      </c>
      <c r="AP1">
        <f t="shared" si="0"/>
        <v>2057</v>
      </c>
      <c r="AQ1">
        <f t="shared" si="0"/>
        <v>2058</v>
      </c>
      <c r="AR1">
        <f t="shared" si="0"/>
        <v>2059</v>
      </c>
      <c r="AS1">
        <f t="shared" si="0"/>
        <v>2060</v>
      </c>
      <c r="AT1">
        <f t="shared" si="0"/>
        <v>2061</v>
      </c>
      <c r="AU1">
        <f t="shared" si="0"/>
        <v>2062</v>
      </c>
      <c r="AV1">
        <f t="shared" si="0"/>
        <v>2063</v>
      </c>
      <c r="AW1">
        <f t="shared" si="0"/>
        <v>2064</v>
      </c>
      <c r="AX1">
        <f t="shared" si="0"/>
        <v>2065</v>
      </c>
      <c r="AY1">
        <f t="shared" si="0"/>
        <v>2066</v>
      </c>
      <c r="AZ1">
        <f t="shared" si="0"/>
        <v>2067</v>
      </c>
      <c r="BA1">
        <f t="shared" si="0"/>
        <v>2068</v>
      </c>
      <c r="BB1">
        <f t="shared" si="0"/>
        <v>2069</v>
      </c>
      <c r="BC1">
        <f t="shared" si="0"/>
        <v>2070</v>
      </c>
    </row>
    <row r="2" spans="1:55" x14ac:dyDescent="0.2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  <c r="AJ2" s="6">
        <f>AI2</f>
        <v>0.77521306818181679</v>
      </c>
      <c r="AK2" s="6">
        <f t="shared" ref="AK2:BC6" si="1">AJ2</f>
        <v>0.77521306818181679</v>
      </c>
      <c r="AL2" s="6">
        <f t="shared" si="1"/>
        <v>0.77521306818181679</v>
      </c>
      <c r="AM2" s="6">
        <f t="shared" si="1"/>
        <v>0.77521306818181679</v>
      </c>
      <c r="AN2" s="6">
        <f t="shared" si="1"/>
        <v>0.77521306818181679</v>
      </c>
      <c r="AO2" s="6">
        <f t="shared" si="1"/>
        <v>0.77521306818181679</v>
      </c>
      <c r="AP2" s="6">
        <f t="shared" si="1"/>
        <v>0.77521306818181679</v>
      </c>
      <c r="AQ2" s="6">
        <f t="shared" si="1"/>
        <v>0.77521306818181679</v>
      </c>
      <c r="AR2" s="6">
        <f t="shared" si="1"/>
        <v>0.77521306818181679</v>
      </c>
      <c r="AS2" s="6">
        <f t="shared" si="1"/>
        <v>0.77521306818181679</v>
      </c>
      <c r="AT2" s="6">
        <f t="shared" si="1"/>
        <v>0.77521306818181679</v>
      </c>
      <c r="AU2" s="6">
        <f t="shared" si="1"/>
        <v>0.77521306818181679</v>
      </c>
      <c r="AV2" s="6">
        <f t="shared" si="1"/>
        <v>0.77521306818181679</v>
      </c>
      <c r="AW2" s="6">
        <f t="shared" si="1"/>
        <v>0.77521306818181679</v>
      </c>
      <c r="AX2" s="6">
        <f t="shared" si="1"/>
        <v>0.77521306818181679</v>
      </c>
      <c r="AY2" s="6">
        <f t="shared" si="1"/>
        <v>0.77521306818181679</v>
      </c>
      <c r="AZ2" s="6">
        <f t="shared" si="1"/>
        <v>0.77521306818181679</v>
      </c>
      <c r="BA2" s="6">
        <f t="shared" si="1"/>
        <v>0.77521306818181679</v>
      </c>
      <c r="BB2" s="6">
        <f t="shared" si="1"/>
        <v>0.77521306818181679</v>
      </c>
      <c r="BC2" s="6">
        <f t="shared" si="1"/>
        <v>0.77521306818181679</v>
      </c>
    </row>
    <row r="3" spans="1:55" x14ac:dyDescent="0.2">
      <c r="A3" t="s">
        <v>3</v>
      </c>
      <c r="B3" s="6">
        <f>118/(162+2)</f>
        <v>0.71951219512195119</v>
      </c>
      <c r="C3" s="6">
        <f>B3</f>
        <v>0.71951219512195119</v>
      </c>
      <c r="D3" s="6">
        <f t="shared" ref="D3:O3" si="2">C3</f>
        <v>0.71951219512195119</v>
      </c>
      <c r="E3" s="6">
        <f t="shared" si="2"/>
        <v>0.71951219512195119</v>
      </c>
      <c r="F3" s="6">
        <f t="shared" si="2"/>
        <v>0.71951219512195119</v>
      </c>
      <c r="G3" s="6">
        <f t="shared" si="2"/>
        <v>0.71951219512195119</v>
      </c>
      <c r="H3" s="6">
        <f t="shared" si="2"/>
        <v>0.71951219512195119</v>
      </c>
      <c r="I3" s="6">
        <f t="shared" si="2"/>
        <v>0.71951219512195119</v>
      </c>
      <c r="J3" s="6">
        <f t="shared" si="2"/>
        <v>0.71951219512195119</v>
      </c>
      <c r="K3" s="6">
        <f t="shared" si="2"/>
        <v>0.71951219512195119</v>
      </c>
      <c r="L3" s="6">
        <f t="shared" si="2"/>
        <v>0.71951219512195119</v>
      </c>
      <c r="M3" s="6">
        <f t="shared" si="2"/>
        <v>0.71951219512195119</v>
      </c>
      <c r="N3" s="6">
        <f t="shared" si="2"/>
        <v>0.71951219512195119</v>
      </c>
      <c r="O3" s="6">
        <f t="shared" si="2"/>
        <v>0.71951219512195119</v>
      </c>
      <c r="P3" s="12">
        <f>O3</f>
        <v>0.71951219512195119</v>
      </c>
      <c r="Q3" s="6">
        <f t="shared" ref="Q3:AJ6" si="3">P3</f>
        <v>0.71951219512195119</v>
      </c>
      <c r="R3" s="6">
        <f t="shared" si="3"/>
        <v>0.71951219512195119</v>
      </c>
      <c r="S3" s="6">
        <f t="shared" si="3"/>
        <v>0.71951219512195119</v>
      </c>
      <c r="T3" s="6">
        <f t="shared" si="3"/>
        <v>0.71951219512195119</v>
      </c>
      <c r="U3" s="6">
        <f t="shared" si="3"/>
        <v>0.71951219512195119</v>
      </c>
      <c r="V3" s="6">
        <f t="shared" si="3"/>
        <v>0.71951219512195119</v>
      </c>
      <c r="W3" s="6">
        <f t="shared" si="3"/>
        <v>0.71951219512195119</v>
      </c>
      <c r="X3" s="6">
        <f t="shared" si="3"/>
        <v>0.71951219512195119</v>
      </c>
      <c r="Y3" s="6">
        <f t="shared" si="3"/>
        <v>0.71951219512195119</v>
      </c>
      <c r="Z3" s="6">
        <f t="shared" si="3"/>
        <v>0.71951219512195119</v>
      </c>
      <c r="AA3" s="6">
        <f t="shared" si="3"/>
        <v>0.71951219512195119</v>
      </c>
      <c r="AB3" s="6">
        <f t="shared" si="3"/>
        <v>0.71951219512195119</v>
      </c>
      <c r="AC3" s="6">
        <f t="shared" si="3"/>
        <v>0.71951219512195119</v>
      </c>
      <c r="AD3" s="6">
        <f t="shared" si="3"/>
        <v>0.71951219512195119</v>
      </c>
      <c r="AE3" s="6">
        <f t="shared" si="3"/>
        <v>0.71951219512195119</v>
      </c>
      <c r="AF3" s="6">
        <f t="shared" si="3"/>
        <v>0.71951219512195119</v>
      </c>
      <c r="AG3" s="6">
        <f t="shared" si="3"/>
        <v>0.71951219512195119</v>
      </c>
      <c r="AH3" s="6">
        <f t="shared" si="3"/>
        <v>0.71951219512195119</v>
      </c>
      <c r="AI3" s="6">
        <f t="shared" si="3"/>
        <v>0.71951219512195119</v>
      </c>
      <c r="AJ3" s="6">
        <f t="shared" si="3"/>
        <v>0.71951219512195119</v>
      </c>
      <c r="AK3" s="6">
        <f t="shared" si="1"/>
        <v>0.71951219512195119</v>
      </c>
      <c r="AL3" s="6">
        <f t="shared" si="1"/>
        <v>0.71951219512195119</v>
      </c>
      <c r="AM3" s="6">
        <f t="shared" si="1"/>
        <v>0.71951219512195119</v>
      </c>
      <c r="AN3" s="6">
        <f t="shared" si="1"/>
        <v>0.71951219512195119</v>
      </c>
      <c r="AO3" s="6">
        <f t="shared" si="1"/>
        <v>0.71951219512195119</v>
      </c>
      <c r="AP3" s="6">
        <f t="shared" si="1"/>
        <v>0.71951219512195119</v>
      </c>
      <c r="AQ3" s="6">
        <f t="shared" si="1"/>
        <v>0.71951219512195119</v>
      </c>
      <c r="AR3" s="6">
        <f t="shared" si="1"/>
        <v>0.71951219512195119</v>
      </c>
      <c r="AS3" s="6">
        <f t="shared" si="1"/>
        <v>0.71951219512195119</v>
      </c>
      <c r="AT3" s="6">
        <f t="shared" si="1"/>
        <v>0.71951219512195119</v>
      </c>
      <c r="AU3" s="6">
        <f t="shared" si="1"/>
        <v>0.71951219512195119</v>
      </c>
      <c r="AV3" s="6">
        <f t="shared" si="1"/>
        <v>0.71951219512195119</v>
      </c>
      <c r="AW3" s="6">
        <f t="shared" si="1"/>
        <v>0.71951219512195119</v>
      </c>
      <c r="AX3" s="6">
        <f t="shared" si="1"/>
        <v>0.71951219512195119</v>
      </c>
      <c r="AY3" s="6">
        <f t="shared" si="1"/>
        <v>0.71951219512195119</v>
      </c>
      <c r="AZ3" s="6">
        <f t="shared" si="1"/>
        <v>0.71951219512195119</v>
      </c>
      <c r="BA3" s="6">
        <f t="shared" si="1"/>
        <v>0.71951219512195119</v>
      </c>
      <c r="BB3" s="6">
        <f t="shared" si="1"/>
        <v>0.71951219512195119</v>
      </c>
      <c r="BC3" s="6">
        <f t="shared" si="1"/>
        <v>0.71951219512195119</v>
      </c>
    </row>
    <row r="4" spans="1:55" x14ac:dyDescent="0.2">
      <c r="A4" t="s">
        <v>4</v>
      </c>
      <c r="B4" s="6">
        <f>118/SUM(201,6)</f>
        <v>0.57004830917874394</v>
      </c>
      <c r="C4" s="6">
        <f t="shared" ref="C4:P6" si="4">B4</f>
        <v>0.57004830917874394</v>
      </c>
      <c r="D4" s="6">
        <f t="shared" si="4"/>
        <v>0.57004830917874394</v>
      </c>
      <c r="E4" s="6">
        <f t="shared" si="4"/>
        <v>0.57004830917874394</v>
      </c>
      <c r="F4" s="6">
        <f t="shared" si="4"/>
        <v>0.57004830917874394</v>
      </c>
      <c r="G4" s="6">
        <f t="shared" si="4"/>
        <v>0.57004830917874394</v>
      </c>
      <c r="H4" s="6">
        <f t="shared" si="4"/>
        <v>0.57004830917874394</v>
      </c>
      <c r="I4" s="6">
        <f t="shared" si="4"/>
        <v>0.57004830917874394</v>
      </c>
      <c r="J4" s="6">
        <f t="shared" si="4"/>
        <v>0.57004830917874394</v>
      </c>
      <c r="K4" s="6">
        <f t="shared" si="4"/>
        <v>0.57004830917874394</v>
      </c>
      <c r="L4" s="6">
        <f t="shared" si="4"/>
        <v>0.57004830917874394</v>
      </c>
      <c r="M4" s="6">
        <f t="shared" si="4"/>
        <v>0.57004830917874394</v>
      </c>
      <c r="N4" s="6">
        <f t="shared" si="4"/>
        <v>0.57004830917874394</v>
      </c>
      <c r="O4" s="6">
        <f t="shared" si="4"/>
        <v>0.57004830917874394</v>
      </c>
      <c r="P4" s="12">
        <f t="shared" si="4"/>
        <v>0.57004830917874394</v>
      </c>
      <c r="Q4" s="6">
        <f t="shared" ref="Q4:AI4" si="5">P4</f>
        <v>0.57004830917874394</v>
      </c>
      <c r="R4" s="6">
        <f t="shared" si="5"/>
        <v>0.57004830917874394</v>
      </c>
      <c r="S4" s="6">
        <f t="shared" si="5"/>
        <v>0.57004830917874394</v>
      </c>
      <c r="T4" s="6">
        <f t="shared" si="5"/>
        <v>0.57004830917874394</v>
      </c>
      <c r="U4" s="6">
        <f t="shared" si="5"/>
        <v>0.57004830917874394</v>
      </c>
      <c r="V4" s="6">
        <f t="shared" si="5"/>
        <v>0.57004830917874394</v>
      </c>
      <c r="W4" s="6">
        <f t="shared" si="5"/>
        <v>0.57004830917874394</v>
      </c>
      <c r="X4" s="6">
        <f t="shared" si="5"/>
        <v>0.57004830917874394</v>
      </c>
      <c r="Y4" s="6">
        <f t="shared" si="5"/>
        <v>0.57004830917874394</v>
      </c>
      <c r="Z4" s="6">
        <f t="shared" si="5"/>
        <v>0.57004830917874394</v>
      </c>
      <c r="AA4" s="6">
        <f t="shared" si="5"/>
        <v>0.57004830917874394</v>
      </c>
      <c r="AB4" s="6">
        <f t="shared" si="5"/>
        <v>0.57004830917874394</v>
      </c>
      <c r="AC4" s="6">
        <f t="shared" si="5"/>
        <v>0.57004830917874394</v>
      </c>
      <c r="AD4" s="6">
        <f t="shared" si="5"/>
        <v>0.57004830917874394</v>
      </c>
      <c r="AE4" s="6">
        <f t="shared" si="5"/>
        <v>0.57004830917874394</v>
      </c>
      <c r="AF4" s="6">
        <f t="shared" si="5"/>
        <v>0.57004830917874394</v>
      </c>
      <c r="AG4" s="6">
        <f t="shared" si="5"/>
        <v>0.57004830917874394</v>
      </c>
      <c r="AH4" s="6">
        <f t="shared" si="5"/>
        <v>0.57004830917874394</v>
      </c>
      <c r="AI4" s="6">
        <f t="shared" si="5"/>
        <v>0.57004830917874394</v>
      </c>
      <c r="AJ4" s="6">
        <f t="shared" si="3"/>
        <v>0.57004830917874394</v>
      </c>
      <c r="AK4" s="6">
        <f t="shared" si="1"/>
        <v>0.57004830917874394</v>
      </c>
      <c r="AL4" s="6">
        <f t="shared" si="1"/>
        <v>0.57004830917874394</v>
      </c>
      <c r="AM4" s="6">
        <f t="shared" si="1"/>
        <v>0.57004830917874394</v>
      </c>
      <c r="AN4" s="6">
        <f t="shared" si="1"/>
        <v>0.57004830917874394</v>
      </c>
      <c r="AO4" s="6">
        <f t="shared" si="1"/>
        <v>0.57004830917874394</v>
      </c>
      <c r="AP4" s="6">
        <f t="shared" si="1"/>
        <v>0.57004830917874394</v>
      </c>
      <c r="AQ4" s="6">
        <f t="shared" si="1"/>
        <v>0.57004830917874394</v>
      </c>
      <c r="AR4" s="6">
        <f t="shared" si="1"/>
        <v>0.57004830917874394</v>
      </c>
      <c r="AS4" s="6">
        <f t="shared" si="1"/>
        <v>0.57004830917874394</v>
      </c>
      <c r="AT4" s="6">
        <f t="shared" si="1"/>
        <v>0.57004830917874394</v>
      </c>
      <c r="AU4" s="6">
        <f t="shared" si="1"/>
        <v>0.57004830917874394</v>
      </c>
      <c r="AV4" s="6">
        <f t="shared" si="1"/>
        <v>0.57004830917874394</v>
      </c>
      <c r="AW4" s="6">
        <f t="shared" si="1"/>
        <v>0.57004830917874394</v>
      </c>
      <c r="AX4" s="6">
        <f t="shared" si="1"/>
        <v>0.57004830917874394</v>
      </c>
      <c r="AY4" s="6">
        <f t="shared" si="1"/>
        <v>0.57004830917874394</v>
      </c>
      <c r="AZ4" s="6">
        <f t="shared" si="1"/>
        <v>0.57004830917874394</v>
      </c>
      <c r="BA4" s="6">
        <f t="shared" si="1"/>
        <v>0.57004830917874394</v>
      </c>
      <c r="BB4" s="6">
        <f t="shared" si="1"/>
        <v>0.57004830917874394</v>
      </c>
      <c r="BC4" s="6">
        <f t="shared" si="1"/>
        <v>0.57004830917874394</v>
      </c>
    </row>
    <row r="5" spans="1:55" x14ac:dyDescent="0.2">
      <c r="A5" t="s">
        <v>5</v>
      </c>
      <c r="B5" s="6">
        <f>118/(246+3+6)</f>
        <v>0.46274509803921571</v>
      </c>
      <c r="C5" s="6">
        <f t="shared" si="4"/>
        <v>0.46274509803921571</v>
      </c>
      <c r="D5" s="6">
        <f t="shared" si="4"/>
        <v>0.46274509803921571</v>
      </c>
      <c r="E5" s="6">
        <f t="shared" si="4"/>
        <v>0.46274509803921571</v>
      </c>
      <c r="F5" s="6">
        <f t="shared" si="4"/>
        <v>0.46274509803921571</v>
      </c>
      <c r="G5" s="6">
        <f t="shared" si="4"/>
        <v>0.46274509803921571</v>
      </c>
      <c r="H5" s="6">
        <f t="shared" si="4"/>
        <v>0.46274509803921571</v>
      </c>
      <c r="I5" s="6">
        <f t="shared" si="4"/>
        <v>0.46274509803921571</v>
      </c>
      <c r="J5" s="6">
        <f t="shared" si="4"/>
        <v>0.46274509803921571</v>
      </c>
      <c r="K5" s="6">
        <f t="shared" si="4"/>
        <v>0.46274509803921571</v>
      </c>
      <c r="L5" s="6">
        <f t="shared" si="4"/>
        <v>0.46274509803921571</v>
      </c>
      <c r="M5" s="6">
        <f t="shared" si="4"/>
        <v>0.46274509803921571</v>
      </c>
      <c r="N5" s="6">
        <f t="shared" si="4"/>
        <v>0.46274509803921571</v>
      </c>
      <c r="O5" s="6">
        <f t="shared" si="4"/>
        <v>0.46274509803921571</v>
      </c>
      <c r="P5" s="12">
        <f t="shared" si="4"/>
        <v>0.46274509803921571</v>
      </c>
      <c r="Q5" s="6">
        <f t="shared" ref="Q5:AI5" si="6">P5</f>
        <v>0.46274509803921571</v>
      </c>
      <c r="R5" s="6">
        <f t="shared" si="6"/>
        <v>0.46274509803921571</v>
      </c>
      <c r="S5" s="6">
        <f t="shared" si="6"/>
        <v>0.46274509803921571</v>
      </c>
      <c r="T5" s="6">
        <f t="shared" si="6"/>
        <v>0.46274509803921571</v>
      </c>
      <c r="U5" s="6">
        <f t="shared" si="6"/>
        <v>0.46274509803921571</v>
      </c>
      <c r="V5" s="6">
        <f t="shared" si="6"/>
        <v>0.46274509803921571</v>
      </c>
      <c r="W5" s="6">
        <f t="shared" si="6"/>
        <v>0.46274509803921571</v>
      </c>
      <c r="X5" s="6">
        <f t="shared" si="6"/>
        <v>0.46274509803921571</v>
      </c>
      <c r="Y5" s="6">
        <f t="shared" si="6"/>
        <v>0.46274509803921571</v>
      </c>
      <c r="Z5" s="6">
        <f t="shared" si="6"/>
        <v>0.46274509803921571</v>
      </c>
      <c r="AA5" s="6">
        <f t="shared" si="6"/>
        <v>0.46274509803921571</v>
      </c>
      <c r="AB5" s="6">
        <f t="shared" si="6"/>
        <v>0.46274509803921571</v>
      </c>
      <c r="AC5" s="6">
        <f t="shared" si="6"/>
        <v>0.46274509803921571</v>
      </c>
      <c r="AD5" s="6">
        <f t="shared" si="6"/>
        <v>0.46274509803921571</v>
      </c>
      <c r="AE5" s="6">
        <f t="shared" si="6"/>
        <v>0.46274509803921571</v>
      </c>
      <c r="AF5" s="6">
        <f t="shared" si="6"/>
        <v>0.46274509803921571</v>
      </c>
      <c r="AG5" s="6">
        <f t="shared" si="6"/>
        <v>0.46274509803921571</v>
      </c>
      <c r="AH5" s="6">
        <f t="shared" si="6"/>
        <v>0.46274509803921571</v>
      </c>
      <c r="AI5" s="6">
        <f t="shared" si="6"/>
        <v>0.46274509803921571</v>
      </c>
      <c r="AJ5" s="6">
        <f t="shared" si="3"/>
        <v>0.46274509803921571</v>
      </c>
      <c r="AK5" s="6">
        <f t="shared" si="1"/>
        <v>0.46274509803921571</v>
      </c>
      <c r="AL5" s="6">
        <f t="shared" si="1"/>
        <v>0.46274509803921571</v>
      </c>
      <c r="AM5" s="6">
        <f t="shared" si="1"/>
        <v>0.46274509803921571</v>
      </c>
      <c r="AN5" s="6">
        <f t="shared" si="1"/>
        <v>0.46274509803921571</v>
      </c>
      <c r="AO5" s="6">
        <f t="shared" si="1"/>
        <v>0.46274509803921571</v>
      </c>
      <c r="AP5" s="6">
        <f t="shared" si="1"/>
        <v>0.46274509803921571</v>
      </c>
      <c r="AQ5" s="6">
        <f t="shared" si="1"/>
        <v>0.46274509803921571</v>
      </c>
      <c r="AR5" s="6">
        <f t="shared" si="1"/>
        <v>0.46274509803921571</v>
      </c>
      <c r="AS5" s="6">
        <f t="shared" si="1"/>
        <v>0.46274509803921571</v>
      </c>
      <c r="AT5" s="6">
        <f t="shared" si="1"/>
        <v>0.46274509803921571</v>
      </c>
      <c r="AU5" s="6">
        <f t="shared" si="1"/>
        <v>0.46274509803921571</v>
      </c>
      <c r="AV5" s="6">
        <f t="shared" si="1"/>
        <v>0.46274509803921571</v>
      </c>
      <c r="AW5" s="6">
        <f t="shared" si="1"/>
        <v>0.46274509803921571</v>
      </c>
      <c r="AX5" s="6">
        <f t="shared" si="1"/>
        <v>0.46274509803921571</v>
      </c>
      <c r="AY5" s="6">
        <f t="shared" si="1"/>
        <v>0.46274509803921571</v>
      </c>
      <c r="AZ5" s="6">
        <f t="shared" si="1"/>
        <v>0.46274509803921571</v>
      </c>
      <c r="BA5" s="6">
        <f t="shared" si="1"/>
        <v>0.46274509803921571</v>
      </c>
      <c r="BB5" s="6">
        <f t="shared" si="1"/>
        <v>0.46274509803921571</v>
      </c>
      <c r="BC5" s="6">
        <f t="shared" si="1"/>
        <v>0.46274509803921571</v>
      </c>
    </row>
    <row r="6" spans="1:55" x14ac:dyDescent="0.2">
      <c r="A6" t="s">
        <v>6</v>
      </c>
      <c r="B6" s="6">
        <v>0</v>
      </c>
      <c r="C6" s="6">
        <f t="shared" si="4"/>
        <v>0</v>
      </c>
      <c r="D6" s="6">
        <f t="shared" si="4"/>
        <v>0</v>
      </c>
      <c r="E6" s="6">
        <f t="shared" si="4"/>
        <v>0</v>
      </c>
      <c r="F6" s="6">
        <f t="shared" si="4"/>
        <v>0</v>
      </c>
      <c r="G6" s="6">
        <f t="shared" si="4"/>
        <v>0</v>
      </c>
      <c r="H6" s="6">
        <f t="shared" si="4"/>
        <v>0</v>
      </c>
      <c r="I6" s="6">
        <f t="shared" si="4"/>
        <v>0</v>
      </c>
      <c r="J6" s="6">
        <f t="shared" si="4"/>
        <v>0</v>
      </c>
      <c r="K6" s="6">
        <f t="shared" si="4"/>
        <v>0</v>
      </c>
      <c r="L6" s="6">
        <f t="shared" si="4"/>
        <v>0</v>
      </c>
      <c r="M6" s="6">
        <f t="shared" si="4"/>
        <v>0</v>
      </c>
      <c r="N6" s="6">
        <f t="shared" si="4"/>
        <v>0</v>
      </c>
      <c r="O6" s="6">
        <f t="shared" si="4"/>
        <v>0</v>
      </c>
      <c r="P6" s="12">
        <f t="shared" si="4"/>
        <v>0</v>
      </c>
      <c r="Q6" s="6">
        <f t="shared" ref="Q6:AI6" si="7">P6</f>
        <v>0</v>
      </c>
      <c r="R6" s="6">
        <f t="shared" si="7"/>
        <v>0</v>
      </c>
      <c r="S6" s="6">
        <f t="shared" si="7"/>
        <v>0</v>
      </c>
      <c r="T6" s="6">
        <f t="shared" si="7"/>
        <v>0</v>
      </c>
      <c r="U6" s="6">
        <f t="shared" si="7"/>
        <v>0</v>
      </c>
      <c r="V6" s="6">
        <f t="shared" si="7"/>
        <v>0</v>
      </c>
      <c r="W6" s="6">
        <f t="shared" si="7"/>
        <v>0</v>
      </c>
      <c r="X6" s="6">
        <f t="shared" si="7"/>
        <v>0</v>
      </c>
      <c r="Y6" s="6">
        <f t="shared" si="7"/>
        <v>0</v>
      </c>
      <c r="Z6" s="6">
        <f t="shared" si="7"/>
        <v>0</v>
      </c>
      <c r="AA6" s="6">
        <f t="shared" si="7"/>
        <v>0</v>
      </c>
      <c r="AB6" s="6">
        <f t="shared" si="7"/>
        <v>0</v>
      </c>
      <c r="AC6" s="6">
        <f t="shared" si="7"/>
        <v>0</v>
      </c>
      <c r="AD6" s="6">
        <f t="shared" si="7"/>
        <v>0</v>
      </c>
      <c r="AE6" s="6">
        <f t="shared" si="7"/>
        <v>0</v>
      </c>
      <c r="AF6" s="6">
        <f t="shared" si="7"/>
        <v>0</v>
      </c>
      <c r="AG6" s="6">
        <f t="shared" si="7"/>
        <v>0</v>
      </c>
      <c r="AH6" s="6">
        <f t="shared" si="7"/>
        <v>0</v>
      </c>
      <c r="AI6" s="6">
        <f t="shared" si="7"/>
        <v>0</v>
      </c>
      <c r="AJ6" s="6">
        <f t="shared" si="3"/>
        <v>0</v>
      </c>
      <c r="AK6" s="6">
        <f t="shared" si="1"/>
        <v>0</v>
      </c>
      <c r="AL6" s="6">
        <f t="shared" si="1"/>
        <v>0</v>
      </c>
      <c r="AM6" s="6">
        <f t="shared" si="1"/>
        <v>0</v>
      </c>
      <c r="AN6" s="6">
        <f t="shared" si="1"/>
        <v>0</v>
      </c>
      <c r="AO6" s="6">
        <f t="shared" si="1"/>
        <v>0</v>
      </c>
      <c r="AP6" s="6">
        <f t="shared" si="1"/>
        <v>0</v>
      </c>
      <c r="AQ6" s="6">
        <f t="shared" si="1"/>
        <v>0</v>
      </c>
      <c r="AR6" s="6">
        <f t="shared" si="1"/>
        <v>0</v>
      </c>
      <c r="AS6" s="6">
        <f t="shared" si="1"/>
        <v>0</v>
      </c>
      <c r="AT6" s="6">
        <f t="shared" si="1"/>
        <v>0</v>
      </c>
      <c r="AU6" s="6">
        <f t="shared" si="1"/>
        <v>0</v>
      </c>
      <c r="AV6" s="6">
        <f t="shared" si="1"/>
        <v>0</v>
      </c>
      <c r="AW6" s="6">
        <f t="shared" si="1"/>
        <v>0</v>
      </c>
      <c r="AX6" s="6">
        <f t="shared" si="1"/>
        <v>0</v>
      </c>
      <c r="AY6" s="6">
        <f t="shared" si="1"/>
        <v>0</v>
      </c>
      <c r="AZ6" s="6">
        <f t="shared" si="1"/>
        <v>0</v>
      </c>
      <c r="BA6" s="6">
        <f t="shared" si="1"/>
        <v>0</v>
      </c>
      <c r="BB6" s="6">
        <f t="shared" si="1"/>
        <v>0</v>
      </c>
      <c r="BC6" s="6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IEA Data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2019-07-22T20:58:41Z</dcterms:created>
  <dcterms:modified xsi:type="dcterms:W3CDTF">2025-04-12T20:50:23Z</dcterms:modified>
</cp:coreProperties>
</file>