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26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web-app/OCCF/"/>
    </mc:Choice>
  </mc:AlternateContent>
  <xr:revisionPtr revIDLastSave="0" documentId="13_ncr:1_{76D084C6-2C2C-984E-99EE-17C1ED5F0167}" xr6:coauthVersionLast="47" xr6:coauthVersionMax="47" xr10:uidLastSave="{00000000-0000-0000-0000-000000000000}"/>
  <bookViews>
    <workbookView xWindow="0" yWindow="780" windowWidth="34200" windowHeight="21360" xr2:uid="{00000000-000D-0000-FFFF-FFFF00000000}"/>
  </bookViews>
  <sheets>
    <sheet name="About" sheetId="1" r:id="rId1"/>
    <sheet name="OCCF-DpLOCU" sheetId="2" r:id="rId2"/>
    <sheet name="OCCF-DpMOCU" sheetId="4" r:id="rId3"/>
    <sheet name="OCCF-DpSOCU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8" i="1" l="1"/>
  <c r="B2" i="4" l="1"/>
  <c r="B2" i="3" l="1"/>
  <c r="B2" i="2"/>
</calcChain>
</file>

<file path=xl/sharedStrings.xml><?xml version="1.0" encoding="utf-8"?>
<sst xmlns="http://schemas.openxmlformats.org/spreadsheetml/2006/main" count="33" uniqueCount="30">
  <si>
    <t>Source:</t>
  </si>
  <si>
    <t>Notes</t>
  </si>
  <si>
    <t>This is a conversion factor that converts dollars (the unit used for</t>
  </si>
  <si>
    <t>internal calculations in the model) to whatever currency output</t>
  </si>
  <si>
    <t>unit is desired (for a given country/region).</t>
  </si>
  <si>
    <t>This both allows for currency localization by country and allows</t>
  </si>
  <si>
    <t>the outputs to be scaled so the Y-axis values on graphs in the</t>
  </si>
  <si>
    <t>web application interface do not get too large.</t>
  </si>
  <si>
    <t>Dollars</t>
  </si>
  <si>
    <t>One Large Output Currency Unit</t>
  </si>
  <si>
    <t>Large Output Currency Unit</t>
  </si>
  <si>
    <t>Small Output Currency Unit</t>
  </si>
  <si>
    <t>One Small Output Currency Unit</t>
  </si>
  <si>
    <t>OCCF Dollars per Large Output Currency Unit</t>
  </si>
  <si>
    <t>OCCF Dollars per Small Output Currency Unit</t>
  </si>
  <si>
    <t>See cpi.xlsx</t>
  </si>
  <si>
    <t>Medium Output Currency Unit</t>
  </si>
  <si>
    <t>OCCF Dollars per Medium Output Currency Unit</t>
  </si>
  <si>
    <t>2023 dollar to 2012 dollar</t>
  </si>
  <si>
    <t>US Dollar Currency Year Conversion</t>
  </si>
  <si>
    <t>Average 2023 Rate</t>
  </si>
  <si>
    <t>2023 Rupiah per 2012 dollar</t>
  </si>
  <si>
    <t>2023 Rupiah</t>
  </si>
  <si>
    <t>million 2023 Rupiah</t>
  </si>
  <si>
    <t>billion 2023 Rupiah</t>
  </si>
  <si>
    <t>For the Indoesia  model:</t>
  </si>
  <si>
    <t>X-Rates</t>
  </si>
  <si>
    <t>2023 Rupiah to 2023 dollar</t>
  </si>
  <si>
    <t>IND Rupiah to USD Conversion</t>
  </si>
  <si>
    <t>https://www.exchange-rates.org/exchange-rate-history/idr-usd-2023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</si>
</sst>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11" fontId="0" fillId="0" borderId="0" xfId="0" applyNumberFormat="1"/>
    <xf numFmtId="0" fontId="1" fillId="0" borderId="0" xfId="0" applyFont="1" applyAlignment="1">
      <alignment horizontal="right"/>
    </xf>
    <xf numFmtId="0" fontId="1" fillId="2" borderId="0" xfId="0" applyFont="1" applyFill="1"/>
    <xf numFmtId="0" fontId="0" fillId="2" borderId="0" xfId="0" applyFill="1"/>
    <xf numFmtId="1" fontId="0" fillId="0" borderId="0" xfId="0" applyNumberFormat="1"/>
    <xf numFmtId="0" fontId="2" fillId="0" borderId="0" xfId="0" applyFont="1"/>
    <xf numFmtId="0" fontId="1" fillId="3" borderId="0" xfId="0" applyFont="1" applyFill="1"/>
    <xf numFmtId="0" fontId="0" fillId="0" borderId="0" xfId="0" applyAlignment="1">
      <alignment horizontal="left"/>
    </xf>
    <xf numFmtId="0" fontId="3" fillId="0" borderId="0" xfId="1"/>
    <xf numFmtId="11" fontId="2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3"/>
  <sheetViews>
    <sheetView tabSelected="1" topLeftCell="A6" workbookViewId="0">
      <selection activeCell="G10" sqref="G10"/>
    </sheetView>
  </sheetViews>
  <sheetFormatPr baseColWidth="10" defaultColWidth="8.83203125" defaultRowHeight="15" x14ac:dyDescent="0.2"/>
  <cols>
    <col min="1" max="1" width="14.5" bestFit="1" customWidth="1"/>
    <col min="2" max="2" width="42.83203125" customWidth="1"/>
    <col min="3" max="3" width="11.83203125" bestFit="1" customWidth="1"/>
  </cols>
  <sheetData>
    <row r="1" spans="1:2" x14ac:dyDescent="0.2">
      <c r="A1" s="1" t="s">
        <v>13</v>
      </c>
    </row>
    <row r="2" spans="1:2" x14ac:dyDescent="0.2">
      <c r="A2" s="1" t="s">
        <v>17</v>
      </c>
    </row>
    <row r="3" spans="1:2" x14ac:dyDescent="0.2">
      <c r="A3" s="1" t="s">
        <v>14</v>
      </c>
    </row>
    <row r="5" spans="1:2" x14ac:dyDescent="0.2">
      <c r="A5" s="1" t="s">
        <v>0</v>
      </c>
      <c r="B5" s="8" t="s">
        <v>19</v>
      </c>
    </row>
    <row r="6" spans="1:2" x14ac:dyDescent="0.2">
      <c r="B6" t="s">
        <v>15</v>
      </c>
    </row>
    <row r="8" spans="1:2" x14ac:dyDescent="0.2">
      <c r="B8" s="8" t="s">
        <v>28</v>
      </c>
    </row>
    <row r="9" spans="1:2" x14ac:dyDescent="0.2">
      <c r="B9" t="s">
        <v>26</v>
      </c>
    </row>
    <row r="10" spans="1:2" x14ac:dyDescent="0.2">
      <c r="B10" s="9">
        <v>2023</v>
      </c>
    </row>
    <row r="11" spans="1:2" x14ac:dyDescent="0.2">
      <c r="B11" s="10" t="s">
        <v>29</v>
      </c>
    </row>
    <row r="12" spans="1:2" x14ac:dyDescent="0.2">
      <c r="B12" t="s">
        <v>20</v>
      </c>
    </row>
    <row r="19" spans="1:2" x14ac:dyDescent="0.2">
      <c r="A19" s="1" t="s">
        <v>1</v>
      </c>
    </row>
    <row r="20" spans="1:2" x14ac:dyDescent="0.2">
      <c r="A20" t="s">
        <v>2</v>
      </c>
    </row>
    <row r="21" spans="1:2" x14ac:dyDescent="0.2">
      <c r="A21" t="s">
        <v>3</v>
      </c>
    </row>
    <row r="22" spans="1:2" x14ac:dyDescent="0.2">
      <c r="A22" t="s">
        <v>4</v>
      </c>
    </row>
    <row r="23" spans="1:2" x14ac:dyDescent="0.2">
      <c r="A23" t="s">
        <v>5</v>
      </c>
    </row>
    <row r="24" spans="1:2" x14ac:dyDescent="0.2">
      <c r="A24" t="s">
        <v>6</v>
      </c>
    </row>
    <row r="25" spans="1:2" x14ac:dyDescent="0.2">
      <c r="A25" t="s">
        <v>7</v>
      </c>
    </row>
    <row r="27" spans="1:2" x14ac:dyDescent="0.2">
      <c r="A27" s="1" t="s">
        <v>25</v>
      </c>
    </row>
    <row r="29" spans="1:2" x14ac:dyDescent="0.2">
      <c r="A29" s="4" t="s">
        <v>10</v>
      </c>
      <c r="B29" s="5"/>
    </row>
    <row r="30" spans="1:2" x14ac:dyDescent="0.2">
      <c r="A30" t="s">
        <v>24</v>
      </c>
    </row>
    <row r="32" spans="1:2" x14ac:dyDescent="0.2">
      <c r="A32" s="4" t="s">
        <v>16</v>
      </c>
      <c r="B32" s="5"/>
    </row>
    <row r="33" spans="1:2" x14ac:dyDescent="0.2">
      <c r="A33" t="s">
        <v>23</v>
      </c>
    </row>
    <row r="35" spans="1:2" x14ac:dyDescent="0.2">
      <c r="A35" s="4" t="s">
        <v>11</v>
      </c>
      <c r="B35" s="5"/>
    </row>
    <row r="36" spans="1:2" x14ac:dyDescent="0.2">
      <c r="A36" t="s">
        <v>22</v>
      </c>
    </row>
    <row r="38" spans="1:2" x14ac:dyDescent="0.2">
      <c r="A38">
        <f>1/(1/A43/A42)</f>
        <v>4.9492559999999998E-5</v>
      </c>
      <c r="B38" t="s">
        <v>21</v>
      </c>
    </row>
    <row r="41" spans="1:2" x14ac:dyDescent="0.2">
      <c r="A41" s="7"/>
    </row>
    <row r="42" spans="1:2" x14ac:dyDescent="0.2">
      <c r="A42" s="11">
        <v>6.5640000000000002E-5</v>
      </c>
      <c r="B42" t="s">
        <v>27</v>
      </c>
    </row>
    <row r="43" spans="1:2" x14ac:dyDescent="0.2">
      <c r="A43">
        <v>0.754</v>
      </c>
      <c r="B43" t="s">
        <v>18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"/>
  <sheetViews>
    <sheetView workbookViewId="0"/>
  </sheetViews>
  <sheetFormatPr baseColWidth="10" defaultColWidth="8.83203125" defaultRowHeight="15" x14ac:dyDescent="0.2"/>
  <cols>
    <col min="2" max="2" width="31.33203125" customWidth="1"/>
  </cols>
  <sheetData>
    <row r="1" spans="1:2" x14ac:dyDescent="0.2">
      <c r="B1" s="3" t="s">
        <v>9</v>
      </c>
    </row>
    <row r="2" spans="1:2" x14ac:dyDescent="0.2">
      <c r="A2" s="1" t="s">
        <v>8</v>
      </c>
      <c r="B2" s="2">
        <f>10^9*About!$A$38</f>
        <v>49492.56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/>
  </sheetViews>
  <sheetFormatPr baseColWidth="10" defaultColWidth="8.83203125" defaultRowHeight="15" x14ac:dyDescent="0.2"/>
  <cols>
    <col min="2" max="2" width="31.33203125" customWidth="1"/>
  </cols>
  <sheetData>
    <row r="1" spans="1:2" x14ac:dyDescent="0.2">
      <c r="B1" s="3" t="s">
        <v>12</v>
      </c>
    </row>
    <row r="2" spans="1:2" x14ac:dyDescent="0.2">
      <c r="A2" s="1" t="s">
        <v>8</v>
      </c>
      <c r="B2" s="6">
        <f>10^6*About!$A$38</f>
        <v>49.492559999999997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B2"/>
  <sheetViews>
    <sheetView workbookViewId="0"/>
  </sheetViews>
  <sheetFormatPr baseColWidth="10" defaultColWidth="8.83203125" defaultRowHeight="15" x14ac:dyDescent="0.2"/>
  <cols>
    <col min="2" max="2" width="31.33203125" customWidth="1"/>
  </cols>
  <sheetData>
    <row r="1" spans="1:2" x14ac:dyDescent="0.2">
      <c r="B1" s="3" t="s">
        <v>12</v>
      </c>
    </row>
    <row r="2" spans="1:2" x14ac:dyDescent="0.2">
      <c r="A2" s="1" t="s">
        <v>8</v>
      </c>
      <c r="B2">
        <f>1*About!A38</f>
        <v>4.9492559999999998E-5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OCCF-DpLOCU</vt:lpstr>
      <vt:lpstr>OCCF-DpMOCU</vt:lpstr>
      <vt:lpstr>OCCF-DpSOCU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2016-02-24T02:29:19Z</dcterms:created>
  <dcterms:modified xsi:type="dcterms:W3CDTF">2025-06-23T21:11:05Z</dcterms:modified>
</cp:coreProperties>
</file>