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ssy02/Desktop/Postdoc Projects/eps-indonesia-cpl/InputData/web-app/BCF/"/>
    </mc:Choice>
  </mc:AlternateContent>
  <xr:revisionPtr revIDLastSave="0" documentId="13_ncr:1_{B6D1DABA-5EA4-D64E-8568-B84C99BEC89A}" xr6:coauthVersionLast="47" xr6:coauthVersionMax="47" xr10:uidLastSave="{00000000-0000-0000-0000-000000000000}"/>
  <bookViews>
    <workbookView xWindow="0" yWindow="780" windowWidth="34200" windowHeight="21360" activeTab="7" xr2:uid="{00000000-000D-0000-FFFF-FFFF00000000}"/>
  </bookViews>
  <sheets>
    <sheet name="About" sheetId="1" r:id="rId1"/>
    <sheet name="HEESI" sheetId="2" r:id="rId2"/>
    <sheet name="AEO Table 73" sheetId="3" r:id="rId3"/>
    <sheet name="BCF-BpMSTC" sheetId="4" r:id="rId4"/>
    <sheet name="BCF-BpLFOU" sheetId="5" r:id="rId5"/>
    <sheet name="BCF-BpSFOU" sheetId="6" r:id="rId6"/>
    <sheet name="BCF-VFEUCF" sheetId="7" r:id="rId7"/>
    <sheet name="BCF-BpEIEOU"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jIRLKcLNY7msBoatbJPzd/NxbQLA=="/>
    </ext>
  </extLst>
</workbook>
</file>

<file path=xl/calcChain.xml><?xml version="1.0" encoding="utf-8"?>
<calcChain xmlns="http://schemas.openxmlformats.org/spreadsheetml/2006/main">
  <c r="AJ11" i="7" l="1"/>
  <c r="AK11" i="7" s="1"/>
  <c r="AL11" i="7" s="1"/>
  <c r="AM11" i="7" s="1"/>
  <c r="AN11" i="7" s="1"/>
  <c r="AO11" i="7" s="1"/>
  <c r="AP11" i="7" s="1"/>
  <c r="AQ11" i="7" s="1"/>
  <c r="AR11" i="7" s="1"/>
  <c r="AS11" i="7" s="1"/>
  <c r="AT11" i="7" s="1"/>
  <c r="AU11" i="7" s="1"/>
  <c r="AV11" i="7" s="1"/>
  <c r="AW11" i="7" s="1"/>
  <c r="AX11" i="7" s="1"/>
  <c r="AY11" i="7" s="1"/>
  <c r="AZ11" i="7" s="1"/>
  <c r="BA11" i="7" s="1"/>
  <c r="BB11" i="7" s="1"/>
  <c r="BC11" i="7" s="1"/>
  <c r="AN10" i="7"/>
  <c r="AO10" i="7" s="1"/>
  <c r="AP10" i="7" s="1"/>
  <c r="AQ10" i="7" s="1"/>
  <c r="AR10" i="7" s="1"/>
  <c r="AS10" i="7" s="1"/>
  <c r="AT10" i="7" s="1"/>
  <c r="AU10" i="7" s="1"/>
  <c r="AV10" i="7" s="1"/>
  <c r="AW10" i="7" s="1"/>
  <c r="AX10" i="7" s="1"/>
  <c r="AY10" i="7" s="1"/>
  <c r="AZ10" i="7" s="1"/>
  <c r="BA10" i="7" s="1"/>
  <c r="BB10" i="7" s="1"/>
  <c r="BC10" i="7" s="1"/>
  <c r="AJ10" i="7"/>
  <c r="AK10" i="7" s="1"/>
  <c r="AL10" i="7" s="1"/>
  <c r="AM10" i="7" s="1"/>
  <c r="AM9" i="7"/>
  <c r="AN9" i="7" s="1"/>
  <c r="AO9" i="7" s="1"/>
  <c r="AP9" i="7" s="1"/>
  <c r="AQ9" i="7" s="1"/>
  <c r="AR9" i="7" s="1"/>
  <c r="AS9" i="7" s="1"/>
  <c r="AT9" i="7" s="1"/>
  <c r="AU9" i="7" s="1"/>
  <c r="AV9" i="7" s="1"/>
  <c r="AW9" i="7" s="1"/>
  <c r="AX9" i="7" s="1"/>
  <c r="AY9" i="7" s="1"/>
  <c r="AZ9" i="7" s="1"/>
  <c r="BA9" i="7" s="1"/>
  <c r="BB9" i="7" s="1"/>
  <c r="BC9" i="7" s="1"/>
  <c r="AL9" i="7"/>
  <c r="AJ9" i="7"/>
  <c r="AK9" i="7" s="1"/>
  <c r="AN8" i="7"/>
  <c r="AO8" i="7" s="1"/>
  <c r="AP8" i="7" s="1"/>
  <c r="AQ8" i="7" s="1"/>
  <c r="AR8" i="7" s="1"/>
  <c r="AS8" i="7" s="1"/>
  <c r="AT8" i="7" s="1"/>
  <c r="AU8" i="7" s="1"/>
  <c r="AV8" i="7" s="1"/>
  <c r="AW8" i="7" s="1"/>
  <c r="AX8" i="7" s="1"/>
  <c r="AY8" i="7" s="1"/>
  <c r="AZ8" i="7" s="1"/>
  <c r="BA8" i="7" s="1"/>
  <c r="BB8" i="7" s="1"/>
  <c r="BC8" i="7" s="1"/>
  <c r="AJ8" i="7"/>
  <c r="AK8" i="7" s="1"/>
  <c r="AL8" i="7" s="1"/>
  <c r="AM8" i="7" s="1"/>
  <c r="AM7" i="7"/>
  <c r="AN7" i="7" s="1"/>
  <c r="AO7" i="7" s="1"/>
  <c r="AP7" i="7" s="1"/>
  <c r="AQ7" i="7" s="1"/>
  <c r="AR7" i="7" s="1"/>
  <c r="AS7" i="7" s="1"/>
  <c r="AT7" i="7" s="1"/>
  <c r="AU7" i="7" s="1"/>
  <c r="AV7" i="7" s="1"/>
  <c r="AW7" i="7" s="1"/>
  <c r="AX7" i="7" s="1"/>
  <c r="AY7" i="7" s="1"/>
  <c r="AZ7" i="7" s="1"/>
  <c r="BA7" i="7" s="1"/>
  <c r="BB7" i="7" s="1"/>
  <c r="BC7" i="7" s="1"/>
  <c r="AL7" i="7"/>
  <c r="AJ7" i="7"/>
  <c r="AK7" i="7" s="1"/>
  <c r="AN6" i="7"/>
  <c r="AO6" i="7" s="1"/>
  <c r="AP6" i="7" s="1"/>
  <c r="AQ6" i="7" s="1"/>
  <c r="AR6" i="7" s="1"/>
  <c r="AS6" i="7" s="1"/>
  <c r="AT6" i="7" s="1"/>
  <c r="AU6" i="7" s="1"/>
  <c r="AV6" i="7" s="1"/>
  <c r="AW6" i="7" s="1"/>
  <c r="AX6" i="7" s="1"/>
  <c r="AY6" i="7" s="1"/>
  <c r="AZ6" i="7" s="1"/>
  <c r="BA6" i="7" s="1"/>
  <c r="BB6" i="7" s="1"/>
  <c r="BC6" i="7" s="1"/>
  <c r="AJ6" i="7"/>
  <c r="AK6" i="7" s="1"/>
  <c r="AL6" i="7" s="1"/>
  <c r="AM6" i="7" s="1"/>
  <c r="AM5" i="7"/>
  <c r="AN5" i="7" s="1"/>
  <c r="AO5" i="7" s="1"/>
  <c r="AP5" i="7" s="1"/>
  <c r="AQ5" i="7" s="1"/>
  <c r="AR5" i="7" s="1"/>
  <c r="AS5" i="7" s="1"/>
  <c r="AT5" i="7" s="1"/>
  <c r="AU5" i="7" s="1"/>
  <c r="AV5" i="7" s="1"/>
  <c r="AW5" i="7" s="1"/>
  <c r="AX5" i="7" s="1"/>
  <c r="AY5" i="7" s="1"/>
  <c r="AZ5" i="7" s="1"/>
  <c r="BA5" i="7" s="1"/>
  <c r="BB5" i="7" s="1"/>
  <c r="BC5" i="7" s="1"/>
  <c r="AL5" i="7"/>
  <c r="AJ5" i="7"/>
  <c r="AK5" i="7" s="1"/>
  <c r="AN4" i="7"/>
  <c r="AO4" i="7" s="1"/>
  <c r="AP4" i="7" s="1"/>
  <c r="AQ4" i="7" s="1"/>
  <c r="AR4" i="7" s="1"/>
  <c r="AS4" i="7" s="1"/>
  <c r="AT4" i="7" s="1"/>
  <c r="AU4" i="7" s="1"/>
  <c r="AV4" i="7" s="1"/>
  <c r="AW4" i="7" s="1"/>
  <c r="AX4" i="7" s="1"/>
  <c r="AY4" i="7" s="1"/>
  <c r="AZ4" i="7" s="1"/>
  <c r="BA4" i="7" s="1"/>
  <c r="BB4" i="7" s="1"/>
  <c r="BC4" i="7" s="1"/>
  <c r="AJ4" i="7"/>
  <c r="AK4" i="7" s="1"/>
  <c r="AL4" i="7" s="1"/>
  <c r="AM4" i="7" s="1"/>
  <c r="AM3" i="7"/>
  <c r="AN3" i="7" s="1"/>
  <c r="AO3" i="7" s="1"/>
  <c r="AP3" i="7" s="1"/>
  <c r="AQ3" i="7" s="1"/>
  <c r="AR3" i="7" s="1"/>
  <c r="AS3" i="7" s="1"/>
  <c r="AT3" i="7" s="1"/>
  <c r="AU3" i="7" s="1"/>
  <c r="AV3" i="7" s="1"/>
  <c r="AW3" i="7" s="1"/>
  <c r="AX3" i="7" s="1"/>
  <c r="AY3" i="7" s="1"/>
  <c r="AZ3" i="7" s="1"/>
  <c r="BA3" i="7" s="1"/>
  <c r="BB3" i="7" s="1"/>
  <c r="BC3" i="7" s="1"/>
  <c r="AL3" i="7"/>
  <c r="AJ3" i="7"/>
  <c r="AK3" i="7" s="1"/>
  <c r="AN2" i="7"/>
  <c r="AO2" i="7" s="1"/>
  <c r="AP2" i="7" s="1"/>
  <c r="AQ2" i="7" s="1"/>
  <c r="AR2" i="7" s="1"/>
  <c r="AS2" i="7" s="1"/>
  <c r="AT2" i="7" s="1"/>
  <c r="AU2" i="7" s="1"/>
  <c r="AV2" i="7" s="1"/>
  <c r="AW2" i="7" s="1"/>
  <c r="AX2" i="7" s="1"/>
  <c r="AY2" i="7" s="1"/>
  <c r="AZ2" i="7" s="1"/>
  <c r="BA2" i="7" s="1"/>
  <c r="BB2" i="7" s="1"/>
  <c r="BC2" i="7" s="1"/>
  <c r="AJ2" i="7"/>
  <c r="AK2" i="7" s="1"/>
  <c r="AL2" i="7" s="1"/>
  <c r="AM2" i="7" s="1"/>
  <c r="AJ22" i="6"/>
  <c r="AK22" i="6" s="1"/>
  <c r="AL22" i="6" s="1"/>
  <c r="AM22" i="6" s="1"/>
  <c r="AN22" i="6" s="1"/>
  <c r="AO22" i="6" s="1"/>
  <c r="AP22" i="6" s="1"/>
  <c r="AQ22" i="6" s="1"/>
  <c r="AR22" i="6" s="1"/>
  <c r="AS22" i="6" s="1"/>
  <c r="AT22" i="6" s="1"/>
  <c r="AU22" i="6" s="1"/>
  <c r="AV22" i="6" s="1"/>
  <c r="AW22" i="6" s="1"/>
  <c r="AX22" i="6" s="1"/>
  <c r="AY22" i="6" s="1"/>
  <c r="AZ22" i="6" s="1"/>
  <c r="BA22" i="6" s="1"/>
  <c r="BB22" i="6" s="1"/>
  <c r="BC22" i="6" s="1"/>
  <c r="AJ21" i="6"/>
  <c r="AK21" i="6" s="1"/>
  <c r="AL21" i="6" s="1"/>
  <c r="AM21" i="6" s="1"/>
  <c r="AN21" i="6" s="1"/>
  <c r="AO21" i="6" s="1"/>
  <c r="AP21" i="6" s="1"/>
  <c r="AQ21" i="6" s="1"/>
  <c r="AR21" i="6" s="1"/>
  <c r="AS21" i="6" s="1"/>
  <c r="AT21" i="6" s="1"/>
  <c r="AU21" i="6" s="1"/>
  <c r="AV21" i="6" s="1"/>
  <c r="AW21" i="6" s="1"/>
  <c r="AX21" i="6" s="1"/>
  <c r="AY21" i="6" s="1"/>
  <c r="AZ21" i="6" s="1"/>
  <c r="BA21" i="6" s="1"/>
  <c r="BB21" i="6" s="1"/>
  <c r="BC21" i="6" s="1"/>
  <c r="AN20" i="6"/>
  <c r="AO20" i="6" s="1"/>
  <c r="AP20" i="6" s="1"/>
  <c r="AQ20" i="6" s="1"/>
  <c r="AR20" i="6" s="1"/>
  <c r="AS20" i="6" s="1"/>
  <c r="AT20" i="6" s="1"/>
  <c r="AU20" i="6" s="1"/>
  <c r="AV20" i="6" s="1"/>
  <c r="AW20" i="6" s="1"/>
  <c r="AX20" i="6" s="1"/>
  <c r="AY20" i="6" s="1"/>
  <c r="AZ20" i="6" s="1"/>
  <c r="BA20" i="6" s="1"/>
  <c r="BB20" i="6" s="1"/>
  <c r="BC20" i="6" s="1"/>
  <c r="AJ20" i="6"/>
  <c r="AK20" i="6" s="1"/>
  <c r="AL20" i="6" s="1"/>
  <c r="AM20" i="6" s="1"/>
  <c r="AJ19" i="6"/>
  <c r="AK19" i="6" s="1"/>
  <c r="AL19" i="6" s="1"/>
  <c r="AM19" i="6" s="1"/>
  <c r="AN19" i="6" s="1"/>
  <c r="AO19" i="6" s="1"/>
  <c r="AP19" i="6" s="1"/>
  <c r="AQ19" i="6" s="1"/>
  <c r="AR19" i="6" s="1"/>
  <c r="AS19" i="6" s="1"/>
  <c r="AT19" i="6" s="1"/>
  <c r="AU19" i="6" s="1"/>
  <c r="AV19" i="6" s="1"/>
  <c r="AW19" i="6" s="1"/>
  <c r="AX19" i="6" s="1"/>
  <c r="AY19" i="6" s="1"/>
  <c r="AZ19" i="6" s="1"/>
  <c r="BA19" i="6" s="1"/>
  <c r="BB19" i="6" s="1"/>
  <c r="BC19" i="6" s="1"/>
  <c r="AJ18" i="6"/>
  <c r="AK18" i="6" s="1"/>
  <c r="AL18" i="6" s="1"/>
  <c r="AM18" i="6" s="1"/>
  <c r="AN18" i="6" s="1"/>
  <c r="AO18" i="6" s="1"/>
  <c r="AP18" i="6" s="1"/>
  <c r="AQ18" i="6" s="1"/>
  <c r="AR18" i="6" s="1"/>
  <c r="AS18" i="6" s="1"/>
  <c r="AT18" i="6" s="1"/>
  <c r="AU18" i="6" s="1"/>
  <c r="AV18" i="6" s="1"/>
  <c r="AW18" i="6" s="1"/>
  <c r="AX18" i="6" s="1"/>
  <c r="AY18" i="6" s="1"/>
  <c r="AZ18" i="6" s="1"/>
  <c r="BA18" i="6" s="1"/>
  <c r="BB18" i="6" s="1"/>
  <c r="BC18" i="6" s="1"/>
  <c r="AZ17" i="6"/>
  <c r="BA17" i="6" s="1"/>
  <c r="BB17" i="6" s="1"/>
  <c r="BC17" i="6" s="1"/>
  <c r="AR17" i="6"/>
  <c r="AS17" i="6" s="1"/>
  <c r="AT17" i="6" s="1"/>
  <c r="AU17" i="6" s="1"/>
  <c r="AV17" i="6" s="1"/>
  <c r="AW17" i="6" s="1"/>
  <c r="AX17" i="6" s="1"/>
  <c r="AY17" i="6" s="1"/>
  <c r="AJ17" i="6"/>
  <c r="AK17" i="6" s="1"/>
  <c r="AL17" i="6" s="1"/>
  <c r="AM17" i="6" s="1"/>
  <c r="AN17" i="6" s="1"/>
  <c r="AO17" i="6" s="1"/>
  <c r="AP17" i="6" s="1"/>
  <c r="AQ17" i="6" s="1"/>
  <c r="AJ16" i="6"/>
  <c r="AK16" i="6" s="1"/>
  <c r="AL16" i="6" s="1"/>
  <c r="AM16" i="6" s="1"/>
  <c r="AN16" i="6" s="1"/>
  <c r="AO16" i="6" s="1"/>
  <c r="AP16" i="6" s="1"/>
  <c r="AQ16" i="6" s="1"/>
  <c r="AR16" i="6" s="1"/>
  <c r="AS16" i="6" s="1"/>
  <c r="AT16" i="6" s="1"/>
  <c r="AU16" i="6" s="1"/>
  <c r="AV16" i="6" s="1"/>
  <c r="AW16" i="6" s="1"/>
  <c r="AX16" i="6" s="1"/>
  <c r="AY16" i="6" s="1"/>
  <c r="AZ16" i="6" s="1"/>
  <c r="BA16" i="6" s="1"/>
  <c r="BB16" i="6" s="1"/>
  <c r="BC16" i="6" s="1"/>
  <c r="AJ15" i="6"/>
  <c r="AK15" i="6" s="1"/>
  <c r="AL15" i="6" s="1"/>
  <c r="AM15" i="6" s="1"/>
  <c r="AN15" i="6" s="1"/>
  <c r="AO15" i="6" s="1"/>
  <c r="AP15" i="6" s="1"/>
  <c r="AQ15" i="6" s="1"/>
  <c r="AR15" i="6" s="1"/>
  <c r="AS15" i="6" s="1"/>
  <c r="AT15" i="6" s="1"/>
  <c r="AU15" i="6" s="1"/>
  <c r="AV15" i="6" s="1"/>
  <c r="AW15" i="6" s="1"/>
  <c r="AX15" i="6" s="1"/>
  <c r="AY15" i="6" s="1"/>
  <c r="AZ15" i="6" s="1"/>
  <c r="BA15" i="6" s="1"/>
  <c r="BB15" i="6" s="1"/>
  <c r="BC15" i="6" s="1"/>
  <c r="AN14" i="6"/>
  <c r="AO14" i="6" s="1"/>
  <c r="AP14" i="6" s="1"/>
  <c r="AQ14" i="6" s="1"/>
  <c r="AR14" i="6" s="1"/>
  <c r="AS14" i="6" s="1"/>
  <c r="AT14" i="6" s="1"/>
  <c r="AU14" i="6" s="1"/>
  <c r="AV14" i="6" s="1"/>
  <c r="AW14" i="6" s="1"/>
  <c r="AX14" i="6" s="1"/>
  <c r="AY14" i="6" s="1"/>
  <c r="AZ14" i="6" s="1"/>
  <c r="BA14" i="6" s="1"/>
  <c r="BB14" i="6" s="1"/>
  <c r="BC14" i="6" s="1"/>
  <c r="AJ14" i="6"/>
  <c r="AK14" i="6" s="1"/>
  <c r="AL14" i="6" s="1"/>
  <c r="AM14" i="6" s="1"/>
  <c r="AJ13" i="6"/>
  <c r="AK13" i="6" s="1"/>
  <c r="AL13" i="6" s="1"/>
  <c r="AM13" i="6" s="1"/>
  <c r="AN13" i="6" s="1"/>
  <c r="AO13" i="6" s="1"/>
  <c r="AP13" i="6" s="1"/>
  <c r="AQ13" i="6" s="1"/>
  <c r="AR13" i="6" s="1"/>
  <c r="AS13" i="6" s="1"/>
  <c r="AT13" i="6" s="1"/>
  <c r="AU13" i="6" s="1"/>
  <c r="AV13" i="6" s="1"/>
  <c r="AW13" i="6" s="1"/>
  <c r="AX13" i="6" s="1"/>
  <c r="AY13" i="6" s="1"/>
  <c r="AZ13" i="6" s="1"/>
  <c r="BA13" i="6" s="1"/>
  <c r="BB13" i="6" s="1"/>
  <c r="BC13" i="6" s="1"/>
  <c r="AJ12" i="6"/>
  <c r="AK12" i="6" s="1"/>
  <c r="AL12" i="6" s="1"/>
  <c r="AM12" i="6" s="1"/>
  <c r="AN12" i="6" s="1"/>
  <c r="AO12" i="6" s="1"/>
  <c r="AP12" i="6" s="1"/>
  <c r="AQ12" i="6" s="1"/>
  <c r="AR12" i="6" s="1"/>
  <c r="AS12" i="6" s="1"/>
  <c r="AT12" i="6" s="1"/>
  <c r="AU12" i="6" s="1"/>
  <c r="AV12" i="6" s="1"/>
  <c r="AW12" i="6" s="1"/>
  <c r="AX12" i="6" s="1"/>
  <c r="AY12" i="6" s="1"/>
  <c r="AZ12" i="6" s="1"/>
  <c r="BA12" i="6" s="1"/>
  <c r="BB12" i="6" s="1"/>
  <c r="BC12" i="6" s="1"/>
  <c r="AR11" i="6"/>
  <c r="AS11" i="6" s="1"/>
  <c r="AT11" i="6" s="1"/>
  <c r="AU11" i="6" s="1"/>
  <c r="AV11" i="6" s="1"/>
  <c r="AW11" i="6" s="1"/>
  <c r="AX11" i="6" s="1"/>
  <c r="AY11" i="6" s="1"/>
  <c r="AZ11" i="6" s="1"/>
  <c r="BA11" i="6" s="1"/>
  <c r="BB11" i="6" s="1"/>
  <c r="BC11" i="6" s="1"/>
  <c r="AK11" i="6"/>
  <c r="AL11" i="6" s="1"/>
  <c r="AM11" i="6" s="1"/>
  <c r="AN11" i="6" s="1"/>
  <c r="AO11" i="6" s="1"/>
  <c r="AP11" i="6" s="1"/>
  <c r="AQ11" i="6" s="1"/>
  <c r="AJ11" i="6"/>
  <c r="AJ10" i="6"/>
  <c r="AK10" i="6" s="1"/>
  <c r="AL10" i="6" s="1"/>
  <c r="AM10" i="6" s="1"/>
  <c r="AN10" i="6" s="1"/>
  <c r="AO10" i="6" s="1"/>
  <c r="AP10" i="6" s="1"/>
  <c r="AQ10" i="6" s="1"/>
  <c r="AR10" i="6" s="1"/>
  <c r="AS10" i="6" s="1"/>
  <c r="AT10" i="6" s="1"/>
  <c r="AU10" i="6" s="1"/>
  <c r="AV10" i="6" s="1"/>
  <c r="AW10" i="6" s="1"/>
  <c r="AX10" i="6" s="1"/>
  <c r="AY10" i="6" s="1"/>
  <c r="AZ10" i="6" s="1"/>
  <c r="BA10" i="6" s="1"/>
  <c r="BB10" i="6" s="1"/>
  <c r="BC10" i="6" s="1"/>
  <c r="AK9" i="6"/>
  <c r="AL9" i="6" s="1"/>
  <c r="AM9" i="6" s="1"/>
  <c r="AN9" i="6" s="1"/>
  <c r="AO9" i="6" s="1"/>
  <c r="AP9" i="6" s="1"/>
  <c r="AQ9" i="6" s="1"/>
  <c r="AR9" i="6" s="1"/>
  <c r="AS9" i="6" s="1"/>
  <c r="AT9" i="6" s="1"/>
  <c r="AU9" i="6" s="1"/>
  <c r="AV9" i="6" s="1"/>
  <c r="AW9" i="6" s="1"/>
  <c r="AX9" i="6" s="1"/>
  <c r="AY9" i="6" s="1"/>
  <c r="AZ9" i="6" s="1"/>
  <c r="BA9" i="6" s="1"/>
  <c r="BB9" i="6" s="1"/>
  <c r="BC9" i="6" s="1"/>
  <c r="AJ9" i="6"/>
  <c r="AJ8" i="6"/>
  <c r="AK8" i="6" s="1"/>
  <c r="AL8" i="6" s="1"/>
  <c r="AM8" i="6" s="1"/>
  <c r="AN8" i="6" s="1"/>
  <c r="AO8" i="6" s="1"/>
  <c r="AP8" i="6" s="1"/>
  <c r="AQ8" i="6" s="1"/>
  <c r="AR8" i="6" s="1"/>
  <c r="AS8" i="6" s="1"/>
  <c r="AT8" i="6" s="1"/>
  <c r="AU8" i="6" s="1"/>
  <c r="AV8" i="6" s="1"/>
  <c r="AW8" i="6" s="1"/>
  <c r="AX8" i="6" s="1"/>
  <c r="AY8" i="6" s="1"/>
  <c r="AZ8" i="6" s="1"/>
  <c r="BA8" i="6" s="1"/>
  <c r="BB8" i="6" s="1"/>
  <c r="BC8" i="6" s="1"/>
  <c r="AK7" i="6"/>
  <c r="AL7" i="6" s="1"/>
  <c r="AM7" i="6" s="1"/>
  <c r="AN7" i="6" s="1"/>
  <c r="AO7" i="6" s="1"/>
  <c r="AP7" i="6" s="1"/>
  <c r="AQ7" i="6" s="1"/>
  <c r="AR7" i="6" s="1"/>
  <c r="AS7" i="6" s="1"/>
  <c r="AT7" i="6" s="1"/>
  <c r="AU7" i="6" s="1"/>
  <c r="AV7" i="6" s="1"/>
  <c r="AW7" i="6" s="1"/>
  <c r="AX7" i="6" s="1"/>
  <c r="AY7" i="6" s="1"/>
  <c r="AZ7" i="6" s="1"/>
  <c r="BA7" i="6" s="1"/>
  <c r="BB7" i="6" s="1"/>
  <c r="BC7" i="6" s="1"/>
  <c r="AJ7" i="6"/>
  <c r="AJ6" i="6"/>
  <c r="AK6" i="6" s="1"/>
  <c r="AL6" i="6" s="1"/>
  <c r="AM6" i="6" s="1"/>
  <c r="AN6" i="6" s="1"/>
  <c r="AO6" i="6" s="1"/>
  <c r="AP6" i="6" s="1"/>
  <c r="AQ6" i="6" s="1"/>
  <c r="AR6" i="6" s="1"/>
  <c r="AS6" i="6" s="1"/>
  <c r="AT6" i="6" s="1"/>
  <c r="AU6" i="6" s="1"/>
  <c r="AV6" i="6" s="1"/>
  <c r="AW6" i="6" s="1"/>
  <c r="AX6" i="6" s="1"/>
  <c r="AY6" i="6" s="1"/>
  <c r="AZ6" i="6" s="1"/>
  <c r="BA6" i="6" s="1"/>
  <c r="BB6" i="6" s="1"/>
  <c r="BC6" i="6" s="1"/>
  <c r="AK5" i="6"/>
  <c r="AL5" i="6" s="1"/>
  <c r="AM5" i="6" s="1"/>
  <c r="AN5" i="6" s="1"/>
  <c r="AO5" i="6" s="1"/>
  <c r="AP5" i="6" s="1"/>
  <c r="AQ5" i="6" s="1"/>
  <c r="AR5" i="6" s="1"/>
  <c r="AS5" i="6" s="1"/>
  <c r="AT5" i="6" s="1"/>
  <c r="AU5" i="6" s="1"/>
  <c r="AV5" i="6" s="1"/>
  <c r="AW5" i="6" s="1"/>
  <c r="AX5" i="6" s="1"/>
  <c r="AY5" i="6" s="1"/>
  <c r="AZ5" i="6" s="1"/>
  <c r="BA5" i="6" s="1"/>
  <c r="BB5" i="6" s="1"/>
  <c r="BC5" i="6" s="1"/>
  <c r="AJ5" i="6"/>
  <c r="AJ4" i="6"/>
  <c r="AK4" i="6" s="1"/>
  <c r="AL4" i="6" s="1"/>
  <c r="AM4" i="6" s="1"/>
  <c r="AN4" i="6" s="1"/>
  <c r="AO4" i="6" s="1"/>
  <c r="AP4" i="6" s="1"/>
  <c r="AQ4" i="6" s="1"/>
  <c r="AR4" i="6" s="1"/>
  <c r="AS4" i="6" s="1"/>
  <c r="AT4" i="6" s="1"/>
  <c r="AU4" i="6" s="1"/>
  <c r="AV4" i="6" s="1"/>
  <c r="AW4" i="6" s="1"/>
  <c r="AX4" i="6" s="1"/>
  <c r="AY4" i="6" s="1"/>
  <c r="AZ4" i="6" s="1"/>
  <c r="BA4" i="6" s="1"/>
  <c r="BB4" i="6" s="1"/>
  <c r="BC4" i="6" s="1"/>
  <c r="AK3" i="6"/>
  <c r="AL3" i="6" s="1"/>
  <c r="AM3" i="6" s="1"/>
  <c r="AN3" i="6" s="1"/>
  <c r="AO3" i="6" s="1"/>
  <c r="AP3" i="6" s="1"/>
  <c r="AQ3" i="6" s="1"/>
  <c r="AR3" i="6" s="1"/>
  <c r="AS3" i="6" s="1"/>
  <c r="AT3" i="6" s="1"/>
  <c r="AU3" i="6" s="1"/>
  <c r="AV3" i="6" s="1"/>
  <c r="AW3" i="6" s="1"/>
  <c r="AX3" i="6" s="1"/>
  <c r="AY3" i="6" s="1"/>
  <c r="AZ3" i="6" s="1"/>
  <c r="BA3" i="6" s="1"/>
  <c r="BB3" i="6" s="1"/>
  <c r="BC3" i="6" s="1"/>
  <c r="AJ3" i="6"/>
  <c r="AJ2" i="6"/>
  <c r="AK2" i="6" s="1"/>
  <c r="AL2" i="6" s="1"/>
  <c r="AM2" i="6" s="1"/>
  <c r="AN2" i="6" s="1"/>
  <c r="AO2" i="6" s="1"/>
  <c r="AP2" i="6" s="1"/>
  <c r="AQ2" i="6" s="1"/>
  <c r="AR2" i="6" s="1"/>
  <c r="AS2" i="6" s="1"/>
  <c r="AT2" i="6" s="1"/>
  <c r="AU2" i="6" s="1"/>
  <c r="AV2" i="6" s="1"/>
  <c r="AW2" i="6" s="1"/>
  <c r="AX2" i="6" s="1"/>
  <c r="AY2" i="6" s="1"/>
  <c r="AZ2" i="6" s="1"/>
  <c r="BA2" i="6" s="1"/>
  <c r="BB2" i="6" s="1"/>
  <c r="BC2" i="6" s="1"/>
  <c r="AK4" i="5"/>
  <c r="AL4" i="5" s="1"/>
  <c r="AM4" i="5" s="1"/>
  <c r="AN4" i="5" s="1"/>
  <c r="AO4" i="5" s="1"/>
  <c r="AP4" i="5" s="1"/>
  <c r="AQ4" i="5" s="1"/>
  <c r="AR4" i="5" s="1"/>
  <c r="AS4" i="5" s="1"/>
  <c r="AT4" i="5" s="1"/>
  <c r="AU4" i="5" s="1"/>
  <c r="AV4" i="5" s="1"/>
  <c r="AW4" i="5" s="1"/>
  <c r="AX4" i="5" s="1"/>
  <c r="AY4" i="5" s="1"/>
  <c r="AZ4" i="5" s="1"/>
  <c r="BA4" i="5" s="1"/>
  <c r="BB4" i="5" s="1"/>
  <c r="BC4" i="5" s="1"/>
  <c r="AK5" i="5"/>
  <c r="AL5" i="5"/>
  <c r="AM5" i="5"/>
  <c r="AN5" i="5"/>
  <c r="AO5" i="5" s="1"/>
  <c r="AP5" i="5" s="1"/>
  <c r="AQ5" i="5" s="1"/>
  <c r="AR5" i="5" s="1"/>
  <c r="AS5" i="5" s="1"/>
  <c r="AT5" i="5" s="1"/>
  <c r="AU5" i="5" s="1"/>
  <c r="AV5" i="5" s="1"/>
  <c r="AW5" i="5" s="1"/>
  <c r="AX5" i="5" s="1"/>
  <c r="AY5" i="5" s="1"/>
  <c r="AZ5" i="5" s="1"/>
  <c r="BA5" i="5" s="1"/>
  <c r="BB5" i="5" s="1"/>
  <c r="BC5" i="5" s="1"/>
  <c r="AK6" i="5"/>
  <c r="AL6" i="5" s="1"/>
  <c r="AM6" i="5" s="1"/>
  <c r="AN6" i="5" s="1"/>
  <c r="AO6" i="5" s="1"/>
  <c r="AP6" i="5" s="1"/>
  <c r="AQ6" i="5" s="1"/>
  <c r="AR6" i="5" s="1"/>
  <c r="AS6" i="5" s="1"/>
  <c r="AT6" i="5" s="1"/>
  <c r="AU6" i="5" s="1"/>
  <c r="AV6" i="5" s="1"/>
  <c r="AW6" i="5" s="1"/>
  <c r="AX6" i="5" s="1"/>
  <c r="AY6" i="5" s="1"/>
  <c r="AZ6" i="5" s="1"/>
  <c r="BA6" i="5" s="1"/>
  <c r="BB6" i="5" s="1"/>
  <c r="BC6" i="5" s="1"/>
  <c r="AK7" i="5"/>
  <c r="AL7" i="5" s="1"/>
  <c r="AM7" i="5" s="1"/>
  <c r="AN7" i="5" s="1"/>
  <c r="AO7" i="5" s="1"/>
  <c r="AP7" i="5" s="1"/>
  <c r="AQ7" i="5" s="1"/>
  <c r="AR7" i="5" s="1"/>
  <c r="AS7" i="5" s="1"/>
  <c r="AT7" i="5" s="1"/>
  <c r="AU7" i="5" s="1"/>
  <c r="AV7" i="5" s="1"/>
  <c r="AW7" i="5" s="1"/>
  <c r="AX7" i="5" s="1"/>
  <c r="AY7" i="5" s="1"/>
  <c r="AZ7" i="5" s="1"/>
  <c r="BA7" i="5" s="1"/>
  <c r="BB7" i="5" s="1"/>
  <c r="BC7" i="5" s="1"/>
  <c r="AK8" i="5"/>
  <c r="AL8" i="5"/>
  <c r="AM8" i="5"/>
  <c r="AN8" i="5" s="1"/>
  <c r="AO8" i="5" s="1"/>
  <c r="AP8" i="5" s="1"/>
  <c r="AQ8" i="5" s="1"/>
  <c r="AR8" i="5" s="1"/>
  <c r="AS8" i="5" s="1"/>
  <c r="AT8" i="5" s="1"/>
  <c r="AU8" i="5" s="1"/>
  <c r="AV8" i="5" s="1"/>
  <c r="AW8" i="5" s="1"/>
  <c r="AX8" i="5" s="1"/>
  <c r="AY8" i="5" s="1"/>
  <c r="AZ8" i="5" s="1"/>
  <c r="BA8" i="5" s="1"/>
  <c r="BB8" i="5" s="1"/>
  <c r="BC8" i="5" s="1"/>
  <c r="AK9" i="5"/>
  <c r="AL9" i="5" s="1"/>
  <c r="AM9" i="5" s="1"/>
  <c r="AN9" i="5" s="1"/>
  <c r="AO9" i="5" s="1"/>
  <c r="AP9" i="5" s="1"/>
  <c r="AQ9" i="5" s="1"/>
  <c r="AR9" i="5" s="1"/>
  <c r="AS9" i="5" s="1"/>
  <c r="AT9" i="5" s="1"/>
  <c r="AU9" i="5" s="1"/>
  <c r="AV9" i="5" s="1"/>
  <c r="AW9" i="5" s="1"/>
  <c r="AX9" i="5" s="1"/>
  <c r="AY9" i="5" s="1"/>
  <c r="AZ9" i="5" s="1"/>
  <c r="BA9" i="5" s="1"/>
  <c r="BB9" i="5" s="1"/>
  <c r="BC9" i="5" s="1"/>
  <c r="AK10" i="5"/>
  <c r="AL10" i="5"/>
  <c r="AM10" i="5"/>
  <c r="AN10" i="5"/>
  <c r="AO10" i="5"/>
  <c r="AP10" i="5" s="1"/>
  <c r="AQ10" i="5" s="1"/>
  <c r="AR10" i="5" s="1"/>
  <c r="AS10" i="5" s="1"/>
  <c r="AT10" i="5" s="1"/>
  <c r="AU10" i="5" s="1"/>
  <c r="AV10" i="5" s="1"/>
  <c r="AW10" i="5" s="1"/>
  <c r="AX10" i="5" s="1"/>
  <c r="AY10" i="5" s="1"/>
  <c r="AZ10" i="5" s="1"/>
  <c r="BA10" i="5" s="1"/>
  <c r="BB10" i="5" s="1"/>
  <c r="BC10" i="5" s="1"/>
  <c r="AK11" i="5"/>
  <c r="AL11" i="5"/>
  <c r="AM11" i="5" s="1"/>
  <c r="AN11" i="5" s="1"/>
  <c r="AO11" i="5" s="1"/>
  <c r="AP11" i="5" s="1"/>
  <c r="AQ11" i="5" s="1"/>
  <c r="AR11" i="5" s="1"/>
  <c r="AS11" i="5" s="1"/>
  <c r="AT11" i="5" s="1"/>
  <c r="AU11" i="5" s="1"/>
  <c r="AV11" i="5" s="1"/>
  <c r="AW11" i="5" s="1"/>
  <c r="AX11" i="5" s="1"/>
  <c r="AY11" i="5" s="1"/>
  <c r="AZ11" i="5" s="1"/>
  <c r="BA11" i="5" s="1"/>
  <c r="BB11" i="5" s="1"/>
  <c r="BC11" i="5" s="1"/>
  <c r="AK12" i="5"/>
  <c r="AL12" i="5" s="1"/>
  <c r="AM12" i="5" s="1"/>
  <c r="AN12" i="5" s="1"/>
  <c r="AO12" i="5" s="1"/>
  <c r="AP12" i="5" s="1"/>
  <c r="AQ12" i="5" s="1"/>
  <c r="AR12" i="5" s="1"/>
  <c r="AS12" i="5" s="1"/>
  <c r="AT12" i="5" s="1"/>
  <c r="AU12" i="5" s="1"/>
  <c r="AV12" i="5" s="1"/>
  <c r="AW12" i="5" s="1"/>
  <c r="AX12" i="5" s="1"/>
  <c r="AY12" i="5" s="1"/>
  <c r="AZ12" i="5" s="1"/>
  <c r="BA12" i="5" s="1"/>
  <c r="BB12" i="5" s="1"/>
  <c r="BC12" i="5" s="1"/>
  <c r="AK13" i="5"/>
  <c r="AL13" i="5"/>
  <c r="AM13" i="5"/>
  <c r="AN13" i="5"/>
  <c r="AO13" i="5" s="1"/>
  <c r="AP13" i="5" s="1"/>
  <c r="AQ13" i="5" s="1"/>
  <c r="AR13" i="5" s="1"/>
  <c r="AS13" i="5" s="1"/>
  <c r="AT13" i="5" s="1"/>
  <c r="AU13" i="5" s="1"/>
  <c r="AV13" i="5" s="1"/>
  <c r="AW13" i="5" s="1"/>
  <c r="AX13" i="5" s="1"/>
  <c r="AY13" i="5" s="1"/>
  <c r="AZ13" i="5" s="1"/>
  <c r="BA13" i="5" s="1"/>
  <c r="BB13" i="5" s="1"/>
  <c r="BC13" i="5" s="1"/>
  <c r="AK14" i="5"/>
  <c r="AL14" i="5" s="1"/>
  <c r="AM14" i="5" s="1"/>
  <c r="AN14" i="5" s="1"/>
  <c r="AO14" i="5" s="1"/>
  <c r="AP14" i="5" s="1"/>
  <c r="AQ14" i="5" s="1"/>
  <c r="AR14" i="5" s="1"/>
  <c r="AS14" i="5" s="1"/>
  <c r="AT14" i="5" s="1"/>
  <c r="AU14" i="5" s="1"/>
  <c r="AV14" i="5" s="1"/>
  <c r="AW14" i="5" s="1"/>
  <c r="AX14" i="5" s="1"/>
  <c r="AY14" i="5" s="1"/>
  <c r="AZ14" i="5" s="1"/>
  <c r="BA14" i="5" s="1"/>
  <c r="BB14" i="5" s="1"/>
  <c r="BC14" i="5" s="1"/>
  <c r="AK15" i="5"/>
  <c r="AL15" i="5"/>
  <c r="AM15" i="5"/>
  <c r="AN15" i="5"/>
  <c r="AO15" i="5"/>
  <c r="AP15" i="5"/>
  <c r="AQ15" i="5" s="1"/>
  <c r="AR15" i="5" s="1"/>
  <c r="AS15" i="5" s="1"/>
  <c r="AT15" i="5" s="1"/>
  <c r="AU15" i="5" s="1"/>
  <c r="AV15" i="5" s="1"/>
  <c r="AW15" i="5" s="1"/>
  <c r="AX15" i="5" s="1"/>
  <c r="AY15" i="5" s="1"/>
  <c r="AZ15" i="5" s="1"/>
  <c r="BA15" i="5" s="1"/>
  <c r="BB15" i="5" s="1"/>
  <c r="BC15" i="5" s="1"/>
  <c r="AK16" i="5"/>
  <c r="AL16" i="5"/>
  <c r="AM16" i="5"/>
  <c r="AN16" i="5" s="1"/>
  <c r="AO16" i="5" s="1"/>
  <c r="AP16" i="5" s="1"/>
  <c r="AQ16" i="5" s="1"/>
  <c r="AR16" i="5" s="1"/>
  <c r="AS16" i="5" s="1"/>
  <c r="AT16" i="5" s="1"/>
  <c r="AU16" i="5" s="1"/>
  <c r="AV16" i="5" s="1"/>
  <c r="AW16" i="5" s="1"/>
  <c r="AX16" i="5" s="1"/>
  <c r="AY16" i="5" s="1"/>
  <c r="AZ16" i="5" s="1"/>
  <c r="BA16" i="5" s="1"/>
  <c r="BB16" i="5" s="1"/>
  <c r="BC16" i="5" s="1"/>
  <c r="AK17" i="5"/>
  <c r="AL17" i="5" s="1"/>
  <c r="AM17" i="5" s="1"/>
  <c r="AN17" i="5" s="1"/>
  <c r="AO17" i="5" s="1"/>
  <c r="AP17" i="5" s="1"/>
  <c r="AQ17" i="5" s="1"/>
  <c r="AR17" i="5" s="1"/>
  <c r="AS17" i="5" s="1"/>
  <c r="AT17" i="5" s="1"/>
  <c r="AU17" i="5" s="1"/>
  <c r="AV17" i="5" s="1"/>
  <c r="AW17" i="5" s="1"/>
  <c r="AX17" i="5" s="1"/>
  <c r="AY17" i="5" s="1"/>
  <c r="AZ17" i="5" s="1"/>
  <c r="BA17" i="5" s="1"/>
  <c r="BB17" i="5" s="1"/>
  <c r="BC17" i="5" s="1"/>
  <c r="AK18" i="5"/>
  <c r="AL18" i="5"/>
  <c r="AM18" i="5"/>
  <c r="AN18" i="5"/>
  <c r="AO18" i="5"/>
  <c r="AP18" i="5" s="1"/>
  <c r="AQ18" i="5" s="1"/>
  <c r="AR18" i="5" s="1"/>
  <c r="AS18" i="5" s="1"/>
  <c r="AT18" i="5" s="1"/>
  <c r="AU18" i="5" s="1"/>
  <c r="AV18" i="5" s="1"/>
  <c r="AW18" i="5" s="1"/>
  <c r="AX18" i="5" s="1"/>
  <c r="AY18" i="5" s="1"/>
  <c r="AZ18" i="5" s="1"/>
  <c r="BA18" i="5" s="1"/>
  <c r="BB18" i="5" s="1"/>
  <c r="BC18" i="5" s="1"/>
  <c r="AK19" i="5"/>
  <c r="AL19" i="5"/>
  <c r="AM19" i="5" s="1"/>
  <c r="AN19" i="5" s="1"/>
  <c r="AO19" i="5" s="1"/>
  <c r="AP19" i="5" s="1"/>
  <c r="AQ19" i="5" s="1"/>
  <c r="AR19" i="5" s="1"/>
  <c r="AS19" i="5" s="1"/>
  <c r="AT19" i="5" s="1"/>
  <c r="AU19" i="5" s="1"/>
  <c r="AV19" i="5" s="1"/>
  <c r="AW19" i="5" s="1"/>
  <c r="AX19" i="5" s="1"/>
  <c r="AY19" i="5" s="1"/>
  <c r="AZ19" i="5" s="1"/>
  <c r="BA19" i="5" s="1"/>
  <c r="BB19" i="5" s="1"/>
  <c r="BC19" i="5" s="1"/>
  <c r="AK20" i="5"/>
  <c r="AL20" i="5" s="1"/>
  <c r="AM20" i="5" s="1"/>
  <c r="AN20" i="5" s="1"/>
  <c r="AO20" i="5" s="1"/>
  <c r="AP20" i="5" s="1"/>
  <c r="AQ20" i="5" s="1"/>
  <c r="AR20" i="5" s="1"/>
  <c r="AS20" i="5" s="1"/>
  <c r="AT20" i="5" s="1"/>
  <c r="AU20" i="5" s="1"/>
  <c r="AV20" i="5" s="1"/>
  <c r="AW20" i="5" s="1"/>
  <c r="AX20" i="5" s="1"/>
  <c r="AY20" i="5" s="1"/>
  <c r="AZ20" i="5" s="1"/>
  <c r="BA20" i="5" s="1"/>
  <c r="BB20" i="5" s="1"/>
  <c r="BC20" i="5" s="1"/>
  <c r="AK21" i="5"/>
  <c r="AL21" i="5"/>
  <c r="AM21" i="5"/>
  <c r="AN21" i="5"/>
  <c r="AO21" i="5" s="1"/>
  <c r="AP21" i="5" s="1"/>
  <c r="AQ21" i="5" s="1"/>
  <c r="AR21" i="5" s="1"/>
  <c r="AS21" i="5" s="1"/>
  <c r="AT21" i="5" s="1"/>
  <c r="AU21" i="5" s="1"/>
  <c r="AV21" i="5"/>
  <c r="AW21" i="5" s="1"/>
  <c r="AX21" i="5" s="1"/>
  <c r="AY21" i="5" s="1"/>
  <c r="AZ21" i="5" s="1"/>
  <c r="BA21" i="5" s="1"/>
  <c r="BB21" i="5" s="1"/>
  <c r="BC21" i="5" s="1"/>
  <c r="AK22" i="5"/>
  <c r="AL22" i="5" s="1"/>
  <c r="AM22" i="5" s="1"/>
  <c r="AN22" i="5" s="1"/>
  <c r="AO22" i="5" s="1"/>
  <c r="AP22" i="5" s="1"/>
  <c r="AQ22" i="5" s="1"/>
  <c r="AR22" i="5" s="1"/>
  <c r="AS22" i="5" s="1"/>
  <c r="AT22" i="5" s="1"/>
  <c r="AU22" i="5" s="1"/>
  <c r="AV22" i="5" s="1"/>
  <c r="AW22" i="5" s="1"/>
  <c r="AX22" i="5" s="1"/>
  <c r="AY22" i="5" s="1"/>
  <c r="AZ22" i="5" s="1"/>
  <c r="BA22" i="5" s="1"/>
  <c r="BB22" i="5" s="1"/>
  <c r="BC22" i="5" s="1"/>
  <c r="AJ5" i="5"/>
  <c r="AJ6" i="5"/>
  <c r="AJ7" i="5"/>
  <c r="AJ8" i="5"/>
  <c r="AJ9" i="5"/>
  <c r="AJ10" i="5"/>
  <c r="AJ11" i="5"/>
  <c r="AJ12" i="5"/>
  <c r="AJ13" i="5"/>
  <c r="AJ14" i="5"/>
  <c r="AJ15" i="5"/>
  <c r="AJ16" i="5"/>
  <c r="AJ17" i="5"/>
  <c r="AJ18" i="5"/>
  <c r="AJ19" i="5"/>
  <c r="AJ20" i="5"/>
  <c r="AJ21" i="5"/>
  <c r="AJ22" i="5"/>
  <c r="AJ4" i="5"/>
  <c r="AJ3" i="5"/>
  <c r="AK3" i="5" s="1"/>
  <c r="AL3" i="5" s="1"/>
  <c r="AM3" i="5" s="1"/>
  <c r="AN3" i="5" s="1"/>
  <c r="AO3" i="5" s="1"/>
  <c r="AP3" i="5" s="1"/>
  <c r="AQ3" i="5" s="1"/>
  <c r="AR3" i="5" s="1"/>
  <c r="AS3" i="5" s="1"/>
  <c r="AT3" i="5" s="1"/>
  <c r="AU3" i="5" s="1"/>
  <c r="AV3" i="5" s="1"/>
  <c r="AW3" i="5" s="1"/>
  <c r="AX3" i="5" s="1"/>
  <c r="AY3" i="5" s="1"/>
  <c r="AZ3" i="5" s="1"/>
  <c r="BA3" i="5" s="1"/>
  <c r="BB3" i="5" s="1"/>
  <c r="BC3" i="5" s="1"/>
  <c r="AJ2" i="5"/>
  <c r="AK2" i="5" s="1"/>
  <c r="AL2" i="5" s="1"/>
  <c r="AM2" i="5" s="1"/>
  <c r="AN2" i="5" s="1"/>
  <c r="AO2" i="5" s="1"/>
  <c r="AP2" i="5" s="1"/>
  <c r="AQ2" i="5" s="1"/>
  <c r="AR2" i="5" s="1"/>
  <c r="AS2" i="5" s="1"/>
  <c r="AT2" i="5" s="1"/>
  <c r="AU2" i="5" s="1"/>
  <c r="AV2" i="5" s="1"/>
  <c r="AW2" i="5" s="1"/>
  <c r="AX2" i="5" s="1"/>
  <c r="AY2" i="5" s="1"/>
  <c r="AZ2" i="5" s="1"/>
  <c r="BA2" i="5" s="1"/>
  <c r="BB2" i="5" s="1"/>
  <c r="BC2" i="5" s="1"/>
  <c r="AM2" i="4"/>
  <c r="AN2" i="4" s="1"/>
  <c r="AO2" i="4" s="1"/>
  <c r="AP2" i="4" s="1"/>
  <c r="AQ2" i="4" s="1"/>
  <c r="AR2" i="4" s="1"/>
  <c r="AS2" i="4" s="1"/>
  <c r="AT2" i="4" s="1"/>
  <c r="AU2" i="4" s="1"/>
  <c r="AV2" i="4" s="1"/>
  <c r="AW2" i="4" s="1"/>
  <c r="AX2" i="4" s="1"/>
  <c r="AY2" i="4" s="1"/>
  <c r="AZ2" i="4" s="1"/>
  <c r="BA2" i="4" s="1"/>
  <c r="BB2" i="4" s="1"/>
  <c r="BC2" i="4" s="1"/>
  <c r="BD2" i="4" s="1"/>
  <c r="BE2" i="4" s="1"/>
  <c r="AM3" i="4"/>
  <c r="AN3" i="4"/>
  <c r="AO3" i="4"/>
  <c r="AP3" i="4"/>
  <c r="AQ3" i="4"/>
  <c r="AR3" i="4" s="1"/>
  <c r="AS3" i="4" s="1"/>
  <c r="AT3" i="4" s="1"/>
  <c r="AU3" i="4" s="1"/>
  <c r="AV3" i="4" s="1"/>
  <c r="AW3" i="4" s="1"/>
  <c r="AX3" i="4" s="1"/>
  <c r="AY3" i="4" s="1"/>
  <c r="AZ3" i="4" s="1"/>
  <c r="BA3" i="4" s="1"/>
  <c r="BB3" i="4" s="1"/>
  <c r="BC3" i="4" s="1"/>
  <c r="BD3" i="4" s="1"/>
  <c r="BE3" i="4" s="1"/>
  <c r="AL3" i="4"/>
  <c r="AL2" i="4"/>
  <c r="D44" i="2"/>
  <c r="E44" i="2" s="1"/>
  <c r="D43" i="2"/>
  <c r="E43" i="2" s="1"/>
  <c r="D42" i="2"/>
  <c r="E42" i="2" s="1"/>
  <c r="D41" i="2"/>
  <c r="E41" i="2" s="1"/>
  <c r="D40" i="2"/>
  <c r="E40" i="2" s="1"/>
  <c r="D39" i="2"/>
  <c r="E39" i="2" s="1"/>
  <c r="D38" i="2"/>
  <c r="E38" i="2" s="1"/>
  <c r="D37" i="2"/>
  <c r="E37" i="2" s="1"/>
  <c r="D25" i="2"/>
  <c r="D24" i="2"/>
  <c r="D23" i="2"/>
  <c r="E23" i="2" s="1"/>
  <c r="B3" i="4" s="1"/>
  <c r="C3" i="4" s="1"/>
  <c r="D3" i="4" s="1"/>
  <c r="E3" i="4" s="1"/>
  <c r="F3" i="4" s="1"/>
  <c r="G3" i="4" s="1"/>
  <c r="H3" i="4" s="1"/>
  <c r="I3" i="4" s="1"/>
  <c r="J3" i="4" s="1"/>
  <c r="K3" i="4" s="1"/>
  <c r="L3" i="4" s="1"/>
  <c r="M3" i="4" s="1"/>
  <c r="N3" i="4" s="1"/>
  <c r="O3" i="4" s="1"/>
  <c r="P3" i="4" s="1"/>
  <c r="Q3" i="4" s="1"/>
  <c r="R3" i="4" s="1"/>
  <c r="S3" i="4" s="1"/>
  <c r="T3" i="4" s="1"/>
  <c r="U3" i="4" s="1"/>
  <c r="V3" i="4" s="1"/>
  <c r="W3" i="4" s="1"/>
  <c r="X3" i="4" s="1"/>
  <c r="Y3" i="4" s="1"/>
  <c r="Z3" i="4" s="1"/>
  <c r="AA3" i="4" s="1"/>
  <c r="AB3" i="4" s="1"/>
  <c r="AC3" i="4" s="1"/>
  <c r="AD3" i="4" s="1"/>
  <c r="AE3" i="4" s="1"/>
  <c r="AF3" i="4" s="1"/>
  <c r="AG3" i="4" s="1"/>
  <c r="AH3" i="4" s="1"/>
  <c r="AI3" i="4" s="1"/>
  <c r="AJ3" i="4" s="1"/>
  <c r="AK3" i="4" s="1"/>
  <c r="D22" i="2"/>
  <c r="D21" i="2"/>
  <c r="D20" i="2"/>
  <c r="D19" i="2"/>
  <c r="G18" i="2"/>
  <c r="D18" i="2"/>
  <c r="D17" i="2"/>
  <c r="D15" i="2"/>
  <c r="E15" i="2" s="1"/>
  <c r="D14" i="2"/>
  <c r="E14" i="2" s="1"/>
  <c r="E13" i="2"/>
  <c r="D13" i="2"/>
  <c r="D12" i="2"/>
  <c r="D11" i="2"/>
  <c r="E11" i="2" s="1"/>
  <c r="D10" i="2"/>
  <c r="E10" i="2" s="1"/>
  <c r="E9" i="2"/>
  <c r="D9" i="2"/>
  <c r="D8" i="2"/>
  <c r="E8" i="2" s="1"/>
  <c r="G8" i="2" s="1"/>
  <c r="B2" i="4" s="1"/>
  <c r="C2" i="4" s="1"/>
  <c r="D2" i="4" s="1"/>
  <c r="E2" i="4" s="1"/>
  <c r="F2" i="4" s="1"/>
  <c r="G2" i="4" s="1"/>
  <c r="H2" i="4" s="1"/>
  <c r="I2" i="4" s="1"/>
  <c r="J2" i="4" s="1"/>
  <c r="K2" i="4" s="1"/>
  <c r="L2" i="4" s="1"/>
  <c r="M2" i="4" s="1"/>
  <c r="N2" i="4" s="1"/>
  <c r="O2" i="4" s="1"/>
  <c r="P2" i="4" s="1"/>
  <c r="Q2" i="4" s="1"/>
  <c r="R2" i="4" s="1"/>
  <c r="S2" i="4" s="1"/>
  <c r="T2" i="4" s="1"/>
  <c r="U2" i="4" s="1"/>
  <c r="V2" i="4" s="1"/>
  <c r="W2" i="4" s="1"/>
  <c r="X2" i="4" s="1"/>
  <c r="Y2" i="4" s="1"/>
  <c r="Z2" i="4" s="1"/>
  <c r="AA2" i="4" s="1"/>
  <c r="AB2" i="4" s="1"/>
  <c r="AC2" i="4" s="1"/>
  <c r="AD2" i="4" s="1"/>
  <c r="AE2" i="4" s="1"/>
  <c r="AF2" i="4" s="1"/>
  <c r="AG2" i="4" s="1"/>
  <c r="AH2" i="4" s="1"/>
  <c r="AI2" i="4" s="1"/>
  <c r="AJ2" i="4" s="1"/>
  <c r="AK2" i="4" s="1"/>
  <c r="F4" i="2"/>
  <c r="E12" i="2" s="1"/>
</calcChain>
</file>

<file path=xl/sharedStrings.xml><?xml version="1.0" encoding="utf-8"?>
<sst xmlns="http://schemas.openxmlformats.org/spreadsheetml/2006/main" count="349" uniqueCount="259">
  <si>
    <t>BCF BTU per Million Short Tons Coal</t>
  </si>
  <si>
    <t>BCF BTU per Trillion Cubic Ft Natural Gas</t>
  </si>
  <si>
    <t>BCF Liquid Fuel BTU Conversion Factors</t>
  </si>
  <si>
    <t>Source:</t>
  </si>
  <si>
    <t>Energy Information Administration</t>
  </si>
  <si>
    <t>Annual Energy Outlook 2016</t>
  </si>
  <si>
    <t>http://www.eia.gov/forecasts/aeo/supplement/excel/suptab_73.xlsx</t>
  </si>
  <si>
    <t>Table 73</t>
  </si>
  <si>
    <t>ESDM</t>
  </si>
  <si>
    <t>Handbook of Energy and Economic Statistics of Indonesia</t>
  </si>
  <si>
    <t xml:space="preserve">https://www.esdm.go.id/id/publikasi/handbook-of-energy-economic-statistics-of-indonesia </t>
  </si>
  <si>
    <t>Table 5.2.2</t>
  </si>
  <si>
    <t>Note:</t>
  </si>
  <si>
    <t>We adjust the coal and natural gas value for Indonesia data, but we keep US conversion factor for liquid fuel since the conversion from Indonesia data is too high compared to US data. Indonesia data (HEESI) shows constant conversion.</t>
  </si>
  <si>
    <t>Handbook of Energy &amp; Economic Statistics of Indonesia</t>
  </si>
  <si>
    <t>CONVERSION FACTOR</t>
  </si>
  <si>
    <t>1 BOE =</t>
  </si>
  <si>
    <t>BTU</t>
  </si>
  <si>
    <t>Multiplier Factor</t>
  </si>
  <si>
    <t>1 short ton =</t>
  </si>
  <si>
    <t>ton</t>
  </si>
  <si>
    <t>to BOE</t>
  </si>
  <si>
    <t xml:space="preserve">1 mill short ton = </t>
  </si>
  <si>
    <t>Energy</t>
  </si>
  <si>
    <t>Original Unit</t>
  </si>
  <si>
    <t>(Barrel Oil</t>
  </si>
  <si>
    <t>BTU/original unit</t>
  </si>
  <si>
    <t>BTU/million short ton coal</t>
  </si>
  <si>
    <t>Equivalent)</t>
  </si>
  <si>
    <t>Coal</t>
  </si>
  <si>
    <t>average coal</t>
  </si>
  <si>
    <t>Anthracite</t>
  </si>
  <si>
    <t>Ton</t>
  </si>
  <si>
    <t>Imported Coal</t>
  </si>
  <si>
    <t>Kalimantan Coal</t>
  </si>
  <si>
    <t>Ombilin Coal</t>
  </si>
  <si>
    <t>Tanjung Enim Coal</t>
  </si>
  <si>
    <t>Lignite</t>
  </si>
  <si>
    <t>Riau Peat</t>
  </si>
  <si>
    <t>Briquette</t>
  </si>
  <si>
    <t>Biomass</t>
  </si>
  <si>
    <t>LNG density (Indonesia)</t>
  </si>
  <si>
    <t>Charcoal</t>
  </si>
  <si>
    <t>kg/m3</t>
  </si>
  <si>
    <t>1 m3=</t>
  </si>
  <si>
    <t>ft3</t>
  </si>
  <si>
    <t>Firewood</t>
  </si>
  <si>
    <t>ton/ft3</t>
  </si>
  <si>
    <t>Natural Gas</t>
  </si>
  <si>
    <t>MSCF</t>
  </si>
  <si>
    <t>Gas Products</t>
  </si>
  <si>
    <t>City Gas</t>
  </si>
  <si>
    <t>Thousand KCal</t>
  </si>
  <si>
    <t>CNG</t>
  </si>
  <si>
    <t>BTU/ft3</t>
  </si>
  <si>
    <t>LNG</t>
  </si>
  <si>
    <t>MMBTU</t>
  </si>
  <si>
    <t>LPG</t>
  </si>
  <si>
    <t>Oil</t>
  </si>
  <si>
    <t>Petroleum Gasoline (BTU/million barrels)</t>
  </si>
  <si>
    <t>CONVERSION FACTOR (continued)</t>
  </si>
  <si>
    <t>1 kL =</t>
  </si>
  <si>
    <t>US bbl</t>
  </si>
  <si>
    <t>Petroleum Diesel (BTU/million barrels)</t>
  </si>
  <si>
    <t>Biofuel Gasoline (BTU/million barrels)</t>
  </si>
  <si>
    <t>Biofuel Diesel (BTU/million barrels)</t>
  </si>
  <si>
    <t>Jet Fuel (BTU/million barrels)</t>
  </si>
  <si>
    <t>Condensate</t>
  </si>
  <si>
    <t>Barrel</t>
  </si>
  <si>
    <t>Crude Oil</t>
  </si>
  <si>
    <t>Oil Fuel</t>
  </si>
  <si>
    <t>BTU/million barrels</t>
  </si>
  <si>
    <t>Aviation Gasoil (Avgas)</t>
  </si>
  <si>
    <t>Kilo Liter</t>
  </si>
  <si>
    <t>Aviation Turbine Gas (Avtur)</t>
  </si>
  <si>
    <t>Super TT</t>
  </si>
  <si>
    <t>Premix</t>
  </si>
  <si>
    <t>Premium</t>
  </si>
  <si>
    <t>Kerosene</t>
  </si>
  <si>
    <t>Gasoil</t>
  </si>
  <si>
    <t>IDO</t>
  </si>
  <si>
    <t>FO</t>
  </si>
  <si>
    <t>Oil Products</t>
  </si>
  <si>
    <t>Other Oil Products</t>
  </si>
  <si>
    <t>Refinery Fuel</t>
  </si>
  <si>
    <t>Refinery Fuel Gas (RFG)</t>
  </si>
  <si>
    <t>Refinery Fuel Oil (RFO)</t>
  </si>
  <si>
    <t>Feed Stock</t>
  </si>
  <si>
    <t>Electric Power</t>
  </si>
  <si>
    <t>MWh</t>
  </si>
  <si>
    <t>ref2016.d032416a</t>
  </si>
  <si>
    <t>Report</t>
  </si>
  <si>
    <t>Scenario</t>
  </si>
  <si>
    <t>ref2016</t>
  </si>
  <si>
    <t>Reference case</t>
  </si>
  <si>
    <t>Datekey</t>
  </si>
  <si>
    <t>d032416a</t>
  </si>
  <si>
    <t>Release Date</t>
  </si>
  <si>
    <t xml:space="preserve"> April 2016</t>
  </si>
  <si>
    <t>CNV000</t>
  </si>
  <si>
    <t>73. Conversion Factors</t>
  </si>
  <si>
    <t>(from physical units to million Btu)</t>
  </si>
  <si>
    <t/>
  </si>
  <si>
    <t>2015-</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</si>
  <si>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</si>
  <si>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</si>
  <si>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</si>
  <si>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</si>
  <si>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</si>
  <si>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</si>
  <si>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</si>
  <si>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</si>
  <si>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</si>
  <si>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</si>
  <si>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</si>
  <si>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</si>
  <si>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</si>
  <si>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</si>
  <si>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</si>
  <si>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</si>
  <si>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</si>
  <si>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</si>
  <si>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</si>
  <si>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</si>
  <si>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</si>
  <si>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</si>
  <si>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</si>
  <si>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</si>
  <si>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</si>
  <si>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</si>
  <si>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</si>
  <si>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</si>
  <si>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</si>
  <si>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</si>
  <si>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</si>
  <si>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</si>
  <si>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</si>
  <si>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</si>
  <si>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</si>
  <si>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</si>
  <si>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</si>
  <si>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Traditional Motor Gasoline</t>
  </si>
  <si>
    <t>CNV000:aa_ReforMotorGas</t>
  </si>
  <si>
    <t xml:space="preserve">     Reformulated Motor Gasoline</t>
  </si>
  <si>
    <t>CNV000:aa_Pure_Motor_Ga</t>
  </si>
  <si>
    <t xml:space="preserve">     Pure Motor Gasoline</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</si>
  <si>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</si>
  <si>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</si>
  <si>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</si>
  <si>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</si>
  <si>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</si>
  <si>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</si>
  <si>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</si>
  <si>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</si>
  <si>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</si>
  <si>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</si>
  <si>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</si>
  <si>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</si>
  <si>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</si>
  <si>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</si>
  <si>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</si>
  <si>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</si>
  <si>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</si>
  <si>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</si>
  <si>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</si>
  <si>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</si>
  <si>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</si>
  <si>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</si>
  <si>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</si>
  <si>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</si>
  <si>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</si>
  <si>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</si>
  <si>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</si>
  <si>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</si>
  <si>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</si>
  <si>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</si>
  <si>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</si>
  <si>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</si>
  <si>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</si>
  <si>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</si>
  <si>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</si>
  <si>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</si>
  <si>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</si>
  <si>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</si>
  <si>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</si>
  <si>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</si>
  <si>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</si>
  <si>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</si>
  <si>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</si>
  <si>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</si>
  <si>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</si>
  <si>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</si>
  <si>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</si>
  <si>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</si>
  <si>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</si>
  <si>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</si>
  <si>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</si>
  <si>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</si>
  <si>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</si>
  <si>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</si>
  <si>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</si>
  <si>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</si>
  <si>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</si>
  <si>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</si>
  <si>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</si>
  <si>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</si>
  <si>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</si>
  <si>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</si>
  <si>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</si>
  <si>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 -</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</si>
  <si>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</si>
  <si>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</si>
  <si>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</si>
  <si>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</si>
  <si>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</si>
  <si>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</si>
  <si>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</si>
  <si>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</si>
  <si>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Sources:  2014 based on:  U.S. Energy Information Administration (EIA), Monthly Energy Review, February 2016.</t>
  </si>
  <si>
    <t>2015:  EIA, Short-Term Energy Outlook, February 2016 and EIA, AEO2016 National Energy Modeling System run ref2016.d032416a.</t>
  </si>
  <si>
    <t>Projections:  EIA, AEO2016 National Energy Modeling System run ref2016.d032416a.</t>
  </si>
  <si>
    <t>Year</t>
  </si>
  <si>
    <t>Coal (BTU/million short tons)</t>
  </si>
  <si>
    <t>Natural Gas (BTU/trillion cubic ft)</t>
  </si>
  <si>
    <t>BTU/large fuel output unit</t>
  </si>
  <si>
    <t>electricity (not used)</t>
  </si>
  <si>
    <t>hard coal</t>
  </si>
  <si>
    <t>natural gas</t>
  </si>
  <si>
    <t>nuclear (not used)</t>
  </si>
  <si>
    <t>hydro (not used)</t>
  </si>
  <si>
    <t>wind (not used)</t>
  </si>
  <si>
    <t>solar (not used)</t>
  </si>
  <si>
    <t>biomass</t>
  </si>
  <si>
    <t>petroleum gasoline</t>
  </si>
  <si>
    <t>petroleum diesel</t>
  </si>
  <si>
    <t>biofuel gasoline</t>
  </si>
  <si>
    <t>biofuel diesel</t>
  </si>
  <si>
    <t>jet fuel or kerosene</t>
  </si>
  <si>
    <t>heat (not used)</t>
  </si>
  <si>
    <t>geothermal (not used)</t>
  </si>
  <si>
    <t>lignite</t>
  </si>
  <si>
    <t>crude oil</t>
  </si>
  <si>
    <t>heavy fuel oil</t>
  </si>
  <si>
    <t>LPG propane or butane</t>
  </si>
  <si>
    <t>municipal solid waste</t>
  </si>
  <si>
    <t>hydrogen</t>
  </si>
  <si>
    <t>BTU/small fuel output unit</t>
  </si>
  <si>
    <t>electricity</t>
  </si>
  <si>
    <t>nuclear</t>
  </si>
  <si>
    <t>heat</t>
  </si>
  <si>
    <t>Conversion Factor (output fuel economy unit/(miles/BTU))</t>
  </si>
  <si>
    <t>Electricity</t>
  </si>
  <si>
    <t>Petroleum Gasoline (fuel economy units)</t>
  </si>
  <si>
    <t>Petroleum Diesel (fuel economy units)</t>
  </si>
  <si>
    <t>Biofuel Gasoline</t>
  </si>
  <si>
    <t>Biofuel Diesel</t>
  </si>
  <si>
    <t>Jet Fuel (fuel economy units)</t>
  </si>
  <si>
    <t>heavy or residual fuel oil</t>
  </si>
  <si>
    <t>Energy Import Export Output Unit (BTU/energy output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</si>
</sst>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E+00"/>
  </numFmts>
  <fonts count="19"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
      <u/>
      <sz val="11"/>
      <color rgb="FF0070C0"/>
      <name val="Calibri"/>
      <family val="2"/>
    </font>
    <font>
      <u/>
      <sz val="10"/>
      <color theme="4"/>
      <name val="Calibri"/>
      <family val="2"/>
    </font>
    <font>
      <sz val="8"/>
      <color theme="1"/>
      <name val="Arial"/>
      <family val="2"/>
    </font>
    <font>
      <sz val="8"/>
      <color rgb="FF808284"/>
      <name val="Arial"/>
      <family val="2"/>
    </font>
    <font>
      <sz val="10"/>
      <color rgb="FF57585B"/>
      <name val="Arial"/>
      <family val="2"/>
    </font>
    <font>
      <b/>
      <sz val="8"/>
      <color rgb="FF57585B"/>
      <name val="Arial"/>
      <family val="2"/>
    </font>
    <font>
      <sz val="8"/>
      <color rgb="FF57585B"/>
      <name val="Arial"/>
      <family val="2"/>
    </font>
    <font>
      <sz val="9"/>
      <color rgb="FF000000"/>
      <name val="Calibri"/>
      <family val="2"/>
    </font>
    <font>
      <b/>
      <sz val="9"/>
      <color rgb="FF000000"/>
      <name val="Calibri"/>
      <family val="2"/>
    </font>
    <font>
      <sz val="10"/>
      <color rgb="FF000000"/>
      <name val="Arial"/>
      <family val="2"/>
    </font>
    <font>
      <b/>
      <sz val="12"/>
      <color rgb="FF0066CC"/>
      <name val="Calibri"/>
      <family val="2"/>
    </font>
    <font>
      <sz val="11"/>
      <name val="Calibri"/>
      <family val="2"/>
    </font>
    <font>
      <sz val="9"/>
      <color theme="1"/>
      <name val="Calibri"/>
      <family val="2"/>
    </font>
    <font>
      <sz val="11"/>
      <color rgb="FF000000"/>
      <name val="Calibri"/>
      <family val="2"/>
    </font>
    <font>
      <b/>
      <sz val="11"/>
      <color rgb="FF000000"/>
      <name val="Calibri"/>
      <family val="2"/>
    </font>
  </fonts>
  <fills count="4">
    <fill>
      <patternFill patternType="none"/>
    </fill>
    <fill>
      <patternFill patternType="gray125"/>
    </fill>
    <fill>
      <patternFill patternType="solid">
        <fgColor rgb="FFBFBFBF"/>
        <bgColor rgb="FFBFBFBF"/>
      </patternFill>
    </fill>
    <fill>
      <patternFill patternType="solid">
        <fgColor rgb="FF92D050"/>
        <bgColor rgb="FF92D050"/>
      </patternFill>
    </fill>
  </fills>
  <borders count="6">
    <border>
      <left/>
      <right/>
      <top/>
      <bottom/>
      <diagonal/>
    </border>
    <border>
      <left/>
      <right/>
      <top/>
      <bottom/>
      <diagonal/>
    </border>
    <border>
      <left/>
      <right/>
      <top/>
      <bottom style="thick">
        <color rgb="FF0096D7"/>
      </bottom>
      <diagonal/>
    </border>
    <border>
      <left/>
      <right/>
      <top/>
      <bottom style="thin">
        <color rgb="FFBFBFBF"/>
      </bottom>
      <diagonal/>
    </border>
    <border>
      <left/>
      <right/>
      <top/>
      <bottom style="dotted">
        <color rgb="FFBFBFBF"/>
      </bottom>
      <diagonal/>
    </border>
    <border>
      <left/>
      <right/>
      <top style="medium">
        <color rgb="FF0096D7"/>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left"/>
    </xf>
    <xf numFmtId="0" fontId="4" fillId="0" borderId="0" xfId="0" applyFont="1"/>
    <xf numFmtId="0" fontId="2" fillId="0" borderId="0" xfId="0" applyFont="1" applyAlignment="1">
      <alignment horizontal="left" vertical="center"/>
    </xf>
    <xf numFmtId="0" fontId="5" fillId="0" borderId="0" xfId="0" applyFont="1" applyAlignment="1">
      <alignment horizontal="left" vertical="center"/>
    </xf>
    <xf numFmtId="1" fontId="6" fillId="0" borderId="0" xfId="0" applyNumberFormat="1" applyFont="1"/>
    <xf numFmtId="0" fontId="7" fillId="0" borderId="0" xfId="0" applyFont="1"/>
    <xf numFmtId="0" fontId="8" fillId="0" borderId="0" xfId="0" applyFont="1"/>
    <xf numFmtId="0" fontId="2" fillId="2" borderId="1" xfId="0" applyFont="1" applyFill="1" applyBorder="1"/>
    <xf numFmtId="11" fontId="2" fillId="2" borderId="1" xfId="0" applyNumberFormat="1" applyFont="1" applyFill="1" applyBorder="1"/>
    <xf numFmtId="0" fontId="6" fillId="0" borderId="0" xfId="0" applyFont="1"/>
    <xf numFmtId="0" fontId="9" fillId="0" borderId="0" xfId="0" applyFont="1"/>
    <xf numFmtId="0" fontId="1" fillId="2" borderId="1" xfId="0" applyFont="1" applyFill="1" applyBorder="1"/>
    <xf numFmtId="0" fontId="6" fillId="3" borderId="1" xfId="0" applyFont="1" applyFill="1" applyBorder="1"/>
    <xf numFmtId="11" fontId="2" fillId="3" borderId="1" xfId="0" applyNumberFormat="1" applyFont="1" applyFill="1" applyBorder="1"/>
    <xf numFmtId="11" fontId="2" fillId="0" borderId="0" xfId="0" applyNumberFormat="1" applyFont="1"/>
    <xf numFmtId="0" fontId="1" fillId="3" borderId="1" xfId="0" applyFont="1" applyFill="1" applyBorder="1"/>
    <xf numFmtId="0" fontId="2" fillId="3" borderId="1" xfId="0" applyFont="1" applyFill="1" applyBorder="1"/>
    <xf numFmtId="11" fontId="1" fillId="0" borderId="0" xfId="0" applyNumberFormat="1" applyFont="1"/>
    <xf numFmtId="0" fontId="10" fillId="0" borderId="0" xfId="0" applyFont="1"/>
    <xf numFmtId="0" fontId="11" fillId="0" borderId="0" xfId="0" applyFont="1"/>
    <xf numFmtId="0" fontId="12" fillId="0" borderId="2" xfId="0" applyFont="1" applyBorder="1" applyAlignment="1">
      <alignment wrapText="1"/>
    </xf>
    <xf numFmtId="0" fontId="13" fillId="0" borderId="0" xfId="0" applyFont="1"/>
    <xf numFmtId="0" fontId="14" fillId="0" borderId="0" xfId="0" applyFont="1" applyAlignment="1">
      <alignment horizontal="left"/>
    </xf>
    <xf numFmtId="0" fontId="11" fillId="0" borderId="0" xfId="0" applyFont="1" applyAlignment="1">
      <alignment horizontal="left"/>
    </xf>
    <xf numFmtId="0" fontId="12" fillId="0" borderId="3" xfId="0" applyFont="1" applyBorder="1" applyAlignment="1">
      <alignment wrapText="1"/>
    </xf>
    <xf numFmtId="0" fontId="2" fillId="0" borderId="4" xfId="0" applyFont="1" applyBorder="1" applyAlignment="1">
      <alignment wrapText="1"/>
    </xf>
    <xf numFmtId="164" fontId="2" fillId="0" borderId="4" xfId="0" applyNumberFormat="1" applyFont="1" applyBorder="1" applyAlignment="1">
      <alignment horizontal="right" wrapText="1"/>
    </xf>
    <xf numFmtId="165" fontId="2" fillId="0" borderId="4" xfId="0" applyNumberFormat="1" applyFont="1" applyBorder="1" applyAlignment="1">
      <alignment horizontal="right" wrapText="1"/>
    </xf>
    <xf numFmtId="0" fontId="11" fillId="0" borderId="3" xfId="0" applyFont="1" applyBorder="1" applyAlignment="1">
      <alignment wrapText="1"/>
    </xf>
    <xf numFmtId="4" fontId="2" fillId="0" borderId="4" xfId="0" applyNumberFormat="1" applyFont="1" applyBorder="1" applyAlignment="1">
      <alignment horizontal="right" wrapText="1"/>
    </xf>
    <xf numFmtId="0" fontId="2" fillId="0" borderId="3" xfId="0" applyFont="1" applyBorder="1" applyAlignment="1">
      <alignment wrapText="1"/>
    </xf>
    <xf numFmtId="3" fontId="11" fillId="0" borderId="3" xfId="0" applyNumberFormat="1" applyFont="1" applyBorder="1" applyAlignment="1">
      <alignment horizontal="right" wrapText="1"/>
    </xf>
    <xf numFmtId="165" fontId="11" fillId="0" borderId="3" xfId="0" applyNumberFormat="1" applyFont="1" applyBorder="1" applyAlignment="1">
      <alignment horizontal="right" wrapText="1"/>
    </xf>
    <xf numFmtId="0" fontId="16" fillId="0" borderId="0" xfId="0" applyFont="1"/>
    <xf numFmtId="166" fontId="2" fillId="0" borderId="0" xfId="0" applyNumberFormat="1" applyFont="1"/>
    <xf numFmtId="0" fontId="17" fillId="0" borderId="0" xfId="0" applyFont="1" applyAlignment="1">
      <alignment horizontal="right"/>
    </xf>
    <xf numFmtId="0" fontId="17" fillId="0" borderId="0" xfId="0" applyFont="1"/>
    <xf numFmtId="11" fontId="17" fillId="0" borderId="0" xfId="0" applyNumberFormat="1" applyFont="1" applyAlignment="1">
      <alignment horizontal="right"/>
    </xf>
    <xf numFmtId="0" fontId="18" fillId="0" borderId="0" xfId="0" applyFont="1"/>
    <xf numFmtId="0" fontId="2" fillId="0" borderId="0" xfId="0" applyFont="1" applyAlignment="1">
      <alignment horizontal="left" vertical="top" wrapText="1"/>
    </xf>
    <xf numFmtId="0" fontId="0" fillId="0" borderId="0" xfId="0"/>
    <xf numFmtId="0" fontId="11" fillId="0" borderId="5" xfId="0" applyFont="1" applyBorder="1" applyAlignment="1">
      <alignment wrapText="1"/>
    </xf>
    <xf numFmtId="0" fontId="15" fillId="0" borderId="5" xfId="0" applyFont="1" applyBorder="1"/>
    <xf numFmtId="11"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sdm.go.id/id/publikasi/handbook-of-energy-economic-statistics-of-indones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4.5" defaultRowHeight="15" customHeight="1" x14ac:dyDescent="0.2"/>
  <cols>
    <col min="1" max="1" width="8.6640625" customWidth="1"/>
    <col min="2" max="2" width="63.6640625" customWidth="1"/>
    <col min="3" max="26" width="8.6640625" customWidth="1"/>
  </cols>
  <sheetData>
    <row r="1" spans="1:26" ht="14.25" customHeight="1" x14ac:dyDescent="0.2">
      <c r="A1" s="1" t="s">
        <v>0</v>
      </c>
    </row>
    <row r="2" spans="1:26" ht="14.25" customHeight="1" x14ac:dyDescent="0.2">
      <c r="A2" s="1" t="s">
        <v>1</v>
      </c>
      <c r="B2" s="2"/>
      <c r="C2" s="2"/>
      <c r="D2" s="2"/>
      <c r="E2" s="2"/>
      <c r="F2" s="2"/>
      <c r="G2" s="2"/>
      <c r="H2" s="2"/>
      <c r="I2" s="2"/>
      <c r="J2" s="2"/>
      <c r="K2" s="2"/>
      <c r="L2" s="2"/>
      <c r="M2" s="2"/>
      <c r="N2" s="2"/>
      <c r="O2" s="2"/>
      <c r="P2" s="2"/>
      <c r="Q2" s="2"/>
      <c r="R2" s="2"/>
      <c r="S2" s="2"/>
      <c r="T2" s="2"/>
      <c r="U2" s="2"/>
      <c r="V2" s="2"/>
      <c r="W2" s="2"/>
      <c r="X2" s="2"/>
      <c r="Y2" s="2"/>
      <c r="Z2" s="2"/>
    </row>
    <row r="3" spans="1:26" ht="14.25" customHeight="1" x14ac:dyDescent="0.2">
      <c r="A3" s="1" t="s">
        <v>2</v>
      </c>
      <c r="B3" s="2"/>
      <c r="C3" s="2"/>
      <c r="D3" s="2"/>
      <c r="E3" s="2"/>
      <c r="F3" s="2"/>
      <c r="G3" s="2"/>
      <c r="H3" s="2"/>
      <c r="I3" s="2"/>
      <c r="J3" s="2"/>
      <c r="K3" s="2"/>
      <c r="L3" s="2"/>
      <c r="M3" s="2"/>
      <c r="N3" s="2"/>
      <c r="O3" s="2"/>
      <c r="P3" s="2"/>
      <c r="Q3" s="2"/>
      <c r="R3" s="2"/>
      <c r="S3" s="2"/>
      <c r="T3" s="2"/>
      <c r="U3" s="2"/>
      <c r="V3" s="2"/>
      <c r="W3" s="2"/>
      <c r="X3" s="2"/>
      <c r="Y3" s="2"/>
      <c r="Z3" s="2"/>
    </row>
    <row r="4" spans="1:26" ht="14.25" customHeight="1" x14ac:dyDescent="0.2"/>
    <row r="5" spans="1:26" ht="14.25" customHeight="1" x14ac:dyDescent="0.2">
      <c r="A5" s="3" t="s">
        <v>3</v>
      </c>
      <c r="B5" s="3" t="s">
        <v>4</v>
      </c>
    </row>
    <row r="6" spans="1:26" ht="14.25" customHeight="1" x14ac:dyDescent="0.2">
      <c r="B6" s="4">
        <v>2016</v>
      </c>
    </row>
    <row r="7" spans="1:26" ht="14.25" customHeight="1" x14ac:dyDescent="0.2">
      <c r="B7" s="3" t="s">
        <v>5</v>
      </c>
    </row>
    <row r="8" spans="1:26" ht="14.25" customHeight="1" x14ac:dyDescent="0.2">
      <c r="B8" s="5" t="s">
        <v>6</v>
      </c>
    </row>
    <row r="9" spans="1:26" ht="14.25" customHeight="1" x14ac:dyDescent="0.2">
      <c r="B9" s="3" t="s">
        <v>7</v>
      </c>
    </row>
    <row r="10" spans="1:26" ht="14.25" customHeight="1" x14ac:dyDescent="0.2"/>
    <row r="11" spans="1:26" ht="14.25" customHeight="1" x14ac:dyDescent="0.2">
      <c r="A11" s="2"/>
      <c r="B11" s="6" t="s">
        <v>8</v>
      </c>
    </row>
    <row r="12" spans="1:26" ht="14.25" customHeight="1" x14ac:dyDescent="0.2">
      <c r="A12" s="2"/>
      <c r="B12" s="6">
        <v>2019</v>
      </c>
    </row>
    <row r="13" spans="1:26" ht="14.25" customHeight="1" x14ac:dyDescent="0.2">
      <c r="A13" s="2"/>
      <c r="B13" s="6" t="s">
        <v>9</v>
      </c>
    </row>
    <row r="14" spans="1:26" ht="14.25" customHeight="1" x14ac:dyDescent="0.2">
      <c r="A14" s="2"/>
      <c r="B14" s="7" t="s">
        <v>10</v>
      </c>
    </row>
    <row r="15" spans="1:26" ht="14.25" customHeight="1" x14ac:dyDescent="0.2">
      <c r="A15" s="2"/>
      <c r="B15" s="6" t="s">
        <v>11</v>
      </c>
    </row>
    <row r="16" spans="1:26" ht="14.25" customHeight="1" x14ac:dyDescent="0.2">
      <c r="A16" s="2"/>
      <c r="B16" s="2"/>
    </row>
    <row r="17" spans="1:2" ht="14.25" customHeight="1" x14ac:dyDescent="0.2">
      <c r="A17" s="2" t="s">
        <v>12</v>
      </c>
      <c r="B17" s="43" t="s">
        <v>13</v>
      </c>
    </row>
    <row r="18" spans="1:2" ht="14.25" customHeight="1" x14ac:dyDescent="0.2">
      <c r="B18" s="44"/>
    </row>
    <row r="19" spans="1:2" ht="14.25" customHeight="1" x14ac:dyDescent="0.2">
      <c r="B19" s="44"/>
    </row>
    <row r="20" spans="1:2" ht="14.25" customHeight="1" x14ac:dyDescent="0.2">
      <c r="B20" s="44"/>
    </row>
    <row r="21" spans="1:2" ht="14.25" customHeight="1" x14ac:dyDescent="0.2">
      <c r="B21" s="44"/>
    </row>
    <row r="22" spans="1:2" ht="14.25" customHeight="1" x14ac:dyDescent="0.2"/>
    <row r="23" spans="1:2" ht="14.25" customHeight="1" x14ac:dyDescent="0.2"/>
    <row r="24" spans="1:2" ht="14.25" customHeight="1" x14ac:dyDescent="0.2"/>
    <row r="25" spans="1:2" ht="14.25" customHeight="1" x14ac:dyDescent="0.2"/>
    <row r="26" spans="1:2" ht="14.25" customHeight="1" x14ac:dyDescent="0.2"/>
    <row r="27" spans="1:2" ht="14.25" customHeight="1" x14ac:dyDescent="0.2"/>
    <row r="28" spans="1:2" ht="14.25" customHeight="1" x14ac:dyDescent="0.2"/>
    <row r="29" spans="1:2" ht="14.25" customHeight="1" x14ac:dyDescent="0.2"/>
    <row r="30" spans="1:2" ht="14.25" customHeight="1" x14ac:dyDescent="0.2"/>
    <row r="31" spans="1:2" ht="14.25" customHeight="1" x14ac:dyDescent="0.2"/>
    <row r="32" spans="1: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mergeCells count="1">
    <mergeCell ref="B17:B21"/>
  </mergeCells>
  <hyperlinks>
    <hyperlink ref="B14"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4.5" defaultRowHeight="15" customHeight="1" x14ac:dyDescent="0.2"/>
  <cols>
    <col min="1" max="1" width="19.33203125" customWidth="1"/>
    <col min="2" max="4" width="10.5" customWidth="1"/>
    <col min="5" max="5" width="19" customWidth="1"/>
    <col min="6" max="6" width="8.6640625" customWidth="1"/>
    <col min="7" max="7" width="11.33203125" customWidth="1"/>
    <col min="8" max="8" width="12.6640625" customWidth="1"/>
    <col min="9" max="26" width="8.6640625" customWidth="1"/>
  </cols>
  <sheetData>
    <row r="1" spans="1:8" ht="14.25" customHeight="1" x14ac:dyDescent="0.2">
      <c r="A1" s="8">
        <v>2020</v>
      </c>
      <c r="B1" s="9" t="s">
        <v>14</v>
      </c>
      <c r="C1" s="2"/>
    </row>
    <row r="2" spans="1:8" ht="14.25" customHeight="1" x14ac:dyDescent="0.2">
      <c r="A2" s="2"/>
      <c r="B2" s="10" t="s">
        <v>15</v>
      </c>
      <c r="C2" s="2"/>
      <c r="E2" s="11" t="s">
        <v>16</v>
      </c>
      <c r="F2" s="12">
        <v>5799000</v>
      </c>
      <c r="G2" s="11" t="s">
        <v>17</v>
      </c>
    </row>
    <row r="3" spans="1:8" ht="14.25" customHeight="1" x14ac:dyDescent="0.2">
      <c r="A3" s="2"/>
      <c r="B3" s="2"/>
      <c r="C3" s="13" t="s">
        <v>18</v>
      </c>
      <c r="E3" s="11" t="s">
        <v>19</v>
      </c>
      <c r="F3" s="11">
        <v>0.90700000000000003</v>
      </c>
      <c r="G3" s="11" t="s">
        <v>20</v>
      </c>
    </row>
    <row r="4" spans="1:8" ht="14.25" customHeight="1" x14ac:dyDescent="0.2">
      <c r="A4" s="2"/>
      <c r="B4" s="2"/>
      <c r="C4" s="13" t="s">
        <v>21</v>
      </c>
      <c r="E4" s="11" t="s">
        <v>22</v>
      </c>
      <c r="F4" s="11">
        <f>F3*10^6</f>
        <v>907000</v>
      </c>
      <c r="G4" s="11" t="s">
        <v>20</v>
      </c>
    </row>
    <row r="5" spans="1:8" ht="14.25" customHeight="1" x14ac:dyDescent="0.2">
      <c r="A5" s="13" t="s">
        <v>23</v>
      </c>
      <c r="B5" s="13" t="s">
        <v>24</v>
      </c>
      <c r="C5" s="13" t="s">
        <v>25</v>
      </c>
      <c r="D5" s="13" t="s">
        <v>26</v>
      </c>
      <c r="E5" s="13" t="s">
        <v>27</v>
      </c>
    </row>
    <row r="6" spans="1:8" ht="14.25" customHeight="1" x14ac:dyDescent="0.2">
      <c r="A6" s="2"/>
      <c r="B6" s="2"/>
      <c r="C6" s="13" t="s">
        <v>28</v>
      </c>
    </row>
    <row r="7" spans="1:8" ht="14.25" customHeight="1" x14ac:dyDescent="0.2">
      <c r="A7" s="2"/>
      <c r="B7" s="14" t="s">
        <v>29</v>
      </c>
      <c r="C7" s="2"/>
      <c r="G7" s="15" t="s">
        <v>30</v>
      </c>
    </row>
    <row r="8" spans="1:8" ht="14.25" customHeight="1" x14ac:dyDescent="0.2">
      <c r="A8" s="16" t="s">
        <v>31</v>
      </c>
      <c r="B8" s="16" t="s">
        <v>32</v>
      </c>
      <c r="C8" s="16">
        <v>4.9893000000000001</v>
      </c>
      <c r="D8" s="17">
        <f t="shared" ref="D8:D15" si="0">C8*$F$2</f>
        <v>28932950.699999999</v>
      </c>
      <c r="E8" s="17">
        <f t="shared" ref="E8:E15" si="1">D8*$F$4</f>
        <v>26242186284900</v>
      </c>
      <c r="G8" s="17">
        <f>AVERAGE(E8:E15)</f>
        <v>20554091290050</v>
      </c>
    </row>
    <row r="9" spans="1:8" ht="14.25" customHeight="1" x14ac:dyDescent="0.2">
      <c r="A9" s="16" t="s">
        <v>33</v>
      </c>
      <c r="B9" s="16" t="s">
        <v>32</v>
      </c>
      <c r="C9" s="16">
        <v>4.2766000000000002</v>
      </c>
      <c r="D9" s="17">
        <f t="shared" si="0"/>
        <v>24800003.400000002</v>
      </c>
      <c r="E9" s="17">
        <f t="shared" si="1"/>
        <v>22493603083800.004</v>
      </c>
    </row>
    <row r="10" spans="1:8" ht="14.25" customHeight="1" x14ac:dyDescent="0.2">
      <c r="A10" s="16" t="s">
        <v>34</v>
      </c>
      <c r="B10" s="16" t="s">
        <v>32</v>
      </c>
      <c r="C10" s="16">
        <v>4.2</v>
      </c>
      <c r="D10" s="17">
        <f t="shared" si="0"/>
        <v>24355800</v>
      </c>
      <c r="E10" s="17">
        <f t="shared" si="1"/>
        <v>22090710600000</v>
      </c>
    </row>
    <row r="11" spans="1:8" ht="14.25" customHeight="1" x14ac:dyDescent="0.2">
      <c r="A11" s="16" t="s">
        <v>35</v>
      </c>
      <c r="B11" s="16" t="s">
        <v>32</v>
      </c>
      <c r="C11" s="16">
        <v>4.8452000000000002</v>
      </c>
      <c r="D11" s="17">
        <f t="shared" si="0"/>
        <v>28097314.800000001</v>
      </c>
      <c r="E11" s="17">
        <f t="shared" si="1"/>
        <v>25484264523600</v>
      </c>
    </row>
    <row r="12" spans="1:8" ht="14.25" customHeight="1" x14ac:dyDescent="0.2">
      <c r="A12" s="16" t="s">
        <v>36</v>
      </c>
      <c r="B12" s="16" t="s">
        <v>32</v>
      </c>
      <c r="C12" s="16">
        <v>3.7778</v>
      </c>
      <c r="D12" s="17">
        <f t="shared" si="0"/>
        <v>21907462.199999999</v>
      </c>
      <c r="E12" s="17">
        <f t="shared" si="1"/>
        <v>19870068215400</v>
      </c>
    </row>
    <row r="13" spans="1:8" ht="14.25" customHeight="1" x14ac:dyDescent="0.2">
      <c r="A13" s="16" t="s">
        <v>37</v>
      </c>
      <c r="B13" s="16" t="s">
        <v>32</v>
      </c>
      <c r="C13" s="16">
        <v>3.0649000000000002</v>
      </c>
      <c r="D13" s="17">
        <f t="shared" si="0"/>
        <v>17773355.100000001</v>
      </c>
      <c r="E13" s="17">
        <f t="shared" si="1"/>
        <v>16120433075700.002</v>
      </c>
    </row>
    <row r="14" spans="1:8" ht="14.25" customHeight="1" x14ac:dyDescent="0.2">
      <c r="A14" s="16" t="s">
        <v>38</v>
      </c>
      <c r="B14" s="16" t="s">
        <v>32</v>
      </c>
      <c r="C14" s="16">
        <v>2.5451999999999999</v>
      </c>
      <c r="D14" s="17">
        <f t="shared" si="0"/>
        <v>14759614.799999999</v>
      </c>
      <c r="E14" s="17">
        <f t="shared" si="1"/>
        <v>13386970623599.998</v>
      </c>
    </row>
    <row r="15" spans="1:8" ht="14.25" customHeight="1" x14ac:dyDescent="0.2">
      <c r="A15" s="16" t="s">
        <v>39</v>
      </c>
      <c r="B15" s="16" t="s">
        <v>32</v>
      </c>
      <c r="C15" s="16">
        <v>3.5638000000000001</v>
      </c>
      <c r="D15" s="17">
        <f t="shared" si="0"/>
        <v>20666476.199999999</v>
      </c>
      <c r="E15" s="17">
        <f t="shared" si="1"/>
        <v>18744493913400</v>
      </c>
    </row>
    <row r="16" spans="1:8" ht="14.25" customHeight="1" x14ac:dyDescent="0.2">
      <c r="A16" s="2"/>
      <c r="B16" s="14" t="s">
        <v>40</v>
      </c>
      <c r="C16" s="2"/>
      <c r="D16" s="18"/>
      <c r="E16" s="18"/>
      <c r="G16" s="19" t="s">
        <v>41</v>
      </c>
      <c r="H16" s="20"/>
    </row>
    <row r="17" spans="1:12" ht="14.25" customHeight="1" x14ac:dyDescent="0.2">
      <c r="A17" s="13" t="s">
        <v>42</v>
      </c>
      <c r="B17" s="13" t="s">
        <v>32</v>
      </c>
      <c r="C17" s="13">
        <v>4.9713000000000003</v>
      </c>
      <c r="D17" s="18">
        <f t="shared" ref="D17:D25" si="2">C17*$F$2</f>
        <v>28828568.700000003</v>
      </c>
      <c r="E17" s="18"/>
      <c r="G17" s="20">
        <v>0.68</v>
      </c>
      <c r="H17" s="20" t="s">
        <v>43</v>
      </c>
      <c r="J17" s="20" t="s">
        <v>44</v>
      </c>
      <c r="K17" s="20">
        <v>35.317</v>
      </c>
      <c r="L17" s="20" t="s">
        <v>45</v>
      </c>
    </row>
    <row r="18" spans="1:12" ht="14.25" customHeight="1" x14ac:dyDescent="0.2">
      <c r="A18" s="13" t="s">
        <v>46</v>
      </c>
      <c r="B18" s="13" t="s">
        <v>32</v>
      </c>
      <c r="C18" s="13">
        <v>2.2978999999999998</v>
      </c>
      <c r="D18" s="18">
        <f t="shared" si="2"/>
        <v>13325522.1</v>
      </c>
      <c r="E18" s="18"/>
      <c r="G18" s="20">
        <f>G17/1000/K17</f>
        <v>1.9254183537673075E-5</v>
      </c>
      <c r="H18" s="20" t="s">
        <v>47</v>
      </c>
    </row>
    <row r="19" spans="1:12" ht="14.25" customHeight="1" x14ac:dyDescent="0.2">
      <c r="A19" s="13" t="s">
        <v>48</v>
      </c>
      <c r="B19" s="13" t="s">
        <v>49</v>
      </c>
      <c r="C19" s="13">
        <v>0.17960000000000001</v>
      </c>
      <c r="D19" s="18">
        <f t="shared" si="2"/>
        <v>1041500.4</v>
      </c>
      <c r="E19" s="18"/>
    </row>
    <row r="20" spans="1:12" ht="14.25" customHeight="1" x14ac:dyDescent="0.2">
      <c r="A20" s="2"/>
      <c r="B20" s="14" t="s">
        <v>50</v>
      </c>
      <c r="C20" s="2"/>
      <c r="D20" s="18">
        <f t="shared" si="2"/>
        <v>0</v>
      </c>
      <c r="E20" s="18"/>
    </row>
    <row r="21" spans="1:12" ht="14.25" customHeight="1" x14ac:dyDescent="0.2">
      <c r="A21" s="13" t="s">
        <v>51</v>
      </c>
      <c r="B21" s="13" t="s">
        <v>52</v>
      </c>
      <c r="C21" s="13">
        <v>6.9999999999999999E-4</v>
      </c>
      <c r="D21" s="18">
        <f t="shared" si="2"/>
        <v>4059.3</v>
      </c>
      <c r="E21" s="18"/>
    </row>
    <row r="22" spans="1:12" ht="14.25" customHeight="1" x14ac:dyDescent="0.2">
      <c r="A22" s="13" t="s">
        <v>53</v>
      </c>
      <c r="B22" s="13" t="s">
        <v>52</v>
      </c>
      <c r="C22" s="13">
        <v>6.9999999999999999E-4</v>
      </c>
      <c r="D22" s="18">
        <f t="shared" si="2"/>
        <v>4059.3</v>
      </c>
      <c r="E22" s="21" t="s">
        <v>54</v>
      </c>
    </row>
    <row r="23" spans="1:12" ht="14.25" customHeight="1" x14ac:dyDescent="0.2">
      <c r="A23" s="16" t="s">
        <v>55</v>
      </c>
      <c r="B23" s="16" t="s">
        <v>32</v>
      </c>
      <c r="C23" s="16">
        <v>8.0532000000000004</v>
      </c>
      <c r="D23" s="17">
        <f t="shared" si="2"/>
        <v>46700506.800000004</v>
      </c>
      <c r="E23" s="17">
        <f>D23*G18</f>
        <v>899.18012922954961</v>
      </c>
    </row>
    <row r="24" spans="1:12" ht="14.25" customHeight="1" x14ac:dyDescent="0.2">
      <c r="A24" s="13" t="s">
        <v>55</v>
      </c>
      <c r="B24" s="13" t="s">
        <v>56</v>
      </c>
      <c r="C24" s="13">
        <v>0.17960000000000001</v>
      </c>
      <c r="D24" s="18">
        <f t="shared" si="2"/>
        <v>1041500.4</v>
      </c>
      <c r="E24" s="18"/>
    </row>
    <row r="25" spans="1:12" ht="14.25" customHeight="1" x14ac:dyDescent="0.2">
      <c r="A25" s="13" t="s">
        <v>57</v>
      </c>
      <c r="B25" s="13" t="s">
        <v>32</v>
      </c>
      <c r="C25" s="13">
        <v>8.5245999999999995</v>
      </c>
      <c r="D25" s="18">
        <f t="shared" si="2"/>
        <v>49434155.399999999</v>
      </c>
      <c r="E25" s="18"/>
    </row>
    <row r="26" spans="1:12" ht="14.25" customHeight="1" x14ac:dyDescent="0.2">
      <c r="A26" s="2"/>
      <c r="B26" s="2"/>
      <c r="C26" s="2"/>
    </row>
    <row r="27" spans="1:12" ht="14.25" customHeight="1" x14ac:dyDescent="0.2">
      <c r="A27" s="2"/>
      <c r="B27" s="22" t="s">
        <v>58</v>
      </c>
      <c r="C27" s="2"/>
    </row>
    <row r="28" spans="1:12" ht="14.25" customHeight="1" x14ac:dyDescent="0.2">
      <c r="A28" s="2"/>
      <c r="B28" s="9" t="s">
        <v>14</v>
      </c>
      <c r="C28" s="2"/>
      <c r="H28" s="2" t="s">
        <v>59</v>
      </c>
    </row>
    <row r="29" spans="1:12" ht="14.25" customHeight="1" x14ac:dyDescent="0.2">
      <c r="A29" s="10" t="s">
        <v>60</v>
      </c>
      <c r="B29" s="2"/>
      <c r="C29" s="2"/>
      <c r="E29" s="3" t="s">
        <v>61</v>
      </c>
      <c r="F29" s="3">
        <v>6.29</v>
      </c>
      <c r="G29" s="3" t="s">
        <v>62</v>
      </c>
      <c r="H29" s="2" t="s">
        <v>63</v>
      </c>
    </row>
    <row r="30" spans="1:12" ht="14.25" customHeight="1" x14ac:dyDescent="0.2">
      <c r="A30" s="2"/>
      <c r="B30" s="2"/>
      <c r="C30" s="13" t="s">
        <v>18</v>
      </c>
      <c r="H30" s="2" t="s">
        <v>64</v>
      </c>
    </row>
    <row r="31" spans="1:12" ht="14.25" customHeight="1" x14ac:dyDescent="0.2">
      <c r="A31" s="2"/>
      <c r="B31" s="2"/>
      <c r="C31" s="13" t="s">
        <v>21</v>
      </c>
      <c r="H31" s="2" t="s">
        <v>65</v>
      </c>
    </row>
    <row r="32" spans="1:12" ht="14.25" customHeight="1" x14ac:dyDescent="0.2">
      <c r="A32" s="13" t="s">
        <v>23</v>
      </c>
      <c r="B32" s="13" t="s">
        <v>24</v>
      </c>
      <c r="C32" s="13" t="s">
        <v>25</v>
      </c>
      <c r="D32" s="13" t="s">
        <v>26</v>
      </c>
      <c r="H32" s="2" t="s">
        <v>66</v>
      </c>
    </row>
    <row r="33" spans="1:5" ht="14.25" customHeight="1" x14ac:dyDescent="0.2">
      <c r="A33" s="2"/>
      <c r="B33" s="2"/>
      <c r="C33" s="13" t="s">
        <v>28</v>
      </c>
    </row>
    <row r="34" spans="1:5" ht="14.25" customHeight="1" x14ac:dyDescent="0.2">
      <c r="A34" s="13" t="s">
        <v>67</v>
      </c>
      <c r="B34" s="13" t="s">
        <v>68</v>
      </c>
      <c r="C34" s="13">
        <v>0.95450000000000002</v>
      </c>
    </row>
    <row r="35" spans="1:5" ht="14.25" customHeight="1" x14ac:dyDescent="0.2">
      <c r="A35" s="13" t="s">
        <v>69</v>
      </c>
      <c r="B35" s="13" t="s">
        <v>68</v>
      </c>
      <c r="C35" s="13">
        <v>1</v>
      </c>
    </row>
    <row r="36" spans="1:5" ht="14.25" customHeight="1" x14ac:dyDescent="0.2">
      <c r="A36" s="22" t="s">
        <v>70</v>
      </c>
      <c r="B36" s="2"/>
      <c r="C36" s="2"/>
      <c r="E36" s="3" t="s">
        <v>71</v>
      </c>
    </row>
    <row r="37" spans="1:5" ht="14.25" customHeight="1" x14ac:dyDescent="0.2">
      <c r="A37" s="16" t="s">
        <v>72</v>
      </c>
      <c r="B37" s="16" t="s">
        <v>73</v>
      </c>
      <c r="C37" s="16">
        <v>5.5529999999999999</v>
      </c>
      <c r="D37" s="17">
        <f t="shared" ref="D37:D44" si="3">C37*$F$2</f>
        <v>32201847</v>
      </c>
      <c r="E37" s="18">
        <f t="shared" ref="E37:E44" si="4">D37*$F$29*10^6</f>
        <v>202549617630000</v>
      </c>
    </row>
    <row r="38" spans="1:5" ht="14.25" customHeight="1" x14ac:dyDescent="0.2">
      <c r="A38" s="16" t="s">
        <v>74</v>
      </c>
      <c r="B38" s="16" t="s">
        <v>73</v>
      </c>
      <c r="C38" s="16">
        <v>5.8906999999999998</v>
      </c>
      <c r="D38" s="17">
        <f t="shared" si="3"/>
        <v>34160169.299999997</v>
      </c>
      <c r="E38" s="18">
        <f t="shared" si="4"/>
        <v>214867464897000</v>
      </c>
    </row>
    <row r="39" spans="1:5" ht="14.25" customHeight="1" x14ac:dyDescent="0.2">
      <c r="A39" s="16" t="s">
        <v>75</v>
      </c>
      <c r="B39" s="16" t="s">
        <v>73</v>
      </c>
      <c r="C39" s="16">
        <v>5.8274999999999997</v>
      </c>
      <c r="D39" s="17">
        <f t="shared" si="3"/>
        <v>33793672.5</v>
      </c>
      <c r="E39" s="18">
        <f t="shared" si="4"/>
        <v>212562200025000</v>
      </c>
    </row>
    <row r="40" spans="1:5" ht="14.25" customHeight="1" x14ac:dyDescent="0.2">
      <c r="A40" s="16" t="s">
        <v>76</v>
      </c>
      <c r="B40" s="16" t="s">
        <v>73</v>
      </c>
      <c r="C40" s="16">
        <v>5.8274999999999997</v>
      </c>
      <c r="D40" s="17">
        <f t="shared" si="3"/>
        <v>33793672.5</v>
      </c>
      <c r="E40" s="18">
        <f t="shared" si="4"/>
        <v>212562200025000</v>
      </c>
    </row>
    <row r="41" spans="1:5" ht="14.25" customHeight="1" x14ac:dyDescent="0.2">
      <c r="A41" s="16" t="s">
        <v>77</v>
      </c>
      <c r="B41" s="16" t="s">
        <v>73</v>
      </c>
      <c r="C41" s="16">
        <v>5.8274999999999997</v>
      </c>
      <c r="D41" s="17">
        <f t="shared" si="3"/>
        <v>33793672.5</v>
      </c>
      <c r="E41" s="18">
        <f t="shared" si="4"/>
        <v>212562200025000</v>
      </c>
    </row>
    <row r="42" spans="1:5" ht="14.25" customHeight="1" x14ac:dyDescent="0.2">
      <c r="A42" s="16" t="s">
        <v>78</v>
      </c>
      <c r="B42" s="16" t="s">
        <v>73</v>
      </c>
      <c r="C42" s="16">
        <v>5.9273999999999996</v>
      </c>
      <c r="D42" s="17">
        <f t="shared" si="3"/>
        <v>34372992.599999994</v>
      </c>
      <c r="E42" s="18">
        <f t="shared" si="4"/>
        <v>216206123453999.97</v>
      </c>
    </row>
    <row r="43" spans="1:5" ht="14.25" customHeight="1" x14ac:dyDescent="0.2">
      <c r="A43" s="16" t="s">
        <v>79</v>
      </c>
      <c r="B43" s="16" t="s">
        <v>73</v>
      </c>
      <c r="C43" s="16">
        <v>6.4870999999999999</v>
      </c>
      <c r="D43" s="17">
        <f t="shared" si="3"/>
        <v>37618692.899999999</v>
      </c>
      <c r="E43" s="18">
        <f t="shared" si="4"/>
        <v>236621578341000</v>
      </c>
    </row>
    <row r="44" spans="1:5" ht="14.25" customHeight="1" x14ac:dyDescent="0.2">
      <c r="A44" s="16" t="s">
        <v>80</v>
      </c>
      <c r="B44" s="16" t="s">
        <v>73</v>
      </c>
      <c r="C44" s="16">
        <v>6.6078000000000001</v>
      </c>
      <c r="D44" s="17">
        <f t="shared" si="3"/>
        <v>38318632.200000003</v>
      </c>
      <c r="E44" s="18">
        <f t="shared" si="4"/>
        <v>241024196538000.03</v>
      </c>
    </row>
    <row r="45" spans="1:5" ht="14.25" customHeight="1" x14ac:dyDescent="0.2">
      <c r="A45" s="13" t="s">
        <v>81</v>
      </c>
      <c r="B45" s="13" t="s">
        <v>73</v>
      </c>
      <c r="C45" s="13">
        <v>6.9611999999999998</v>
      </c>
    </row>
    <row r="46" spans="1:5" ht="14.25" customHeight="1" x14ac:dyDescent="0.2">
      <c r="A46" s="22" t="s">
        <v>82</v>
      </c>
      <c r="B46" s="2"/>
      <c r="C46" s="2"/>
    </row>
    <row r="47" spans="1:5" ht="14.25" customHeight="1" x14ac:dyDescent="0.2">
      <c r="A47" s="13" t="s">
        <v>83</v>
      </c>
      <c r="B47" s="13" t="s">
        <v>68</v>
      </c>
      <c r="C47" s="13">
        <v>1.02</v>
      </c>
    </row>
    <row r="48" spans="1:5" ht="14.25" customHeight="1" x14ac:dyDescent="0.2">
      <c r="A48" s="22" t="s">
        <v>84</v>
      </c>
      <c r="B48" s="2"/>
      <c r="C48" s="2"/>
    </row>
    <row r="49" spans="1:3" ht="14.25" customHeight="1" x14ac:dyDescent="0.2">
      <c r="A49" s="13" t="s">
        <v>85</v>
      </c>
      <c r="B49" s="13" t="s">
        <v>68</v>
      </c>
      <c r="C49" s="13">
        <v>1.6728000000000001</v>
      </c>
    </row>
    <row r="50" spans="1:3" ht="14.25" customHeight="1" x14ac:dyDescent="0.2">
      <c r="A50" s="13" t="s">
        <v>86</v>
      </c>
      <c r="B50" s="13" t="s">
        <v>68</v>
      </c>
      <c r="C50" s="13">
        <v>1.1235999999999999</v>
      </c>
    </row>
    <row r="51" spans="1:3" ht="14.25" customHeight="1" x14ac:dyDescent="0.2">
      <c r="A51" s="13" t="s">
        <v>87</v>
      </c>
      <c r="B51" s="13" t="s">
        <v>68</v>
      </c>
      <c r="C51" s="13">
        <v>1.0423</v>
      </c>
    </row>
    <row r="52" spans="1:3" ht="14.25" customHeight="1" x14ac:dyDescent="0.2">
      <c r="A52" s="13" t="s">
        <v>88</v>
      </c>
      <c r="B52" s="13" t="s">
        <v>89</v>
      </c>
      <c r="C52" s="13">
        <v>0.61299999999999999</v>
      </c>
    </row>
    <row r="53" spans="1:3" ht="14.25" customHeight="1" x14ac:dyDescent="0.2"/>
    <row r="54" spans="1:3" ht="14.25" customHeight="1" x14ac:dyDescent="0.2"/>
    <row r="55" spans="1:3" ht="14.25" customHeight="1" x14ac:dyDescent="0.2"/>
    <row r="56" spans="1:3" ht="14.25" customHeight="1" x14ac:dyDescent="0.2"/>
    <row r="57" spans="1:3" ht="14.25" customHeight="1" x14ac:dyDescent="0.2"/>
    <row r="58" spans="1:3" ht="14.25" customHeight="1" x14ac:dyDescent="0.2"/>
    <row r="59" spans="1:3" ht="14.25" customHeight="1" x14ac:dyDescent="0.2"/>
    <row r="60" spans="1:3" ht="14.25" customHeight="1" x14ac:dyDescent="0.2"/>
    <row r="61" spans="1:3" ht="14.25" customHeight="1" x14ac:dyDescent="0.2"/>
    <row r="62" spans="1:3" ht="14.25" customHeight="1" x14ac:dyDescent="0.2"/>
    <row r="63" spans="1:3" ht="14.25" customHeight="1" x14ac:dyDescent="0.2"/>
    <row r="64" spans="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4.5" defaultRowHeight="15" customHeight="1" x14ac:dyDescent="0.2"/>
  <cols>
    <col min="1" max="1" width="20.83203125" hidden="1" customWidth="1"/>
    <col min="2" max="2" width="45.6640625" customWidth="1"/>
    <col min="3" max="30" width="9.1640625" customWidth="1"/>
  </cols>
  <sheetData>
    <row r="1" spans="1:30" ht="15" customHeight="1" x14ac:dyDescent="0.2">
      <c r="A1" s="23"/>
      <c r="B1" s="23" t="s">
        <v>90</v>
      </c>
      <c r="C1" s="24">
        <v>2014</v>
      </c>
      <c r="D1" s="24">
        <v>2015</v>
      </c>
      <c r="E1" s="24">
        <v>2016</v>
      </c>
      <c r="F1" s="24">
        <v>2017</v>
      </c>
      <c r="G1" s="24">
        <v>2018</v>
      </c>
      <c r="H1" s="24">
        <v>2019</v>
      </c>
      <c r="I1" s="24">
        <v>2020</v>
      </c>
      <c r="J1" s="24">
        <v>2021</v>
      </c>
      <c r="K1" s="24">
        <v>2022</v>
      </c>
      <c r="L1" s="24">
        <v>2023</v>
      </c>
      <c r="M1" s="24">
        <v>2024</v>
      </c>
      <c r="N1" s="24">
        <v>2025</v>
      </c>
      <c r="O1" s="24">
        <v>2026</v>
      </c>
      <c r="P1" s="24">
        <v>2027</v>
      </c>
      <c r="Q1" s="24">
        <v>2028</v>
      </c>
      <c r="R1" s="24">
        <v>2029</v>
      </c>
      <c r="S1" s="24">
        <v>2030</v>
      </c>
      <c r="T1" s="24">
        <v>2031</v>
      </c>
      <c r="U1" s="24">
        <v>2032</v>
      </c>
      <c r="V1" s="24">
        <v>2033</v>
      </c>
      <c r="W1" s="24">
        <v>2034</v>
      </c>
      <c r="X1" s="24">
        <v>2035</v>
      </c>
      <c r="Y1" s="24">
        <v>2036</v>
      </c>
      <c r="Z1" s="24">
        <v>2037</v>
      </c>
      <c r="AA1" s="24">
        <v>2038</v>
      </c>
      <c r="AB1" s="24">
        <v>2039</v>
      </c>
      <c r="AC1" s="24">
        <v>2040</v>
      </c>
      <c r="AD1" s="23"/>
    </row>
    <row r="2" spans="1:30" ht="15" customHeight="1" x14ac:dyDescent="0.2">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row>
    <row r="3" spans="1:30" ht="15" customHeight="1" x14ac:dyDescent="0.2">
      <c r="A3" s="23"/>
      <c r="B3" s="23"/>
      <c r="C3" s="25" t="s">
        <v>91</v>
      </c>
      <c r="D3" s="25" t="s">
        <v>5</v>
      </c>
      <c r="E3" s="25"/>
      <c r="F3" s="25"/>
      <c r="G3" s="25"/>
      <c r="H3" s="23"/>
      <c r="I3" s="23"/>
      <c r="J3" s="23"/>
      <c r="K3" s="23"/>
      <c r="L3" s="23"/>
      <c r="M3" s="23"/>
      <c r="N3" s="23"/>
      <c r="O3" s="23"/>
      <c r="P3" s="23"/>
      <c r="Q3" s="23"/>
      <c r="R3" s="23"/>
      <c r="S3" s="23"/>
      <c r="T3" s="23"/>
      <c r="U3" s="23"/>
      <c r="V3" s="23"/>
      <c r="W3" s="23"/>
      <c r="X3" s="23"/>
      <c r="Y3" s="23"/>
      <c r="Z3" s="23"/>
      <c r="AA3" s="23"/>
      <c r="AB3" s="23"/>
      <c r="AC3" s="23"/>
      <c r="AD3" s="23"/>
    </row>
    <row r="4" spans="1:30" ht="15" customHeight="1" x14ac:dyDescent="0.2">
      <c r="A4" s="23"/>
      <c r="B4" s="23"/>
      <c r="C4" s="25" t="s">
        <v>92</v>
      </c>
      <c r="D4" s="25" t="s">
        <v>93</v>
      </c>
      <c r="E4" s="25"/>
      <c r="F4" s="25"/>
      <c r="G4" s="25" t="s">
        <v>94</v>
      </c>
      <c r="H4" s="23"/>
      <c r="I4" s="23"/>
      <c r="J4" s="23"/>
      <c r="K4" s="23"/>
      <c r="L4" s="23"/>
      <c r="M4" s="23"/>
      <c r="N4" s="23"/>
      <c r="O4" s="23"/>
      <c r="P4" s="23"/>
      <c r="Q4" s="23"/>
      <c r="R4" s="23"/>
      <c r="S4" s="23"/>
      <c r="T4" s="23"/>
      <c r="U4" s="23"/>
      <c r="V4" s="23"/>
      <c r="W4" s="23"/>
      <c r="X4" s="23"/>
      <c r="Y4" s="23"/>
      <c r="Z4" s="23"/>
      <c r="AA4" s="23"/>
      <c r="AB4" s="23"/>
      <c r="AC4" s="23"/>
      <c r="AD4" s="23"/>
    </row>
    <row r="5" spans="1:30" ht="15" customHeight="1" x14ac:dyDescent="0.2">
      <c r="A5" s="23"/>
      <c r="B5" s="23"/>
      <c r="C5" s="25" t="s">
        <v>95</v>
      </c>
      <c r="D5" s="25" t="s">
        <v>96</v>
      </c>
      <c r="E5" s="25"/>
      <c r="F5" s="25"/>
      <c r="G5" s="25"/>
      <c r="H5" s="23"/>
      <c r="I5" s="23"/>
      <c r="J5" s="23"/>
      <c r="K5" s="23"/>
      <c r="L5" s="23"/>
      <c r="M5" s="23"/>
      <c r="N5" s="23"/>
      <c r="O5" s="23"/>
      <c r="P5" s="23"/>
      <c r="Q5" s="23"/>
      <c r="R5" s="23"/>
      <c r="S5" s="23"/>
      <c r="T5" s="23"/>
      <c r="U5" s="23"/>
      <c r="V5" s="23"/>
      <c r="W5" s="23"/>
      <c r="X5" s="23"/>
      <c r="Y5" s="23"/>
      <c r="Z5" s="23"/>
      <c r="AA5" s="23"/>
      <c r="AB5" s="23"/>
      <c r="AC5" s="23"/>
      <c r="AD5" s="23"/>
    </row>
    <row r="6" spans="1:30" ht="15" customHeight="1" x14ac:dyDescent="0.2">
      <c r="A6" s="23"/>
      <c r="B6" s="23"/>
      <c r="C6" s="25" t="s">
        <v>97</v>
      </c>
      <c r="D6" s="25"/>
      <c r="E6" s="25" t="s">
        <v>98</v>
      </c>
      <c r="F6" s="25"/>
      <c r="G6" s="25"/>
      <c r="H6" s="23"/>
      <c r="I6" s="23"/>
      <c r="J6" s="23"/>
      <c r="K6" s="23"/>
      <c r="L6" s="23"/>
      <c r="M6" s="23"/>
      <c r="N6" s="23"/>
      <c r="O6" s="23"/>
      <c r="P6" s="23"/>
      <c r="Q6" s="23"/>
      <c r="R6" s="23"/>
      <c r="S6" s="23"/>
      <c r="T6" s="23"/>
      <c r="U6" s="23"/>
      <c r="V6" s="23"/>
      <c r="W6" s="23"/>
      <c r="X6" s="23"/>
      <c r="Y6" s="23"/>
      <c r="Z6" s="23"/>
      <c r="AA6" s="23"/>
      <c r="AB6" s="23"/>
      <c r="AC6" s="23"/>
      <c r="AD6" s="23"/>
    </row>
    <row r="7" spans="1:30" x14ac:dyDescent="0.2">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row>
    <row r="8" spans="1:30" x14ac:dyDescent="0.2">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row>
    <row r="9" spans="1:30" x14ac:dyDescent="0.2">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row>
    <row r="10" spans="1:30" ht="15" customHeight="1" x14ac:dyDescent="0.2">
      <c r="A10" s="13" t="s">
        <v>99</v>
      </c>
      <c r="B10" s="26" t="s">
        <v>100</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row>
    <row r="11" spans="1:30" ht="15" customHeight="1" x14ac:dyDescent="0.2">
      <c r="A11" s="23"/>
      <c r="B11" s="23" t="s">
        <v>101</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row>
    <row r="12" spans="1:30" ht="15" customHeight="1" x14ac:dyDescent="0.2">
      <c r="A12" s="23"/>
      <c r="B12" s="23" t="s">
        <v>102</v>
      </c>
      <c r="C12" s="27" t="s">
        <v>102</v>
      </c>
      <c r="D12" s="27" t="s">
        <v>102</v>
      </c>
      <c r="E12" s="27" t="s">
        <v>102</v>
      </c>
      <c r="F12" s="27" t="s">
        <v>102</v>
      </c>
      <c r="G12" s="27" t="s">
        <v>102</v>
      </c>
      <c r="H12" s="27" t="s">
        <v>102</v>
      </c>
      <c r="I12" s="27" t="s">
        <v>102</v>
      </c>
      <c r="J12" s="27" t="s">
        <v>102</v>
      </c>
      <c r="K12" s="27" t="s">
        <v>102</v>
      </c>
      <c r="L12" s="27" t="s">
        <v>102</v>
      </c>
      <c r="M12" s="27" t="s">
        <v>102</v>
      </c>
      <c r="N12" s="27" t="s">
        <v>102</v>
      </c>
      <c r="O12" s="27" t="s">
        <v>102</v>
      </c>
      <c r="P12" s="27" t="s">
        <v>102</v>
      </c>
      <c r="Q12" s="27" t="s">
        <v>102</v>
      </c>
      <c r="R12" s="27" t="s">
        <v>102</v>
      </c>
      <c r="S12" s="27" t="s">
        <v>102</v>
      </c>
      <c r="T12" s="27" t="s">
        <v>102</v>
      </c>
      <c r="U12" s="27" t="s">
        <v>102</v>
      </c>
      <c r="V12" s="27" t="s">
        <v>102</v>
      </c>
      <c r="W12" s="27" t="s">
        <v>102</v>
      </c>
      <c r="X12" s="27" t="s">
        <v>102</v>
      </c>
      <c r="Y12" s="27" t="s">
        <v>102</v>
      </c>
      <c r="Z12" s="27" t="s">
        <v>102</v>
      </c>
      <c r="AA12" s="27" t="s">
        <v>102</v>
      </c>
      <c r="AB12" s="27" t="s">
        <v>102</v>
      </c>
      <c r="AC12" s="27" t="s">
        <v>102</v>
      </c>
      <c r="AD12" s="27" t="s">
        <v>103</v>
      </c>
    </row>
    <row r="13" spans="1:30" ht="15" customHeight="1" x14ac:dyDescent="0.2">
      <c r="A13" s="23"/>
      <c r="B13" s="24" t="s">
        <v>102</v>
      </c>
      <c r="C13" s="24">
        <v>2014</v>
      </c>
      <c r="D13" s="24">
        <v>2015</v>
      </c>
      <c r="E13" s="24">
        <v>2016</v>
      </c>
      <c r="F13" s="24">
        <v>2017</v>
      </c>
      <c r="G13" s="24">
        <v>2018</v>
      </c>
      <c r="H13" s="24">
        <v>2019</v>
      </c>
      <c r="I13" s="24">
        <v>2020</v>
      </c>
      <c r="J13" s="24">
        <v>2021</v>
      </c>
      <c r="K13" s="24">
        <v>2022</v>
      </c>
      <c r="L13" s="24">
        <v>2023</v>
      </c>
      <c r="M13" s="24">
        <v>2024</v>
      </c>
      <c r="N13" s="24">
        <v>2025</v>
      </c>
      <c r="O13" s="24">
        <v>2026</v>
      </c>
      <c r="P13" s="24">
        <v>2027</v>
      </c>
      <c r="Q13" s="24">
        <v>2028</v>
      </c>
      <c r="R13" s="24">
        <v>2029</v>
      </c>
      <c r="S13" s="24">
        <v>2030</v>
      </c>
      <c r="T13" s="24">
        <v>2031</v>
      </c>
      <c r="U13" s="24">
        <v>2032</v>
      </c>
      <c r="V13" s="24">
        <v>2033</v>
      </c>
      <c r="W13" s="24">
        <v>2034</v>
      </c>
      <c r="X13" s="24">
        <v>2035</v>
      </c>
      <c r="Y13" s="24">
        <v>2036</v>
      </c>
      <c r="Z13" s="24">
        <v>2037</v>
      </c>
      <c r="AA13" s="24">
        <v>2038</v>
      </c>
      <c r="AB13" s="24">
        <v>2039</v>
      </c>
      <c r="AC13" s="24">
        <v>2040</v>
      </c>
      <c r="AD13" s="24">
        <v>2040</v>
      </c>
    </row>
    <row r="14" spans="1:30" ht="15" customHeight="1" x14ac:dyDescent="0.2">
      <c r="A14" s="23"/>
      <c r="B14" s="28" t="s">
        <v>104</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row>
    <row r="15" spans="1:30" ht="15" customHeight="1" x14ac:dyDescent="0.2">
      <c r="A15" s="23"/>
      <c r="B15" s="28" t="s">
        <v>105</v>
      </c>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row>
    <row r="16" spans="1:30" ht="15" customHeight="1" x14ac:dyDescent="0.2">
      <c r="A16" s="13" t="s">
        <v>106</v>
      </c>
      <c r="B16" s="29" t="s">
        <v>107</v>
      </c>
      <c r="C16" s="30">
        <v>6.6360000000000001</v>
      </c>
      <c r="D16" s="30">
        <v>6.6360000000000001</v>
      </c>
      <c r="E16" s="30">
        <v>6.6360000000000001</v>
      </c>
      <c r="F16" s="30">
        <v>6.6360000000000001</v>
      </c>
      <c r="G16" s="30">
        <v>6.6360000000000001</v>
      </c>
      <c r="H16" s="30">
        <v>6.6360000000000001</v>
      </c>
      <c r="I16" s="30">
        <v>6.6360000000000001</v>
      </c>
      <c r="J16" s="30">
        <v>6.6360000000000001</v>
      </c>
      <c r="K16" s="30">
        <v>6.6360000000000001</v>
      </c>
      <c r="L16" s="30">
        <v>6.6360000000000001</v>
      </c>
      <c r="M16" s="30">
        <v>6.6360000000000001</v>
      </c>
      <c r="N16" s="30">
        <v>6.6360000000000001</v>
      </c>
      <c r="O16" s="30">
        <v>6.6360000000000001</v>
      </c>
      <c r="P16" s="30">
        <v>6.6360000000000001</v>
      </c>
      <c r="Q16" s="30">
        <v>6.6360000000000001</v>
      </c>
      <c r="R16" s="30">
        <v>6.6360000000000001</v>
      </c>
      <c r="S16" s="30">
        <v>6.6360000000000001</v>
      </c>
      <c r="T16" s="30">
        <v>6.6360000000000001</v>
      </c>
      <c r="U16" s="30">
        <v>6.6360000000000001</v>
      </c>
      <c r="V16" s="30">
        <v>6.6360000000000001</v>
      </c>
      <c r="W16" s="30">
        <v>6.6360000000000001</v>
      </c>
      <c r="X16" s="30">
        <v>6.6360000000000001</v>
      </c>
      <c r="Y16" s="30">
        <v>6.6360000000000001</v>
      </c>
      <c r="Z16" s="30">
        <v>6.6360000000000001</v>
      </c>
      <c r="AA16" s="30">
        <v>6.6360000000000001</v>
      </c>
      <c r="AB16" s="30">
        <v>6.6360000000000001</v>
      </c>
      <c r="AC16" s="30">
        <v>6.6360000000000001</v>
      </c>
      <c r="AD16" s="31">
        <v>0</v>
      </c>
    </row>
    <row r="17" spans="1:30" ht="15" customHeight="1" x14ac:dyDescent="0.2">
      <c r="A17" s="13" t="s">
        <v>108</v>
      </c>
      <c r="B17" s="29" t="s">
        <v>109</v>
      </c>
      <c r="C17" s="30">
        <v>5.048</v>
      </c>
      <c r="D17" s="30">
        <v>5.048</v>
      </c>
      <c r="E17" s="30">
        <v>5.048</v>
      </c>
      <c r="F17" s="30">
        <v>5.048</v>
      </c>
      <c r="G17" s="30">
        <v>5.048</v>
      </c>
      <c r="H17" s="30">
        <v>5.048</v>
      </c>
      <c r="I17" s="30">
        <v>5.048</v>
      </c>
      <c r="J17" s="30">
        <v>5.048</v>
      </c>
      <c r="K17" s="30">
        <v>5.048</v>
      </c>
      <c r="L17" s="30">
        <v>5.048</v>
      </c>
      <c r="M17" s="30">
        <v>5.048</v>
      </c>
      <c r="N17" s="30">
        <v>5.048</v>
      </c>
      <c r="O17" s="30">
        <v>5.048</v>
      </c>
      <c r="P17" s="30">
        <v>5.048</v>
      </c>
      <c r="Q17" s="30">
        <v>5.048</v>
      </c>
      <c r="R17" s="30">
        <v>5.048</v>
      </c>
      <c r="S17" s="30">
        <v>5.048</v>
      </c>
      <c r="T17" s="30">
        <v>5.048</v>
      </c>
      <c r="U17" s="30">
        <v>5.048</v>
      </c>
      <c r="V17" s="30">
        <v>5.048</v>
      </c>
      <c r="W17" s="30">
        <v>5.048</v>
      </c>
      <c r="X17" s="30">
        <v>5.048</v>
      </c>
      <c r="Y17" s="30">
        <v>5.048</v>
      </c>
      <c r="Z17" s="30">
        <v>5.048</v>
      </c>
      <c r="AA17" s="30">
        <v>5.048</v>
      </c>
      <c r="AB17" s="30">
        <v>5.048</v>
      </c>
      <c r="AC17" s="30">
        <v>5.048</v>
      </c>
      <c r="AD17" s="31">
        <v>0</v>
      </c>
    </row>
    <row r="18" spans="1:30" ht="15" customHeight="1" x14ac:dyDescent="0.2">
      <c r="A18" s="13" t="s">
        <v>110</v>
      </c>
      <c r="B18" s="29" t="s">
        <v>111</v>
      </c>
      <c r="C18" s="30">
        <v>5.359</v>
      </c>
      <c r="D18" s="30">
        <v>5.359</v>
      </c>
      <c r="E18" s="30">
        <v>5.359</v>
      </c>
      <c r="F18" s="30">
        <v>5.359</v>
      </c>
      <c r="G18" s="30">
        <v>5.359</v>
      </c>
      <c r="H18" s="30">
        <v>5.359</v>
      </c>
      <c r="I18" s="30">
        <v>5.359</v>
      </c>
      <c r="J18" s="30">
        <v>5.359</v>
      </c>
      <c r="K18" s="30">
        <v>5.359</v>
      </c>
      <c r="L18" s="30">
        <v>5.359</v>
      </c>
      <c r="M18" s="30">
        <v>5.359</v>
      </c>
      <c r="N18" s="30">
        <v>5.359</v>
      </c>
      <c r="O18" s="30">
        <v>5.359</v>
      </c>
      <c r="P18" s="30">
        <v>5.359</v>
      </c>
      <c r="Q18" s="30">
        <v>5.359</v>
      </c>
      <c r="R18" s="30">
        <v>5.359</v>
      </c>
      <c r="S18" s="30">
        <v>5.359</v>
      </c>
      <c r="T18" s="30">
        <v>5.359</v>
      </c>
      <c r="U18" s="30">
        <v>5.359</v>
      </c>
      <c r="V18" s="30">
        <v>5.359</v>
      </c>
      <c r="W18" s="30">
        <v>5.359</v>
      </c>
      <c r="X18" s="30">
        <v>5.359</v>
      </c>
      <c r="Y18" s="30">
        <v>5.359</v>
      </c>
      <c r="Z18" s="30">
        <v>5.359</v>
      </c>
      <c r="AA18" s="30">
        <v>5.359</v>
      </c>
      <c r="AB18" s="30">
        <v>5.359</v>
      </c>
      <c r="AC18" s="30">
        <v>5.359</v>
      </c>
      <c r="AD18" s="31">
        <v>0</v>
      </c>
    </row>
    <row r="19" spans="1:30" ht="15" customHeight="1" x14ac:dyDescent="0.2">
      <c r="A19" s="13" t="s">
        <v>112</v>
      </c>
      <c r="B19" s="29" t="s">
        <v>113</v>
      </c>
      <c r="C19" s="30">
        <v>5.8250000000000002</v>
      </c>
      <c r="D19" s="30">
        <v>5.8250000000000002</v>
      </c>
      <c r="E19" s="30">
        <v>5.8250000000000002</v>
      </c>
      <c r="F19" s="30">
        <v>5.8250000000000002</v>
      </c>
      <c r="G19" s="30">
        <v>5.8250000000000002</v>
      </c>
      <c r="H19" s="30">
        <v>5.8250000000000002</v>
      </c>
      <c r="I19" s="30">
        <v>5.8250000000000002</v>
      </c>
      <c r="J19" s="30">
        <v>5.8250000000000002</v>
      </c>
      <c r="K19" s="30">
        <v>5.8250000000000002</v>
      </c>
      <c r="L19" s="30">
        <v>5.8250000000000002</v>
      </c>
      <c r="M19" s="30">
        <v>5.8250000000000002</v>
      </c>
      <c r="N19" s="30">
        <v>5.8250000000000002</v>
      </c>
      <c r="O19" s="30">
        <v>5.8250000000000002</v>
      </c>
      <c r="P19" s="30">
        <v>5.8250000000000002</v>
      </c>
      <c r="Q19" s="30">
        <v>5.8250000000000002</v>
      </c>
      <c r="R19" s="30">
        <v>5.8250000000000002</v>
      </c>
      <c r="S19" s="30">
        <v>5.8250000000000002</v>
      </c>
      <c r="T19" s="30">
        <v>5.8250000000000002</v>
      </c>
      <c r="U19" s="30">
        <v>5.8250000000000002</v>
      </c>
      <c r="V19" s="30">
        <v>5.8250000000000002</v>
      </c>
      <c r="W19" s="30">
        <v>5.8250000000000002</v>
      </c>
      <c r="X19" s="30">
        <v>5.8250000000000002</v>
      </c>
      <c r="Y19" s="30">
        <v>5.8250000000000002</v>
      </c>
      <c r="Z19" s="30">
        <v>5.8250000000000002</v>
      </c>
      <c r="AA19" s="30">
        <v>5.8250000000000002</v>
      </c>
      <c r="AB19" s="30">
        <v>5.8250000000000002</v>
      </c>
      <c r="AC19" s="30">
        <v>5.8250000000000002</v>
      </c>
      <c r="AD19" s="31">
        <v>0</v>
      </c>
    </row>
    <row r="20" spans="1:30" ht="15" customHeight="1" x14ac:dyDescent="0.2">
      <c r="A20" s="13" t="s">
        <v>114</v>
      </c>
      <c r="B20" s="29" t="s">
        <v>115</v>
      </c>
      <c r="C20" s="30">
        <v>5.777863</v>
      </c>
      <c r="D20" s="30">
        <v>5.7776040000000002</v>
      </c>
      <c r="E20" s="30">
        <v>5.7768470000000001</v>
      </c>
      <c r="F20" s="30">
        <v>5.7763229999999997</v>
      </c>
      <c r="G20" s="30">
        <v>5.7749090000000001</v>
      </c>
      <c r="H20" s="30">
        <v>5.7742389999999997</v>
      </c>
      <c r="I20" s="30">
        <v>5.7735060000000002</v>
      </c>
      <c r="J20" s="30">
        <v>5.7727560000000002</v>
      </c>
      <c r="K20" s="30">
        <v>5.7718249999999998</v>
      </c>
      <c r="L20" s="30">
        <v>5.7708659999999998</v>
      </c>
      <c r="M20" s="30">
        <v>5.7718049999999996</v>
      </c>
      <c r="N20" s="30">
        <v>5.7717939999999999</v>
      </c>
      <c r="O20" s="30">
        <v>5.7729109999999997</v>
      </c>
      <c r="P20" s="30">
        <v>5.7734620000000003</v>
      </c>
      <c r="Q20" s="30">
        <v>5.7726959999999998</v>
      </c>
      <c r="R20" s="30">
        <v>5.7737030000000003</v>
      </c>
      <c r="S20" s="30">
        <v>5.773695</v>
      </c>
      <c r="T20" s="30">
        <v>5.7735760000000003</v>
      </c>
      <c r="U20" s="30">
        <v>5.7734540000000001</v>
      </c>
      <c r="V20" s="30">
        <v>5.7732770000000002</v>
      </c>
      <c r="W20" s="30">
        <v>5.7731890000000003</v>
      </c>
      <c r="X20" s="30">
        <v>5.7730040000000002</v>
      </c>
      <c r="Y20" s="30">
        <v>5.7730819999999996</v>
      </c>
      <c r="Z20" s="30">
        <v>5.772767</v>
      </c>
      <c r="AA20" s="30">
        <v>5.7722980000000002</v>
      </c>
      <c r="AB20" s="30">
        <v>5.7723940000000002</v>
      </c>
      <c r="AC20" s="30">
        <v>5.7724089999999997</v>
      </c>
      <c r="AD20" s="31">
        <v>-3.6000000000000001E-5</v>
      </c>
    </row>
    <row r="21" spans="1:30" ht="15" customHeight="1" x14ac:dyDescent="0.2">
      <c r="A21" s="13" t="s">
        <v>116</v>
      </c>
      <c r="B21" s="29" t="s">
        <v>117</v>
      </c>
      <c r="C21" s="30">
        <v>5.777863</v>
      </c>
      <c r="D21" s="30">
        <v>5.7776040000000002</v>
      </c>
      <c r="E21" s="30">
        <v>5.7768470000000001</v>
      </c>
      <c r="F21" s="30">
        <v>5.7763229999999997</v>
      </c>
      <c r="G21" s="30">
        <v>5.7749090000000001</v>
      </c>
      <c r="H21" s="30">
        <v>5.7742389999999997</v>
      </c>
      <c r="I21" s="30">
        <v>5.7735060000000002</v>
      </c>
      <c r="J21" s="30">
        <v>5.7727560000000002</v>
      </c>
      <c r="K21" s="30">
        <v>5.7718249999999998</v>
      </c>
      <c r="L21" s="30">
        <v>5.7708659999999998</v>
      </c>
      <c r="M21" s="30">
        <v>5.7718049999999996</v>
      </c>
      <c r="N21" s="30">
        <v>5.7717939999999999</v>
      </c>
      <c r="O21" s="30">
        <v>5.7729109999999997</v>
      </c>
      <c r="P21" s="30">
        <v>5.7734620000000003</v>
      </c>
      <c r="Q21" s="30">
        <v>5.7726959999999998</v>
      </c>
      <c r="R21" s="30">
        <v>5.7737030000000003</v>
      </c>
      <c r="S21" s="30">
        <v>5.773695</v>
      </c>
      <c r="T21" s="30">
        <v>5.7735760000000003</v>
      </c>
      <c r="U21" s="30">
        <v>5.7734540000000001</v>
      </c>
      <c r="V21" s="30">
        <v>5.7732770000000002</v>
      </c>
      <c r="W21" s="30">
        <v>5.7731890000000003</v>
      </c>
      <c r="X21" s="30">
        <v>5.7730040000000002</v>
      </c>
      <c r="Y21" s="30">
        <v>5.7730819999999996</v>
      </c>
      <c r="Z21" s="30">
        <v>5.772767</v>
      </c>
      <c r="AA21" s="30">
        <v>5.7722980000000002</v>
      </c>
      <c r="AB21" s="30">
        <v>5.7723940000000002</v>
      </c>
      <c r="AC21" s="30">
        <v>5.7724089999999997</v>
      </c>
      <c r="AD21" s="31">
        <v>-3.6000000000000001E-5</v>
      </c>
    </row>
    <row r="22" spans="1:30" ht="15" customHeight="1" x14ac:dyDescent="0.2">
      <c r="A22" s="13" t="s">
        <v>118</v>
      </c>
      <c r="B22" s="29" t="s">
        <v>119</v>
      </c>
      <c r="C22" s="30">
        <v>5.777863</v>
      </c>
      <c r="D22" s="30">
        <v>5.7776040000000002</v>
      </c>
      <c r="E22" s="30">
        <v>5.7768470000000001</v>
      </c>
      <c r="F22" s="30">
        <v>5.7763229999999997</v>
      </c>
      <c r="G22" s="30">
        <v>5.7749090000000001</v>
      </c>
      <c r="H22" s="30">
        <v>5.7742389999999997</v>
      </c>
      <c r="I22" s="30">
        <v>5.7735060000000002</v>
      </c>
      <c r="J22" s="30">
        <v>5.7727560000000002</v>
      </c>
      <c r="K22" s="30">
        <v>5.7718249999999998</v>
      </c>
      <c r="L22" s="30">
        <v>5.7708659999999998</v>
      </c>
      <c r="M22" s="30">
        <v>5.7718049999999996</v>
      </c>
      <c r="N22" s="30">
        <v>5.7717939999999999</v>
      </c>
      <c r="O22" s="30">
        <v>5.7729109999999997</v>
      </c>
      <c r="P22" s="30">
        <v>5.7734620000000003</v>
      </c>
      <c r="Q22" s="30">
        <v>5.7726959999999998</v>
      </c>
      <c r="R22" s="30">
        <v>5.7737030000000003</v>
      </c>
      <c r="S22" s="30">
        <v>5.773695</v>
      </c>
      <c r="T22" s="30">
        <v>5.7735760000000003</v>
      </c>
      <c r="U22" s="30">
        <v>5.7734540000000001</v>
      </c>
      <c r="V22" s="30">
        <v>5.7732770000000002</v>
      </c>
      <c r="W22" s="30">
        <v>5.7731890000000003</v>
      </c>
      <c r="X22" s="30">
        <v>5.7730040000000002</v>
      </c>
      <c r="Y22" s="30">
        <v>5.7730819999999996</v>
      </c>
      <c r="Z22" s="30">
        <v>5.772767</v>
      </c>
      <c r="AA22" s="30">
        <v>5.7722980000000002</v>
      </c>
      <c r="AB22" s="30">
        <v>5.7723940000000002</v>
      </c>
      <c r="AC22" s="30">
        <v>5.7724089999999997</v>
      </c>
      <c r="AD22" s="31">
        <v>-3.6000000000000001E-5</v>
      </c>
    </row>
    <row r="23" spans="1:30" ht="15" customHeight="1" x14ac:dyDescent="0.2">
      <c r="A23" s="13" t="s">
        <v>120</v>
      </c>
      <c r="B23" s="29" t="s">
        <v>121</v>
      </c>
      <c r="C23" s="30">
        <v>5.777863</v>
      </c>
      <c r="D23" s="30">
        <v>5.7776040000000002</v>
      </c>
      <c r="E23" s="30">
        <v>5.7768470000000001</v>
      </c>
      <c r="F23" s="30">
        <v>5.7763229999999997</v>
      </c>
      <c r="G23" s="30">
        <v>5.7749090000000001</v>
      </c>
      <c r="H23" s="30">
        <v>5.7742389999999997</v>
      </c>
      <c r="I23" s="30">
        <v>5.7735060000000002</v>
      </c>
      <c r="J23" s="30">
        <v>5.7727560000000002</v>
      </c>
      <c r="K23" s="30">
        <v>5.7718249999999998</v>
      </c>
      <c r="L23" s="30">
        <v>5.7708659999999998</v>
      </c>
      <c r="M23" s="30">
        <v>5.7718049999999996</v>
      </c>
      <c r="N23" s="30">
        <v>5.7717939999999999</v>
      </c>
      <c r="O23" s="30">
        <v>5.7729109999999997</v>
      </c>
      <c r="P23" s="30">
        <v>5.7734620000000003</v>
      </c>
      <c r="Q23" s="30">
        <v>5.7726959999999998</v>
      </c>
      <c r="R23" s="30">
        <v>5.7737030000000003</v>
      </c>
      <c r="S23" s="30">
        <v>5.773695</v>
      </c>
      <c r="T23" s="30">
        <v>5.7735760000000003</v>
      </c>
      <c r="U23" s="30">
        <v>5.7734540000000001</v>
      </c>
      <c r="V23" s="30">
        <v>5.7732770000000002</v>
      </c>
      <c r="W23" s="30">
        <v>5.7731890000000003</v>
      </c>
      <c r="X23" s="30">
        <v>5.7730040000000002</v>
      </c>
      <c r="Y23" s="30">
        <v>5.7730819999999996</v>
      </c>
      <c r="Z23" s="30">
        <v>5.772767</v>
      </c>
      <c r="AA23" s="30">
        <v>5.7722980000000002</v>
      </c>
      <c r="AB23" s="30">
        <v>5.7723940000000002</v>
      </c>
      <c r="AC23" s="30">
        <v>5.7724089999999997</v>
      </c>
      <c r="AD23" s="31">
        <v>-3.6000000000000001E-5</v>
      </c>
    </row>
    <row r="24" spans="1:30" ht="15" customHeight="1" x14ac:dyDescent="0.2">
      <c r="A24" s="13" t="s">
        <v>122</v>
      </c>
      <c r="B24" s="29" t="s">
        <v>123</v>
      </c>
      <c r="C24" s="30">
        <v>5.777863</v>
      </c>
      <c r="D24" s="30">
        <v>5.7776040000000002</v>
      </c>
      <c r="E24" s="30">
        <v>5.7768470000000001</v>
      </c>
      <c r="F24" s="30">
        <v>5.7763229999999997</v>
      </c>
      <c r="G24" s="30">
        <v>5.7749090000000001</v>
      </c>
      <c r="H24" s="30">
        <v>5.7742389999999997</v>
      </c>
      <c r="I24" s="30">
        <v>5.7735060000000002</v>
      </c>
      <c r="J24" s="30">
        <v>5.7727560000000002</v>
      </c>
      <c r="K24" s="30">
        <v>5.7718249999999998</v>
      </c>
      <c r="L24" s="30">
        <v>5.7708659999999998</v>
      </c>
      <c r="M24" s="30">
        <v>5.7718049999999996</v>
      </c>
      <c r="N24" s="30">
        <v>5.7717939999999999</v>
      </c>
      <c r="O24" s="30">
        <v>5.7729109999999997</v>
      </c>
      <c r="P24" s="30">
        <v>5.7734620000000003</v>
      </c>
      <c r="Q24" s="30">
        <v>5.7726959999999998</v>
      </c>
      <c r="R24" s="30">
        <v>5.7737030000000003</v>
      </c>
      <c r="S24" s="30">
        <v>5.773695</v>
      </c>
      <c r="T24" s="30">
        <v>5.7735760000000003</v>
      </c>
      <c r="U24" s="30">
        <v>5.7734540000000001</v>
      </c>
      <c r="V24" s="30">
        <v>5.7732770000000002</v>
      </c>
      <c r="W24" s="30">
        <v>5.7731890000000003</v>
      </c>
      <c r="X24" s="30">
        <v>5.7730040000000002</v>
      </c>
      <c r="Y24" s="30">
        <v>5.7730819999999996</v>
      </c>
      <c r="Z24" s="30">
        <v>5.772767</v>
      </c>
      <c r="AA24" s="30">
        <v>5.7722980000000002</v>
      </c>
      <c r="AB24" s="30">
        <v>5.7723940000000002</v>
      </c>
      <c r="AC24" s="30">
        <v>5.7724089999999997</v>
      </c>
      <c r="AD24" s="31">
        <v>-3.6000000000000001E-5</v>
      </c>
    </row>
    <row r="25" spans="1:30" ht="15" customHeight="1" x14ac:dyDescent="0.2">
      <c r="A25" s="13" t="s">
        <v>124</v>
      </c>
      <c r="B25" s="29" t="s">
        <v>125</v>
      </c>
      <c r="C25" s="30">
        <v>5.777863</v>
      </c>
      <c r="D25" s="30">
        <v>5.7776050000000003</v>
      </c>
      <c r="E25" s="30">
        <v>5.7768470000000001</v>
      </c>
      <c r="F25" s="30">
        <v>5.7763229999999997</v>
      </c>
      <c r="G25" s="30">
        <v>5.7749090000000001</v>
      </c>
      <c r="H25" s="30">
        <v>5.7742389999999997</v>
      </c>
      <c r="I25" s="30">
        <v>5.7735050000000001</v>
      </c>
      <c r="J25" s="30">
        <v>5.7727550000000001</v>
      </c>
      <c r="K25" s="30">
        <v>5.7718249999999998</v>
      </c>
      <c r="L25" s="30">
        <v>5.770867</v>
      </c>
      <c r="M25" s="30">
        <v>5.7718049999999996</v>
      </c>
      <c r="N25" s="30">
        <v>5.7717939999999999</v>
      </c>
      <c r="O25" s="30">
        <v>5.7729109999999997</v>
      </c>
      <c r="P25" s="30">
        <v>5.7734620000000003</v>
      </c>
      <c r="Q25" s="30">
        <v>5.7726959999999998</v>
      </c>
      <c r="R25" s="30">
        <v>5.7737030000000003</v>
      </c>
      <c r="S25" s="30">
        <v>5.773695</v>
      </c>
      <c r="T25" s="30">
        <v>5.7735750000000001</v>
      </c>
      <c r="U25" s="30">
        <v>5.7734529999999999</v>
      </c>
      <c r="V25" s="30">
        <v>5.7732770000000002</v>
      </c>
      <c r="W25" s="30">
        <v>5.7731890000000003</v>
      </c>
      <c r="X25" s="30">
        <v>5.7730030000000001</v>
      </c>
      <c r="Y25" s="30">
        <v>5.7730819999999996</v>
      </c>
      <c r="Z25" s="30">
        <v>5.772767</v>
      </c>
      <c r="AA25" s="30">
        <v>5.7722980000000002</v>
      </c>
      <c r="AB25" s="30">
        <v>5.7723940000000002</v>
      </c>
      <c r="AC25" s="30">
        <v>5.7724089999999997</v>
      </c>
      <c r="AD25" s="31">
        <v>-3.6000000000000001E-5</v>
      </c>
    </row>
    <row r="26" spans="1:30" ht="15" customHeight="1" x14ac:dyDescent="0.2">
      <c r="A26" s="13" t="s">
        <v>126</v>
      </c>
      <c r="B26" s="29" t="s">
        <v>127</v>
      </c>
      <c r="C26" s="30">
        <v>5.8170000000000002</v>
      </c>
      <c r="D26" s="30">
        <v>5.8170000000000002</v>
      </c>
      <c r="E26" s="30">
        <v>5.8170000000000002</v>
      </c>
      <c r="F26" s="30">
        <v>5.8170000000000002</v>
      </c>
      <c r="G26" s="30">
        <v>5.8170000000000002</v>
      </c>
      <c r="H26" s="30">
        <v>5.8170000000000002</v>
      </c>
      <c r="I26" s="30">
        <v>5.8170000000000002</v>
      </c>
      <c r="J26" s="30">
        <v>5.8170000000000002</v>
      </c>
      <c r="K26" s="30">
        <v>5.8170000000000002</v>
      </c>
      <c r="L26" s="30">
        <v>5.8170000000000002</v>
      </c>
      <c r="M26" s="30">
        <v>5.8170000000000002</v>
      </c>
      <c r="N26" s="30">
        <v>5.8170000000000002</v>
      </c>
      <c r="O26" s="30">
        <v>5.8170000000000002</v>
      </c>
      <c r="P26" s="30">
        <v>5.8170000000000002</v>
      </c>
      <c r="Q26" s="30">
        <v>5.8170000000000002</v>
      </c>
      <c r="R26" s="30">
        <v>5.8170000000000002</v>
      </c>
      <c r="S26" s="30">
        <v>5.8170000000000002</v>
      </c>
      <c r="T26" s="30">
        <v>5.8170000000000002</v>
      </c>
      <c r="U26" s="30">
        <v>5.8170000000000002</v>
      </c>
      <c r="V26" s="30">
        <v>5.8170000000000002</v>
      </c>
      <c r="W26" s="30">
        <v>5.8170000000000002</v>
      </c>
      <c r="X26" s="30">
        <v>5.8170000000000002</v>
      </c>
      <c r="Y26" s="30">
        <v>5.8170000000000002</v>
      </c>
      <c r="Z26" s="30">
        <v>5.8170000000000002</v>
      </c>
      <c r="AA26" s="30">
        <v>5.8170000000000002</v>
      </c>
      <c r="AB26" s="30">
        <v>5.8170000000000002</v>
      </c>
      <c r="AC26" s="30">
        <v>5.8170000000000002</v>
      </c>
      <c r="AD26" s="31">
        <v>0</v>
      </c>
    </row>
    <row r="27" spans="1:30" ht="15" customHeight="1" x14ac:dyDescent="0.2">
      <c r="A27" s="13" t="s">
        <v>128</v>
      </c>
      <c r="B27" s="29" t="s">
        <v>129</v>
      </c>
      <c r="C27" s="30">
        <v>5.77</v>
      </c>
      <c r="D27" s="30">
        <v>5.77</v>
      </c>
      <c r="E27" s="30">
        <v>5.77</v>
      </c>
      <c r="F27" s="30">
        <v>5.77</v>
      </c>
      <c r="G27" s="30">
        <v>5.77</v>
      </c>
      <c r="H27" s="30">
        <v>5.77</v>
      </c>
      <c r="I27" s="30">
        <v>5.77</v>
      </c>
      <c r="J27" s="30">
        <v>5.77</v>
      </c>
      <c r="K27" s="30">
        <v>5.77</v>
      </c>
      <c r="L27" s="30">
        <v>5.77</v>
      </c>
      <c r="M27" s="30">
        <v>5.77</v>
      </c>
      <c r="N27" s="30">
        <v>5.77</v>
      </c>
      <c r="O27" s="30">
        <v>5.77</v>
      </c>
      <c r="P27" s="30">
        <v>5.77</v>
      </c>
      <c r="Q27" s="30">
        <v>5.77</v>
      </c>
      <c r="R27" s="30">
        <v>5.77</v>
      </c>
      <c r="S27" s="30">
        <v>5.77</v>
      </c>
      <c r="T27" s="30">
        <v>5.77</v>
      </c>
      <c r="U27" s="30">
        <v>5.77</v>
      </c>
      <c r="V27" s="30">
        <v>5.77</v>
      </c>
      <c r="W27" s="30">
        <v>5.77</v>
      </c>
      <c r="X27" s="30">
        <v>5.77</v>
      </c>
      <c r="Y27" s="30">
        <v>5.77</v>
      </c>
      <c r="Z27" s="30">
        <v>5.77</v>
      </c>
      <c r="AA27" s="30">
        <v>5.77</v>
      </c>
      <c r="AB27" s="30">
        <v>5.77</v>
      </c>
      <c r="AC27" s="30">
        <v>5.77</v>
      </c>
      <c r="AD27" s="31">
        <v>0</v>
      </c>
    </row>
    <row r="28" spans="1:30" ht="15" customHeight="1" x14ac:dyDescent="0.2">
      <c r="A28" s="13" t="s">
        <v>130</v>
      </c>
      <c r="B28" s="29" t="s">
        <v>131</v>
      </c>
      <c r="C28" s="30">
        <v>3.5579999999999998</v>
      </c>
      <c r="D28" s="30">
        <v>3.5579999999999998</v>
      </c>
      <c r="E28" s="30">
        <v>3.5579999999999998</v>
      </c>
      <c r="F28" s="30">
        <v>3.5579999999999998</v>
      </c>
      <c r="G28" s="30">
        <v>3.5579999999999998</v>
      </c>
      <c r="H28" s="30">
        <v>3.5579999999999998</v>
      </c>
      <c r="I28" s="30">
        <v>3.5579999999999998</v>
      </c>
      <c r="J28" s="30">
        <v>3.5579999999999998</v>
      </c>
      <c r="K28" s="30">
        <v>3.5579999999999998</v>
      </c>
      <c r="L28" s="30">
        <v>3.5579999999999998</v>
      </c>
      <c r="M28" s="30">
        <v>3.5579999999999998</v>
      </c>
      <c r="N28" s="30">
        <v>3.5579999999999998</v>
      </c>
      <c r="O28" s="30">
        <v>3.5579999999999998</v>
      </c>
      <c r="P28" s="30">
        <v>3.5579999999999998</v>
      </c>
      <c r="Q28" s="30">
        <v>3.5579999999999998</v>
      </c>
      <c r="R28" s="30">
        <v>3.5579999999999998</v>
      </c>
      <c r="S28" s="30">
        <v>3.5579999999999998</v>
      </c>
      <c r="T28" s="30">
        <v>3.5579999999999998</v>
      </c>
      <c r="U28" s="30">
        <v>3.5579999999999998</v>
      </c>
      <c r="V28" s="30">
        <v>3.5579999999999998</v>
      </c>
      <c r="W28" s="30">
        <v>3.5579999999999998</v>
      </c>
      <c r="X28" s="30">
        <v>3.5579999999999998</v>
      </c>
      <c r="Y28" s="30">
        <v>3.5579999999999998</v>
      </c>
      <c r="Z28" s="30">
        <v>3.5579999999999998</v>
      </c>
      <c r="AA28" s="30">
        <v>3.5579999999999998</v>
      </c>
      <c r="AB28" s="30">
        <v>3.5579999999999998</v>
      </c>
      <c r="AC28" s="30">
        <v>3.5579999999999998</v>
      </c>
      <c r="AD28" s="31">
        <v>0</v>
      </c>
    </row>
    <row r="29" spans="1:30" ht="15" customHeight="1" x14ac:dyDescent="0.2">
      <c r="A29" s="13" t="s">
        <v>132</v>
      </c>
      <c r="B29" s="29" t="s">
        <v>133</v>
      </c>
      <c r="C29" s="30">
        <v>3.9849999999999999</v>
      </c>
      <c r="D29" s="30">
        <v>3.9965709999999999</v>
      </c>
      <c r="E29" s="30">
        <v>3.9965709999999999</v>
      </c>
      <c r="F29" s="30">
        <v>3.9965709999999999</v>
      </c>
      <c r="G29" s="30">
        <v>3.9965709999999999</v>
      </c>
      <c r="H29" s="30">
        <v>3.9965709999999999</v>
      </c>
      <c r="I29" s="30">
        <v>3.9965709999999999</v>
      </c>
      <c r="J29" s="30">
        <v>3.9965709999999999</v>
      </c>
      <c r="K29" s="30">
        <v>3.9965709999999999</v>
      </c>
      <c r="L29" s="30">
        <v>3.9965709999999999</v>
      </c>
      <c r="M29" s="30">
        <v>3.9965709999999999</v>
      </c>
      <c r="N29" s="30">
        <v>3.9965709999999999</v>
      </c>
      <c r="O29" s="30">
        <v>3.9965709999999999</v>
      </c>
      <c r="P29" s="30">
        <v>3.9965709999999999</v>
      </c>
      <c r="Q29" s="30">
        <v>3.9965709999999999</v>
      </c>
      <c r="R29" s="30">
        <v>3.9965709999999999</v>
      </c>
      <c r="S29" s="30">
        <v>3.9965709999999999</v>
      </c>
      <c r="T29" s="30">
        <v>3.9965709999999999</v>
      </c>
      <c r="U29" s="30">
        <v>3.9965709999999999</v>
      </c>
      <c r="V29" s="30">
        <v>3.9965709999999999</v>
      </c>
      <c r="W29" s="30">
        <v>3.9965709999999999</v>
      </c>
      <c r="X29" s="30">
        <v>3.9965709999999999</v>
      </c>
      <c r="Y29" s="30">
        <v>3.9965709999999999</v>
      </c>
      <c r="Z29" s="30">
        <v>3.9965709999999999</v>
      </c>
      <c r="AA29" s="30">
        <v>3.9965709999999999</v>
      </c>
      <c r="AB29" s="30">
        <v>3.9965709999999999</v>
      </c>
      <c r="AC29" s="30">
        <v>3.9965709999999999</v>
      </c>
      <c r="AD29" s="31">
        <v>0</v>
      </c>
    </row>
    <row r="30" spans="1:30" ht="15" customHeight="1" x14ac:dyDescent="0.2">
      <c r="A30" s="13" t="s">
        <v>134</v>
      </c>
      <c r="B30" s="29" t="s">
        <v>135</v>
      </c>
      <c r="C30" s="30">
        <v>5.67</v>
      </c>
      <c r="D30" s="30">
        <v>5.67</v>
      </c>
      <c r="E30" s="30">
        <v>5.67</v>
      </c>
      <c r="F30" s="30">
        <v>5.67</v>
      </c>
      <c r="G30" s="30">
        <v>5.67</v>
      </c>
      <c r="H30" s="30">
        <v>5.67</v>
      </c>
      <c r="I30" s="30">
        <v>5.67</v>
      </c>
      <c r="J30" s="30">
        <v>5.67</v>
      </c>
      <c r="K30" s="30">
        <v>5.67</v>
      </c>
      <c r="L30" s="30">
        <v>5.67</v>
      </c>
      <c r="M30" s="30">
        <v>5.67</v>
      </c>
      <c r="N30" s="30">
        <v>5.67</v>
      </c>
      <c r="O30" s="30">
        <v>5.67</v>
      </c>
      <c r="P30" s="30">
        <v>5.67</v>
      </c>
      <c r="Q30" s="30">
        <v>5.67</v>
      </c>
      <c r="R30" s="30">
        <v>5.67</v>
      </c>
      <c r="S30" s="30">
        <v>5.67</v>
      </c>
      <c r="T30" s="30">
        <v>5.67</v>
      </c>
      <c r="U30" s="30">
        <v>5.67</v>
      </c>
      <c r="V30" s="30">
        <v>5.67</v>
      </c>
      <c r="W30" s="30">
        <v>5.67</v>
      </c>
      <c r="X30" s="30">
        <v>5.67</v>
      </c>
      <c r="Y30" s="30">
        <v>5.67</v>
      </c>
      <c r="Z30" s="30">
        <v>5.67</v>
      </c>
      <c r="AA30" s="30">
        <v>5.67</v>
      </c>
      <c r="AB30" s="30">
        <v>5.67</v>
      </c>
      <c r="AC30" s="30">
        <v>5.67</v>
      </c>
      <c r="AD30" s="31">
        <v>0</v>
      </c>
    </row>
    <row r="31" spans="1:30" ht="15" customHeight="1" x14ac:dyDescent="0.2">
      <c r="A31" s="13" t="s">
        <v>136</v>
      </c>
      <c r="B31" s="29" t="s">
        <v>137</v>
      </c>
      <c r="C31" s="30">
        <v>6.0650000000000004</v>
      </c>
      <c r="D31" s="30">
        <v>6.0650000000000004</v>
      </c>
      <c r="E31" s="30">
        <v>6.0650000000000004</v>
      </c>
      <c r="F31" s="30">
        <v>6.0650000000000004</v>
      </c>
      <c r="G31" s="30">
        <v>6.0650000000000004</v>
      </c>
      <c r="H31" s="30">
        <v>6.0650000000000004</v>
      </c>
      <c r="I31" s="30">
        <v>6.0650000000000004</v>
      </c>
      <c r="J31" s="30">
        <v>6.0650000000000004</v>
      </c>
      <c r="K31" s="30">
        <v>6.0650000000000004</v>
      </c>
      <c r="L31" s="30">
        <v>6.0650000000000004</v>
      </c>
      <c r="M31" s="30">
        <v>6.0650000000000004</v>
      </c>
      <c r="N31" s="30">
        <v>6.0650000000000004</v>
      </c>
      <c r="O31" s="30">
        <v>6.0650000000000004</v>
      </c>
      <c r="P31" s="30">
        <v>6.0650000000000004</v>
      </c>
      <c r="Q31" s="30">
        <v>6.0650000000000004</v>
      </c>
      <c r="R31" s="30">
        <v>6.0650000000000004</v>
      </c>
      <c r="S31" s="30">
        <v>6.0650000000000004</v>
      </c>
      <c r="T31" s="30">
        <v>6.0650000000000004</v>
      </c>
      <c r="U31" s="30">
        <v>6.0650000000000004</v>
      </c>
      <c r="V31" s="30">
        <v>6.0650000000000004</v>
      </c>
      <c r="W31" s="30">
        <v>6.0650000000000004</v>
      </c>
      <c r="X31" s="30">
        <v>6.0650000000000004</v>
      </c>
      <c r="Y31" s="30">
        <v>6.0650000000000004</v>
      </c>
      <c r="Z31" s="30">
        <v>6.0650000000000004</v>
      </c>
      <c r="AA31" s="30">
        <v>6.0650000000000004</v>
      </c>
      <c r="AB31" s="30">
        <v>6.0650000000000004</v>
      </c>
      <c r="AC31" s="30">
        <v>6.0650000000000004</v>
      </c>
      <c r="AD31" s="31">
        <v>0</v>
      </c>
    </row>
    <row r="32" spans="1:30" ht="15" customHeight="1" x14ac:dyDescent="0.2">
      <c r="A32" s="13" t="s">
        <v>138</v>
      </c>
      <c r="B32" s="29" t="s">
        <v>139</v>
      </c>
      <c r="C32" s="30">
        <v>5.0566430000000002</v>
      </c>
      <c r="D32" s="30">
        <v>5.0566430000000002</v>
      </c>
      <c r="E32" s="30">
        <v>5.0566430000000002</v>
      </c>
      <c r="F32" s="30">
        <v>5.0566430000000002</v>
      </c>
      <c r="G32" s="30">
        <v>5.0566430000000002</v>
      </c>
      <c r="H32" s="30">
        <v>5.0566430000000002</v>
      </c>
      <c r="I32" s="30">
        <v>5.0566430000000002</v>
      </c>
      <c r="J32" s="30">
        <v>5.0566430000000002</v>
      </c>
      <c r="K32" s="30">
        <v>5.0566430000000002</v>
      </c>
      <c r="L32" s="30">
        <v>5.0566430000000002</v>
      </c>
      <c r="M32" s="30">
        <v>5.0566430000000002</v>
      </c>
      <c r="N32" s="30">
        <v>5.0553489999999996</v>
      </c>
      <c r="O32" s="30">
        <v>5.0538280000000002</v>
      </c>
      <c r="P32" s="30">
        <v>5.0522629999999999</v>
      </c>
      <c r="Q32" s="30">
        <v>5.0514979999999996</v>
      </c>
      <c r="R32" s="30">
        <v>5.0506010000000003</v>
      </c>
      <c r="S32" s="30">
        <v>5.0495460000000003</v>
      </c>
      <c r="T32" s="30">
        <v>5.0483070000000003</v>
      </c>
      <c r="U32" s="30">
        <v>5.0468520000000003</v>
      </c>
      <c r="V32" s="30">
        <v>5.0451430000000004</v>
      </c>
      <c r="W32" s="30">
        <v>5.0431350000000004</v>
      </c>
      <c r="X32" s="30">
        <v>5.0407760000000001</v>
      </c>
      <c r="Y32" s="30">
        <v>5.0380039999999999</v>
      </c>
      <c r="Z32" s="30">
        <v>5.0347499999999998</v>
      </c>
      <c r="AA32" s="30">
        <v>5.0309280000000003</v>
      </c>
      <c r="AB32" s="30">
        <v>5.0264369999999996</v>
      </c>
      <c r="AC32" s="30">
        <v>5.0211629999999996</v>
      </c>
      <c r="AD32" s="31">
        <v>-2.8200000000000002E-4</v>
      </c>
    </row>
    <row r="33" spans="1:30" ht="15" customHeight="1" x14ac:dyDescent="0.2">
      <c r="A33" s="13" t="s">
        <v>140</v>
      </c>
      <c r="B33" s="29" t="s">
        <v>141</v>
      </c>
      <c r="C33" s="30">
        <v>5.0566430000000002</v>
      </c>
      <c r="D33" s="30">
        <v>5.0566430000000002</v>
      </c>
      <c r="E33" s="30">
        <v>5.0566430000000002</v>
      </c>
      <c r="F33" s="30">
        <v>5.0566430000000002</v>
      </c>
      <c r="G33" s="30">
        <v>5.0566430000000002</v>
      </c>
      <c r="H33" s="30">
        <v>5.0566430000000002</v>
      </c>
      <c r="I33" s="30">
        <v>5.0566430000000002</v>
      </c>
      <c r="J33" s="30">
        <v>5.0566430000000002</v>
      </c>
      <c r="K33" s="30">
        <v>5.0566430000000002</v>
      </c>
      <c r="L33" s="30">
        <v>5.0566430000000002</v>
      </c>
      <c r="M33" s="30">
        <v>5.0566430000000002</v>
      </c>
      <c r="N33" s="30">
        <v>5.0550179999999996</v>
      </c>
      <c r="O33" s="30">
        <v>5.0536269999999996</v>
      </c>
      <c r="P33" s="30">
        <v>5.0518049999999999</v>
      </c>
      <c r="Q33" s="30">
        <v>5.050961</v>
      </c>
      <c r="R33" s="30">
        <v>5.0499679999999998</v>
      </c>
      <c r="S33" s="30">
        <v>5.0488020000000002</v>
      </c>
      <c r="T33" s="30">
        <v>5.0474329999999998</v>
      </c>
      <c r="U33" s="30">
        <v>5.0458249999999998</v>
      </c>
      <c r="V33" s="30">
        <v>5.0439350000000003</v>
      </c>
      <c r="W33" s="30">
        <v>5.0417160000000001</v>
      </c>
      <c r="X33" s="30">
        <v>5.0391089999999998</v>
      </c>
      <c r="Y33" s="30">
        <v>5.0360469999999999</v>
      </c>
      <c r="Z33" s="30">
        <v>5.0324489999999997</v>
      </c>
      <c r="AA33" s="30">
        <v>5.0282239999999998</v>
      </c>
      <c r="AB33" s="30">
        <v>5.0232599999999996</v>
      </c>
      <c r="AC33" s="30">
        <v>5.0174300000000001</v>
      </c>
      <c r="AD33" s="31">
        <v>-3.1100000000000002E-4</v>
      </c>
    </row>
    <row r="34" spans="1:30" ht="15" customHeight="1" x14ac:dyDescent="0.2">
      <c r="A34" s="13" t="s">
        <v>142</v>
      </c>
      <c r="B34" s="29" t="s">
        <v>143</v>
      </c>
      <c r="C34" s="30">
        <v>5.0566430000000002</v>
      </c>
      <c r="D34" s="30">
        <v>5.0566430000000002</v>
      </c>
      <c r="E34" s="30">
        <v>5.0566430000000002</v>
      </c>
      <c r="F34" s="30">
        <v>5.0566430000000002</v>
      </c>
      <c r="G34" s="30">
        <v>5.0566430000000002</v>
      </c>
      <c r="H34" s="30">
        <v>5.0566430000000002</v>
      </c>
      <c r="I34" s="30">
        <v>5.0566430000000002</v>
      </c>
      <c r="J34" s="30">
        <v>5.0566430000000002</v>
      </c>
      <c r="K34" s="30">
        <v>5.0566430000000002</v>
      </c>
      <c r="L34" s="30">
        <v>5.0566430000000002</v>
      </c>
      <c r="M34" s="30">
        <v>5.0566430000000002</v>
      </c>
      <c r="N34" s="30">
        <v>5.0557109999999996</v>
      </c>
      <c r="O34" s="30">
        <v>5.0530799999999996</v>
      </c>
      <c r="P34" s="30">
        <v>5.0515340000000002</v>
      </c>
      <c r="Q34" s="30">
        <v>5.0506409999999997</v>
      </c>
      <c r="R34" s="30">
        <v>5.0495929999999998</v>
      </c>
      <c r="S34" s="30">
        <v>5.048362</v>
      </c>
      <c r="T34" s="30">
        <v>5.0469160000000004</v>
      </c>
      <c r="U34" s="30">
        <v>5.0452170000000001</v>
      </c>
      <c r="V34" s="30">
        <v>5.0432220000000001</v>
      </c>
      <c r="W34" s="30">
        <v>5.0408780000000002</v>
      </c>
      <c r="X34" s="30">
        <v>5.038125</v>
      </c>
      <c r="Y34" s="30">
        <v>5.034891</v>
      </c>
      <c r="Z34" s="30">
        <v>5.0310930000000003</v>
      </c>
      <c r="AA34" s="30">
        <v>5.0266310000000001</v>
      </c>
      <c r="AB34" s="30">
        <v>5.0213900000000002</v>
      </c>
      <c r="AC34" s="30">
        <v>5.0152340000000004</v>
      </c>
      <c r="AD34" s="31">
        <v>-3.2899999999999997E-4</v>
      </c>
    </row>
    <row r="35" spans="1:30" ht="15" customHeight="1" x14ac:dyDescent="0.2">
      <c r="A35" s="13" t="s">
        <v>144</v>
      </c>
      <c r="B35" s="29" t="s">
        <v>145</v>
      </c>
      <c r="C35" s="30">
        <v>5.2530000000000001</v>
      </c>
      <c r="D35" s="30">
        <v>5.2530000000000001</v>
      </c>
      <c r="E35" s="30">
        <v>5.2530000000000001</v>
      </c>
      <c r="F35" s="30">
        <v>5.2530000000000001</v>
      </c>
      <c r="G35" s="30">
        <v>5.2530000000000001</v>
      </c>
      <c r="H35" s="30">
        <v>5.2530000000000001</v>
      </c>
      <c r="I35" s="30">
        <v>5.2530000000000001</v>
      </c>
      <c r="J35" s="30">
        <v>5.2530000000000001</v>
      </c>
      <c r="K35" s="30">
        <v>5.2530000000000001</v>
      </c>
      <c r="L35" s="30">
        <v>5.2530000000000001</v>
      </c>
      <c r="M35" s="30">
        <v>5.2530000000000001</v>
      </c>
      <c r="N35" s="30">
        <v>5.2530000000000001</v>
      </c>
      <c r="O35" s="30">
        <v>5.2530000000000001</v>
      </c>
      <c r="P35" s="30">
        <v>5.2530000000000001</v>
      </c>
      <c r="Q35" s="30">
        <v>5.2530000000000001</v>
      </c>
      <c r="R35" s="30">
        <v>5.2530000000000001</v>
      </c>
      <c r="S35" s="30">
        <v>5.2530000000000001</v>
      </c>
      <c r="T35" s="30">
        <v>5.2530000000000001</v>
      </c>
      <c r="U35" s="30">
        <v>5.2530000000000001</v>
      </c>
      <c r="V35" s="30">
        <v>5.2530000000000001</v>
      </c>
      <c r="W35" s="30">
        <v>5.2530000000000001</v>
      </c>
      <c r="X35" s="30">
        <v>5.2530000000000001</v>
      </c>
      <c r="Y35" s="30">
        <v>5.2530000000000001</v>
      </c>
      <c r="Z35" s="30">
        <v>5.2530000000000001</v>
      </c>
      <c r="AA35" s="30">
        <v>5.2530000000000001</v>
      </c>
      <c r="AB35" s="30">
        <v>5.2530000000000001</v>
      </c>
      <c r="AC35" s="30">
        <v>5.2530000000000001</v>
      </c>
      <c r="AD35" s="31">
        <v>0</v>
      </c>
    </row>
    <row r="36" spans="1:30" ht="15" customHeight="1" x14ac:dyDescent="0.2">
      <c r="A36" s="13" t="s">
        <v>146</v>
      </c>
      <c r="B36" s="29" t="s">
        <v>147</v>
      </c>
      <c r="C36" s="30">
        <v>4.62</v>
      </c>
      <c r="D36" s="30">
        <v>4.62</v>
      </c>
      <c r="E36" s="30">
        <v>4.62</v>
      </c>
      <c r="F36" s="30">
        <v>4.62</v>
      </c>
      <c r="G36" s="30">
        <v>4.62</v>
      </c>
      <c r="H36" s="30">
        <v>4.62</v>
      </c>
      <c r="I36" s="30">
        <v>4.62</v>
      </c>
      <c r="J36" s="30">
        <v>4.62</v>
      </c>
      <c r="K36" s="30">
        <v>4.62</v>
      </c>
      <c r="L36" s="30">
        <v>4.62</v>
      </c>
      <c r="M36" s="30">
        <v>4.62</v>
      </c>
      <c r="N36" s="30">
        <v>4.62</v>
      </c>
      <c r="O36" s="30">
        <v>4.62</v>
      </c>
      <c r="P36" s="30">
        <v>4.62</v>
      </c>
      <c r="Q36" s="30">
        <v>4.62</v>
      </c>
      <c r="R36" s="30">
        <v>4.62</v>
      </c>
      <c r="S36" s="30">
        <v>4.62</v>
      </c>
      <c r="T36" s="30">
        <v>4.62</v>
      </c>
      <c r="U36" s="30">
        <v>4.62</v>
      </c>
      <c r="V36" s="30">
        <v>4.62</v>
      </c>
      <c r="W36" s="30">
        <v>4.62</v>
      </c>
      <c r="X36" s="30">
        <v>4.62</v>
      </c>
      <c r="Y36" s="30">
        <v>4.62</v>
      </c>
      <c r="Z36" s="30">
        <v>4.62</v>
      </c>
      <c r="AA36" s="30">
        <v>4.62</v>
      </c>
      <c r="AB36" s="30">
        <v>4.62</v>
      </c>
      <c r="AC36" s="30">
        <v>4.62</v>
      </c>
      <c r="AD36" s="31">
        <v>0</v>
      </c>
    </row>
    <row r="37" spans="1:30" ht="15" customHeight="1" x14ac:dyDescent="0.2">
      <c r="A37" s="13" t="s">
        <v>148</v>
      </c>
      <c r="B37" s="29" t="s">
        <v>149</v>
      </c>
      <c r="C37" s="30">
        <v>5.8</v>
      </c>
      <c r="D37" s="30">
        <v>5.8</v>
      </c>
      <c r="E37" s="30">
        <v>5.8</v>
      </c>
      <c r="F37" s="30">
        <v>5.8</v>
      </c>
      <c r="G37" s="30">
        <v>5.8</v>
      </c>
      <c r="H37" s="30">
        <v>5.8</v>
      </c>
      <c r="I37" s="30">
        <v>5.8</v>
      </c>
      <c r="J37" s="30">
        <v>5.8</v>
      </c>
      <c r="K37" s="30">
        <v>5.8</v>
      </c>
      <c r="L37" s="30">
        <v>5.8</v>
      </c>
      <c r="M37" s="30">
        <v>5.8</v>
      </c>
      <c r="N37" s="30">
        <v>5.8</v>
      </c>
      <c r="O37" s="30">
        <v>5.8</v>
      </c>
      <c r="P37" s="30">
        <v>5.8</v>
      </c>
      <c r="Q37" s="30">
        <v>5.8</v>
      </c>
      <c r="R37" s="30">
        <v>5.8</v>
      </c>
      <c r="S37" s="30">
        <v>5.8</v>
      </c>
      <c r="T37" s="30">
        <v>5.8</v>
      </c>
      <c r="U37" s="30">
        <v>5.8</v>
      </c>
      <c r="V37" s="30">
        <v>5.8</v>
      </c>
      <c r="W37" s="30">
        <v>5.8</v>
      </c>
      <c r="X37" s="30">
        <v>5.8</v>
      </c>
      <c r="Y37" s="30">
        <v>5.8</v>
      </c>
      <c r="Z37" s="30">
        <v>5.8</v>
      </c>
      <c r="AA37" s="30">
        <v>5.8</v>
      </c>
      <c r="AB37" s="30">
        <v>5.8</v>
      </c>
      <c r="AC37" s="30">
        <v>5.8</v>
      </c>
      <c r="AD37" s="31">
        <v>0</v>
      </c>
    </row>
    <row r="38" spans="1:30" ht="15" customHeight="1" x14ac:dyDescent="0.2">
      <c r="A38" s="13" t="s">
        <v>150</v>
      </c>
      <c r="B38" s="29" t="s">
        <v>151</v>
      </c>
      <c r="C38" s="30">
        <v>5.4411620000000003</v>
      </c>
      <c r="D38" s="30">
        <v>5.4411620000000003</v>
      </c>
      <c r="E38" s="30">
        <v>5.4411620000000003</v>
      </c>
      <c r="F38" s="30">
        <v>5.4411620000000003</v>
      </c>
      <c r="G38" s="30">
        <v>5.4411620000000003</v>
      </c>
      <c r="H38" s="30">
        <v>5.4411620000000003</v>
      </c>
      <c r="I38" s="30">
        <v>5.4411620000000003</v>
      </c>
      <c r="J38" s="30">
        <v>5.4411620000000003</v>
      </c>
      <c r="K38" s="30">
        <v>5.4411620000000003</v>
      </c>
      <c r="L38" s="30">
        <v>5.4411620000000003</v>
      </c>
      <c r="M38" s="30">
        <v>5.4411620000000003</v>
      </c>
      <c r="N38" s="30">
        <v>5.4411620000000003</v>
      </c>
      <c r="O38" s="30">
        <v>5.4411620000000003</v>
      </c>
      <c r="P38" s="30">
        <v>5.4411620000000003</v>
      </c>
      <c r="Q38" s="30">
        <v>5.4411620000000003</v>
      </c>
      <c r="R38" s="30">
        <v>5.4411620000000003</v>
      </c>
      <c r="S38" s="30">
        <v>5.4411620000000003</v>
      </c>
      <c r="T38" s="30">
        <v>5.4411620000000003</v>
      </c>
      <c r="U38" s="30">
        <v>5.4411620000000003</v>
      </c>
      <c r="V38" s="30">
        <v>5.4411620000000003</v>
      </c>
      <c r="W38" s="30">
        <v>5.4411620000000003</v>
      </c>
      <c r="X38" s="30">
        <v>5.4411620000000003</v>
      </c>
      <c r="Y38" s="30">
        <v>5.4411620000000003</v>
      </c>
      <c r="Z38" s="30">
        <v>5.4411620000000003</v>
      </c>
      <c r="AA38" s="30">
        <v>5.4411620000000003</v>
      </c>
      <c r="AB38" s="30">
        <v>5.4411620000000003</v>
      </c>
      <c r="AC38" s="30">
        <v>5.4411620000000003</v>
      </c>
      <c r="AD38" s="31">
        <v>0</v>
      </c>
    </row>
    <row r="39" spans="1:30" ht="15" customHeight="1" x14ac:dyDescent="0.2">
      <c r="A39" s="13" t="s">
        <v>152</v>
      </c>
      <c r="B39" s="29" t="s">
        <v>153</v>
      </c>
      <c r="C39" s="30">
        <v>6.2869999999999999</v>
      </c>
      <c r="D39" s="30">
        <v>6.2869999999999999</v>
      </c>
      <c r="E39" s="30">
        <v>6.2869999999999999</v>
      </c>
      <c r="F39" s="30">
        <v>6.2869999999999999</v>
      </c>
      <c r="G39" s="30">
        <v>6.2869999999999999</v>
      </c>
      <c r="H39" s="30">
        <v>6.2869999999999999</v>
      </c>
      <c r="I39" s="30">
        <v>6.2869999999999999</v>
      </c>
      <c r="J39" s="30">
        <v>6.2869999999999999</v>
      </c>
      <c r="K39" s="30">
        <v>6.2869999999999999</v>
      </c>
      <c r="L39" s="30">
        <v>6.2869999999999999</v>
      </c>
      <c r="M39" s="30">
        <v>6.2869999999999999</v>
      </c>
      <c r="N39" s="30">
        <v>6.2869999999999999</v>
      </c>
      <c r="O39" s="30">
        <v>6.2869999999999999</v>
      </c>
      <c r="P39" s="30">
        <v>6.2869999999999999</v>
      </c>
      <c r="Q39" s="30">
        <v>6.2869999999999999</v>
      </c>
      <c r="R39" s="30">
        <v>6.2869999999999999</v>
      </c>
      <c r="S39" s="30">
        <v>6.2869999999999999</v>
      </c>
      <c r="T39" s="30">
        <v>6.2869999999999999</v>
      </c>
      <c r="U39" s="30">
        <v>6.2869999999999999</v>
      </c>
      <c r="V39" s="30">
        <v>6.2869999999999999</v>
      </c>
      <c r="W39" s="30">
        <v>6.2869999999999999</v>
      </c>
      <c r="X39" s="30">
        <v>6.2869999999999999</v>
      </c>
      <c r="Y39" s="30">
        <v>6.2869999999999999</v>
      </c>
      <c r="Z39" s="30">
        <v>6.2869999999999999</v>
      </c>
      <c r="AA39" s="30">
        <v>6.2869999999999999</v>
      </c>
      <c r="AB39" s="30">
        <v>6.2869999999999999</v>
      </c>
      <c r="AC39" s="30">
        <v>6.2869999999999999</v>
      </c>
      <c r="AD39" s="31">
        <v>0</v>
      </c>
    </row>
    <row r="40" spans="1:30" ht="15" customHeight="1" x14ac:dyDescent="0.2">
      <c r="A40" s="13" t="s">
        <v>154</v>
      </c>
      <c r="B40" s="29" t="s">
        <v>155</v>
      </c>
      <c r="C40" s="30">
        <v>6.2869999999999999</v>
      </c>
      <c r="D40" s="30">
        <v>6.2869999999999999</v>
      </c>
      <c r="E40" s="30">
        <v>6.2869999999999999</v>
      </c>
      <c r="F40" s="30">
        <v>6.2869999999999999</v>
      </c>
      <c r="G40" s="30">
        <v>6.2869999999999999</v>
      </c>
      <c r="H40" s="30">
        <v>6.2869999999999999</v>
      </c>
      <c r="I40" s="30">
        <v>6.2869999999999999</v>
      </c>
      <c r="J40" s="30">
        <v>6.2869999999999999</v>
      </c>
      <c r="K40" s="30">
        <v>6.2869999999999999</v>
      </c>
      <c r="L40" s="30">
        <v>6.2869999999999999</v>
      </c>
      <c r="M40" s="30">
        <v>6.2869999999999999</v>
      </c>
      <c r="N40" s="30">
        <v>6.2869999999999999</v>
      </c>
      <c r="O40" s="30">
        <v>6.2869999999999999</v>
      </c>
      <c r="P40" s="30">
        <v>6.2869999999999999</v>
      </c>
      <c r="Q40" s="30">
        <v>6.2869999999999999</v>
      </c>
      <c r="R40" s="30">
        <v>6.2869999999999999</v>
      </c>
      <c r="S40" s="30">
        <v>6.2869999999999999</v>
      </c>
      <c r="T40" s="30">
        <v>6.2869999999999999</v>
      </c>
      <c r="U40" s="30">
        <v>6.2869999999999999</v>
      </c>
      <c r="V40" s="30">
        <v>6.2869999999999999</v>
      </c>
      <c r="W40" s="30">
        <v>6.2869999999999999</v>
      </c>
      <c r="X40" s="30">
        <v>6.2869999999999999</v>
      </c>
      <c r="Y40" s="30">
        <v>6.2869999999999999</v>
      </c>
      <c r="Z40" s="30">
        <v>6.2869999999999999</v>
      </c>
      <c r="AA40" s="30">
        <v>6.2869999999999999</v>
      </c>
      <c r="AB40" s="30">
        <v>6.2869999999999999</v>
      </c>
      <c r="AC40" s="30">
        <v>6.2869999999999999</v>
      </c>
      <c r="AD40" s="31">
        <v>0</v>
      </c>
    </row>
    <row r="41" spans="1:30" ht="15" customHeight="1" x14ac:dyDescent="0.2">
      <c r="A41" s="13" t="s">
        <v>156</v>
      </c>
      <c r="B41" s="29" t="s">
        <v>157</v>
      </c>
      <c r="C41" s="30">
        <v>6.2869999999999999</v>
      </c>
      <c r="D41" s="30">
        <v>6.2869999999999999</v>
      </c>
      <c r="E41" s="30">
        <v>6.2869999999999999</v>
      </c>
      <c r="F41" s="30">
        <v>6.2869999999999999</v>
      </c>
      <c r="G41" s="30">
        <v>6.2869999999999999</v>
      </c>
      <c r="H41" s="30">
        <v>6.2869999999999999</v>
      </c>
      <c r="I41" s="30">
        <v>6.2869999999999999</v>
      </c>
      <c r="J41" s="30">
        <v>6.2869999999999999</v>
      </c>
      <c r="K41" s="30">
        <v>6.2869999999999999</v>
      </c>
      <c r="L41" s="30">
        <v>6.2869999999999999</v>
      </c>
      <c r="M41" s="30">
        <v>6.2869999999999999</v>
      </c>
      <c r="N41" s="30">
        <v>6.2869999999999999</v>
      </c>
      <c r="O41" s="30">
        <v>6.2869999999999999</v>
      </c>
      <c r="P41" s="30">
        <v>6.2869999999999999</v>
      </c>
      <c r="Q41" s="30">
        <v>6.2869999999999999</v>
      </c>
      <c r="R41" s="30">
        <v>6.2869999999999999</v>
      </c>
      <c r="S41" s="30">
        <v>6.2869999999999999</v>
      </c>
      <c r="T41" s="30">
        <v>6.2869999999999999</v>
      </c>
      <c r="U41" s="30">
        <v>6.2869999999999999</v>
      </c>
      <c r="V41" s="30">
        <v>6.2869999999999999</v>
      </c>
      <c r="W41" s="30">
        <v>6.2869999999999999</v>
      </c>
      <c r="X41" s="30">
        <v>6.2869999999999999</v>
      </c>
      <c r="Y41" s="30">
        <v>6.2869999999999999</v>
      </c>
      <c r="Z41" s="30">
        <v>6.2869999999999999</v>
      </c>
      <c r="AA41" s="30">
        <v>6.2869999999999999</v>
      </c>
      <c r="AB41" s="30">
        <v>6.2869999999999999</v>
      </c>
      <c r="AC41" s="30">
        <v>6.2869999999999999</v>
      </c>
      <c r="AD41" s="31">
        <v>0</v>
      </c>
    </row>
    <row r="42" spans="1:30" ht="15" customHeight="1" x14ac:dyDescent="0.2">
      <c r="A42" s="13" t="s">
        <v>158</v>
      </c>
      <c r="B42" s="29" t="s">
        <v>159</v>
      </c>
      <c r="C42" s="30">
        <v>6.0975380000000001</v>
      </c>
      <c r="D42" s="30">
        <v>6.1105450000000001</v>
      </c>
      <c r="E42" s="30">
        <v>6.1078970000000004</v>
      </c>
      <c r="F42" s="30">
        <v>6.1129179999999996</v>
      </c>
      <c r="G42" s="30">
        <v>6.1085560000000001</v>
      </c>
      <c r="H42" s="30">
        <v>6.1092560000000002</v>
      </c>
      <c r="I42" s="30">
        <v>6.1089130000000003</v>
      </c>
      <c r="J42" s="30">
        <v>6.1085580000000004</v>
      </c>
      <c r="K42" s="30">
        <v>6.1081960000000004</v>
      </c>
      <c r="L42" s="30">
        <v>6.1078210000000004</v>
      </c>
      <c r="M42" s="30">
        <v>6.1074359999999999</v>
      </c>
      <c r="N42" s="30">
        <v>6.1070399999999996</v>
      </c>
      <c r="O42" s="30">
        <v>6.1066330000000004</v>
      </c>
      <c r="P42" s="30">
        <v>6.1062130000000003</v>
      </c>
      <c r="Q42" s="30">
        <v>6.1057800000000002</v>
      </c>
      <c r="R42" s="30">
        <v>6.1053329999999999</v>
      </c>
      <c r="S42" s="30">
        <v>6.1048720000000003</v>
      </c>
      <c r="T42" s="30">
        <v>6.1043960000000004</v>
      </c>
      <c r="U42" s="30">
        <v>6.1039060000000003</v>
      </c>
      <c r="V42" s="30">
        <v>6.1033980000000003</v>
      </c>
      <c r="W42" s="30">
        <v>6.1028729999999998</v>
      </c>
      <c r="X42" s="30">
        <v>6.1023310000000004</v>
      </c>
      <c r="Y42" s="30">
        <v>6.1022509999999999</v>
      </c>
      <c r="Z42" s="30">
        <v>6.1011879999999996</v>
      </c>
      <c r="AA42" s="30">
        <v>6.1005849999999997</v>
      </c>
      <c r="AB42" s="30">
        <v>6.0999610000000004</v>
      </c>
      <c r="AC42" s="30">
        <v>6.0997760000000003</v>
      </c>
      <c r="AD42" s="31">
        <v>-7.1000000000000005E-5</v>
      </c>
    </row>
    <row r="43" spans="1:30" ht="15" customHeight="1" x14ac:dyDescent="0.2">
      <c r="A43" s="13" t="s">
        <v>160</v>
      </c>
      <c r="B43" s="29" t="s">
        <v>161</v>
      </c>
      <c r="C43" s="30">
        <v>5.1417510000000002</v>
      </c>
      <c r="D43" s="30">
        <v>5.1478799999999998</v>
      </c>
      <c r="E43" s="30">
        <v>5.1704879999999998</v>
      </c>
      <c r="F43" s="30">
        <v>5.1513</v>
      </c>
      <c r="G43" s="30">
        <v>5.1785410000000001</v>
      </c>
      <c r="H43" s="30">
        <v>5.1647489999999996</v>
      </c>
      <c r="I43" s="30">
        <v>5.1569799999999999</v>
      </c>
      <c r="J43" s="30">
        <v>5.1508399999999996</v>
      </c>
      <c r="K43" s="30">
        <v>5.1465909999999999</v>
      </c>
      <c r="L43" s="30">
        <v>5.1443719999999997</v>
      </c>
      <c r="M43" s="30">
        <v>5.1418010000000001</v>
      </c>
      <c r="N43" s="30">
        <v>5.1379599999999996</v>
      </c>
      <c r="O43" s="30">
        <v>5.1348250000000002</v>
      </c>
      <c r="P43" s="30">
        <v>5.1342939999999997</v>
      </c>
      <c r="Q43" s="30">
        <v>5.1339290000000002</v>
      </c>
      <c r="R43" s="30">
        <v>5.1331829999999998</v>
      </c>
      <c r="S43" s="30">
        <v>5.1326539999999996</v>
      </c>
      <c r="T43" s="30">
        <v>5.1310690000000001</v>
      </c>
      <c r="U43" s="30">
        <v>5.1285319999999999</v>
      </c>
      <c r="V43" s="30">
        <v>5.1257479999999997</v>
      </c>
      <c r="W43" s="30">
        <v>5.122954</v>
      </c>
      <c r="X43" s="30">
        <v>5.1210230000000001</v>
      </c>
      <c r="Y43" s="30">
        <v>5.1177950000000001</v>
      </c>
      <c r="Z43" s="30">
        <v>5.114414</v>
      </c>
      <c r="AA43" s="30">
        <v>5.1103459999999998</v>
      </c>
      <c r="AB43" s="30">
        <v>5.1072939999999996</v>
      </c>
      <c r="AC43" s="30">
        <v>5.1040419999999997</v>
      </c>
      <c r="AD43" s="31">
        <v>-3.4200000000000002E-4</v>
      </c>
    </row>
    <row r="44" spans="1:30" ht="15" customHeight="1" x14ac:dyDescent="0.2">
      <c r="A44" s="13" t="s">
        <v>162</v>
      </c>
      <c r="B44" s="29" t="s">
        <v>163</v>
      </c>
      <c r="C44" s="30">
        <v>5.5918049999999999</v>
      </c>
      <c r="D44" s="30">
        <v>5.5175729999999996</v>
      </c>
      <c r="E44" s="30">
        <v>5.5210980000000003</v>
      </c>
      <c r="F44" s="30">
        <v>5.465814</v>
      </c>
      <c r="G44" s="30">
        <v>5.375591</v>
      </c>
      <c r="H44" s="30">
        <v>5.3618040000000002</v>
      </c>
      <c r="I44" s="30">
        <v>5.3507110000000004</v>
      </c>
      <c r="J44" s="30">
        <v>5.346603</v>
      </c>
      <c r="K44" s="30">
        <v>5.3310279999999999</v>
      </c>
      <c r="L44" s="30">
        <v>5.2768110000000004</v>
      </c>
      <c r="M44" s="30">
        <v>5.2560849999999997</v>
      </c>
      <c r="N44" s="30">
        <v>5.2141320000000002</v>
      </c>
      <c r="O44" s="30">
        <v>5.1887480000000004</v>
      </c>
      <c r="P44" s="30">
        <v>5.1824649999999997</v>
      </c>
      <c r="Q44" s="30">
        <v>5.1673109999999998</v>
      </c>
      <c r="R44" s="30">
        <v>5.1520049999999999</v>
      </c>
      <c r="S44" s="30">
        <v>5.1463400000000004</v>
      </c>
      <c r="T44" s="30">
        <v>5.1226989999999999</v>
      </c>
      <c r="U44" s="30">
        <v>5.08826</v>
      </c>
      <c r="V44" s="30">
        <v>5.0572229999999996</v>
      </c>
      <c r="W44" s="30">
        <v>5.0293659999999996</v>
      </c>
      <c r="X44" s="30">
        <v>5.0090539999999999</v>
      </c>
      <c r="Y44" s="30">
        <v>4.9793710000000004</v>
      </c>
      <c r="Z44" s="30">
        <v>4.9400899999999996</v>
      </c>
      <c r="AA44" s="30">
        <v>4.8954060000000004</v>
      </c>
      <c r="AB44" s="30">
        <v>4.861332</v>
      </c>
      <c r="AC44" s="30">
        <v>4.833539</v>
      </c>
      <c r="AD44" s="31">
        <v>-5.28E-3</v>
      </c>
    </row>
    <row r="45" spans="1:30" ht="15" customHeight="1" x14ac:dyDescent="0.2">
      <c r="A45" s="13" t="s">
        <v>164</v>
      </c>
      <c r="B45" s="29" t="s">
        <v>165</v>
      </c>
      <c r="C45" s="30">
        <v>5.3650000000000002</v>
      </c>
      <c r="D45" s="30">
        <v>5.3979419999999996</v>
      </c>
      <c r="E45" s="30">
        <v>5.3383430000000001</v>
      </c>
      <c r="F45" s="30">
        <v>5.2375829999999999</v>
      </c>
      <c r="G45" s="30">
        <v>5.1244560000000003</v>
      </c>
      <c r="H45" s="30">
        <v>5.1068410000000002</v>
      </c>
      <c r="I45" s="30">
        <v>5.1130599999999999</v>
      </c>
      <c r="J45" s="30">
        <v>5.1204729999999996</v>
      </c>
      <c r="K45" s="30">
        <v>5.1298199999999996</v>
      </c>
      <c r="L45" s="30">
        <v>5.1253330000000004</v>
      </c>
      <c r="M45" s="30">
        <v>5.1150549999999999</v>
      </c>
      <c r="N45" s="30">
        <v>5.1100279999999998</v>
      </c>
      <c r="O45" s="30">
        <v>5.1130019999999998</v>
      </c>
      <c r="P45" s="30">
        <v>5.114554</v>
      </c>
      <c r="Q45" s="30">
        <v>5.111809</v>
      </c>
      <c r="R45" s="30">
        <v>5.1093080000000004</v>
      </c>
      <c r="S45" s="30">
        <v>5.1086840000000002</v>
      </c>
      <c r="T45" s="30">
        <v>5.1113119999999999</v>
      </c>
      <c r="U45" s="30">
        <v>5.1197499999999998</v>
      </c>
      <c r="V45" s="30">
        <v>5.1222659999999998</v>
      </c>
      <c r="W45" s="30">
        <v>5.1273999999999997</v>
      </c>
      <c r="X45" s="30">
        <v>5.1282759999999996</v>
      </c>
      <c r="Y45" s="30">
        <v>5.1265549999999998</v>
      </c>
      <c r="Z45" s="30">
        <v>5.1280210000000004</v>
      </c>
      <c r="AA45" s="30">
        <v>5.1324449999999997</v>
      </c>
      <c r="AB45" s="30">
        <v>5.1398720000000004</v>
      </c>
      <c r="AC45" s="30">
        <v>5.1397680000000001</v>
      </c>
      <c r="AD45" s="31">
        <v>-1.9580000000000001E-3</v>
      </c>
    </row>
    <row r="46" spans="1:30" ht="15" customHeight="1" x14ac:dyDescent="0.2">
      <c r="A46" s="23"/>
      <c r="B46" s="32" t="s">
        <v>166</v>
      </c>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row>
    <row r="47" spans="1:30" ht="15" customHeight="1" x14ac:dyDescent="0.2">
      <c r="A47" s="13" t="s">
        <v>167</v>
      </c>
      <c r="B47" s="29" t="s">
        <v>168</v>
      </c>
      <c r="C47" s="30">
        <v>5.8</v>
      </c>
      <c r="D47" s="30">
        <v>5.7187770000000002</v>
      </c>
      <c r="E47" s="30">
        <v>5.7347659999999996</v>
      </c>
      <c r="F47" s="30">
        <v>5.7384000000000004</v>
      </c>
      <c r="G47" s="30">
        <v>5.7260939999999998</v>
      </c>
      <c r="H47" s="30">
        <v>5.7253970000000001</v>
      </c>
      <c r="I47" s="30">
        <v>5.7248849999999996</v>
      </c>
      <c r="J47" s="30">
        <v>5.7245819999999998</v>
      </c>
      <c r="K47" s="30">
        <v>5.7226059999999999</v>
      </c>
      <c r="L47" s="30">
        <v>5.7222410000000004</v>
      </c>
      <c r="M47" s="30">
        <v>5.7223620000000004</v>
      </c>
      <c r="N47" s="30">
        <v>5.7216509999999996</v>
      </c>
      <c r="O47" s="30">
        <v>5.7200829999999998</v>
      </c>
      <c r="P47" s="30">
        <v>5.7180569999999999</v>
      </c>
      <c r="Q47" s="30">
        <v>5.7179859999999998</v>
      </c>
      <c r="R47" s="30">
        <v>5.7168850000000004</v>
      </c>
      <c r="S47" s="30">
        <v>5.7160219999999997</v>
      </c>
      <c r="T47" s="30">
        <v>5.7167820000000003</v>
      </c>
      <c r="U47" s="30">
        <v>5.7170949999999996</v>
      </c>
      <c r="V47" s="30">
        <v>5.7161350000000004</v>
      </c>
      <c r="W47" s="30">
        <v>5.7195859999999996</v>
      </c>
      <c r="X47" s="30">
        <v>5.7207080000000001</v>
      </c>
      <c r="Y47" s="30">
        <v>5.7225460000000004</v>
      </c>
      <c r="Z47" s="30">
        <v>5.7244149999999996</v>
      </c>
      <c r="AA47" s="30">
        <v>5.7255779999999996</v>
      </c>
      <c r="AB47" s="30">
        <v>5.7251919999999998</v>
      </c>
      <c r="AC47" s="30">
        <v>5.7252369999999999</v>
      </c>
      <c r="AD47" s="31">
        <v>4.5000000000000003E-5</v>
      </c>
    </row>
    <row r="48" spans="1:30" ht="15" customHeight="1" x14ac:dyDescent="0.2">
      <c r="A48" s="13" t="s">
        <v>169</v>
      </c>
      <c r="B48" s="29" t="s">
        <v>170</v>
      </c>
      <c r="C48" s="30">
        <v>6.0860000000000003</v>
      </c>
      <c r="D48" s="30">
        <v>6.0633790000000003</v>
      </c>
      <c r="E48" s="30">
        <v>6.0282910000000003</v>
      </c>
      <c r="F48" s="30">
        <v>6.037852</v>
      </c>
      <c r="G48" s="30">
        <v>6.0537049999999999</v>
      </c>
      <c r="H48" s="30">
        <v>6.0581100000000001</v>
      </c>
      <c r="I48" s="30">
        <v>6.060791</v>
      </c>
      <c r="J48" s="30">
        <v>6.0587970000000002</v>
      </c>
      <c r="K48" s="30">
        <v>6.0554519999999998</v>
      </c>
      <c r="L48" s="30">
        <v>6.0556330000000003</v>
      </c>
      <c r="M48" s="30">
        <v>6.0576889999999999</v>
      </c>
      <c r="N48" s="30">
        <v>6.0590590000000004</v>
      </c>
      <c r="O48" s="30">
        <v>6.055993</v>
      </c>
      <c r="P48" s="30">
        <v>6.0620500000000002</v>
      </c>
      <c r="Q48" s="30">
        <v>6.0782920000000003</v>
      </c>
      <c r="R48" s="30">
        <v>6.0902539999999998</v>
      </c>
      <c r="S48" s="30">
        <v>6.0952390000000003</v>
      </c>
      <c r="T48" s="30">
        <v>6.1003730000000003</v>
      </c>
      <c r="U48" s="30">
        <v>6.1012969999999997</v>
      </c>
      <c r="V48" s="30">
        <v>6.1043500000000002</v>
      </c>
      <c r="W48" s="30">
        <v>6.1023329999999998</v>
      </c>
      <c r="X48" s="30">
        <v>6.107761</v>
      </c>
      <c r="Y48" s="30">
        <v>6.1101960000000002</v>
      </c>
      <c r="Z48" s="30">
        <v>6.1149769999999997</v>
      </c>
      <c r="AA48" s="30">
        <v>6.1142580000000004</v>
      </c>
      <c r="AB48" s="30">
        <v>6.1134700000000004</v>
      </c>
      <c r="AC48" s="30">
        <v>6.1115019999999998</v>
      </c>
      <c r="AD48" s="31">
        <v>3.1599999999999998E-4</v>
      </c>
    </row>
    <row r="49" spans="1:30" ht="15" customHeight="1" x14ac:dyDescent="0.2">
      <c r="A49" s="13" t="s">
        <v>171</v>
      </c>
      <c r="B49" s="29" t="s">
        <v>172</v>
      </c>
      <c r="C49" s="30">
        <v>5.8</v>
      </c>
      <c r="D49" s="30">
        <v>5.6432310000000001</v>
      </c>
      <c r="E49" s="30">
        <v>5.6432830000000003</v>
      </c>
      <c r="F49" s="30">
        <v>5.6430899999999999</v>
      </c>
      <c r="G49" s="30">
        <v>5.6429239999999998</v>
      </c>
      <c r="H49" s="30">
        <v>5.6427849999999999</v>
      </c>
      <c r="I49" s="30">
        <v>5.6426629999999998</v>
      </c>
      <c r="J49" s="30">
        <v>5.6426369999999997</v>
      </c>
      <c r="K49" s="30">
        <v>5.6426119999999997</v>
      </c>
      <c r="L49" s="30">
        <v>5.6425879999999999</v>
      </c>
      <c r="M49" s="30">
        <v>5.642563</v>
      </c>
      <c r="N49" s="30">
        <v>5.6425390000000002</v>
      </c>
      <c r="O49" s="30">
        <v>5.6425159999999996</v>
      </c>
      <c r="P49" s="30">
        <v>5.6424940000000001</v>
      </c>
      <c r="Q49" s="30">
        <v>5.6424709999999996</v>
      </c>
      <c r="R49" s="30">
        <v>5.6424500000000002</v>
      </c>
      <c r="S49" s="30">
        <v>5.6424269999999996</v>
      </c>
      <c r="T49" s="30">
        <v>5.6424070000000004</v>
      </c>
      <c r="U49" s="30">
        <v>5.6276020000000004</v>
      </c>
      <c r="V49" s="30">
        <v>5.620215</v>
      </c>
      <c r="W49" s="30">
        <v>5.6145680000000002</v>
      </c>
      <c r="X49" s="30">
        <v>5.5869140000000002</v>
      </c>
      <c r="Y49" s="30">
        <v>5.5788289999999998</v>
      </c>
      <c r="Z49" s="30">
        <v>5.5770390000000001</v>
      </c>
      <c r="AA49" s="30">
        <v>5.5711259999999996</v>
      </c>
      <c r="AB49" s="30">
        <v>5.5670299999999999</v>
      </c>
      <c r="AC49" s="30">
        <v>5.5576150000000002</v>
      </c>
      <c r="AD49" s="31">
        <v>-6.11E-4</v>
      </c>
    </row>
    <row r="50" spans="1:30" ht="15" customHeight="1" x14ac:dyDescent="0.2">
      <c r="A50" s="13" t="s">
        <v>173</v>
      </c>
      <c r="B50" s="29" t="s">
        <v>174</v>
      </c>
      <c r="C50" s="30">
        <v>3.723112</v>
      </c>
      <c r="D50" s="30">
        <v>3.7453189999999998</v>
      </c>
      <c r="E50" s="30">
        <v>3.719398</v>
      </c>
      <c r="F50" s="30">
        <v>3.6971780000000001</v>
      </c>
      <c r="G50" s="30">
        <v>3.6662089999999998</v>
      </c>
      <c r="H50" s="30">
        <v>3.655983</v>
      </c>
      <c r="I50" s="30">
        <v>3.6530269999999998</v>
      </c>
      <c r="J50" s="30">
        <v>3.6508129999999999</v>
      </c>
      <c r="K50" s="30">
        <v>3.6504219999999998</v>
      </c>
      <c r="L50" s="30">
        <v>3.6502699999999999</v>
      </c>
      <c r="M50" s="30">
        <v>3.650296</v>
      </c>
      <c r="N50" s="30">
        <v>3.6504340000000002</v>
      </c>
      <c r="O50" s="30">
        <v>3.6514000000000002</v>
      </c>
      <c r="P50" s="30">
        <v>3.652072</v>
      </c>
      <c r="Q50" s="30">
        <v>3.6527150000000002</v>
      </c>
      <c r="R50" s="30">
        <v>3.6538059999999999</v>
      </c>
      <c r="S50" s="30">
        <v>3.6539459999999999</v>
      </c>
      <c r="T50" s="30">
        <v>3.6552549999999999</v>
      </c>
      <c r="U50" s="30">
        <v>3.6566350000000001</v>
      </c>
      <c r="V50" s="30">
        <v>3.6583109999999999</v>
      </c>
      <c r="W50" s="30">
        <v>3.6592009999999999</v>
      </c>
      <c r="X50" s="30">
        <v>3.6601590000000002</v>
      </c>
      <c r="Y50" s="30">
        <v>3.6613370000000001</v>
      </c>
      <c r="Z50" s="30">
        <v>3.661673</v>
      </c>
      <c r="AA50" s="30">
        <v>3.661667</v>
      </c>
      <c r="AB50" s="30">
        <v>3.6620010000000001</v>
      </c>
      <c r="AC50" s="30">
        <v>3.6623260000000002</v>
      </c>
      <c r="AD50" s="31">
        <v>-8.9599999999999999E-4</v>
      </c>
    </row>
    <row r="51" spans="1:30" ht="15.75" customHeight="1" x14ac:dyDescent="0.2">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row>
    <row r="52" spans="1:30" ht="15" customHeight="1" x14ac:dyDescent="0.2">
      <c r="A52" s="23"/>
      <c r="B52" s="28" t="s">
        <v>175</v>
      </c>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row>
    <row r="53" spans="1:30" ht="15" customHeight="1" x14ac:dyDescent="0.2">
      <c r="A53" s="13" t="s">
        <v>176</v>
      </c>
      <c r="B53" s="29" t="s">
        <v>177</v>
      </c>
      <c r="C53" s="30">
        <v>1.0309999999999999</v>
      </c>
      <c r="D53" s="30">
        <v>1.0309999999999999</v>
      </c>
      <c r="E53" s="30">
        <v>1.0309999999999999</v>
      </c>
      <c r="F53" s="30">
        <v>1.0309999999999999</v>
      </c>
      <c r="G53" s="30">
        <v>1.0309999999999999</v>
      </c>
      <c r="H53" s="30">
        <v>1.0309999999999999</v>
      </c>
      <c r="I53" s="30">
        <v>1.0309999999999999</v>
      </c>
      <c r="J53" s="30">
        <v>1.0309999999999999</v>
      </c>
      <c r="K53" s="30">
        <v>1.0309999999999999</v>
      </c>
      <c r="L53" s="30">
        <v>1.0309999999999999</v>
      </c>
      <c r="M53" s="30">
        <v>1.0309999999999999</v>
      </c>
      <c r="N53" s="30">
        <v>1.0309999999999999</v>
      </c>
      <c r="O53" s="30">
        <v>1.0309999999999999</v>
      </c>
      <c r="P53" s="30">
        <v>1.0309999999999999</v>
      </c>
      <c r="Q53" s="30">
        <v>1.0309999999999999</v>
      </c>
      <c r="R53" s="30">
        <v>1.0309999999999999</v>
      </c>
      <c r="S53" s="30">
        <v>1.0309999999999999</v>
      </c>
      <c r="T53" s="30">
        <v>1.0309999999999999</v>
      </c>
      <c r="U53" s="30">
        <v>1.0309999999999999</v>
      </c>
      <c r="V53" s="30">
        <v>1.0309999999999999</v>
      </c>
      <c r="W53" s="30">
        <v>1.0309999999999999</v>
      </c>
      <c r="X53" s="30">
        <v>1.0309999999999999</v>
      </c>
      <c r="Y53" s="30">
        <v>1.0309999999999999</v>
      </c>
      <c r="Z53" s="30">
        <v>1.0309999999999999</v>
      </c>
      <c r="AA53" s="30">
        <v>1.0309999999999999</v>
      </c>
      <c r="AB53" s="30">
        <v>1.0309999999999999</v>
      </c>
      <c r="AC53" s="30">
        <v>1.0309999999999999</v>
      </c>
      <c r="AD53" s="31">
        <v>0</v>
      </c>
    </row>
    <row r="54" spans="1:30" ht="15" customHeight="1" x14ac:dyDescent="0.2">
      <c r="A54" s="13" t="s">
        <v>178</v>
      </c>
      <c r="B54" s="29" t="s">
        <v>179</v>
      </c>
      <c r="C54" s="30">
        <v>1.0289999999999999</v>
      </c>
      <c r="D54" s="30">
        <v>1.0289999999999999</v>
      </c>
      <c r="E54" s="30">
        <v>1.0289999999999999</v>
      </c>
      <c r="F54" s="30">
        <v>1.0289999999999999</v>
      </c>
      <c r="G54" s="30">
        <v>1.0289999999999999</v>
      </c>
      <c r="H54" s="30">
        <v>1.0289999999999999</v>
      </c>
      <c r="I54" s="30">
        <v>1.0289999999999999</v>
      </c>
      <c r="J54" s="30">
        <v>1.0289999999999999</v>
      </c>
      <c r="K54" s="30">
        <v>1.0289999999999999</v>
      </c>
      <c r="L54" s="30">
        <v>1.0289999999999999</v>
      </c>
      <c r="M54" s="30">
        <v>1.0289999999999999</v>
      </c>
      <c r="N54" s="30">
        <v>1.0289999999999999</v>
      </c>
      <c r="O54" s="30">
        <v>1.0289999999999999</v>
      </c>
      <c r="P54" s="30">
        <v>1.0289999999999999</v>
      </c>
      <c r="Q54" s="30">
        <v>1.0289999999999999</v>
      </c>
      <c r="R54" s="30">
        <v>1.0289999999999999</v>
      </c>
      <c r="S54" s="30">
        <v>1.0289999999999999</v>
      </c>
      <c r="T54" s="30">
        <v>1.0289999999999999</v>
      </c>
      <c r="U54" s="30">
        <v>1.0289999999999999</v>
      </c>
      <c r="V54" s="30">
        <v>1.0289999999999999</v>
      </c>
      <c r="W54" s="30">
        <v>1.0289999999999999</v>
      </c>
      <c r="X54" s="30">
        <v>1.0289999999999999</v>
      </c>
      <c r="Y54" s="30">
        <v>1.0289999999999999</v>
      </c>
      <c r="Z54" s="30">
        <v>1.0289999999999999</v>
      </c>
      <c r="AA54" s="30">
        <v>1.0289999999999999</v>
      </c>
      <c r="AB54" s="30">
        <v>1.0289999999999999</v>
      </c>
      <c r="AC54" s="30">
        <v>1.0289999999999999</v>
      </c>
      <c r="AD54" s="31">
        <v>0</v>
      </c>
    </row>
    <row r="55" spans="1:30" ht="15" customHeight="1" x14ac:dyDescent="0.2">
      <c r="A55" s="13" t="s">
        <v>180</v>
      </c>
      <c r="B55" s="29" t="s">
        <v>181</v>
      </c>
      <c r="C55" s="30">
        <v>1.032</v>
      </c>
      <c r="D55" s="30">
        <v>1.032</v>
      </c>
      <c r="E55" s="30">
        <v>1.032</v>
      </c>
      <c r="F55" s="30">
        <v>1.032</v>
      </c>
      <c r="G55" s="30">
        <v>1.032</v>
      </c>
      <c r="H55" s="30">
        <v>1.032</v>
      </c>
      <c r="I55" s="30">
        <v>1.032</v>
      </c>
      <c r="J55" s="30">
        <v>1.032</v>
      </c>
      <c r="K55" s="30">
        <v>1.032</v>
      </c>
      <c r="L55" s="30">
        <v>1.032</v>
      </c>
      <c r="M55" s="30">
        <v>1.032</v>
      </c>
      <c r="N55" s="30">
        <v>1.032</v>
      </c>
      <c r="O55" s="30">
        <v>1.032</v>
      </c>
      <c r="P55" s="30">
        <v>1.032</v>
      </c>
      <c r="Q55" s="30">
        <v>1.032</v>
      </c>
      <c r="R55" s="30">
        <v>1.032</v>
      </c>
      <c r="S55" s="30">
        <v>1.032</v>
      </c>
      <c r="T55" s="30">
        <v>1.032</v>
      </c>
      <c r="U55" s="30">
        <v>1.032</v>
      </c>
      <c r="V55" s="30">
        <v>1.032</v>
      </c>
      <c r="W55" s="30">
        <v>1.032</v>
      </c>
      <c r="X55" s="30">
        <v>1.032</v>
      </c>
      <c r="Y55" s="30">
        <v>1.032</v>
      </c>
      <c r="Z55" s="30">
        <v>1.032</v>
      </c>
      <c r="AA55" s="30">
        <v>1.032</v>
      </c>
      <c r="AB55" s="30">
        <v>1.032</v>
      </c>
      <c r="AC55" s="30">
        <v>1.032</v>
      </c>
      <c r="AD55" s="31">
        <v>0</v>
      </c>
    </row>
    <row r="56" spans="1:30" ht="15" customHeight="1" x14ac:dyDescent="0.2">
      <c r="A56" s="13" t="s">
        <v>182</v>
      </c>
      <c r="B56" s="29" t="s">
        <v>183</v>
      </c>
      <c r="C56" s="30">
        <v>1.0309999999999999</v>
      </c>
      <c r="D56" s="30">
        <v>1.0309999999999999</v>
      </c>
      <c r="E56" s="30">
        <v>1.0309999999999999</v>
      </c>
      <c r="F56" s="30">
        <v>1.0309999999999999</v>
      </c>
      <c r="G56" s="30">
        <v>1.0309999999999999</v>
      </c>
      <c r="H56" s="30">
        <v>1.0309999999999999</v>
      </c>
      <c r="I56" s="30">
        <v>1.0309999999999999</v>
      </c>
      <c r="J56" s="30">
        <v>1.0309999999999999</v>
      </c>
      <c r="K56" s="30">
        <v>1.0309999999999999</v>
      </c>
      <c r="L56" s="30">
        <v>1.0309999999999999</v>
      </c>
      <c r="M56" s="30">
        <v>1.0309999999999999</v>
      </c>
      <c r="N56" s="30">
        <v>1.0309999999999999</v>
      </c>
      <c r="O56" s="30">
        <v>1.0309999999999999</v>
      </c>
      <c r="P56" s="30">
        <v>1.0309999999999999</v>
      </c>
      <c r="Q56" s="30">
        <v>1.0309999999999999</v>
      </c>
      <c r="R56" s="30">
        <v>1.0309999999999999</v>
      </c>
      <c r="S56" s="30">
        <v>1.0309999999999999</v>
      </c>
      <c r="T56" s="30">
        <v>1.0309999999999999</v>
      </c>
      <c r="U56" s="30">
        <v>1.0309999999999999</v>
      </c>
      <c r="V56" s="30">
        <v>1.0309999999999999</v>
      </c>
      <c r="W56" s="30">
        <v>1.0309999999999999</v>
      </c>
      <c r="X56" s="30">
        <v>1.0309999999999999</v>
      </c>
      <c r="Y56" s="30">
        <v>1.0309999999999999</v>
      </c>
      <c r="Z56" s="30">
        <v>1.0309999999999999</v>
      </c>
      <c r="AA56" s="30">
        <v>1.0309999999999999</v>
      </c>
      <c r="AB56" s="30">
        <v>1.0309999999999999</v>
      </c>
      <c r="AC56" s="30">
        <v>1.0309999999999999</v>
      </c>
      <c r="AD56" s="31">
        <v>0</v>
      </c>
    </row>
    <row r="57" spans="1:30" ht="15" customHeight="1" x14ac:dyDescent="0.2">
      <c r="A57" s="13" t="s">
        <v>184</v>
      </c>
      <c r="B57" s="29" t="s">
        <v>185</v>
      </c>
      <c r="C57" s="30">
        <v>1.0249999999999999</v>
      </c>
      <c r="D57" s="30">
        <v>1.0249999999999999</v>
      </c>
      <c r="E57" s="30">
        <v>1.0249999999999999</v>
      </c>
      <c r="F57" s="30">
        <v>1.0249999999999999</v>
      </c>
      <c r="G57" s="30">
        <v>1.0249999999999999</v>
      </c>
      <c r="H57" s="30">
        <v>1.0249999999999999</v>
      </c>
      <c r="I57" s="30">
        <v>1.0249999999999999</v>
      </c>
      <c r="J57" s="30">
        <v>1.0249999999999999</v>
      </c>
      <c r="K57" s="30">
        <v>1.0249999999999999</v>
      </c>
      <c r="L57" s="30">
        <v>1.0249999999999999</v>
      </c>
      <c r="M57" s="30">
        <v>1.0249999999999999</v>
      </c>
      <c r="N57" s="30">
        <v>1.0249999999999999</v>
      </c>
      <c r="O57" s="30">
        <v>1.0249999999999999</v>
      </c>
      <c r="P57" s="30">
        <v>1.0249999999999999</v>
      </c>
      <c r="Q57" s="30">
        <v>1.0249999999999999</v>
      </c>
      <c r="R57" s="30">
        <v>1.0249999999999999</v>
      </c>
      <c r="S57" s="30">
        <v>1.0249999999999999</v>
      </c>
      <c r="T57" s="30">
        <v>1.0249999999999999</v>
      </c>
      <c r="U57" s="30">
        <v>1.0249999999999999</v>
      </c>
      <c r="V57" s="30">
        <v>1.0249999999999999</v>
      </c>
      <c r="W57" s="30">
        <v>1.0249999999999999</v>
      </c>
      <c r="X57" s="30">
        <v>1.0249999999999999</v>
      </c>
      <c r="Y57" s="30">
        <v>1.0249999999999999</v>
      </c>
      <c r="Z57" s="30">
        <v>1.0249999999999999</v>
      </c>
      <c r="AA57" s="30">
        <v>1.0249999999999999</v>
      </c>
      <c r="AB57" s="30">
        <v>1.0249999999999999</v>
      </c>
      <c r="AC57" s="30">
        <v>1.0249999999999999</v>
      </c>
      <c r="AD57" s="31">
        <v>0</v>
      </c>
    </row>
    <row r="58" spans="1:30" ht="15" customHeight="1" x14ac:dyDescent="0.2">
      <c r="A58" s="13" t="s">
        <v>186</v>
      </c>
      <c r="B58" s="29" t="s">
        <v>187</v>
      </c>
      <c r="C58" s="30">
        <v>1.0089999999999999</v>
      </c>
      <c r="D58" s="30">
        <v>1.0089999999999999</v>
      </c>
      <c r="E58" s="30">
        <v>1.0089999999999999</v>
      </c>
      <c r="F58" s="30">
        <v>1.0089999999999999</v>
      </c>
      <c r="G58" s="30">
        <v>1.0089999999999999</v>
      </c>
      <c r="H58" s="30">
        <v>1.0089999999999999</v>
      </c>
      <c r="I58" s="30">
        <v>1.0089999999999999</v>
      </c>
      <c r="J58" s="30">
        <v>1.0089999999999999</v>
      </c>
      <c r="K58" s="30">
        <v>1.0089999999999999</v>
      </c>
      <c r="L58" s="30">
        <v>1.0089999999999999</v>
      </c>
      <c r="M58" s="30">
        <v>1.0089999999999999</v>
      </c>
      <c r="N58" s="30">
        <v>1.0089999999999999</v>
      </c>
      <c r="O58" s="30">
        <v>1.0089999999999999</v>
      </c>
      <c r="P58" s="30">
        <v>1.0089999999999999</v>
      </c>
      <c r="Q58" s="30">
        <v>1.0089999999999999</v>
      </c>
      <c r="R58" s="30">
        <v>1.0089999999999999</v>
      </c>
      <c r="S58" s="30">
        <v>1.0089999999999999</v>
      </c>
      <c r="T58" s="30">
        <v>1.0089999999999999</v>
      </c>
      <c r="U58" s="30">
        <v>1.0089999999999999</v>
      </c>
      <c r="V58" s="30">
        <v>1.0089999999999999</v>
      </c>
      <c r="W58" s="30">
        <v>1.0089999999999999</v>
      </c>
      <c r="X58" s="30">
        <v>1.0089999999999999</v>
      </c>
      <c r="Y58" s="30">
        <v>1.0089999999999999</v>
      </c>
      <c r="Z58" s="30">
        <v>1.0089999999999999</v>
      </c>
      <c r="AA58" s="30">
        <v>1.0089999999999999</v>
      </c>
      <c r="AB58" s="30">
        <v>1.0089999999999999</v>
      </c>
      <c r="AC58" s="30">
        <v>1.0089999999999999</v>
      </c>
      <c r="AD58" s="31">
        <v>0</v>
      </c>
    </row>
    <row r="59" spans="1:30" ht="15" customHeight="1" x14ac:dyDescent="0.2">
      <c r="A59" s="13" t="s">
        <v>188</v>
      </c>
      <c r="B59" s="29" t="s">
        <v>189</v>
      </c>
      <c r="C59" s="30">
        <v>0.96</v>
      </c>
      <c r="D59" s="30">
        <v>0.96</v>
      </c>
      <c r="E59" s="30">
        <v>0.96</v>
      </c>
      <c r="F59" s="30">
        <v>0.96</v>
      </c>
      <c r="G59" s="30">
        <v>0.96</v>
      </c>
      <c r="H59" s="30">
        <v>0.96</v>
      </c>
      <c r="I59" s="30">
        <v>0.96</v>
      </c>
      <c r="J59" s="30">
        <v>0.96</v>
      </c>
      <c r="K59" s="30">
        <v>0.96</v>
      </c>
      <c r="L59" s="30">
        <v>0.96</v>
      </c>
      <c r="M59" s="30">
        <v>0.96</v>
      </c>
      <c r="N59" s="30">
        <v>0.96</v>
      </c>
      <c r="O59" s="30">
        <v>0.96</v>
      </c>
      <c r="P59" s="30">
        <v>0.96</v>
      </c>
      <c r="Q59" s="30">
        <v>0.96</v>
      </c>
      <c r="R59" s="30">
        <v>0.96</v>
      </c>
      <c r="S59" s="30">
        <v>0.96</v>
      </c>
      <c r="T59" s="30">
        <v>0.96</v>
      </c>
      <c r="U59" s="30">
        <v>0.96</v>
      </c>
      <c r="V59" s="30">
        <v>0.96</v>
      </c>
      <c r="W59" s="30">
        <v>0.96</v>
      </c>
      <c r="X59" s="30">
        <v>0.96</v>
      </c>
      <c r="Y59" s="30">
        <v>0.96</v>
      </c>
      <c r="Z59" s="30">
        <v>0.96</v>
      </c>
      <c r="AA59" s="30">
        <v>0.96</v>
      </c>
      <c r="AB59" s="30">
        <v>0.96</v>
      </c>
      <c r="AC59" s="30">
        <v>0.96</v>
      </c>
      <c r="AD59" s="31">
        <v>0</v>
      </c>
    </row>
    <row r="60" spans="1:30" ht="15.75" customHeight="1" x14ac:dyDescent="0.2">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row>
    <row r="61" spans="1:30" ht="15" customHeight="1" x14ac:dyDescent="0.2">
      <c r="A61" s="23"/>
      <c r="B61" s="28" t="s">
        <v>190</v>
      </c>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row>
    <row r="62" spans="1:30" ht="15" customHeight="1" x14ac:dyDescent="0.2">
      <c r="A62" s="13" t="s">
        <v>191</v>
      </c>
      <c r="B62" s="29" t="s">
        <v>183</v>
      </c>
      <c r="C62" s="33">
        <v>20.546782</v>
      </c>
      <c r="D62" s="33">
        <v>20.017552999999999</v>
      </c>
      <c r="E62" s="33">
        <v>19.945554999999999</v>
      </c>
      <c r="F62" s="33">
        <v>19.789207000000001</v>
      </c>
      <c r="G62" s="33">
        <v>19.732267</v>
      </c>
      <c r="H62" s="33">
        <v>19.730547000000001</v>
      </c>
      <c r="I62" s="33">
        <v>19.985742999999999</v>
      </c>
      <c r="J62" s="33">
        <v>19.979469000000002</v>
      </c>
      <c r="K62" s="33">
        <v>20.001135000000001</v>
      </c>
      <c r="L62" s="33">
        <v>19.987636999999999</v>
      </c>
      <c r="M62" s="33">
        <v>19.944527000000001</v>
      </c>
      <c r="N62" s="33">
        <v>19.909984999999999</v>
      </c>
      <c r="O62" s="33">
        <v>19.896563</v>
      </c>
      <c r="P62" s="33">
        <v>19.886492000000001</v>
      </c>
      <c r="Q62" s="33">
        <v>19.870794</v>
      </c>
      <c r="R62" s="33">
        <v>19.856766</v>
      </c>
      <c r="S62" s="33">
        <v>19.81794</v>
      </c>
      <c r="T62" s="33">
        <v>19.955249999999999</v>
      </c>
      <c r="U62" s="33">
        <v>20.134809000000001</v>
      </c>
      <c r="V62" s="33">
        <v>20.197821000000001</v>
      </c>
      <c r="W62" s="33">
        <v>20.223606</v>
      </c>
      <c r="X62" s="33">
        <v>20.199667000000002</v>
      </c>
      <c r="Y62" s="33">
        <v>20.196009</v>
      </c>
      <c r="Z62" s="33">
        <v>20.191931</v>
      </c>
      <c r="AA62" s="33">
        <v>20.216885000000001</v>
      </c>
      <c r="AB62" s="33">
        <v>20.255329</v>
      </c>
      <c r="AC62" s="33">
        <v>20.265633000000001</v>
      </c>
      <c r="AD62" s="31">
        <v>4.9299999999999995E-4</v>
      </c>
    </row>
    <row r="63" spans="1:30" ht="15" customHeight="1" x14ac:dyDescent="0.2">
      <c r="A63" s="13" t="s">
        <v>192</v>
      </c>
      <c r="B63" s="29" t="s">
        <v>193</v>
      </c>
      <c r="C63" s="33">
        <v>24.750941999999998</v>
      </c>
      <c r="D63" s="33">
        <v>24.508413000000001</v>
      </c>
      <c r="E63" s="33">
        <v>24.489640999999999</v>
      </c>
      <c r="F63" s="33">
        <v>24.436803999999999</v>
      </c>
      <c r="G63" s="33">
        <v>24.212833</v>
      </c>
      <c r="H63" s="33">
        <v>24.204908</v>
      </c>
      <c r="I63" s="33">
        <v>24.245358</v>
      </c>
      <c r="J63" s="33">
        <v>24.306328000000001</v>
      </c>
      <c r="K63" s="33">
        <v>24.289370999999999</v>
      </c>
      <c r="L63" s="33">
        <v>24.239661999999999</v>
      </c>
      <c r="M63" s="33">
        <v>24.271232999999999</v>
      </c>
      <c r="N63" s="33">
        <v>24.310614000000001</v>
      </c>
      <c r="O63" s="33">
        <v>24.375084000000001</v>
      </c>
      <c r="P63" s="33">
        <v>24.451134</v>
      </c>
      <c r="Q63" s="33">
        <v>24.525877000000001</v>
      </c>
      <c r="R63" s="33">
        <v>24.607603000000001</v>
      </c>
      <c r="S63" s="33">
        <v>24.677374</v>
      </c>
      <c r="T63" s="33">
        <v>24.603292</v>
      </c>
      <c r="U63" s="33">
        <v>24.557552000000001</v>
      </c>
      <c r="V63" s="33">
        <v>24.586417999999998</v>
      </c>
      <c r="W63" s="33">
        <v>24.587147000000002</v>
      </c>
      <c r="X63" s="33">
        <v>24.557219</v>
      </c>
      <c r="Y63" s="33">
        <v>24.539107999999999</v>
      </c>
      <c r="Z63" s="33">
        <v>24.513408999999999</v>
      </c>
      <c r="AA63" s="33">
        <v>24.479984000000002</v>
      </c>
      <c r="AB63" s="33">
        <v>24.462161999999999</v>
      </c>
      <c r="AC63" s="33">
        <v>24.434926999999998</v>
      </c>
      <c r="AD63" s="31">
        <v>-1.2E-4</v>
      </c>
    </row>
    <row r="64" spans="1:30" ht="15" customHeight="1" x14ac:dyDescent="0.2">
      <c r="A64" s="13" t="s">
        <v>194</v>
      </c>
      <c r="B64" s="29" t="s">
        <v>195</v>
      </c>
      <c r="C64" s="33">
        <v>17.503388999999999</v>
      </c>
      <c r="D64" s="33">
        <v>17.199857999999999</v>
      </c>
      <c r="E64" s="33">
        <v>17.128494</v>
      </c>
      <c r="F64" s="33">
        <v>17.066008</v>
      </c>
      <c r="G64" s="33">
        <v>17.085999000000001</v>
      </c>
      <c r="H64" s="33">
        <v>17.029385000000001</v>
      </c>
      <c r="I64" s="33">
        <v>17.121866000000001</v>
      </c>
      <c r="J64" s="33">
        <v>17.143345</v>
      </c>
      <c r="K64" s="33">
        <v>17.110132</v>
      </c>
      <c r="L64" s="33">
        <v>17.107735000000002</v>
      </c>
      <c r="M64" s="33">
        <v>17.022763999999999</v>
      </c>
      <c r="N64" s="33">
        <v>16.972470999999999</v>
      </c>
      <c r="O64" s="33">
        <v>16.973938</v>
      </c>
      <c r="P64" s="33">
        <v>16.970746999999999</v>
      </c>
      <c r="Q64" s="33">
        <v>16.993141000000001</v>
      </c>
      <c r="R64" s="33">
        <v>17.027866</v>
      </c>
      <c r="S64" s="33">
        <v>17.021892999999999</v>
      </c>
      <c r="T64" s="33">
        <v>16.993227000000001</v>
      </c>
      <c r="U64" s="33">
        <v>16.946459000000001</v>
      </c>
      <c r="V64" s="33">
        <v>16.961233</v>
      </c>
      <c r="W64" s="33">
        <v>16.970934</v>
      </c>
      <c r="X64" s="33">
        <v>16.972847000000002</v>
      </c>
      <c r="Y64" s="33">
        <v>16.989706000000002</v>
      </c>
      <c r="Z64" s="33">
        <v>17.006226999999999</v>
      </c>
      <c r="AA64" s="33">
        <v>17.031321999999999</v>
      </c>
      <c r="AB64" s="33">
        <v>17.097902000000001</v>
      </c>
      <c r="AC64" s="33">
        <v>17.125944</v>
      </c>
      <c r="AD64" s="31">
        <v>-1.7200000000000001E-4</v>
      </c>
    </row>
    <row r="65" spans="1:30" ht="15" customHeight="1" x14ac:dyDescent="0.2">
      <c r="A65" s="13" t="s">
        <v>196</v>
      </c>
      <c r="B65" s="29" t="s">
        <v>177</v>
      </c>
      <c r="C65" s="33">
        <v>19.708914</v>
      </c>
      <c r="D65" s="33">
        <v>19.487677000000001</v>
      </c>
      <c r="E65" s="33">
        <v>19.471087000000001</v>
      </c>
      <c r="F65" s="33">
        <v>19.328623</v>
      </c>
      <c r="G65" s="33">
        <v>19.204224</v>
      </c>
      <c r="H65" s="33">
        <v>19.179859</v>
      </c>
      <c r="I65" s="33">
        <v>19.400303000000001</v>
      </c>
      <c r="J65" s="33">
        <v>19.360610999999999</v>
      </c>
      <c r="K65" s="33">
        <v>19.396339000000001</v>
      </c>
      <c r="L65" s="33">
        <v>19.416988</v>
      </c>
      <c r="M65" s="33">
        <v>19.366198000000001</v>
      </c>
      <c r="N65" s="33">
        <v>19.332066000000001</v>
      </c>
      <c r="O65" s="33">
        <v>19.312370000000001</v>
      </c>
      <c r="P65" s="33">
        <v>19.276178000000002</v>
      </c>
      <c r="Q65" s="33">
        <v>19.243832000000001</v>
      </c>
      <c r="R65" s="33">
        <v>19.210739</v>
      </c>
      <c r="S65" s="33">
        <v>19.151665000000001</v>
      </c>
      <c r="T65" s="33">
        <v>19.281292000000001</v>
      </c>
      <c r="U65" s="33">
        <v>19.453402000000001</v>
      </c>
      <c r="V65" s="33">
        <v>19.47006</v>
      </c>
      <c r="W65" s="33">
        <v>19.473199999999999</v>
      </c>
      <c r="X65" s="33">
        <v>19.457369</v>
      </c>
      <c r="Y65" s="33">
        <v>19.448553</v>
      </c>
      <c r="Z65" s="33">
        <v>19.444700000000001</v>
      </c>
      <c r="AA65" s="33">
        <v>19.473761</v>
      </c>
      <c r="AB65" s="33">
        <v>19.505586999999998</v>
      </c>
      <c r="AC65" s="33">
        <v>19.513538</v>
      </c>
      <c r="AD65" s="31">
        <v>5.3000000000000001E-5</v>
      </c>
    </row>
    <row r="66" spans="1:30" ht="15" customHeight="1" x14ac:dyDescent="0.2">
      <c r="A66" s="13" t="s">
        <v>197</v>
      </c>
      <c r="B66" s="29" t="s">
        <v>198</v>
      </c>
      <c r="C66" s="33">
        <v>21.653051000000001</v>
      </c>
      <c r="D66" s="33">
        <v>23.109563999999999</v>
      </c>
      <c r="E66" s="33">
        <v>23.089400999999999</v>
      </c>
      <c r="F66" s="33">
        <v>23.06823</v>
      </c>
      <c r="G66" s="33">
        <v>22.975125999999999</v>
      </c>
      <c r="H66" s="33">
        <v>22.975037</v>
      </c>
      <c r="I66" s="33">
        <v>22.974723999999998</v>
      </c>
      <c r="J66" s="33">
        <v>22.974333000000001</v>
      </c>
      <c r="K66" s="33">
        <v>22.974066000000001</v>
      </c>
      <c r="L66" s="33">
        <v>22.973927</v>
      </c>
      <c r="M66" s="33">
        <v>22.973814000000001</v>
      </c>
      <c r="N66" s="33">
        <v>22.973721999999999</v>
      </c>
      <c r="O66" s="33">
        <v>22.973628999999999</v>
      </c>
      <c r="P66" s="33">
        <v>22.973686000000001</v>
      </c>
      <c r="Q66" s="33">
        <v>22.973683999999999</v>
      </c>
      <c r="R66" s="33">
        <v>22.973918999999999</v>
      </c>
      <c r="S66" s="33">
        <v>22.971867</v>
      </c>
      <c r="T66" s="33">
        <v>22.970589</v>
      </c>
      <c r="U66" s="33">
        <v>23.042363999999999</v>
      </c>
      <c r="V66" s="33">
        <v>23.043081000000001</v>
      </c>
      <c r="W66" s="33">
        <v>23.040987000000001</v>
      </c>
      <c r="X66" s="33">
        <v>23.042171</v>
      </c>
      <c r="Y66" s="33">
        <v>23.044107</v>
      </c>
      <c r="Z66" s="33">
        <v>23.043980000000001</v>
      </c>
      <c r="AA66" s="33">
        <v>23.04365</v>
      </c>
      <c r="AB66" s="33">
        <v>23.043447</v>
      </c>
      <c r="AC66" s="33">
        <v>23.043163</v>
      </c>
      <c r="AD66" s="31">
        <v>-1.15E-4</v>
      </c>
    </row>
    <row r="67" spans="1:30" ht="15" customHeight="1" x14ac:dyDescent="0.2">
      <c r="A67" s="13" t="s">
        <v>199</v>
      </c>
      <c r="B67" s="29" t="s">
        <v>200</v>
      </c>
      <c r="C67" s="33">
        <v>21.50902</v>
      </c>
      <c r="D67" s="33">
        <v>20.733450000000001</v>
      </c>
      <c r="E67" s="33">
        <v>20.741576999999999</v>
      </c>
      <c r="F67" s="33">
        <v>20.736522999999998</v>
      </c>
      <c r="G67" s="33">
        <v>20.804200999999999</v>
      </c>
      <c r="H67" s="33">
        <v>20.806467000000001</v>
      </c>
      <c r="I67" s="33">
        <v>20.812287999999999</v>
      </c>
      <c r="J67" s="33">
        <v>20.816407999999999</v>
      </c>
      <c r="K67" s="33">
        <v>20.857154999999999</v>
      </c>
      <c r="L67" s="33">
        <v>20.859062000000002</v>
      </c>
      <c r="M67" s="33">
        <v>20.862010999999999</v>
      </c>
      <c r="N67" s="33">
        <v>20.865310999999998</v>
      </c>
      <c r="O67" s="33">
        <v>20.892652999999999</v>
      </c>
      <c r="P67" s="33">
        <v>20.890633000000001</v>
      </c>
      <c r="Q67" s="33">
        <v>20.892285999999999</v>
      </c>
      <c r="R67" s="33">
        <v>20.894590000000001</v>
      </c>
      <c r="S67" s="33">
        <v>20.897264</v>
      </c>
      <c r="T67" s="33">
        <v>20.899729000000001</v>
      </c>
      <c r="U67" s="33">
        <v>20.903212</v>
      </c>
      <c r="V67" s="33">
        <v>20.907506999999999</v>
      </c>
      <c r="W67" s="33">
        <v>20.912872</v>
      </c>
      <c r="X67" s="33">
        <v>20.918585</v>
      </c>
      <c r="Y67" s="33">
        <v>20.925007000000001</v>
      </c>
      <c r="Z67" s="33">
        <v>20.932224000000001</v>
      </c>
      <c r="AA67" s="33">
        <v>20.940010000000001</v>
      </c>
      <c r="AB67" s="33">
        <v>20.948578000000001</v>
      </c>
      <c r="AC67" s="33">
        <v>20.958888999999999</v>
      </c>
      <c r="AD67" s="31">
        <v>4.3300000000000001E-4</v>
      </c>
    </row>
    <row r="68" spans="1:30" ht="15" customHeight="1" x14ac:dyDescent="0.2">
      <c r="A68" s="13" t="s">
        <v>201</v>
      </c>
      <c r="B68" s="29" t="s">
        <v>202</v>
      </c>
      <c r="C68" s="33">
        <v>28.613444999999999</v>
      </c>
      <c r="D68" s="33">
        <v>28.685873000000001</v>
      </c>
      <c r="E68" s="33">
        <v>28.685870999999999</v>
      </c>
      <c r="F68" s="33">
        <v>28.685870999999999</v>
      </c>
      <c r="G68" s="33">
        <v>28.685870999999999</v>
      </c>
      <c r="H68" s="33">
        <v>28.685873000000001</v>
      </c>
      <c r="I68" s="33">
        <v>28.685870999999999</v>
      </c>
      <c r="J68" s="33">
        <v>28.685870999999999</v>
      </c>
      <c r="K68" s="33">
        <v>28.685870999999999</v>
      </c>
      <c r="L68" s="33">
        <v>28.685870999999999</v>
      </c>
      <c r="M68" s="33">
        <v>28.685870999999999</v>
      </c>
      <c r="N68" s="33">
        <v>28.685870999999999</v>
      </c>
      <c r="O68" s="33">
        <v>28.685870999999999</v>
      </c>
      <c r="P68" s="33">
        <v>28.685870999999999</v>
      </c>
      <c r="Q68" s="33">
        <v>28.685870999999999</v>
      </c>
      <c r="R68" s="33">
        <v>28.685873000000001</v>
      </c>
      <c r="S68" s="33">
        <v>28.685870999999999</v>
      </c>
      <c r="T68" s="33">
        <v>28.685870999999999</v>
      </c>
      <c r="U68" s="33">
        <v>28.685873000000001</v>
      </c>
      <c r="V68" s="33">
        <v>28.685874999999999</v>
      </c>
      <c r="W68" s="33">
        <v>28.685869</v>
      </c>
      <c r="X68" s="33">
        <v>28.685870999999999</v>
      </c>
      <c r="Y68" s="33">
        <v>28.685870999999999</v>
      </c>
      <c r="Z68" s="33">
        <v>28.685870999999999</v>
      </c>
      <c r="AA68" s="33">
        <v>28.685870999999999</v>
      </c>
      <c r="AB68" s="33">
        <v>28.685870999999999</v>
      </c>
      <c r="AC68" s="33">
        <v>28.685870999999999</v>
      </c>
      <c r="AD68" s="31">
        <v>0</v>
      </c>
    </row>
    <row r="69" spans="1:30" ht="15" customHeight="1" x14ac:dyDescent="0.2">
      <c r="A69" s="13" t="s">
        <v>203</v>
      </c>
      <c r="B69" s="29" t="s">
        <v>204</v>
      </c>
      <c r="C69" s="33">
        <v>19.285844999999998</v>
      </c>
      <c r="D69" s="33">
        <v>19.044066999999998</v>
      </c>
      <c r="E69" s="33">
        <v>19.058865000000001</v>
      </c>
      <c r="F69" s="33">
        <v>18.919758000000002</v>
      </c>
      <c r="G69" s="33">
        <v>18.799503000000001</v>
      </c>
      <c r="H69" s="33">
        <v>18.772376999999999</v>
      </c>
      <c r="I69" s="33">
        <v>19.032232</v>
      </c>
      <c r="J69" s="33">
        <v>18.964504000000002</v>
      </c>
      <c r="K69" s="33">
        <v>18.976559000000002</v>
      </c>
      <c r="L69" s="33">
        <v>18.99081</v>
      </c>
      <c r="M69" s="33">
        <v>18.917760999999999</v>
      </c>
      <c r="N69" s="33">
        <v>18.852188000000002</v>
      </c>
      <c r="O69" s="33">
        <v>18.805031</v>
      </c>
      <c r="P69" s="33">
        <v>18.748857000000001</v>
      </c>
      <c r="Q69" s="33">
        <v>18.693707</v>
      </c>
      <c r="R69" s="33">
        <v>18.612843000000002</v>
      </c>
      <c r="S69" s="33">
        <v>18.518539000000001</v>
      </c>
      <c r="T69" s="33">
        <v>18.673615999999999</v>
      </c>
      <c r="U69" s="33">
        <v>18.881717999999999</v>
      </c>
      <c r="V69" s="33">
        <v>18.900632999999999</v>
      </c>
      <c r="W69" s="33">
        <v>18.905194999999999</v>
      </c>
      <c r="X69" s="33">
        <v>18.889956999999999</v>
      </c>
      <c r="Y69" s="33">
        <v>18.880223999999998</v>
      </c>
      <c r="Z69" s="33">
        <v>18.875568000000001</v>
      </c>
      <c r="AA69" s="33">
        <v>18.904968</v>
      </c>
      <c r="AB69" s="33">
        <v>18.945854000000001</v>
      </c>
      <c r="AC69" s="33">
        <v>18.954556</v>
      </c>
      <c r="AD69" s="31">
        <v>-1.8799999999999999E-4</v>
      </c>
    </row>
    <row r="70" spans="1:30" ht="15" customHeight="1" x14ac:dyDescent="0.2">
      <c r="A70" s="13" t="s">
        <v>205</v>
      </c>
      <c r="B70" s="29" t="s">
        <v>185</v>
      </c>
      <c r="C70" s="33">
        <v>22.026432</v>
      </c>
      <c r="D70" s="33">
        <v>22.728527</v>
      </c>
      <c r="E70" s="33">
        <v>23.737219</v>
      </c>
      <c r="F70" s="33">
        <v>23.740417000000001</v>
      </c>
      <c r="G70" s="33">
        <v>25</v>
      </c>
      <c r="H70" s="33">
        <v>25</v>
      </c>
      <c r="I70" s="33">
        <v>25</v>
      </c>
      <c r="J70" s="33">
        <v>25</v>
      </c>
      <c r="K70" s="33">
        <v>25</v>
      </c>
      <c r="L70" s="33">
        <v>25</v>
      </c>
      <c r="M70" s="33">
        <v>25</v>
      </c>
      <c r="N70" s="33">
        <v>25</v>
      </c>
      <c r="O70" s="33">
        <v>25</v>
      </c>
      <c r="P70" s="33">
        <v>25</v>
      </c>
      <c r="Q70" s="33">
        <v>25</v>
      </c>
      <c r="R70" s="33">
        <v>25</v>
      </c>
      <c r="S70" s="33">
        <v>25</v>
      </c>
      <c r="T70" s="33">
        <v>25</v>
      </c>
      <c r="U70" s="33">
        <v>25</v>
      </c>
      <c r="V70" s="33">
        <v>25</v>
      </c>
      <c r="W70" s="33">
        <v>25</v>
      </c>
      <c r="X70" s="33">
        <v>25</v>
      </c>
      <c r="Y70" s="33">
        <v>25</v>
      </c>
      <c r="Z70" s="33">
        <v>25</v>
      </c>
      <c r="AA70" s="33">
        <v>25</v>
      </c>
      <c r="AB70" s="33">
        <v>25</v>
      </c>
      <c r="AC70" s="33">
        <v>25</v>
      </c>
      <c r="AD70" s="31">
        <v>3.8170000000000001E-3</v>
      </c>
    </row>
    <row r="71" spans="1:30" ht="15" customHeight="1" x14ac:dyDescent="0.2">
      <c r="A71" s="13" t="s">
        <v>206</v>
      </c>
      <c r="B71" s="29" t="s">
        <v>187</v>
      </c>
      <c r="C71" s="33">
        <v>25.395845000000001</v>
      </c>
      <c r="D71" s="33">
        <v>26.207944999999999</v>
      </c>
      <c r="E71" s="33">
        <v>26.224329000000001</v>
      </c>
      <c r="F71" s="33">
        <v>26.293924000000001</v>
      </c>
      <c r="G71" s="33">
        <v>26.301344</v>
      </c>
      <c r="H71" s="33">
        <v>26.317816000000001</v>
      </c>
      <c r="I71" s="33">
        <v>26.318556000000001</v>
      </c>
      <c r="J71" s="33">
        <v>26.332820999999999</v>
      </c>
      <c r="K71" s="33">
        <v>26.238844</v>
      </c>
      <c r="L71" s="33">
        <v>26.038919</v>
      </c>
      <c r="M71" s="33">
        <v>25.954287000000001</v>
      </c>
      <c r="N71" s="33">
        <v>25.851853999999999</v>
      </c>
      <c r="O71" s="33">
        <v>25.765066000000001</v>
      </c>
      <c r="P71" s="33">
        <v>25.696791000000001</v>
      </c>
      <c r="Q71" s="33">
        <v>25.624115</v>
      </c>
      <c r="R71" s="33">
        <v>25.516024000000002</v>
      </c>
      <c r="S71" s="33">
        <v>25.472111000000002</v>
      </c>
      <c r="T71" s="33">
        <v>25.407532</v>
      </c>
      <c r="U71" s="33">
        <v>25.31439</v>
      </c>
      <c r="V71" s="33">
        <v>25.358727999999999</v>
      </c>
      <c r="W71" s="33">
        <v>25.326415999999998</v>
      </c>
      <c r="X71" s="33">
        <v>25.189838000000002</v>
      </c>
      <c r="Y71" s="33">
        <v>25.068681999999999</v>
      </c>
      <c r="Z71" s="33">
        <v>24.959811999999999</v>
      </c>
      <c r="AA71" s="33">
        <v>24.840862000000001</v>
      </c>
      <c r="AB71" s="33">
        <v>24.718992</v>
      </c>
      <c r="AC71" s="33">
        <v>24.597601000000001</v>
      </c>
      <c r="AD71" s="31">
        <v>-2.5330000000000001E-3</v>
      </c>
    </row>
    <row r="72" spans="1:30" ht="15" customHeight="1" x14ac:dyDescent="0.2">
      <c r="A72" s="13" t="s">
        <v>207</v>
      </c>
      <c r="B72" s="29" t="s">
        <v>208</v>
      </c>
      <c r="C72" s="33">
        <v>0</v>
      </c>
      <c r="D72" s="33">
        <v>0</v>
      </c>
      <c r="E72" s="33">
        <v>0</v>
      </c>
      <c r="F72" s="33">
        <v>0</v>
      </c>
      <c r="G72" s="33">
        <v>0</v>
      </c>
      <c r="H72" s="33">
        <v>0</v>
      </c>
      <c r="I72" s="33">
        <v>0</v>
      </c>
      <c r="J72" s="33">
        <v>0</v>
      </c>
      <c r="K72" s="33">
        <v>0</v>
      </c>
      <c r="L72" s="33">
        <v>0</v>
      </c>
      <c r="M72" s="33">
        <v>0</v>
      </c>
      <c r="N72" s="33">
        <v>0</v>
      </c>
      <c r="O72" s="33">
        <v>0</v>
      </c>
      <c r="P72" s="33">
        <v>0</v>
      </c>
      <c r="Q72" s="33">
        <v>0</v>
      </c>
      <c r="R72" s="33">
        <v>0</v>
      </c>
      <c r="S72" s="33">
        <v>0</v>
      </c>
      <c r="T72" s="33">
        <v>0</v>
      </c>
      <c r="U72" s="33">
        <v>0</v>
      </c>
      <c r="V72" s="33">
        <v>0</v>
      </c>
      <c r="W72" s="33">
        <v>0</v>
      </c>
      <c r="X72" s="33">
        <v>0</v>
      </c>
      <c r="Y72" s="33">
        <v>0</v>
      </c>
      <c r="Z72" s="33">
        <v>0</v>
      </c>
      <c r="AA72" s="33">
        <v>0</v>
      </c>
      <c r="AB72" s="33">
        <v>0</v>
      </c>
      <c r="AC72" s="33">
        <v>0</v>
      </c>
      <c r="AD72" s="31" t="s">
        <v>209</v>
      </c>
    </row>
    <row r="73" spans="1:30" ht="15" customHeight="1" x14ac:dyDescent="0.2">
      <c r="A73" s="13" t="s">
        <v>210</v>
      </c>
      <c r="B73" s="29" t="s">
        <v>211</v>
      </c>
      <c r="C73" s="33">
        <v>13.304736</v>
      </c>
      <c r="D73" s="33">
        <v>10.700692999999999</v>
      </c>
      <c r="E73" s="33">
        <v>10.700692999999999</v>
      </c>
      <c r="F73" s="33">
        <v>10.700692999999999</v>
      </c>
      <c r="G73" s="33">
        <v>10.700692999999999</v>
      </c>
      <c r="H73" s="33">
        <v>10.700692999999999</v>
      </c>
      <c r="I73" s="33">
        <v>10.700692999999999</v>
      </c>
      <c r="J73" s="33">
        <v>10.700694</v>
      </c>
      <c r="K73" s="33">
        <v>10.700692999999999</v>
      </c>
      <c r="L73" s="33">
        <v>10.700694</v>
      </c>
      <c r="M73" s="33">
        <v>10.700692999999999</v>
      </c>
      <c r="N73" s="33">
        <v>10.700692999999999</v>
      </c>
      <c r="O73" s="33">
        <v>10.700694</v>
      </c>
      <c r="P73" s="33">
        <v>10.700692999999999</v>
      </c>
      <c r="Q73" s="33">
        <v>10.700692999999999</v>
      </c>
      <c r="R73" s="33">
        <v>10.700692999999999</v>
      </c>
      <c r="S73" s="33">
        <v>10.700692999999999</v>
      </c>
      <c r="T73" s="33">
        <v>10.700692999999999</v>
      </c>
      <c r="U73" s="33">
        <v>10.700692999999999</v>
      </c>
      <c r="V73" s="33">
        <v>10.700692999999999</v>
      </c>
      <c r="W73" s="33">
        <v>10.700692999999999</v>
      </c>
      <c r="X73" s="33">
        <v>10.700692</v>
      </c>
      <c r="Y73" s="33">
        <v>10.700694</v>
      </c>
      <c r="Z73" s="33">
        <v>10.700692999999999</v>
      </c>
      <c r="AA73" s="33">
        <v>10.700694</v>
      </c>
      <c r="AB73" s="33">
        <v>10.700694</v>
      </c>
      <c r="AC73" s="33">
        <v>10.700692999999999</v>
      </c>
      <c r="AD73" s="31">
        <v>0</v>
      </c>
    </row>
    <row r="74" spans="1:30" ht="15.75" customHeight="1" x14ac:dyDescent="0.2">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row>
    <row r="75" spans="1:30" ht="15" customHeight="1" x14ac:dyDescent="0.2">
      <c r="A75" s="13" t="s">
        <v>212</v>
      </c>
      <c r="B75" s="34" t="s">
        <v>213</v>
      </c>
      <c r="C75" s="35">
        <v>3412</v>
      </c>
      <c r="D75" s="35">
        <v>3412</v>
      </c>
      <c r="E75" s="35">
        <v>3412</v>
      </c>
      <c r="F75" s="35">
        <v>3412</v>
      </c>
      <c r="G75" s="35">
        <v>3412</v>
      </c>
      <c r="H75" s="35">
        <v>3412</v>
      </c>
      <c r="I75" s="35">
        <v>3412</v>
      </c>
      <c r="J75" s="35">
        <v>3412</v>
      </c>
      <c r="K75" s="35">
        <v>3412</v>
      </c>
      <c r="L75" s="35">
        <v>3412</v>
      </c>
      <c r="M75" s="35">
        <v>3412</v>
      </c>
      <c r="N75" s="35">
        <v>3412</v>
      </c>
      <c r="O75" s="35">
        <v>3412</v>
      </c>
      <c r="P75" s="35">
        <v>3412</v>
      </c>
      <c r="Q75" s="35">
        <v>3412</v>
      </c>
      <c r="R75" s="35">
        <v>3412</v>
      </c>
      <c r="S75" s="35">
        <v>3412</v>
      </c>
      <c r="T75" s="35">
        <v>3412</v>
      </c>
      <c r="U75" s="35">
        <v>3412</v>
      </c>
      <c r="V75" s="35">
        <v>3412</v>
      </c>
      <c r="W75" s="35">
        <v>3412</v>
      </c>
      <c r="X75" s="35">
        <v>3412</v>
      </c>
      <c r="Y75" s="35">
        <v>3412</v>
      </c>
      <c r="Z75" s="35">
        <v>3412</v>
      </c>
      <c r="AA75" s="35">
        <v>3412</v>
      </c>
      <c r="AB75" s="35">
        <v>3412</v>
      </c>
      <c r="AC75" s="35">
        <v>3412</v>
      </c>
      <c r="AD75" s="36">
        <v>0</v>
      </c>
    </row>
    <row r="76" spans="1:30" ht="15" customHeight="1" x14ac:dyDescent="0.2">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row>
    <row r="77" spans="1:30" ht="15" customHeight="1" x14ac:dyDescent="0.2">
      <c r="A77" s="23"/>
      <c r="B77" s="45" t="s">
        <v>214</v>
      </c>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row>
    <row r="78" spans="1:30" ht="15" customHeight="1" x14ac:dyDescent="0.2">
      <c r="A78" s="23"/>
      <c r="B78" s="37" t="s">
        <v>215</v>
      </c>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row>
    <row r="79" spans="1:30" ht="15" customHeight="1" x14ac:dyDescent="0.2">
      <c r="A79" s="23"/>
      <c r="B79" s="37" t="s">
        <v>216</v>
      </c>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row>
    <row r="80" spans="1:30" ht="15" customHeight="1" x14ac:dyDescent="0.2">
      <c r="A80" s="23"/>
      <c r="B80" s="37" t="s">
        <v>217</v>
      </c>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row>
    <row r="81" spans="1:30" ht="15" customHeight="1" x14ac:dyDescent="0.2">
      <c r="A81" s="23"/>
      <c r="B81" s="37" t="s">
        <v>218</v>
      </c>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row>
    <row r="82" spans="1:30" ht="15" customHeight="1" x14ac:dyDescent="0.2">
      <c r="A82" s="23"/>
      <c r="B82" s="37" t="s">
        <v>219</v>
      </c>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row>
    <row r="83" spans="1:30" ht="15" customHeight="1" x14ac:dyDescent="0.2">
      <c r="A83" s="23"/>
      <c r="B83" s="37" t="s">
        <v>220</v>
      </c>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row>
    <row r="84" spans="1:30" ht="15.75" customHeight="1" x14ac:dyDescent="0.2">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row>
    <row r="85" spans="1:30" ht="15.75" customHeight="1" x14ac:dyDescent="0.2">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row>
    <row r="86" spans="1:30" ht="15.75" customHeight="1" x14ac:dyDescent="0.2">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row>
    <row r="87" spans="1:30" ht="15.75" customHeight="1" x14ac:dyDescent="0.2">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row>
    <row r="88" spans="1:30" ht="15.75" customHeight="1" x14ac:dyDescent="0.2">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row>
    <row r="89" spans="1:30" ht="15.75" customHeight="1" x14ac:dyDescent="0.2">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row>
    <row r="90" spans="1:30" ht="15.75" customHeight="1" x14ac:dyDescent="0.2">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row>
    <row r="91" spans="1:30" ht="15.75" customHeight="1" x14ac:dyDescent="0.2">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row>
    <row r="92" spans="1:30" ht="15.75" customHeight="1" x14ac:dyDescent="0.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row>
    <row r="93" spans="1:30" ht="15.75" customHeight="1" x14ac:dyDescent="0.2">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row>
    <row r="94" spans="1:30" ht="15.75" customHeight="1" x14ac:dyDescent="0.2">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row>
    <row r="95" spans="1:30" ht="15.75" customHeight="1" x14ac:dyDescent="0.2">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row>
    <row r="96" spans="1:30" ht="15.75" customHeight="1" x14ac:dyDescent="0.2">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row>
    <row r="97" spans="1:30" ht="15.75" customHeight="1" x14ac:dyDescent="0.2">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row>
    <row r="98" spans="1:30" ht="15.75" customHeight="1" x14ac:dyDescent="0.2">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row>
    <row r="99" spans="1:30" ht="15.75" customHeight="1" x14ac:dyDescent="0.2">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row>
    <row r="100" spans="1:30" ht="15.75" customHeight="1" x14ac:dyDescent="0.2">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row>
    <row r="101" spans="1:30" ht="15.75" customHeight="1" x14ac:dyDescent="0.2">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row>
    <row r="102" spans="1:30" ht="15.75" customHeight="1" x14ac:dyDescent="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row>
    <row r="103" spans="1:30" ht="15.75" customHeight="1" x14ac:dyDescent="0.2">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row>
    <row r="104" spans="1:30" ht="15.75" customHeight="1" x14ac:dyDescent="0.2">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row>
    <row r="105" spans="1:30" ht="15.75" customHeight="1" x14ac:dyDescent="0.2">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row>
    <row r="106" spans="1:30" ht="15.75" customHeight="1" x14ac:dyDescent="0.2">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row>
    <row r="107" spans="1:30" ht="15.75" customHeight="1" x14ac:dyDescent="0.2">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row>
    <row r="108" spans="1:30" ht="15.75" customHeight="1" x14ac:dyDescent="0.2">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row>
    <row r="109" spans="1:30" ht="15.75" customHeight="1" x14ac:dyDescent="0.2">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row>
    <row r="110" spans="1:30" ht="15.75" customHeight="1" x14ac:dyDescent="0.2">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row>
    <row r="111" spans="1:30" ht="15.75" customHeight="1" x14ac:dyDescent="0.2">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row>
    <row r="112" spans="1:30" ht="15.75" customHeight="1" x14ac:dyDescent="0.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row>
    <row r="113" spans="1:30" ht="15.75" customHeight="1" x14ac:dyDescent="0.2">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row>
    <row r="114" spans="1:30" ht="15.75" customHeight="1" x14ac:dyDescent="0.2">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row>
    <row r="115" spans="1:30" ht="15.75" customHeight="1" x14ac:dyDescent="0.2">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row>
    <row r="116" spans="1:30" ht="15.75" customHeight="1" x14ac:dyDescent="0.2">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row>
    <row r="117" spans="1:30" ht="15.75" customHeight="1" x14ac:dyDescent="0.2">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row>
    <row r="118" spans="1:30" ht="15.75" customHeight="1" x14ac:dyDescent="0.2">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row>
    <row r="119" spans="1:30" ht="15.75" customHeight="1" x14ac:dyDescent="0.2">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row>
    <row r="120" spans="1:30" ht="15.75" customHeight="1" x14ac:dyDescent="0.2">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row>
    <row r="121" spans="1:30" ht="15.75" customHeight="1" x14ac:dyDescent="0.2">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row>
    <row r="122" spans="1:30" ht="15.75" customHeight="1" x14ac:dyDescent="0.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row>
    <row r="123" spans="1:30" ht="15.75" customHeight="1" x14ac:dyDescent="0.2">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row>
    <row r="124" spans="1:30" ht="15.75" customHeight="1" x14ac:dyDescent="0.2">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row>
    <row r="125" spans="1:30" ht="15.75" customHeight="1" x14ac:dyDescent="0.2">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row>
    <row r="126" spans="1:30" ht="15.75" customHeight="1" x14ac:dyDescent="0.2">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row>
    <row r="127" spans="1:30" ht="15.75" customHeight="1" x14ac:dyDescent="0.2">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row>
    <row r="128" spans="1:30" ht="15.75" customHeight="1" x14ac:dyDescent="0.2">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row>
    <row r="129" spans="1:30" ht="15.75" customHeight="1" x14ac:dyDescent="0.2">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row>
    <row r="130" spans="1:30" ht="15.75" customHeight="1" x14ac:dyDescent="0.2">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row>
    <row r="131" spans="1:30" ht="15.75" customHeight="1" x14ac:dyDescent="0.2">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row>
    <row r="132" spans="1:30" ht="15.75" customHeight="1" x14ac:dyDescent="0.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row>
    <row r="133" spans="1:30" ht="15.75" customHeight="1" x14ac:dyDescent="0.2">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row>
    <row r="134" spans="1:30" ht="15.75" customHeight="1" x14ac:dyDescent="0.2">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row>
    <row r="135" spans="1:30" ht="15.75" customHeight="1" x14ac:dyDescent="0.2">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row>
    <row r="136" spans="1:30" ht="15.75" customHeight="1" x14ac:dyDescent="0.2">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row>
    <row r="137" spans="1:30" ht="15.75" customHeight="1" x14ac:dyDescent="0.2">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row>
    <row r="138" spans="1:30" ht="15.75" customHeight="1" x14ac:dyDescent="0.2">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row>
    <row r="139" spans="1:30" ht="15.75" customHeight="1" x14ac:dyDescent="0.2">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row>
    <row r="140" spans="1:30" ht="15.75" customHeight="1" x14ac:dyDescent="0.2">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row>
    <row r="141" spans="1:30" ht="15.75" customHeight="1" x14ac:dyDescent="0.2">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row>
    <row r="142" spans="1:30" ht="15.75" customHeight="1" x14ac:dyDescent="0.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row>
    <row r="143" spans="1:30" ht="15.75" customHeight="1" x14ac:dyDescent="0.2">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row>
    <row r="144" spans="1:30" ht="15.75" customHeight="1" x14ac:dyDescent="0.2">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row>
    <row r="145" spans="1:30" ht="15.75" customHeight="1" x14ac:dyDescent="0.2">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row>
    <row r="146" spans="1:30" ht="15.75" customHeight="1" x14ac:dyDescent="0.2">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row>
    <row r="147" spans="1:30" ht="15.75" customHeight="1" x14ac:dyDescent="0.2">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row>
    <row r="148" spans="1:30" ht="15.75" customHeight="1" x14ac:dyDescent="0.2">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row>
    <row r="149" spans="1:30" ht="15.75" customHeight="1" x14ac:dyDescent="0.2">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row>
    <row r="150" spans="1:30" ht="15.75" customHeight="1" x14ac:dyDescent="0.2">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row>
    <row r="151" spans="1:30" ht="15.75" customHeight="1" x14ac:dyDescent="0.2">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row>
    <row r="152" spans="1:30" ht="15.75" customHeight="1" x14ac:dyDescent="0.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row>
    <row r="153" spans="1:30" ht="15.75" customHeight="1" x14ac:dyDescent="0.2">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row>
    <row r="154" spans="1:30" ht="15.75" customHeight="1" x14ac:dyDescent="0.2">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row>
    <row r="155" spans="1:30" ht="15.75" customHeight="1" x14ac:dyDescent="0.2">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row>
    <row r="156" spans="1:30" ht="15.75" customHeight="1" x14ac:dyDescent="0.2">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row>
    <row r="157" spans="1:30" ht="15.75" customHeight="1" x14ac:dyDescent="0.2">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row>
    <row r="158" spans="1:30" ht="15.75" customHeight="1" x14ac:dyDescent="0.2">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row>
    <row r="159" spans="1:30" ht="15.75" customHeight="1" x14ac:dyDescent="0.2">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row>
    <row r="160" spans="1:30" ht="15.75" customHeight="1" x14ac:dyDescent="0.2">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row>
    <row r="161" spans="1:30" ht="15.75" customHeight="1" x14ac:dyDescent="0.2">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row>
    <row r="162" spans="1:30" ht="15.75" customHeight="1" x14ac:dyDescent="0.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row>
    <row r="163" spans="1:30" ht="15.75" customHeight="1" x14ac:dyDescent="0.2">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row>
    <row r="164" spans="1:30" ht="15.75" customHeight="1" x14ac:dyDescent="0.2">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row>
    <row r="165" spans="1:30" ht="15.75" customHeight="1" x14ac:dyDescent="0.2">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row>
    <row r="166" spans="1:30" ht="15.75" customHeight="1" x14ac:dyDescent="0.2">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row>
    <row r="167" spans="1:30" ht="15.75" customHeight="1" x14ac:dyDescent="0.2">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row>
    <row r="168" spans="1:30" ht="15.75" customHeight="1" x14ac:dyDescent="0.2">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row>
    <row r="169" spans="1:30" ht="15.75" customHeight="1" x14ac:dyDescent="0.2">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row>
    <row r="170" spans="1:30" ht="15.75" customHeight="1" x14ac:dyDescent="0.2">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row>
    <row r="171" spans="1:30" ht="15.75" customHeight="1" x14ac:dyDescent="0.2">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row>
    <row r="172" spans="1:30" ht="15.75" customHeight="1" x14ac:dyDescent="0.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row>
    <row r="173" spans="1:30" ht="15.75" customHeight="1" x14ac:dyDescent="0.2">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row>
    <row r="174" spans="1:30" ht="15.75" customHeight="1" x14ac:dyDescent="0.2">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row>
    <row r="175" spans="1:30" ht="15.75" customHeight="1" x14ac:dyDescent="0.2">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row>
    <row r="176" spans="1:30" ht="15.75" customHeight="1" x14ac:dyDescent="0.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row>
    <row r="177" spans="1:30" ht="15.75" customHeight="1" x14ac:dyDescent="0.2">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row>
    <row r="178" spans="1:30" ht="15.75" customHeight="1" x14ac:dyDescent="0.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row>
    <row r="179" spans="1:30" ht="15.75" customHeight="1" x14ac:dyDescent="0.2">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row>
    <row r="180" spans="1:30" ht="15.75" customHeight="1" x14ac:dyDescent="0.2">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row>
    <row r="181" spans="1:30" ht="15.75" customHeight="1" x14ac:dyDescent="0.2">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row>
    <row r="182" spans="1:30" ht="15.75" customHeight="1" x14ac:dyDescent="0.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row>
    <row r="183" spans="1:30" ht="15.75" customHeight="1" x14ac:dyDescent="0.2">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row>
    <row r="184" spans="1:30" ht="15.75" customHeight="1" x14ac:dyDescent="0.2">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row>
    <row r="185" spans="1:30" ht="15.75" customHeight="1" x14ac:dyDescent="0.2">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row>
    <row r="186" spans="1:30" ht="15.75" customHeight="1" x14ac:dyDescent="0.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row>
    <row r="187" spans="1:30" ht="15.75" customHeight="1" x14ac:dyDescent="0.2">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row>
    <row r="188" spans="1:30" ht="15.75" customHeight="1" x14ac:dyDescent="0.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row>
    <row r="189" spans="1:30" ht="15.75" customHeight="1" x14ac:dyDescent="0.2">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row>
    <row r="190" spans="1:30" ht="15.75" customHeight="1" x14ac:dyDescent="0.2">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row>
    <row r="191" spans="1:30" ht="15.75" customHeight="1" x14ac:dyDescent="0.2">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row>
    <row r="192" spans="1:30" ht="15.75" customHeight="1" x14ac:dyDescent="0.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row>
    <row r="193" spans="1:30" ht="15.75" customHeight="1" x14ac:dyDescent="0.2">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row>
    <row r="194" spans="1:30" ht="15.75" customHeight="1" x14ac:dyDescent="0.2">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row>
    <row r="195" spans="1:30" ht="15.75" customHeight="1" x14ac:dyDescent="0.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row>
    <row r="196" spans="1:30" ht="15.75" customHeight="1"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row>
    <row r="197" spans="1:30" ht="15.75" customHeight="1" x14ac:dyDescent="0.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row>
    <row r="198" spans="1:30" ht="15.75" customHeight="1" x14ac:dyDescent="0.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row>
    <row r="199" spans="1:30" ht="15.75" customHeight="1" x14ac:dyDescent="0.2">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row>
    <row r="200" spans="1:30" ht="15.75" customHeight="1" x14ac:dyDescent="0.2">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row>
    <row r="201" spans="1:30" ht="15.75" customHeight="1" x14ac:dyDescent="0.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row>
    <row r="202" spans="1:30" ht="15.75" customHeight="1" x14ac:dyDescent="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row>
    <row r="203" spans="1:30" ht="15.75" customHeight="1" x14ac:dyDescent="0.2">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row>
    <row r="204" spans="1:30" ht="15.75" customHeight="1" x14ac:dyDescent="0.2">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row>
    <row r="205" spans="1:30" ht="15.75" customHeight="1" x14ac:dyDescent="0.2">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row>
    <row r="206" spans="1:30" ht="15.75" customHeight="1" x14ac:dyDescent="0.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row>
    <row r="207" spans="1:30" ht="15.75" customHeight="1" x14ac:dyDescent="0.2">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row>
    <row r="208" spans="1:30" ht="15.75" customHeight="1" x14ac:dyDescent="0.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row>
    <row r="209" spans="1:30" ht="15.75" customHeight="1" x14ac:dyDescent="0.2">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row>
    <row r="210" spans="1:30" ht="15.75" customHeight="1" x14ac:dyDescent="0.2">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row>
    <row r="211" spans="1:30" ht="15.75" customHeight="1" x14ac:dyDescent="0.2">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row>
    <row r="212" spans="1:30" ht="15.75" customHeight="1" x14ac:dyDescent="0.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row>
    <row r="213" spans="1:30" ht="15.75" customHeight="1" x14ac:dyDescent="0.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row>
    <row r="214" spans="1:30" ht="15.75" customHeight="1" x14ac:dyDescent="0.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row>
    <row r="215" spans="1:30" ht="15.75" customHeight="1"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row>
    <row r="216" spans="1:30" ht="15.75" customHeight="1"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row>
    <row r="217" spans="1:30" ht="15.75" customHeight="1" x14ac:dyDescent="0.2">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row>
    <row r="218" spans="1:30" ht="15.75" customHeight="1"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row>
    <row r="219" spans="1:30" ht="15.75" customHeight="1" x14ac:dyDescent="0.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row>
    <row r="220" spans="1:30" ht="15.75" customHeight="1" x14ac:dyDescent="0.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row>
    <row r="221" spans="1:30" ht="15.75" customHeight="1" x14ac:dyDescent="0.2">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row>
    <row r="222" spans="1:30" ht="15.75" customHeight="1" x14ac:dyDescent="0.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row>
    <row r="223" spans="1:30" ht="15.75" customHeight="1" x14ac:dyDescent="0.2">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row>
    <row r="224" spans="1:30" ht="15.75" customHeight="1" x14ac:dyDescent="0.2">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row>
    <row r="225" spans="1:30" ht="15.75" customHeight="1" x14ac:dyDescent="0.2">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row>
    <row r="226" spans="1:30" ht="15.75" customHeight="1" x14ac:dyDescent="0.2">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row>
    <row r="227" spans="1:30" ht="15.75" customHeight="1" x14ac:dyDescent="0.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row>
    <row r="228" spans="1:30" ht="15.75" customHeight="1" x14ac:dyDescent="0.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row>
    <row r="229" spans="1:30" ht="15.75" customHeight="1" x14ac:dyDescent="0.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row>
    <row r="230" spans="1:30" ht="15.75" customHeight="1" x14ac:dyDescent="0.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row>
    <row r="231" spans="1:30" ht="15.75" customHeight="1" x14ac:dyDescent="0.2">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row>
    <row r="232" spans="1:30" ht="15.75" customHeight="1" x14ac:dyDescent="0.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row>
    <row r="233" spans="1:30" ht="15.75" customHeight="1" x14ac:dyDescent="0.2">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row>
    <row r="234" spans="1:30" ht="15.75" customHeight="1" x14ac:dyDescent="0.2">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row>
    <row r="235" spans="1:30" ht="15.75" customHeight="1" x14ac:dyDescent="0.2">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row>
    <row r="236" spans="1:30" ht="15.75" customHeight="1" x14ac:dyDescent="0.2">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row>
    <row r="237" spans="1:30" ht="15.75" customHeight="1" x14ac:dyDescent="0.2">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row>
    <row r="238" spans="1:30" ht="15.75" customHeight="1" x14ac:dyDescent="0.2">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row>
    <row r="239" spans="1:30" ht="15.75" customHeight="1" x14ac:dyDescent="0.2">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row>
    <row r="240" spans="1:30" ht="15.75" customHeight="1" x14ac:dyDescent="0.2">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row>
    <row r="241" spans="1:30" ht="15.75" customHeight="1" x14ac:dyDescent="0.2">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row>
    <row r="242" spans="1:30" ht="15.75" customHeight="1" x14ac:dyDescent="0.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row>
    <row r="243" spans="1:30" ht="15.75" customHeight="1" x14ac:dyDescent="0.2">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row>
    <row r="244" spans="1:30" ht="15.75" customHeight="1" x14ac:dyDescent="0.2">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row>
    <row r="245" spans="1:30" ht="15.75" customHeight="1" x14ac:dyDescent="0.2">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row>
    <row r="246" spans="1:30" ht="15.75" customHeight="1" x14ac:dyDescent="0.2">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row>
    <row r="247" spans="1:30" ht="15.75" customHeight="1" x14ac:dyDescent="0.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row>
    <row r="248" spans="1:30" ht="15.75" customHeight="1" x14ac:dyDescent="0.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row>
    <row r="249" spans="1:30" ht="15.75" customHeight="1" x14ac:dyDescent="0.2">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row>
    <row r="250" spans="1:30" ht="15.75" customHeight="1" x14ac:dyDescent="0.2">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row>
    <row r="251" spans="1:30" ht="15.75" customHeight="1" x14ac:dyDescent="0.2">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row>
    <row r="252" spans="1:30" ht="15.75" customHeight="1" x14ac:dyDescent="0.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row>
    <row r="253" spans="1:30" ht="15.75" customHeight="1" x14ac:dyDescent="0.2">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row>
    <row r="254" spans="1:30" ht="15.75" customHeight="1" x14ac:dyDescent="0.2">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row>
    <row r="255" spans="1:30" ht="15.75" customHeight="1" x14ac:dyDescent="0.2">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row>
    <row r="256" spans="1:30" ht="15.75" customHeight="1" x14ac:dyDescent="0.2">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row>
    <row r="257" spans="1:30" ht="15.75" customHeight="1" x14ac:dyDescent="0.2">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row>
    <row r="258" spans="1:30" ht="15.75" customHeight="1" x14ac:dyDescent="0.2">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row>
    <row r="259" spans="1:30" ht="15.75" customHeight="1" x14ac:dyDescent="0.2">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row>
    <row r="260" spans="1:30" ht="15.75" customHeight="1" x14ac:dyDescent="0.2">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row>
    <row r="261" spans="1:30" ht="15.75" customHeight="1" x14ac:dyDescent="0.2">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row>
    <row r="262" spans="1:30" ht="15.75" customHeight="1" x14ac:dyDescent="0.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row>
    <row r="263" spans="1:30" ht="15.75" customHeight="1" x14ac:dyDescent="0.2">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row>
    <row r="264" spans="1:30" ht="15.75" customHeight="1" x14ac:dyDescent="0.2">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row>
    <row r="265" spans="1:30" ht="15.75" customHeight="1" x14ac:dyDescent="0.2">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row>
    <row r="266" spans="1:30" ht="15.75" customHeight="1" x14ac:dyDescent="0.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row>
    <row r="267" spans="1:30" ht="15.75" customHeight="1" x14ac:dyDescent="0.2">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row>
    <row r="268" spans="1:30" ht="15.75" customHeight="1" x14ac:dyDescent="0.2">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row>
    <row r="269" spans="1:30" ht="15.75" customHeight="1" x14ac:dyDescent="0.2">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row>
    <row r="270" spans="1:30" ht="15.75" customHeight="1" x14ac:dyDescent="0.2">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row>
    <row r="271" spans="1:30" ht="15.75" customHeight="1" x14ac:dyDescent="0.2">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row>
    <row r="272" spans="1:30" ht="15.75" customHeight="1" x14ac:dyDescent="0.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row>
    <row r="273" spans="1:30" ht="15.75" customHeight="1" x14ac:dyDescent="0.2">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row>
    <row r="274" spans="1:30" ht="15.75" customHeight="1" x14ac:dyDescent="0.2">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row>
    <row r="275" spans="1:30" ht="15.75" customHeight="1" x14ac:dyDescent="0.2">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row>
    <row r="276" spans="1:30" ht="15.75" customHeight="1" x14ac:dyDescent="0.2">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row>
    <row r="277" spans="1:30" ht="15.75" customHeight="1" x14ac:dyDescent="0.2">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row>
    <row r="278" spans="1:30" ht="15.75" customHeight="1" x14ac:dyDescent="0.2">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row>
    <row r="279" spans="1:30" ht="15.75" customHeight="1" x14ac:dyDescent="0.2">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row>
    <row r="280" spans="1:30" ht="15.75" customHeight="1" x14ac:dyDescent="0.2">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row>
    <row r="281" spans="1:30" ht="15.75" customHeight="1" x14ac:dyDescent="0.2">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row>
    <row r="282" spans="1:30" ht="15.75" customHeight="1" x14ac:dyDescent="0.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row>
    <row r="283" spans="1:30" ht="15.75" customHeight="1" x14ac:dyDescent="0.2">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row>
    <row r="284" spans="1:30" ht="15.75" customHeight="1" x14ac:dyDescent="0.2">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row>
    <row r="285" spans="1:30" ht="15.75" customHeight="1" x14ac:dyDescent="0.2">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row>
    <row r="286" spans="1:30" ht="15.75" customHeight="1" x14ac:dyDescent="0.2">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row>
    <row r="287" spans="1:30" ht="15.75" customHeight="1" x14ac:dyDescent="0.2">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row>
    <row r="288" spans="1:30" ht="15.75" customHeight="1" x14ac:dyDescent="0.2">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row>
    <row r="289" spans="1:30" ht="15.75" customHeight="1" x14ac:dyDescent="0.2">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row>
    <row r="290" spans="1:30" ht="15.75" customHeight="1" x14ac:dyDescent="0.2">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row>
    <row r="291" spans="1:30" ht="15.75" customHeight="1" x14ac:dyDescent="0.2">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row>
    <row r="292" spans="1:30" ht="15.75" customHeight="1" x14ac:dyDescent="0.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row>
    <row r="293" spans="1:30" ht="15.75" customHeight="1" x14ac:dyDescent="0.2">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row>
    <row r="294" spans="1:30" ht="15.75" customHeight="1" x14ac:dyDescent="0.2">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row>
    <row r="295" spans="1:30" ht="15.75" customHeight="1" x14ac:dyDescent="0.2">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row>
    <row r="296" spans="1:30" ht="15.75" customHeight="1" x14ac:dyDescent="0.2">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row>
    <row r="297" spans="1:30" ht="15.75" customHeight="1" x14ac:dyDescent="0.2">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row>
    <row r="298" spans="1:30" ht="15.75" customHeight="1" x14ac:dyDescent="0.2">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row>
    <row r="299" spans="1:30" ht="15.75" customHeight="1" x14ac:dyDescent="0.2">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row>
    <row r="300" spans="1:30" ht="15.75" customHeight="1" x14ac:dyDescent="0.2">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row>
    <row r="301" spans="1:30" ht="15.75" customHeight="1" x14ac:dyDescent="0.2">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row>
    <row r="302" spans="1:30" ht="15.75" customHeight="1" x14ac:dyDescent="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row>
    <row r="303" spans="1:30" ht="15.75" customHeight="1" x14ac:dyDescent="0.2">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row>
    <row r="304" spans="1:30" ht="15.75" customHeight="1" x14ac:dyDescent="0.2">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row>
    <row r="305" spans="1:30" ht="15.75" customHeight="1" x14ac:dyDescent="0.2">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row>
    <row r="306" spans="1:30" ht="15.75" customHeight="1" x14ac:dyDescent="0.2">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row>
    <row r="307" spans="1:30" ht="15.75" customHeight="1" x14ac:dyDescent="0.2">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row>
    <row r="308" spans="1:30" ht="15.75" customHeight="1" x14ac:dyDescent="0.2">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row>
    <row r="309" spans="1:30" ht="15.75" customHeight="1" x14ac:dyDescent="0.2">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row>
    <row r="310" spans="1:30" ht="15.75" customHeight="1" x14ac:dyDescent="0.2">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row>
    <row r="311" spans="1:30" ht="15.75" customHeight="1" x14ac:dyDescent="0.2">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row>
    <row r="312" spans="1:30" ht="15.75" customHeight="1" x14ac:dyDescent="0.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row>
    <row r="313" spans="1:30" ht="15.75" customHeight="1" x14ac:dyDescent="0.2">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row>
    <row r="314" spans="1:30" ht="15.75" customHeight="1" x14ac:dyDescent="0.2">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row>
    <row r="315" spans="1:30" ht="15.75" customHeight="1" x14ac:dyDescent="0.2">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row>
    <row r="316" spans="1:30" ht="15.75" customHeight="1" x14ac:dyDescent="0.2">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row>
    <row r="317" spans="1:30" ht="15.75" customHeight="1" x14ac:dyDescent="0.2">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row>
    <row r="318" spans="1:30" ht="15.75" customHeight="1" x14ac:dyDescent="0.2">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row>
    <row r="319" spans="1:30" ht="15.75" customHeight="1" x14ac:dyDescent="0.2">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row>
    <row r="320" spans="1:30" ht="15.75" customHeight="1" x14ac:dyDescent="0.2">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row>
    <row r="321" spans="1:30" ht="15.75" customHeight="1" x14ac:dyDescent="0.2">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row>
    <row r="322" spans="1:30" ht="15.75" customHeight="1" x14ac:dyDescent="0.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row>
    <row r="323" spans="1:30" ht="15.75" customHeight="1" x14ac:dyDescent="0.2">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row>
    <row r="324" spans="1:30" ht="15.75" customHeight="1" x14ac:dyDescent="0.2">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row>
    <row r="325" spans="1:30" ht="15.75" customHeight="1" x14ac:dyDescent="0.2">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row>
    <row r="326" spans="1:30" ht="15.75" customHeight="1" x14ac:dyDescent="0.2">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row>
    <row r="327" spans="1:30" ht="15.75" customHeight="1" x14ac:dyDescent="0.2">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row>
    <row r="328" spans="1:30" ht="15.75" customHeight="1" x14ac:dyDescent="0.2">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row>
    <row r="329" spans="1:30" ht="15.75" customHeight="1" x14ac:dyDescent="0.2">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row>
    <row r="330" spans="1:30" ht="15.75" customHeight="1" x14ac:dyDescent="0.2">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row>
    <row r="331" spans="1:30" ht="15.75" customHeight="1" x14ac:dyDescent="0.2">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row>
    <row r="332" spans="1:30" ht="15.75" customHeight="1" x14ac:dyDescent="0.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row>
    <row r="333" spans="1:30" ht="15.75" customHeight="1" x14ac:dyDescent="0.2">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row>
    <row r="334" spans="1:30" ht="15.75" customHeight="1" x14ac:dyDescent="0.2">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row>
    <row r="335" spans="1:30" ht="15.75" customHeight="1" x14ac:dyDescent="0.2">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row>
    <row r="336" spans="1:30" ht="15.75" customHeight="1" x14ac:dyDescent="0.2">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row>
    <row r="337" spans="1:30" ht="15.75" customHeight="1" x14ac:dyDescent="0.2">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row>
    <row r="338" spans="1:30" ht="15.75" customHeight="1" x14ac:dyDescent="0.2">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row>
    <row r="339" spans="1:30" ht="15.75" customHeight="1" x14ac:dyDescent="0.2">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row>
    <row r="340" spans="1:30" ht="15.75" customHeight="1" x14ac:dyDescent="0.2">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row>
    <row r="341" spans="1:30" ht="15.75" customHeight="1" x14ac:dyDescent="0.2">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row>
    <row r="342" spans="1:30" ht="15.75" customHeight="1" x14ac:dyDescent="0.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row>
    <row r="343" spans="1:30" ht="15.75" customHeight="1" x14ac:dyDescent="0.2">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row>
    <row r="344" spans="1:30" ht="15.75" customHeight="1" x14ac:dyDescent="0.2">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row>
    <row r="345" spans="1:30" ht="15.75" customHeight="1" x14ac:dyDescent="0.2">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row>
    <row r="346" spans="1:30" ht="15.75" customHeight="1" x14ac:dyDescent="0.2">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row>
    <row r="347" spans="1:30" ht="15.75" customHeight="1" x14ac:dyDescent="0.2">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row>
    <row r="348" spans="1:30" ht="15.75" customHeight="1" x14ac:dyDescent="0.2">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row>
    <row r="349" spans="1:30" ht="15.75" customHeight="1" x14ac:dyDescent="0.2">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row>
    <row r="350" spans="1:30" ht="15.75" customHeight="1" x14ac:dyDescent="0.2">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row>
    <row r="351" spans="1:30" ht="15.75" customHeight="1" x14ac:dyDescent="0.2">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row>
    <row r="352" spans="1:30" ht="15.75" customHeight="1" x14ac:dyDescent="0.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row>
    <row r="353" spans="1:30" ht="15.75" customHeight="1" x14ac:dyDescent="0.2">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row>
    <row r="354" spans="1:30" ht="15.75" customHeight="1" x14ac:dyDescent="0.2">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row>
    <row r="355" spans="1:30" ht="15.75" customHeight="1" x14ac:dyDescent="0.2">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row>
    <row r="356" spans="1:30" ht="15.75" customHeight="1" x14ac:dyDescent="0.2">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row>
    <row r="357" spans="1:30" ht="15.75" customHeight="1" x14ac:dyDescent="0.2">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row>
    <row r="358" spans="1:30" ht="15.75" customHeight="1" x14ac:dyDescent="0.2">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row>
    <row r="359" spans="1:30" ht="15.75" customHeight="1" x14ac:dyDescent="0.2">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row>
    <row r="360" spans="1:30" ht="15.75" customHeight="1" x14ac:dyDescent="0.2">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row>
    <row r="361" spans="1:30" ht="15.75" customHeight="1" x14ac:dyDescent="0.2">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row>
    <row r="362" spans="1:30" ht="15.75" customHeight="1" x14ac:dyDescent="0.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row>
    <row r="363" spans="1:30" ht="15.75" customHeight="1" x14ac:dyDescent="0.2">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row>
    <row r="364" spans="1:30" ht="15.75" customHeight="1" x14ac:dyDescent="0.2">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row>
    <row r="365" spans="1:30" ht="15.75" customHeight="1" x14ac:dyDescent="0.2">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row>
    <row r="366" spans="1:30" ht="15.75" customHeight="1" x14ac:dyDescent="0.2">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row>
    <row r="367" spans="1:30" ht="15.75" customHeight="1" x14ac:dyDescent="0.2">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row>
    <row r="368" spans="1:30" ht="15.75" customHeight="1" x14ac:dyDescent="0.2">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row>
    <row r="369" spans="1:30" ht="15.75" customHeight="1" x14ac:dyDescent="0.2">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row>
    <row r="370" spans="1:30" ht="15.75" customHeight="1" x14ac:dyDescent="0.2">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row>
    <row r="371" spans="1:30" ht="15.75" customHeight="1" x14ac:dyDescent="0.2">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row>
    <row r="372" spans="1:30" ht="15.75" customHeight="1" x14ac:dyDescent="0.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row>
    <row r="373" spans="1:30" ht="15.75" customHeight="1" x14ac:dyDescent="0.2">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row>
    <row r="374" spans="1:30" ht="15.75" customHeight="1" x14ac:dyDescent="0.2">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row>
    <row r="375" spans="1:30" ht="15.75" customHeight="1" x14ac:dyDescent="0.2">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row>
    <row r="376" spans="1:30" ht="15.75" customHeight="1" x14ac:dyDescent="0.2">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row>
    <row r="377" spans="1:30" ht="15.75" customHeight="1" x14ac:dyDescent="0.2">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row>
    <row r="378" spans="1:30" ht="15.75" customHeight="1" x14ac:dyDescent="0.2">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row>
    <row r="379" spans="1:30" ht="15.75" customHeight="1" x14ac:dyDescent="0.2">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row>
    <row r="380" spans="1:30" ht="15.75" customHeight="1" x14ac:dyDescent="0.2">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row>
    <row r="381" spans="1:30" ht="15.75" customHeight="1" x14ac:dyDescent="0.2">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row>
    <row r="382" spans="1:30" ht="15.75" customHeight="1" x14ac:dyDescent="0.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row>
    <row r="383" spans="1:30" ht="15.75" customHeight="1" x14ac:dyDescent="0.2">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row>
    <row r="384" spans="1:30" ht="15.75" customHeight="1" x14ac:dyDescent="0.2">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row>
    <row r="385" spans="1:30" ht="15.75" customHeight="1" x14ac:dyDescent="0.2">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row>
    <row r="386" spans="1:30" ht="15.75" customHeight="1" x14ac:dyDescent="0.2">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row>
    <row r="387" spans="1:30" ht="15.75" customHeight="1" x14ac:dyDescent="0.2">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row>
    <row r="388" spans="1:30" ht="15.75" customHeight="1" x14ac:dyDescent="0.2">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row>
    <row r="389" spans="1:30" ht="15.75" customHeight="1" x14ac:dyDescent="0.2">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row>
    <row r="390" spans="1:30" ht="15.75" customHeight="1" x14ac:dyDescent="0.2">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row>
    <row r="391" spans="1:30" ht="15.75" customHeight="1" x14ac:dyDescent="0.2">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row>
    <row r="392" spans="1:30" ht="15.75" customHeight="1" x14ac:dyDescent="0.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row>
    <row r="393" spans="1:30" ht="15.75" customHeight="1" x14ac:dyDescent="0.2">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row>
    <row r="394" spans="1:30" ht="15.75" customHeight="1" x14ac:dyDescent="0.2">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row>
    <row r="395" spans="1:30" ht="15.75" customHeight="1" x14ac:dyDescent="0.2">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row>
    <row r="396" spans="1:30" ht="15.75" customHeight="1" x14ac:dyDescent="0.2">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row>
    <row r="397" spans="1:30" ht="15.75" customHeight="1" x14ac:dyDescent="0.2">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row>
    <row r="398" spans="1:30" ht="15.75" customHeight="1" x14ac:dyDescent="0.2">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row>
    <row r="399" spans="1:30" ht="15.75" customHeight="1" x14ac:dyDescent="0.2">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row>
    <row r="400" spans="1:30" ht="15.75" customHeight="1" x14ac:dyDescent="0.2">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row>
    <row r="401" spans="1:30" ht="15.75" customHeight="1" x14ac:dyDescent="0.2">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row>
    <row r="402" spans="1:30" ht="15.75" customHeight="1" x14ac:dyDescent="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row>
    <row r="403" spans="1:30" ht="15.75" customHeight="1" x14ac:dyDescent="0.2">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row>
    <row r="404" spans="1:30" ht="15.75" customHeight="1" x14ac:dyDescent="0.2">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row>
    <row r="405" spans="1:30" ht="15.75" customHeight="1" x14ac:dyDescent="0.2">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row>
    <row r="406" spans="1:30" ht="15.75" customHeight="1" x14ac:dyDescent="0.2">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row>
    <row r="407" spans="1:30" ht="15.75" customHeight="1" x14ac:dyDescent="0.2">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row>
    <row r="408" spans="1:30" ht="15.75" customHeight="1" x14ac:dyDescent="0.2">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row>
    <row r="409" spans="1:30" ht="15.75" customHeight="1" x14ac:dyDescent="0.2">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row>
    <row r="410" spans="1:30" ht="15.75" customHeight="1" x14ac:dyDescent="0.2">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row>
    <row r="411" spans="1:30" ht="15.75" customHeight="1" x14ac:dyDescent="0.2">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row>
    <row r="412" spans="1:30" ht="15.75" customHeight="1" x14ac:dyDescent="0.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row>
    <row r="413" spans="1:30" ht="15.75" customHeight="1" x14ac:dyDescent="0.2">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row>
    <row r="414" spans="1:30" ht="15.75" customHeight="1" x14ac:dyDescent="0.2">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row>
    <row r="415" spans="1:30" ht="15.75" customHeight="1" x14ac:dyDescent="0.2">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row>
    <row r="416" spans="1:30" ht="15.75" customHeight="1" x14ac:dyDescent="0.2">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row>
    <row r="417" spans="1:30" ht="15.75" customHeight="1" x14ac:dyDescent="0.2">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row>
    <row r="418" spans="1:30" ht="15.75" customHeight="1" x14ac:dyDescent="0.2">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row>
    <row r="419" spans="1:30" ht="15.75" customHeight="1" x14ac:dyDescent="0.2">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row>
    <row r="420" spans="1:30" ht="15.75" customHeight="1" x14ac:dyDescent="0.2">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row>
    <row r="421" spans="1:30" ht="15.75" customHeight="1" x14ac:dyDescent="0.2">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row>
    <row r="422" spans="1:30" ht="15.75" customHeight="1" x14ac:dyDescent="0.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row>
    <row r="423" spans="1:30" ht="15.75" customHeight="1" x14ac:dyDescent="0.2">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row>
    <row r="424" spans="1:30" ht="15.75" customHeight="1" x14ac:dyDescent="0.2">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row>
    <row r="425" spans="1:30" ht="15.75" customHeight="1" x14ac:dyDescent="0.2">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row>
    <row r="426" spans="1:30" ht="15.75" customHeight="1" x14ac:dyDescent="0.2">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row>
    <row r="427" spans="1:30" ht="15.75" customHeight="1" x14ac:dyDescent="0.2">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row>
    <row r="428" spans="1:30" ht="15.75" customHeight="1" x14ac:dyDescent="0.2">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row>
    <row r="429" spans="1:30" ht="15.75" customHeight="1" x14ac:dyDescent="0.2">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row>
    <row r="430" spans="1:30" ht="15.75" customHeight="1" x14ac:dyDescent="0.2">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row>
    <row r="431" spans="1:30" ht="15.75" customHeight="1" x14ac:dyDescent="0.2">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row>
    <row r="432" spans="1:30" ht="15.75" customHeight="1" x14ac:dyDescent="0.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row>
    <row r="433" spans="1:30" ht="15.75" customHeight="1" x14ac:dyDescent="0.2">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row>
    <row r="434" spans="1:30" ht="15.75" customHeight="1" x14ac:dyDescent="0.2">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row>
    <row r="435" spans="1:30" ht="15.75" customHeight="1" x14ac:dyDescent="0.2">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row>
    <row r="436" spans="1:30" ht="15.75" customHeight="1" x14ac:dyDescent="0.2">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row>
    <row r="437" spans="1:30" ht="15.75" customHeight="1" x14ac:dyDescent="0.2">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row>
    <row r="438" spans="1:30" ht="15.75" customHeight="1" x14ac:dyDescent="0.2">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row>
    <row r="439" spans="1:30" ht="15.75" customHeight="1" x14ac:dyDescent="0.2">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row>
    <row r="440" spans="1:30" ht="15.75" customHeight="1" x14ac:dyDescent="0.2">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row>
    <row r="441" spans="1:30" ht="15.75" customHeight="1" x14ac:dyDescent="0.2">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row>
    <row r="442" spans="1:30" ht="15.75" customHeight="1" x14ac:dyDescent="0.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row>
    <row r="443" spans="1:30" ht="15.75" customHeight="1" x14ac:dyDescent="0.2">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row>
    <row r="444" spans="1:30" ht="15.75" customHeight="1" x14ac:dyDescent="0.2">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row>
    <row r="445" spans="1:30" ht="15.75" customHeight="1" x14ac:dyDescent="0.2">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row>
    <row r="446" spans="1:30" ht="15.75" customHeight="1" x14ac:dyDescent="0.2">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row>
    <row r="447" spans="1:30" ht="15.75" customHeight="1" x14ac:dyDescent="0.2">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row>
    <row r="448" spans="1:30" ht="15.75" customHeight="1" x14ac:dyDescent="0.2">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row>
    <row r="449" spans="1:30" ht="15.75" customHeight="1" x14ac:dyDescent="0.2">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row>
    <row r="450" spans="1:30" ht="15.75" customHeight="1" x14ac:dyDescent="0.2">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row>
    <row r="451" spans="1:30" ht="15.75" customHeight="1" x14ac:dyDescent="0.2">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row>
    <row r="452" spans="1:30" ht="15.75" customHeight="1" x14ac:dyDescent="0.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row>
    <row r="453" spans="1:30" ht="15.75" customHeight="1" x14ac:dyDescent="0.2">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row>
    <row r="454" spans="1:30" ht="15.75" customHeight="1" x14ac:dyDescent="0.2">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row>
    <row r="455" spans="1:30" ht="15.75" customHeight="1" x14ac:dyDescent="0.2">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row>
    <row r="456" spans="1:30" ht="15.75" customHeight="1" x14ac:dyDescent="0.2">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row>
    <row r="457" spans="1:30" ht="15.75" customHeight="1" x14ac:dyDescent="0.2">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row>
    <row r="458" spans="1:30" ht="15.75" customHeight="1" x14ac:dyDescent="0.2">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row>
    <row r="459" spans="1:30" ht="15.75" customHeight="1" x14ac:dyDescent="0.2">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row>
    <row r="460" spans="1:30" ht="15.75" customHeight="1" x14ac:dyDescent="0.2">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row>
    <row r="461" spans="1:30" ht="15.75" customHeight="1" x14ac:dyDescent="0.2">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row>
    <row r="462" spans="1:30" ht="15.75" customHeight="1" x14ac:dyDescent="0.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row>
    <row r="463" spans="1:30" ht="15.75" customHeight="1" x14ac:dyDescent="0.2">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row>
    <row r="464" spans="1:30" ht="15.75" customHeight="1" x14ac:dyDescent="0.2">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row>
    <row r="465" spans="1:30" ht="15.75" customHeight="1" x14ac:dyDescent="0.2">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row>
    <row r="466" spans="1:30" ht="15.75" customHeight="1" x14ac:dyDescent="0.2">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row>
    <row r="467" spans="1:30" ht="15.75" customHeight="1" x14ac:dyDescent="0.2">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row>
    <row r="468" spans="1:30" ht="15.75" customHeight="1" x14ac:dyDescent="0.2">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row>
    <row r="469" spans="1:30" ht="15.75" customHeight="1" x14ac:dyDescent="0.2">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row>
    <row r="470" spans="1:30" ht="15.75" customHeight="1" x14ac:dyDescent="0.2">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row>
    <row r="471" spans="1:30" ht="15.75" customHeight="1" x14ac:dyDescent="0.2">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row>
    <row r="472" spans="1:30" ht="15.75" customHeight="1" x14ac:dyDescent="0.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row>
    <row r="473" spans="1:30" ht="15.75" customHeight="1" x14ac:dyDescent="0.2">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row>
    <row r="474" spans="1:30" ht="15.75" customHeight="1" x14ac:dyDescent="0.2">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row>
    <row r="475" spans="1:30" ht="15.75" customHeight="1" x14ac:dyDescent="0.2">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row>
    <row r="476" spans="1:30" ht="15.75" customHeight="1" x14ac:dyDescent="0.2">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row>
    <row r="477" spans="1:30" ht="15.75" customHeight="1" x14ac:dyDescent="0.2">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row>
    <row r="478" spans="1:30" ht="15.75" customHeight="1" x14ac:dyDescent="0.2">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row>
    <row r="479" spans="1:30" ht="15.75" customHeight="1" x14ac:dyDescent="0.2">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row>
    <row r="480" spans="1:30" ht="15.75" customHeight="1" x14ac:dyDescent="0.2">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row>
    <row r="481" spans="1:30" ht="15.75" customHeight="1" x14ac:dyDescent="0.2">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row>
    <row r="482" spans="1:30" ht="15.75" customHeight="1" x14ac:dyDescent="0.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row>
    <row r="483" spans="1:30" ht="15.75" customHeight="1" x14ac:dyDescent="0.2">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row>
    <row r="484" spans="1:30" ht="15.75" customHeight="1" x14ac:dyDescent="0.2">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row>
    <row r="485" spans="1:30" ht="15.75" customHeight="1" x14ac:dyDescent="0.2">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row>
    <row r="486" spans="1:30" ht="15.75" customHeight="1" x14ac:dyDescent="0.2">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row>
    <row r="487" spans="1:30" ht="15.75" customHeight="1" x14ac:dyDescent="0.2">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row>
    <row r="488" spans="1:30" ht="15.75" customHeight="1" x14ac:dyDescent="0.2">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row>
    <row r="489" spans="1:30" ht="15.75" customHeight="1" x14ac:dyDescent="0.2">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row>
    <row r="490" spans="1:30" ht="15.75" customHeight="1" x14ac:dyDescent="0.2">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row>
    <row r="491" spans="1:30" ht="15.75" customHeight="1" x14ac:dyDescent="0.2">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row>
    <row r="492" spans="1:30" ht="15.75" customHeight="1" x14ac:dyDescent="0.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row>
    <row r="493" spans="1:30" ht="15.75" customHeight="1" x14ac:dyDescent="0.2">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row>
    <row r="494" spans="1:30" ht="15.75" customHeight="1" x14ac:dyDescent="0.2">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row>
    <row r="495" spans="1:30" ht="15.75" customHeight="1" x14ac:dyDescent="0.2">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row>
    <row r="496" spans="1:30" ht="15.75" customHeight="1" x14ac:dyDescent="0.2">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row>
    <row r="497" spans="1:30" ht="15.75" customHeight="1" x14ac:dyDescent="0.2">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row>
    <row r="498" spans="1:30" ht="15.75" customHeight="1" x14ac:dyDescent="0.2">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row>
    <row r="499" spans="1:30" ht="15.75" customHeight="1" x14ac:dyDescent="0.2">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row>
    <row r="500" spans="1:30" ht="15.75" customHeight="1" x14ac:dyDescent="0.2">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row>
    <row r="501" spans="1:30" ht="15.75" customHeight="1" x14ac:dyDescent="0.2">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row>
    <row r="502" spans="1:30" ht="15.75" customHeight="1" x14ac:dyDescent="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row>
    <row r="503" spans="1:30" ht="15.75" customHeight="1" x14ac:dyDescent="0.2">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row>
    <row r="504" spans="1:30" ht="15.75" customHeight="1" x14ac:dyDescent="0.2">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row>
    <row r="505" spans="1:30" ht="15.75" customHeight="1" x14ac:dyDescent="0.2">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row>
    <row r="506" spans="1:30" ht="15.75" customHeight="1" x14ac:dyDescent="0.2">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row>
    <row r="507" spans="1:30" ht="15.75" customHeight="1" x14ac:dyDescent="0.2">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row>
    <row r="508" spans="1:30" ht="15.75" customHeight="1" x14ac:dyDescent="0.2">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row>
    <row r="509" spans="1:30" ht="15.75" customHeight="1" x14ac:dyDescent="0.2">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row>
    <row r="510" spans="1:30" ht="15.75" customHeight="1" x14ac:dyDescent="0.2">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row>
    <row r="511" spans="1:30" ht="15.75" customHeight="1" x14ac:dyDescent="0.2">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row>
    <row r="512" spans="1:30" ht="15.75" customHeight="1" x14ac:dyDescent="0.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row>
    <row r="513" spans="1:30" ht="15.75" customHeight="1" x14ac:dyDescent="0.2">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row>
    <row r="514" spans="1:30" ht="15.75" customHeight="1" x14ac:dyDescent="0.2">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row>
    <row r="515" spans="1:30" ht="15.75" customHeight="1" x14ac:dyDescent="0.2">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row>
    <row r="516" spans="1:30" ht="15.75" customHeight="1" x14ac:dyDescent="0.2">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row>
    <row r="517" spans="1:30" ht="15.75" customHeight="1" x14ac:dyDescent="0.2">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row>
    <row r="518" spans="1:30" ht="15.75" customHeight="1" x14ac:dyDescent="0.2">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row>
    <row r="519" spans="1:30" ht="15.75" customHeight="1" x14ac:dyDescent="0.2">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row>
    <row r="520" spans="1:30" ht="15.75" customHeight="1" x14ac:dyDescent="0.2">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row>
    <row r="521" spans="1:30" ht="15.75" customHeight="1" x14ac:dyDescent="0.2">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row>
    <row r="522" spans="1:30" ht="15.75" customHeight="1" x14ac:dyDescent="0.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row>
    <row r="523" spans="1:30" ht="15.75" customHeight="1" x14ac:dyDescent="0.2">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row>
    <row r="524" spans="1:30" ht="15.75" customHeight="1" x14ac:dyDescent="0.2">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row>
    <row r="525" spans="1:30" ht="15.75" customHeight="1" x14ac:dyDescent="0.2">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row>
    <row r="526" spans="1:30" ht="15.75" customHeight="1" x14ac:dyDescent="0.2">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row>
    <row r="527" spans="1:30" ht="15.75" customHeight="1" x14ac:dyDescent="0.2">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row>
    <row r="528" spans="1:30" ht="15.75" customHeight="1" x14ac:dyDescent="0.2">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row>
    <row r="529" spans="1:30" ht="15.75" customHeight="1" x14ac:dyDescent="0.2">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row>
    <row r="530" spans="1:30" ht="15.75" customHeight="1" x14ac:dyDescent="0.2">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row>
    <row r="531" spans="1:30" ht="15.75" customHeight="1" x14ac:dyDescent="0.2">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row>
    <row r="532" spans="1:30" ht="15.75" customHeight="1" x14ac:dyDescent="0.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row>
    <row r="533" spans="1:30" ht="15.75" customHeight="1" x14ac:dyDescent="0.2">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row>
    <row r="534" spans="1:30" ht="15.75" customHeight="1" x14ac:dyDescent="0.2">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row>
    <row r="535" spans="1:30" ht="15.75" customHeight="1" x14ac:dyDescent="0.2">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row>
    <row r="536" spans="1:30" ht="15.75" customHeight="1" x14ac:dyDescent="0.2">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row>
    <row r="537" spans="1:30" ht="15.75" customHeight="1" x14ac:dyDescent="0.2">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row>
    <row r="538" spans="1:30" ht="15.75" customHeight="1" x14ac:dyDescent="0.2">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row>
    <row r="539" spans="1:30" ht="15.75" customHeight="1" x14ac:dyDescent="0.2">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row>
    <row r="540" spans="1:30" ht="15.75" customHeight="1" x14ac:dyDescent="0.2">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row>
    <row r="541" spans="1:30" ht="15.75" customHeight="1" x14ac:dyDescent="0.2">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row>
    <row r="542" spans="1:30" ht="15.75" customHeight="1" x14ac:dyDescent="0.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row>
    <row r="543" spans="1:30" ht="15.75" customHeight="1" x14ac:dyDescent="0.2">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row>
    <row r="544" spans="1:30" ht="15.75" customHeight="1" x14ac:dyDescent="0.2">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row>
    <row r="545" spans="1:30" ht="15.75" customHeight="1" x14ac:dyDescent="0.2">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row>
    <row r="546" spans="1:30" ht="15.75" customHeight="1" x14ac:dyDescent="0.2">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row>
    <row r="547" spans="1:30" ht="15.75" customHeight="1" x14ac:dyDescent="0.2">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row>
    <row r="548" spans="1:30" ht="15.75" customHeight="1" x14ac:dyDescent="0.2">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row>
    <row r="549" spans="1:30" ht="15.75" customHeight="1" x14ac:dyDescent="0.2">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row>
    <row r="550" spans="1:30" ht="15.75" customHeight="1" x14ac:dyDescent="0.2">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row>
    <row r="551" spans="1:30" ht="15.75" customHeight="1" x14ac:dyDescent="0.2">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row>
    <row r="552" spans="1:30" ht="15.75" customHeight="1" x14ac:dyDescent="0.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row>
    <row r="553" spans="1:30" ht="15.75" customHeight="1" x14ac:dyDescent="0.2">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row>
    <row r="554" spans="1:30" ht="15.75" customHeight="1" x14ac:dyDescent="0.2">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row>
    <row r="555" spans="1:30" ht="15.75" customHeight="1" x14ac:dyDescent="0.2">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row>
    <row r="556" spans="1:30" ht="15.75" customHeight="1" x14ac:dyDescent="0.2">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row>
    <row r="557" spans="1:30" ht="15.75" customHeight="1" x14ac:dyDescent="0.2">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row>
    <row r="558" spans="1:30" ht="15.75" customHeight="1" x14ac:dyDescent="0.2">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row>
    <row r="559" spans="1:30" ht="15.75" customHeight="1" x14ac:dyDescent="0.2">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row>
    <row r="560" spans="1:30" ht="15.75" customHeight="1" x14ac:dyDescent="0.2">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row>
    <row r="561" spans="1:30" ht="15.75" customHeight="1" x14ac:dyDescent="0.2">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row>
    <row r="562" spans="1:30" ht="15.75" customHeight="1" x14ac:dyDescent="0.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row>
    <row r="563" spans="1:30" ht="15.75" customHeight="1" x14ac:dyDescent="0.2">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row>
    <row r="564" spans="1:30" ht="15.75" customHeight="1" x14ac:dyDescent="0.2">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row>
    <row r="565" spans="1:30" ht="15.75" customHeight="1" x14ac:dyDescent="0.2">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row>
    <row r="566" spans="1:30" ht="15.75" customHeight="1" x14ac:dyDescent="0.2">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row>
    <row r="567" spans="1:30" ht="15.75" customHeight="1" x14ac:dyDescent="0.2">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row>
    <row r="568" spans="1:30" ht="15.75" customHeight="1" x14ac:dyDescent="0.2">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row>
    <row r="569" spans="1:30" ht="15.75" customHeight="1" x14ac:dyDescent="0.2">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row>
    <row r="570" spans="1:30" ht="15.75" customHeight="1" x14ac:dyDescent="0.2">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row>
    <row r="571" spans="1:30" ht="15.75" customHeight="1" x14ac:dyDescent="0.2">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row>
    <row r="572" spans="1:30" ht="15.75" customHeight="1" x14ac:dyDescent="0.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row>
    <row r="573" spans="1:30" ht="15.75" customHeight="1" x14ac:dyDescent="0.2">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row>
    <row r="574" spans="1:30" ht="15.75" customHeight="1" x14ac:dyDescent="0.2">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row>
    <row r="575" spans="1:30" ht="15.75" customHeight="1" x14ac:dyDescent="0.2">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row>
    <row r="576" spans="1:30" ht="15.75" customHeight="1" x14ac:dyDescent="0.2">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row>
    <row r="577" spans="1:30" ht="15.75" customHeight="1" x14ac:dyDescent="0.2">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row>
    <row r="578" spans="1:30" ht="15.75" customHeight="1" x14ac:dyDescent="0.2">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row>
    <row r="579" spans="1:30" ht="15.75" customHeight="1" x14ac:dyDescent="0.2">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row>
    <row r="580" spans="1:30" ht="15.75" customHeight="1" x14ac:dyDescent="0.2">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row>
    <row r="581" spans="1:30" ht="15.75" customHeight="1" x14ac:dyDescent="0.2">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row>
    <row r="582" spans="1:30" ht="15.75" customHeight="1" x14ac:dyDescent="0.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row>
    <row r="583" spans="1:30" ht="15.75" customHeight="1" x14ac:dyDescent="0.2">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row>
    <row r="584" spans="1:30" ht="15.75" customHeight="1" x14ac:dyDescent="0.2">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row>
    <row r="585" spans="1:30" ht="15.75" customHeight="1" x14ac:dyDescent="0.2">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row>
    <row r="586" spans="1:30" ht="15.75" customHeight="1" x14ac:dyDescent="0.2">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row>
    <row r="587" spans="1:30" ht="15.75" customHeight="1" x14ac:dyDescent="0.2">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row>
    <row r="588" spans="1:30" ht="15.75" customHeight="1" x14ac:dyDescent="0.2">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row>
    <row r="589" spans="1:30" ht="15.75" customHeight="1" x14ac:dyDescent="0.2">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row>
    <row r="590" spans="1:30" ht="15.75" customHeight="1" x14ac:dyDescent="0.2">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row>
    <row r="591" spans="1:30" ht="15.75" customHeight="1" x14ac:dyDescent="0.2">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row>
    <row r="592" spans="1:30" ht="15.75" customHeight="1" x14ac:dyDescent="0.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row>
    <row r="593" spans="1:30" ht="15.75" customHeight="1" x14ac:dyDescent="0.2">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row>
    <row r="594" spans="1:30" ht="15.75" customHeight="1" x14ac:dyDescent="0.2">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row>
    <row r="595" spans="1:30" ht="15.75" customHeight="1" x14ac:dyDescent="0.2">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row>
    <row r="596" spans="1:30" ht="15.75" customHeight="1" x14ac:dyDescent="0.2">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row>
    <row r="597" spans="1:30" ht="15.75" customHeight="1" x14ac:dyDescent="0.2">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row>
    <row r="598" spans="1:30" ht="15.75" customHeight="1" x14ac:dyDescent="0.2">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row>
    <row r="599" spans="1:30" ht="15.75" customHeight="1" x14ac:dyDescent="0.2">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row>
    <row r="600" spans="1:30" ht="15.75" customHeight="1" x14ac:dyDescent="0.2">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row>
    <row r="601" spans="1:30" ht="15.75" customHeight="1" x14ac:dyDescent="0.2">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row>
    <row r="602" spans="1:30" ht="15.75" customHeight="1" x14ac:dyDescent="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row>
    <row r="603" spans="1:30" ht="15.75" customHeight="1" x14ac:dyDescent="0.2">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row>
    <row r="604" spans="1:30" ht="15.75" customHeight="1" x14ac:dyDescent="0.2">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row>
    <row r="605" spans="1:30" ht="15.75" customHeight="1" x14ac:dyDescent="0.2">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row>
    <row r="606" spans="1:30" ht="15.75" customHeight="1" x14ac:dyDescent="0.2">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row>
    <row r="607" spans="1:30" ht="15.75" customHeight="1" x14ac:dyDescent="0.2">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row>
    <row r="608" spans="1:30" ht="15.75" customHeight="1" x14ac:dyDescent="0.2">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row>
    <row r="609" spans="1:30" ht="15.75" customHeight="1" x14ac:dyDescent="0.2">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row>
    <row r="610" spans="1:30" ht="15.75" customHeight="1" x14ac:dyDescent="0.2">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row>
    <row r="611" spans="1:30" ht="15.75" customHeight="1" x14ac:dyDescent="0.2">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row>
    <row r="612" spans="1:30" ht="15.75" customHeight="1" x14ac:dyDescent="0.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row>
    <row r="613" spans="1:30" ht="15.75" customHeight="1" x14ac:dyDescent="0.2">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row>
    <row r="614" spans="1:30" ht="15.75" customHeight="1" x14ac:dyDescent="0.2">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row>
    <row r="615" spans="1:30" ht="15.75" customHeight="1" x14ac:dyDescent="0.2">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row>
    <row r="616" spans="1:30" ht="15.75" customHeight="1" x14ac:dyDescent="0.2">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row>
    <row r="617" spans="1:30" ht="15.75" customHeight="1" x14ac:dyDescent="0.2">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row>
    <row r="618" spans="1:30" ht="15.75" customHeight="1" x14ac:dyDescent="0.2">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row>
    <row r="619" spans="1:30" ht="15.75" customHeight="1" x14ac:dyDescent="0.2">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row>
    <row r="620" spans="1:30" ht="15.75" customHeight="1" x14ac:dyDescent="0.2">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row>
    <row r="621" spans="1:30" ht="15.75" customHeight="1" x14ac:dyDescent="0.2">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row>
    <row r="622" spans="1:30" ht="15.75" customHeight="1" x14ac:dyDescent="0.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row>
    <row r="623" spans="1:30" ht="15.75" customHeight="1" x14ac:dyDescent="0.2">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row>
    <row r="624" spans="1:30" ht="15.75" customHeight="1" x14ac:dyDescent="0.2">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row>
    <row r="625" spans="1:30" ht="15.75" customHeight="1" x14ac:dyDescent="0.2">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row>
    <row r="626" spans="1:30" ht="15.75" customHeight="1" x14ac:dyDescent="0.2">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row>
    <row r="627" spans="1:30" ht="15.75" customHeight="1" x14ac:dyDescent="0.2">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row>
    <row r="628" spans="1:30" ht="15.75" customHeight="1" x14ac:dyDescent="0.2">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row>
    <row r="629" spans="1:30" ht="15.75" customHeight="1" x14ac:dyDescent="0.2">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row>
    <row r="630" spans="1:30" ht="15.75" customHeight="1" x14ac:dyDescent="0.2">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row>
    <row r="631" spans="1:30" ht="15.75" customHeight="1" x14ac:dyDescent="0.2">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row>
    <row r="632" spans="1:30" ht="15.75" customHeight="1" x14ac:dyDescent="0.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row>
    <row r="633" spans="1:30" ht="15.75" customHeight="1" x14ac:dyDescent="0.2">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row>
    <row r="634" spans="1:30" ht="15.75" customHeight="1" x14ac:dyDescent="0.2">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row>
    <row r="635" spans="1:30" ht="15.75" customHeight="1" x14ac:dyDescent="0.2">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row>
    <row r="636" spans="1:30" ht="15.75" customHeight="1" x14ac:dyDescent="0.2">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row>
    <row r="637" spans="1:30" ht="15.75" customHeight="1" x14ac:dyDescent="0.2">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row>
    <row r="638" spans="1:30" ht="15.75" customHeight="1" x14ac:dyDescent="0.2">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row>
    <row r="639" spans="1:30" ht="15.75" customHeight="1" x14ac:dyDescent="0.2">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row>
    <row r="640" spans="1:30" ht="15.75" customHeight="1" x14ac:dyDescent="0.2">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row>
    <row r="641" spans="1:30" ht="15.75" customHeight="1" x14ac:dyDescent="0.2">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row>
    <row r="642" spans="1:30" ht="15.75" customHeight="1" x14ac:dyDescent="0.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row>
    <row r="643" spans="1:30" ht="15.75" customHeight="1" x14ac:dyDescent="0.2">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row>
    <row r="644" spans="1:30" ht="15.75" customHeight="1" x14ac:dyDescent="0.2">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row>
    <row r="645" spans="1:30" ht="15.75" customHeight="1" x14ac:dyDescent="0.2">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row>
    <row r="646" spans="1:30" ht="15.75" customHeight="1" x14ac:dyDescent="0.2">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row>
    <row r="647" spans="1:30" ht="15.75" customHeight="1" x14ac:dyDescent="0.2">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row>
    <row r="648" spans="1:30" ht="15.75" customHeight="1" x14ac:dyDescent="0.2">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row>
    <row r="649" spans="1:30" ht="15.75" customHeight="1" x14ac:dyDescent="0.2">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row>
    <row r="650" spans="1:30" ht="15.75" customHeight="1" x14ac:dyDescent="0.2">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row>
    <row r="651" spans="1:30" ht="15.75" customHeight="1" x14ac:dyDescent="0.2">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row>
    <row r="652" spans="1:30" ht="15.75" customHeight="1" x14ac:dyDescent="0.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row>
    <row r="653" spans="1:30" ht="15.75" customHeight="1" x14ac:dyDescent="0.2">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row>
    <row r="654" spans="1:30" ht="15.75" customHeight="1" x14ac:dyDescent="0.2">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row>
    <row r="655" spans="1:30" ht="15.75" customHeight="1" x14ac:dyDescent="0.2">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row>
    <row r="656" spans="1:30" ht="15.75" customHeight="1" x14ac:dyDescent="0.2">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row>
    <row r="657" spans="1:30" ht="15.75" customHeight="1" x14ac:dyDescent="0.2">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row>
    <row r="658" spans="1:30" ht="15.75" customHeight="1" x14ac:dyDescent="0.2">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row>
    <row r="659" spans="1:30" ht="15.75" customHeight="1" x14ac:dyDescent="0.2">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row>
    <row r="660" spans="1:30" ht="15.75" customHeight="1" x14ac:dyDescent="0.2">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row>
    <row r="661" spans="1:30" ht="15.75" customHeight="1" x14ac:dyDescent="0.2">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row>
    <row r="662" spans="1:30" ht="15.75" customHeight="1" x14ac:dyDescent="0.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row>
    <row r="663" spans="1:30" ht="15.75" customHeight="1" x14ac:dyDescent="0.2">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row>
    <row r="664" spans="1:30" ht="15.75" customHeight="1" x14ac:dyDescent="0.2">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row>
    <row r="665" spans="1:30" ht="15.75" customHeight="1" x14ac:dyDescent="0.2">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row>
    <row r="666" spans="1:30" ht="15.75" customHeight="1" x14ac:dyDescent="0.2">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row>
    <row r="667" spans="1:30" ht="15.75" customHeight="1" x14ac:dyDescent="0.2">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row>
    <row r="668" spans="1:30" ht="15.75" customHeight="1" x14ac:dyDescent="0.2">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row>
    <row r="669" spans="1:30" ht="15.75" customHeight="1" x14ac:dyDescent="0.2">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row>
    <row r="670" spans="1:30" ht="15.75" customHeight="1" x14ac:dyDescent="0.2">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row>
    <row r="671" spans="1:30" ht="15.75" customHeight="1" x14ac:dyDescent="0.2">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row>
    <row r="672" spans="1:30" ht="15.75" customHeight="1" x14ac:dyDescent="0.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row>
    <row r="673" spans="1:30" ht="15.75" customHeight="1" x14ac:dyDescent="0.2">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row>
    <row r="674" spans="1:30" ht="15.75" customHeight="1" x14ac:dyDescent="0.2">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row>
    <row r="675" spans="1:30" ht="15.75" customHeight="1" x14ac:dyDescent="0.2">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row>
    <row r="676" spans="1:30" ht="15.75" customHeight="1" x14ac:dyDescent="0.2">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row>
    <row r="677" spans="1:30" ht="15.75" customHeight="1" x14ac:dyDescent="0.2">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row>
    <row r="678" spans="1:30" ht="15.75" customHeight="1" x14ac:dyDescent="0.2">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row>
    <row r="679" spans="1:30" ht="15.75" customHeight="1" x14ac:dyDescent="0.2">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row>
    <row r="680" spans="1:30" ht="15.75" customHeight="1" x14ac:dyDescent="0.2">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row>
    <row r="681" spans="1:30" ht="15.75" customHeight="1" x14ac:dyDescent="0.2">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row>
    <row r="682" spans="1:30" ht="15.75" customHeight="1" x14ac:dyDescent="0.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row>
    <row r="683" spans="1:30" ht="15.75" customHeight="1" x14ac:dyDescent="0.2">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row>
    <row r="684" spans="1:30" ht="15.75" customHeight="1" x14ac:dyDescent="0.2">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row>
    <row r="685" spans="1:30" ht="15.75" customHeight="1" x14ac:dyDescent="0.2">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row>
    <row r="686" spans="1:30" ht="15.75" customHeight="1" x14ac:dyDescent="0.2">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row>
    <row r="687" spans="1:30" ht="15.75" customHeight="1" x14ac:dyDescent="0.2">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row>
    <row r="688" spans="1:30" ht="15.75" customHeight="1" x14ac:dyDescent="0.2">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row>
    <row r="689" spans="1:30" ht="15.75" customHeight="1" x14ac:dyDescent="0.2">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row>
    <row r="690" spans="1:30" ht="15.75" customHeight="1" x14ac:dyDescent="0.2">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row>
    <row r="691" spans="1:30" ht="15.75" customHeight="1" x14ac:dyDescent="0.2">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row>
    <row r="692" spans="1:30" ht="15.75" customHeight="1" x14ac:dyDescent="0.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row>
    <row r="693" spans="1:30" ht="15.75" customHeight="1" x14ac:dyDescent="0.2">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row>
    <row r="694" spans="1:30" ht="15.75" customHeight="1" x14ac:dyDescent="0.2">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row>
    <row r="695" spans="1:30" ht="15.75" customHeight="1" x14ac:dyDescent="0.2">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row>
    <row r="696" spans="1:30" ht="15.75" customHeight="1" x14ac:dyDescent="0.2">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row>
    <row r="697" spans="1:30" ht="15.75" customHeight="1" x14ac:dyDescent="0.2">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row>
    <row r="698" spans="1:30" ht="15.75" customHeight="1" x14ac:dyDescent="0.2">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row>
    <row r="699" spans="1:30" ht="15.75" customHeight="1" x14ac:dyDescent="0.2">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row>
    <row r="700" spans="1:30" ht="15.75" customHeight="1" x14ac:dyDescent="0.2">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row>
    <row r="701" spans="1:30" ht="15.75" customHeight="1" x14ac:dyDescent="0.2">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row>
    <row r="702" spans="1:30" ht="15.75" customHeight="1" x14ac:dyDescent="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row>
    <row r="703" spans="1:30" ht="15.75" customHeight="1" x14ac:dyDescent="0.2">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row>
    <row r="704" spans="1:30" ht="15.75" customHeight="1" x14ac:dyDescent="0.2">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row>
    <row r="705" spans="1:30" ht="15.75" customHeight="1" x14ac:dyDescent="0.2">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row>
    <row r="706" spans="1:30" ht="15.75" customHeight="1" x14ac:dyDescent="0.2">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row>
    <row r="707" spans="1:30" ht="15.75" customHeight="1" x14ac:dyDescent="0.2">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row>
    <row r="708" spans="1:30" ht="15.75" customHeight="1" x14ac:dyDescent="0.2">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row>
    <row r="709" spans="1:30" ht="15.75" customHeight="1" x14ac:dyDescent="0.2">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row>
    <row r="710" spans="1:30" ht="15.75" customHeight="1" x14ac:dyDescent="0.2">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row>
    <row r="711" spans="1:30" ht="15.75" customHeight="1" x14ac:dyDescent="0.2">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row>
    <row r="712" spans="1:30" ht="15.75" customHeight="1" x14ac:dyDescent="0.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row>
    <row r="713" spans="1:30" ht="15.75" customHeight="1" x14ac:dyDescent="0.2">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row>
    <row r="714" spans="1:30" ht="15.75" customHeight="1" x14ac:dyDescent="0.2">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row>
    <row r="715" spans="1:30" ht="15.75" customHeight="1" x14ac:dyDescent="0.2">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row>
    <row r="716" spans="1:30" ht="15.75" customHeight="1" x14ac:dyDescent="0.2">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row>
    <row r="717" spans="1:30" ht="15.75" customHeight="1" x14ac:dyDescent="0.2">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row>
    <row r="718" spans="1:30" ht="15.75" customHeight="1" x14ac:dyDescent="0.2">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row>
    <row r="719" spans="1:30" ht="15.75" customHeight="1" x14ac:dyDescent="0.2">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row>
    <row r="720" spans="1:30" ht="15.75" customHeight="1" x14ac:dyDescent="0.2">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row>
    <row r="721" spans="1:30" ht="15.75" customHeight="1" x14ac:dyDescent="0.2">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row>
    <row r="722" spans="1:30" ht="15.75" customHeight="1" x14ac:dyDescent="0.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row>
    <row r="723" spans="1:30" ht="15.75" customHeight="1" x14ac:dyDescent="0.2">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row>
    <row r="724" spans="1:30" ht="15.75" customHeight="1" x14ac:dyDescent="0.2">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row>
    <row r="725" spans="1:30" ht="15.75" customHeight="1" x14ac:dyDescent="0.2">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row>
    <row r="726" spans="1:30" ht="15.75" customHeight="1" x14ac:dyDescent="0.2">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row>
    <row r="727" spans="1:30" ht="15.75" customHeight="1" x14ac:dyDescent="0.2">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row>
    <row r="728" spans="1:30" ht="15.75" customHeight="1" x14ac:dyDescent="0.2">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row>
    <row r="729" spans="1:30" ht="15.75" customHeight="1" x14ac:dyDescent="0.2">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row>
    <row r="730" spans="1:30" ht="15.75" customHeight="1" x14ac:dyDescent="0.2">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row>
    <row r="731" spans="1:30" ht="15.75" customHeight="1" x14ac:dyDescent="0.2">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row>
    <row r="732" spans="1:30" ht="15.75" customHeight="1" x14ac:dyDescent="0.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row>
    <row r="733" spans="1:30" ht="15.75" customHeight="1" x14ac:dyDescent="0.2">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row>
    <row r="734" spans="1:30" ht="15.75" customHeight="1" x14ac:dyDescent="0.2">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row>
    <row r="735" spans="1:30" ht="15.75" customHeight="1" x14ac:dyDescent="0.2">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row>
    <row r="736" spans="1:30" ht="15.75" customHeight="1" x14ac:dyDescent="0.2">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row>
    <row r="737" spans="1:30" ht="15.75" customHeight="1" x14ac:dyDescent="0.2">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row>
    <row r="738" spans="1:30" ht="15.75" customHeight="1" x14ac:dyDescent="0.2">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row>
    <row r="739" spans="1:30" ht="15.75" customHeight="1" x14ac:dyDescent="0.2">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row>
    <row r="740" spans="1:30" ht="15.75" customHeight="1" x14ac:dyDescent="0.2">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row>
    <row r="741" spans="1:30" ht="15.75" customHeight="1" x14ac:dyDescent="0.2">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row>
    <row r="742" spans="1:30" ht="15.75" customHeight="1" x14ac:dyDescent="0.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row>
    <row r="743" spans="1:30" ht="15.75" customHeight="1" x14ac:dyDescent="0.2">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row>
    <row r="744" spans="1:30" ht="15.75" customHeight="1" x14ac:dyDescent="0.2">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row>
    <row r="745" spans="1:30" ht="15.75" customHeight="1" x14ac:dyDescent="0.2">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row>
    <row r="746" spans="1:30" ht="15.75" customHeight="1" x14ac:dyDescent="0.2">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row>
    <row r="747" spans="1:30" ht="15.75" customHeight="1" x14ac:dyDescent="0.2">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row>
    <row r="748" spans="1:30" ht="15.75" customHeight="1" x14ac:dyDescent="0.2">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row>
    <row r="749" spans="1:30" ht="15.75" customHeight="1" x14ac:dyDescent="0.2">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row>
    <row r="750" spans="1:30" ht="15.75" customHeight="1" x14ac:dyDescent="0.2">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row>
    <row r="751" spans="1:30" ht="15.75" customHeight="1" x14ac:dyDescent="0.2">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row>
    <row r="752" spans="1:30" ht="15.75" customHeight="1" x14ac:dyDescent="0.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row>
    <row r="753" spans="1:30" ht="15.75" customHeight="1" x14ac:dyDescent="0.2">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row>
    <row r="754" spans="1:30" ht="15.75" customHeight="1" x14ac:dyDescent="0.2">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row>
    <row r="755" spans="1:30" ht="15.75" customHeight="1" x14ac:dyDescent="0.2">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row>
    <row r="756" spans="1:30" ht="15.75" customHeight="1" x14ac:dyDescent="0.2">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row>
    <row r="757" spans="1:30" ht="15.75" customHeight="1" x14ac:dyDescent="0.2">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row>
    <row r="758" spans="1:30" ht="15.75" customHeight="1" x14ac:dyDescent="0.2">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row>
    <row r="759" spans="1:30" ht="15.75" customHeight="1" x14ac:dyDescent="0.2">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row>
    <row r="760" spans="1:30" ht="15.75" customHeight="1" x14ac:dyDescent="0.2">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row>
    <row r="761" spans="1:30" ht="15.75" customHeight="1" x14ac:dyDescent="0.2">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row>
    <row r="762" spans="1:30" ht="15.75" customHeight="1" x14ac:dyDescent="0.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row>
    <row r="763" spans="1:30" ht="15.75" customHeight="1" x14ac:dyDescent="0.2">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row>
    <row r="764" spans="1:30" ht="15.75" customHeight="1" x14ac:dyDescent="0.2">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row>
    <row r="765" spans="1:30" ht="15.75" customHeight="1" x14ac:dyDescent="0.2">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row>
    <row r="766" spans="1:30" ht="15.75" customHeight="1" x14ac:dyDescent="0.2">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row>
    <row r="767" spans="1:30" ht="15.75" customHeight="1" x14ac:dyDescent="0.2">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row>
    <row r="768" spans="1:30" ht="15.75" customHeight="1" x14ac:dyDescent="0.2">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row>
    <row r="769" spans="1:30" ht="15.75" customHeight="1" x14ac:dyDescent="0.2">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row>
    <row r="770" spans="1:30" ht="15.75" customHeight="1" x14ac:dyDescent="0.2">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row>
    <row r="771" spans="1:30" ht="15.75" customHeight="1" x14ac:dyDescent="0.2">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row>
    <row r="772" spans="1:30" ht="15.75" customHeight="1" x14ac:dyDescent="0.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row>
    <row r="773" spans="1:30" ht="15.75" customHeight="1" x14ac:dyDescent="0.2">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row>
    <row r="774" spans="1:30" ht="15.75" customHeight="1" x14ac:dyDescent="0.2">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row>
    <row r="775" spans="1:30" ht="15.75" customHeight="1" x14ac:dyDescent="0.2">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row>
    <row r="776" spans="1:30" ht="15.75" customHeight="1" x14ac:dyDescent="0.2">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row>
    <row r="777" spans="1:30" ht="15.75" customHeight="1" x14ac:dyDescent="0.2">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row>
    <row r="778" spans="1:30" ht="15.75" customHeight="1" x14ac:dyDescent="0.2">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row>
    <row r="779" spans="1:30" ht="15.75" customHeight="1" x14ac:dyDescent="0.2">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row>
    <row r="780" spans="1:30" ht="15.75" customHeight="1" x14ac:dyDescent="0.2">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row>
    <row r="781" spans="1:30" ht="15.75" customHeight="1" x14ac:dyDescent="0.2">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row>
    <row r="782" spans="1:30" ht="15.75" customHeight="1" x14ac:dyDescent="0.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row>
    <row r="783" spans="1:30" ht="15.75" customHeight="1" x14ac:dyDescent="0.2">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row>
    <row r="784" spans="1:30" ht="15.75" customHeight="1" x14ac:dyDescent="0.2">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row>
    <row r="785" spans="1:30" ht="15.75" customHeight="1" x14ac:dyDescent="0.2">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row>
    <row r="786" spans="1:30" ht="15.75" customHeight="1" x14ac:dyDescent="0.2">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row>
    <row r="787" spans="1:30" ht="15.75" customHeight="1" x14ac:dyDescent="0.2">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row>
    <row r="788" spans="1:30" ht="15.75" customHeight="1" x14ac:dyDescent="0.2">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row>
    <row r="789" spans="1:30" ht="15.75" customHeight="1" x14ac:dyDescent="0.2">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row>
    <row r="790" spans="1:30" ht="15.75" customHeight="1" x14ac:dyDescent="0.2">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row>
    <row r="791" spans="1:30" ht="15.75" customHeight="1" x14ac:dyDescent="0.2">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row>
    <row r="792" spans="1:30" ht="15.75" customHeight="1" x14ac:dyDescent="0.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row>
    <row r="793" spans="1:30" ht="15.75" customHeight="1" x14ac:dyDescent="0.2">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row>
    <row r="794" spans="1:30" ht="15.75" customHeight="1" x14ac:dyDescent="0.2">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row>
    <row r="795" spans="1:30" ht="15.75" customHeight="1" x14ac:dyDescent="0.2">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row>
    <row r="796" spans="1:30" ht="15.75" customHeight="1" x14ac:dyDescent="0.2">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row>
    <row r="797" spans="1:30" ht="15.75" customHeight="1" x14ac:dyDescent="0.2">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row>
    <row r="798" spans="1:30" ht="15.75" customHeight="1" x14ac:dyDescent="0.2">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row>
    <row r="799" spans="1:30" ht="15.75" customHeight="1" x14ac:dyDescent="0.2">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row>
    <row r="800" spans="1:30" ht="15.75" customHeight="1" x14ac:dyDescent="0.2">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row>
    <row r="801" spans="1:30" ht="15.75" customHeight="1" x14ac:dyDescent="0.2">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row>
    <row r="802" spans="1:30" ht="15.75" customHeight="1" x14ac:dyDescent="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row>
    <row r="803" spans="1:30" ht="15.75" customHeight="1" x14ac:dyDescent="0.2">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row>
    <row r="804" spans="1:30" ht="15.75" customHeight="1" x14ac:dyDescent="0.2">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row>
    <row r="805" spans="1:30" ht="15.75" customHeight="1" x14ac:dyDescent="0.2">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row>
    <row r="806" spans="1:30" ht="15.75" customHeight="1" x14ac:dyDescent="0.2">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row>
    <row r="807" spans="1:30" ht="15.75" customHeight="1" x14ac:dyDescent="0.2">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row>
    <row r="808" spans="1:30" ht="15.75" customHeight="1" x14ac:dyDescent="0.2">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row>
    <row r="809" spans="1:30" ht="15.75" customHeight="1" x14ac:dyDescent="0.2">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row>
    <row r="810" spans="1:30" ht="15.75" customHeight="1" x14ac:dyDescent="0.2">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row>
    <row r="811" spans="1:30" ht="15.75" customHeight="1" x14ac:dyDescent="0.2">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row>
    <row r="812" spans="1:30" ht="15.75" customHeight="1" x14ac:dyDescent="0.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row>
    <row r="813" spans="1:30" ht="15.75" customHeight="1" x14ac:dyDescent="0.2">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row>
    <row r="814" spans="1:30" ht="15.75" customHeight="1" x14ac:dyDescent="0.2">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row>
    <row r="815" spans="1:30" ht="15.75" customHeight="1" x14ac:dyDescent="0.2">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row>
    <row r="816" spans="1:30" ht="15.75" customHeight="1" x14ac:dyDescent="0.2">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row>
    <row r="817" spans="1:30" ht="15.75" customHeight="1" x14ac:dyDescent="0.2">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row>
    <row r="818" spans="1:30" ht="15.75" customHeight="1" x14ac:dyDescent="0.2">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row>
    <row r="819" spans="1:30" ht="15.75" customHeight="1" x14ac:dyDescent="0.2">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row>
    <row r="820" spans="1:30" ht="15.75" customHeight="1" x14ac:dyDescent="0.2">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row>
    <row r="821" spans="1:30" ht="15.75" customHeight="1" x14ac:dyDescent="0.2">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row>
    <row r="822" spans="1:30" ht="15.75" customHeight="1" x14ac:dyDescent="0.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row>
    <row r="823" spans="1:30" ht="15.75" customHeight="1" x14ac:dyDescent="0.2">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row>
    <row r="824" spans="1:30" ht="15.75" customHeight="1" x14ac:dyDescent="0.2">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row>
    <row r="825" spans="1:30" ht="15.75" customHeight="1" x14ac:dyDescent="0.2">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row>
    <row r="826" spans="1:30" ht="15.75" customHeight="1" x14ac:dyDescent="0.2">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row>
    <row r="827" spans="1:30" ht="15.75" customHeight="1" x14ac:dyDescent="0.2">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row>
    <row r="828" spans="1:30" ht="15.75" customHeight="1" x14ac:dyDescent="0.2">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row>
    <row r="829" spans="1:30" ht="15.75" customHeight="1" x14ac:dyDescent="0.2">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row>
    <row r="830" spans="1:30" ht="15.75" customHeight="1" x14ac:dyDescent="0.2">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row>
    <row r="831" spans="1:30" ht="15.75" customHeight="1" x14ac:dyDescent="0.2">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row>
    <row r="832" spans="1:30" ht="15.75" customHeight="1" x14ac:dyDescent="0.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row>
    <row r="833" spans="1:30" ht="15.75" customHeight="1" x14ac:dyDescent="0.2">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row>
    <row r="834" spans="1:30" ht="15.75" customHeight="1" x14ac:dyDescent="0.2">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row>
    <row r="835" spans="1:30" ht="15.75" customHeight="1" x14ac:dyDescent="0.2">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row>
    <row r="836" spans="1:30" ht="15.75" customHeight="1" x14ac:dyDescent="0.2">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row>
    <row r="837" spans="1:30" ht="15.75" customHeight="1" x14ac:dyDescent="0.2">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row>
    <row r="838" spans="1:30" ht="15.75" customHeight="1" x14ac:dyDescent="0.2">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row>
    <row r="839" spans="1:30" ht="15.75" customHeight="1" x14ac:dyDescent="0.2">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row>
    <row r="840" spans="1:30" ht="15.75" customHeight="1" x14ac:dyDescent="0.2">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row>
    <row r="841" spans="1:30" ht="15.75" customHeight="1" x14ac:dyDescent="0.2">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row>
    <row r="842" spans="1:30" ht="15.75" customHeight="1" x14ac:dyDescent="0.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row>
    <row r="843" spans="1:30" ht="15.75" customHeight="1" x14ac:dyDescent="0.2">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row>
    <row r="844" spans="1:30" ht="15.75" customHeight="1" x14ac:dyDescent="0.2">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row>
    <row r="845" spans="1:30" ht="15.75" customHeight="1" x14ac:dyDescent="0.2">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row>
    <row r="846" spans="1:30" ht="15.75" customHeight="1" x14ac:dyDescent="0.2">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row>
    <row r="847" spans="1:30" ht="15.75" customHeight="1" x14ac:dyDescent="0.2">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row>
    <row r="848" spans="1:30" ht="15.75" customHeight="1" x14ac:dyDescent="0.2">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row>
    <row r="849" spans="1:30" ht="15.75" customHeight="1" x14ac:dyDescent="0.2">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row>
    <row r="850" spans="1:30" ht="15.75" customHeight="1" x14ac:dyDescent="0.2">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row>
    <row r="851" spans="1:30" ht="15.75" customHeight="1" x14ac:dyDescent="0.2">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row>
    <row r="852" spans="1:30" ht="15.75" customHeight="1" x14ac:dyDescent="0.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row>
    <row r="853" spans="1:30" ht="15.75" customHeight="1" x14ac:dyDescent="0.2">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row>
    <row r="854" spans="1:30" ht="15.75" customHeight="1" x14ac:dyDescent="0.2">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row>
    <row r="855" spans="1:30" ht="15.75" customHeight="1" x14ac:dyDescent="0.2">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row>
    <row r="856" spans="1:30" ht="15.75" customHeight="1" x14ac:dyDescent="0.2">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row>
    <row r="857" spans="1:30" ht="15.75" customHeight="1" x14ac:dyDescent="0.2">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row>
    <row r="858" spans="1:30" ht="15.75" customHeight="1" x14ac:dyDescent="0.2">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row>
    <row r="859" spans="1:30" ht="15.75" customHeight="1" x14ac:dyDescent="0.2">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row>
    <row r="860" spans="1:30" ht="15.75" customHeight="1" x14ac:dyDescent="0.2">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row>
    <row r="861" spans="1:30" ht="15.75" customHeight="1" x14ac:dyDescent="0.2">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row>
    <row r="862" spans="1:30" ht="15.75" customHeight="1" x14ac:dyDescent="0.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row>
    <row r="863" spans="1:30" ht="15.75" customHeight="1" x14ac:dyDescent="0.2">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row>
    <row r="864" spans="1:30" ht="15.75" customHeight="1" x14ac:dyDescent="0.2">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row>
    <row r="865" spans="1:30" ht="15.75" customHeight="1" x14ac:dyDescent="0.2">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row>
    <row r="866" spans="1:30" ht="15.75" customHeight="1" x14ac:dyDescent="0.2">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row>
    <row r="867" spans="1:30" ht="15.75" customHeight="1" x14ac:dyDescent="0.2">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row>
    <row r="868" spans="1:30" ht="15.75" customHeight="1" x14ac:dyDescent="0.2">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row>
    <row r="869" spans="1:30" ht="15.75" customHeight="1" x14ac:dyDescent="0.2">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row>
    <row r="870" spans="1:30" ht="15.75" customHeight="1" x14ac:dyDescent="0.2">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row>
    <row r="871" spans="1:30" ht="15.75" customHeight="1" x14ac:dyDescent="0.2">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row>
    <row r="872" spans="1:30" ht="15.75" customHeight="1" x14ac:dyDescent="0.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row>
    <row r="873" spans="1:30" ht="15.75" customHeight="1" x14ac:dyDescent="0.2">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row>
    <row r="874" spans="1:30" ht="15.75" customHeight="1" x14ac:dyDescent="0.2">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row>
    <row r="875" spans="1:30" ht="15.75" customHeight="1" x14ac:dyDescent="0.2">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row>
    <row r="876" spans="1:30" ht="15.75" customHeight="1" x14ac:dyDescent="0.2">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row>
    <row r="877" spans="1:30" ht="15.75" customHeight="1" x14ac:dyDescent="0.2">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row>
    <row r="878" spans="1:30" ht="15.75" customHeight="1" x14ac:dyDescent="0.2">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row>
    <row r="879" spans="1:30" ht="15.75" customHeight="1" x14ac:dyDescent="0.2">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row>
    <row r="880" spans="1:30" ht="15.75" customHeight="1" x14ac:dyDescent="0.2">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row>
    <row r="881" spans="1:30" ht="15.75" customHeight="1" x14ac:dyDescent="0.2">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row>
    <row r="882" spans="1:30" ht="15.75" customHeight="1" x14ac:dyDescent="0.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row>
    <row r="883" spans="1:30" ht="15.75" customHeight="1" x14ac:dyDescent="0.2">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row>
    <row r="884" spans="1:30" ht="15.75" customHeight="1" x14ac:dyDescent="0.2">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row>
    <row r="885" spans="1:30" ht="15.75" customHeight="1" x14ac:dyDescent="0.2">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row>
    <row r="886" spans="1:30" ht="15.75" customHeight="1" x14ac:dyDescent="0.2">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row>
    <row r="887" spans="1:30" ht="15.75" customHeight="1" x14ac:dyDescent="0.2">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row>
    <row r="888" spans="1:30" ht="15.75" customHeight="1" x14ac:dyDescent="0.2">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row>
    <row r="889" spans="1:30" ht="15.75" customHeight="1" x14ac:dyDescent="0.2">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row>
    <row r="890" spans="1:30" ht="15.75" customHeight="1" x14ac:dyDescent="0.2">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row>
    <row r="891" spans="1:30" ht="15.75" customHeight="1" x14ac:dyDescent="0.2">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row>
    <row r="892" spans="1:30" ht="15.75" customHeight="1" x14ac:dyDescent="0.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row>
    <row r="893" spans="1:30" ht="15.75" customHeight="1" x14ac:dyDescent="0.2">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row>
    <row r="894" spans="1:30" ht="15.75" customHeight="1" x14ac:dyDescent="0.2">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row>
    <row r="895" spans="1:30" ht="15.75" customHeight="1" x14ac:dyDescent="0.2">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row>
    <row r="896" spans="1:30" ht="15.75" customHeight="1" x14ac:dyDescent="0.2">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row>
    <row r="897" spans="1:30" ht="15.75" customHeight="1" x14ac:dyDescent="0.2">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row>
    <row r="898" spans="1:30" ht="15.75" customHeight="1" x14ac:dyDescent="0.2">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row>
    <row r="899" spans="1:30" ht="15.75" customHeight="1" x14ac:dyDescent="0.2">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row>
    <row r="900" spans="1:30" ht="15.75" customHeight="1" x14ac:dyDescent="0.2">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row>
    <row r="901" spans="1:30" ht="15.75" customHeight="1" x14ac:dyDescent="0.2">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row>
    <row r="902" spans="1:30" ht="15.75" customHeight="1" x14ac:dyDescent="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row>
    <row r="903" spans="1:30" ht="15.75" customHeight="1" x14ac:dyDescent="0.2">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row>
    <row r="904" spans="1:30" ht="15.75" customHeight="1" x14ac:dyDescent="0.2">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row>
    <row r="905" spans="1:30" ht="15.75" customHeight="1" x14ac:dyDescent="0.2">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row>
    <row r="906" spans="1:30" ht="15.75" customHeight="1" x14ac:dyDescent="0.2">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row>
    <row r="907" spans="1:30" ht="15.75" customHeight="1" x14ac:dyDescent="0.2">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row>
    <row r="908" spans="1:30" ht="15.75" customHeight="1" x14ac:dyDescent="0.2">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row>
    <row r="909" spans="1:30" ht="15.75" customHeight="1" x14ac:dyDescent="0.2">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row>
    <row r="910" spans="1:30" ht="15.75" customHeight="1" x14ac:dyDescent="0.2">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row>
    <row r="911" spans="1:30" ht="15.75" customHeight="1" x14ac:dyDescent="0.2">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row>
    <row r="912" spans="1:30" ht="15.75" customHeight="1" x14ac:dyDescent="0.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row>
    <row r="913" spans="1:30" ht="15.75" customHeight="1" x14ac:dyDescent="0.2">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row>
    <row r="914" spans="1:30" ht="15.75" customHeight="1" x14ac:dyDescent="0.2">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row>
    <row r="915" spans="1:30" ht="15.75" customHeight="1" x14ac:dyDescent="0.2">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row>
    <row r="916" spans="1:30" ht="15.75" customHeight="1" x14ac:dyDescent="0.2">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row>
    <row r="917" spans="1:30" ht="15.75" customHeight="1" x14ac:dyDescent="0.2">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row>
    <row r="918" spans="1:30" ht="15.75" customHeight="1" x14ac:dyDescent="0.2">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row>
    <row r="919" spans="1:30" ht="15.75" customHeight="1" x14ac:dyDescent="0.2">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row>
    <row r="920" spans="1:30" ht="15.75" customHeight="1" x14ac:dyDescent="0.2">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row>
    <row r="921" spans="1:30" ht="15.75" customHeight="1" x14ac:dyDescent="0.2">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row>
    <row r="922" spans="1:30" ht="15.75" customHeight="1" x14ac:dyDescent="0.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row>
    <row r="923" spans="1:30" ht="15.75" customHeight="1" x14ac:dyDescent="0.2">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row>
    <row r="924" spans="1:30" ht="15.75" customHeight="1" x14ac:dyDescent="0.2">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row>
    <row r="925" spans="1:30" ht="15.75" customHeight="1" x14ac:dyDescent="0.2">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row>
    <row r="926" spans="1:30" ht="15.75" customHeight="1" x14ac:dyDescent="0.2">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row>
    <row r="927" spans="1:30" ht="15.75" customHeight="1" x14ac:dyDescent="0.2">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row>
    <row r="928" spans="1:30" ht="15.75" customHeight="1" x14ac:dyDescent="0.2">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row>
    <row r="929" spans="1:30" ht="15.75" customHeight="1" x14ac:dyDescent="0.2">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row>
    <row r="930" spans="1:30" ht="15.75" customHeight="1" x14ac:dyDescent="0.2">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row>
    <row r="931" spans="1:30" ht="15.75" customHeight="1" x14ac:dyDescent="0.2">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row>
    <row r="932" spans="1:30" ht="15.75" customHeight="1" x14ac:dyDescent="0.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row>
    <row r="933" spans="1:30" ht="15.75" customHeight="1" x14ac:dyDescent="0.2">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row>
    <row r="934" spans="1:30" ht="15.75" customHeight="1" x14ac:dyDescent="0.2">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row>
    <row r="935" spans="1:30" ht="15.75" customHeight="1" x14ac:dyDescent="0.2">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row>
    <row r="936" spans="1:30" ht="15.75" customHeight="1" x14ac:dyDescent="0.2">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row>
    <row r="937" spans="1:30" ht="15.75" customHeight="1" x14ac:dyDescent="0.2">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row>
    <row r="938" spans="1:30" ht="15.75" customHeight="1" x14ac:dyDescent="0.2">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row>
    <row r="939" spans="1:30" ht="15.75" customHeight="1" x14ac:dyDescent="0.2">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row>
    <row r="940" spans="1:30" ht="15.75" customHeight="1" x14ac:dyDescent="0.2">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row>
    <row r="941" spans="1:30" ht="15.75" customHeight="1" x14ac:dyDescent="0.2">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row>
    <row r="942" spans="1:30" ht="15.75" customHeight="1" x14ac:dyDescent="0.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row>
    <row r="943" spans="1:30" ht="15.75" customHeight="1" x14ac:dyDescent="0.2">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row>
    <row r="944" spans="1:30" ht="15.75" customHeight="1" x14ac:dyDescent="0.2">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row>
    <row r="945" spans="1:30" ht="15.75" customHeight="1" x14ac:dyDescent="0.2">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row>
    <row r="946" spans="1:30" ht="15.75" customHeight="1" x14ac:dyDescent="0.2">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row>
    <row r="947" spans="1:30" ht="15.75" customHeight="1" x14ac:dyDescent="0.2">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row>
    <row r="948" spans="1:30" ht="15.75" customHeight="1" x14ac:dyDescent="0.2">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row>
    <row r="949" spans="1:30" ht="15.75" customHeight="1" x14ac:dyDescent="0.2">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row>
    <row r="950" spans="1:30" ht="15.75" customHeight="1" x14ac:dyDescent="0.2">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row>
    <row r="951" spans="1:30" ht="15.75" customHeight="1" x14ac:dyDescent="0.2">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row>
    <row r="952" spans="1:30" ht="15.75" customHeight="1" x14ac:dyDescent="0.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row>
    <row r="953" spans="1:30" ht="15.75" customHeight="1" x14ac:dyDescent="0.2">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row>
    <row r="954" spans="1:30" ht="15.75" customHeight="1" x14ac:dyDescent="0.2">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row>
    <row r="955" spans="1:30" ht="15.75" customHeight="1" x14ac:dyDescent="0.2">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row>
    <row r="956" spans="1:30" ht="15.75" customHeight="1" x14ac:dyDescent="0.2">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row>
    <row r="957" spans="1:30" ht="15.75" customHeight="1" x14ac:dyDescent="0.2">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row>
    <row r="958" spans="1:30" ht="15.75" customHeight="1" x14ac:dyDescent="0.2">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row>
    <row r="959" spans="1:30" ht="15.75" customHeight="1" x14ac:dyDescent="0.2">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row>
    <row r="960" spans="1:30" ht="15.75" customHeight="1" x14ac:dyDescent="0.2">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row>
    <row r="961" spans="1:30" ht="15.75" customHeight="1" x14ac:dyDescent="0.2">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row>
    <row r="962" spans="1:30" ht="15.75" customHeight="1" x14ac:dyDescent="0.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row>
    <row r="963" spans="1:30" ht="15.75" customHeight="1" x14ac:dyDescent="0.2">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row>
    <row r="964" spans="1:30" ht="15.75" customHeight="1" x14ac:dyDescent="0.2">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row>
    <row r="965" spans="1:30" ht="15.75" customHeight="1" x14ac:dyDescent="0.2">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row>
    <row r="966" spans="1:30" ht="15.75" customHeight="1" x14ac:dyDescent="0.2">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row>
    <row r="967" spans="1:30" ht="15.75" customHeight="1" x14ac:dyDescent="0.2">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row>
    <row r="968" spans="1:30" ht="15.75" customHeight="1" x14ac:dyDescent="0.2">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row>
    <row r="969" spans="1:30" ht="15.75" customHeight="1" x14ac:dyDescent="0.2">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row>
    <row r="970" spans="1:30" ht="15.75" customHeight="1" x14ac:dyDescent="0.2">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row>
    <row r="971" spans="1:30" ht="15.75" customHeight="1" x14ac:dyDescent="0.2">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row>
    <row r="972" spans="1:30" ht="15.75" customHeight="1" x14ac:dyDescent="0.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row>
    <row r="973" spans="1:30" ht="15.75" customHeight="1" x14ac:dyDescent="0.2">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row>
    <row r="974" spans="1:30" ht="15.75" customHeight="1" x14ac:dyDescent="0.2">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row>
    <row r="975" spans="1:30" ht="15.75" customHeight="1" x14ac:dyDescent="0.2">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row>
    <row r="976" spans="1:30" ht="15.75" customHeight="1" x14ac:dyDescent="0.2">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row>
    <row r="977" spans="1:30" ht="15.75" customHeight="1" x14ac:dyDescent="0.2">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row>
    <row r="978" spans="1:30" ht="15.75" customHeight="1" x14ac:dyDescent="0.2">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row>
    <row r="979" spans="1:30" ht="15.75" customHeight="1" x14ac:dyDescent="0.2">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row>
    <row r="980" spans="1:30" ht="15.75" customHeight="1" x14ac:dyDescent="0.2">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row>
    <row r="981" spans="1:30" ht="15.75" customHeight="1" x14ac:dyDescent="0.2">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row>
    <row r="982" spans="1:30" ht="15.75" customHeight="1" x14ac:dyDescent="0.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row>
    <row r="983" spans="1:30" ht="15.75" customHeight="1" x14ac:dyDescent="0.2">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row>
    <row r="984" spans="1:30" ht="15.75" customHeight="1" x14ac:dyDescent="0.2">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row>
    <row r="985" spans="1:30" ht="15.75" customHeight="1" x14ac:dyDescent="0.2">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row>
    <row r="986" spans="1:30" ht="15.75" customHeight="1" x14ac:dyDescent="0.2">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row>
    <row r="987" spans="1:30" ht="15.75" customHeight="1" x14ac:dyDescent="0.2">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row>
    <row r="988" spans="1:30" ht="15.75" customHeight="1" x14ac:dyDescent="0.2">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row>
    <row r="989" spans="1:30" ht="15.75" customHeight="1" x14ac:dyDescent="0.2">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row>
    <row r="990" spans="1:30" ht="15.75" customHeight="1" x14ac:dyDescent="0.2">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row>
    <row r="991" spans="1:30" ht="15.75" customHeight="1" x14ac:dyDescent="0.2">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row>
    <row r="992" spans="1:30" ht="15.75" customHeight="1" x14ac:dyDescent="0.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row>
    <row r="993" spans="1:30" ht="15.75" customHeight="1" x14ac:dyDescent="0.2">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row>
    <row r="994" spans="1:30" ht="15.75" customHeight="1" x14ac:dyDescent="0.2">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row>
    <row r="995" spans="1:30" ht="15.75" customHeight="1" x14ac:dyDescent="0.2">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row>
    <row r="996" spans="1:30" ht="15.75" customHeight="1" x14ac:dyDescent="0.2">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row>
    <row r="997" spans="1:30" ht="15.75" customHeight="1" x14ac:dyDescent="0.2">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row>
    <row r="998" spans="1:30" ht="15.75" customHeight="1" x14ac:dyDescent="0.2">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row>
    <row r="999" spans="1:30" ht="15.75" customHeight="1" x14ac:dyDescent="0.2">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row>
    <row r="1000" spans="1:30" ht="15.75" customHeight="1" x14ac:dyDescent="0.2">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row>
  </sheetData>
  <mergeCells count="1">
    <mergeCell ref="B77:AD77"/>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BE1000"/>
  <sheetViews>
    <sheetView topLeftCell="Y1" workbookViewId="0">
      <selection activeCell="AL1" sqref="AL1:BE3"/>
    </sheetView>
  </sheetViews>
  <sheetFormatPr baseColWidth="10" defaultColWidth="14.5" defaultRowHeight="15" customHeight="1" x14ac:dyDescent="0.2"/>
  <cols>
    <col min="1" max="1" width="39.6640625" customWidth="1"/>
    <col min="2" max="37" width="10.1640625" customWidth="1"/>
  </cols>
  <sheetData>
    <row r="1" spans="1:57" ht="14.25" customHeight="1" x14ac:dyDescent="0.2">
      <c r="A1" s="2" t="s">
        <v>221</v>
      </c>
      <c r="B1" s="2">
        <v>2015</v>
      </c>
      <c r="C1" s="2">
        <v>2016</v>
      </c>
      <c r="D1" s="2">
        <v>2017</v>
      </c>
      <c r="E1" s="2">
        <v>2018</v>
      </c>
      <c r="F1" s="2">
        <v>2019</v>
      </c>
      <c r="G1" s="2">
        <v>2020</v>
      </c>
      <c r="H1" s="2">
        <v>2021</v>
      </c>
      <c r="I1" s="2">
        <v>2022</v>
      </c>
      <c r="J1" s="2">
        <v>2023</v>
      </c>
      <c r="K1" s="2">
        <v>2024</v>
      </c>
      <c r="L1" s="2">
        <v>2025</v>
      </c>
      <c r="M1" s="2">
        <v>2026</v>
      </c>
      <c r="N1" s="2">
        <v>2027</v>
      </c>
      <c r="O1" s="2">
        <v>2028</v>
      </c>
      <c r="P1" s="2">
        <v>2029</v>
      </c>
      <c r="Q1" s="2">
        <v>2030</v>
      </c>
      <c r="R1" s="2">
        <v>2031</v>
      </c>
      <c r="S1" s="2">
        <v>2032</v>
      </c>
      <c r="T1" s="2">
        <v>2033</v>
      </c>
      <c r="U1" s="2">
        <v>2034</v>
      </c>
      <c r="V1" s="2">
        <v>2035</v>
      </c>
      <c r="W1" s="2">
        <v>2036</v>
      </c>
      <c r="X1" s="2">
        <v>2037</v>
      </c>
      <c r="Y1" s="2">
        <v>2038</v>
      </c>
      <c r="Z1" s="2">
        <v>2039</v>
      </c>
      <c r="AA1" s="2">
        <v>2040</v>
      </c>
      <c r="AB1" s="2">
        <v>2041</v>
      </c>
      <c r="AC1" s="2">
        <v>2042</v>
      </c>
      <c r="AD1" s="2">
        <v>2043</v>
      </c>
      <c r="AE1" s="2">
        <v>2044</v>
      </c>
      <c r="AF1" s="2">
        <v>2045</v>
      </c>
      <c r="AG1" s="2">
        <v>2046</v>
      </c>
      <c r="AH1" s="2">
        <v>2047</v>
      </c>
      <c r="AI1" s="2">
        <v>2048</v>
      </c>
      <c r="AJ1" s="2">
        <v>2049</v>
      </c>
      <c r="AK1" s="2">
        <v>2050</v>
      </c>
      <c r="AL1">
        <v>2051</v>
      </c>
      <c r="AM1">
        <v>2052</v>
      </c>
      <c r="AN1">
        <v>2053</v>
      </c>
      <c r="AO1">
        <v>2054</v>
      </c>
      <c r="AP1">
        <v>2055</v>
      </c>
      <c r="AQ1">
        <v>2056</v>
      </c>
      <c r="AR1">
        <v>2057</v>
      </c>
      <c r="AS1">
        <v>2058</v>
      </c>
      <c r="AT1">
        <v>2059</v>
      </c>
      <c r="AU1">
        <v>2060</v>
      </c>
      <c r="AV1">
        <v>2061</v>
      </c>
      <c r="AW1">
        <v>2062</v>
      </c>
      <c r="AX1">
        <v>2063</v>
      </c>
      <c r="AY1">
        <v>2064</v>
      </c>
      <c r="AZ1">
        <v>2065</v>
      </c>
      <c r="BA1">
        <v>2066</v>
      </c>
      <c r="BB1">
        <v>2067</v>
      </c>
      <c r="BC1">
        <v>2068</v>
      </c>
      <c r="BD1">
        <v>2069</v>
      </c>
      <c r="BE1">
        <v>2070</v>
      </c>
    </row>
    <row r="2" spans="1:57" ht="14.25" customHeight="1" x14ac:dyDescent="0.2">
      <c r="A2" s="2" t="s">
        <v>222</v>
      </c>
      <c r="B2" s="18">
        <f>HEESI!G8</f>
        <v>20554091290050</v>
      </c>
      <c r="C2" s="18">
        <f t="shared" ref="C2:AK2" si="0">B2</f>
        <v>20554091290050</v>
      </c>
      <c r="D2" s="18">
        <f t="shared" si="0"/>
        <v>20554091290050</v>
      </c>
      <c r="E2" s="18">
        <f t="shared" si="0"/>
        <v>20554091290050</v>
      </c>
      <c r="F2" s="18">
        <f t="shared" si="0"/>
        <v>20554091290050</v>
      </c>
      <c r="G2" s="18">
        <f t="shared" si="0"/>
        <v>20554091290050</v>
      </c>
      <c r="H2" s="18">
        <f t="shared" si="0"/>
        <v>20554091290050</v>
      </c>
      <c r="I2" s="18">
        <f t="shared" si="0"/>
        <v>20554091290050</v>
      </c>
      <c r="J2" s="18">
        <f t="shared" si="0"/>
        <v>20554091290050</v>
      </c>
      <c r="K2" s="18">
        <f t="shared" si="0"/>
        <v>20554091290050</v>
      </c>
      <c r="L2" s="18">
        <f t="shared" si="0"/>
        <v>20554091290050</v>
      </c>
      <c r="M2" s="18">
        <f t="shared" si="0"/>
        <v>20554091290050</v>
      </c>
      <c r="N2" s="18">
        <f t="shared" si="0"/>
        <v>20554091290050</v>
      </c>
      <c r="O2" s="18">
        <f t="shared" si="0"/>
        <v>20554091290050</v>
      </c>
      <c r="P2" s="18">
        <f t="shared" si="0"/>
        <v>20554091290050</v>
      </c>
      <c r="Q2" s="18">
        <f t="shared" si="0"/>
        <v>20554091290050</v>
      </c>
      <c r="R2" s="18">
        <f t="shared" si="0"/>
        <v>20554091290050</v>
      </c>
      <c r="S2" s="18">
        <f t="shared" si="0"/>
        <v>20554091290050</v>
      </c>
      <c r="T2" s="18">
        <f t="shared" si="0"/>
        <v>20554091290050</v>
      </c>
      <c r="U2" s="18">
        <f t="shared" si="0"/>
        <v>20554091290050</v>
      </c>
      <c r="V2" s="18">
        <f t="shared" si="0"/>
        <v>20554091290050</v>
      </c>
      <c r="W2" s="18">
        <f t="shared" si="0"/>
        <v>20554091290050</v>
      </c>
      <c r="X2" s="18">
        <f t="shared" si="0"/>
        <v>20554091290050</v>
      </c>
      <c r="Y2" s="18">
        <f t="shared" si="0"/>
        <v>20554091290050</v>
      </c>
      <c r="Z2" s="18">
        <f t="shared" si="0"/>
        <v>20554091290050</v>
      </c>
      <c r="AA2" s="18">
        <f t="shared" si="0"/>
        <v>20554091290050</v>
      </c>
      <c r="AB2" s="18">
        <f t="shared" si="0"/>
        <v>20554091290050</v>
      </c>
      <c r="AC2" s="18">
        <f t="shared" si="0"/>
        <v>20554091290050</v>
      </c>
      <c r="AD2" s="18">
        <f t="shared" si="0"/>
        <v>20554091290050</v>
      </c>
      <c r="AE2" s="18">
        <f t="shared" si="0"/>
        <v>20554091290050</v>
      </c>
      <c r="AF2" s="18">
        <f t="shared" si="0"/>
        <v>20554091290050</v>
      </c>
      <c r="AG2" s="18">
        <f t="shared" si="0"/>
        <v>20554091290050</v>
      </c>
      <c r="AH2" s="18">
        <f t="shared" si="0"/>
        <v>20554091290050</v>
      </c>
      <c r="AI2" s="18">
        <f t="shared" si="0"/>
        <v>20554091290050</v>
      </c>
      <c r="AJ2" s="18">
        <f t="shared" si="0"/>
        <v>20554091290050</v>
      </c>
      <c r="AK2" s="18">
        <f t="shared" si="0"/>
        <v>20554091290050</v>
      </c>
      <c r="AL2" s="47">
        <f>AK2</f>
        <v>20554091290050</v>
      </c>
      <c r="AM2" s="47">
        <f t="shared" ref="AM2:BE2" si="1">AL2</f>
        <v>20554091290050</v>
      </c>
      <c r="AN2" s="47">
        <f t="shared" si="1"/>
        <v>20554091290050</v>
      </c>
      <c r="AO2" s="47">
        <f t="shared" si="1"/>
        <v>20554091290050</v>
      </c>
      <c r="AP2" s="47">
        <f t="shared" si="1"/>
        <v>20554091290050</v>
      </c>
      <c r="AQ2" s="47">
        <f t="shared" si="1"/>
        <v>20554091290050</v>
      </c>
      <c r="AR2" s="47">
        <f t="shared" si="1"/>
        <v>20554091290050</v>
      </c>
      <c r="AS2" s="47">
        <f t="shared" si="1"/>
        <v>20554091290050</v>
      </c>
      <c r="AT2" s="47">
        <f t="shared" si="1"/>
        <v>20554091290050</v>
      </c>
      <c r="AU2" s="47">
        <f t="shared" si="1"/>
        <v>20554091290050</v>
      </c>
      <c r="AV2" s="47">
        <f t="shared" si="1"/>
        <v>20554091290050</v>
      </c>
      <c r="AW2" s="47">
        <f t="shared" si="1"/>
        <v>20554091290050</v>
      </c>
      <c r="AX2" s="47">
        <f t="shared" si="1"/>
        <v>20554091290050</v>
      </c>
      <c r="AY2" s="47">
        <f t="shared" si="1"/>
        <v>20554091290050</v>
      </c>
      <c r="AZ2" s="47">
        <f t="shared" si="1"/>
        <v>20554091290050</v>
      </c>
      <c r="BA2" s="47">
        <f t="shared" si="1"/>
        <v>20554091290050</v>
      </c>
      <c r="BB2" s="47">
        <f t="shared" si="1"/>
        <v>20554091290050</v>
      </c>
      <c r="BC2" s="47">
        <f t="shared" si="1"/>
        <v>20554091290050</v>
      </c>
      <c r="BD2" s="47">
        <f t="shared" si="1"/>
        <v>20554091290050</v>
      </c>
      <c r="BE2" s="47">
        <f t="shared" si="1"/>
        <v>20554091290050</v>
      </c>
    </row>
    <row r="3" spans="1:57" ht="14.25" customHeight="1" x14ac:dyDescent="0.2">
      <c r="A3" s="2" t="s">
        <v>223</v>
      </c>
      <c r="B3" s="38">
        <f>HEESI!E23*10^12</f>
        <v>899180129229549.62</v>
      </c>
      <c r="C3" s="38">
        <f t="shared" ref="C3:AK3" si="2">B3</f>
        <v>899180129229549.62</v>
      </c>
      <c r="D3" s="38">
        <f t="shared" si="2"/>
        <v>899180129229549.62</v>
      </c>
      <c r="E3" s="38">
        <f t="shared" si="2"/>
        <v>899180129229549.62</v>
      </c>
      <c r="F3" s="38">
        <f t="shared" si="2"/>
        <v>899180129229549.62</v>
      </c>
      <c r="G3" s="38">
        <f t="shared" si="2"/>
        <v>899180129229549.62</v>
      </c>
      <c r="H3" s="38">
        <f t="shared" si="2"/>
        <v>899180129229549.62</v>
      </c>
      <c r="I3" s="38">
        <f t="shared" si="2"/>
        <v>899180129229549.62</v>
      </c>
      <c r="J3" s="38">
        <f t="shared" si="2"/>
        <v>899180129229549.62</v>
      </c>
      <c r="K3" s="38">
        <f t="shared" si="2"/>
        <v>899180129229549.62</v>
      </c>
      <c r="L3" s="38">
        <f t="shared" si="2"/>
        <v>899180129229549.62</v>
      </c>
      <c r="M3" s="38">
        <f t="shared" si="2"/>
        <v>899180129229549.62</v>
      </c>
      <c r="N3" s="38">
        <f t="shared" si="2"/>
        <v>899180129229549.62</v>
      </c>
      <c r="O3" s="38">
        <f t="shared" si="2"/>
        <v>899180129229549.62</v>
      </c>
      <c r="P3" s="38">
        <f t="shared" si="2"/>
        <v>899180129229549.62</v>
      </c>
      <c r="Q3" s="38">
        <f t="shared" si="2"/>
        <v>899180129229549.62</v>
      </c>
      <c r="R3" s="38">
        <f t="shared" si="2"/>
        <v>899180129229549.62</v>
      </c>
      <c r="S3" s="38">
        <f t="shared" si="2"/>
        <v>899180129229549.62</v>
      </c>
      <c r="T3" s="38">
        <f t="shared" si="2"/>
        <v>899180129229549.62</v>
      </c>
      <c r="U3" s="38">
        <f t="shared" si="2"/>
        <v>899180129229549.62</v>
      </c>
      <c r="V3" s="38">
        <f t="shared" si="2"/>
        <v>899180129229549.62</v>
      </c>
      <c r="W3" s="38">
        <f t="shared" si="2"/>
        <v>899180129229549.62</v>
      </c>
      <c r="X3" s="38">
        <f t="shared" si="2"/>
        <v>899180129229549.62</v>
      </c>
      <c r="Y3" s="38">
        <f t="shared" si="2"/>
        <v>899180129229549.62</v>
      </c>
      <c r="Z3" s="38">
        <f t="shared" si="2"/>
        <v>899180129229549.62</v>
      </c>
      <c r="AA3" s="38">
        <f t="shared" si="2"/>
        <v>899180129229549.62</v>
      </c>
      <c r="AB3" s="38">
        <f t="shared" si="2"/>
        <v>899180129229549.62</v>
      </c>
      <c r="AC3" s="38">
        <f t="shared" si="2"/>
        <v>899180129229549.62</v>
      </c>
      <c r="AD3" s="38">
        <f t="shared" si="2"/>
        <v>899180129229549.62</v>
      </c>
      <c r="AE3" s="38">
        <f t="shared" si="2"/>
        <v>899180129229549.62</v>
      </c>
      <c r="AF3" s="38">
        <f t="shared" si="2"/>
        <v>899180129229549.62</v>
      </c>
      <c r="AG3" s="38">
        <f t="shared" si="2"/>
        <v>899180129229549.62</v>
      </c>
      <c r="AH3" s="38">
        <f t="shared" si="2"/>
        <v>899180129229549.62</v>
      </c>
      <c r="AI3" s="38">
        <f t="shared" si="2"/>
        <v>899180129229549.62</v>
      </c>
      <c r="AJ3" s="38">
        <f t="shared" si="2"/>
        <v>899180129229549.62</v>
      </c>
      <c r="AK3" s="38">
        <f t="shared" si="2"/>
        <v>899180129229549.62</v>
      </c>
      <c r="AL3" s="48">
        <f>AK3</f>
        <v>899180129229549.62</v>
      </c>
      <c r="AM3" s="48">
        <f t="shared" ref="AM3:BE3" si="3">AL3</f>
        <v>899180129229549.62</v>
      </c>
      <c r="AN3" s="48">
        <f t="shared" si="3"/>
        <v>899180129229549.62</v>
      </c>
      <c r="AO3" s="48">
        <f t="shared" si="3"/>
        <v>899180129229549.62</v>
      </c>
      <c r="AP3" s="48">
        <f t="shared" si="3"/>
        <v>899180129229549.62</v>
      </c>
      <c r="AQ3" s="48">
        <f t="shared" si="3"/>
        <v>899180129229549.62</v>
      </c>
      <c r="AR3" s="48">
        <f t="shared" si="3"/>
        <v>899180129229549.62</v>
      </c>
      <c r="AS3" s="48">
        <f t="shared" si="3"/>
        <v>899180129229549.62</v>
      </c>
      <c r="AT3" s="48">
        <f t="shared" si="3"/>
        <v>899180129229549.62</v>
      </c>
      <c r="AU3" s="48">
        <f t="shared" si="3"/>
        <v>899180129229549.62</v>
      </c>
      <c r="AV3" s="48">
        <f t="shared" si="3"/>
        <v>899180129229549.62</v>
      </c>
      <c r="AW3" s="48">
        <f t="shared" si="3"/>
        <v>899180129229549.62</v>
      </c>
      <c r="AX3" s="48">
        <f t="shared" si="3"/>
        <v>899180129229549.62</v>
      </c>
      <c r="AY3" s="48">
        <f t="shared" si="3"/>
        <v>899180129229549.62</v>
      </c>
      <c r="AZ3" s="48">
        <f t="shared" si="3"/>
        <v>899180129229549.62</v>
      </c>
      <c r="BA3" s="48">
        <f t="shared" si="3"/>
        <v>899180129229549.62</v>
      </c>
      <c r="BB3" s="48">
        <f t="shared" si="3"/>
        <v>899180129229549.62</v>
      </c>
      <c r="BC3" s="48">
        <f t="shared" si="3"/>
        <v>899180129229549.62</v>
      </c>
      <c r="BD3" s="48">
        <f t="shared" si="3"/>
        <v>899180129229549.62</v>
      </c>
      <c r="BE3" s="48">
        <f t="shared" si="3"/>
        <v>899180129229549.62</v>
      </c>
    </row>
    <row r="4" spans="1:57" ht="14.25" customHeight="1"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spans="1:57" ht="14.25" customHeight="1"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spans="1:57" ht="14.25" customHeight="1" x14ac:dyDescent="0.2">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spans="1:57" ht="14.25" customHeight="1" x14ac:dyDescent="0.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spans="1:57" ht="14.25" customHeight="1" x14ac:dyDescent="0.2">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row>
    <row r="9" spans="1:57" ht="14.25" customHeight="1" x14ac:dyDescent="0.2">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row>
    <row r="10" spans="1:57" ht="14.2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row>
    <row r="11" spans="1:57" ht="14.2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row>
    <row r="12" spans="1:57" ht="14.2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row>
    <row r="13" spans="1:57" ht="14.2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row>
    <row r="14" spans="1:57" ht="14.2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row>
    <row r="15" spans="1:57" ht="14.2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row>
    <row r="16" spans="1:57" ht="14.2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row>
    <row r="17" spans="1:37" ht="14.2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row>
    <row r="18" spans="1:37" ht="14.2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row>
    <row r="19" spans="1:37" ht="14.2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row>
    <row r="20" spans="1:37" ht="14.2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row>
    <row r="21" spans="1:37" ht="14.2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row>
    <row r="22" spans="1:37" ht="14.2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row>
    <row r="23" spans="1:37" ht="14.2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row>
    <row r="24" spans="1:37" ht="14.2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row>
    <row r="25" spans="1:37" ht="14.2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row>
    <row r="26" spans="1:37" ht="14.2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row>
    <row r="27" spans="1:37" ht="14.2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row>
    <row r="28" spans="1:37" ht="14.2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row>
    <row r="29" spans="1:37" ht="14.2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row>
    <row r="30" spans="1:37" ht="14.2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row>
    <row r="31" spans="1:37" ht="14.2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row>
    <row r="32" spans="1:37" ht="14.2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row>
    <row r="33" spans="1:37" ht="14.2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row>
    <row r="34" spans="1:37" ht="14.2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row>
    <row r="35" spans="1:37" ht="14.2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row>
    <row r="36" spans="1:37" ht="14.2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row>
    <row r="37" spans="1:37" ht="14.2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row>
    <row r="38" spans="1:37" ht="14.2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row>
    <row r="39" spans="1:37" ht="14.2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row>
    <row r="40" spans="1:37" ht="14.2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row>
    <row r="41" spans="1:37" ht="14.2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row>
    <row r="42" spans="1:37" ht="14.2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row>
    <row r="43" spans="1:37" ht="14.2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row>
    <row r="44" spans="1:37" ht="14.2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row>
    <row r="45" spans="1:37" ht="14.2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row>
    <row r="46" spans="1:37" ht="14.2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row>
    <row r="47" spans="1:37" ht="14.2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row>
    <row r="48" spans="1:37" ht="14.2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row>
    <row r="49" spans="1:37" ht="14.2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row>
    <row r="50" spans="1:37" ht="14.2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row>
    <row r="51" spans="1:37" ht="14.2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row>
    <row r="52" spans="1:37" ht="14.2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row>
    <row r="53" spans="1:37" ht="14.2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row>
    <row r="54" spans="1:37" ht="14.2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row>
    <row r="55" spans="1:37" ht="14.2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row>
    <row r="56" spans="1:37" ht="14.2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row>
    <row r="57" spans="1:37" ht="14.2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row>
    <row r="58" spans="1:37" ht="14.2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row>
    <row r="59" spans="1:37" ht="14.2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row>
    <row r="60" spans="1:37" ht="14.2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row>
    <row r="61" spans="1:37" ht="14.2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row>
    <row r="62" spans="1:37" ht="14.2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row>
    <row r="63" spans="1:37" ht="14.2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row>
    <row r="64" spans="1:37" ht="14.2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row>
    <row r="65" spans="1:37" ht="14.2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row>
    <row r="66" spans="1:37" ht="14.2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row>
    <row r="67" spans="1:37" ht="14.2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row>
    <row r="68" spans="1:37" ht="14.2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row>
    <row r="69" spans="1:37" ht="14.2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row>
    <row r="70" spans="1:37" ht="14.2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row>
    <row r="71" spans="1:37" ht="14.2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row>
    <row r="72" spans="1:37" ht="14.2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row>
    <row r="73" spans="1:37" ht="14.2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row>
    <row r="74" spans="1:37" ht="14.2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row>
    <row r="75" spans="1:37" ht="14.2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row>
    <row r="76" spans="1:37" ht="14.2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row>
    <row r="77" spans="1:37" ht="14.2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row>
    <row r="78" spans="1:37" ht="14.2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row>
    <row r="79" spans="1:37" ht="14.2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row>
    <row r="80" spans="1:37" ht="14.2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row>
    <row r="81" spans="1:37" ht="14.2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row>
    <row r="82" spans="1:37" ht="14.2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row>
    <row r="83" spans="1:37" ht="14.2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row>
    <row r="84" spans="1:37" ht="14.2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row>
    <row r="85" spans="1:37" ht="14.2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row>
    <row r="86" spans="1:37" ht="14.2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row>
    <row r="87" spans="1:37" ht="14.2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row>
    <row r="88" spans="1:37" ht="14.2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row>
    <row r="89" spans="1:37" ht="14.2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row>
    <row r="90" spans="1:37" ht="14.2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row>
    <row r="91" spans="1:37" ht="14.2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row>
    <row r="92" spans="1:37" ht="14.2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row>
    <row r="93" spans="1:37" ht="14.2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row>
    <row r="94" spans="1:37" ht="14.2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row>
    <row r="95" spans="1:37" ht="14.2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row>
    <row r="96" spans="1:37" ht="14.2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row>
    <row r="97" spans="1:37" ht="14.2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row>
    <row r="98" spans="1:37" ht="14.2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row>
    <row r="99" spans="1:37" ht="14.2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row>
    <row r="100" spans="1:37" ht="14.2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row>
    <row r="101" spans="1:37" ht="14.2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row>
    <row r="102" spans="1:37" ht="14.2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row>
    <row r="103" spans="1:37" ht="14.2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row>
    <row r="104" spans="1:37" ht="14.2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row>
    <row r="105" spans="1:37" ht="14.2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row>
    <row r="106" spans="1:37" ht="14.2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row>
    <row r="107" spans="1:37" ht="14.2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row>
    <row r="108" spans="1:37" ht="14.2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row>
    <row r="109" spans="1:37" ht="14.2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row>
    <row r="110" spans="1:37" ht="14.2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row>
    <row r="111" spans="1:37" ht="14.2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row>
    <row r="112" spans="1:37" ht="14.2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row>
    <row r="113" spans="1:37" ht="14.2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row>
    <row r="114" spans="1:37" ht="14.2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row>
    <row r="115" spans="1:37" ht="14.2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row>
    <row r="116" spans="1:37" ht="14.2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row>
    <row r="117" spans="1:37" ht="14.2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row>
    <row r="118" spans="1:37" ht="14.2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row>
    <row r="119" spans="1:37" ht="14.2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row>
    <row r="120" spans="1:37" ht="14.2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row>
    <row r="121" spans="1:37" ht="14.2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row>
    <row r="122" spans="1:37" ht="14.2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row>
    <row r="123" spans="1:37" ht="14.2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row>
    <row r="124" spans="1:37" ht="14.2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row>
    <row r="125" spans="1:37" ht="14.2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row>
    <row r="126" spans="1:37" ht="14.2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row>
    <row r="127" spans="1:37" ht="14.2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row>
    <row r="128" spans="1:37" ht="14.2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row>
    <row r="129" spans="1:37" ht="14.2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row>
    <row r="130" spans="1:37" ht="14.2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row>
    <row r="131" spans="1:37" ht="14.2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row>
    <row r="132" spans="1:37" ht="14.2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row>
    <row r="133" spans="1:37" ht="14.2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row>
    <row r="134" spans="1:37" ht="14.2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row>
    <row r="135" spans="1:37" ht="14.2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row>
    <row r="136" spans="1:37" ht="14.2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row>
    <row r="137" spans="1:37" ht="14.2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row>
    <row r="138" spans="1:37" ht="14.2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row>
    <row r="139" spans="1:37" ht="14.2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row>
    <row r="140" spans="1:37" ht="14.2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row>
    <row r="141" spans="1:37" ht="14.2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row>
    <row r="142" spans="1:37" ht="14.2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row>
    <row r="143" spans="1:37" ht="14.2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row>
    <row r="144" spans="1:37" ht="14.2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row>
    <row r="145" spans="1:37" ht="14.2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row>
    <row r="146" spans="1:37" ht="14.2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row>
    <row r="147" spans="1:37" ht="14.2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row>
    <row r="148" spans="1:37" ht="14.2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row>
    <row r="149" spans="1:37" ht="14.2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row>
    <row r="150" spans="1:37" ht="14.2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row>
    <row r="151" spans="1:37" ht="14.2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row>
    <row r="152" spans="1:37" ht="14.2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row>
    <row r="153" spans="1:37" ht="14.2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row>
    <row r="154" spans="1:37" ht="14.2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row>
    <row r="155" spans="1:37" ht="14.2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row>
    <row r="156" spans="1:37" ht="14.2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row>
    <row r="157" spans="1:37" ht="14.2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row>
    <row r="158" spans="1:37" ht="14.2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row>
    <row r="159" spans="1:37" ht="14.2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row>
    <row r="160" spans="1:37" ht="14.2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row>
    <row r="161" spans="1:37" ht="14.2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row>
    <row r="162" spans="1:37" ht="14.2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row>
    <row r="163" spans="1:37" ht="14.2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row>
    <row r="164" spans="1:37" ht="14.2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row>
    <row r="165" spans="1:37" ht="14.2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row>
    <row r="166" spans="1:37" ht="14.2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row>
    <row r="167" spans="1:37" ht="14.2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row>
    <row r="168" spans="1:37" ht="14.2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row>
    <row r="169" spans="1:37" ht="14.2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row>
    <row r="170" spans="1:37" ht="14.2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row>
    <row r="171" spans="1:37" ht="14.2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row>
    <row r="172" spans="1:37" ht="14.2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row>
    <row r="173" spans="1:37" ht="14.2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row>
    <row r="174" spans="1:37" ht="14.2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row>
    <row r="175" spans="1:37" ht="14.2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row>
    <row r="176" spans="1:37" ht="14.2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row>
    <row r="177" spans="1:37" ht="14.2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row>
    <row r="178" spans="1:37" ht="14.2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row>
    <row r="179" spans="1:37" ht="14.2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row>
    <row r="180" spans="1:37" ht="14.2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row>
    <row r="181" spans="1:37" ht="14.2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row>
    <row r="182" spans="1:37" ht="14.2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row>
    <row r="183" spans="1:37" ht="14.2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row>
    <row r="184" spans="1:37" ht="14.2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row>
    <row r="185" spans="1:37" ht="14.2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row>
    <row r="186" spans="1:37" ht="14.2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row>
    <row r="187" spans="1:37" ht="14.2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row>
    <row r="188" spans="1:37" ht="14.2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row>
    <row r="189" spans="1:37" ht="14.2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row>
    <row r="190" spans="1:37" ht="14.2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row>
    <row r="191" spans="1:37" ht="14.2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row>
    <row r="192" spans="1:37" ht="14.2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row>
    <row r="193" spans="1:37" ht="14.2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row>
    <row r="194" spans="1:37" ht="14.2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row>
    <row r="195" spans="1:37" ht="14.2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row>
    <row r="196" spans="1:37" ht="14.2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row>
    <row r="197" spans="1:37" ht="14.2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row>
    <row r="198" spans="1:37" ht="14.2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row>
    <row r="199" spans="1:37" ht="14.2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row>
    <row r="200" spans="1:37" ht="14.2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row>
    <row r="201" spans="1:37" ht="14.2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row>
    <row r="202" spans="1:37" ht="14.2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row>
    <row r="203" spans="1:37" ht="14.2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row>
    <row r="204" spans="1:37" ht="14.2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row>
    <row r="205" spans="1:37" ht="14.2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row>
    <row r="206" spans="1:37" ht="14.2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row>
    <row r="207" spans="1:37" ht="14.2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row>
    <row r="208" spans="1:37" ht="14.2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row>
    <row r="209" spans="1:37" ht="14.2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row>
    <row r="210" spans="1:37" ht="14.2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row>
    <row r="211" spans="1:37" ht="14.2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row>
    <row r="212" spans="1:37" ht="14.2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row>
    <row r="213" spans="1:37" ht="14.2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row>
    <row r="214" spans="1:37" ht="14.2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row>
    <row r="215" spans="1:37" ht="14.2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row>
    <row r="216" spans="1:37" ht="14.2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row>
    <row r="217" spans="1:37" ht="14.2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row>
    <row r="218" spans="1:37" ht="14.2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row>
    <row r="219" spans="1:37" ht="14.2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row>
    <row r="220" spans="1:37" ht="14.2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row>
    <row r="221" spans="1:37" ht="14.2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row>
    <row r="222" spans="1:37" ht="14.2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row>
    <row r="223" spans="1:37" ht="14.2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row>
    <row r="224" spans="1:37" ht="14.2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row>
    <row r="225" spans="1:37" ht="14.2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row>
    <row r="226" spans="1:37" ht="14.2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row>
    <row r="227" spans="1:37" ht="14.2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row>
    <row r="228" spans="1:37" ht="14.2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row>
    <row r="229" spans="1:37" ht="14.2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row>
    <row r="230" spans="1:37" ht="14.2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row>
    <row r="231" spans="1:37" ht="14.2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row>
    <row r="232" spans="1:37" ht="14.2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row>
    <row r="233" spans="1:37" ht="14.2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row>
    <row r="234" spans="1:37" ht="14.2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row>
    <row r="235" spans="1:37" ht="14.2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row>
    <row r="236" spans="1:37" ht="14.2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row>
    <row r="237" spans="1:37" ht="14.2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row>
    <row r="238" spans="1:37" ht="14.2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row>
    <row r="239" spans="1:37" ht="14.2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row>
    <row r="240" spans="1:37" ht="14.2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row>
    <row r="241" spans="1:37" ht="14.2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row>
    <row r="242" spans="1:37" ht="14.2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row>
    <row r="243" spans="1:37" ht="14.2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row>
    <row r="244" spans="1:37" ht="14.2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row>
    <row r="245" spans="1:37" ht="14.2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row>
    <row r="246" spans="1:37" ht="14.2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row>
    <row r="247" spans="1:37" ht="14.2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row>
    <row r="248" spans="1:37" ht="14.2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row>
    <row r="249" spans="1:37" ht="14.2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row>
    <row r="250" spans="1:37" ht="14.2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row>
    <row r="251" spans="1:37" ht="14.2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row>
    <row r="252" spans="1:37" ht="14.2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row>
    <row r="253" spans="1:37" ht="14.2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row>
    <row r="254" spans="1:37" ht="14.2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row>
    <row r="255" spans="1:37" ht="14.2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row>
    <row r="256" spans="1:37" ht="14.2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row>
    <row r="257" spans="1:37" ht="14.2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row>
    <row r="258" spans="1:37" ht="14.2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row>
    <row r="259" spans="1:37" ht="14.2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row>
    <row r="260" spans="1:37" ht="14.2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row>
    <row r="261" spans="1:37" ht="14.2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row>
    <row r="262" spans="1:37" ht="14.2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row>
    <row r="263" spans="1:37" ht="14.2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row>
    <row r="264" spans="1:37" ht="14.2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row>
    <row r="265" spans="1:37" ht="14.2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row>
    <row r="266" spans="1:37" ht="14.2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row>
    <row r="267" spans="1:37" ht="14.2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row>
    <row r="268" spans="1:37" ht="14.2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row>
    <row r="269" spans="1:37" ht="14.2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row>
    <row r="270" spans="1:37" ht="14.2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row>
    <row r="271" spans="1:37" ht="14.2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row>
    <row r="272" spans="1:37" ht="14.2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row>
    <row r="273" spans="1:37" ht="14.2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row>
    <row r="274" spans="1:37" ht="14.2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row>
    <row r="275" spans="1:37" ht="14.2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row>
    <row r="276" spans="1:37" ht="14.2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row>
    <row r="277" spans="1:37" ht="14.2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row>
    <row r="278" spans="1:37" ht="14.2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row>
    <row r="279" spans="1:37" ht="14.2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row>
    <row r="280" spans="1:37" ht="14.2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row>
    <row r="281" spans="1:37" ht="14.2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row>
    <row r="282" spans="1:37" ht="14.2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row>
    <row r="283" spans="1:37" ht="14.2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row>
    <row r="284" spans="1:37" ht="14.2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row>
    <row r="285" spans="1:37" ht="14.2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row>
    <row r="286" spans="1:37" ht="14.2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row>
    <row r="287" spans="1:37" ht="14.2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row>
    <row r="288" spans="1:37" ht="14.2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row>
    <row r="289" spans="1:37" ht="14.2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row>
    <row r="290" spans="1:37" ht="14.2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row>
    <row r="291" spans="1:37" ht="14.2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row>
    <row r="292" spans="1:37" ht="14.2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row>
    <row r="293" spans="1:37" ht="14.2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row>
    <row r="294" spans="1:37" ht="14.2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row>
    <row r="295" spans="1:37" ht="14.2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row>
    <row r="296" spans="1:37" ht="14.2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row>
    <row r="297" spans="1:37" ht="14.2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row>
    <row r="298" spans="1:37" ht="14.2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row>
    <row r="299" spans="1:37" ht="14.2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row>
    <row r="300" spans="1:37" ht="14.2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row>
    <row r="301" spans="1:37" ht="14.2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row>
    <row r="302" spans="1:37" ht="14.2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row>
    <row r="303" spans="1:37" ht="14.2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row>
    <row r="304" spans="1:37" ht="14.2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row>
    <row r="305" spans="1:37" ht="14.2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row>
    <row r="306" spans="1:37" ht="14.2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row>
    <row r="307" spans="1:37" ht="14.2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row>
    <row r="308" spans="1:37" ht="14.2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row>
    <row r="309" spans="1:37" ht="14.2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row>
    <row r="310" spans="1:37" ht="14.2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row>
    <row r="311" spans="1:37" ht="14.2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row>
    <row r="312" spans="1:37" ht="14.2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row>
    <row r="313" spans="1:37" ht="14.2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row>
    <row r="314" spans="1:37" ht="14.2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row>
    <row r="315" spans="1:37" ht="14.2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row>
    <row r="316" spans="1:37" ht="14.2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row>
    <row r="317" spans="1:37" ht="14.2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row>
    <row r="318" spans="1:37" ht="14.2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row>
    <row r="319" spans="1:37" ht="14.2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row>
    <row r="320" spans="1:37" ht="14.2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row>
    <row r="321" spans="1:37" ht="14.2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row>
    <row r="322" spans="1:37" ht="14.2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row>
    <row r="323" spans="1:37" ht="14.2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row>
    <row r="324" spans="1:37" ht="14.2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row>
    <row r="325" spans="1:37" ht="14.2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row>
    <row r="326" spans="1:37" ht="14.2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row>
    <row r="327" spans="1:37" ht="14.2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row>
    <row r="328" spans="1:37" ht="14.2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row>
    <row r="329" spans="1:37" ht="14.2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row>
    <row r="330" spans="1:37" ht="14.2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row>
    <row r="331" spans="1:37" ht="14.2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row>
    <row r="332" spans="1:37" ht="14.2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row>
    <row r="333" spans="1:37" ht="14.2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row>
    <row r="334" spans="1:37" ht="14.2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row>
    <row r="335" spans="1:37" ht="14.2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row>
    <row r="336" spans="1:37" ht="14.2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row>
    <row r="337" spans="1:37" ht="14.2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row>
    <row r="338" spans="1:37" ht="14.2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row>
    <row r="339" spans="1:37" ht="14.2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row>
    <row r="340" spans="1:37" ht="14.2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row>
    <row r="341" spans="1:37" ht="14.2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row>
    <row r="342" spans="1:37" ht="14.2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row>
    <row r="343" spans="1:37" ht="14.2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row>
    <row r="344" spans="1:37" ht="14.2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row>
    <row r="345" spans="1:37" ht="14.2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row>
    <row r="346" spans="1:37" ht="14.2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row>
    <row r="347" spans="1:37" ht="14.2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row>
    <row r="348" spans="1:37" ht="14.2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row>
    <row r="349" spans="1:37" ht="14.2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row>
    <row r="350" spans="1:37" ht="14.2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row>
    <row r="351" spans="1:37" ht="14.2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row>
    <row r="352" spans="1:37" ht="14.2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row>
    <row r="353" spans="1:37" ht="14.2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row>
    <row r="354" spans="1:37" ht="14.2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row>
    <row r="355" spans="1:37" ht="14.2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row>
    <row r="356" spans="1:37" ht="14.2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row>
    <row r="357" spans="1:37" ht="14.2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row>
    <row r="358" spans="1:37" ht="14.2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row>
    <row r="359" spans="1:37" ht="14.2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row>
    <row r="360" spans="1:37" ht="14.2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row>
    <row r="361" spans="1:37" ht="14.2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row>
    <row r="362" spans="1:37" ht="14.2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row>
    <row r="363" spans="1:37" ht="14.2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row>
    <row r="364" spans="1:37" ht="14.2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row>
    <row r="365" spans="1:37" ht="14.2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row>
    <row r="366" spans="1:37" ht="14.2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row>
    <row r="367" spans="1:37" ht="14.2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row>
    <row r="368" spans="1:37" ht="14.2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row>
    <row r="369" spans="1:37" ht="14.2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row>
    <row r="370" spans="1:37" ht="14.2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row>
    <row r="371" spans="1:37" ht="14.2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row>
    <row r="372" spans="1:37" ht="14.2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row>
    <row r="373" spans="1:37" ht="14.2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row>
    <row r="374" spans="1:37" ht="14.2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row>
    <row r="375" spans="1:37" ht="14.2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row>
    <row r="376" spans="1:37" ht="14.2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row>
    <row r="377" spans="1:37" ht="14.2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row>
    <row r="378" spans="1:37" ht="14.2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row>
    <row r="379" spans="1:37" ht="14.2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row>
    <row r="380" spans="1:37" ht="14.2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row>
    <row r="381" spans="1:37" ht="14.2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row>
    <row r="382" spans="1:37" ht="14.2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row>
    <row r="383" spans="1:37" ht="14.2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row>
    <row r="384" spans="1:37" ht="14.2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row>
    <row r="385" spans="1:37" ht="14.2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row>
    <row r="386" spans="1:37" ht="14.2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row>
    <row r="387" spans="1:37" ht="14.2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row>
    <row r="388" spans="1:37" ht="14.2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row>
    <row r="389" spans="1:37" ht="14.2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row>
    <row r="390" spans="1:37" ht="14.2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row>
    <row r="391" spans="1:37" ht="14.2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row>
    <row r="392" spans="1:37" ht="14.2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row>
    <row r="393" spans="1:37" ht="14.2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row>
    <row r="394" spans="1:37" ht="14.2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row>
    <row r="395" spans="1:37" ht="14.2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row>
    <row r="396" spans="1:37" ht="14.2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row>
    <row r="397" spans="1:37" ht="14.2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row>
    <row r="398" spans="1:37" ht="14.2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row>
    <row r="399" spans="1:37" ht="14.2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row>
    <row r="400" spans="1:37" ht="14.2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row>
    <row r="401" spans="1:37" ht="14.2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row>
    <row r="402" spans="1:37" ht="14.2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row>
    <row r="403" spans="1:37" ht="14.2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row>
    <row r="404" spans="1:37" ht="14.2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row>
    <row r="405" spans="1:37" ht="14.2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row>
    <row r="406" spans="1:37" ht="14.2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row>
    <row r="407" spans="1:37" ht="14.2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row>
    <row r="408" spans="1:37" ht="14.2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row>
    <row r="409" spans="1:37" ht="14.2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row>
    <row r="410" spans="1:37" ht="14.2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row>
    <row r="411" spans="1:37" ht="14.2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row>
    <row r="412" spans="1:37" ht="14.2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row>
    <row r="413" spans="1:37" ht="14.2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row>
    <row r="414" spans="1:37" ht="14.2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row>
    <row r="415" spans="1:37" ht="14.2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row>
    <row r="416" spans="1:37" ht="14.2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row>
    <row r="417" spans="1:37" ht="14.2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row>
    <row r="418" spans="1:37" ht="14.2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row>
    <row r="419" spans="1:37" ht="14.2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row>
    <row r="420" spans="1:37" ht="14.2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row>
    <row r="421" spans="1:37" ht="14.2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row>
    <row r="422" spans="1:37" ht="14.2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row>
    <row r="423" spans="1:37" ht="14.2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row>
    <row r="424" spans="1:37" ht="14.2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row>
    <row r="425" spans="1:37" ht="14.2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row>
    <row r="426" spans="1:37" ht="14.2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row>
    <row r="427" spans="1:37" ht="14.2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row>
    <row r="428" spans="1:37" ht="14.2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row>
    <row r="429" spans="1:37" ht="14.2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row>
    <row r="430" spans="1:37" ht="14.2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row>
    <row r="431" spans="1:37" ht="14.2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row>
    <row r="432" spans="1:37" ht="14.2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row>
    <row r="433" spans="1:37" ht="14.2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row>
    <row r="434" spans="1:37" ht="14.2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row>
    <row r="435" spans="1:37" ht="14.2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row>
    <row r="436" spans="1:37" ht="14.2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row>
    <row r="437" spans="1:37" ht="14.2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row>
    <row r="438" spans="1:37" ht="14.2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row>
    <row r="439" spans="1:37" ht="14.2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row>
    <row r="440" spans="1:37" ht="14.2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row>
    <row r="441" spans="1:37" ht="14.2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row>
    <row r="442" spans="1:37" ht="14.2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row>
    <row r="443" spans="1:37" ht="14.2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row>
    <row r="444" spans="1:37" ht="14.2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row>
    <row r="445" spans="1:37" ht="14.2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row>
    <row r="446" spans="1:37" ht="14.2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row>
    <row r="447" spans="1:37" ht="14.2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row>
    <row r="448" spans="1:37" ht="14.2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row>
    <row r="449" spans="1:37" ht="14.2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row>
    <row r="450" spans="1:37" ht="14.2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row>
    <row r="451" spans="1:37" ht="14.2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row>
    <row r="452" spans="1:37" ht="14.2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row>
    <row r="453" spans="1:37" ht="14.2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row>
    <row r="454" spans="1:37" ht="14.2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row>
    <row r="455" spans="1:37" ht="14.2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row>
    <row r="456" spans="1:37" ht="14.2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row>
    <row r="457" spans="1:37" ht="14.2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row>
    <row r="458" spans="1:37" ht="14.2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row>
    <row r="459" spans="1:37" ht="14.2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row>
    <row r="460" spans="1:37" ht="14.2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row>
    <row r="461" spans="1:37" ht="14.2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row>
    <row r="462" spans="1:37" ht="14.2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row>
    <row r="463" spans="1:37" ht="14.2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row>
    <row r="464" spans="1:37" ht="14.2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row>
    <row r="465" spans="1:37" ht="14.2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row>
    <row r="466" spans="1:37" ht="14.2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row>
    <row r="467" spans="1:37" ht="14.2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row>
    <row r="468" spans="1:37" ht="14.2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row>
    <row r="469" spans="1:37" ht="14.2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row>
    <row r="470" spans="1:37" ht="14.2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row>
    <row r="471" spans="1:37" ht="14.2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row>
    <row r="472" spans="1:37" ht="14.2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row>
    <row r="473" spans="1:37" ht="14.2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row>
    <row r="474" spans="1:37" ht="14.2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row>
    <row r="475" spans="1:37" ht="14.2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row>
    <row r="476" spans="1:37" ht="14.2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row>
    <row r="477" spans="1:37" ht="14.2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row>
    <row r="478" spans="1:37" ht="14.2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row>
    <row r="479" spans="1:37" ht="14.2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row>
    <row r="480" spans="1:37" ht="14.2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row>
    <row r="481" spans="1:37" ht="14.2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row>
    <row r="482" spans="1:37" ht="14.2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row>
    <row r="483" spans="1:37" ht="14.2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row>
    <row r="484" spans="1:37" ht="14.2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row>
    <row r="485" spans="1:37" ht="14.2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row>
    <row r="486" spans="1:37" ht="14.2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row>
    <row r="487" spans="1:37" ht="14.2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row>
    <row r="488" spans="1:37" ht="14.2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row>
    <row r="489" spans="1:37" ht="14.2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row>
    <row r="490" spans="1:37" ht="14.2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row>
    <row r="491" spans="1:37" ht="14.2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row>
    <row r="492" spans="1:37" ht="14.2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row>
    <row r="493" spans="1:37" ht="14.2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row>
    <row r="494" spans="1:37" ht="14.2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row>
    <row r="495" spans="1:37" ht="14.2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row>
    <row r="496" spans="1:37" ht="14.2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row>
    <row r="497" spans="1:37" ht="14.2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row>
    <row r="498" spans="1:37" ht="14.2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row>
    <row r="499" spans="1:37" ht="14.2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row>
    <row r="500" spans="1:37" ht="14.2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row>
    <row r="501" spans="1:37" ht="14.2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row>
    <row r="502" spans="1:37" ht="14.2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row>
    <row r="503" spans="1:37" ht="14.2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row>
    <row r="504" spans="1:37" ht="14.2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row>
    <row r="505" spans="1:37" ht="14.2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row>
    <row r="506" spans="1:37" ht="14.2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row>
    <row r="507" spans="1:37" ht="14.2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row>
    <row r="508" spans="1:37" ht="14.2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row>
    <row r="509" spans="1:37" ht="14.2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row>
    <row r="510" spans="1:37" ht="14.2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row>
    <row r="511" spans="1:37" ht="14.2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row>
    <row r="512" spans="1:37" ht="14.2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row>
    <row r="513" spans="1:37" ht="14.2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row>
    <row r="514" spans="1:37" ht="14.2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row>
    <row r="515" spans="1:37" ht="14.2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row>
    <row r="516" spans="1:37" ht="14.2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row>
    <row r="517" spans="1:37" ht="14.2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row>
    <row r="518" spans="1:37" ht="14.2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row>
    <row r="519" spans="1:37" ht="14.2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row>
    <row r="520" spans="1:37" ht="14.2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row>
    <row r="521" spans="1:37" ht="14.2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row>
    <row r="522" spans="1:37" ht="14.2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row>
    <row r="523" spans="1:37" ht="14.2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row>
    <row r="524" spans="1:37" ht="14.2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row>
    <row r="525" spans="1:37" ht="14.2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row>
    <row r="526" spans="1:37" ht="14.2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row>
    <row r="527" spans="1:37" ht="14.2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row>
    <row r="528" spans="1:37" ht="14.2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row>
    <row r="529" spans="1:37" ht="14.2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row>
    <row r="530" spans="1:37" ht="14.2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row>
    <row r="531" spans="1:37" ht="14.2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row>
    <row r="532" spans="1:37" ht="14.2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row>
    <row r="533" spans="1:37" ht="14.2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row>
    <row r="534" spans="1:37" ht="14.2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row>
    <row r="535" spans="1:37" ht="14.2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row>
    <row r="536" spans="1:37" ht="14.2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row>
    <row r="537" spans="1:37" ht="14.2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row>
    <row r="538" spans="1:37" ht="14.2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row>
    <row r="539" spans="1:37" ht="14.2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row>
    <row r="540" spans="1:37" ht="14.2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row>
    <row r="541" spans="1:37" ht="14.2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row>
    <row r="542" spans="1:37" ht="14.2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row>
    <row r="543" spans="1:37" ht="14.2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row>
    <row r="544" spans="1:37" ht="14.2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row>
    <row r="545" spans="1:37" ht="14.2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row>
    <row r="546" spans="1:37" ht="14.2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row>
    <row r="547" spans="1:37" ht="14.2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row>
    <row r="548" spans="1:37" ht="14.2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row>
    <row r="549" spans="1:37" ht="14.2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row>
    <row r="550" spans="1:37" ht="14.2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row>
    <row r="551" spans="1:37" ht="14.2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row>
    <row r="552" spans="1:37" ht="14.2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row>
    <row r="553" spans="1:37" ht="14.2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row>
    <row r="554" spans="1:37" ht="14.2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row>
    <row r="555" spans="1:37" ht="14.2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row>
    <row r="556" spans="1:37" ht="14.2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row>
    <row r="557" spans="1:37" ht="14.2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row>
    <row r="558" spans="1:37" ht="14.2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row>
    <row r="559" spans="1:37" ht="14.2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row>
    <row r="560" spans="1:37" ht="14.2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row>
    <row r="561" spans="1:37" ht="14.2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row>
    <row r="562" spans="1:37" ht="14.2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row>
    <row r="563" spans="1:37" ht="14.2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row>
    <row r="564" spans="1:37" ht="14.2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row>
    <row r="565" spans="1:37" ht="14.2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row>
    <row r="566" spans="1:37" ht="14.2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row>
    <row r="567" spans="1:37" ht="14.2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row>
    <row r="568" spans="1:37" ht="14.2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row>
    <row r="569" spans="1:37" ht="14.2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row>
    <row r="570" spans="1:37" ht="14.2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row>
    <row r="571" spans="1:37" ht="14.2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row>
    <row r="572" spans="1:37" ht="14.2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row>
    <row r="573" spans="1:37" ht="14.2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row>
    <row r="574" spans="1:37" ht="14.2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row>
    <row r="575" spans="1:37" ht="14.2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row>
    <row r="576" spans="1:37" ht="14.2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row>
    <row r="577" spans="1:37" ht="14.2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row>
    <row r="578" spans="1:37" ht="14.2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row>
    <row r="579" spans="1:37" ht="14.2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row>
    <row r="580" spans="1:37" ht="14.2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row>
    <row r="581" spans="1:37" ht="14.2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row>
    <row r="582" spans="1:37" ht="14.2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row>
    <row r="583" spans="1:37" ht="14.2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row>
    <row r="584" spans="1:37" ht="14.2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row>
    <row r="585" spans="1:37" ht="14.2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row>
    <row r="586" spans="1:37" ht="14.2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row>
    <row r="587" spans="1:37" ht="14.2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row>
    <row r="588" spans="1:37" ht="14.2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row>
    <row r="589" spans="1:37" ht="14.2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row>
    <row r="590" spans="1:37" ht="14.2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row>
    <row r="591" spans="1:37" ht="14.2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row>
    <row r="592" spans="1:37" ht="14.2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row>
    <row r="593" spans="1:37" ht="14.2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row>
    <row r="594" spans="1:37" ht="14.2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row>
    <row r="595" spans="1:37" ht="14.2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row>
    <row r="596" spans="1:37" ht="14.2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row>
    <row r="597" spans="1:37" ht="14.2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row>
    <row r="598" spans="1:37" ht="14.2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row>
    <row r="599" spans="1:37" ht="14.2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row>
    <row r="600" spans="1:37" ht="14.2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row>
    <row r="601" spans="1:37" ht="14.2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row>
    <row r="602" spans="1:37" ht="14.2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row>
    <row r="603" spans="1:37" ht="14.2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row>
    <row r="604" spans="1:37" ht="14.2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row>
    <row r="605" spans="1:37" ht="14.2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row>
    <row r="606" spans="1:37" ht="14.2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row>
    <row r="607" spans="1:37" ht="14.2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row>
    <row r="608" spans="1:37" ht="14.2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row>
    <row r="609" spans="1:37" ht="14.2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row>
    <row r="610" spans="1:37" ht="14.2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row>
    <row r="611" spans="1:37" ht="14.2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row>
    <row r="612" spans="1:37" ht="14.2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row>
    <row r="613" spans="1:37" ht="14.2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row>
    <row r="614" spans="1:37" ht="14.2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row>
    <row r="615" spans="1:37" ht="14.2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row>
    <row r="616" spans="1:37" ht="14.2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row>
    <row r="617" spans="1:37" ht="14.2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row>
    <row r="618" spans="1:37" ht="14.2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row>
    <row r="619" spans="1:37" ht="14.2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row>
    <row r="620" spans="1:37" ht="14.2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row>
    <row r="621" spans="1:37" ht="14.2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row>
    <row r="622" spans="1:37" ht="14.2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row>
    <row r="623" spans="1:37" ht="14.2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row>
    <row r="624" spans="1:37" ht="14.2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row>
    <row r="625" spans="1:37" ht="14.2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row>
    <row r="626" spans="1:37" ht="14.2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row>
    <row r="627" spans="1:37" ht="14.2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row>
    <row r="628" spans="1:37" ht="14.2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row>
    <row r="629" spans="1:37" ht="14.2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row>
    <row r="630" spans="1:37" ht="14.2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row>
    <row r="631" spans="1:37" ht="14.2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row>
    <row r="632" spans="1:37" ht="14.2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row>
    <row r="633" spans="1:37" ht="14.2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row>
    <row r="634" spans="1:37" ht="14.2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row>
    <row r="635" spans="1:37" ht="14.2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row>
    <row r="636" spans="1:37" ht="14.2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row>
    <row r="637" spans="1:37" ht="14.2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row>
    <row r="638" spans="1:37" ht="14.2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row>
    <row r="639" spans="1:37" ht="14.2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row>
    <row r="640" spans="1:37" ht="14.2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row>
    <row r="641" spans="1:37" ht="14.2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row>
    <row r="642" spans="1:37" ht="14.2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row>
    <row r="643" spans="1:37" ht="14.2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row>
    <row r="644" spans="1:37" ht="14.2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row>
    <row r="645" spans="1:37" ht="14.2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row>
    <row r="646" spans="1:37" ht="14.2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row>
    <row r="647" spans="1:37" ht="14.2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row>
    <row r="648" spans="1:37" ht="14.2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row>
    <row r="649" spans="1:37" ht="14.2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row>
    <row r="650" spans="1:37" ht="14.2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row>
    <row r="651" spans="1:37" ht="14.2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row>
    <row r="652" spans="1:37" ht="14.2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row>
    <row r="653" spans="1:37" ht="14.2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row>
    <row r="654" spans="1:37" ht="14.2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row>
    <row r="655" spans="1:37" ht="14.2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row>
    <row r="656" spans="1:37" ht="14.2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row>
    <row r="657" spans="1:37" ht="14.2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row>
    <row r="658" spans="1:37" ht="14.2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row>
    <row r="659" spans="1:37" ht="14.2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row>
    <row r="660" spans="1:37" ht="14.2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row>
    <row r="661" spans="1:37" ht="14.2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row>
    <row r="662" spans="1:37" ht="14.2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row>
    <row r="663" spans="1:37" ht="14.2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row>
    <row r="664" spans="1:37" ht="14.2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row>
    <row r="665" spans="1:37" ht="14.2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row>
    <row r="666" spans="1:37" ht="14.2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row>
    <row r="667" spans="1:37" ht="14.2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row>
    <row r="668" spans="1:37" ht="14.2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row>
    <row r="669" spans="1:37" ht="14.2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row>
    <row r="670" spans="1:37" ht="14.2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row>
    <row r="671" spans="1:37" ht="14.2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row>
    <row r="672" spans="1:37" ht="14.2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row>
    <row r="673" spans="1:37" ht="14.2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row>
    <row r="674" spans="1:37" ht="14.2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row>
    <row r="675" spans="1:37" ht="14.2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row>
    <row r="676" spans="1:37" ht="14.2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row>
    <row r="677" spans="1:37" ht="14.2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row>
    <row r="678" spans="1:37" ht="14.2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row>
    <row r="679" spans="1:37" ht="14.2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row>
    <row r="680" spans="1:37" ht="14.2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row>
    <row r="681" spans="1:37" ht="14.2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row>
    <row r="682" spans="1:37" ht="14.2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row>
    <row r="683" spans="1:37" ht="14.2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row>
    <row r="684" spans="1:37" ht="14.2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row>
    <row r="685" spans="1:37" ht="14.2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row>
    <row r="686" spans="1:37" ht="14.2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row>
    <row r="687" spans="1:37" ht="14.2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row>
    <row r="688" spans="1:37" ht="14.2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row>
    <row r="689" spans="1:37" ht="14.2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row>
    <row r="690" spans="1:37" ht="14.2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row>
    <row r="691" spans="1:37" ht="14.2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row>
    <row r="692" spans="1:37" ht="14.2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row>
    <row r="693" spans="1:37" ht="14.2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row>
    <row r="694" spans="1:37" ht="14.2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row>
    <row r="695" spans="1:37" ht="14.2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row>
    <row r="696" spans="1:37" ht="14.2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row>
    <row r="697" spans="1:37" ht="14.2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row>
    <row r="698" spans="1:37" ht="14.2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row>
    <row r="699" spans="1:37" ht="14.2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row>
    <row r="700" spans="1:37" ht="14.2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row>
    <row r="701" spans="1:37" ht="14.2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row>
    <row r="702" spans="1:37" ht="14.2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row>
    <row r="703" spans="1:37" ht="14.2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row>
    <row r="704" spans="1:37" ht="14.2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row>
    <row r="705" spans="1:37" ht="14.2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row>
    <row r="706" spans="1:37" ht="14.2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row>
    <row r="707" spans="1:37" ht="14.2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row>
    <row r="708" spans="1:37" ht="14.2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row>
    <row r="709" spans="1:37" ht="14.2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row>
    <row r="710" spans="1:37" ht="14.2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row>
    <row r="711" spans="1:37" ht="14.2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row>
    <row r="712" spans="1:37" ht="14.2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row>
    <row r="713" spans="1:37" ht="14.2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row>
    <row r="714" spans="1:37" ht="14.2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row>
    <row r="715" spans="1:37" ht="14.2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row>
    <row r="716" spans="1:37" ht="14.2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row>
    <row r="717" spans="1:37" ht="14.2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row>
    <row r="718" spans="1:37" ht="14.2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row>
    <row r="719" spans="1:37" ht="14.2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row>
    <row r="720" spans="1:37" ht="14.2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row>
    <row r="721" spans="1:37" ht="14.2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row>
    <row r="722" spans="1:37" ht="14.2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row>
    <row r="723" spans="1:37" ht="14.2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row>
    <row r="724" spans="1:37" ht="14.2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row>
    <row r="725" spans="1:37" ht="14.2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row>
    <row r="726" spans="1:37" ht="14.2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row>
    <row r="727" spans="1:37" ht="14.2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row>
    <row r="728" spans="1:37" ht="14.2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row>
    <row r="729" spans="1:37" ht="14.2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row>
    <row r="730" spans="1:37" ht="14.2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row>
    <row r="731" spans="1:37" ht="14.2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row>
    <row r="732" spans="1:37" ht="14.2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row>
    <row r="733" spans="1:37" ht="14.2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row>
    <row r="734" spans="1:37" ht="14.2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row>
    <row r="735" spans="1:37" ht="14.2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row>
    <row r="736" spans="1:37" ht="14.2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row>
    <row r="737" spans="1:37" ht="14.2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row>
    <row r="738" spans="1:37" ht="14.2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row>
    <row r="739" spans="1:37" ht="14.2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row>
    <row r="740" spans="1:37" ht="14.2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row>
    <row r="741" spans="1:37" ht="14.2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row>
    <row r="742" spans="1:37" ht="14.2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row>
    <row r="743" spans="1:37" ht="14.2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row>
    <row r="744" spans="1:37" ht="14.2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row>
    <row r="745" spans="1:37" ht="14.2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row>
    <row r="746" spans="1:37" ht="14.2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row>
    <row r="747" spans="1:37" ht="14.2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row>
    <row r="748" spans="1:37" ht="14.2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row>
    <row r="749" spans="1:37" ht="14.2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row>
    <row r="750" spans="1:37" ht="14.2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row>
    <row r="751" spans="1:37" ht="14.2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row>
    <row r="752" spans="1:37" ht="14.2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row>
    <row r="753" spans="1:37" ht="14.2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row>
    <row r="754" spans="1:37" ht="14.2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row>
    <row r="755" spans="1:37" ht="14.2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row>
    <row r="756" spans="1:37" ht="14.2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row>
    <row r="757" spans="1:37" ht="14.2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row>
    <row r="758" spans="1:37" ht="14.2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row>
    <row r="759" spans="1:37" ht="14.2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row>
    <row r="760" spans="1:37" ht="14.2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row>
    <row r="761" spans="1:37" ht="14.2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row>
    <row r="762" spans="1:37" ht="14.2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row>
    <row r="763" spans="1:37" ht="14.2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row>
    <row r="764" spans="1:37" ht="14.2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row>
    <row r="765" spans="1:37" ht="14.2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row>
    <row r="766" spans="1:37" ht="14.2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row>
    <row r="767" spans="1:37" ht="14.2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row>
    <row r="768" spans="1:37" ht="14.2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row>
    <row r="769" spans="1:37" ht="14.2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row>
    <row r="770" spans="1:37" ht="14.2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row>
    <row r="771" spans="1:37" ht="14.2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row>
    <row r="772" spans="1:37" ht="14.2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row>
    <row r="773" spans="1:37" ht="14.2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row>
    <row r="774" spans="1:37" ht="14.2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row>
    <row r="775" spans="1:37" ht="14.2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row>
    <row r="776" spans="1:37" ht="14.2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row>
    <row r="777" spans="1:37" ht="14.2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row>
    <row r="778" spans="1:37" ht="14.2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row>
    <row r="779" spans="1:37" ht="14.2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row>
    <row r="780" spans="1:37" ht="14.2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row>
    <row r="781" spans="1:37" ht="14.2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row>
    <row r="782" spans="1:37" ht="14.2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row>
    <row r="783" spans="1:37" ht="14.2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row>
    <row r="784" spans="1:37" ht="14.2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row>
    <row r="785" spans="1:37" ht="14.2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row>
    <row r="786" spans="1:37" ht="14.2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row>
    <row r="787" spans="1:37" ht="14.2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row>
    <row r="788" spans="1:37" ht="14.2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row>
    <row r="789" spans="1:37" ht="14.2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row>
    <row r="790" spans="1:37" ht="14.2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row>
    <row r="791" spans="1:37" ht="14.2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row>
    <row r="792" spans="1:37" ht="14.2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row>
    <row r="793" spans="1:37" ht="14.2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row>
    <row r="794" spans="1:37" ht="14.2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row>
    <row r="795" spans="1:37" ht="14.2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row>
    <row r="796" spans="1:37" ht="14.2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row>
    <row r="797" spans="1:37" ht="14.2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row>
    <row r="798" spans="1:37" ht="14.2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row>
    <row r="799" spans="1:37" ht="14.2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row>
    <row r="800" spans="1:37" ht="14.2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row>
    <row r="801" spans="1:37" ht="14.2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row>
    <row r="802" spans="1:37" ht="14.2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row>
    <row r="803" spans="1:37" ht="14.2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row>
    <row r="804" spans="1:37" ht="14.2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row>
    <row r="805" spans="1:37" ht="14.2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row>
    <row r="806" spans="1:37" ht="14.2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row>
    <row r="807" spans="1:37" ht="14.2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row>
    <row r="808" spans="1:37" ht="14.2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row>
    <row r="809" spans="1:37" ht="14.2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row>
    <row r="810" spans="1:37" ht="14.2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row>
    <row r="811" spans="1:37" ht="14.2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row>
    <row r="812" spans="1:37" ht="14.2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row>
    <row r="813" spans="1:37" ht="14.2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row>
    <row r="814" spans="1:37" ht="14.2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row>
    <row r="815" spans="1:37" ht="14.2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row>
    <row r="816" spans="1:37" ht="14.2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row>
    <row r="817" spans="1:37" ht="14.2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row>
    <row r="818" spans="1:37" ht="14.2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row>
    <row r="819" spans="1:37" ht="14.2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row>
    <row r="820" spans="1:37" ht="14.2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row>
    <row r="821" spans="1:37" ht="14.2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row>
    <row r="822" spans="1:37" ht="14.2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row>
    <row r="823" spans="1:37" ht="14.2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row>
    <row r="824" spans="1:37" ht="14.2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row>
    <row r="825" spans="1:37" ht="14.2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row>
    <row r="826" spans="1:37" ht="14.2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row>
    <row r="827" spans="1:37" ht="14.2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row>
    <row r="828" spans="1:37" ht="14.2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row>
    <row r="829" spans="1:37" ht="14.2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row>
    <row r="830" spans="1:37" ht="14.2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row>
    <row r="831" spans="1:37" ht="14.2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row>
    <row r="832" spans="1:37" ht="14.2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row>
    <row r="833" spans="1:37" ht="14.2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row>
    <row r="834" spans="1:37" ht="14.2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row>
    <row r="835" spans="1:37" ht="14.2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row>
    <row r="836" spans="1:37" ht="14.2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row>
    <row r="837" spans="1:37" ht="14.2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row>
    <row r="838" spans="1:37" ht="14.2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row>
    <row r="839" spans="1:37" ht="14.2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row>
    <row r="840" spans="1:37" ht="14.2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row>
    <row r="841" spans="1:37" ht="14.2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row>
    <row r="842" spans="1:37" ht="14.2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row>
    <row r="843" spans="1:37" ht="14.2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row>
    <row r="844" spans="1:37" ht="14.2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row>
    <row r="845" spans="1:37" ht="14.2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row>
    <row r="846" spans="1:37" ht="14.2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row>
    <row r="847" spans="1:37" ht="14.2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row>
    <row r="848" spans="1:37" ht="14.2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row>
    <row r="849" spans="1:37" ht="14.2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row>
    <row r="850" spans="1:37" ht="14.2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row>
    <row r="851" spans="1:37" ht="14.2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row>
    <row r="852" spans="1:37" ht="14.2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row>
    <row r="853" spans="1:37" ht="14.2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row>
    <row r="854" spans="1:37" ht="14.2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row>
    <row r="855" spans="1:37" ht="14.2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row>
    <row r="856" spans="1:37" ht="14.2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row>
    <row r="857" spans="1:37" ht="14.2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row>
    <row r="858" spans="1:37" ht="14.2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row>
    <row r="859" spans="1:37" ht="14.2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row>
    <row r="860" spans="1:37" ht="14.2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row>
    <row r="861" spans="1:37" ht="14.2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row>
    <row r="862" spans="1:37" ht="14.2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row>
    <row r="863" spans="1:37" ht="14.2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row>
    <row r="864" spans="1:37" ht="14.2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row>
    <row r="865" spans="1:37" ht="14.2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row>
    <row r="866" spans="1:37" ht="14.2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row>
    <row r="867" spans="1:37" ht="14.2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row>
    <row r="868" spans="1:37" ht="14.2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row>
    <row r="869" spans="1:37" ht="14.2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row>
    <row r="870" spans="1:37" ht="14.2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row>
    <row r="871" spans="1:37" ht="14.2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row>
    <row r="872" spans="1:37" ht="14.2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row>
    <row r="873" spans="1:37" ht="14.2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row>
    <row r="874" spans="1:37" ht="14.2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row>
    <row r="875" spans="1:37" ht="14.2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row>
    <row r="876" spans="1:37" ht="14.2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row>
    <row r="877" spans="1:37" ht="14.2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row>
    <row r="878" spans="1:37" ht="14.2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row>
    <row r="879" spans="1:37" ht="14.2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row>
    <row r="880" spans="1:37" ht="14.2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row>
    <row r="881" spans="1:37" ht="14.2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row>
    <row r="882" spans="1:37" ht="14.2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row>
    <row r="883" spans="1:37" ht="14.2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row>
    <row r="884" spans="1:37" ht="14.2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row>
    <row r="885" spans="1:37" ht="14.2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row>
    <row r="886" spans="1:37" ht="14.2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row>
    <row r="887" spans="1:37" ht="14.2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row>
    <row r="888" spans="1:37" ht="14.2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row>
    <row r="889" spans="1:37" ht="14.2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row>
    <row r="890" spans="1:37" ht="14.2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row>
    <row r="891" spans="1:37" ht="14.2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row>
    <row r="892" spans="1:37" ht="14.2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row>
    <row r="893" spans="1:37" ht="14.2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row>
    <row r="894" spans="1:37" ht="14.2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row>
    <row r="895" spans="1:37" ht="14.2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row>
    <row r="896" spans="1:37" ht="14.2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row>
    <row r="897" spans="1:37" ht="14.2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row>
    <row r="898" spans="1:37" ht="14.2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row>
    <row r="899" spans="1:37" ht="14.2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row>
    <row r="900" spans="1:37" ht="14.2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row>
    <row r="901" spans="1:37" ht="14.2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row>
    <row r="902" spans="1:37" ht="14.2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row>
    <row r="903" spans="1:37" ht="14.2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row>
    <row r="904" spans="1:37" ht="14.2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row>
    <row r="905" spans="1:37" ht="14.2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row>
    <row r="906" spans="1:37" ht="14.2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row>
    <row r="907" spans="1:37" ht="14.2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row>
    <row r="908" spans="1:37" ht="14.2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row>
    <row r="909" spans="1:37" ht="14.2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row>
    <row r="910" spans="1:37" ht="14.2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row>
    <row r="911" spans="1:37" ht="14.2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row>
    <row r="912" spans="1:37" ht="14.2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row>
    <row r="913" spans="1:37" ht="14.2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row>
    <row r="914" spans="1:37" ht="14.2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row>
    <row r="915" spans="1:37" ht="14.2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row>
    <row r="916" spans="1:37" ht="14.2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row>
    <row r="917" spans="1:37" ht="14.2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row>
    <row r="918" spans="1:37" ht="14.2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row>
    <row r="919" spans="1:37" ht="14.2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row>
    <row r="920" spans="1:37" ht="14.2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row>
    <row r="921" spans="1:37" ht="14.2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row>
    <row r="922" spans="1:37" ht="14.2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row>
    <row r="923" spans="1:37" ht="14.2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row>
    <row r="924" spans="1:37" ht="14.2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row>
    <row r="925" spans="1:37" ht="14.2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row>
    <row r="926" spans="1:37" ht="14.2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row>
    <row r="927" spans="1:37" ht="14.2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row>
    <row r="928" spans="1:37" ht="14.2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row>
    <row r="929" spans="1:37" ht="14.2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row>
    <row r="930" spans="1:37" ht="14.2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row>
    <row r="931" spans="1:37" ht="14.2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row>
    <row r="932" spans="1:37" ht="14.2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row>
    <row r="933" spans="1:37" ht="14.2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row>
    <row r="934" spans="1:37" ht="14.2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row>
    <row r="935" spans="1:37" ht="14.2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row>
    <row r="936" spans="1:37" ht="14.2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row>
    <row r="937" spans="1:37" ht="14.2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row>
    <row r="938" spans="1:37" ht="14.2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row>
    <row r="939" spans="1:37" ht="14.2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row>
    <row r="940" spans="1:37" ht="14.2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row>
    <row r="941" spans="1:37" ht="14.2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row>
    <row r="942" spans="1:37" ht="14.2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row>
    <row r="943" spans="1:37" ht="14.2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row>
    <row r="944" spans="1:37" ht="14.2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row>
    <row r="945" spans="1:37" ht="14.2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row>
    <row r="946" spans="1:37" ht="14.2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row>
    <row r="947" spans="1:37" ht="14.2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row>
    <row r="948" spans="1:37" ht="14.2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row>
    <row r="949" spans="1:37" ht="14.2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row>
    <row r="950" spans="1:37" ht="14.2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row>
    <row r="951" spans="1:37" ht="14.2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row>
    <row r="952" spans="1:37" ht="14.2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row>
    <row r="953" spans="1:37" ht="14.2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row>
    <row r="954" spans="1:37" ht="14.2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row>
    <row r="955" spans="1:37" ht="14.2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row>
    <row r="956" spans="1:37" ht="14.2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row>
    <row r="957" spans="1:37" ht="14.2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row>
    <row r="958" spans="1:37" ht="14.2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row>
    <row r="959" spans="1:37" ht="14.2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row>
    <row r="960" spans="1:37" ht="14.2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row>
    <row r="961" spans="1:37" ht="14.2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row>
    <row r="962" spans="1:37" ht="14.2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row>
    <row r="963" spans="1:37" ht="14.2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row>
    <row r="964" spans="1:37" ht="14.2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row>
    <row r="965" spans="1:37" ht="14.2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row>
    <row r="966" spans="1:37" ht="14.2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row>
    <row r="967" spans="1:37" ht="14.2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row>
    <row r="968" spans="1:37" ht="14.2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row>
    <row r="969" spans="1:37" ht="14.2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row>
    <row r="970" spans="1:37" ht="14.2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row>
    <row r="971" spans="1:37" ht="14.2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row>
    <row r="972" spans="1:37" ht="14.2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row>
    <row r="973" spans="1:37" ht="14.2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row>
    <row r="974" spans="1:37" ht="14.2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row>
    <row r="975" spans="1:37" ht="14.2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row>
    <row r="976" spans="1:37" ht="14.2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row>
    <row r="977" spans="1:37" ht="14.2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row>
    <row r="978" spans="1:37" ht="14.2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row>
    <row r="979" spans="1:37" ht="14.2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row>
    <row r="980" spans="1:37" ht="14.2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row>
    <row r="981" spans="1:37" ht="14.2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row>
    <row r="982" spans="1:37" ht="14.2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row>
    <row r="983" spans="1:37" ht="14.2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row>
    <row r="984" spans="1:37" ht="14.2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row>
    <row r="985" spans="1:37" ht="14.2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row>
    <row r="986" spans="1:37" ht="14.2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row>
    <row r="987" spans="1:37" ht="14.2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row>
    <row r="988" spans="1:37" ht="14.2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row>
    <row r="989" spans="1:37" ht="14.2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row>
    <row r="990" spans="1:37" ht="14.2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row>
    <row r="991" spans="1:37" ht="14.2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row>
    <row r="992" spans="1:37" ht="14.2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row>
    <row r="993" spans="1:37" ht="14.2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row>
    <row r="994" spans="1:37" ht="14.2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row>
    <row r="995" spans="1:37" ht="14.2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row>
    <row r="996" spans="1:37" ht="14.2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row>
    <row r="997" spans="1:37" ht="14.2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row>
    <row r="998" spans="1:37" ht="14.25" customHeight="1"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row>
    <row r="999" spans="1:37" ht="14.25" customHeight="1"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row>
    <row r="1000" spans="1:37" ht="14.25" customHeight="1"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97D"/>
  </sheetPr>
  <dimension ref="A1:BC992"/>
  <sheetViews>
    <sheetView topLeftCell="Y1" workbookViewId="0">
      <selection activeCell="AJ1" sqref="AJ1:BC22"/>
    </sheetView>
  </sheetViews>
  <sheetFormatPr baseColWidth="10" defaultColWidth="14.5" defaultRowHeight="15" customHeight="1" x14ac:dyDescent="0.2"/>
  <cols>
    <col min="1" max="1" width="39.6640625" customWidth="1"/>
    <col min="2" max="37" width="11.83203125" customWidth="1"/>
  </cols>
  <sheetData>
    <row r="1" spans="1:55" ht="14.25" customHeight="1" x14ac:dyDescent="0.2">
      <c r="A1" s="3" t="s">
        <v>224</v>
      </c>
      <c r="B1" s="39">
        <v>2017</v>
      </c>
      <c r="C1" s="39">
        <v>2018</v>
      </c>
      <c r="D1" s="39">
        <v>2019</v>
      </c>
      <c r="E1" s="39">
        <v>2020</v>
      </c>
      <c r="F1" s="39">
        <v>2021</v>
      </c>
      <c r="G1" s="39">
        <v>2022</v>
      </c>
      <c r="H1" s="39">
        <v>2023</v>
      </c>
      <c r="I1" s="39">
        <v>2024</v>
      </c>
      <c r="J1" s="39">
        <v>2025</v>
      </c>
      <c r="K1" s="39">
        <v>2026</v>
      </c>
      <c r="L1" s="39">
        <v>2027</v>
      </c>
      <c r="M1" s="39">
        <v>2028</v>
      </c>
      <c r="N1" s="39">
        <v>2029</v>
      </c>
      <c r="O1" s="39">
        <v>2030</v>
      </c>
      <c r="P1" s="39">
        <v>2031</v>
      </c>
      <c r="Q1" s="39">
        <v>2032</v>
      </c>
      <c r="R1" s="39">
        <v>2033</v>
      </c>
      <c r="S1" s="39">
        <v>2034</v>
      </c>
      <c r="T1" s="39">
        <v>2035</v>
      </c>
      <c r="U1" s="39">
        <v>2036</v>
      </c>
      <c r="V1" s="39">
        <v>2037</v>
      </c>
      <c r="W1" s="39">
        <v>2038</v>
      </c>
      <c r="X1" s="39">
        <v>2039</v>
      </c>
      <c r="Y1" s="39">
        <v>2040</v>
      </c>
      <c r="Z1" s="39">
        <v>2041</v>
      </c>
      <c r="AA1" s="39">
        <v>2042</v>
      </c>
      <c r="AB1" s="39">
        <v>2043</v>
      </c>
      <c r="AC1" s="39">
        <v>2044</v>
      </c>
      <c r="AD1" s="39">
        <v>2045</v>
      </c>
      <c r="AE1" s="39">
        <v>2046</v>
      </c>
      <c r="AF1" s="39">
        <v>2047</v>
      </c>
      <c r="AG1" s="39">
        <v>2048</v>
      </c>
      <c r="AH1" s="39">
        <v>2049</v>
      </c>
      <c r="AI1" s="39">
        <v>2050</v>
      </c>
      <c r="AJ1">
        <v>2051</v>
      </c>
      <c r="AK1">
        <v>2052</v>
      </c>
      <c r="AL1">
        <v>2053</v>
      </c>
      <c r="AM1">
        <v>2054</v>
      </c>
      <c r="AN1">
        <v>2055</v>
      </c>
      <c r="AO1">
        <v>2056</v>
      </c>
      <c r="AP1">
        <v>2057</v>
      </c>
      <c r="AQ1">
        <v>2058</v>
      </c>
      <c r="AR1">
        <v>2059</v>
      </c>
      <c r="AS1">
        <v>2060</v>
      </c>
      <c r="AT1">
        <v>2061</v>
      </c>
      <c r="AU1">
        <v>2062</v>
      </c>
      <c r="AV1">
        <v>2063</v>
      </c>
      <c r="AW1">
        <v>2064</v>
      </c>
      <c r="AX1">
        <v>2065</v>
      </c>
      <c r="AY1">
        <v>2066</v>
      </c>
      <c r="AZ1">
        <v>2067</v>
      </c>
      <c r="BA1">
        <v>2068</v>
      </c>
      <c r="BB1">
        <v>2069</v>
      </c>
      <c r="BC1">
        <v>2070</v>
      </c>
    </row>
    <row r="2" spans="1:55" ht="14.25" customHeight="1" x14ac:dyDescent="0.2">
      <c r="A2" s="40" t="s">
        <v>225</v>
      </c>
      <c r="B2" s="41">
        <v>3142000000000</v>
      </c>
      <c r="C2" s="41">
        <v>3142000000000</v>
      </c>
      <c r="D2" s="41">
        <v>3142000000000</v>
      </c>
      <c r="E2" s="41">
        <v>3142000000000</v>
      </c>
      <c r="F2" s="41">
        <v>3142000000000</v>
      </c>
      <c r="G2" s="41">
        <v>3142000000000</v>
      </c>
      <c r="H2" s="41">
        <v>3142000000000</v>
      </c>
      <c r="I2" s="41">
        <v>3142000000000</v>
      </c>
      <c r="J2" s="41">
        <v>3142000000000</v>
      </c>
      <c r="K2" s="41">
        <v>3142000000000</v>
      </c>
      <c r="L2" s="41">
        <v>3142000000000</v>
      </c>
      <c r="M2" s="41">
        <v>3142000000000</v>
      </c>
      <c r="N2" s="41">
        <v>3142000000000</v>
      </c>
      <c r="O2" s="41">
        <v>3142000000000</v>
      </c>
      <c r="P2" s="41">
        <v>3142000000000</v>
      </c>
      <c r="Q2" s="41">
        <v>3142000000000</v>
      </c>
      <c r="R2" s="41">
        <v>3142000000000</v>
      </c>
      <c r="S2" s="41">
        <v>3142000000000</v>
      </c>
      <c r="T2" s="41">
        <v>3142000000000</v>
      </c>
      <c r="U2" s="41">
        <v>3142000000000</v>
      </c>
      <c r="V2" s="41">
        <v>3142000000000</v>
      </c>
      <c r="W2" s="41">
        <v>3142000000000</v>
      </c>
      <c r="X2" s="41">
        <v>3142000000000</v>
      </c>
      <c r="Y2" s="41">
        <v>3142000000000</v>
      </c>
      <c r="Z2" s="41">
        <v>3142000000000</v>
      </c>
      <c r="AA2" s="41">
        <v>3142000000000</v>
      </c>
      <c r="AB2" s="41">
        <v>3142000000000</v>
      </c>
      <c r="AC2" s="41">
        <v>3142000000000</v>
      </c>
      <c r="AD2" s="41">
        <v>3142000000000</v>
      </c>
      <c r="AE2" s="41">
        <v>3142000000000</v>
      </c>
      <c r="AF2" s="41">
        <v>3142000000000</v>
      </c>
      <c r="AG2" s="41">
        <v>3142000000000</v>
      </c>
      <c r="AH2" s="41">
        <v>3142000000000</v>
      </c>
      <c r="AI2" s="41">
        <v>3142000000000</v>
      </c>
      <c r="AJ2" s="47">
        <f>AI2</f>
        <v>3142000000000</v>
      </c>
      <c r="AK2" s="47">
        <f t="shared" ref="AK2:BC3" si="0">AJ2</f>
        <v>3142000000000</v>
      </c>
      <c r="AL2" s="47">
        <f t="shared" si="0"/>
        <v>3142000000000</v>
      </c>
      <c r="AM2" s="47">
        <f t="shared" si="0"/>
        <v>3142000000000</v>
      </c>
      <c r="AN2" s="47">
        <f t="shared" si="0"/>
        <v>3142000000000</v>
      </c>
      <c r="AO2" s="47">
        <f t="shared" si="0"/>
        <v>3142000000000</v>
      </c>
      <c r="AP2" s="47">
        <f t="shared" si="0"/>
        <v>3142000000000</v>
      </c>
      <c r="AQ2" s="47">
        <f t="shared" si="0"/>
        <v>3142000000000</v>
      </c>
      <c r="AR2" s="47">
        <f t="shared" si="0"/>
        <v>3142000000000</v>
      </c>
      <c r="AS2" s="47">
        <f t="shared" si="0"/>
        <v>3142000000000</v>
      </c>
      <c r="AT2" s="47">
        <f t="shared" si="0"/>
        <v>3142000000000</v>
      </c>
      <c r="AU2" s="47">
        <f t="shared" si="0"/>
        <v>3142000000000</v>
      </c>
      <c r="AV2" s="47">
        <f t="shared" si="0"/>
        <v>3142000000000</v>
      </c>
      <c r="AW2" s="47">
        <f t="shared" si="0"/>
        <v>3142000000000</v>
      </c>
      <c r="AX2" s="47">
        <f t="shared" si="0"/>
        <v>3142000000000</v>
      </c>
      <c r="AY2" s="47">
        <f t="shared" si="0"/>
        <v>3142000000000</v>
      </c>
      <c r="AZ2" s="47">
        <f t="shared" si="0"/>
        <v>3142000000000</v>
      </c>
      <c r="BA2" s="47">
        <f t="shared" si="0"/>
        <v>3142000000000</v>
      </c>
      <c r="BB2" s="47">
        <f t="shared" si="0"/>
        <v>3142000000000</v>
      </c>
      <c r="BC2" s="47">
        <f t="shared" si="0"/>
        <v>3142000000000</v>
      </c>
    </row>
    <row r="3" spans="1:55" ht="14.25" customHeight="1" x14ac:dyDescent="0.2">
      <c r="A3" s="40" t="s">
        <v>226</v>
      </c>
      <c r="B3" s="41">
        <v>19437500000000</v>
      </c>
      <c r="C3" s="41">
        <v>19710000000000</v>
      </c>
      <c r="D3" s="41">
        <v>19590000000000</v>
      </c>
      <c r="E3" s="41">
        <v>19680000000000</v>
      </c>
      <c r="F3" s="41">
        <v>19590000000000</v>
      </c>
      <c r="G3" s="41">
        <v>19760000000000</v>
      </c>
      <c r="H3" s="41">
        <v>19870000000000</v>
      </c>
      <c r="I3" s="41">
        <v>19830000000000</v>
      </c>
      <c r="J3" s="41">
        <v>19850000000000</v>
      </c>
      <c r="K3" s="41">
        <v>19850000000000</v>
      </c>
      <c r="L3" s="41">
        <v>19840000000000</v>
      </c>
      <c r="M3" s="41">
        <v>19840000000000</v>
      </c>
      <c r="N3" s="41">
        <v>19780000000000</v>
      </c>
      <c r="O3" s="41">
        <v>19750000000000</v>
      </c>
      <c r="P3" s="41">
        <v>19760000000000</v>
      </c>
      <c r="Q3" s="41">
        <v>19790000000000</v>
      </c>
      <c r="R3" s="41">
        <v>19790000000000</v>
      </c>
      <c r="S3" s="41">
        <v>19790000000000</v>
      </c>
      <c r="T3" s="41">
        <v>19800000000000</v>
      </c>
      <c r="U3" s="41">
        <v>19790000000000</v>
      </c>
      <c r="V3" s="41">
        <v>19810000000000</v>
      </c>
      <c r="W3" s="41">
        <v>19820000000000</v>
      </c>
      <c r="X3" s="41">
        <v>19820000000000</v>
      </c>
      <c r="Y3" s="41">
        <v>19820000000000</v>
      </c>
      <c r="Z3" s="41">
        <v>19810000000000</v>
      </c>
      <c r="AA3" s="41">
        <v>19810000000000</v>
      </c>
      <c r="AB3" s="41">
        <v>19820000000000</v>
      </c>
      <c r="AC3" s="41">
        <v>19820000000000</v>
      </c>
      <c r="AD3" s="41">
        <v>19830000000000</v>
      </c>
      <c r="AE3" s="41">
        <v>19860000000000</v>
      </c>
      <c r="AF3" s="41">
        <v>19880000000000</v>
      </c>
      <c r="AG3" s="41">
        <v>19900000000000</v>
      </c>
      <c r="AH3" s="41">
        <v>19880000000000</v>
      </c>
      <c r="AI3" s="41">
        <v>19890000000000</v>
      </c>
      <c r="AJ3" s="48">
        <f>AI3</f>
        <v>19890000000000</v>
      </c>
      <c r="AK3" s="48">
        <f t="shared" si="0"/>
        <v>19890000000000</v>
      </c>
      <c r="AL3" s="48">
        <f t="shared" si="0"/>
        <v>19890000000000</v>
      </c>
      <c r="AM3" s="48">
        <f t="shared" si="0"/>
        <v>19890000000000</v>
      </c>
      <c r="AN3" s="48">
        <f t="shared" si="0"/>
        <v>19890000000000</v>
      </c>
      <c r="AO3" s="48">
        <f t="shared" si="0"/>
        <v>19890000000000</v>
      </c>
      <c r="AP3" s="48">
        <f t="shared" si="0"/>
        <v>19890000000000</v>
      </c>
      <c r="AQ3" s="48">
        <f t="shared" si="0"/>
        <v>19890000000000</v>
      </c>
      <c r="AR3" s="48">
        <f t="shared" si="0"/>
        <v>19890000000000</v>
      </c>
      <c r="AS3" s="48">
        <f t="shared" si="0"/>
        <v>19890000000000</v>
      </c>
      <c r="AT3" s="48">
        <f t="shared" si="0"/>
        <v>19890000000000</v>
      </c>
      <c r="AU3" s="48">
        <f t="shared" si="0"/>
        <v>19890000000000</v>
      </c>
      <c r="AV3" s="48">
        <f t="shared" si="0"/>
        <v>19890000000000</v>
      </c>
      <c r="AW3" s="48">
        <f t="shared" si="0"/>
        <v>19890000000000</v>
      </c>
      <c r="AX3" s="48">
        <f t="shared" si="0"/>
        <v>19890000000000</v>
      </c>
      <c r="AY3" s="48">
        <f t="shared" si="0"/>
        <v>19890000000000</v>
      </c>
      <c r="AZ3" s="48">
        <f t="shared" si="0"/>
        <v>19890000000000</v>
      </c>
      <c r="BA3" s="48">
        <f t="shared" si="0"/>
        <v>19890000000000</v>
      </c>
      <c r="BB3" s="48">
        <f t="shared" si="0"/>
        <v>19890000000000</v>
      </c>
      <c r="BC3" s="48">
        <f t="shared" si="0"/>
        <v>19890000000000</v>
      </c>
    </row>
    <row r="4" spans="1:55" ht="14.25" customHeight="1" x14ac:dyDescent="0.2">
      <c r="A4" s="40" t="s">
        <v>227</v>
      </c>
      <c r="B4" s="41">
        <v>1037000000000000</v>
      </c>
      <c r="C4" s="41">
        <v>1037000000000000</v>
      </c>
      <c r="D4" s="41">
        <v>1037000000000000</v>
      </c>
      <c r="E4" s="41">
        <v>1037000000000000</v>
      </c>
      <c r="F4" s="41">
        <v>1037000000000000</v>
      </c>
      <c r="G4" s="41">
        <v>1037000000000000</v>
      </c>
      <c r="H4" s="41">
        <v>1037000000000000</v>
      </c>
      <c r="I4" s="41">
        <v>1037000000000000</v>
      </c>
      <c r="J4" s="41">
        <v>1037000000000000</v>
      </c>
      <c r="K4" s="41">
        <v>1037000000000000</v>
      </c>
      <c r="L4" s="41">
        <v>1037000000000000</v>
      </c>
      <c r="M4" s="41">
        <v>1037000000000000</v>
      </c>
      <c r="N4" s="41">
        <v>1037000000000000</v>
      </c>
      <c r="O4" s="41">
        <v>1037000000000000</v>
      </c>
      <c r="P4" s="41">
        <v>1037000000000000</v>
      </c>
      <c r="Q4" s="41">
        <v>1037000000000000</v>
      </c>
      <c r="R4" s="41">
        <v>1037000000000000</v>
      </c>
      <c r="S4" s="41">
        <v>1037000000000000</v>
      </c>
      <c r="T4" s="41">
        <v>1037000000000000</v>
      </c>
      <c r="U4" s="41">
        <v>1037000000000000</v>
      </c>
      <c r="V4" s="41">
        <v>1037000000000000</v>
      </c>
      <c r="W4" s="41">
        <v>1037000000000000</v>
      </c>
      <c r="X4" s="41">
        <v>1037000000000000</v>
      </c>
      <c r="Y4" s="41">
        <v>1037000000000000</v>
      </c>
      <c r="Z4" s="41">
        <v>1037000000000000</v>
      </c>
      <c r="AA4" s="41">
        <v>1037000000000000</v>
      </c>
      <c r="AB4" s="41">
        <v>1037000000000000</v>
      </c>
      <c r="AC4" s="41">
        <v>1037000000000000</v>
      </c>
      <c r="AD4" s="41">
        <v>1037000000000000</v>
      </c>
      <c r="AE4" s="41">
        <v>1037000000000000</v>
      </c>
      <c r="AF4" s="41">
        <v>1037000000000000</v>
      </c>
      <c r="AG4" s="41">
        <v>1037000000000000</v>
      </c>
      <c r="AH4" s="41">
        <v>1037000000000000</v>
      </c>
      <c r="AI4" s="41">
        <v>1037000000000000</v>
      </c>
      <c r="AJ4" s="47">
        <f>AI4</f>
        <v>1037000000000000</v>
      </c>
      <c r="AK4" s="47">
        <f t="shared" ref="AK4:BC18" si="1">AJ4</f>
        <v>1037000000000000</v>
      </c>
      <c r="AL4" s="47">
        <f t="shared" si="1"/>
        <v>1037000000000000</v>
      </c>
      <c r="AM4" s="47">
        <f t="shared" si="1"/>
        <v>1037000000000000</v>
      </c>
      <c r="AN4" s="47">
        <f t="shared" si="1"/>
        <v>1037000000000000</v>
      </c>
      <c r="AO4" s="47">
        <f t="shared" si="1"/>
        <v>1037000000000000</v>
      </c>
      <c r="AP4" s="47">
        <f t="shared" si="1"/>
        <v>1037000000000000</v>
      </c>
      <c r="AQ4" s="47">
        <f t="shared" si="1"/>
        <v>1037000000000000</v>
      </c>
      <c r="AR4" s="47">
        <f t="shared" si="1"/>
        <v>1037000000000000</v>
      </c>
      <c r="AS4" s="47">
        <f t="shared" si="1"/>
        <v>1037000000000000</v>
      </c>
      <c r="AT4" s="47">
        <f t="shared" si="1"/>
        <v>1037000000000000</v>
      </c>
      <c r="AU4" s="47">
        <f t="shared" si="1"/>
        <v>1037000000000000</v>
      </c>
      <c r="AV4" s="47">
        <f t="shared" si="1"/>
        <v>1037000000000000</v>
      </c>
      <c r="AW4" s="47">
        <f t="shared" si="1"/>
        <v>1037000000000000</v>
      </c>
      <c r="AX4" s="47">
        <f t="shared" si="1"/>
        <v>1037000000000000</v>
      </c>
      <c r="AY4" s="47">
        <f t="shared" si="1"/>
        <v>1037000000000000</v>
      </c>
      <c r="AZ4" s="47">
        <f t="shared" si="1"/>
        <v>1037000000000000</v>
      </c>
      <c r="BA4" s="47">
        <f t="shared" si="1"/>
        <v>1037000000000000</v>
      </c>
      <c r="BB4" s="47">
        <f t="shared" si="1"/>
        <v>1037000000000000</v>
      </c>
      <c r="BC4" s="47">
        <f t="shared" si="1"/>
        <v>1037000000000000</v>
      </c>
    </row>
    <row r="5" spans="1:55" ht="14.25" customHeight="1" x14ac:dyDescent="0.2">
      <c r="A5" s="40" t="s">
        <v>228</v>
      </c>
      <c r="B5" s="41">
        <v>1000000000000</v>
      </c>
      <c r="C5" s="41">
        <v>1000000000000</v>
      </c>
      <c r="D5" s="41">
        <v>1000000000000</v>
      </c>
      <c r="E5" s="41">
        <v>1000000000000</v>
      </c>
      <c r="F5" s="41">
        <v>1000000000000</v>
      </c>
      <c r="G5" s="41">
        <v>1000000000000</v>
      </c>
      <c r="H5" s="41">
        <v>1000000000000</v>
      </c>
      <c r="I5" s="41">
        <v>1000000000000</v>
      </c>
      <c r="J5" s="41">
        <v>1000000000000</v>
      </c>
      <c r="K5" s="41">
        <v>1000000000000</v>
      </c>
      <c r="L5" s="41">
        <v>1000000000000</v>
      </c>
      <c r="M5" s="41">
        <v>1000000000000</v>
      </c>
      <c r="N5" s="41">
        <v>1000000000000</v>
      </c>
      <c r="O5" s="41">
        <v>1000000000000</v>
      </c>
      <c r="P5" s="41">
        <v>1000000000000</v>
      </c>
      <c r="Q5" s="41">
        <v>1000000000000</v>
      </c>
      <c r="R5" s="41">
        <v>1000000000000</v>
      </c>
      <c r="S5" s="41">
        <v>1000000000000</v>
      </c>
      <c r="T5" s="41">
        <v>1000000000000</v>
      </c>
      <c r="U5" s="41">
        <v>1000000000000</v>
      </c>
      <c r="V5" s="41">
        <v>1000000000000</v>
      </c>
      <c r="W5" s="41">
        <v>1000000000000</v>
      </c>
      <c r="X5" s="41">
        <v>1000000000000</v>
      </c>
      <c r="Y5" s="41">
        <v>1000000000000</v>
      </c>
      <c r="Z5" s="41">
        <v>1000000000000</v>
      </c>
      <c r="AA5" s="41">
        <v>1000000000000</v>
      </c>
      <c r="AB5" s="41">
        <v>1000000000000</v>
      </c>
      <c r="AC5" s="41">
        <v>1000000000000</v>
      </c>
      <c r="AD5" s="41">
        <v>1000000000000</v>
      </c>
      <c r="AE5" s="41">
        <v>1000000000000</v>
      </c>
      <c r="AF5" s="41">
        <v>1000000000000</v>
      </c>
      <c r="AG5" s="41">
        <v>1000000000000</v>
      </c>
      <c r="AH5" s="41">
        <v>1000000000000</v>
      </c>
      <c r="AI5" s="41">
        <v>1000000000000</v>
      </c>
      <c r="AJ5" s="47">
        <f t="shared" ref="AJ5:AY22" si="2">AI5</f>
        <v>1000000000000</v>
      </c>
      <c r="AK5" s="47">
        <f t="shared" si="2"/>
        <v>1000000000000</v>
      </c>
      <c r="AL5" s="47">
        <f t="shared" si="2"/>
        <v>1000000000000</v>
      </c>
      <c r="AM5" s="47">
        <f t="shared" si="2"/>
        <v>1000000000000</v>
      </c>
      <c r="AN5" s="47">
        <f t="shared" si="2"/>
        <v>1000000000000</v>
      </c>
      <c r="AO5" s="47">
        <f t="shared" si="2"/>
        <v>1000000000000</v>
      </c>
      <c r="AP5" s="47">
        <f t="shared" si="2"/>
        <v>1000000000000</v>
      </c>
      <c r="AQ5" s="47">
        <f t="shared" si="2"/>
        <v>1000000000000</v>
      </c>
      <c r="AR5" s="47">
        <f t="shared" si="2"/>
        <v>1000000000000</v>
      </c>
      <c r="AS5" s="47">
        <f t="shared" si="2"/>
        <v>1000000000000</v>
      </c>
      <c r="AT5" s="47">
        <f t="shared" si="2"/>
        <v>1000000000000</v>
      </c>
      <c r="AU5" s="47">
        <f t="shared" si="2"/>
        <v>1000000000000</v>
      </c>
      <c r="AV5" s="47">
        <f t="shared" si="2"/>
        <v>1000000000000</v>
      </c>
      <c r="AW5" s="47">
        <f t="shared" si="2"/>
        <v>1000000000000</v>
      </c>
      <c r="AX5" s="47">
        <f t="shared" si="2"/>
        <v>1000000000000</v>
      </c>
      <c r="AY5" s="47">
        <f t="shared" si="2"/>
        <v>1000000000000</v>
      </c>
      <c r="AZ5" s="47">
        <f t="shared" si="1"/>
        <v>1000000000000</v>
      </c>
      <c r="BA5" s="47">
        <f t="shared" si="1"/>
        <v>1000000000000</v>
      </c>
      <c r="BB5" s="47">
        <f t="shared" si="1"/>
        <v>1000000000000</v>
      </c>
      <c r="BC5" s="47">
        <f t="shared" si="1"/>
        <v>1000000000000</v>
      </c>
    </row>
    <row r="6" spans="1:55" ht="14.25" customHeight="1" x14ac:dyDescent="0.2">
      <c r="A6" s="40" t="s">
        <v>229</v>
      </c>
      <c r="B6" s="39">
        <v>0</v>
      </c>
      <c r="C6" s="39">
        <v>0</v>
      </c>
      <c r="D6" s="39">
        <v>0</v>
      </c>
      <c r="E6" s="39">
        <v>0</v>
      </c>
      <c r="F6" s="39">
        <v>0</v>
      </c>
      <c r="G6" s="39">
        <v>0</v>
      </c>
      <c r="H6" s="39">
        <v>0</v>
      </c>
      <c r="I6" s="39">
        <v>0</v>
      </c>
      <c r="J6" s="39">
        <v>0</v>
      </c>
      <c r="K6" s="39">
        <v>0</v>
      </c>
      <c r="L6" s="39">
        <v>0</v>
      </c>
      <c r="M6" s="39">
        <v>0</v>
      </c>
      <c r="N6" s="39">
        <v>0</v>
      </c>
      <c r="O6" s="39">
        <v>0</v>
      </c>
      <c r="P6" s="39">
        <v>0</v>
      </c>
      <c r="Q6" s="39">
        <v>0</v>
      </c>
      <c r="R6" s="39">
        <v>0</v>
      </c>
      <c r="S6" s="39">
        <v>0</v>
      </c>
      <c r="T6" s="39">
        <v>0</v>
      </c>
      <c r="U6" s="39">
        <v>0</v>
      </c>
      <c r="V6" s="39">
        <v>0</v>
      </c>
      <c r="W6" s="39">
        <v>0</v>
      </c>
      <c r="X6" s="39">
        <v>0</v>
      </c>
      <c r="Y6" s="39">
        <v>0</v>
      </c>
      <c r="Z6" s="39">
        <v>0</v>
      </c>
      <c r="AA6" s="39">
        <v>0</v>
      </c>
      <c r="AB6" s="39">
        <v>0</v>
      </c>
      <c r="AC6" s="39">
        <v>0</v>
      </c>
      <c r="AD6" s="39">
        <v>0</v>
      </c>
      <c r="AE6" s="39">
        <v>0</v>
      </c>
      <c r="AF6" s="39">
        <v>0</v>
      </c>
      <c r="AG6" s="39">
        <v>0</v>
      </c>
      <c r="AH6" s="39">
        <v>0</v>
      </c>
      <c r="AI6" s="39">
        <v>0</v>
      </c>
      <c r="AJ6" s="47">
        <f t="shared" si="2"/>
        <v>0</v>
      </c>
      <c r="AK6" s="47">
        <f t="shared" si="1"/>
        <v>0</v>
      </c>
      <c r="AL6" s="47">
        <f t="shared" si="1"/>
        <v>0</v>
      </c>
      <c r="AM6" s="47">
        <f t="shared" si="1"/>
        <v>0</v>
      </c>
      <c r="AN6" s="47">
        <f t="shared" si="1"/>
        <v>0</v>
      </c>
      <c r="AO6" s="47">
        <f t="shared" si="1"/>
        <v>0</v>
      </c>
      <c r="AP6" s="47">
        <f t="shared" si="1"/>
        <v>0</v>
      </c>
      <c r="AQ6" s="47">
        <f t="shared" si="1"/>
        <v>0</v>
      </c>
      <c r="AR6" s="47">
        <f t="shared" si="1"/>
        <v>0</v>
      </c>
      <c r="AS6" s="47">
        <f t="shared" si="1"/>
        <v>0</v>
      </c>
      <c r="AT6" s="47">
        <f t="shared" si="1"/>
        <v>0</v>
      </c>
      <c r="AU6" s="47">
        <f t="shared" si="1"/>
        <v>0</v>
      </c>
      <c r="AV6" s="47">
        <f t="shared" si="1"/>
        <v>0</v>
      </c>
      <c r="AW6" s="47">
        <f t="shared" si="1"/>
        <v>0</v>
      </c>
      <c r="AX6" s="47">
        <f t="shared" si="1"/>
        <v>0</v>
      </c>
      <c r="AY6" s="47">
        <f t="shared" si="1"/>
        <v>0</v>
      </c>
      <c r="AZ6" s="47">
        <f t="shared" si="1"/>
        <v>0</v>
      </c>
      <c r="BA6" s="47">
        <f t="shared" si="1"/>
        <v>0</v>
      </c>
      <c r="BB6" s="47">
        <f t="shared" si="1"/>
        <v>0</v>
      </c>
      <c r="BC6" s="47">
        <f t="shared" si="1"/>
        <v>0</v>
      </c>
    </row>
    <row r="7" spans="1:55" ht="14.25" customHeight="1" x14ac:dyDescent="0.2">
      <c r="A7" s="40" t="s">
        <v>230</v>
      </c>
      <c r="B7" s="39">
        <v>0</v>
      </c>
      <c r="C7" s="39">
        <v>0</v>
      </c>
      <c r="D7" s="39">
        <v>0</v>
      </c>
      <c r="E7" s="39">
        <v>0</v>
      </c>
      <c r="F7" s="39">
        <v>0</v>
      </c>
      <c r="G7" s="39">
        <v>0</v>
      </c>
      <c r="H7" s="39">
        <v>0</v>
      </c>
      <c r="I7" s="39">
        <v>0</v>
      </c>
      <c r="J7" s="39">
        <v>0</v>
      </c>
      <c r="K7" s="39">
        <v>0</v>
      </c>
      <c r="L7" s="39">
        <v>0</v>
      </c>
      <c r="M7" s="39">
        <v>0</v>
      </c>
      <c r="N7" s="39">
        <v>0</v>
      </c>
      <c r="O7" s="39">
        <v>0</v>
      </c>
      <c r="P7" s="39">
        <v>0</v>
      </c>
      <c r="Q7" s="39">
        <v>0</v>
      </c>
      <c r="R7" s="39">
        <v>0</v>
      </c>
      <c r="S7" s="39">
        <v>0</v>
      </c>
      <c r="T7" s="39">
        <v>0</v>
      </c>
      <c r="U7" s="39">
        <v>0</v>
      </c>
      <c r="V7" s="39">
        <v>0</v>
      </c>
      <c r="W7" s="39">
        <v>0</v>
      </c>
      <c r="X7" s="39">
        <v>0</v>
      </c>
      <c r="Y7" s="39">
        <v>0</v>
      </c>
      <c r="Z7" s="39">
        <v>0</v>
      </c>
      <c r="AA7" s="39">
        <v>0</v>
      </c>
      <c r="AB7" s="39">
        <v>0</v>
      </c>
      <c r="AC7" s="39">
        <v>0</v>
      </c>
      <c r="AD7" s="39">
        <v>0</v>
      </c>
      <c r="AE7" s="39">
        <v>0</v>
      </c>
      <c r="AF7" s="39">
        <v>0</v>
      </c>
      <c r="AG7" s="39">
        <v>0</v>
      </c>
      <c r="AH7" s="39">
        <v>0</v>
      </c>
      <c r="AI7" s="39">
        <v>0</v>
      </c>
      <c r="AJ7" s="47">
        <f t="shared" si="2"/>
        <v>0</v>
      </c>
      <c r="AK7" s="47">
        <f t="shared" si="1"/>
        <v>0</v>
      </c>
      <c r="AL7" s="47">
        <f t="shared" si="1"/>
        <v>0</v>
      </c>
      <c r="AM7" s="47">
        <f t="shared" si="1"/>
        <v>0</v>
      </c>
      <c r="AN7" s="47">
        <f t="shared" si="1"/>
        <v>0</v>
      </c>
      <c r="AO7" s="47">
        <f t="shared" si="1"/>
        <v>0</v>
      </c>
      <c r="AP7" s="47">
        <f t="shared" si="1"/>
        <v>0</v>
      </c>
      <c r="AQ7" s="47">
        <f t="shared" si="1"/>
        <v>0</v>
      </c>
      <c r="AR7" s="47">
        <f t="shared" si="1"/>
        <v>0</v>
      </c>
      <c r="AS7" s="47">
        <f t="shared" si="1"/>
        <v>0</v>
      </c>
      <c r="AT7" s="47">
        <f t="shared" si="1"/>
        <v>0</v>
      </c>
      <c r="AU7" s="47">
        <f t="shared" si="1"/>
        <v>0</v>
      </c>
      <c r="AV7" s="47">
        <f t="shared" si="1"/>
        <v>0</v>
      </c>
      <c r="AW7" s="47">
        <f t="shared" si="1"/>
        <v>0</v>
      </c>
      <c r="AX7" s="47">
        <f t="shared" si="1"/>
        <v>0</v>
      </c>
      <c r="AY7" s="47">
        <f t="shared" si="1"/>
        <v>0</v>
      </c>
      <c r="AZ7" s="47">
        <f t="shared" si="1"/>
        <v>0</v>
      </c>
      <c r="BA7" s="47">
        <f t="shared" si="1"/>
        <v>0</v>
      </c>
      <c r="BB7" s="47">
        <f t="shared" si="1"/>
        <v>0</v>
      </c>
      <c r="BC7" s="47">
        <f t="shared" si="1"/>
        <v>0</v>
      </c>
    </row>
    <row r="8" spans="1:55" ht="14.25" customHeight="1" x14ac:dyDescent="0.2">
      <c r="A8" s="40" t="s">
        <v>231</v>
      </c>
      <c r="B8" s="39">
        <v>0</v>
      </c>
      <c r="C8" s="39">
        <v>0</v>
      </c>
      <c r="D8" s="39">
        <v>0</v>
      </c>
      <c r="E8" s="39">
        <v>0</v>
      </c>
      <c r="F8" s="39">
        <v>0</v>
      </c>
      <c r="G8" s="39">
        <v>0</v>
      </c>
      <c r="H8" s="39">
        <v>0</v>
      </c>
      <c r="I8" s="39">
        <v>0</v>
      </c>
      <c r="J8" s="39">
        <v>0</v>
      </c>
      <c r="K8" s="39">
        <v>0</v>
      </c>
      <c r="L8" s="39">
        <v>0</v>
      </c>
      <c r="M8" s="39">
        <v>0</v>
      </c>
      <c r="N8" s="39">
        <v>0</v>
      </c>
      <c r="O8" s="39">
        <v>0</v>
      </c>
      <c r="P8" s="39">
        <v>0</v>
      </c>
      <c r="Q8" s="39">
        <v>0</v>
      </c>
      <c r="R8" s="39">
        <v>0</v>
      </c>
      <c r="S8" s="39">
        <v>0</v>
      </c>
      <c r="T8" s="39">
        <v>0</v>
      </c>
      <c r="U8" s="39">
        <v>0</v>
      </c>
      <c r="V8" s="39">
        <v>0</v>
      </c>
      <c r="W8" s="39">
        <v>0</v>
      </c>
      <c r="X8" s="39">
        <v>0</v>
      </c>
      <c r="Y8" s="39">
        <v>0</v>
      </c>
      <c r="Z8" s="39">
        <v>0</v>
      </c>
      <c r="AA8" s="39">
        <v>0</v>
      </c>
      <c r="AB8" s="39">
        <v>0</v>
      </c>
      <c r="AC8" s="39">
        <v>0</v>
      </c>
      <c r="AD8" s="39">
        <v>0</v>
      </c>
      <c r="AE8" s="39">
        <v>0</v>
      </c>
      <c r="AF8" s="39">
        <v>0</v>
      </c>
      <c r="AG8" s="39">
        <v>0</v>
      </c>
      <c r="AH8" s="39">
        <v>0</v>
      </c>
      <c r="AI8" s="39">
        <v>0</v>
      </c>
      <c r="AJ8" s="47">
        <f t="shared" si="2"/>
        <v>0</v>
      </c>
      <c r="AK8" s="47">
        <f t="shared" si="1"/>
        <v>0</v>
      </c>
      <c r="AL8" s="47">
        <f t="shared" si="1"/>
        <v>0</v>
      </c>
      <c r="AM8" s="47">
        <f t="shared" si="1"/>
        <v>0</v>
      </c>
      <c r="AN8" s="47">
        <f t="shared" si="1"/>
        <v>0</v>
      </c>
      <c r="AO8" s="47">
        <f t="shared" si="1"/>
        <v>0</v>
      </c>
      <c r="AP8" s="47">
        <f t="shared" si="1"/>
        <v>0</v>
      </c>
      <c r="AQ8" s="47">
        <f t="shared" si="1"/>
        <v>0</v>
      </c>
      <c r="AR8" s="47">
        <f t="shared" si="1"/>
        <v>0</v>
      </c>
      <c r="AS8" s="47">
        <f t="shared" si="1"/>
        <v>0</v>
      </c>
      <c r="AT8" s="47">
        <f t="shared" si="1"/>
        <v>0</v>
      </c>
      <c r="AU8" s="47">
        <f t="shared" si="1"/>
        <v>0</v>
      </c>
      <c r="AV8" s="47">
        <f t="shared" si="1"/>
        <v>0</v>
      </c>
      <c r="AW8" s="47">
        <f t="shared" si="1"/>
        <v>0</v>
      </c>
      <c r="AX8" s="47">
        <f t="shared" si="1"/>
        <v>0</v>
      </c>
      <c r="AY8" s="47">
        <f t="shared" si="1"/>
        <v>0</v>
      </c>
      <c r="AZ8" s="47">
        <f t="shared" si="1"/>
        <v>0</v>
      </c>
      <c r="BA8" s="47">
        <f t="shared" si="1"/>
        <v>0</v>
      </c>
      <c r="BB8" s="47">
        <f t="shared" si="1"/>
        <v>0</v>
      </c>
      <c r="BC8" s="47">
        <f t="shared" si="1"/>
        <v>0</v>
      </c>
    </row>
    <row r="9" spans="1:55" ht="14.25" customHeight="1" x14ac:dyDescent="0.2">
      <c r="A9" s="40" t="s">
        <v>232</v>
      </c>
      <c r="B9" s="41">
        <v>17906000000000</v>
      </c>
      <c r="C9" s="41">
        <v>17910000000000</v>
      </c>
      <c r="D9" s="41">
        <v>17910000000000</v>
      </c>
      <c r="E9" s="41">
        <v>17910000000000</v>
      </c>
      <c r="F9" s="41">
        <v>17910000000000</v>
      </c>
      <c r="G9" s="41">
        <v>17910000000000</v>
      </c>
      <c r="H9" s="41">
        <v>17910000000000</v>
      </c>
      <c r="I9" s="41">
        <v>17910000000000</v>
      </c>
      <c r="J9" s="41">
        <v>17910000000000</v>
      </c>
      <c r="K9" s="41">
        <v>17910000000000</v>
      </c>
      <c r="L9" s="41">
        <v>17910000000000</v>
      </c>
      <c r="M9" s="41">
        <v>17910000000000</v>
      </c>
      <c r="N9" s="41">
        <v>17910000000000</v>
      </c>
      <c r="O9" s="41">
        <v>17910000000000</v>
      </c>
      <c r="P9" s="41">
        <v>17910000000000</v>
      </c>
      <c r="Q9" s="41">
        <v>17910000000000</v>
      </c>
      <c r="R9" s="41">
        <v>17910000000000</v>
      </c>
      <c r="S9" s="41">
        <v>17910000000000</v>
      </c>
      <c r="T9" s="41">
        <v>17910000000000</v>
      </c>
      <c r="U9" s="41">
        <v>17910000000000</v>
      </c>
      <c r="V9" s="41">
        <v>17910000000000</v>
      </c>
      <c r="W9" s="41">
        <v>17910000000000</v>
      </c>
      <c r="X9" s="41">
        <v>17910000000000</v>
      </c>
      <c r="Y9" s="41">
        <v>17910000000000</v>
      </c>
      <c r="Z9" s="41">
        <v>17910000000000</v>
      </c>
      <c r="AA9" s="41">
        <v>17910000000000</v>
      </c>
      <c r="AB9" s="41">
        <v>17910000000000</v>
      </c>
      <c r="AC9" s="41">
        <v>17910000000000</v>
      </c>
      <c r="AD9" s="41">
        <v>17910000000000</v>
      </c>
      <c r="AE9" s="41">
        <v>17910000000000</v>
      </c>
      <c r="AF9" s="41">
        <v>17910000000000</v>
      </c>
      <c r="AG9" s="41">
        <v>17910000000000</v>
      </c>
      <c r="AH9" s="41">
        <v>17910000000000</v>
      </c>
      <c r="AI9" s="41">
        <v>17910000000000</v>
      </c>
      <c r="AJ9" s="47">
        <f t="shared" si="2"/>
        <v>17910000000000</v>
      </c>
      <c r="AK9" s="47">
        <f t="shared" si="1"/>
        <v>17910000000000</v>
      </c>
      <c r="AL9" s="47">
        <f t="shared" si="1"/>
        <v>17910000000000</v>
      </c>
      <c r="AM9" s="47">
        <f t="shared" si="1"/>
        <v>17910000000000</v>
      </c>
      <c r="AN9" s="47">
        <f t="shared" si="1"/>
        <v>17910000000000</v>
      </c>
      <c r="AO9" s="47">
        <f t="shared" si="1"/>
        <v>17910000000000</v>
      </c>
      <c r="AP9" s="47">
        <f t="shared" si="1"/>
        <v>17910000000000</v>
      </c>
      <c r="AQ9" s="47">
        <f t="shared" si="1"/>
        <v>17910000000000</v>
      </c>
      <c r="AR9" s="47">
        <f t="shared" si="1"/>
        <v>17910000000000</v>
      </c>
      <c r="AS9" s="47">
        <f t="shared" si="1"/>
        <v>17910000000000</v>
      </c>
      <c r="AT9" s="47">
        <f t="shared" si="1"/>
        <v>17910000000000</v>
      </c>
      <c r="AU9" s="47">
        <f t="shared" si="1"/>
        <v>17910000000000</v>
      </c>
      <c r="AV9" s="47">
        <f t="shared" si="1"/>
        <v>17910000000000</v>
      </c>
      <c r="AW9" s="47">
        <f t="shared" si="1"/>
        <v>17910000000000</v>
      </c>
      <c r="AX9" s="47">
        <f t="shared" si="1"/>
        <v>17910000000000</v>
      </c>
      <c r="AY9" s="47">
        <f t="shared" si="1"/>
        <v>17910000000000</v>
      </c>
      <c r="AZ9" s="47">
        <f t="shared" si="1"/>
        <v>17910000000000</v>
      </c>
      <c r="BA9" s="47">
        <f t="shared" si="1"/>
        <v>17910000000000</v>
      </c>
      <c r="BB9" s="47">
        <f t="shared" si="1"/>
        <v>17910000000000</v>
      </c>
      <c r="BC9" s="47">
        <f t="shared" si="1"/>
        <v>17910000000000</v>
      </c>
    </row>
    <row r="10" spans="1:55" ht="14.25" customHeight="1" x14ac:dyDescent="0.2">
      <c r="A10" s="40" t="s">
        <v>233</v>
      </c>
      <c r="B10" s="41">
        <v>5810700000000</v>
      </c>
      <c r="C10" s="41">
        <v>5811000000000</v>
      </c>
      <c r="D10" s="41">
        <v>5811000000000</v>
      </c>
      <c r="E10" s="41">
        <v>5811000000000</v>
      </c>
      <c r="F10" s="41">
        <v>5811000000000</v>
      </c>
      <c r="G10" s="41">
        <v>5811000000000</v>
      </c>
      <c r="H10" s="41">
        <v>5811000000000</v>
      </c>
      <c r="I10" s="41">
        <v>5811000000000</v>
      </c>
      <c r="J10" s="41">
        <v>5811000000000</v>
      </c>
      <c r="K10" s="41">
        <v>5811000000000</v>
      </c>
      <c r="L10" s="41">
        <v>5811000000000</v>
      </c>
      <c r="M10" s="41">
        <v>5811000000000</v>
      </c>
      <c r="N10" s="41">
        <v>5811000000000</v>
      </c>
      <c r="O10" s="41">
        <v>5811000000000</v>
      </c>
      <c r="P10" s="41">
        <v>5811000000000</v>
      </c>
      <c r="Q10" s="41">
        <v>5811000000000</v>
      </c>
      <c r="R10" s="41">
        <v>5811000000000</v>
      </c>
      <c r="S10" s="41">
        <v>5811000000000</v>
      </c>
      <c r="T10" s="41">
        <v>5811000000000</v>
      </c>
      <c r="U10" s="41">
        <v>5811000000000</v>
      </c>
      <c r="V10" s="41">
        <v>5811000000000</v>
      </c>
      <c r="W10" s="41">
        <v>5811000000000</v>
      </c>
      <c r="X10" s="41">
        <v>5811000000000</v>
      </c>
      <c r="Y10" s="41">
        <v>5811000000000</v>
      </c>
      <c r="Z10" s="41">
        <v>5811000000000</v>
      </c>
      <c r="AA10" s="41">
        <v>5811000000000</v>
      </c>
      <c r="AB10" s="41">
        <v>5811000000000</v>
      </c>
      <c r="AC10" s="41">
        <v>5811000000000</v>
      </c>
      <c r="AD10" s="41">
        <v>5811000000000</v>
      </c>
      <c r="AE10" s="41">
        <v>5811000000000</v>
      </c>
      <c r="AF10" s="41">
        <v>5811000000000</v>
      </c>
      <c r="AG10" s="41">
        <v>5811000000000</v>
      </c>
      <c r="AH10" s="41">
        <v>5811000000000</v>
      </c>
      <c r="AI10" s="41">
        <v>5811000000000</v>
      </c>
      <c r="AJ10" s="47">
        <f t="shared" si="2"/>
        <v>5811000000000</v>
      </c>
      <c r="AK10" s="47">
        <f t="shared" si="1"/>
        <v>5811000000000</v>
      </c>
      <c r="AL10" s="47">
        <f t="shared" si="1"/>
        <v>5811000000000</v>
      </c>
      <c r="AM10" s="47">
        <f t="shared" si="1"/>
        <v>5811000000000</v>
      </c>
      <c r="AN10" s="47">
        <f t="shared" si="1"/>
        <v>5811000000000</v>
      </c>
      <c r="AO10" s="47">
        <f t="shared" si="1"/>
        <v>5811000000000</v>
      </c>
      <c r="AP10" s="47">
        <f t="shared" si="1"/>
        <v>5811000000000</v>
      </c>
      <c r="AQ10" s="47">
        <f t="shared" si="1"/>
        <v>5811000000000</v>
      </c>
      <c r="AR10" s="47">
        <f t="shared" si="1"/>
        <v>5811000000000</v>
      </c>
      <c r="AS10" s="47">
        <f t="shared" si="1"/>
        <v>5811000000000</v>
      </c>
      <c r="AT10" s="47">
        <f t="shared" si="1"/>
        <v>5811000000000</v>
      </c>
      <c r="AU10" s="47">
        <f t="shared" si="1"/>
        <v>5811000000000</v>
      </c>
      <c r="AV10" s="47">
        <f t="shared" si="1"/>
        <v>5811000000000</v>
      </c>
      <c r="AW10" s="47">
        <f t="shared" si="1"/>
        <v>5811000000000</v>
      </c>
      <c r="AX10" s="47">
        <f t="shared" si="1"/>
        <v>5811000000000</v>
      </c>
      <c r="AY10" s="47">
        <f t="shared" si="1"/>
        <v>5811000000000</v>
      </c>
      <c r="AZ10" s="47">
        <f t="shared" si="1"/>
        <v>5811000000000</v>
      </c>
      <c r="BA10" s="47">
        <f t="shared" si="1"/>
        <v>5811000000000</v>
      </c>
      <c r="BB10" s="47">
        <f t="shared" si="1"/>
        <v>5811000000000</v>
      </c>
      <c r="BC10" s="47">
        <f t="shared" si="1"/>
        <v>5811000000000</v>
      </c>
    </row>
    <row r="11" spans="1:55" ht="14.25" customHeight="1" x14ac:dyDescent="0.2">
      <c r="A11" s="40" t="s">
        <v>234</v>
      </c>
      <c r="B11" s="41">
        <v>5810700000000</v>
      </c>
      <c r="C11" s="41">
        <v>5811000000000</v>
      </c>
      <c r="D11" s="41">
        <v>5811000000000</v>
      </c>
      <c r="E11" s="41">
        <v>5811000000000</v>
      </c>
      <c r="F11" s="41">
        <v>5811000000000</v>
      </c>
      <c r="G11" s="41">
        <v>5811000000000</v>
      </c>
      <c r="H11" s="41">
        <v>5811000000000</v>
      </c>
      <c r="I11" s="41">
        <v>5811000000000</v>
      </c>
      <c r="J11" s="41">
        <v>5811000000000</v>
      </c>
      <c r="K11" s="41">
        <v>5811000000000</v>
      </c>
      <c r="L11" s="41">
        <v>5811000000000</v>
      </c>
      <c r="M11" s="41">
        <v>5811000000000</v>
      </c>
      <c r="N11" s="41">
        <v>5811000000000</v>
      </c>
      <c r="O11" s="41">
        <v>5811000000000</v>
      </c>
      <c r="P11" s="41">
        <v>5811000000000</v>
      </c>
      <c r="Q11" s="41">
        <v>5811000000000</v>
      </c>
      <c r="R11" s="41">
        <v>5811000000000</v>
      </c>
      <c r="S11" s="41">
        <v>5811000000000</v>
      </c>
      <c r="T11" s="41">
        <v>5811000000000</v>
      </c>
      <c r="U11" s="41">
        <v>5811000000000</v>
      </c>
      <c r="V11" s="41">
        <v>5811000000000</v>
      </c>
      <c r="W11" s="41">
        <v>5811000000000</v>
      </c>
      <c r="X11" s="41">
        <v>5811000000000</v>
      </c>
      <c r="Y11" s="41">
        <v>5811000000000</v>
      </c>
      <c r="Z11" s="41">
        <v>5811000000000</v>
      </c>
      <c r="AA11" s="41">
        <v>5811000000000</v>
      </c>
      <c r="AB11" s="41">
        <v>5811000000000</v>
      </c>
      <c r="AC11" s="41">
        <v>5811000000000</v>
      </c>
      <c r="AD11" s="41">
        <v>5811000000000</v>
      </c>
      <c r="AE11" s="41">
        <v>5811000000000</v>
      </c>
      <c r="AF11" s="41">
        <v>5811000000000</v>
      </c>
      <c r="AG11" s="41">
        <v>5811000000000</v>
      </c>
      <c r="AH11" s="41">
        <v>5811000000000</v>
      </c>
      <c r="AI11" s="41">
        <v>5811000000000</v>
      </c>
      <c r="AJ11" s="47">
        <f t="shared" si="2"/>
        <v>5811000000000</v>
      </c>
      <c r="AK11" s="47">
        <f t="shared" si="1"/>
        <v>5811000000000</v>
      </c>
      <c r="AL11" s="47">
        <f t="shared" si="1"/>
        <v>5811000000000</v>
      </c>
      <c r="AM11" s="47">
        <f t="shared" si="1"/>
        <v>5811000000000</v>
      </c>
      <c r="AN11" s="47">
        <f t="shared" si="1"/>
        <v>5811000000000</v>
      </c>
      <c r="AO11" s="47">
        <f t="shared" si="1"/>
        <v>5811000000000</v>
      </c>
      <c r="AP11" s="47">
        <f t="shared" si="1"/>
        <v>5811000000000</v>
      </c>
      <c r="AQ11" s="47">
        <f t="shared" si="1"/>
        <v>5811000000000</v>
      </c>
      <c r="AR11" s="47">
        <f t="shared" si="1"/>
        <v>5811000000000</v>
      </c>
      <c r="AS11" s="47">
        <f t="shared" si="1"/>
        <v>5811000000000</v>
      </c>
      <c r="AT11" s="47">
        <f t="shared" si="1"/>
        <v>5811000000000</v>
      </c>
      <c r="AU11" s="47">
        <f t="shared" si="1"/>
        <v>5811000000000</v>
      </c>
      <c r="AV11" s="47">
        <f t="shared" si="1"/>
        <v>5811000000000</v>
      </c>
      <c r="AW11" s="47">
        <f t="shared" si="1"/>
        <v>5811000000000</v>
      </c>
      <c r="AX11" s="47">
        <f t="shared" si="1"/>
        <v>5811000000000</v>
      </c>
      <c r="AY11" s="47">
        <f t="shared" si="1"/>
        <v>5811000000000</v>
      </c>
      <c r="AZ11" s="47">
        <f t="shared" si="1"/>
        <v>5811000000000</v>
      </c>
      <c r="BA11" s="47">
        <f t="shared" si="1"/>
        <v>5811000000000</v>
      </c>
      <c r="BB11" s="47">
        <f t="shared" si="1"/>
        <v>5811000000000</v>
      </c>
      <c r="BC11" s="47">
        <f t="shared" si="1"/>
        <v>5811000000000</v>
      </c>
    </row>
    <row r="12" spans="1:55" ht="14.25" customHeight="1" x14ac:dyDescent="0.2">
      <c r="A12" s="40" t="s">
        <v>235</v>
      </c>
      <c r="B12" s="41">
        <v>5810700000000</v>
      </c>
      <c r="C12" s="41">
        <v>5811000000000</v>
      </c>
      <c r="D12" s="41">
        <v>5811000000000</v>
      </c>
      <c r="E12" s="41">
        <v>5811000000000</v>
      </c>
      <c r="F12" s="41">
        <v>5811000000000</v>
      </c>
      <c r="G12" s="41">
        <v>5811000000000</v>
      </c>
      <c r="H12" s="41">
        <v>5811000000000</v>
      </c>
      <c r="I12" s="41">
        <v>5811000000000</v>
      </c>
      <c r="J12" s="41">
        <v>5811000000000</v>
      </c>
      <c r="K12" s="41">
        <v>5811000000000</v>
      </c>
      <c r="L12" s="41">
        <v>5811000000000</v>
      </c>
      <c r="M12" s="41">
        <v>5811000000000</v>
      </c>
      <c r="N12" s="41">
        <v>5811000000000</v>
      </c>
      <c r="O12" s="41">
        <v>5811000000000</v>
      </c>
      <c r="P12" s="41">
        <v>5811000000000</v>
      </c>
      <c r="Q12" s="41">
        <v>5811000000000</v>
      </c>
      <c r="R12" s="41">
        <v>5811000000000</v>
      </c>
      <c r="S12" s="41">
        <v>5811000000000</v>
      </c>
      <c r="T12" s="41">
        <v>5811000000000</v>
      </c>
      <c r="U12" s="41">
        <v>5811000000000</v>
      </c>
      <c r="V12" s="41">
        <v>5811000000000</v>
      </c>
      <c r="W12" s="41">
        <v>5811000000000</v>
      </c>
      <c r="X12" s="41">
        <v>5811000000000</v>
      </c>
      <c r="Y12" s="41">
        <v>5811000000000</v>
      </c>
      <c r="Z12" s="41">
        <v>5811000000000</v>
      </c>
      <c r="AA12" s="41">
        <v>5811000000000</v>
      </c>
      <c r="AB12" s="41">
        <v>5811000000000</v>
      </c>
      <c r="AC12" s="41">
        <v>5811000000000</v>
      </c>
      <c r="AD12" s="41">
        <v>5811000000000</v>
      </c>
      <c r="AE12" s="41">
        <v>5811000000000</v>
      </c>
      <c r="AF12" s="41">
        <v>5811000000000</v>
      </c>
      <c r="AG12" s="41">
        <v>5811000000000</v>
      </c>
      <c r="AH12" s="41">
        <v>5811000000000</v>
      </c>
      <c r="AI12" s="41">
        <v>5811000000000</v>
      </c>
      <c r="AJ12" s="47">
        <f t="shared" si="2"/>
        <v>5811000000000</v>
      </c>
      <c r="AK12" s="47">
        <f t="shared" si="1"/>
        <v>5811000000000</v>
      </c>
      <c r="AL12" s="47">
        <f t="shared" si="1"/>
        <v>5811000000000</v>
      </c>
      <c r="AM12" s="47">
        <f t="shared" si="1"/>
        <v>5811000000000</v>
      </c>
      <c r="AN12" s="47">
        <f t="shared" si="1"/>
        <v>5811000000000</v>
      </c>
      <c r="AO12" s="47">
        <f t="shared" si="1"/>
        <v>5811000000000</v>
      </c>
      <c r="AP12" s="47">
        <f t="shared" si="1"/>
        <v>5811000000000</v>
      </c>
      <c r="AQ12" s="47">
        <f t="shared" si="1"/>
        <v>5811000000000</v>
      </c>
      <c r="AR12" s="47">
        <f t="shared" si="1"/>
        <v>5811000000000</v>
      </c>
      <c r="AS12" s="47">
        <f t="shared" si="1"/>
        <v>5811000000000</v>
      </c>
      <c r="AT12" s="47">
        <f t="shared" si="1"/>
        <v>5811000000000</v>
      </c>
      <c r="AU12" s="47">
        <f t="shared" si="1"/>
        <v>5811000000000</v>
      </c>
      <c r="AV12" s="47">
        <f t="shared" si="1"/>
        <v>5811000000000</v>
      </c>
      <c r="AW12" s="47">
        <f t="shared" si="1"/>
        <v>5811000000000</v>
      </c>
      <c r="AX12" s="47">
        <f t="shared" si="1"/>
        <v>5811000000000</v>
      </c>
      <c r="AY12" s="47">
        <f t="shared" si="1"/>
        <v>5811000000000</v>
      </c>
      <c r="AZ12" s="47">
        <f t="shared" si="1"/>
        <v>5811000000000</v>
      </c>
      <c r="BA12" s="47">
        <f t="shared" si="1"/>
        <v>5811000000000</v>
      </c>
      <c r="BB12" s="47">
        <f t="shared" si="1"/>
        <v>5811000000000</v>
      </c>
      <c r="BC12" s="47">
        <f t="shared" si="1"/>
        <v>5811000000000</v>
      </c>
    </row>
    <row r="13" spans="1:55" ht="14.25" customHeight="1" x14ac:dyDescent="0.2">
      <c r="A13" s="40" t="s">
        <v>236</v>
      </c>
      <c r="B13" s="41">
        <v>5810700000000</v>
      </c>
      <c r="C13" s="41">
        <v>5811000000000</v>
      </c>
      <c r="D13" s="41">
        <v>5811000000000</v>
      </c>
      <c r="E13" s="41">
        <v>5811000000000</v>
      </c>
      <c r="F13" s="41">
        <v>5811000000000</v>
      </c>
      <c r="G13" s="41">
        <v>5811000000000</v>
      </c>
      <c r="H13" s="41">
        <v>5811000000000</v>
      </c>
      <c r="I13" s="41">
        <v>5811000000000</v>
      </c>
      <c r="J13" s="41">
        <v>5811000000000</v>
      </c>
      <c r="K13" s="41">
        <v>5811000000000</v>
      </c>
      <c r="L13" s="41">
        <v>5811000000000</v>
      </c>
      <c r="M13" s="41">
        <v>5811000000000</v>
      </c>
      <c r="N13" s="41">
        <v>5811000000000</v>
      </c>
      <c r="O13" s="41">
        <v>5811000000000</v>
      </c>
      <c r="P13" s="41">
        <v>5811000000000</v>
      </c>
      <c r="Q13" s="41">
        <v>5811000000000</v>
      </c>
      <c r="R13" s="41">
        <v>5811000000000</v>
      </c>
      <c r="S13" s="41">
        <v>5811000000000</v>
      </c>
      <c r="T13" s="41">
        <v>5811000000000</v>
      </c>
      <c r="U13" s="41">
        <v>5811000000000</v>
      </c>
      <c r="V13" s="41">
        <v>5811000000000</v>
      </c>
      <c r="W13" s="41">
        <v>5811000000000</v>
      </c>
      <c r="X13" s="41">
        <v>5811000000000</v>
      </c>
      <c r="Y13" s="41">
        <v>5811000000000</v>
      </c>
      <c r="Z13" s="41">
        <v>5811000000000</v>
      </c>
      <c r="AA13" s="41">
        <v>5811000000000</v>
      </c>
      <c r="AB13" s="41">
        <v>5811000000000</v>
      </c>
      <c r="AC13" s="41">
        <v>5811000000000</v>
      </c>
      <c r="AD13" s="41">
        <v>5811000000000</v>
      </c>
      <c r="AE13" s="41">
        <v>5811000000000</v>
      </c>
      <c r="AF13" s="41">
        <v>5811000000000</v>
      </c>
      <c r="AG13" s="41">
        <v>5811000000000</v>
      </c>
      <c r="AH13" s="41">
        <v>5811000000000</v>
      </c>
      <c r="AI13" s="41">
        <v>5811000000000</v>
      </c>
      <c r="AJ13" s="47">
        <f t="shared" si="2"/>
        <v>5811000000000</v>
      </c>
      <c r="AK13" s="47">
        <f t="shared" si="1"/>
        <v>5811000000000</v>
      </c>
      <c r="AL13" s="47">
        <f t="shared" si="1"/>
        <v>5811000000000</v>
      </c>
      <c r="AM13" s="47">
        <f t="shared" si="1"/>
        <v>5811000000000</v>
      </c>
      <c r="AN13" s="47">
        <f t="shared" si="1"/>
        <v>5811000000000</v>
      </c>
      <c r="AO13" s="47">
        <f t="shared" si="1"/>
        <v>5811000000000</v>
      </c>
      <c r="AP13" s="47">
        <f t="shared" si="1"/>
        <v>5811000000000</v>
      </c>
      <c r="AQ13" s="47">
        <f t="shared" si="1"/>
        <v>5811000000000</v>
      </c>
      <c r="AR13" s="47">
        <f t="shared" si="1"/>
        <v>5811000000000</v>
      </c>
      <c r="AS13" s="47">
        <f t="shared" si="1"/>
        <v>5811000000000</v>
      </c>
      <c r="AT13" s="47">
        <f t="shared" si="1"/>
        <v>5811000000000</v>
      </c>
      <c r="AU13" s="47">
        <f t="shared" si="1"/>
        <v>5811000000000</v>
      </c>
      <c r="AV13" s="47">
        <f t="shared" si="1"/>
        <v>5811000000000</v>
      </c>
      <c r="AW13" s="47">
        <f t="shared" si="1"/>
        <v>5811000000000</v>
      </c>
      <c r="AX13" s="47">
        <f t="shared" si="1"/>
        <v>5811000000000</v>
      </c>
      <c r="AY13" s="47">
        <f t="shared" si="1"/>
        <v>5811000000000</v>
      </c>
      <c r="AZ13" s="47">
        <f t="shared" si="1"/>
        <v>5811000000000</v>
      </c>
      <c r="BA13" s="47">
        <f t="shared" si="1"/>
        <v>5811000000000</v>
      </c>
      <c r="BB13" s="47">
        <f t="shared" si="1"/>
        <v>5811000000000</v>
      </c>
      <c r="BC13" s="47">
        <f t="shared" si="1"/>
        <v>5811000000000</v>
      </c>
    </row>
    <row r="14" spans="1:55" ht="14.25" customHeight="1" x14ac:dyDescent="0.2">
      <c r="A14" s="40" t="s">
        <v>237</v>
      </c>
      <c r="B14" s="41">
        <v>5810700000000</v>
      </c>
      <c r="C14" s="41">
        <v>5811000000000</v>
      </c>
      <c r="D14" s="41">
        <v>5811000000000</v>
      </c>
      <c r="E14" s="41">
        <v>5811000000000</v>
      </c>
      <c r="F14" s="41">
        <v>5811000000000</v>
      </c>
      <c r="G14" s="41">
        <v>5811000000000</v>
      </c>
      <c r="H14" s="41">
        <v>5811000000000</v>
      </c>
      <c r="I14" s="41">
        <v>5811000000000</v>
      </c>
      <c r="J14" s="41">
        <v>5811000000000</v>
      </c>
      <c r="K14" s="41">
        <v>5811000000000</v>
      </c>
      <c r="L14" s="41">
        <v>5811000000000</v>
      </c>
      <c r="M14" s="41">
        <v>5811000000000</v>
      </c>
      <c r="N14" s="41">
        <v>5811000000000</v>
      </c>
      <c r="O14" s="41">
        <v>5811000000000</v>
      </c>
      <c r="P14" s="41">
        <v>5811000000000</v>
      </c>
      <c r="Q14" s="41">
        <v>5811000000000</v>
      </c>
      <c r="R14" s="41">
        <v>5811000000000</v>
      </c>
      <c r="S14" s="41">
        <v>5811000000000</v>
      </c>
      <c r="T14" s="41">
        <v>5811000000000</v>
      </c>
      <c r="U14" s="41">
        <v>5811000000000</v>
      </c>
      <c r="V14" s="41">
        <v>5811000000000</v>
      </c>
      <c r="W14" s="41">
        <v>5811000000000</v>
      </c>
      <c r="X14" s="41">
        <v>5811000000000</v>
      </c>
      <c r="Y14" s="41">
        <v>5811000000000</v>
      </c>
      <c r="Z14" s="41">
        <v>5811000000000</v>
      </c>
      <c r="AA14" s="41">
        <v>5811000000000</v>
      </c>
      <c r="AB14" s="41">
        <v>5811000000000</v>
      </c>
      <c r="AC14" s="41">
        <v>5811000000000</v>
      </c>
      <c r="AD14" s="41">
        <v>5811000000000</v>
      </c>
      <c r="AE14" s="41">
        <v>5811000000000</v>
      </c>
      <c r="AF14" s="41">
        <v>5811000000000</v>
      </c>
      <c r="AG14" s="41">
        <v>5811000000000</v>
      </c>
      <c r="AH14" s="41">
        <v>5811000000000</v>
      </c>
      <c r="AI14" s="41">
        <v>5811000000000</v>
      </c>
      <c r="AJ14" s="47">
        <f t="shared" si="2"/>
        <v>5811000000000</v>
      </c>
      <c r="AK14" s="47">
        <f t="shared" si="1"/>
        <v>5811000000000</v>
      </c>
      <c r="AL14" s="47">
        <f t="shared" si="1"/>
        <v>5811000000000</v>
      </c>
      <c r="AM14" s="47">
        <f t="shared" si="1"/>
        <v>5811000000000</v>
      </c>
      <c r="AN14" s="47">
        <f t="shared" si="1"/>
        <v>5811000000000</v>
      </c>
      <c r="AO14" s="47">
        <f t="shared" si="1"/>
        <v>5811000000000</v>
      </c>
      <c r="AP14" s="47">
        <f t="shared" si="1"/>
        <v>5811000000000</v>
      </c>
      <c r="AQ14" s="47">
        <f t="shared" si="1"/>
        <v>5811000000000</v>
      </c>
      <c r="AR14" s="47">
        <f t="shared" si="1"/>
        <v>5811000000000</v>
      </c>
      <c r="AS14" s="47">
        <f t="shared" si="1"/>
        <v>5811000000000</v>
      </c>
      <c r="AT14" s="47">
        <f t="shared" si="1"/>
        <v>5811000000000</v>
      </c>
      <c r="AU14" s="47">
        <f t="shared" si="1"/>
        <v>5811000000000</v>
      </c>
      <c r="AV14" s="47">
        <f t="shared" si="1"/>
        <v>5811000000000</v>
      </c>
      <c r="AW14" s="47">
        <f t="shared" si="1"/>
        <v>5811000000000</v>
      </c>
      <c r="AX14" s="47">
        <f t="shared" si="1"/>
        <v>5811000000000</v>
      </c>
      <c r="AY14" s="47">
        <f t="shared" si="1"/>
        <v>5811000000000</v>
      </c>
      <c r="AZ14" s="47">
        <f t="shared" si="1"/>
        <v>5811000000000</v>
      </c>
      <c r="BA14" s="47">
        <f t="shared" si="1"/>
        <v>5811000000000</v>
      </c>
      <c r="BB14" s="47">
        <f t="shared" si="1"/>
        <v>5811000000000</v>
      </c>
      <c r="BC14" s="47">
        <f t="shared" si="1"/>
        <v>5811000000000</v>
      </c>
    </row>
    <row r="15" spans="1:55" ht="14.25" customHeight="1" x14ac:dyDescent="0.2">
      <c r="A15" s="40" t="s">
        <v>238</v>
      </c>
      <c r="B15" s="41">
        <v>3142000000000</v>
      </c>
      <c r="C15" s="41">
        <v>3142000000000</v>
      </c>
      <c r="D15" s="41">
        <v>3142000000000</v>
      </c>
      <c r="E15" s="41">
        <v>3142000000000</v>
      </c>
      <c r="F15" s="41">
        <v>3142000000000</v>
      </c>
      <c r="G15" s="41">
        <v>3142000000000</v>
      </c>
      <c r="H15" s="41">
        <v>3142000000000</v>
      </c>
      <c r="I15" s="41">
        <v>3142000000000</v>
      </c>
      <c r="J15" s="41">
        <v>3142000000000</v>
      </c>
      <c r="K15" s="41">
        <v>3142000000000</v>
      </c>
      <c r="L15" s="41">
        <v>3142000000000</v>
      </c>
      <c r="M15" s="41">
        <v>3142000000000</v>
      </c>
      <c r="N15" s="41">
        <v>3142000000000</v>
      </c>
      <c r="O15" s="41">
        <v>3142000000000</v>
      </c>
      <c r="P15" s="41">
        <v>3142000000000</v>
      </c>
      <c r="Q15" s="41">
        <v>3142000000000</v>
      </c>
      <c r="R15" s="41">
        <v>3142000000000</v>
      </c>
      <c r="S15" s="41">
        <v>3142000000000</v>
      </c>
      <c r="T15" s="41">
        <v>3142000000000</v>
      </c>
      <c r="U15" s="41">
        <v>3142000000000</v>
      </c>
      <c r="V15" s="41">
        <v>3142000000000</v>
      </c>
      <c r="W15" s="41">
        <v>3142000000000</v>
      </c>
      <c r="X15" s="41">
        <v>3142000000000</v>
      </c>
      <c r="Y15" s="41">
        <v>3142000000000</v>
      </c>
      <c r="Z15" s="41">
        <v>3142000000000</v>
      </c>
      <c r="AA15" s="41">
        <v>3142000000000</v>
      </c>
      <c r="AB15" s="41">
        <v>3142000000000</v>
      </c>
      <c r="AC15" s="41">
        <v>3142000000000</v>
      </c>
      <c r="AD15" s="41">
        <v>3142000000000</v>
      </c>
      <c r="AE15" s="41">
        <v>3142000000000</v>
      </c>
      <c r="AF15" s="41">
        <v>3142000000000</v>
      </c>
      <c r="AG15" s="41">
        <v>3142000000000</v>
      </c>
      <c r="AH15" s="41">
        <v>3142000000000</v>
      </c>
      <c r="AI15" s="41">
        <v>3142000000000</v>
      </c>
      <c r="AJ15" s="47">
        <f t="shared" si="2"/>
        <v>3142000000000</v>
      </c>
      <c r="AK15" s="47">
        <f t="shared" si="1"/>
        <v>3142000000000</v>
      </c>
      <c r="AL15" s="47">
        <f t="shared" si="1"/>
        <v>3142000000000</v>
      </c>
      <c r="AM15" s="47">
        <f t="shared" si="1"/>
        <v>3142000000000</v>
      </c>
      <c r="AN15" s="47">
        <f t="shared" si="1"/>
        <v>3142000000000</v>
      </c>
      <c r="AO15" s="47">
        <f t="shared" si="1"/>
        <v>3142000000000</v>
      </c>
      <c r="AP15" s="47">
        <f t="shared" si="1"/>
        <v>3142000000000</v>
      </c>
      <c r="AQ15" s="47">
        <f t="shared" si="1"/>
        <v>3142000000000</v>
      </c>
      <c r="AR15" s="47">
        <f t="shared" si="1"/>
        <v>3142000000000</v>
      </c>
      <c r="AS15" s="47">
        <f t="shared" si="1"/>
        <v>3142000000000</v>
      </c>
      <c r="AT15" s="47">
        <f t="shared" si="1"/>
        <v>3142000000000</v>
      </c>
      <c r="AU15" s="47">
        <f t="shared" si="1"/>
        <v>3142000000000</v>
      </c>
      <c r="AV15" s="47">
        <f t="shared" si="1"/>
        <v>3142000000000</v>
      </c>
      <c r="AW15" s="47">
        <f t="shared" si="1"/>
        <v>3142000000000</v>
      </c>
      <c r="AX15" s="47">
        <f t="shared" si="1"/>
        <v>3142000000000</v>
      </c>
      <c r="AY15" s="47">
        <f t="shared" si="1"/>
        <v>3142000000000</v>
      </c>
      <c r="AZ15" s="47">
        <f t="shared" si="1"/>
        <v>3142000000000</v>
      </c>
      <c r="BA15" s="47">
        <f t="shared" si="1"/>
        <v>3142000000000</v>
      </c>
      <c r="BB15" s="47">
        <f t="shared" si="1"/>
        <v>3142000000000</v>
      </c>
      <c r="BC15" s="47">
        <f t="shared" si="1"/>
        <v>3142000000000</v>
      </c>
    </row>
    <row r="16" spans="1:55" ht="14.25" customHeight="1" x14ac:dyDescent="0.2">
      <c r="A16" s="40" t="s">
        <v>239</v>
      </c>
      <c r="B16" s="39">
        <v>0</v>
      </c>
      <c r="C16" s="39">
        <v>0</v>
      </c>
      <c r="D16" s="39">
        <v>0</v>
      </c>
      <c r="E16" s="39">
        <v>0</v>
      </c>
      <c r="F16" s="39">
        <v>0</v>
      </c>
      <c r="G16" s="39">
        <v>0</v>
      </c>
      <c r="H16" s="39">
        <v>0</v>
      </c>
      <c r="I16" s="39">
        <v>0</v>
      </c>
      <c r="J16" s="39">
        <v>0</v>
      </c>
      <c r="K16" s="39">
        <v>0</v>
      </c>
      <c r="L16" s="39">
        <v>0</v>
      </c>
      <c r="M16" s="39">
        <v>0</v>
      </c>
      <c r="N16" s="39">
        <v>0</v>
      </c>
      <c r="O16" s="39">
        <v>0</v>
      </c>
      <c r="P16" s="39">
        <v>0</v>
      </c>
      <c r="Q16" s="39">
        <v>0</v>
      </c>
      <c r="R16" s="39">
        <v>0</v>
      </c>
      <c r="S16" s="39">
        <v>0</v>
      </c>
      <c r="T16" s="39">
        <v>0</v>
      </c>
      <c r="U16" s="39">
        <v>0</v>
      </c>
      <c r="V16" s="39">
        <v>0</v>
      </c>
      <c r="W16" s="39">
        <v>0</v>
      </c>
      <c r="X16" s="39">
        <v>0</v>
      </c>
      <c r="Y16" s="39">
        <v>0</v>
      </c>
      <c r="Z16" s="39">
        <v>0</v>
      </c>
      <c r="AA16" s="39">
        <v>0</v>
      </c>
      <c r="AB16" s="39">
        <v>0</v>
      </c>
      <c r="AC16" s="39">
        <v>0</v>
      </c>
      <c r="AD16" s="39">
        <v>0</v>
      </c>
      <c r="AE16" s="39">
        <v>0</v>
      </c>
      <c r="AF16" s="39">
        <v>0</v>
      </c>
      <c r="AG16" s="39">
        <v>0</v>
      </c>
      <c r="AH16" s="39">
        <v>0</v>
      </c>
      <c r="AI16" s="39">
        <v>0</v>
      </c>
      <c r="AJ16" s="47">
        <f t="shared" si="2"/>
        <v>0</v>
      </c>
      <c r="AK16" s="47">
        <f t="shared" si="1"/>
        <v>0</v>
      </c>
      <c r="AL16" s="47">
        <f t="shared" si="1"/>
        <v>0</v>
      </c>
      <c r="AM16" s="47">
        <f t="shared" si="1"/>
        <v>0</v>
      </c>
      <c r="AN16" s="47">
        <f t="shared" si="1"/>
        <v>0</v>
      </c>
      <c r="AO16" s="47">
        <f t="shared" si="1"/>
        <v>0</v>
      </c>
      <c r="AP16" s="47">
        <f t="shared" si="1"/>
        <v>0</v>
      </c>
      <c r="AQ16" s="47">
        <f t="shared" si="1"/>
        <v>0</v>
      </c>
      <c r="AR16" s="47">
        <f t="shared" si="1"/>
        <v>0</v>
      </c>
      <c r="AS16" s="47">
        <f t="shared" si="1"/>
        <v>0</v>
      </c>
      <c r="AT16" s="47">
        <f t="shared" si="1"/>
        <v>0</v>
      </c>
      <c r="AU16" s="47">
        <f t="shared" si="1"/>
        <v>0</v>
      </c>
      <c r="AV16" s="47">
        <f t="shared" si="1"/>
        <v>0</v>
      </c>
      <c r="AW16" s="47">
        <f t="shared" si="1"/>
        <v>0</v>
      </c>
      <c r="AX16" s="47">
        <f t="shared" si="1"/>
        <v>0</v>
      </c>
      <c r="AY16" s="47">
        <f t="shared" si="1"/>
        <v>0</v>
      </c>
      <c r="AZ16" s="47">
        <f t="shared" si="1"/>
        <v>0</v>
      </c>
      <c r="BA16" s="47">
        <f t="shared" si="1"/>
        <v>0</v>
      </c>
      <c r="BB16" s="47">
        <f t="shared" si="1"/>
        <v>0</v>
      </c>
      <c r="BC16" s="47">
        <f t="shared" si="1"/>
        <v>0</v>
      </c>
    </row>
    <row r="17" spans="1:55" ht="14.25" customHeight="1" x14ac:dyDescent="0.2">
      <c r="A17" s="40" t="s">
        <v>240</v>
      </c>
      <c r="B17" s="41">
        <v>12992300000000</v>
      </c>
      <c r="C17" s="41">
        <v>12990000000000</v>
      </c>
      <c r="D17" s="41">
        <v>12990000000000</v>
      </c>
      <c r="E17" s="41">
        <v>12990000000000</v>
      </c>
      <c r="F17" s="41">
        <v>12990000000000</v>
      </c>
      <c r="G17" s="41">
        <v>12990000000000</v>
      </c>
      <c r="H17" s="41">
        <v>12990000000000</v>
      </c>
      <c r="I17" s="41">
        <v>12990000000000</v>
      </c>
      <c r="J17" s="41">
        <v>12990000000000</v>
      </c>
      <c r="K17" s="41">
        <v>12990000000000</v>
      </c>
      <c r="L17" s="41">
        <v>12990000000000</v>
      </c>
      <c r="M17" s="41">
        <v>12990000000000</v>
      </c>
      <c r="N17" s="41">
        <v>12990000000000</v>
      </c>
      <c r="O17" s="41">
        <v>12990000000000</v>
      </c>
      <c r="P17" s="41">
        <v>12990000000000</v>
      </c>
      <c r="Q17" s="41">
        <v>12990000000000</v>
      </c>
      <c r="R17" s="41">
        <v>12990000000000</v>
      </c>
      <c r="S17" s="41">
        <v>12990000000000</v>
      </c>
      <c r="T17" s="41">
        <v>12990000000000</v>
      </c>
      <c r="U17" s="41">
        <v>12990000000000</v>
      </c>
      <c r="V17" s="41">
        <v>12990000000000</v>
      </c>
      <c r="W17" s="41">
        <v>12990000000000</v>
      </c>
      <c r="X17" s="41">
        <v>12990000000000</v>
      </c>
      <c r="Y17" s="41">
        <v>12990000000000</v>
      </c>
      <c r="Z17" s="41">
        <v>12990000000000</v>
      </c>
      <c r="AA17" s="41">
        <v>12990000000000</v>
      </c>
      <c r="AB17" s="41">
        <v>12990000000000</v>
      </c>
      <c r="AC17" s="41">
        <v>12990000000000</v>
      </c>
      <c r="AD17" s="41">
        <v>12990000000000</v>
      </c>
      <c r="AE17" s="41">
        <v>12990000000000</v>
      </c>
      <c r="AF17" s="41">
        <v>12990000000000</v>
      </c>
      <c r="AG17" s="41">
        <v>12990000000000</v>
      </c>
      <c r="AH17" s="41">
        <v>12990000000000</v>
      </c>
      <c r="AI17" s="41">
        <v>12990000000000</v>
      </c>
      <c r="AJ17" s="47">
        <f t="shared" si="2"/>
        <v>12990000000000</v>
      </c>
      <c r="AK17" s="47">
        <f t="shared" si="1"/>
        <v>12990000000000</v>
      </c>
      <c r="AL17" s="47">
        <f t="shared" si="1"/>
        <v>12990000000000</v>
      </c>
      <c r="AM17" s="47">
        <f t="shared" si="1"/>
        <v>12990000000000</v>
      </c>
      <c r="AN17" s="47">
        <f t="shared" si="1"/>
        <v>12990000000000</v>
      </c>
      <c r="AO17" s="47">
        <f t="shared" si="1"/>
        <v>12990000000000</v>
      </c>
      <c r="AP17" s="47">
        <f t="shared" si="1"/>
        <v>12990000000000</v>
      </c>
      <c r="AQ17" s="47">
        <f t="shared" si="1"/>
        <v>12990000000000</v>
      </c>
      <c r="AR17" s="47">
        <f t="shared" si="1"/>
        <v>12990000000000</v>
      </c>
      <c r="AS17" s="47">
        <f t="shared" si="1"/>
        <v>12990000000000</v>
      </c>
      <c r="AT17" s="47">
        <f t="shared" si="1"/>
        <v>12990000000000</v>
      </c>
      <c r="AU17" s="47">
        <f t="shared" si="1"/>
        <v>12990000000000</v>
      </c>
      <c r="AV17" s="47">
        <f t="shared" si="1"/>
        <v>12990000000000</v>
      </c>
      <c r="AW17" s="47">
        <f t="shared" si="1"/>
        <v>12990000000000</v>
      </c>
      <c r="AX17" s="47">
        <f t="shared" si="1"/>
        <v>12990000000000</v>
      </c>
      <c r="AY17" s="47">
        <f t="shared" si="1"/>
        <v>12990000000000</v>
      </c>
      <c r="AZ17" s="47">
        <f t="shared" si="1"/>
        <v>12990000000000</v>
      </c>
      <c r="BA17" s="47">
        <f t="shared" si="1"/>
        <v>12990000000000</v>
      </c>
      <c r="BB17" s="47">
        <f t="shared" si="1"/>
        <v>12990000000000</v>
      </c>
      <c r="BC17" s="47">
        <f t="shared" si="1"/>
        <v>12990000000000</v>
      </c>
    </row>
    <row r="18" spans="1:55" ht="14.25" customHeight="1" x14ac:dyDescent="0.2">
      <c r="A18" s="40" t="s">
        <v>241</v>
      </c>
      <c r="B18" s="41">
        <v>5810700000000</v>
      </c>
      <c r="C18" s="41">
        <v>5811000000000</v>
      </c>
      <c r="D18" s="41">
        <v>5811000000000</v>
      </c>
      <c r="E18" s="41">
        <v>5811000000000</v>
      </c>
      <c r="F18" s="41">
        <v>5811000000000</v>
      </c>
      <c r="G18" s="41">
        <v>5811000000000</v>
      </c>
      <c r="H18" s="41">
        <v>5811000000000</v>
      </c>
      <c r="I18" s="41">
        <v>5811000000000</v>
      </c>
      <c r="J18" s="41">
        <v>5811000000000</v>
      </c>
      <c r="K18" s="41">
        <v>5811000000000</v>
      </c>
      <c r="L18" s="41">
        <v>5811000000000</v>
      </c>
      <c r="M18" s="41">
        <v>5811000000000</v>
      </c>
      <c r="N18" s="41">
        <v>5811000000000</v>
      </c>
      <c r="O18" s="41">
        <v>5811000000000</v>
      </c>
      <c r="P18" s="41">
        <v>5811000000000</v>
      </c>
      <c r="Q18" s="41">
        <v>5811000000000</v>
      </c>
      <c r="R18" s="41">
        <v>5811000000000</v>
      </c>
      <c r="S18" s="41">
        <v>5811000000000</v>
      </c>
      <c r="T18" s="41">
        <v>5811000000000</v>
      </c>
      <c r="U18" s="41">
        <v>5811000000000</v>
      </c>
      <c r="V18" s="41">
        <v>5811000000000</v>
      </c>
      <c r="W18" s="41">
        <v>5811000000000</v>
      </c>
      <c r="X18" s="41">
        <v>5811000000000</v>
      </c>
      <c r="Y18" s="41">
        <v>5811000000000</v>
      </c>
      <c r="Z18" s="41">
        <v>5811000000000</v>
      </c>
      <c r="AA18" s="41">
        <v>5811000000000</v>
      </c>
      <c r="AB18" s="41">
        <v>5811000000000</v>
      </c>
      <c r="AC18" s="41">
        <v>5811000000000</v>
      </c>
      <c r="AD18" s="41">
        <v>5811000000000</v>
      </c>
      <c r="AE18" s="41">
        <v>5811000000000</v>
      </c>
      <c r="AF18" s="41">
        <v>5811000000000</v>
      </c>
      <c r="AG18" s="41">
        <v>5811000000000</v>
      </c>
      <c r="AH18" s="41">
        <v>5811000000000</v>
      </c>
      <c r="AI18" s="41">
        <v>5811000000000</v>
      </c>
      <c r="AJ18" s="47">
        <f t="shared" si="2"/>
        <v>5811000000000</v>
      </c>
      <c r="AK18" s="47">
        <f t="shared" si="1"/>
        <v>5811000000000</v>
      </c>
      <c r="AL18" s="47">
        <f t="shared" si="1"/>
        <v>5811000000000</v>
      </c>
      <c r="AM18" s="47">
        <f t="shared" si="1"/>
        <v>5811000000000</v>
      </c>
      <c r="AN18" s="47">
        <f t="shared" si="1"/>
        <v>5811000000000</v>
      </c>
      <c r="AO18" s="47">
        <f t="shared" ref="AK18:BC22" si="3">AN18</f>
        <v>5811000000000</v>
      </c>
      <c r="AP18" s="47">
        <f t="shared" si="3"/>
        <v>5811000000000</v>
      </c>
      <c r="AQ18" s="47">
        <f t="shared" si="3"/>
        <v>5811000000000</v>
      </c>
      <c r="AR18" s="47">
        <f t="shared" si="3"/>
        <v>5811000000000</v>
      </c>
      <c r="AS18" s="47">
        <f t="shared" si="3"/>
        <v>5811000000000</v>
      </c>
      <c r="AT18" s="47">
        <f t="shared" si="3"/>
        <v>5811000000000</v>
      </c>
      <c r="AU18" s="47">
        <f t="shared" si="3"/>
        <v>5811000000000</v>
      </c>
      <c r="AV18" s="47">
        <f t="shared" si="3"/>
        <v>5811000000000</v>
      </c>
      <c r="AW18" s="47">
        <f t="shared" si="3"/>
        <v>5811000000000</v>
      </c>
      <c r="AX18" s="47">
        <f t="shared" si="3"/>
        <v>5811000000000</v>
      </c>
      <c r="AY18" s="47">
        <f t="shared" si="3"/>
        <v>5811000000000</v>
      </c>
      <c r="AZ18" s="47">
        <f t="shared" si="3"/>
        <v>5811000000000</v>
      </c>
      <c r="BA18" s="47">
        <f t="shared" si="3"/>
        <v>5811000000000</v>
      </c>
      <c r="BB18" s="47">
        <f t="shared" si="3"/>
        <v>5811000000000</v>
      </c>
      <c r="BC18" s="47">
        <f t="shared" si="3"/>
        <v>5811000000000</v>
      </c>
    </row>
    <row r="19" spans="1:55" ht="14.25" customHeight="1" x14ac:dyDescent="0.2">
      <c r="A19" s="40" t="s">
        <v>242</v>
      </c>
      <c r="B19" s="41">
        <v>5810700000000</v>
      </c>
      <c r="C19" s="41">
        <v>5811000000000</v>
      </c>
      <c r="D19" s="41">
        <v>5811000000000</v>
      </c>
      <c r="E19" s="41">
        <v>5811000000000</v>
      </c>
      <c r="F19" s="41">
        <v>5811000000000</v>
      </c>
      <c r="G19" s="41">
        <v>5811000000000</v>
      </c>
      <c r="H19" s="41">
        <v>5811000000000</v>
      </c>
      <c r="I19" s="41">
        <v>5811000000000</v>
      </c>
      <c r="J19" s="41">
        <v>5811000000000</v>
      </c>
      <c r="K19" s="41">
        <v>5811000000000</v>
      </c>
      <c r="L19" s="41">
        <v>5811000000000</v>
      </c>
      <c r="M19" s="41">
        <v>5811000000000</v>
      </c>
      <c r="N19" s="41">
        <v>5811000000000</v>
      </c>
      <c r="O19" s="41">
        <v>5811000000000</v>
      </c>
      <c r="P19" s="41">
        <v>5811000000000</v>
      </c>
      <c r="Q19" s="41">
        <v>5811000000000</v>
      </c>
      <c r="R19" s="41">
        <v>5811000000000</v>
      </c>
      <c r="S19" s="41">
        <v>5811000000000</v>
      </c>
      <c r="T19" s="41">
        <v>5811000000000</v>
      </c>
      <c r="U19" s="41">
        <v>5811000000000</v>
      </c>
      <c r="V19" s="41">
        <v>5811000000000</v>
      </c>
      <c r="W19" s="41">
        <v>5811000000000</v>
      </c>
      <c r="X19" s="41">
        <v>5811000000000</v>
      </c>
      <c r="Y19" s="41">
        <v>5811000000000</v>
      </c>
      <c r="Z19" s="41">
        <v>5811000000000</v>
      </c>
      <c r="AA19" s="41">
        <v>5811000000000</v>
      </c>
      <c r="AB19" s="41">
        <v>5811000000000</v>
      </c>
      <c r="AC19" s="41">
        <v>5811000000000</v>
      </c>
      <c r="AD19" s="41">
        <v>5811000000000</v>
      </c>
      <c r="AE19" s="41">
        <v>5811000000000</v>
      </c>
      <c r="AF19" s="41">
        <v>5811000000000</v>
      </c>
      <c r="AG19" s="41">
        <v>5811000000000</v>
      </c>
      <c r="AH19" s="41">
        <v>5811000000000</v>
      </c>
      <c r="AI19" s="41">
        <v>5811000000000</v>
      </c>
      <c r="AJ19" s="47">
        <f t="shared" si="2"/>
        <v>5811000000000</v>
      </c>
      <c r="AK19" s="47">
        <f t="shared" si="3"/>
        <v>5811000000000</v>
      </c>
      <c r="AL19" s="47">
        <f t="shared" si="3"/>
        <v>5811000000000</v>
      </c>
      <c r="AM19" s="47">
        <f t="shared" si="3"/>
        <v>5811000000000</v>
      </c>
      <c r="AN19" s="47">
        <f t="shared" si="3"/>
        <v>5811000000000</v>
      </c>
      <c r="AO19" s="47">
        <f t="shared" si="3"/>
        <v>5811000000000</v>
      </c>
      <c r="AP19" s="47">
        <f t="shared" si="3"/>
        <v>5811000000000</v>
      </c>
      <c r="AQ19" s="47">
        <f t="shared" si="3"/>
        <v>5811000000000</v>
      </c>
      <c r="AR19" s="47">
        <f t="shared" si="3"/>
        <v>5811000000000</v>
      </c>
      <c r="AS19" s="47">
        <f t="shared" si="3"/>
        <v>5811000000000</v>
      </c>
      <c r="AT19" s="47">
        <f t="shared" si="3"/>
        <v>5811000000000</v>
      </c>
      <c r="AU19" s="47">
        <f t="shared" si="3"/>
        <v>5811000000000</v>
      </c>
      <c r="AV19" s="47">
        <f t="shared" si="3"/>
        <v>5811000000000</v>
      </c>
      <c r="AW19" s="47">
        <f t="shared" si="3"/>
        <v>5811000000000</v>
      </c>
      <c r="AX19" s="47">
        <f t="shared" si="3"/>
        <v>5811000000000</v>
      </c>
      <c r="AY19" s="47">
        <f t="shared" si="3"/>
        <v>5811000000000</v>
      </c>
      <c r="AZ19" s="47">
        <f t="shared" si="3"/>
        <v>5811000000000</v>
      </c>
      <c r="BA19" s="47">
        <f t="shared" si="3"/>
        <v>5811000000000</v>
      </c>
      <c r="BB19" s="47">
        <f t="shared" si="3"/>
        <v>5811000000000</v>
      </c>
      <c r="BC19" s="47">
        <f t="shared" si="3"/>
        <v>5811000000000</v>
      </c>
    </row>
    <row r="20" spans="1:55" ht="14.25" customHeight="1" x14ac:dyDescent="0.2">
      <c r="A20" s="40" t="s">
        <v>243</v>
      </c>
      <c r="B20" s="41">
        <v>91410000000</v>
      </c>
      <c r="C20" s="41">
        <v>91410000000</v>
      </c>
      <c r="D20" s="41">
        <v>91410000000</v>
      </c>
      <c r="E20" s="41">
        <v>91410000000</v>
      </c>
      <c r="F20" s="41">
        <v>91410000000</v>
      </c>
      <c r="G20" s="41">
        <v>91410000000</v>
      </c>
      <c r="H20" s="41">
        <v>91410000000</v>
      </c>
      <c r="I20" s="41">
        <v>91410000000</v>
      </c>
      <c r="J20" s="41">
        <v>91410000000</v>
      </c>
      <c r="K20" s="41">
        <v>91410000000</v>
      </c>
      <c r="L20" s="41">
        <v>91410000000</v>
      </c>
      <c r="M20" s="41">
        <v>91410000000</v>
      </c>
      <c r="N20" s="41">
        <v>91410000000</v>
      </c>
      <c r="O20" s="41">
        <v>91410000000</v>
      </c>
      <c r="P20" s="41">
        <v>91410000000</v>
      </c>
      <c r="Q20" s="41">
        <v>91410000000</v>
      </c>
      <c r="R20" s="41">
        <v>91410000000</v>
      </c>
      <c r="S20" s="41">
        <v>91410000000</v>
      </c>
      <c r="T20" s="41">
        <v>91410000000</v>
      </c>
      <c r="U20" s="41">
        <v>91410000000</v>
      </c>
      <c r="V20" s="41">
        <v>91410000000</v>
      </c>
      <c r="W20" s="41">
        <v>91410000000</v>
      </c>
      <c r="X20" s="41">
        <v>91410000000</v>
      </c>
      <c r="Y20" s="41">
        <v>91410000000</v>
      </c>
      <c r="Z20" s="41">
        <v>91410000000</v>
      </c>
      <c r="AA20" s="41">
        <v>91410000000</v>
      </c>
      <c r="AB20" s="41">
        <v>91410000000</v>
      </c>
      <c r="AC20" s="41">
        <v>91410000000</v>
      </c>
      <c r="AD20" s="41">
        <v>91410000000</v>
      </c>
      <c r="AE20" s="41">
        <v>91410000000</v>
      </c>
      <c r="AF20" s="41">
        <v>91410000000</v>
      </c>
      <c r="AG20" s="41">
        <v>91410000000</v>
      </c>
      <c r="AH20" s="41">
        <v>91410000000</v>
      </c>
      <c r="AI20" s="41">
        <v>91410000000</v>
      </c>
      <c r="AJ20" s="47">
        <f t="shared" si="2"/>
        <v>91410000000</v>
      </c>
      <c r="AK20" s="47">
        <f t="shared" si="3"/>
        <v>91410000000</v>
      </c>
      <c r="AL20" s="47">
        <f t="shared" si="3"/>
        <v>91410000000</v>
      </c>
      <c r="AM20" s="47">
        <f t="shared" si="3"/>
        <v>91410000000</v>
      </c>
      <c r="AN20" s="47">
        <f t="shared" si="3"/>
        <v>91410000000</v>
      </c>
      <c r="AO20" s="47">
        <f t="shared" si="3"/>
        <v>91410000000</v>
      </c>
      <c r="AP20" s="47">
        <f t="shared" si="3"/>
        <v>91410000000</v>
      </c>
      <c r="AQ20" s="47">
        <f t="shared" si="3"/>
        <v>91410000000</v>
      </c>
      <c r="AR20" s="47">
        <f t="shared" si="3"/>
        <v>91410000000</v>
      </c>
      <c r="AS20" s="47">
        <f t="shared" si="3"/>
        <v>91410000000</v>
      </c>
      <c r="AT20" s="47">
        <f t="shared" si="3"/>
        <v>91410000000</v>
      </c>
      <c r="AU20" s="47">
        <f t="shared" si="3"/>
        <v>91410000000</v>
      </c>
      <c r="AV20" s="47">
        <f t="shared" si="3"/>
        <v>91410000000</v>
      </c>
      <c r="AW20" s="47">
        <f t="shared" si="3"/>
        <v>91410000000</v>
      </c>
      <c r="AX20" s="47">
        <f t="shared" si="3"/>
        <v>91410000000</v>
      </c>
      <c r="AY20" s="47">
        <f t="shared" si="3"/>
        <v>91410000000</v>
      </c>
      <c r="AZ20" s="47">
        <f t="shared" si="3"/>
        <v>91410000000</v>
      </c>
      <c r="BA20" s="47">
        <f t="shared" si="3"/>
        <v>91410000000</v>
      </c>
      <c r="BB20" s="47">
        <f t="shared" si="3"/>
        <v>91410000000</v>
      </c>
      <c r="BC20" s="47">
        <f t="shared" si="3"/>
        <v>91410000000</v>
      </c>
    </row>
    <row r="21" spans="1:55" ht="14.25" customHeight="1" x14ac:dyDescent="0.2">
      <c r="A21" s="40" t="s">
        <v>244</v>
      </c>
      <c r="B21" s="41">
        <v>13583400000000</v>
      </c>
      <c r="C21" s="41">
        <v>13580000000000</v>
      </c>
      <c r="D21" s="41">
        <v>13580000000000</v>
      </c>
      <c r="E21" s="41">
        <v>13580000000000</v>
      </c>
      <c r="F21" s="41">
        <v>13580000000000</v>
      </c>
      <c r="G21" s="41">
        <v>13580000000000</v>
      </c>
      <c r="H21" s="41">
        <v>13580000000000</v>
      </c>
      <c r="I21" s="41">
        <v>13580000000000</v>
      </c>
      <c r="J21" s="41">
        <v>13580000000000</v>
      </c>
      <c r="K21" s="41">
        <v>13580000000000</v>
      </c>
      <c r="L21" s="41">
        <v>13580000000000</v>
      </c>
      <c r="M21" s="41">
        <v>13580000000000</v>
      </c>
      <c r="N21" s="41">
        <v>13580000000000</v>
      </c>
      <c r="O21" s="41">
        <v>13580000000000</v>
      </c>
      <c r="P21" s="41">
        <v>13580000000000</v>
      </c>
      <c r="Q21" s="41">
        <v>13580000000000</v>
      </c>
      <c r="R21" s="41">
        <v>13580000000000</v>
      </c>
      <c r="S21" s="41">
        <v>13580000000000</v>
      </c>
      <c r="T21" s="41">
        <v>13580000000000</v>
      </c>
      <c r="U21" s="41">
        <v>13580000000000</v>
      </c>
      <c r="V21" s="41">
        <v>13580000000000</v>
      </c>
      <c r="W21" s="41">
        <v>13580000000000</v>
      </c>
      <c r="X21" s="41">
        <v>13580000000000</v>
      </c>
      <c r="Y21" s="41">
        <v>13580000000000</v>
      </c>
      <c r="Z21" s="41">
        <v>13580000000000</v>
      </c>
      <c r="AA21" s="41">
        <v>13580000000000</v>
      </c>
      <c r="AB21" s="41">
        <v>13580000000000</v>
      </c>
      <c r="AC21" s="41">
        <v>13580000000000</v>
      </c>
      <c r="AD21" s="41">
        <v>13580000000000</v>
      </c>
      <c r="AE21" s="41">
        <v>13580000000000</v>
      </c>
      <c r="AF21" s="41">
        <v>13580000000000</v>
      </c>
      <c r="AG21" s="41">
        <v>13580000000000</v>
      </c>
      <c r="AH21" s="41">
        <v>13580000000000</v>
      </c>
      <c r="AI21" s="41">
        <v>13580000000000</v>
      </c>
      <c r="AJ21" s="47">
        <f t="shared" si="2"/>
        <v>13580000000000</v>
      </c>
      <c r="AK21" s="47">
        <f t="shared" si="3"/>
        <v>13580000000000</v>
      </c>
      <c r="AL21" s="47">
        <f t="shared" si="3"/>
        <v>13580000000000</v>
      </c>
      <c r="AM21" s="47">
        <f t="shared" si="3"/>
        <v>13580000000000</v>
      </c>
      <c r="AN21" s="47">
        <f t="shared" si="3"/>
        <v>13580000000000</v>
      </c>
      <c r="AO21" s="47">
        <f t="shared" si="3"/>
        <v>13580000000000</v>
      </c>
      <c r="AP21" s="47">
        <f t="shared" si="3"/>
        <v>13580000000000</v>
      </c>
      <c r="AQ21" s="47">
        <f t="shared" si="3"/>
        <v>13580000000000</v>
      </c>
      <c r="AR21" s="47">
        <f t="shared" si="3"/>
        <v>13580000000000</v>
      </c>
      <c r="AS21" s="47">
        <f t="shared" si="3"/>
        <v>13580000000000</v>
      </c>
      <c r="AT21" s="47">
        <f t="shared" si="3"/>
        <v>13580000000000</v>
      </c>
      <c r="AU21" s="47">
        <f t="shared" si="3"/>
        <v>13580000000000</v>
      </c>
      <c r="AV21" s="47">
        <f t="shared" si="3"/>
        <v>13580000000000</v>
      </c>
      <c r="AW21" s="47">
        <f t="shared" si="3"/>
        <v>13580000000000</v>
      </c>
      <c r="AX21" s="47">
        <f t="shared" si="3"/>
        <v>13580000000000</v>
      </c>
      <c r="AY21" s="47">
        <f t="shared" si="3"/>
        <v>13580000000000</v>
      </c>
      <c r="AZ21" s="47">
        <f t="shared" si="3"/>
        <v>13580000000000</v>
      </c>
      <c r="BA21" s="47">
        <f t="shared" si="3"/>
        <v>13580000000000</v>
      </c>
      <c r="BB21" s="47">
        <f t="shared" si="3"/>
        <v>13580000000000</v>
      </c>
      <c r="BC21" s="47">
        <f t="shared" si="3"/>
        <v>13580000000000</v>
      </c>
    </row>
    <row r="22" spans="1:55" ht="14.25" customHeight="1" x14ac:dyDescent="0.2">
      <c r="A22" s="40" t="s">
        <v>245</v>
      </c>
      <c r="B22" s="41">
        <v>135000000000</v>
      </c>
      <c r="C22" s="41">
        <v>135000000000</v>
      </c>
      <c r="D22" s="41">
        <v>135000000000</v>
      </c>
      <c r="E22" s="41">
        <v>135000000000</v>
      </c>
      <c r="F22" s="41">
        <v>135000000000</v>
      </c>
      <c r="G22" s="41">
        <v>135000000000</v>
      </c>
      <c r="H22" s="41">
        <v>135000000000</v>
      </c>
      <c r="I22" s="41">
        <v>135000000000</v>
      </c>
      <c r="J22" s="41">
        <v>135000000000</v>
      </c>
      <c r="K22" s="41">
        <v>135000000000</v>
      </c>
      <c r="L22" s="41">
        <v>135000000000</v>
      </c>
      <c r="M22" s="41">
        <v>135000000000</v>
      </c>
      <c r="N22" s="41">
        <v>135000000000</v>
      </c>
      <c r="O22" s="41">
        <v>135000000000</v>
      </c>
      <c r="P22" s="41">
        <v>135000000000</v>
      </c>
      <c r="Q22" s="41">
        <v>135000000000</v>
      </c>
      <c r="R22" s="41">
        <v>135000000000</v>
      </c>
      <c r="S22" s="41">
        <v>135000000000</v>
      </c>
      <c r="T22" s="41">
        <v>135000000000</v>
      </c>
      <c r="U22" s="41">
        <v>135000000000</v>
      </c>
      <c r="V22" s="41">
        <v>135000000000</v>
      </c>
      <c r="W22" s="41">
        <v>135000000000</v>
      </c>
      <c r="X22" s="41">
        <v>135000000000</v>
      </c>
      <c r="Y22" s="41">
        <v>135000000000</v>
      </c>
      <c r="Z22" s="41">
        <v>135000000000</v>
      </c>
      <c r="AA22" s="41">
        <v>135000000000</v>
      </c>
      <c r="AB22" s="41">
        <v>135000000000</v>
      </c>
      <c r="AC22" s="41">
        <v>135000000000</v>
      </c>
      <c r="AD22" s="41">
        <v>135000000000</v>
      </c>
      <c r="AE22" s="41">
        <v>135000000000</v>
      </c>
      <c r="AF22" s="41">
        <v>135000000000</v>
      </c>
      <c r="AG22" s="41">
        <v>135000000000</v>
      </c>
      <c r="AH22" s="41">
        <v>135000000000</v>
      </c>
      <c r="AI22" s="41">
        <v>135000000000</v>
      </c>
      <c r="AJ22" s="47">
        <f t="shared" si="2"/>
        <v>135000000000</v>
      </c>
      <c r="AK22" s="47">
        <f t="shared" si="3"/>
        <v>135000000000</v>
      </c>
      <c r="AL22" s="47">
        <f t="shared" si="3"/>
        <v>135000000000</v>
      </c>
      <c r="AM22" s="47">
        <f t="shared" si="3"/>
        <v>135000000000</v>
      </c>
      <c r="AN22" s="47">
        <f t="shared" si="3"/>
        <v>135000000000</v>
      </c>
      <c r="AO22" s="47">
        <f t="shared" si="3"/>
        <v>135000000000</v>
      </c>
      <c r="AP22" s="47">
        <f t="shared" si="3"/>
        <v>135000000000</v>
      </c>
      <c r="AQ22" s="47">
        <f t="shared" si="3"/>
        <v>135000000000</v>
      </c>
      <c r="AR22" s="47">
        <f t="shared" si="3"/>
        <v>135000000000</v>
      </c>
      <c r="AS22" s="47">
        <f t="shared" si="3"/>
        <v>135000000000</v>
      </c>
      <c r="AT22" s="47">
        <f t="shared" si="3"/>
        <v>135000000000</v>
      </c>
      <c r="AU22" s="47">
        <f t="shared" si="3"/>
        <v>135000000000</v>
      </c>
      <c r="AV22" s="47">
        <f t="shared" si="3"/>
        <v>135000000000</v>
      </c>
      <c r="AW22" s="47">
        <f t="shared" si="3"/>
        <v>135000000000</v>
      </c>
      <c r="AX22" s="47">
        <f t="shared" si="3"/>
        <v>135000000000</v>
      </c>
      <c r="AY22" s="47">
        <f t="shared" si="3"/>
        <v>135000000000</v>
      </c>
      <c r="AZ22" s="47">
        <f t="shared" si="3"/>
        <v>135000000000</v>
      </c>
      <c r="BA22" s="47">
        <f t="shared" si="3"/>
        <v>135000000000</v>
      </c>
      <c r="BB22" s="47">
        <f t="shared" si="3"/>
        <v>135000000000</v>
      </c>
      <c r="BC22" s="47">
        <f t="shared" si="3"/>
        <v>135000000000</v>
      </c>
    </row>
    <row r="23" spans="1:55" ht="14.25" customHeight="1" x14ac:dyDescent="0.2"/>
    <row r="24" spans="1:55" ht="14.25" customHeight="1" x14ac:dyDescent="0.2"/>
    <row r="25" spans="1:55" ht="14.25" customHeight="1" x14ac:dyDescent="0.2"/>
    <row r="26" spans="1:55" ht="14.25" customHeight="1" x14ac:dyDescent="0.2"/>
    <row r="27" spans="1:55" ht="14.25" customHeight="1" x14ac:dyDescent="0.2"/>
    <row r="28" spans="1:55" ht="14.25" customHeight="1" x14ac:dyDescent="0.2"/>
    <row r="29" spans="1:55" ht="14.25" customHeight="1" x14ac:dyDescent="0.2"/>
    <row r="30" spans="1:55" ht="14.25" customHeight="1" x14ac:dyDescent="0.2"/>
    <row r="31" spans="1:55" ht="14.25" customHeight="1" x14ac:dyDescent="0.2"/>
    <row r="32" spans="1:55"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97D"/>
    <outlinePr summaryBelow="0" summaryRight="0"/>
  </sheetPr>
  <dimension ref="A1:BC22"/>
  <sheetViews>
    <sheetView topLeftCell="AB1" workbookViewId="0">
      <selection activeCell="AJ1" sqref="AJ1:BC22"/>
    </sheetView>
  </sheetViews>
  <sheetFormatPr baseColWidth="10" defaultColWidth="14.5" defaultRowHeight="15" customHeight="1" x14ac:dyDescent="0.2"/>
  <cols>
    <col min="1" max="1" width="26.1640625" customWidth="1"/>
  </cols>
  <sheetData>
    <row r="1" spans="1:55" x14ac:dyDescent="0.2">
      <c r="A1" s="42" t="s">
        <v>246</v>
      </c>
      <c r="B1" s="39">
        <v>2017</v>
      </c>
      <c r="C1" s="39">
        <v>2018</v>
      </c>
      <c r="D1" s="39">
        <v>2019</v>
      </c>
      <c r="E1" s="39">
        <v>2020</v>
      </c>
      <c r="F1" s="39">
        <v>2021</v>
      </c>
      <c r="G1" s="39">
        <v>2022</v>
      </c>
      <c r="H1" s="39">
        <v>2023</v>
      </c>
      <c r="I1" s="39">
        <v>2024</v>
      </c>
      <c r="J1" s="39">
        <v>2025</v>
      </c>
      <c r="K1" s="39">
        <v>2026</v>
      </c>
      <c r="L1" s="39">
        <v>2027</v>
      </c>
      <c r="M1" s="39">
        <v>2028</v>
      </c>
      <c r="N1" s="39">
        <v>2029</v>
      </c>
      <c r="O1" s="39">
        <v>2030</v>
      </c>
      <c r="P1" s="39">
        <v>2031</v>
      </c>
      <c r="Q1" s="39">
        <v>2032</v>
      </c>
      <c r="R1" s="39">
        <v>2033</v>
      </c>
      <c r="S1" s="39">
        <v>2034</v>
      </c>
      <c r="T1" s="39">
        <v>2035</v>
      </c>
      <c r="U1" s="39">
        <v>2036</v>
      </c>
      <c r="V1" s="39">
        <v>2037</v>
      </c>
      <c r="W1" s="39">
        <v>2038</v>
      </c>
      <c r="X1" s="39">
        <v>2039</v>
      </c>
      <c r="Y1" s="39">
        <v>2040</v>
      </c>
      <c r="Z1" s="39">
        <v>2041</v>
      </c>
      <c r="AA1" s="39">
        <v>2042</v>
      </c>
      <c r="AB1" s="39">
        <v>2043</v>
      </c>
      <c r="AC1" s="39">
        <v>2044</v>
      </c>
      <c r="AD1" s="39">
        <v>2045</v>
      </c>
      <c r="AE1" s="39">
        <v>2046</v>
      </c>
      <c r="AF1" s="39">
        <v>2047</v>
      </c>
      <c r="AG1" s="39">
        <v>2048</v>
      </c>
      <c r="AH1" s="39">
        <v>2049</v>
      </c>
      <c r="AI1" s="39">
        <v>2050</v>
      </c>
      <c r="AJ1">
        <v>2051</v>
      </c>
      <c r="AK1">
        <v>2052</v>
      </c>
      <c r="AL1">
        <v>2053</v>
      </c>
      <c r="AM1">
        <v>2054</v>
      </c>
      <c r="AN1">
        <v>2055</v>
      </c>
      <c r="AO1">
        <v>2056</v>
      </c>
      <c r="AP1">
        <v>2057</v>
      </c>
      <c r="AQ1">
        <v>2058</v>
      </c>
      <c r="AR1">
        <v>2059</v>
      </c>
      <c r="AS1">
        <v>2060</v>
      </c>
      <c r="AT1">
        <v>2061</v>
      </c>
      <c r="AU1">
        <v>2062</v>
      </c>
      <c r="AV1">
        <v>2063</v>
      </c>
      <c r="AW1">
        <v>2064</v>
      </c>
      <c r="AX1">
        <v>2065</v>
      </c>
      <c r="AY1">
        <v>2066</v>
      </c>
      <c r="AZ1">
        <v>2067</v>
      </c>
      <c r="BA1">
        <v>2068</v>
      </c>
      <c r="BB1">
        <v>2069</v>
      </c>
      <c r="BC1">
        <v>2070</v>
      </c>
    </row>
    <row r="2" spans="1:55" x14ac:dyDescent="0.2">
      <c r="A2" s="40" t="s">
        <v>247</v>
      </c>
      <c r="B2" s="39">
        <v>3142000</v>
      </c>
      <c r="C2" s="39">
        <v>3142000</v>
      </c>
      <c r="D2" s="39">
        <v>3142000</v>
      </c>
      <c r="E2" s="39">
        <v>3142000</v>
      </c>
      <c r="F2" s="39">
        <v>3142000</v>
      </c>
      <c r="G2" s="39">
        <v>3142000</v>
      </c>
      <c r="H2" s="39">
        <v>3142000</v>
      </c>
      <c r="I2" s="39">
        <v>3142000</v>
      </c>
      <c r="J2" s="39">
        <v>3142000</v>
      </c>
      <c r="K2" s="39">
        <v>3142000</v>
      </c>
      <c r="L2" s="39">
        <v>3142000</v>
      </c>
      <c r="M2" s="39">
        <v>3142000</v>
      </c>
      <c r="N2" s="39">
        <v>3142000</v>
      </c>
      <c r="O2" s="39">
        <v>3142000</v>
      </c>
      <c r="P2" s="39">
        <v>3142000</v>
      </c>
      <c r="Q2" s="39">
        <v>3142000</v>
      </c>
      <c r="R2" s="39">
        <v>3142000</v>
      </c>
      <c r="S2" s="39">
        <v>3142000</v>
      </c>
      <c r="T2" s="39">
        <v>3142000</v>
      </c>
      <c r="U2" s="39">
        <v>3142000</v>
      </c>
      <c r="V2" s="39">
        <v>3142000</v>
      </c>
      <c r="W2" s="39">
        <v>3142000</v>
      </c>
      <c r="X2" s="39">
        <v>3142000</v>
      </c>
      <c r="Y2" s="39">
        <v>3142000</v>
      </c>
      <c r="Z2" s="39">
        <v>3142000</v>
      </c>
      <c r="AA2" s="39">
        <v>3142000</v>
      </c>
      <c r="AB2" s="39">
        <v>3142000</v>
      </c>
      <c r="AC2" s="39">
        <v>3142000</v>
      </c>
      <c r="AD2" s="39">
        <v>3142000</v>
      </c>
      <c r="AE2" s="39">
        <v>3142000</v>
      </c>
      <c r="AF2" s="39">
        <v>3142000</v>
      </c>
      <c r="AG2" s="39">
        <v>3142000</v>
      </c>
      <c r="AH2" s="39">
        <v>3142000</v>
      </c>
      <c r="AI2" s="39">
        <v>3142000</v>
      </c>
      <c r="AJ2" s="47">
        <f>AI2</f>
        <v>3142000</v>
      </c>
      <c r="AK2" s="47">
        <f t="shared" ref="AK2:BC16" si="0">AJ2</f>
        <v>3142000</v>
      </c>
      <c r="AL2" s="47">
        <f t="shared" si="0"/>
        <v>3142000</v>
      </c>
      <c r="AM2" s="47">
        <f t="shared" si="0"/>
        <v>3142000</v>
      </c>
      <c r="AN2" s="47">
        <f t="shared" si="0"/>
        <v>3142000</v>
      </c>
      <c r="AO2" s="47">
        <f t="shared" si="0"/>
        <v>3142000</v>
      </c>
      <c r="AP2" s="47">
        <f t="shared" si="0"/>
        <v>3142000</v>
      </c>
      <c r="AQ2" s="47">
        <f t="shared" si="0"/>
        <v>3142000</v>
      </c>
      <c r="AR2" s="47">
        <f t="shared" si="0"/>
        <v>3142000</v>
      </c>
      <c r="AS2" s="47">
        <f t="shared" si="0"/>
        <v>3142000</v>
      </c>
      <c r="AT2" s="47">
        <f t="shared" si="0"/>
        <v>3142000</v>
      </c>
      <c r="AU2" s="47">
        <f t="shared" si="0"/>
        <v>3142000</v>
      </c>
      <c r="AV2" s="47">
        <f t="shared" si="0"/>
        <v>3142000</v>
      </c>
      <c r="AW2" s="47">
        <f t="shared" si="0"/>
        <v>3142000</v>
      </c>
      <c r="AX2" s="47">
        <f t="shared" si="0"/>
        <v>3142000</v>
      </c>
      <c r="AY2" s="47">
        <f t="shared" si="0"/>
        <v>3142000</v>
      </c>
      <c r="AZ2" s="47">
        <f t="shared" si="0"/>
        <v>3142000</v>
      </c>
      <c r="BA2" s="47">
        <f t="shared" si="0"/>
        <v>3142000</v>
      </c>
      <c r="BB2" s="47">
        <f t="shared" si="0"/>
        <v>3142000</v>
      </c>
      <c r="BC2" s="47">
        <f t="shared" si="0"/>
        <v>3142000</v>
      </c>
    </row>
    <row r="3" spans="1:55" x14ac:dyDescent="0.2">
      <c r="A3" s="40" t="s">
        <v>226</v>
      </c>
      <c r="B3" s="39">
        <v>19437477</v>
      </c>
      <c r="C3" s="39">
        <v>19706896</v>
      </c>
      <c r="D3" s="39">
        <v>19588093</v>
      </c>
      <c r="E3" s="39">
        <v>19676338</v>
      </c>
      <c r="F3" s="39">
        <v>19593861</v>
      </c>
      <c r="G3" s="39">
        <v>19763271</v>
      </c>
      <c r="H3" s="39">
        <v>19874037</v>
      </c>
      <c r="I3" s="39">
        <v>19832983</v>
      </c>
      <c r="J3" s="39">
        <v>19854052</v>
      </c>
      <c r="K3" s="39">
        <v>19849159</v>
      </c>
      <c r="L3" s="39">
        <v>19841606</v>
      </c>
      <c r="M3" s="39">
        <v>19838451</v>
      </c>
      <c r="N3" s="39">
        <v>19782232</v>
      </c>
      <c r="O3" s="39">
        <v>19750866</v>
      </c>
      <c r="P3" s="39">
        <v>19757530</v>
      </c>
      <c r="Q3" s="39">
        <v>19792145</v>
      </c>
      <c r="R3" s="39">
        <v>19787580</v>
      </c>
      <c r="S3" s="39">
        <v>19792101</v>
      </c>
      <c r="T3" s="39">
        <v>19801369</v>
      </c>
      <c r="U3" s="39">
        <v>19790552</v>
      </c>
      <c r="V3" s="39">
        <v>19813770</v>
      </c>
      <c r="W3" s="39">
        <v>19823812</v>
      </c>
      <c r="X3" s="39">
        <v>19819962</v>
      </c>
      <c r="Y3" s="39">
        <v>19817593</v>
      </c>
      <c r="Z3" s="39">
        <v>19814734</v>
      </c>
      <c r="AA3" s="39">
        <v>19808729</v>
      </c>
      <c r="AB3" s="39">
        <v>19816940</v>
      </c>
      <c r="AC3" s="39">
        <v>19822159</v>
      </c>
      <c r="AD3" s="39">
        <v>19832388</v>
      </c>
      <c r="AE3" s="39">
        <v>19856539</v>
      </c>
      <c r="AF3" s="39">
        <v>19880623</v>
      </c>
      <c r="AG3" s="39">
        <v>19899242</v>
      </c>
      <c r="AH3" s="39">
        <v>19884989</v>
      </c>
      <c r="AI3" s="39">
        <v>19887484</v>
      </c>
      <c r="AJ3" s="48">
        <f>AI3</f>
        <v>19887484</v>
      </c>
      <c r="AK3" s="48">
        <f t="shared" si="0"/>
        <v>19887484</v>
      </c>
      <c r="AL3" s="48">
        <f t="shared" si="0"/>
        <v>19887484</v>
      </c>
      <c r="AM3" s="48">
        <f t="shared" si="0"/>
        <v>19887484</v>
      </c>
      <c r="AN3" s="48">
        <f t="shared" si="0"/>
        <v>19887484</v>
      </c>
      <c r="AO3" s="48">
        <f t="shared" si="0"/>
        <v>19887484</v>
      </c>
      <c r="AP3" s="48">
        <f t="shared" si="0"/>
        <v>19887484</v>
      </c>
      <c r="AQ3" s="48">
        <f t="shared" si="0"/>
        <v>19887484</v>
      </c>
      <c r="AR3" s="48">
        <f t="shared" si="0"/>
        <v>19887484</v>
      </c>
      <c r="AS3" s="48">
        <f t="shared" si="0"/>
        <v>19887484</v>
      </c>
      <c r="AT3" s="48">
        <f t="shared" si="0"/>
        <v>19887484</v>
      </c>
      <c r="AU3" s="48">
        <f t="shared" si="0"/>
        <v>19887484</v>
      </c>
      <c r="AV3" s="48">
        <f t="shared" si="0"/>
        <v>19887484</v>
      </c>
      <c r="AW3" s="48">
        <f t="shared" si="0"/>
        <v>19887484</v>
      </c>
      <c r="AX3" s="48">
        <f t="shared" si="0"/>
        <v>19887484</v>
      </c>
      <c r="AY3" s="48">
        <f t="shared" si="0"/>
        <v>19887484</v>
      </c>
      <c r="AZ3" s="48">
        <f t="shared" si="0"/>
        <v>19887484</v>
      </c>
      <c r="BA3" s="48">
        <f t="shared" si="0"/>
        <v>19887484</v>
      </c>
      <c r="BB3" s="48">
        <f t="shared" si="0"/>
        <v>19887484</v>
      </c>
      <c r="BC3" s="48">
        <f t="shared" si="0"/>
        <v>19887484</v>
      </c>
    </row>
    <row r="4" spans="1:55" x14ac:dyDescent="0.2">
      <c r="A4" s="40" t="s">
        <v>227</v>
      </c>
      <c r="B4" s="39">
        <v>1037000</v>
      </c>
      <c r="C4" s="39">
        <v>1037000</v>
      </c>
      <c r="D4" s="39">
        <v>1037000</v>
      </c>
      <c r="E4" s="39">
        <v>1037000</v>
      </c>
      <c r="F4" s="39">
        <v>1037000</v>
      </c>
      <c r="G4" s="39">
        <v>1037000</v>
      </c>
      <c r="H4" s="39">
        <v>1037000</v>
      </c>
      <c r="I4" s="39">
        <v>1037000</v>
      </c>
      <c r="J4" s="39">
        <v>1037000</v>
      </c>
      <c r="K4" s="39">
        <v>1037000</v>
      </c>
      <c r="L4" s="39">
        <v>1037000</v>
      </c>
      <c r="M4" s="39">
        <v>1037000</v>
      </c>
      <c r="N4" s="39">
        <v>1037000</v>
      </c>
      <c r="O4" s="39">
        <v>1037000</v>
      </c>
      <c r="P4" s="39">
        <v>1037000</v>
      </c>
      <c r="Q4" s="39">
        <v>1037000</v>
      </c>
      <c r="R4" s="39">
        <v>1037000</v>
      </c>
      <c r="S4" s="39">
        <v>1037000</v>
      </c>
      <c r="T4" s="39">
        <v>1037000</v>
      </c>
      <c r="U4" s="39">
        <v>1037000</v>
      </c>
      <c r="V4" s="39">
        <v>1037000</v>
      </c>
      <c r="W4" s="39">
        <v>1037000</v>
      </c>
      <c r="X4" s="39">
        <v>1037000</v>
      </c>
      <c r="Y4" s="39">
        <v>1037000</v>
      </c>
      <c r="Z4" s="39">
        <v>1037000</v>
      </c>
      <c r="AA4" s="39">
        <v>1037000</v>
      </c>
      <c r="AB4" s="39">
        <v>1037000</v>
      </c>
      <c r="AC4" s="39">
        <v>1037000</v>
      </c>
      <c r="AD4" s="39">
        <v>1037000</v>
      </c>
      <c r="AE4" s="39">
        <v>1037000</v>
      </c>
      <c r="AF4" s="39">
        <v>1037000</v>
      </c>
      <c r="AG4" s="39">
        <v>1037000</v>
      </c>
      <c r="AH4" s="39">
        <v>1037000</v>
      </c>
      <c r="AI4" s="39">
        <v>1037000</v>
      </c>
      <c r="AJ4" s="47">
        <f>AI4</f>
        <v>1037000</v>
      </c>
      <c r="AK4" s="47">
        <f t="shared" si="0"/>
        <v>1037000</v>
      </c>
      <c r="AL4" s="47">
        <f t="shared" si="0"/>
        <v>1037000</v>
      </c>
      <c r="AM4" s="47">
        <f t="shared" si="0"/>
        <v>1037000</v>
      </c>
      <c r="AN4" s="47">
        <f t="shared" si="0"/>
        <v>1037000</v>
      </c>
      <c r="AO4" s="47">
        <f t="shared" si="0"/>
        <v>1037000</v>
      </c>
      <c r="AP4" s="47">
        <f t="shared" si="0"/>
        <v>1037000</v>
      </c>
      <c r="AQ4" s="47">
        <f t="shared" si="0"/>
        <v>1037000</v>
      </c>
      <c r="AR4" s="47">
        <f t="shared" si="0"/>
        <v>1037000</v>
      </c>
      <c r="AS4" s="47">
        <f t="shared" si="0"/>
        <v>1037000</v>
      </c>
      <c r="AT4" s="47">
        <f t="shared" si="0"/>
        <v>1037000</v>
      </c>
      <c r="AU4" s="47">
        <f t="shared" si="0"/>
        <v>1037000</v>
      </c>
      <c r="AV4" s="47">
        <f t="shared" si="0"/>
        <v>1037000</v>
      </c>
      <c r="AW4" s="47">
        <f t="shared" si="0"/>
        <v>1037000</v>
      </c>
      <c r="AX4" s="47">
        <f t="shared" si="0"/>
        <v>1037000</v>
      </c>
      <c r="AY4" s="47">
        <f t="shared" si="0"/>
        <v>1037000</v>
      </c>
      <c r="AZ4" s="47">
        <f t="shared" si="0"/>
        <v>1037000</v>
      </c>
      <c r="BA4" s="47">
        <f t="shared" si="0"/>
        <v>1037000</v>
      </c>
      <c r="BB4" s="47">
        <f t="shared" si="0"/>
        <v>1037000</v>
      </c>
      <c r="BC4" s="47">
        <f t="shared" si="0"/>
        <v>1037000</v>
      </c>
    </row>
    <row r="5" spans="1:55" x14ac:dyDescent="0.2">
      <c r="A5" s="40" t="s">
        <v>248</v>
      </c>
      <c r="B5" s="39">
        <v>1000000</v>
      </c>
      <c r="C5" s="39">
        <v>1000000</v>
      </c>
      <c r="D5" s="39">
        <v>1000000</v>
      </c>
      <c r="E5" s="39">
        <v>1000000</v>
      </c>
      <c r="F5" s="39">
        <v>1000000</v>
      </c>
      <c r="G5" s="39">
        <v>1000000</v>
      </c>
      <c r="H5" s="39">
        <v>1000000</v>
      </c>
      <c r="I5" s="39">
        <v>1000000</v>
      </c>
      <c r="J5" s="39">
        <v>1000000</v>
      </c>
      <c r="K5" s="39">
        <v>1000000</v>
      </c>
      <c r="L5" s="39">
        <v>1000000</v>
      </c>
      <c r="M5" s="39">
        <v>1000000</v>
      </c>
      <c r="N5" s="39">
        <v>1000000</v>
      </c>
      <c r="O5" s="39">
        <v>1000000</v>
      </c>
      <c r="P5" s="39">
        <v>1000000</v>
      </c>
      <c r="Q5" s="39">
        <v>1000000</v>
      </c>
      <c r="R5" s="39">
        <v>1000000</v>
      </c>
      <c r="S5" s="39">
        <v>1000000</v>
      </c>
      <c r="T5" s="39">
        <v>1000000</v>
      </c>
      <c r="U5" s="39">
        <v>1000000</v>
      </c>
      <c r="V5" s="39">
        <v>1000000</v>
      </c>
      <c r="W5" s="39">
        <v>1000000</v>
      </c>
      <c r="X5" s="39">
        <v>1000000</v>
      </c>
      <c r="Y5" s="39">
        <v>1000000</v>
      </c>
      <c r="Z5" s="39">
        <v>1000000</v>
      </c>
      <c r="AA5" s="39">
        <v>1000000</v>
      </c>
      <c r="AB5" s="39">
        <v>1000000</v>
      </c>
      <c r="AC5" s="39">
        <v>1000000</v>
      </c>
      <c r="AD5" s="39">
        <v>1000000</v>
      </c>
      <c r="AE5" s="39">
        <v>1000000</v>
      </c>
      <c r="AF5" s="39">
        <v>1000000</v>
      </c>
      <c r="AG5" s="39">
        <v>1000000</v>
      </c>
      <c r="AH5" s="39">
        <v>1000000</v>
      </c>
      <c r="AI5" s="39">
        <v>1000000</v>
      </c>
      <c r="AJ5" s="47">
        <f t="shared" ref="AJ5:AY20" si="1">AI5</f>
        <v>1000000</v>
      </c>
      <c r="AK5" s="47">
        <f t="shared" si="1"/>
        <v>1000000</v>
      </c>
      <c r="AL5" s="47">
        <f t="shared" si="1"/>
        <v>1000000</v>
      </c>
      <c r="AM5" s="47">
        <f t="shared" si="1"/>
        <v>1000000</v>
      </c>
      <c r="AN5" s="47">
        <f t="shared" si="1"/>
        <v>1000000</v>
      </c>
      <c r="AO5" s="47">
        <f t="shared" si="1"/>
        <v>1000000</v>
      </c>
      <c r="AP5" s="47">
        <f t="shared" si="1"/>
        <v>1000000</v>
      </c>
      <c r="AQ5" s="47">
        <f t="shared" si="1"/>
        <v>1000000</v>
      </c>
      <c r="AR5" s="47">
        <f t="shared" si="1"/>
        <v>1000000</v>
      </c>
      <c r="AS5" s="47">
        <f t="shared" si="1"/>
        <v>1000000</v>
      </c>
      <c r="AT5" s="47">
        <f t="shared" si="1"/>
        <v>1000000</v>
      </c>
      <c r="AU5" s="47">
        <f t="shared" si="1"/>
        <v>1000000</v>
      </c>
      <c r="AV5" s="47">
        <f t="shared" si="1"/>
        <v>1000000</v>
      </c>
      <c r="AW5" s="47">
        <f t="shared" si="1"/>
        <v>1000000</v>
      </c>
      <c r="AX5" s="47">
        <f t="shared" si="1"/>
        <v>1000000</v>
      </c>
      <c r="AY5" s="47">
        <f t="shared" si="1"/>
        <v>1000000</v>
      </c>
      <c r="AZ5" s="47">
        <f t="shared" si="0"/>
        <v>1000000</v>
      </c>
      <c r="BA5" s="47">
        <f t="shared" si="0"/>
        <v>1000000</v>
      </c>
      <c r="BB5" s="47">
        <f t="shared" si="0"/>
        <v>1000000</v>
      </c>
      <c r="BC5" s="47">
        <f t="shared" si="0"/>
        <v>1000000</v>
      </c>
    </row>
    <row r="6" spans="1:55" x14ac:dyDescent="0.2">
      <c r="A6" s="40" t="s">
        <v>229</v>
      </c>
      <c r="B6" s="39">
        <v>0</v>
      </c>
      <c r="C6" s="39">
        <v>0</v>
      </c>
      <c r="D6" s="39">
        <v>0</v>
      </c>
      <c r="E6" s="39">
        <v>0</v>
      </c>
      <c r="F6" s="39">
        <v>0</v>
      </c>
      <c r="G6" s="39">
        <v>0</v>
      </c>
      <c r="H6" s="39">
        <v>0</v>
      </c>
      <c r="I6" s="39">
        <v>0</v>
      </c>
      <c r="J6" s="39">
        <v>0</v>
      </c>
      <c r="K6" s="39">
        <v>0</v>
      </c>
      <c r="L6" s="39">
        <v>0</v>
      </c>
      <c r="M6" s="39">
        <v>0</v>
      </c>
      <c r="N6" s="39">
        <v>0</v>
      </c>
      <c r="O6" s="39">
        <v>0</v>
      </c>
      <c r="P6" s="39">
        <v>0</v>
      </c>
      <c r="Q6" s="39">
        <v>0</v>
      </c>
      <c r="R6" s="39">
        <v>0</v>
      </c>
      <c r="S6" s="39">
        <v>0</v>
      </c>
      <c r="T6" s="39">
        <v>0</v>
      </c>
      <c r="U6" s="39">
        <v>0</v>
      </c>
      <c r="V6" s="39">
        <v>0</v>
      </c>
      <c r="W6" s="39">
        <v>0</v>
      </c>
      <c r="X6" s="39">
        <v>0</v>
      </c>
      <c r="Y6" s="39">
        <v>0</v>
      </c>
      <c r="Z6" s="39">
        <v>0</v>
      </c>
      <c r="AA6" s="39">
        <v>0</v>
      </c>
      <c r="AB6" s="39">
        <v>0</v>
      </c>
      <c r="AC6" s="39">
        <v>0</v>
      </c>
      <c r="AD6" s="39">
        <v>0</v>
      </c>
      <c r="AE6" s="39">
        <v>0</v>
      </c>
      <c r="AF6" s="39">
        <v>0</v>
      </c>
      <c r="AG6" s="39">
        <v>0</v>
      </c>
      <c r="AH6" s="39">
        <v>0</v>
      </c>
      <c r="AI6" s="39">
        <v>0</v>
      </c>
      <c r="AJ6" s="47">
        <f t="shared" si="1"/>
        <v>0</v>
      </c>
      <c r="AK6" s="47">
        <f t="shared" si="0"/>
        <v>0</v>
      </c>
      <c r="AL6" s="47">
        <f t="shared" si="0"/>
        <v>0</v>
      </c>
      <c r="AM6" s="47">
        <f t="shared" si="0"/>
        <v>0</v>
      </c>
      <c r="AN6" s="47">
        <f t="shared" si="0"/>
        <v>0</v>
      </c>
      <c r="AO6" s="47">
        <f t="shared" si="0"/>
        <v>0</v>
      </c>
      <c r="AP6" s="47">
        <f t="shared" si="0"/>
        <v>0</v>
      </c>
      <c r="AQ6" s="47">
        <f t="shared" si="0"/>
        <v>0</v>
      </c>
      <c r="AR6" s="47">
        <f t="shared" si="0"/>
        <v>0</v>
      </c>
      <c r="AS6" s="47">
        <f t="shared" si="0"/>
        <v>0</v>
      </c>
      <c r="AT6" s="47">
        <f t="shared" si="0"/>
        <v>0</v>
      </c>
      <c r="AU6" s="47">
        <f t="shared" si="0"/>
        <v>0</v>
      </c>
      <c r="AV6" s="47">
        <f t="shared" si="0"/>
        <v>0</v>
      </c>
      <c r="AW6" s="47">
        <f t="shared" si="0"/>
        <v>0</v>
      </c>
      <c r="AX6" s="47">
        <f t="shared" si="0"/>
        <v>0</v>
      </c>
      <c r="AY6" s="47">
        <f t="shared" si="0"/>
        <v>0</v>
      </c>
      <c r="AZ6" s="47">
        <f t="shared" si="0"/>
        <v>0</v>
      </c>
      <c r="BA6" s="47">
        <f t="shared" si="0"/>
        <v>0</v>
      </c>
      <c r="BB6" s="47">
        <f t="shared" si="0"/>
        <v>0</v>
      </c>
      <c r="BC6" s="47">
        <f t="shared" si="0"/>
        <v>0</v>
      </c>
    </row>
    <row r="7" spans="1:55" x14ac:dyDescent="0.2">
      <c r="A7" s="40" t="s">
        <v>230</v>
      </c>
      <c r="B7" s="39">
        <v>0</v>
      </c>
      <c r="C7" s="39">
        <v>0</v>
      </c>
      <c r="D7" s="39">
        <v>0</v>
      </c>
      <c r="E7" s="39">
        <v>0</v>
      </c>
      <c r="F7" s="39">
        <v>0</v>
      </c>
      <c r="G7" s="39">
        <v>0</v>
      </c>
      <c r="H7" s="39">
        <v>0</v>
      </c>
      <c r="I7" s="39">
        <v>0</v>
      </c>
      <c r="J7" s="39">
        <v>0</v>
      </c>
      <c r="K7" s="39">
        <v>0</v>
      </c>
      <c r="L7" s="39">
        <v>0</v>
      </c>
      <c r="M7" s="39">
        <v>0</v>
      </c>
      <c r="N7" s="39">
        <v>0</v>
      </c>
      <c r="O7" s="39">
        <v>0</v>
      </c>
      <c r="P7" s="39">
        <v>0</v>
      </c>
      <c r="Q7" s="39">
        <v>0</v>
      </c>
      <c r="R7" s="39">
        <v>0</v>
      </c>
      <c r="S7" s="39">
        <v>0</v>
      </c>
      <c r="T7" s="39">
        <v>0</v>
      </c>
      <c r="U7" s="39">
        <v>0</v>
      </c>
      <c r="V7" s="39">
        <v>0</v>
      </c>
      <c r="W7" s="39">
        <v>0</v>
      </c>
      <c r="X7" s="39">
        <v>0</v>
      </c>
      <c r="Y7" s="39">
        <v>0</v>
      </c>
      <c r="Z7" s="39">
        <v>0</v>
      </c>
      <c r="AA7" s="39">
        <v>0</v>
      </c>
      <c r="AB7" s="39">
        <v>0</v>
      </c>
      <c r="AC7" s="39">
        <v>0</v>
      </c>
      <c r="AD7" s="39">
        <v>0</v>
      </c>
      <c r="AE7" s="39">
        <v>0</v>
      </c>
      <c r="AF7" s="39">
        <v>0</v>
      </c>
      <c r="AG7" s="39">
        <v>0</v>
      </c>
      <c r="AH7" s="39">
        <v>0</v>
      </c>
      <c r="AI7" s="39">
        <v>0</v>
      </c>
      <c r="AJ7" s="47">
        <f t="shared" si="1"/>
        <v>0</v>
      </c>
      <c r="AK7" s="47">
        <f t="shared" si="0"/>
        <v>0</v>
      </c>
      <c r="AL7" s="47">
        <f t="shared" si="0"/>
        <v>0</v>
      </c>
      <c r="AM7" s="47">
        <f t="shared" si="0"/>
        <v>0</v>
      </c>
      <c r="AN7" s="47">
        <f t="shared" si="0"/>
        <v>0</v>
      </c>
      <c r="AO7" s="47">
        <f t="shared" si="0"/>
        <v>0</v>
      </c>
      <c r="AP7" s="47">
        <f t="shared" si="0"/>
        <v>0</v>
      </c>
      <c r="AQ7" s="47">
        <f t="shared" si="0"/>
        <v>0</v>
      </c>
      <c r="AR7" s="47">
        <f t="shared" si="0"/>
        <v>0</v>
      </c>
      <c r="AS7" s="47">
        <f t="shared" si="0"/>
        <v>0</v>
      </c>
      <c r="AT7" s="47">
        <f t="shared" si="0"/>
        <v>0</v>
      </c>
      <c r="AU7" s="47">
        <f t="shared" si="0"/>
        <v>0</v>
      </c>
      <c r="AV7" s="47">
        <f t="shared" si="0"/>
        <v>0</v>
      </c>
      <c r="AW7" s="47">
        <f t="shared" si="0"/>
        <v>0</v>
      </c>
      <c r="AX7" s="47">
        <f t="shared" si="0"/>
        <v>0</v>
      </c>
      <c r="AY7" s="47">
        <f t="shared" si="0"/>
        <v>0</v>
      </c>
      <c r="AZ7" s="47">
        <f t="shared" si="0"/>
        <v>0</v>
      </c>
      <c r="BA7" s="47">
        <f t="shared" si="0"/>
        <v>0</v>
      </c>
      <c r="BB7" s="47">
        <f t="shared" si="0"/>
        <v>0</v>
      </c>
      <c r="BC7" s="47">
        <f t="shared" si="0"/>
        <v>0</v>
      </c>
    </row>
    <row r="8" spans="1:55" x14ac:dyDescent="0.2">
      <c r="A8" s="40" t="s">
        <v>231</v>
      </c>
      <c r="B8" s="39">
        <v>0</v>
      </c>
      <c r="C8" s="39">
        <v>0</v>
      </c>
      <c r="D8" s="39">
        <v>0</v>
      </c>
      <c r="E8" s="39">
        <v>0</v>
      </c>
      <c r="F8" s="39">
        <v>0</v>
      </c>
      <c r="G8" s="39">
        <v>0</v>
      </c>
      <c r="H8" s="39">
        <v>0</v>
      </c>
      <c r="I8" s="39">
        <v>0</v>
      </c>
      <c r="J8" s="39">
        <v>0</v>
      </c>
      <c r="K8" s="39">
        <v>0</v>
      </c>
      <c r="L8" s="39">
        <v>0</v>
      </c>
      <c r="M8" s="39">
        <v>0</v>
      </c>
      <c r="N8" s="39">
        <v>0</v>
      </c>
      <c r="O8" s="39">
        <v>0</v>
      </c>
      <c r="P8" s="39">
        <v>0</v>
      </c>
      <c r="Q8" s="39">
        <v>0</v>
      </c>
      <c r="R8" s="39">
        <v>0</v>
      </c>
      <c r="S8" s="39">
        <v>0</v>
      </c>
      <c r="T8" s="39">
        <v>0</v>
      </c>
      <c r="U8" s="39">
        <v>0</v>
      </c>
      <c r="V8" s="39">
        <v>0</v>
      </c>
      <c r="W8" s="39">
        <v>0</v>
      </c>
      <c r="X8" s="39">
        <v>0</v>
      </c>
      <c r="Y8" s="39">
        <v>0</v>
      </c>
      <c r="Z8" s="39">
        <v>0</v>
      </c>
      <c r="AA8" s="39">
        <v>0</v>
      </c>
      <c r="AB8" s="39">
        <v>0</v>
      </c>
      <c r="AC8" s="39">
        <v>0</v>
      </c>
      <c r="AD8" s="39">
        <v>0</v>
      </c>
      <c r="AE8" s="39">
        <v>0</v>
      </c>
      <c r="AF8" s="39">
        <v>0</v>
      </c>
      <c r="AG8" s="39">
        <v>0</v>
      </c>
      <c r="AH8" s="39">
        <v>0</v>
      </c>
      <c r="AI8" s="39">
        <v>0</v>
      </c>
      <c r="AJ8" s="47">
        <f t="shared" si="1"/>
        <v>0</v>
      </c>
      <c r="AK8" s="47">
        <f t="shared" si="0"/>
        <v>0</v>
      </c>
      <c r="AL8" s="47">
        <f t="shared" si="0"/>
        <v>0</v>
      </c>
      <c r="AM8" s="47">
        <f t="shared" si="0"/>
        <v>0</v>
      </c>
      <c r="AN8" s="47">
        <f t="shared" si="0"/>
        <v>0</v>
      </c>
      <c r="AO8" s="47">
        <f t="shared" si="0"/>
        <v>0</v>
      </c>
      <c r="AP8" s="47">
        <f t="shared" si="0"/>
        <v>0</v>
      </c>
      <c r="AQ8" s="47">
        <f t="shared" si="0"/>
        <v>0</v>
      </c>
      <c r="AR8" s="47">
        <f t="shared" si="0"/>
        <v>0</v>
      </c>
      <c r="AS8" s="47">
        <f t="shared" si="0"/>
        <v>0</v>
      </c>
      <c r="AT8" s="47">
        <f t="shared" si="0"/>
        <v>0</v>
      </c>
      <c r="AU8" s="47">
        <f t="shared" si="0"/>
        <v>0</v>
      </c>
      <c r="AV8" s="47">
        <f t="shared" si="0"/>
        <v>0</v>
      </c>
      <c r="AW8" s="47">
        <f t="shared" si="0"/>
        <v>0</v>
      </c>
      <c r="AX8" s="47">
        <f t="shared" si="0"/>
        <v>0</v>
      </c>
      <c r="AY8" s="47">
        <f t="shared" si="0"/>
        <v>0</v>
      </c>
      <c r="AZ8" s="47">
        <f t="shared" si="0"/>
        <v>0</v>
      </c>
      <c r="BA8" s="47">
        <f t="shared" si="0"/>
        <v>0</v>
      </c>
      <c r="BB8" s="47">
        <f t="shared" si="0"/>
        <v>0</v>
      </c>
      <c r="BC8" s="47">
        <f t="shared" si="0"/>
        <v>0</v>
      </c>
    </row>
    <row r="9" spans="1:55" x14ac:dyDescent="0.2">
      <c r="A9" s="40" t="s">
        <v>232</v>
      </c>
      <c r="B9" s="39">
        <v>17906000</v>
      </c>
      <c r="C9" s="39">
        <v>17906000</v>
      </c>
      <c r="D9" s="39">
        <v>17906000</v>
      </c>
      <c r="E9" s="39">
        <v>17906000</v>
      </c>
      <c r="F9" s="39">
        <v>17906000</v>
      </c>
      <c r="G9" s="39">
        <v>17906000</v>
      </c>
      <c r="H9" s="39">
        <v>17906000</v>
      </c>
      <c r="I9" s="39">
        <v>17906000</v>
      </c>
      <c r="J9" s="39">
        <v>17906000</v>
      </c>
      <c r="K9" s="39">
        <v>17906000</v>
      </c>
      <c r="L9" s="39">
        <v>17906000</v>
      </c>
      <c r="M9" s="39">
        <v>17906000</v>
      </c>
      <c r="N9" s="39">
        <v>17906000</v>
      </c>
      <c r="O9" s="39">
        <v>17906000</v>
      </c>
      <c r="P9" s="39">
        <v>17906000</v>
      </c>
      <c r="Q9" s="39">
        <v>17906000</v>
      </c>
      <c r="R9" s="39">
        <v>17906000</v>
      </c>
      <c r="S9" s="39">
        <v>17906000</v>
      </c>
      <c r="T9" s="39">
        <v>17906000</v>
      </c>
      <c r="U9" s="39">
        <v>17906000</v>
      </c>
      <c r="V9" s="39">
        <v>17906000</v>
      </c>
      <c r="W9" s="39">
        <v>17906000</v>
      </c>
      <c r="X9" s="39">
        <v>17906000</v>
      </c>
      <c r="Y9" s="39">
        <v>17906000</v>
      </c>
      <c r="Z9" s="39">
        <v>17906000</v>
      </c>
      <c r="AA9" s="39">
        <v>17906000</v>
      </c>
      <c r="AB9" s="39">
        <v>17906000</v>
      </c>
      <c r="AC9" s="39">
        <v>17906000</v>
      </c>
      <c r="AD9" s="39">
        <v>17906000</v>
      </c>
      <c r="AE9" s="39">
        <v>17906000</v>
      </c>
      <c r="AF9" s="39">
        <v>17906000</v>
      </c>
      <c r="AG9" s="39">
        <v>17906000</v>
      </c>
      <c r="AH9" s="39">
        <v>17906000</v>
      </c>
      <c r="AI9" s="39">
        <v>17906000</v>
      </c>
      <c r="AJ9" s="47">
        <f t="shared" si="1"/>
        <v>17906000</v>
      </c>
      <c r="AK9" s="47">
        <f t="shared" si="0"/>
        <v>17906000</v>
      </c>
      <c r="AL9" s="47">
        <f t="shared" si="0"/>
        <v>17906000</v>
      </c>
      <c r="AM9" s="47">
        <f t="shared" si="0"/>
        <v>17906000</v>
      </c>
      <c r="AN9" s="47">
        <f t="shared" si="0"/>
        <v>17906000</v>
      </c>
      <c r="AO9" s="47">
        <f t="shared" si="0"/>
        <v>17906000</v>
      </c>
      <c r="AP9" s="47">
        <f t="shared" si="0"/>
        <v>17906000</v>
      </c>
      <c r="AQ9" s="47">
        <f t="shared" si="0"/>
        <v>17906000</v>
      </c>
      <c r="AR9" s="47">
        <f t="shared" si="0"/>
        <v>17906000</v>
      </c>
      <c r="AS9" s="47">
        <f t="shared" si="0"/>
        <v>17906000</v>
      </c>
      <c r="AT9" s="47">
        <f t="shared" si="0"/>
        <v>17906000</v>
      </c>
      <c r="AU9" s="47">
        <f t="shared" si="0"/>
        <v>17906000</v>
      </c>
      <c r="AV9" s="47">
        <f t="shared" si="0"/>
        <v>17906000</v>
      </c>
      <c r="AW9" s="47">
        <f t="shared" si="0"/>
        <v>17906000</v>
      </c>
      <c r="AX9" s="47">
        <f t="shared" si="0"/>
        <v>17906000</v>
      </c>
      <c r="AY9" s="47">
        <f t="shared" si="0"/>
        <v>17906000</v>
      </c>
      <c r="AZ9" s="47">
        <f t="shared" si="0"/>
        <v>17906000</v>
      </c>
      <c r="BA9" s="47">
        <f t="shared" si="0"/>
        <v>17906000</v>
      </c>
      <c r="BB9" s="47">
        <f t="shared" si="0"/>
        <v>17906000</v>
      </c>
      <c r="BC9" s="47">
        <f t="shared" si="0"/>
        <v>17906000</v>
      </c>
    </row>
    <row r="10" spans="1:55" x14ac:dyDescent="0.2">
      <c r="A10" s="40" t="s">
        <v>233</v>
      </c>
      <c r="B10" s="39">
        <v>120396.26</v>
      </c>
      <c r="C10" s="39">
        <v>120363.33</v>
      </c>
      <c r="D10" s="39">
        <v>120379.17</v>
      </c>
      <c r="E10" s="39">
        <v>120387.38</v>
      </c>
      <c r="F10" s="39">
        <v>120365.74</v>
      </c>
      <c r="G10" s="39">
        <v>120317.52</v>
      </c>
      <c r="H10" s="39">
        <v>120257.52</v>
      </c>
      <c r="I10" s="39">
        <v>120238.14</v>
      </c>
      <c r="J10" s="39">
        <v>120225.69</v>
      </c>
      <c r="K10" s="39">
        <v>120215.88</v>
      </c>
      <c r="L10" s="39">
        <v>120205.24</v>
      </c>
      <c r="M10" s="39">
        <v>120194.9</v>
      </c>
      <c r="N10" s="39">
        <v>120184.57</v>
      </c>
      <c r="O10" s="39">
        <v>120186.36</v>
      </c>
      <c r="P10" s="39">
        <v>120169.33</v>
      </c>
      <c r="Q10" s="39">
        <v>120159.81</v>
      </c>
      <c r="R10" s="39">
        <v>120153.9</v>
      </c>
      <c r="S10" s="39">
        <v>120139.93</v>
      </c>
      <c r="T10" s="39">
        <v>120123.48</v>
      </c>
      <c r="U10" s="39">
        <v>120105.48</v>
      </c>
      <c r="V10" s="39">
        <v>120085.26</v>
      </c>
      <c r="W10" s="39">
        <v>120065.60000000001</v>
      </c>
      <c r="X10" s="39">
        <v>120040.19</v>
      </c>
      <c r="Y10" s="39">
        <v>120011.86</v>
      </c>
      <c r="Z10" s="39">
        <v>119980</v>
      </c>
      <c r="AA10" s="39">
        <v>119949.21</v>
      </c>
      <c r="AB10" s="39">
        <v>119910.1</v>
      </c>
      <c r="AC10" s="39">
        <v>119871.48</v>
      </c>
      <c r="AD10" s="39">
        <v>119830.31</v>
      </c>
      <c r="AE10" s="39">
        <v>119784.4</v>
      </c>
      <c r="AF10" s="39">
        <v>119727.33</v>
      </c>
      <c r="AG10" s="39">
        <v>119664.71</v>
      </c>
      <c r="AH10" s="39">
        <v>119596.14</v>
      </c>
      <c r="AI10" s="39">
        <v>119596.1</v>
      </c>
      <c r="AJ10" s="47">
        <f t="shared" si="1"/>
        <v>119596.1</v>
      </c>
      <c r="AK10" s="47">
        <f t="shared" si="0"/>
        <v>119596.1</v>
      </c>
      <c r="AL10" s="47">
        <f t="shared" si="0"/>
        <v>119596.1</v>
      </c>
      <c r="AM10" s="47">
        <f t="shared" si="0"/>
        <v>119596.1</v>
      </c>
      <c r="AN10" s="47">
        <f t="shared" si="0"/>
        <v>119596.1</v>
      </c>
      <c r="AO10" s="47">
        <f t="shared" si="0"/>
        <v>119596.1</v>
      </c>
      <c r="AP10" s="47">
        <f t="shared" si="0"/>
        <v>119596.1</v>
      </c>
      <c r="AQ10" s="47">
        <f t="shared" si="0"/>
        <v>119596.1</v>
      </c>
      <c r="AR10" s="47">
        <f t="shared" si="0"/>
        <v>119596.1</v>
      </c>
      <c r="AS10" s="47">
        <f t="shared" si="0"/>
        <v>119596.1</v>
      </c>
      <c r="AT10" s="47">
        <f t="shared" si="0"/>
        <v>119596.1</v>
      </c>
      <c r="AU10" s="47">
        <f t="shared" si="0"/>
        <v>119596.1</v>
      </c>
      <c r="AV10" s="47">
        <f t="shared" si="0"/>
        <v>119596.1</v>
      </c>
      <c r="AW10" s="47">
        <f t="shared" si="0"/>
        <v>119596.1</v>
      </c>
      <c r="AX10" s="47">
        <f t="shared" si="0"/>
        <v>119596.1</v>
      </c>
      <c r="AY10" s="47">
        <f t="shared" si="0"/>
        <v>119596.1</v>
      </c>
      <c r="AZ10" s="47">
        <f t="shared" si="0"/>
        <v>119596.1</v>
      </c>
      <c r="BA10" s="47">
        <f t="shared" si="0"/>
        <v>119596.1</v>
      </c>
      <c r="BB10" s="47">
        <f t="shared" si="0"/>
        <v>119596.1</v>
      </c>
      <c r="BC10" s="47">
        <f t="shared" si="0"/>
        <v>119596.1</v>
      </c>
    </row>
    <row r="11" spans="1:55" x14ac:dyDescent="0.2">
      <c r="A11" s="40" t="s">
        <v>234</v>
      </c>
      <c r="B11" s="39">
        <v>138690.48000000001</v>
      </c>
      <c r="C11" s="39">
        <v>138690.48000000001</v>
      </c>
      <c r="D11" s="39">
        <v>138690.48000000001</v>
      </c>
      <c r="E11" s="39">
        <v>138690.48000000001</v>
      </c>
      <c r="F11" s="39">
        <v>138690.48000000001</v>
      </c>
      <c r="G11" s="39">
        <v>138690.48000000001</v>
      </c>
      <c r="H11" s="39">
        <v>138690.48000000001</v>
      </c>
      <c r="I11" s="39">
        <v>138690.48000000001</v>
      </c>
      <c r="J11" s="39">
        <v>138690.48000000001</v>
      </c>
      <c r="K11" s="39">
        <v>138690.48000000001</v>
      </c>
      <c r="L11" s="39">
        <v>138690.48000000001</v>
      </c>
      <c r="M11" s="39">
        <v>138690.48000000001</v>
      </c>
      <c r="N11" s="39">
        <v>138690.48000000001</v>
      </c>
      <c r="O11" s="39">
        <v>138690.48000000001</v>
      </c>
      <c r="P11" s="39">
        <v>138690.48000000001</v>
      </c>
      <c r="Q11" s="39">
        <v>138690.48000000001</v>
      </c>
      <c r="R11" s="39">
        <v>138690.48000000001</v>
      </c>
      <c r="S11" s="39">
        <v>138690.48000000001</v>
      </c>
      <c r="T11" s="39">
        <v>138690.48000000001</v>
      </c>
      <c r="U11" s="39">
        <v>138690.48000000001</v>
      </c>
      <c r="V11" s="39">
        <v>138690.48000000001</v>
      </c>
      <c r="W11" s="39">
        <v>138690.48000000001</v>
      </c>
      <c r="X11" s="39">
        <v>138690.48000000001</v>
      </c>
      <c r="Y11" s="39">
        <v>138690.48000000001</v>
      </c>
      <c r="Z11" s="39">
        <v>138690.48000000001</v>
      </c>
      <c r="AA11" s="39">
        <v>138690.48000000001</v>
      </c>
      <c r="AB11" s="39">
        <v>138690.48000000001</v>
      </c>
      <c r="AC11" s="39">
        <v>138690.48000000001</v>
      </c>
      <c r="AD11" s="39">
        <v>138690.48000000001</v>
      </c>
      <c r="AE11" s="39">
        <v>138690.48000000001</v>
      </c>
      <c r="AF11" s="39">
        <v>138690.48000000001</v>
      </c>
      <c r="AG11" s="39">
        <v>138690.48000000001</v>
      </c>
      <c r="AH11" s="39">
        <v>138690.48000000001</v>
      </c>
      <c r="AI11" s="39">
        <v>138690.48000000001</v>
      </c>
      <c r="AJ11" s="47">
        <f t="shared" si="1"/>
        <v>138690.48000000001</v>
      </c>
      <c r="AK11" s="47">
        <f t="shared" si="0"/>
        <v>138690.48000000001</v>
      </c>
      <c r="AL11" s="47">
        <f t="shared" si="0"/>
        <v>138690.48000000001</v>
      </c>
      <c r="AM11" s="47">
        <f t="shared" si="0"/>
        <v>138690.48000000001</v>
      </c>
      <c r="AN11" s="47">
        <f t="shared" si="0"/>
        <v>138690.48000000001</v>
      </c>
      <c r="AO11" s="47">
        <f t="shared" si="0"/>
        <v>138690.48000000001</v>
      </c>
      <c r="AP11" s="47">
        <f t="shared" si="0"/>
        <v>138690.48000000001</v>
      </c>
      <c r="AQ11" s="47">
        <f t="shared" si="0"/>
        <v>138690.48000000001</v>
      </c>
      <c r="AR11" s="47">
        <f t="shared" si="0"/>
        <v>138690.48000000001</v>
      </c>
      <c r="AS11" s="47">
        <f t="shared" si="0"/>
        <v>138690.48000000001</v>
      </c>
      <c r="AT11" s="47">
        <f t="shared" si="0"/>
        <v>138690.48000000001</v>
      </c>
      <c r="AU11" s="47">
        <f t="shared" si="0"/>
        <v>138690.48000000001</v>
      </c>
      <c r="AV11" s="47">
        <f t="shared" si="0"/>
        <v>138690.48000000001</v>
      </c>
      <c r="AW11" s="47">
        <f t="shared" si="0"/>
        <v>138690.48000000001</v>
      </c>
      <c r="AX11" s="47">
        <f t="shared" si="0"/>
        <v>138690.48000000001</v>
      </c>
      <c r="AY11" s="47">
        <f t="shared" si="0"/>
        <v>138690.48000000001</v>
      </c>
      <c r="AZ11" s="47">
        <f t="shared" si="0"/>
        <v>138690.48000000001</v>
      </c>
      <c r="BA11" s="47">
        <f t="shared" si="0"/>
        <v>138690.48000000001</v>
      </c>
      <c r="BB11" s="47">
        <f t="shared" si="0"/>
        <v>138690.48000000001</v>
      </c>
      <c r="BC11" s="47">
        <f t="shared" si="0"/>
        <v>138690.48000000001</v>
      </c>
    </row>
    <row r="12" spans="1:55" x14ac:dyDescent="0.2">
      <c r="A12" s="40" t="s">
        <v>235</v>
      </c>
      <c r="B12" s="39">
        <v>95171.904999999999</v>
      </c>
      <c r="C12" s="39">
        <v>94981.737999999998</v>
      </c>
      <c r="D12" s="39">
        <v>94981.737999999998</v>
      </c>
      <c r="E12" s="39">
        <v>94981.737999999998</v>
      </c>
      <c r="F12" s="39">
        <v>94981.737999999998</v>
      </c>
      <c r="G12" s="39">
        <v>94981.737999999998</v>
      </c>
      <c r="H12" s="39">
        <v>94981.737999999998</v>
      </c>
      <c r="I12" s="39">
        <v>94981.737999999998</v>
      </c>
      <c r="J12" s="39">
        <v>94981.737999999998</v>
      </c>
      <c r="K12" s="39">
        <v>94981.737999999998</v>
      </c>
      <c r="L12" s="39">
        <v>94981.737999999998</v>
      </c>
      <c r="M12" s="39">
        <v>94981.737999999998</v>
      </c>
      <c r="N12" s="39">
        <v>94981.737999999998</v>
      </c>
      <c r="O12" s="39">
        <v>94981.737999999998</v>
      </c>
      <c r="P12" s="39">
        <v>94981.737999999998</v>
      </c>
      <c r="Q12" s="39">
        <v>94981.737999999998</v>
      </c>
      <c r="R12" s="39">
        <v>94981.737999999998</v>
      </c>
      <c r="S12" s="39">
        <v>94981.737999999998</v>
      </c>
      <c r="T12" s="39">
        <v>94981.737999999998</v>
      </c>
      <c r="U12" s="39">
        <v>94981.737999999998</v>
      </c>
      <c r="V12" s="39">
        <v>94981.737999999998</v>
      </c>
      <c r="W12" s="39">
        <v>94981.737999999998</v>
      </c>
      <c r="X12" s="39">
        <v>94981.737999999998</v>
      </c>
      <c r="Y12" s="39">
        <v>94981.737999999998</v>
      </c>
      <c r="Z12" s="39">
        <v>94981.737999999998</v>
      </c>
      <c r="AA12" s="39">
        <v>94981.737999999998</v>
      </c>
      <c r="AB12" s="39">
        <v>94981.737999999998</v>
      </c>
      <c r="AC12" s="39">
        <v>94981.737999999998</v>
      </c>
      <c r="AD12" s="39">
        <v>94981.737999999998</v>
      </c>
      <c r="AE12" s="39">
        <v>94981.737999999998</v>
      </c>
      <c r="AF12" s="39">
        <v>94981.737999999998</v>
      </c>
      <c r="AG12" s="39">
        <v>94981.737999999998</v>
      </c>
      <c r="AH12" s="39">
        <v>94981.737999999998</v>
      </c>
      <c r="AI12" s="39">
        <v>94981.737999999998</v>
      </c>
      <c r="AJ12" s="47">
        <f t="shared" si="1"/>
        <v>94981.737999999998</v>
      </c>
      <c r="AK12" s="47">
        <f t="shared" si="0"/>
        <v>94981.737999999998</v>
      </c>
      <c r="AL12" s="47">
        <f t="shared" si="0"/>
        <v>94981.737999999998</v>
      </c>
      <c r="AM12" s="47">
        <f t="shared" si="0"/>
        <v>94981.737999999998</v>
      </c>
      <c r="AN12" s="47">
        <f t="shared" si="0"/>
        <v>94981.737999999998</v>
      </c>
      <c r="AO12" s="47">
        <f t="shared" si="0"/>
        <v>94981.737999999998</v>
      </c>
      <c r="AP12" s="47">
        <f t="shared" si="0"/>
        <v>94981.737999999998</v>
      </c>
      <c r="AQ12" s="47">
        <f t="shared" si="0"/>
        <v>94981.737999999998</v>
      </c>
      <c r="AR12" s="47">
        <f t="shared" si="0"/>
        <v>94981.737999999998</v>
      </c>
      <c r="AS12" s="47">
        <f t="shared" si="0"/>
        <v>94981.737999999998</v>
      </c>
      <c r="AT12" s="47">
        <f t="shared" si="0"/>
        <v>94981.737999999998</v>
      </c>
      <c r="AU12" s="47">
        <f t="shared" si="0"/>
        <v>94981.737999999998</v>
      </c>
      <c r="AV12" s="47">
        <f t="shared" si="0"/>
        <v>94981.737999999998</v>
      </c>
      <c r="AW12" s="47">
        <f t="shared" si="0"/>
        <v>94981.737999999998</v>
      </c>
      <c r="AX12" s="47">
        <f t="shared" si="0"/>
        <v>94981.737999999998</v>
      </c>
      <c r="AY12" s="47">
        <f t="shared" si="0"/>
        <v>94981.737999999998</v>
      </c>
      <c r="AZ12" s="47">
        <f t="shared" si="0"/>
        <v>94981.737999999998</v>
      </c>
      <c r="BA12" s="47">
        <f t="shared" si="0"/>
        <v>94981.737999999998</v>
      </c>
      <c r="BB12" s="47">
        <f t="shared" si="0"/>
        <v>94981.737999999998</v>
      </c>
      <c r="BC12" s="47">
        <f t="shared" si="0"/>
        <v>94981.737999999998</v>
      </c>
    </row>
    <row r="13" spans="1:55" x14ac:dyDescent="0.2">
      <c r="A13" s="40" t="s">
        <v>236</v>
      </c>
      <c r="B13" s="39">
        <v>127595.24</v>
      </c>
      <c r="C13" s="39">
        <v>127595.24</v>
      </c>
      <c r="D13" s="39">
        <v>127595.24</v>
      </c>
      <c r="E13" s="39">
        <v>127595.24</v>
      </c>
      <c r="F13" s="39">
        <v>127595.24</v>
      </c>
      <c r="G13" s="39">
        <v>127595.24</v>
      </c>
      <c r="H13" s="39">
        <v>127595.24</v>
      </c>
      <c r="I13" s="39">
        <v>127595.24</v>
      </c>
      <c r="J13" s="39">
        <v>127595.24</v>
      </c>
      <c r="K13" s="39">
        <v>127595.24</v>
      </c>
      <c r="L13" s="39">
        <v>127595.24</v>
      </c>
      <c r="M13" s="39">
        <v>127595.24</v>
      </c>
      <c r="N13" s="39">
        <v>127595.24</v>
      </c>
      <c r="O13" s="39">
        <v>127595.24</v>
      </c>
      <c r="P13" s="39">
        <v>127595.24</v>
      </c>
      <c r="Q13" s="39">
        <v>127595.24</v>
      </c>
      <c r="R13" s="39">
        <v>127595.24</v>
      </c>
      <c r="S13" s="39">
        <v>127595.24</v>
      </c>
      <c r="T13" s="39">
        <v>127595.24</v>
      </c>
      <c r="U13" s="39">
        <v>127595.24</v>
      </c>
      <c r="V13" s="39">
        <v>127595.24</v>
      </c>
      <c r="W13" s="39">
        <v>127595.24</v>
      </c>
      <c r="X13" s="39">
        <v>127595.24</v>
      </c>
      <c r="Y13" s="39">
        <v>127595.24</v>
      </c>
      <c r="Z13" s="39">
        <v>127595.24</v>
      </c>
      <c r="AA13" s="39">
        <v>127595.24</v>
      </c>
      <c r="AB13" s="39">
        <v>127595.24</v>
      </c>
      <c r="AC13" s="39">
        <v>127595.24</v>
      </c>
      <c r="AD13" s="39">
        <v>127595.24</v>
      </c>
      <c r="AE13" s="39">
        <v>127595.24</v>
      </c>
      <c r="AF13" s="39">
        <v>127595.24</v>
      </c>
      <c r="AG13" s="39">
        <v>127595.24</v>
      </c>
      <c r="AH13" s="39">
        <v>127595.24</v>
      </c>
      <c r="AI13" s="39">
        <v>127595.24</v>
      </c>
      <c r="AJ13" s="47">
        <f t="shared" si="1"/>
        <v>127595.24</v>
      </c>
      <c r="AK13" s="47">
        <f t="shared" si="0"/>
        <v>127595.24</v>
      </c>
      <c r="AL13" s="47">
        <f t="shared" si="0"/>
        <v>127595.24</v>
      </c>
      <c r="AM13" s="47">
        <f t="shared" si="0"/>
        <v>127595.24</v>
      </c>
      <c r="AN13" s="47">
        <f t="shared" si="0"/>
        <v>127595.24</v>
      </c>
      <c r="AO13" s="47">
        <f t="shared" si="0"/>
        <v>127595.24</v>
      </c>
      <c r="AP13" s="47">
        <f t="shared" si="0"/>
        <v>127595.24</v>
      </c>
      <c r="AQ13" s="47">
        <f t="shared" si="0"/>
        <v>127595.24</v>
      </c>
      <c r="AR13" s="47">
        <f t="shared" si="0"/>
        <v>127595.24</v>
      </c>
      <c r="AS13" s="47">
        <f t="shared" si="0"/>
        <v>127595.24</v>
      </c>
      <c r="AT13" s="47">
        <f t="shared" si="0"/>
        <v>127595.24</v>
      </c>
      <c r="AU13" s="47">
        <f t="shared" si="0"/>
        <v>127595.24</v>
      </c>
      <c r="AV13" s="47">
        <f t="shared" si="0"/>
        <v>127595.24</v>
      </c>
      <c r="AW13" s="47">
        <f t="shared" si="0"/>
        <v>127595.24</v>
      </c>
      <c r="AX13" s="47">
        <f t="shared" si="0"/>
        <v>127595.24</v>
      </c>
      <c r="AY13" s="47">
        <f t="shared" si="0"/>
        <v>127595.24</v>
      </c>
      <c r="AZ13" s="47">
        <f t="shared" si="0"/>
        <v>127595.24</v>
      </c>
      <c r="BA13" s="47">
        <f t="shared" si="0"/>
        <v>127595.24</v>
      </c>
      <c r="BB13" s="47">
        <f t="shared" si="0"/>
        <v>127595.24</v>
      </c>
      <c r="BC13" s="47">
        <f t="shared" si="0"/>
        <v>127595.24</v>
      </c>
    </row>
    <row r="14" spans="1:55" x14ac:dyDescent="0.2">
      <c r="A14" s="40" t="s">
        <v>237</v>
      </c>
      <c r="B14" s="39">
        <v>135000</v>
      </c>
      <c r="C14" s="39">
        <v>135000</v>
      </c>
      <c r="D14" s="39">
        <v>135000</v>
      </c>
      <c r="E14" s="39">
        <v>135000</v>
      </c>
      <c r="F14" s="39">
        <v>135000</v>
      </c>
      <c r="G14" s="39">
        <v>135000</v>
      </c>
      <c r="H14" s="39">
        <v>135000</v>
      </c>
      <c r="I14" s="39">
        <v>135000</v>
      </c>
      <c r="J14" s="39">
        <v>135000</v>
      </c>
      <c r="K14" s="39">
        <v>135000</v>
      </c>
      <c r="L14" s="39">
        <v>135000</v>
      </c>
      <c r="M14" s="39">
        <v>135000</v>
      </c>
      <c r="N14" s="39">
        <v>135000</v>
      </c>
      <c r="O14" s="39">
        <v>135000</v>
      </c>
      <c r="P14" s="39">
        <v>135000</v>
      </c>
      <c r="Q14" s="39">
        <v>135000</v>
      </c>
      <c r="R14" s="39">
        <v>135000</v>
      </c>
      <c r="S14" s="39">
        <v>135000</v>
      </c>
      <c r="T14" s="39">
        <v>135000</v>
      </c>
      <c r="U14" s="39">
        <v>135000</v>
      </c>
      <c r="V14" s="39">
        <v>135000</v>
      </c>
      <c r="W14" s="39">
        <v>135000</v>
      </c>
      <c r="X14" s="39">
        <v>135000</v>
      </c>
      <c r="Y14" s="39">
        <v>135000</v>
      </c>
      <c r="Z14" s="39">
        <v>135000</v>
      </c>
      <c r="AA14" s="39">
        <v>135000</v>
      </c>
      <c r="AB14" s="39">
        <v>135000</v>
      </c>
      <c r="AC14" s="39">
        <v>135000</v>
      </c>
      <c r="AD14" s="39">
        <v>135000</v>
      </c>
      <c r="AE14" s="39">
        <v>135000</v>
      </c>
      <c r="AF14" s="39">
        <v>135000</v>
      </c>
      <c r="AG14" s="39">
        <v>135000</v>
      </c>
      <c r="AH14" s="39">
        <v>135000</v>
      </c>
      <c r="AI14" s="39">
        <v>135000</v>
      </c>
      <c r="AJ14" s="47">
        <f t="shared" si="1"/>
        <v>135000</v>
      </c>
      <c r="AK14" s="47">
        <f t="shared" si="0"/>
        <v>135000</v>
      </c>
      <c r="AL14" s="47">
        <f t="shared" si="0"/>
        <v>135000</v>
      </c>
      <c r="AM14" s="47">
        <f t="shared" si="0"/>
        <v>135000</v>
      </c>
      <c r="AN14" s="47">
        <f t="shared" si="0"/>
        <v>135000</v>
      </c>
      <c r="AO14" s="47">
        <f t="shared" si="0"/>
        <v>135000</v>
      </c>
      <c r="AP14" s="47">
        <f t="shared" si="0"/>
        <v>135000</v>
      </c>
      <c r="AQ14" s="47">
        <f t="shared" si="0"/>
        <v>135000</v>
      </c>
      <c r="AR14" s="47">
        <f t="shared" si="0"/>
        <v>135000</v>
      </c>
      <c r="AS14" s="47">
        <f t="shared" si="0"/>
        <v>135000</v>
      </c>
      <c r="AT14" s="47">
        <f t="shared" si="0"/>
        <v>135000</v>
      </c>
      <c r="AU14" s="47">
        <f t="shared" si="0"/>
        <v>135000</v>
      </c>
      <c r="AV14" s="47">
        <f t="shared" si="0"/>
        <v>135000</v>
      </c>
      <c r="AW14" s="47">
        <f t="shared" si="0"/>
        <v>135000</v>
      </c>
      <c r="AX14" s="47">
        <f t="shared" si="0"/>
        <v>135000</v>
      </c>
      <c r="AY14" s="47">
        <f t="shared" si="0"/>
        <v>135000</v>
      </c>
      <c r="AZ14" s="47">
        <f t="shared" si="0"/>
        <v>135000</v>
      </c>
      <c r="BA14" s="47">
        <f t="shared" si="0"/>
        <v>135000</v>
      </c>
      <c r="BB14" s="47">
        <f t="shared" si="0"/>
        <v>135000</v>
      </c>
      <c r="BC14" s="47">
        <f t="shared" si="0"/>
        <v>135000</v>
      </c>
    </row>
    <row r="15" spans="1:55" x14ac:dyDescent="0.2">
      <c r="A15" s="40" t="s">
        <v>249</v>
      </c>
      <c r="B15" s="39">
        <v>3142000</v>
      </c>
      <c r="C15" s="39">
        <v>3142000</v>
      </c>
      <c r="D15" s="39">
        <v>3142000</v>
      </c>
      <c r="E15" s="39">
        <v>3142000</v>
      </c>
      <c r="F15" s="39">
        <v>3142000</v>
      </c>
      <c r="G15" s="39">
        <v>3142000</v>
      </c>
      <c r="H15" s="39">
        <v>3142000</v>
      </c>
      <c r="I15" s="39">
        <v>3142000</v>
      </c>
      <c r="J15" s="39">
        <v>3142000</v>
      </c>
      <c r="K15" s="39">
        <v>3142000</v>
      </c>
      <c r="L15" s="39">
        <v>3142000</v>
      </c>
      <c r="M15" s="39">
        <v>3142000</v>
      </c>
      <c r="N15" s="39">
        <v>3142000</v>
      </c>
      <c r="O15" s="39">
        <v>3142000</v>
      </c>
      <c r="P15" s="39">
        <v>3142000</v>
      </c>
      <c r="Q15" s="39">
        <v>3142000</v>
      </c>
      <c r="R15" s="39">
        <v>3142000</v>
      </c>
      <c r="S15" s="39">
        <v>3142000</v>
      </c>
      <c r="T15" s="39">
        <v>3142000</v>
      </c>
      <c r="U15" s="39">
        <v>3142000</v>
      </c>
      <c r="V15" s="39">
        <v>3142000</v>
      </c>
      <c r="W15" s="39">
        <v>3142000</v>
      </c>
      <c r="X15" s="39">
        <v>3142000</v>
      </c>
      <c r="Y15" s="39">
        <v>3142000</v>
      </c>
      <c r="Z15" s="39">
        <v>3142000</v>
      </c>
      <c r="AA15" s="39">
        <v>3142000</v>
      </c>
      <c r="AB15" s="39">
        <v>3142000</v>
      </c>
      <c r="AC15" s="39">
        <v>3142000</v>
      </c>
      <c r="AD15" s="39">
        <v>3142000</v>
      </c>
      <c r="AE15" s="39">
        <v>3142000</v>
      </c>
      <c r="AF15" s="39">
        <v>3142000</v>
      </c>
      <c r="AG15" s="39">
        <v>3142000</v>
      </c>
      <c r="AH15" s="39">
        <v>3142000</v>
      </c>
      <c r="AI15" s="39">
        <v>3142000</v>
      </c>
      <c r="AJ15" s="47">
        <f t="shared" si="1"/>
        <v>3142000</v>
      </c>
      <c r="AK15" s="47">
        <f t="shared" si="0"/>
        <v>3142000</v>
      </c>
      <c r="AL15" s="47">
        <f t="shared" si="0"/>
        <v>3142000</v>
      </c>
      <c r="AM15" s="47">
        <f t="shared" si="0"/>
        <v>3142000</v>
      </c>
      <c r="AN15" s="47">
        <f t="shared" si="0"/>
        <v>3142000</v>
      </c>
      <c r="AO15" s="47">
        <f t="shared" si="0"/>
        <v>3142000</v>
      </c>
      <c r="AP15" s="47">
        <f t="shared" si="0"/>
        <v>3142000</v>
      </c>
      <c r="AQ15" s="47">
        <f t="shared" si="0"/>
        <v>3142000</v>
      </c>
      <c r="AR15" s="47">
        <f t="shared" si="0"/>
        <v>3142000</v>
      </c>
      <c r="AS15" s="47">
        <f t="shared" si="0"/>
        <v>3142000</v>
      </c>
      <c r="AT15" s="47">
        <f t="shared" si="0"/>
        <v>3142000</v>
      </c>
      <c r="AU15" s="47">
        <f t="shared" si="0"/>
        <v>3142000</v>
      </c>
      <c r="AV15" s="47">
        <f t="shared" si="0"/>
        <v>3142000</v>
      </c>
      <c r="AW15" s="47">
        <f t="shared" si="0"/>
        <v>3142000</v>
      </c>
      <c r="AX15" s="47">
        <f t="shared" si="0"/>
        <v>3142000</v>
      </c>
      <c r="AY15" s="47">
        <f t="shared" si="0"/>
        <v>3142000</v>
      </c>
      <c r="AZ15" s="47">
        <f t="shared" si="0"/>
        <v>3142000</v>
      </c>
      <c r="BA15" s="47">
        <f t="shared" si="0"/>
        <v>3142000</v>
      </c>
      <c r="BB15" s="47">
        <f t="shared" si="0"/>
        <v>3142000</v>
      </c>
      <c r="BC15" s="47">
        <f t="shared" si="0"/>
        <v>3142000</v>
      </c>
    </row>
    <row r="16" spans="1:55" x14ac:dyDescent="0.2">
      <c r="A16" s="40" t="s">
        <v>239</v>
      </c>
      <c r="B16" s="39">
        <v>0</v>
      </c>
      <c r="C16" s="39">
        <v>0</v>
      </c>
      <c r="D16" s="39">
        <v>0</v>
      </c>
      <c r="E16" s="39">
        <v>0</v>
      </c>
      <c r="F16" s="39">
        <v>0</v>
      </c>
      <c r="G16" s="39">
        <v>0</v>
      </c>
      <c r="H16" s="39">
        <v>0</v>
      </c>
      <c r="I16" s="39">
        <v>0</v>
      </c>
      <c r="J16" s="39">
        <v>0</v>
      </c>
      <c r="K16" s="39">
        <v>0</v>
      </c>
      <c r="L16" s="39">
        <v>0</v>
      </c>
      <c r="M16" s="39">
        <v>0</v>
      </c>
      <c r="N16" s="39">
        <v>0</v>
      </c>
      <c r="O16" s="39">
        <v>0</v>
      </c>
      <c r="P16" s="39">
        <v>0</v>
      </c>
      <c r="Q16" s="39">
        <v>0</v>
      </c>
      <c r="R16" s="39">
        <v>0</v>
      </c>
      <c r="S16" s="39">
        <v>0</v>
      </c>
      <c r="T16" s="39">
        <v>0</v>
      </c>
      <c r="U16" s="39">
        <v>0</v>
      </c>
      <c r="V16" s="39">
        <v>0</v>
      </c>
      <c r="W16" s="39">
        <v>0</v>
      </c>
      <c r="X16" s="39">
        <v>0</v>
      </c>
      <c r="Y16" s="39">
        <v>0</v>
      </c>
      <c r="Z16" s="39">
        <v>0</v>
      </c>
      <c r="AA16" s="39">
        <v>0</v>
      </c>
      <c r="AB16" s="39">
        <v>0</v>
      </c>
      <c r="AC16" s="39">
        <v>0</v>
      </c>
      <c r="AD16" s="39">
        <v>0</v>
      </c>
      <c r="AE16" s="39">
        <v>0</v>
      </c>
      <c r="AF16" s="39">
        <v>0</v>
      </c>
      <c r="AG16" s="39">
        <v>0</v>
      </c>
      <c r="AH16" s="39">
        <v>0</v>
      </c>
      <c r="AI16" s="39">
        <v>0</v>
      </c>
      <c r="AJ16" s="47">
        <f t="shared" si="1"/>
        <v>0</v>
      </c>
      <c r="AK16" s="47">
        <f t="shared" si="0"/>
        <v>0</v>
      </c>
      <c r="AL16" s="47">
        <f t="shared" si="0"/>
        <v>0</v>
      </c>
      <c r="AM16" s="47">
        <f t="shared" si="0"/>
        <v>0</v>
      </c>
      <c r="AN16" s="47">
        <f t="shared" si="0"/>
        <v>0</v>
      </c>
      <c r="AO16" s="47">
        <f t="shared" ref="AK16:BC22" si="2">AN16</f>
        <v>0</v>
      </c>
      <c r="AP16" s="47">
        <f t="shared" si="2"/>
        <v>0</v>
      </c>
      <c r="AQ16" s="47">
        <f t="shared" si="2"/>
        <v>0</v>
      </c>
      <c r="AR16" s="47">
        <f t="shared" si="2"/>
        <v>0</v>
      </c>
      <c r="AS16" s="47">
        <f t="shared" si="2"/>
        <v>0</v>
      </c>
      <c r="AT16" s="47">
        <f t="shared" si="2"/>
        <v>0</v>
      </c>
      <c r="AU16" s="47">
        <f t="shared" si="2"/>
        <v>0</v>
      </c>
      <c r="AV16" s="47">
        <f t="shared" si="2"/>
        <v>0</v>
      </c>
      <c r="AW16" s="47">
        <f t="shared" si="2"/>
        <v>0</v>
      </c>
      <c r="AX16" s="47">
        <f t="shared" si="2"/>
        <v>0</v>
      </c>
      <c r="AY16" s="47">
        <f t="shared" si="2"/>
        <v>0</v>
      </c>
      <c r="AZ16" s="47">
        <f t="shared" si="2"/>
        <v>0</v>
      </c>
      <c r="BA16" s="47">
        <f t="shared" si="2"/>
        <v>0</v>
      </c>
      <c r="BB16" s="47">
        <f t="shared" si="2"/>
        <v>0</v>
      </c>
      <c r="BC16" s="47">
        <f t="shared" si="2"/>
        <v>0</v>
      </c>
    </row>
    <row r="17" spans="1:55" x14ac:dyDescent="0.2">
      <c r="A17" s="40" t="s">
        <v>240</v>
      </c>
      <c r="B17" s="39">
        <v>12992302</v>
      </c>
      <c r="C17" s="39">
        <v>12992302</v>
      </c>
      <c r="D17" s="39">
        <v>12992302</v>
      </c>
      <c r="E17" s="39">
        <v>12992302</v>
      </c>
      <c r="F17" s="39">
        <v>12992302</v>
      </c>
      <c r="G17" s="39">
        <v>12992302</v>
      </c>
      <c r="H17" s="39">
        <v>12992302</v>
      </c>
      <c r="I17" s="39">
        <v>12992302</v>
      </c>
      <c r="J17" s="39">
        <v>12992302</v>
      </c>
      <c r="K17" s="39">
        <v>12992302</v>
      </c>
      <c r="L17" s="39">
        <v>12992302</v>
      </c>
      <c r="M17" s="39">
        <v>12992302</v>
      </c>
      <c r="N17" s="39">
        <v>12992302</v>
      </c>
      <c r="O17" s="39">
        <v>12992302</v>
      </c>
      <c r="P17" s="39">
        <v>12992302</v>
      </c>
      <c r="Q17" s="39">
        <v>12992302</v>
      </c>
      <c r="R17" s="39">
        <v>12992302</v>
      </c>
      <c r="S17" s="39">
        <v>12992302</v>
      </c>
      <c r="T17" s="39">
        <v>12992302</v>
      </c>
      <c r="U17" s="39">
        <v>12992302</v>
      </c>
      <c r="V17" s="39">
        <v>12992302</v>
      </c>
      <c r="W17" s="39">
        <v>12992302</v>
      </c>
      <c r="X17" s="39">
        <v>12992302</v>
      </c>
      <c r="Y17" s="39">
        <v>12992302</v>
      </c>
      <c r="Z17" s="39">
        <v>12992302</v>
      </c>
      <c r="AA17" s="39">
        <v>12992302</v>
      </c>
      <c r="AB17" s="39">
        <v>12992302</v>
      </c>
      <c r="AC17" s="39">
        <v>12992302</v>
      </c>
      <c r="AD17" s="39">
        <v>12992302</v>
      </c>
      <c r="AE17" s="39">
        <v>12992302</v>
      </c>
      <c r="AF17" s="39">
        <v>12992302</v>
      </c>
      <c r="AG17" s="39">
        <v>12992302</v>
      </c>
      <c r="AH17" s="39">
        <v>12992302</v>
      </c>
      <c r="AI17" s="39">
        <v>12992302</v>
      </c>
      <c r="AJ17" s="47">
        <f t="shared" si="1"/>
        <v>12992302</v>
      </c>
      <c r="AK17" s="47">
        <f t="shared" si="2"/>
        <v>12992302</v>
      </c>
      <c r="AL17" s="47">
        <f t="shared" si="2"/>
        <v>12992302</v>
      </c>
      <c r="AM17" s="47">
        <f t="shared" si="2"/>
        <v>12992302</v>
      </c>
      <c r="AN17" s="47">
        <f t="shared" si="2"/>
        <v>12992302</v>
      </c>
      <c r="AO17" s="47">
        <f t="shared" si="2"/>
        <v>12992302</v>
      </c>
      <c r="AP17" s="47">
        <f t="shared" si="2"/>
        <v>12992302</v>
      </c>
      <c r="AQ17" s="47">
        <f t="shared" si="2"/>
        <v>12992302</v>
      </c>
      <c r="AR17" s="47">
        <f t="shared" si="2"/>
        <v>12992302</v>
      </c>
      <c r="AS17" s="47">
        <f t="shared" si="2"/>
        <v>12992302</v>
      </c>
      <c r="AT17" s="47">
        <f t="shared" si="2"/>
        <v>12992302</v>
      </c>
      <c r="AU17" s="47">
        <f t="shared" si="2"/>
        <v>12992302</v>
      </c>
      <c r="AV17" s="47">
        <f t="shared" si="2"/>
        <v>12992302</v>
      </c>
      <c r="AW17" s="47">
        <f t="shared" si="2"/>
        <v>12992302</v>
      </c>
      <c r="AX17" s="47">
        <f t="shared" si="2"/>
        <v>12992302</v>
      </c>
      <c r="AY17" s="47">
        <f t="shared" si="2"/>
        <v>12992302</v>
      </c>
      <c r="AZ17" s="47">
        <f t="shared" si="2"/>
        <v>12992302</v>
      </c>
      <c r="BA17" s="47">
        <f t="shared" si="2"/>
        <v>12992302</v>
      </c>
      <c r="BB17" s="47">
        <f t="shared" si="2"/>
        <v>12992302</v>
      </c>
      <c r="BC17" s="47">
        <f t="shared" si="2"/>
        <v>12992302</v>
      </c>
    </row>
    <row r="18" spans="1:55" x14ac:dyDescent="0.2">
      <c r="A18" s="40" t="s">
        <v>241</v>
      </c>
      <c r="B18" s="39">
        <v>5810700</v>
      </c>
      <c r="C18" s="39">
        <v>5810700</v>
      </c>
      <c r="D18" s="39">
        <v>5810700</v>
      </c>
      <c r="E18" s="39">
        <v>5810700</v>
      </c>
      <c r="F18" s="39">
        <v>5810700</v>
      </c>
      <c r="G18" s="39">
        <v>5810700</v>
      </c>
      <c r="H18" s="39">
        <v>5810700</v>
      </c>
      <c r="I18" s="39">
        <v>5810700</v>
      </c>
      <c r="J18" s="39">
        <v>5810700</v>
      </c>
      <c r="K18" s="39">
        <v>5810700</v>
      </c>
      <c r="L18" s="39">
        <v>5810700</v>
      </c>
      <c r="M18" s="39">
        <v>5810700</v>
      </c>
      <c r="N18" s="39">
        <v>5810700</v>
      </c>
      <c r="O18" s="39">
        <v>5810700</v>
      </c>
      <c r="P18" s="39">
        <v>5810700</v>
      </c>
      <c r="Q18" s="39">
        <v>5810700</v>
      </c>
      <c r="R18" s="39">
        <v>5810700</v>
      </c>
      <c r="S18" s="39">
        <v>5810700</v>
      </c>
      <c r="T18" s="39">
        <v>5810700</v>
      </c>
      <c r="U18" s="39">
        <v>5810700</v>
      </c>
      <c r="V18" s="39">
        <v>5810700</v>
      </c>
      <c r="W18" s="39">
        <v>5810700</v>
      </c>
      <c r="X18" s="39">
        <v>5810700</v>
      </c>
      <c r="Y18" s="39">
        <v>5810700</v>
      </c>
      <c r="Z18" s="39">
        <v>5810700</v>
      </c>
      <c r="AA18" s="39">
        <v>5810700</v>
      </c>
      <c r="AB18" s="39">
        <v>5810700</v>
      </c>
      <c r="AC18" s="39">
        <v>5810700</v>
      </c>
      <c r="AD18" s="39">
        <v>5810700</v>
      </c>
      <c r="AE18" s="39">
        <v>5810700</v>
      </c>
      <c r="AF18" s="39">
        <v>5810700</v>
      </c>
      <c r="AG18" s="39">
        <v>5810700</v>
      </c>
      <c r="AH18" s="39">
        <v>5810700</v>
      </c>
      <c r="AI18" s="39">
        <v>5810700</v>
      </c>
      <c r="AJ18" s="47">
        <f t="shared" si="1"/>
        <v>5810700</v>
      </c>
      <c r="AK18" s="47">
        <f t="shared" si="2"/>
        <v>5810700</v>
      </c>
      <c r="AL18" s="47">
        <f t="shared" si="2"/>
        <v>5810700</v>
      </c>
      <c r="AM18" s="47">
        <f t="shared" si="2"/>
        <v>5810700</v>
      </c>
      <c r="AN18" s="47">
        <f t="shared" si="2"/>
        <v>5810700</v>
      </c>
      <c r="AO18" s="47">
        <f t="shared" si="2"/>
        <v>5810700</v>
      </c>
      <c r="AP18" s="47">
        <f t="shared" si="2"/>
        <v>5810700</v>
      </c>
      <c r="AQ18" s="47">
        <f t="shared" si="2"/>
        <v>5810700</v>
      </c>
      <c r="AR18" s="47">
        <f t="shared" si="2"/>
        <v>5810700</v>
      </c>
      <c r="AS18" s="47">
        <f t="shared" si="2"/>
        <v>5810700</v>
      </c>
      <c r="AT18" s="47">
        <f t="shared" si="2"/>
        <v>5810700</v>
      </c>
      <c r="AU18" s="47">
        <f t="shared" si="2"/>
        <v>5810700</v>
      </c>
      <c r="AV18" s="47">
        <f t="shared" si="2"/>
        <v>5810700</v>
      </c>
      <c r="AW18" s="47">
        <f t="shared" si="2"/>
        <v>5810700</v>
      </c>
      <c r="AX18" s="47">
        <f t="shared" si="2"/>
        <v>5810700</v>
      </c>
      <c r="AY18" s="47">
        <f t="shared" si="2"/>
        <v>5810700</v>
      </c>
      <c r="AZ18" s="47">
        <f t="shared" si="2"/>
        <v>5810700</v>
      </c>
      <c r="BA18" s="47">
        <f t="shared" si="2"/>
        <v>5810700</v>
      </c>
      <c r="BB18" s="47">
        <f t="shared" si="2"/>
        <v>5810700</v>
      </c>
      <c r="BC18" s="47">
        <f t="shared" si="2"/>
        <v>5810700</v>
      </c>
    </row>
    <row r="19" spans="1:55" x14ac:dyDescent="0.2">
      <c r="A19" s="40" t="s">
        <v>242</v>
      </c>
      <c r="B19" s="39">
        <v>5810700</v>
      </c>
      <c r="C19" s="39">
        <v>5810700</v>
      </c>
      <c r="D19" s="39">
        <v>5810700</v>
      </c>
      <c r="E19" s="39">
        <v>5810700</v>
      </c>
      <c r="F19" s="39">
        <v>5810700</v>
      </c>
      <c r="G19" s="39">
        <v>5810700</v>
      </c>
      <c r="H19" s="39">
        <v>5810700</v>
      </c>
      <c r="I19" s="39">
        <v>5810700</v>
      </c>
      <c r="J19" s="39">
        <v>5810700</v>
      </c>
      <c r="K19" s="39">
        <v>5810700</v>
      </c>
      <c r="L19" s="39">
        <v>5810700</v>
      </c>
      <c r="M19" s="39">
        <v>5810700</v>
      </c>
      <c r="N19" s="39">
        <v>5810700</v>
      </c>
      <c r="O19" s="39">
        <v>5810700</v>
      </c>
      <c r="P19" s="39">
        <v>5810700</v>
      </c>
      <c r="Q19" s="39">
        <v>5810700</v>
      </c>
      <c r="R19" s="39">
        <v>5810700</v>
      </c>
      <c r="S19" s="39">
        <v>5810700</v>
      </c>
      <c r="T19" s="39">
        <v>5810700</v>
      </c>
      <c r="U19" s="39">
        <v>5810700</v>
      </c>
      <c r="V19" s="39">
        <v>5810700</v>
      </c>
      <c r="W19" s="39">
        <v>5810700</v>
      </c>
      <c r="X19" s="39">
        <v>5810700</v>
      </c>
      <c r="Y19" s="39">
        <v>5810700</v>
      </c>
      <c r="Z19" s="39">
        <v>5810700</v>
      </c>
      <c r="AA19" s="39">
        <v>5810700</v>
      </c>
      <c r="AB19" s="39">
        <v>5810700</v>
      </c>
      <c r="AC19" s="39">
        <v>5810700</v>
      </c>
      <c r="AD19" s="39">
        <v>5810700</v>
      </c>
      <c r="AE19" s="39">
        <v>5810700</v>
      </c>
      <c r="AF19" s="39">
        <v>5810700</v>
      </c>
      <c r="AG19" s="39">
        <v>5810700</v>
      </c>
      <c r="AH19" s="39">
        <v>5810700</v>
      </c>
      <c r="AI19" s="39">
        <v>5810700</v>
      </c>
      <c r="AJ19" s="47">
        <f t="shared" si="1"/>
        <v>5810700</v>
      </c>
      <c r="AK19" s="47">
        <f t="shared" si="2"/>
        <v>5810700</v>
      </c>
      <c r="AL19" s="47">
        <f t="shared" si="2"/>
        <v>5810700</v>
      </c>
      <c r="AM19" s="47">
        <f t="shared" si="2"/>
        <v>5810700</v>
      </c>
      <c r="AN19" s="47">
        <f t="shared" si="2"/>
        <v>5810700</v>
      </c>
      <c r="AO19" s="47">
        <f t="shared" si="2"/>
        <v>5810700</v>
      </c>
      <c r="AP19" s="47">
        <f t="shared" si="2"/>
        <v>5810700</v>
      </c>
      <c r="AQ19" s="47">
        <f t="shared" si="2"/>
        <v>5810700</v>
      </c>
      <c r="AR19" s="47">
        <f t="shared" si="2"/>
        <v>5810700</v>
      </c>
      <c r="AS19" s="47">
        <f t="shared" si="2"/>
        <v>5810700</v>
      </c>
      <c r="AT19" s="47">
        <f t="shared" si="2"/>
        <v>5810700</v>
      </c>
      <c r="AU19" s="47">
        <f t="shared" si="2"/>
        <v>5810700</v>
      </c>
      <c r="AV19" s="47">
        <f t="shared" si="2"/>
        <v>5810700</v>
      </c>
      <c r="AW19" s="47">
        <f t="shared" si="2"/>
        <v>5810700</v>
      </c>
      <c r="AX19" s="47">
        <f t="shared" si="2"/>
        <v>5810700</v>
      </c>
      <c r="AY19" s="47">
        <f t="shared" si="2"/>
        <v>5810700</v>
      </c>
      <c r="AZ19" s="47">
        <f t="shared" si="2"/>
        <v>5810700</v>
      </c>
      <c r="BA19" s="47">
        <f t="shared" si="2"/>
        <v>5810700</v>
      </c>
      <c r="BB19" s="47">
        <f t="shared" si="2"/>
        <v>5810700</v>
      </c>
      <c r="BC19" s="47">
        <f t="shared" si="2"/>
        <v>5810700</v>
      </c>
    </row>
    <row r="20" spans="1:55" x14ac:dyDescent="0.2">
      <c r="A20" s="40" t="s">
        <v>243</v>
      </c>
      <c r="B20" s="39">
        <v>91410</v>
      </c>
      <c r="C20" s="39">
        <v>91410</v>
      </c>
      <c r="D20" s="39">
        <v>91410</v>
      </c>
      <c r="E20" s="39">
        <v>91410</v>
      </c>
      <c r="F20" s="39">
        <v>91410</v>
      </c>
      <c r="G20" s="39">
        <v>91410</v>
      </c>
      <c r="H20" s="39">
        <v>91410</v>
      </c>
      <c r="I20" s="39">
        <v>91410</v>
      </c>
      <c r="J20" s="39">
        <v>91410</v>
      </c>
      <c r="K20" s="39">
        <v>91410</v>
      </c>
      <c r="L20" s="39">
        <v>91410</v>
      </c>
      <c r="M20" s="39">
        <v>91410</v>
      </c>
      <c r="N20" s="39">
        <v>91410</v>
      </c>
      <c r="O20" s="39">
        <v>91410</v>
      </c>
      <c r="P20" s="39">
        <v>91410</v>
      </c>
      <c r="Q20" s="39">
        <v>91410</v>
      </c>
      <c r="R20" s="39">
        <v>91410</v>
      </c>
      <c r="S20" s="39">
        <v>91410</v>
      </c>
      <c r="T20" s="39">
        <v>91410</v>
      </c>
      <c r="U20" s="39">
        <v>91410</v>
      </c>
      <c r="V20" s="39">
        <v>91410</v>
      </c>
      <c r="W20" s="39">
        <v>91410</v>
      </c>
      <c r="X20" s="39">
        <v>91410</v>
      </c>
      <c r="Y20" s="39">
        <v>91410</v>
      </c>
      <c r="Z20" s="39">
        <v>91410</v>
      </c>
      <c r="AA20" s="39">
        <v>91410</v>
      </c>
      <c r="AB20" s="39">
        <v>91410</v>
      </c>
      <c r="AC20" s="39">
        <v>91410</v>
      </c>
      <c r="AD20" s="39">
        <v>91410</v>
      </c>
      <c r="AE20" s="39">
        <v>91410</v>
      </c>
      <c r="AF20" s="39">
        <v>91410</v>
      </c>
      <c r="AG20" s="39">
        <v>91410</v>
      </c>
      <c r="AH20" s="39">
        <v>91410</v>
      </c>
      <c r="AI20" s="39">
        <v>91410</v>
      </c>
      <c r="AJ20" s="47">
        <f t="shared" si="1"/>
        <v>91410</v>
      </c>
      <c r="AK20" s="47">
        <f t="shared" si="2"/>
        <v>91410</v>
      </c>
      <c r="AL20" s="47">
        <f t="shared" si="2"/>
        <v>91410</v>
      </c>
      <c r="AM20" s="47">
        <f t="shared" si="2"/>
        <v>91410</v>
      </c>
      <c r="AN20" s="47">
        <f t="shared" si="2"/>
        <v>91410</v>
      </c>
      <c r="AO20" s="47">
        <f t="shared" si="2"/>
        <v>91410</v>
      </c>
      <c r="AP20" s="47">
        <f t="shared" si="2"/>
        <v>91410</v>
      </c>
      <c r="AQ20" s="47">
        <f t="shared" si="2"/>
        <v>91410</v>
      </c>
      <c r="AR20" s="47">
        <f t="shared" si="2"/>
        <v>91410</v>
      </c>
      <c r="AS20" s="47">
        <f t="shared" si="2"/>
        <v>91410</v>
      </c>
      <c r="AT20" s="47">
        <f t="shared" si="2"/>
        <v>91410</v>
      </c>
      <c r="AU20" s="47">
        <f t="shared" si="2"/>
        <v>91410</v>
      </c>
      <c r="AV20" s="47">
        <f t="shared" si="2"/>
        <v>91410</v>
      </c>
      <c r="AW20" s="47">
        <f t="shared" si="2"/>
        <v>91410</v>
      </c>
      <c r="AX20" s="47">
        <f t="shared" si="2"/>
        <v>91410</v>
      </c>
      <c r="AY20" s="47">
        <f t="shared" si="2"/>
        <v>91410</v>
      </c>
      <c r="AZ20" s="47">
        <f t="shared" si="2"/>
        <v>91410</v>
      </c>
      <c r="BA20" s="47">
        <f t="shared" si="2"/>
        <v>91410</v>
      </c>
      <c r="BB20" s="47">
        <f t="shared" si="2"/>
        <v>91410</v>
      </c>
      <c r="BC20" s="47">
        <f t="shared" si="2"/>
        <v>91410</v>
      </c>
    </row>
    <row r="21" spans="1:55" x14ac:dyDescent="0.2">
      <c r="A21" s="40" t="s">
        <v>244</v>
      </c>
      <c r="B21" s="39">
        <v>13583445</v>
      </c>
      <c r="C21" s="39">
        <v>13583445</v>
      </c>
      <c r="D21" s="39">
        <v>13583445</v>
      </c>
      <c r="E21" s="39">
        <v>13583445</v>
      </c>
      <c r="F21" s="39">
        <v>13583445</v>
      </c>
      <c r="G21" s="39">
        <v>13583445</v>
      </c>
      <c r="H21" s="39">
        <v>13583445</v>
      </c>
      <c r="I21" s="39">
        <v>13583445</v>
      </c>
      <c r="J21" s="39">
        <v>13583445</v>
      </c>
      <c r="K21" s="39">
        <v>13583445</v>
      </c>
      <c r="L21" s="39">
        <v>13583445</v>
      </c>
      <c r="M21" s="39">
        <v>13583445</v>
      </c>
      <c r="N21" s="39">
        <v>13583445</v>
      </c>
      <c r="O21" s="39">
        <v>13583445</v>
      </c>
      <c r="P21" s="39">
        <v>13583445</v>
      </c>
      <c r="Q21" s="39">
        <v>13583445</v>
      </c>
      <c r="R21" s="39">
        <v>13583445</v>
      </c>
      <c r="S21" s="39">
        <v>13583445</v>
      </c>
      <c r="T21" s="39">
        <v>13583445</v>
      </c>
      <c r="U21" s="39">
        <v>13583445</v>
      </c>
      <c r="V21" s="39">
        <v>13583445</v>
      </c>
      <c r="W21" s="39">
        <v>13583445</v>
      </c>
      <c r="X21" s="39">
        <v>13583445</v>
      </c>
      <c r="Y21" s="39">
        <v>13583445</v>
      </c>
      <c r="Z21" s="39">
        <v>13583445</v>
      </c>
      <c r="AA21" s="39">
        <v>13583445</v>
      </c>
      <c r="AB21" s="39">
        <v>13583445</v>
      </c>
      <c r="AC21" s="39">
        <v>13583445</v>
      </c>
      <c r="AD21" s="39">
        <v>13583445</v>
      </c>
      <c r="AE21" s="39">
        <v>13583445</v>
      </c>
      <c r="AF21" s="39">
        <v>13583445</v>
      </c>
      <c r="AG21" s="39">
        <v>13583445</v>
      </c>
      <c r="AH21" s="39">
        <v>13583445</v>
      </c>
      <c r="AI21" s="39">
        <v>13583445</v>
      </c>
      <c r="AJ21" s="47">
        <f t="shared" ref="AJ21:AY22" si="3">AI21</f>
        <v>13583445</v>
      </c>
      <c r="AK21" s="47">
        <f t="shared" si="2"/>
        <v>13583445</v>
      </c>
      <c r="AL21" s="47">
        <f t="shared" si="2"/>
        <v>13583445</v>
      </c>
      <c r="AM21" s="47">
        <f t="shared" si="2"/>
        <v>13583445</v>
      </c>
      <c r="AN21" s="47">
        <f t="shared" si="2"/>
        <v>13583445</v>
      </c>
      <c r="AO21" s="47">
        <f t="shared" si="2"/>
        <v>13583445</v>
      </c>
      <c r="AP21" s="47">
        <f t="shared" si="2"/>
        <v>13583445</v>
      </c>
      <c r="AQ21" s="47">
        <f t="shared" si="2"/>
        <v>13583445</v>
      </c>
      <c r="AR21" s="47">
        <f t="shared" si="2"/>
        <v>13583445</v>
      </c>
      <c r="AS21" s="47">
        <f t="shared" si="2"/>
        <v>13583445</v>
      </c>
      <c r="AT21" s="47">
        <f t="shared" si="2"/>
        <v>13583445</v>
      </c>
      <c r="AU21" s="47">
        <f t="shared" si="2"/>
        <v>13583445</v>
      </c>
      <c r="AV21" s="47">
        <f t="shared" si="2"/>
        <v>13583445</v>
      </c>
      <c r="AW21" s="47">
        <f t="shared" si="2"/>
        <v>13583445</v>
      </c>
      <c r="AX21" s="47">
        <f t="shared" si="2"/>
        <v>13583445</v>
      </c>
      <c r="AY21" s="47">
        <f t="shared" si="2"/>
        <v>13583445</v>
      </c>
      <c r="AZ21" s="47">
        <f t="shared" si="2"/>
        <v>13583445</v>
      </c>
      <c r="BA21" s="47">
        <f t="shared" si="2"/>
        <v>13583445</v>
      </c>
      <c r="BB21" s="47">
        <f t="shared" si="2"/>
        <v>13583445</v>
      </c>
      <c r="BC21" s="47">
        <f t="shared" si="2"/>
        <v>13583445</v>
      </c>
    </row>
    <row r="22" spans="1:55" x14ac:dyDescent="0.2">
      <c r="A22" s="40" t="s">
        <v>245</v>
      </c>
      <c r="B22" s="39">
        <v>134509.79999999999</v>
      </c>
      <c r="C22" s="39">
        <v>134509.79999999999</v>
      </c>
      <c r="D22" s="39">
        <v>134509.79999999999</v>
      </c>
      <c r="E22" s="39">
        <v>134509.79999999999</v>
      </c>
      <c r="F22" s="39">
        <v>134509.79999999999</v>
      </c>
      <c r="G22" s="39">
        <v>134509.79999999999</v>
      </c>
      <c r="H22" s="39">
        <v>134509.79999999999</v>
      </c>
      <c r="I22" s="39">
        <v>134509.79999999999</v>
      </c>
      <c r="J22" s="39">
        <v>134509.79999999999</v>
      </c>
      <c r="K22" s="39">
        <v>134509.79999999999</v>
      </c>
      <c r="L22" s="39">
        <v>134509.79999999999</v>
      </c>
      <c r="M22" s="39">
        <v>134509.79999999999</v>
      </c>
      <c r="N22" s="39">
        <v>134509.79999999999</v>
      </c>
      <c r="O22" s="39">
        <v>134509.79999999999</v>
      </c>
      <c r="P22" s="39">
        <v>134509.79999999999</v>
      </c>
      <c r="Q22" s="39">
        <v>134509.79999999999</v>
      </c>
      <c r="R22" s="39">
        <v>134509.79999999999</v>
      </c>
      <c r="S22" s="39">
        <v>134509.79999999999</v>
      </c>
      <c r="T22" s="39">
        <v>134509.79999999999</v>
      </c>
      <c r="U22" s="39">
        <v>134509.79999999999</v>
      </c>
      <c r="V22" s="39">
        <v>134509.79999999999</v>
      </c>
      <c r="W22" s="39">
        <v>134509.79999999999</v>
      </c>
      <c r="X22" s="39">
        <v>134509.79999999999</v>
      </c>
      <c r="Y22" s="39">
        <v>134509.79999999999</v>
      </c>
      <c r="Z22" s="39">
        <v>134509.79999999999</v>
      </c>
      <c r="AA22" s="39">
        <v>134509.79999999999</v>
      </c>
      <c r="AB22" s="39">
        <v>134509.79999999999</v>
      </c>
      <c r="AC22" s="39">
        <v>134509.79999999999</v>
      </c>
      <c r="AD22" s="39">
        <v>134509.79999999999</v>
      </c>
      <c r="AE22" s="39">
        <v>134509.79999999999</v>
      </c>
      <c r="AF22" s="39">
        <v>134509.79999999999</v>
      </c>
      <c r="AG22" s="39">
        <v>134509.79999999999</v>
      </c>
      <c r="AH22" s="39">
        <v>134509.79999999999</v>
      </c>
      <c r="AI22" s="39">
        <v>134509.79999999999</v>
      </c>
      <c r="AJ22" s="47">
        <f t="shared" si="3"/>
        <v>134509.79999999999</v>
      </c>
      <c r="AK22" s="47">
        <f t="shared" si="2"/>
        <v>134509.79999999999</v>
      </c>
      <c r="AL22" s="47">
        <f t="shared" si="2"/>
        <v>134509.79999999999</v>
      </c>
      <c r="AM22" s="47">
        <f t="shared" si="2"/>
        <v>134509.79999999999</v>
      </c>
      <c r="AN22" s="47">
        <f t="shared" si="2"/>
        <v>134509.79999999999</v>
      </c>
      <c r="AO22" s="47">
        <f t="shared" si="2"/>
        <v>134509.79999999999</v>
      </c>
      <c r="AP22" s="47">
        <f t="shared" si="2"/>
        <v>134509.79999999999</v>
      </c>
      <c r="AQ22" s="47">
        <f t="shared" si="2"/>
        <v>134509.79999999999</v>
      </c>
      <c r="AR22" s="47">
        <f t="shared" si="2"/>
        <v>134509.79999999999</v>
      </c>
      <c r="AS22" s="47">
        <f t="shared" si="2"/>
        <v>134509.79999999999</v>
      </c>
      <c r="AT22" s="47">
        <f t="shared" si="2"/>
        <v>134509.79999999999</v>
      </c>
      <c r="AU22" s="47">
        <f t="shared" si="2"/>
        <v>134509.79999999999</v>
      </c>
      <c r="AV22" s="47">
        <f t="shared" si="2"/>
        <v>134509.79999999999</v>
      </c>
      <c r="AW22" s="47">
        <f t="shared" si="2"/>
        <v>134509.79999999999</v>
      </c>
      <c r="AX22" s="47">
        <f t="shared" si="2"/>
        <v>134509.79999999999</v>
      </c>
      <c r="AY22" s="47">
        <f t="shared" si="2"/>
        <v>134509.79999999999</v>
      </c>
      <c r="AZ22" s="47">
        <f t="shared" si="2"/>
        <v>134509.79999999999</v>
      </c>
      <c r="BA22" s="47">
        <f t="shared" si="2"/>
        <v>134509.79999999999</v>
      </c>
      <c r="BB22" s="47">
        <f t="shared" si="2"/>
        <v>134509.79999999999</v>
      </c>
      <c r="BC22" s="47">
        <f t="shared" si="2"/>
        <v>134509.79999999999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97D"/>
    <outlinePr summaryBelow="0" summaryRight="0"/>
  </sheetPr>
  <dimension ref="A1:BC22"/>
  <sheetViews>
    <sheetView topLeftCell="Y1" workbookViewId="0">
      <selection activeCell="AS28" sqref="AS28"/>
    </sheetView>
  </sheetViews>
  <sheetFormatPr baseColWidth="10" defaultColWidth="14.5" defaultRowHeight="15" customHeight="1" x14ac:dyDescent="0.2"/>
  <sheetData>
    <row r="1" spans="1:55" x14ac:dyDescent="0.2">
      <c r="A1" s="42" t="s">
        <v>250</v>
      </c>
      <c r="B1" s="39">
        <v>2017</v>
      </c>
      <c r="C1" s="39">
        <v>2018</v>
      </c>
      <c r="D1" s="39">
        <v>2019</v>
      </c>
      <c r="E1" s="39">
        <v>2020</v>
      </c>
      <c r="F1" s="39">
        <v>2021</v>
      </c>
      <c r="G1" s="39">
        <v>2022</v>
      </c>
      <c r="H1" s="39">
        <v>2023</v>
      </c>
      <c r="I1" s="39">
        <v>2024</v>
      </c>
      <c r="J1" s="39">
        <v>2025</v>
      </c>
      <c r="K1" s="39">
        <v>2026</v>
      </c>
      <c r="L1" s="39">
        <v>2027</v>
      </c>
      <c r="M1" s="39">
        <v>2028</v>
      </c>
      <c r="N1" s="39">
        <v>2029</v>
      </c>
      <c r="O1" s="39">
        <v>2030</v>
      </c>
      <c r="P1" s="39">
        <v>2031</v>
      </c>
      <c r="Q1" s="39">
        <v>2032</v>
      </c>
      <c r="R1" s="39">
        <v>2033</v>
      </c>
      <c r="S1" s="39">
        <v>2034</v>
      </c>
      <c r="T1" s="39">
        <v>2035</v>
      </c>
      <c r="U1" s="39">
        <v>2036</v>
      </c>
      <c r="V1" s="39">
        <v>2037</v>
      </c>
      <c r="W1" s="39">
        <v>2038</v>
      </c>
      <c r="X1" s="39">
        <v>2039</v>
      </c>
      <c r="Y1" s="39">
        <v>2040</v>
      </c>
      <c r="Z1" s="39">
        <v>2041</v>
      </c>
      <c r="AA1" s="39">
        <v>2042</v>
      </c>
      <c r="AB1" s="39">
        <v>2043</v>
      </c>
      <c r="AC1" s="39">
        <v>2044</v>
      </c>
      <c r="AD1" s="39">
        <v>2045</v>
      </c>
      <c r="AE1" s="39">
        <v>2046</v>
      </c>
      <c r="AF1" s="39">
        <v>2047</v>
      </c>
      <c r="AG1" s="39">
        <v>2048</v>
      </c>
      <c r="AH1" s="39">
        <v>2049</v>
      </c>
      <c r="AI1" s="39">
        <v>2050</v>
      </c>
      <c r="AJ1">
        <v>2051</v>
      </c>
      <c r="AK1">
        <v>2052</v>
      </c>
      <c r="AL1">
        <v>2053</v>
      </c>
      <c r="AM1">
        <v>2054</v>
      </c>
      <c r="AN1">
        <v>2055</v>
      </c>
      <c r="AO1">
        <v>2056</v>
      </c>
      <c r="AP1">
        <v>2057</v>
      </c>
      <c r="AQ1">
        <v>2058</v>
      </c>
      <c r="AR1">
        <v>2059</v>
      </c>
      <c r="AS1">
        <v>2060</v>
      </c>
      <c r="AT1">
        <v>2061</v>
      </c>
      <c r="AU1">
        <v>2062</v>
      </c>
      <c r="AV1">
        <v>2063</v>
      </c>
      <c r="AW1">
        <v>2064</v>
      </c>
      <c r="AX1">
        <v>2065</v>
      </c>
      <c r="AY1">
        <v>2066</v>
      </c>
      <c r="AZ1">
        <v>2067</v>
      </c>
      <c r="BA1">
        <v>2068</v>
      </c>
      <c r="BB1">
        <v>2069</v>
      </c>
      <c r="BC1">
        <v>2070</v>
      </c>
    </row>
    <row r="2" spans="1:55" x14ac:dyDescent="0.2">
      <c r="A2" s="40" t="s">
        <v>251</v>
      </c>
      <c r="B2" s="39">
        <v>0</v>
      </c>
      <c r="C2" s="39">
        <v>0</v>
      </c>
      <c r="D2" s="39">
        <v>0</v>
      </c>
      <c r="E2" s="39">
        <v>0</v>
      </c>
      <c r="F2" s="39">
        <v>0</v>
      </c>
      <c r="G2" s="39">
        <v>0</v>
      </c>
      <c r="H2" s="39">
        <v>0</v>
      </c>
      <c r="I2" s="39">
        <v>0</v>
      </c>
      <c r="J2" s="39">
        <v>0</v>
      </c>
      <c r="K2" s="39">
        <v>0</v>
      </c>
      <c r="L2" s="39">
        <v>0</v>
      </c>
      <c r="M2" s="39">
        <v>0</v>
      </c>
      <c r="N2" s="39">
        <v>0</v>
      </c>
      <c r="O2" s="39">
        <v>0</v>
      </c>
      <c r="P2" s="39">
        <v>0</v>
      </c>
      <c r="Q2" s="39">
        <v>0</v>
      </c>
      <c r="R2" s="39">
        <v>0</v>
      </c>
      <c r="S2" s="39">
        <v>0</v>
      </c>
      <c r="T2" s="39">
        <v>0</v>
      </c>
      <c r="U2" s="39">
        <v>0</v>
      </c>
      <c r="V2" s="39">
        <v>0</v>
      </c>
      <c r="W2" s="39">
        <v>0</v>
      </c>
      <c r="X2" s="39">
        <v>0</v>
      </c>
      <c r="Y2" s="39">
        <v>0</v>
      </c>
      <c r="Z2" s="39">
        <v>0</v>
      </c>
      <c r="AA2" s="39">
        <v>0</v>
      </c>
      <c r="AB2" s="39">
        <v>0</v>
      </c>
      <c r="AC2" s="39">
        <v>0</v>
      </c>
      <c r="AD2" s="39">
        <v>0</v>
      </c>
      <c r="AE2" s="39">
        <v>0</v>
      </c>
      <c r="AF2" s="39">
        <v>0</v>
      </c>
      <c r="AG2" s="39">
        <v>0</v>
      </c>
      <c r="AH2" s="39">
        <v>0</v>
      </c>
      <c r="AI2" s="39">
        <v>0</v>
      </c>
      <c r="AJ2" s="47">
        <f>AI2</f>
        <v>0</v>
      </c>
      <c r="AK2" s="47">
        <f t="shared" ref="AK2:BC16" si="0">AJ2</f>
        <v>0</v>
      </c>
      <c r="AL2" s="47">
        <f t="shared" si="0"/>
        <v>0</v>
      </c>
      <c r="AM2" s="47">
        <f t="shared" si="0"/>
        <v>0</v>
      </c>
      <c r="AN2" s="47">
        <f t="shared" si="0"/>
        <v>0</v>
      </c>
      <c r="AO2" s="47">
        <f t="shared" si="0"/>
        <v>0</v>
      </c>
      <c r="AP2" s="47">
        <f t="shared" si="0"/>
        <v>0</v>
      </c>
      <c r="AQ2" s="47">
        <f t="shared" si="0"/>
        <v>0</v>
      </c>
      <c r="AR2" s="47">
        <f t="shared" si="0"/>
        <v>0</v>
      </c>
      <c r="AS2" s="47">
        <f t="shared" si="0"/>
        <v>0</v>
      </c>
      <c r="AT2" s="47">
        <f t="shared" si="0"/>
        <v>0</v>
      </c>
      <c r="AU2" s="47">
        <f t="shared" si="0"/>
        <v>0</v>
      </c>
      <c r="AV2" s="47">
        <f t="shared" si="0"/>
        <v>0</v>
      </c>
      <c r="AW2" s="47">
        <f t="shared" si="0"/>
        <v>0</v>
      </c>
      <c r="AX2" s="47">
        <f t="shared" si="0"/>
        <v>0</v>
      </c>
      <c r="AY2" s="47">
        <f t="shared" si="0"/>
        <v>0</v>
      </c>
      <c r="AZ2" s="47">
        <f t="shared" si="0"/>
        <v>0</v>
      </c>
      <c r="BA2" s="47">
        <f t="shared" si="0"/>
        <v>0</v>
      </c>
      <c r="BB2" s="47">
        <f t="shared" si="0"/>
        <v>0</v>
      </c>
      <c r="BC2" s="47">
        <f t="shared" si="0"/>
        <v>0</v>
      </c>
    </row>
    <row r="3" spans="1:55" x14ac:dyDescent="0.2">
      <c r="A3" s="40" t="s">
        <v>48</v>
      </c>
      <c r="B3" s="39">
        <v>0</v>
      </c>
      <c r="C3" s="39">
        <v>0</v>
      </c>
      <c r="D3" s="39">
        <v>0</v>
      </c>
      <c r="E3" s="39">
        <v>0</v>
      </c>
      <c r="F3" s="39">
        <v>0</v>
      </c>
      <c r="G3" s="39">
        <v>0</v>
      </c>
      <c r="H3" s="39">
        <v>0</v>
      </c>
      <c r="I3" s="39">
        <v>0</v>
      </c>
      <c r="J3" s="39">
        <v>0</v>
      </c>
      <c r="K3" s="39">
        <v>0</v>
      </c>
      <c r="L3" s="39">
        <v>0</v>
      </c>
      <c r="M3" s="39">
        <v>0</v>
      </c>
      <c r="N3" s="39">
        <v>0</v>
      </c>
      <c r="O3" s="39">
        <v>0</v>
      </c>
      <c r="P3" s="39">
        <v>0</v>
      </c>
      <c r="Q3" s="39">
        <v>0</v>
      </c>
      <c r="R3" s="39">
        <v>0</v>
      </c>
      <c r="S3" s="39">
        <v>0</v>
      </c>
      <c r="T3" s="39">
        <v>0</v>
      </c>
      <c r="U3" s="39">
        <v>0</v>
      </c>
      <c r="V3" s="39">
        <v>0</v>
      </c>
      <c r="W3" s="39">
        <v>0</v>
      </c>
      <c r="X3" s="39">
        <v>0</v>
      </c>
      <c r="Y3" s="39">
        <v>0</v>
      </c>
      <c r="Z3" s="39">
        <v>0</v>
      </c>
      <c r="AA3" s="39">
        <v>0</v>
      </c>
      <c r="AB3" s="39">
        <v>0</v>
      </c>
      <c r="AC3" s="39">
        <v>0</v>
      </c>
      <c r="AD3" s="39">
        <v>0</v>
      </c>
      <c r="AE3" s="39">
        <v>0</v>
      </c>
      <c r="AF3" s="39">
        <v>0</v>
      </c>
      <c r="AG3" s="39">
        <v>0</v>
      </c>
      <c r="AH3" s="39">
        <v>0</v>
      </c>
      <c r="AI3" s="39">
        <v>0</v>
      </c>
      <c r="AJ3" s="48">
        <f>AI3</f>
        <v>0</v>
      </c>
      <c r="AK3" s="48">
        <f t="shared" si="0"/>
        <v>0</v>
      </c>
      <c r="AL3" s="48">
        <f t="shared" si="0"/>
        <v>0</v>
      </c>
      <c r="AM3" s="48">
        <f t="shared" si="0"/>
        <v>0</v>
      </c>
      <c r="AN3" s="48">
        <f t="shared" si="0"/>
        <v>0</v>
      </c>
      <c r="AO3" s="48">
        <f t="shared" si="0"/>
        <v>0</v>
      </c>
      <c r="AP3" s="48">
        <f t="shared" si="0"/>
        <v>0</v>
      </c>
      <c r="AQ3" s="48">
        <f t="shared" si="0"/>
        <v>0</v>
      </c>
      <c r="AR3" s="48">
        <f t="shared" si="0"/>
        <v>0</v>
      </c>
      <c r="AS3" s="48">
        <f t="shared" si="0"/>
        <v>0</v>
      </c>
      <c r="AT3" s="48">
        <f t="shared" si="0"/>
        <v>0</v>
      </c>
      <c r="AU3" s="48">
        <f t="shared" si="0"/>
        <v>0</v>
      </c>
      <c r="AV3" s="48">
        <f t="shared" si="0"/>
        <v>0</v>
      </c>
      <c r="AW3" s="48">
        <f t="shared" si="0"/>
        <v>0</v>
      </c>
      <c r="AX3" s="48">
        <f t="shared" si="0"/>
        <v>0</v>
      </c>
      <c r="AY3" s="48">
        <f t="shared" si="0"/>
        <v>0</v>
      </c>
      <c r="AZ3" s="48">
        <f t="shared" si="0"/>
        <v>0</v>
      </c>
      <c r="BA3" s="48">
        <f t="shared" si="0"/>
        <v>0</v>
      </c>
      <c r="BB3" s="48">
        <f t="shared" si="0"/>
        <v>0</v>
      </c>
      <c r="BC3" s="48">
        <f t="shared" si="0"/>
        <v>0</v>
      </c>
    </row>
    <row r="4" spans="1:55" x14ac:dyDescent="0.2">
      <c r="A4" s="40" t="s">
        <v>252</v>
      </c>
      <c r="B4" s="41">
        <v>120400</v>
      </c>
      <c r="C4" s="41">
        <v>120400</v>
      </c>
      <c r="D4" s="41">
        <v>120400</v>
      </c>
      <c r="E4" s="41">
        <v>120400</v>
      </c>
      <c r="F4" s="41">
        <v>120400</v>
      </c>
      <c r="G4" s="41">
        <v>120300</v>
      </c>
      <c r="H4" s="41">
        <v>120300</v>
      </c>
      <c r="I4" s="41">
        <v>120200</v>
      </c>
      <c r="J4" s="41">
        <v>120200</v>
      </c>
      <c r="K4" s="41">
        <v>120200</v>
      </c>
      <c r="L4" s="41">
        <v>120200</v>
      </c>
      <c r="M4" s="41">
        <v>120200</v>
      </c>
      <c r="N4" s="41">
        <v>120200</v>
      </c>
      <c r="O4" s="41">
        <v>120200</v>
      </c>
      <c r="P4" s="41">
        <v>120200</v>
      </c>
      <c r="Q4" s="41">
        <v>120200</v>
      </c>
      <c r="R4" s="41">
        <v>120200</v>
      </c>
      <c r="S4" s="41">
        <v>120100</v>
      </c>
      <c r="T4" s="41">
        <v>120100</v>
      </c>
      <c r="U4" s="41">
        <v>120100</v>
      </c>
      <c r="V4" s="41">
        <v>120100</v>
      </c>
      <c r="W4" s="41">
        <v>120100</v>
      </c>
      <c r="X4" s="41">
        <v>120000</v>
      </c>
      <c r="Y4" s="41">
        <v>120000</v>
      </c>
      <c r="Z4" s="41">
        <v>120000</v>
      </c>
      <c r="AA4" s="41">
        <v>119900</v>
      </c>
      <c r="AB4" s="41">
        <v>119900</v>
      </c>
      <c r="AC4" s="41">
        <v>119900</v>
      </c>
      <c r="AD4" s="41">
        <v>119800</v>
      </c>
      <c r="AE4" s="41">
        <v>119800</v>
      </c>
      <c r="AF4" s="41">
        <v>119700</v>
      </c>
      <c r="AG4" s="41">
        <v>119700</v>
      </c>
      <c r="AH4" s="41">
        <v>119600</v>
      </c>
      <c r="AI4" s="41">
        <v>119600</v>
      </c>
      <c r="AJ4" s="47">
        <f>AI4</f>
        <v>119600</v>
      </c>
      <c r="AK4" s="47">
        <f t="shared" si="0"/>
        <v>119600</v>
      </c>
      <c r="AL4" s="47">
        <f t="shared" si="0"/>
        <v>119600</v>
      </c>
      <c r="AM4" s="47">
        <f t="shared" si="0"/>
        <v>119600</v>
      </c>
      <c r="AN4" s="47">
        <f t="shared" si="0"/>
        <v>119600</v>
      </c>
      <c r="AO4" s="47">
        <f t="shared" si="0"/>
        <v>119600</v>
      </c>
      <c r="AP4" s="47">
        <f t="shared" si="0"/>
        <v>119600</v>
      </c>
      <c r="AQ4" s="47">
        <f t="shared" si="0"/>
        <v>119600</v>
      </c>
      <c r="AR4" s="47">
        <f t="shared" si="0"/>
        <v>119600</v>
      </c>
      <c r="AS4" s="47">
        <f t="shared" si="0"/>
        <v>119600</v>
      </c>
      <c r="AT4" s="47">
        <f t="shared" si="0"/>
        <v>119600</v>
      </c>
      <c r="AU4" s="47">
        <f t="shared" si="0"/>
        <v>119600</v>
      </c>
      <c r="AV4" s="47">
        <f t="shared" si="0"/>
        <v>119600</v>
      </c>
      <c r="AW4" s="47">
        <f t="shared" si="0"/>
        <v>119600</v>
      </c>
      <c r="AX4" s="47">
        <f t="shared" si="0"/>
        <v>119600</v>
      </c>
      <c r="AY4" s="47">
        <f t="shared" si="0"/>
        <v>119600</v>
      </c>
      <c r="AZ4" s="47">
        <f t="shared" si="0"/>
        <v>119600</v>
      </c>
      <c r="BA4" s="47">
        <f t="shared" si="0"/>
        <v>119600</v>
      </c>
      <c r="BB4" s="47">
        <f t="shared" si="0"/>
        <v>119600</v>
      </c>
      <c r="BC4" s="47">
        <f t="shared" si="0"/>
        <v>119600</v>
      </c>
    </row>
    <row r="5" spans="1:55" x14ac:dyDescent="0.2">
      <c r="A5" s="40" t="s">
        <v>253</v>
      </c>
      <c r="B5" s="41">
        <v>138700</v>
      </c>
      <c r="C5" s="41">
        <v>138700</v>
      </c>
      <c r="D5" s="41">
        <v>138700</v>
      </c>
      <c r="E5" s="41">
        <v>138700</v>
      </c>
      <c r="F5" s="41">
        <v>138700</v>
      </c>
      <c r="G5" s="41">
        <v>138700</v>
      </c>
      <c r="H5" s="41">
        <v>138700</v>
      </c>
      <c r="I5" s="41">
        <v>138700</v>
      </c>
      <c r="J5" s="41">
        <v>138700</v>
      </c>
      <c r="K5" s="41">
        <v>138700</v>
      </c>
      <c r="L5" s="41">
        <v>138700</v>
      </c>
      <c r="M5" s="41">
        <v>138700</v>
      </c>
      <c r="N5" s="41">
        <v>138700</v>
      </c>
      <c r="O5" s="41">
        <v>138700</v>
      </c>
      <c r="P5" s="41">
        <v>138700</v>
      </c>
      <c r="Q5" s="41">
        <v>138700</v>
      </c>
      <c r="R5" s="41">
        <v>138700</v>
      </c>
      <c r="S5" s="41">
        <v>138700</v>
      </c>
      <c r="T5" s="41">
        <v>138700</v>
      </c>
      <c r="U5" s="41">
        <v>138700</v>
      </c>
      <c r="V5" s="41">
        <v>138700</v>
      </c>
      <c r="W5" s="41">
        <v>138700</v>
      </c>
      <c r="X5" s="41">
        <v>138700</v>
      </c>
      <c r="Y5" s="41">
        <v>138700</v>
      </c>
      <c r="Z5" s="41">
        <v>138700</v>
      </c>
      <c r="AA5" s="41">
        <v>138700</v>
      </c>
      <c r="AB5" s="41">
        <v>138700</v>
      </c>
      <c r="AC5" s="41">
        <v>138700</v>
      </c>
      <c r="AD5" s="41">
        <v>138700</v>
      </c>
      <c r="AE5" s="41">
        <v>138700</v>
      </c>
      <c r="AF5" s="41">
        <v>138700</v>
      </c>
      <c r="AG5" s="41">
        <v>138700</v>
      </c>
      <c r="AH5" s="41">
        <v>138700</v>
      </c>
      <c r="AI5" s="41">
        <v>138700</v>
      </c>
      <c r="AJ5" s="47">
        <f t="shared" ref="AJ5:AY20" si="1">AI5</f>
        <v>138700</v>
      </c>
      <c r="AK5" s="47">
        <f t="shared" si="1"/>
        <v>138700</v>
      </c>
      <c r="AL5" s="47">
        <f t="shared" si="1"/>
        <v>138700</v>
      </c>
      <c r="AM5" s="47">
        <f t="shared" si="1"/>
        <v>138700</v>
      </c>
      <c r="AN5" s="47">
        <f t="shared" si="1"/>
        <v>138700</v>
      </c>
      <c r="AO5" s="47">
        <f t="shared" si="1"/>
        <v>138700</v>
      </c>
      <c r="AP5" s="47">
        <f t="shared" si="1"/>
        <v>138700</v>
      </c>
      <c r="AQ5" s="47">
        <f t="shared" si="1"/>
        <v>138700</v>
      </c>
      <c r="AR5" s="47">
        <f t="shared" si="1"/>
        <v>138700</v>
      </c>
      <c r="AS5" s="47">
        <f t="shared" si="1"/>
        <v>138700</v>
      </c>
      <c r="AT5" s="47">
        <f t="shared" si="1"/>
        <v>138700</v>
      </c>
      <c r="AU5" s="47">
        <f t="shared" si="1"/>
        <v>138700</v>
      </c>
      <c r="AV5" s="47">
        <f t="shared" si="1"/>
        <v>138700</v>
      </c>
      <c r="AW5" s="47">
        <f t="shared" si="1"/>
        <v>138700</v>
      </c>
      <c r="AX5" s="47">
        <f t="shared" si="1"/>
        <v>138700</v>
      </c>
      <c r="AY5" s="47">
        <f t="shared" si="1"/>
        <v>138700</v>
      </c>
      <c r="AZ5" s="47">
        <f t="shared" si="0"/>
        <v>138700</v>
      </c>
      <c r="BA5" s="47">
        <f t="shared" si="0"/>
        <v>138700</v>
      </c>
      <c r="BB5" s="47">
        <f t="shared" si="0"/>
        <v>138700</v>
      </c>
      <c r="BC5" s="47">
        <f t="shared" si="0"/>
        <v>138700</v>
      </c>
    </row>
    <row r="6" spans="1:55" x14ac:dyDescent="0.2">
      <c r="A6" s="40" t="s">
        <v>254</v>
      </c>
      <c r="B6" s="39">
        <v>0</v>
      </c>
      <c r="C6" s="39">
        <v>0</v>
      </c>
      <c r="D6" s="39">
        <v>0</v>
      </c>
      <c r="E6" s="39">
        <v>0</v>
      </c>
      <c r="F6" s="39">
        <v>0</v>
      </c>
      <c r="G6" s="39">
        <v>0</v>
      </c>
      <c r="H6" s="39">
        <v>0</v>
      </c>
      <c r="I6" s="39">
        <v>0</v>
      </c>
      <c r="J6" s="39">
        <v>0</v>
      </c>
      <c r="K6" s="39">
        <v>0</v>
      </c>
      <c r="L6" s="39">
        <v>0</v>
      </c>
      <c r="M6" s="39">
        <v>0</v>
      </c>
      <c r="N6" s="39">
        <v>0</v>
      </c>
      <c r="O6" s="39">
        <v>0</v>
      </c>
      <c r="P6" s="39">
        <v>0</v>
      </c>
      <c r="Q6" s="39">
        <v>0</v>
      </c>
      <c r="R6" s="39">
        <v>0</v>
      </c>
      <c r="S6" s="39">
        <v>0</v>
      </c>
      <c r="T6" s="39">
        <v>0</v>
      </c>
      <c r="U6" s="39">
        <v>0</v>
      </c>
      <c r="V6" s="39">
        <v>0</v>
      </c>
      <c r="W6" s="39">
        <v>0</v>
      </c>
      <c r="X6" s="39">
        <v>0</v>
      </c>
      <c r="Y6" s="39">
        <v>0</v>
      </c>
      <c r="Z6" s="39">
        <v>0</v>
      </c>
      <c r="AA6" s="39">
        <v>0</v>
      </c>
      <c r="AB6" s="39">
        <v>0</v>
      </c>
      <c r="AC6" s="39">
        <v>0</v>
      </c>
      <c r="AD6" s="39">
        <v>0</v>
      </c>
      <c r="AE6" s="39">
        <v>0</v>
      </c>
      <c r="AF6" s="39">
        <v>0</v>
      </c>
      <c r="AG6" s="39">
        <v>0</v>
      </c>
      <c r="AH6" s="39">
        <v>0</v>
      </c>
      <c r="AI6" s="39">
        <v>0</v>
      </c>
      <c r="AJ6" s="47">
        <f t="shared" si="1"/>
        <v>0</v>
      </c>
      <c r="AK6" s="47">
        <f t="shared" si="0"/>
        <v>0</v>
      </c>
      <c r="AL6" s="47">
        <f t="shared" si="0"/>
        <v>0</v>
      </c>
      <c r="AM6" s="47">
        <f t="shared" si="0"/>
        <v>0</v>
      </c>
      <c r="AN6" s="47">
        <f t="shared" si="0"/>
        <v>0</v>
      </c>
      <c r="AO6" s="47">
        <f t="shared" si="0"/>
        <v>0</v>
      </c>
      <c r="AP6" s="47">
        <f t="shared" si="0"/>
        <v>0</v>
      </c>
      <c r="AQ6" s="47">
        <f t="shared" si="0"/>
        <v>0</v>
      </c>
      <c r="AR6" s="47">
        <f t="shared" si="0"/>
        <v>0</v>
      </c>
      <c r="AS6" s="47">
        <f t="shared" si="0"/>
        <v>0</v>
      </c>
      <c r="AT6" s="47">
        <f t="shared" si="0"/>
        <v>0</v>
      </c>
      <c r="AU6" s="47">
        <f t="shared" si="0"/>
        <v>0</v>
      </c>
      <c r="AV6" s="47">
        <f t="shared" si="0"/>
        <v>0</v>
      </c>
      <c r="AW6" s="47">
        <f t="shared" si="0"/>
        <v>0</v>
      </c>
      <c r="AX6" s="47">
        <f t="shared" si="0"/>
        <v>0</v>
      </c>
      <c r="AY6" s="47">
        <f t="shared" si="0"/>
        <v>0</v>
      </c>
      <c r="AZ6" s="47">
        <f t="shared" si="0"/>
        <v>0</v>
      </c>
      <c r="BA6" s="47">
        <f t="shared" si="0"/>
        <v>0</v>
      </c>
      <c r="BB6" s="47">
        <f t="shared" si="0"/>
        <v>0</v>
      </c>
      <c r="BC6" s="47">
        <f t="shared" si="0"/>
        <v>0</v>
      </c>
    </row>
    <row r="7" spans="1:55" x14ac:dyDescent="0.2">
      <c r="A7" s="40" t="s">
        <v>255</v>
      </c>
      <c r="B7" s="39">
        <v>0</v>
      </c>
      <c r="C7" s="39">
        <v>0</v>
      </c>
      <c r="D7" s="39">
        <v>0</v>
      </c>
      <c r="E7" s="39">
        <v>0</v>
      </c>
      <c r="F7" s="39">
        <v>0</v>
      </c>
      <c r="G7" s="39">
        <v>0</v>
      </c>
      <c r="H7" s="39">
        <v>0</v>
      </c>
      <c r="I7" s="39">
        <v>0</v>
      </c>
      <c r="J7" s="39">
        <v>0</v>
      </c>
      <c r="K7" s="39">
        <v>0</v>
      </c>
      <c r="L7" s="39">
        <v>0</v>
      </c>
      <c r="M7" s="39">
        <v>0</v>
      </c>
      <c r="N7" s="39">
        <v>0</v>
      </c>
      <c r="O7" s="39">
        <v>0</v>
      </c>
      <c r="P7" s="39">
        <v>0</v>
      </c>
      <c r="Q7" s="39">
        <v>0</v>
      </c>
      <c r="R7" s="39">
        <v>0</v>
      </c>
      <c r="S7" s="39">
        <v>0</v>
      </c>
      <c r="T7" s="39">
        <v>0</v>
      </c>
      <c r="U7" s="39">
        <v>0</v>
      </c>
      <c r="V7" s="39">
        <v>0</v>
      </c>
      <c r="W7" s="39">
        <v>0</v>
      </c>
      <c r="X7" s="39">
        <v>0</v>
      </c>
      <c r="Y7" s="39">
        <v>0</v>
      </c>
      <c r="Z7" s="39">
        <v>0</v>
      </c>
      <c r="AA7" s="39">
        <v>0</v>
      </c>
      <c r="AB7" s="39">
        <v>0</v>
      </c>
      <c r="AC7" s="39">
        <v>0</v>
      </c>
      <c r="AD7" s="39">
        <v>0</v>
      </c>
      <c r="AE7" s="39">
        <v>0</v>
      </c>
      <c r="AF7" s="39">
        <v>0</v>
      </c>
      <c r="AG7" s="39">
        <v>0</v>
      </c>
      <c r="AH7" s="39">
        <v>0</v>
      </c>
      <c r="AI7" s="39">
        <v>0</v>
      </c>
      <c r="AJ7" s="47">
        <f t="shared" si="1"/>
        <v>0</v>
      </c>
      <c r="AK7" s="47">
        <f t="shared" si="0"/>
        <v>0</v>
      </c>
      <c r="AL7" s="47">
        <f t="shared" si="0"/>
        <v>0</v>
      </c>
      <c r="AM7" s="47">
        <f t="shared" si="0"/>
        <v>0</v>
      </c>
      <c r="AN7" s="47">
        <f t="shared" si="0"/>
        <v>0</v>
      </c>
      <c r="AO7" s="47">
        <f t="shared" si="0"/>
        <v>0</v>
      </c>
      <c r="AP7" s="47">
        <f t="shared" si="0"/>
        <v>0</v>
      </c>
      <c r="AQ7" s="47">
        <f t="shared" si="0"/>
        <v>0</v>
      </c>
      <c r="AR7" s="47">
        <f t="shared" si="0"/>
        <v>0</v>
      </c>
      <c r="AS7" s="47">
        <f t="shared" si="0"/>
        <v>0</v>
      </c>
      <c r="AT7" s="47">
        <f t="shared" si="0"/>
        <v>0</v>
      </c>
      <c r="AU7" s="47">
        <f t="shared" si="0"/>
        <v>0</v>
      </c>
      <c r="AV7" s="47">
        <f t="shared" si="0"/>
        <v>0</v>
      </c>
      <c r="AW7" s="47">
        <f t="shared" si="0"/>
        <v>0</v>
      </c>
      <c r="AX7" s="47">
        <f t="shared" si="0"/>
        <v>0</v>
      </c>
      <c r="AY7" s="47">
        <f t="shared" si="0"/>
        <v>0</v>
      </c>
      <c r="AZ7" s="47">
        <f t="shared" si="0"/>
        <v>0</v>
      </c>
      <c r="BA7" s="47">
        <f t="shared" si="0"/>
        <v>0</v>
      </c>
      <c r="BB7" s="47">
        <f t="shared" si="0"/>
        <v>0</v>
      </c>
      <c r="BC7" s="47">
        <f t="shared" si="0"/>
        <v>0</v>
      </c>
    </row>
    <row r="8" spans="1:55" x14ac:dyDescent="0.2">
      <c r="A8" s="40" t="s">
        <v>256</v>
      </c>
      <c r="B8" s="41">
        <v>135000</v>
      </c>
      <c r="C8" s="41">
        <v>135000</v>
      </c>
      <c r="D8" s="41">
        <v>135000</v>
      </c>
      <c r="E8" s="41">
        <v>135000</v>
      </c>
      <c r="F8" s="41">
        <v>135000</v>
      </c>
      <c r="G8" s="41">
        <v>135000</v>
      </c>
      <c r="H8" s="41">
        <v>135000</v>
      </c>
      <c r="I8" s="41">
        <v>135000</v>
      </c>
      <c r="J8" s="41">
        <v>135000</v>
      </c>
      <c r="K8" s="41">
        <v>135000</v>
      </c>
      <c r="L8" s="41">
        <v>135000</v>
      </c>
      <c r="M8" s="41">
        <v>135000</v>
      </c>
      <c r="N8" s="41">
        <v>135000</v>
      </c>
      <c r="O8" s="41">
        <v>135000</v>
      </c>
      <c r="P8" s="41">
        <v>135000</v>
      </c>
      <c r="Q8" s="41">
        <v>135000</v>
      </c>
      <c r="R8" s="41">
        <v>135000</v>
      </c>
      <c r="S8" s="41">
        <v>135000</v>
      </c>
      <c r="T8" s="41">
        <v>135000</v>
      </c>
      <c r="U8" s="41">
        <v>135000</v>
      </c>
      <c r="V8" s="41">
        <v>135000</v>
      </c>
      <c r="W8" s="41">
        <v>135000</v>
      </c>
      <c r="X8" s="41">
        <v>135000</v>
      </c>
      <c r="Y8" s="41">
        <v>135000</v>
      </c>
      <c r="Z8" s="41">
        <v>135000</v>
      </c>
      <c r="AA8" s="41">
        <v>135000</v>
      </c>
      <c r="AB8" s="41">
        <v>135000</v>
      </c>
      <c r="AC8" s="41">
        <v>135000</v>
      </c>
      <c r="AD8" s="41">
        <v>135000</v>
      </c>
      <c r="AE8" s="41">
        <v>135000</v>
      </c>
      <c r="AF8" s="41">
        <v>135000</v>
      </c>
      <c r="AG8" s="41">
        <v>135000</v>
      </c>
      <c r="AH8" s="41">
        <v>135000</v>
      </c>
      <c r="AI8" s="41">
        <v>135000</v>
      </c>
      <c r="AJ8" s="47">
        <f t="shared" si="1"/>
        <v>135000</v>
      </c>
      <c r="AK8" s="47">
        <f t="shared" si="0"/>
        <v>135000</v>
      </c>
      <c r="AL8" s="47">
        <f t="shared" si="0"/>
        <v>135000</v>
      </c>
      <c r="AM8" s="47">
        <f t="shared" si="0"/>
        <v>135000</v>
      </c>
      <c r="AN8" s="47">
        <f t="shared" si="0"/>
        <v>135000</v>
      </c>
      <c r="AO8" s="47">
        <f t="shared" si="0"/>
        <v>135000</v>
      </c>
      <c r="AP8" s="47">
        <f t="shared" si="0"/>
        <v>135000</v>
      </c>
      <c r="AQ8" s="47">
        <f t="shared" si="0"/>
        <v>135000</v>
      </c>
      <c r="AR8" s="47">
        <f t="shared" si="0"/>
        <v>135000</v>
      </c>
      <c r="AS8" s="47">
        <f t="shared" si="0"/>
        <v>135000</v>
      </c>
      <c r="AT8" s="47">
        <f t="shared" si="0"/>
        <v>135000</v>
      </c>
      <c r="AU8" s="47">
        <f t="shared" si="0"/>
        <v>135000</v>
      </c>
      <c r="AV8" s="47">
        <f t="shared" si="0"/>
        <v>135000</v>
      </c>
      <c r="AW8" s="47">
        <f t="shared" si="0"/>
        <v>135000</v>
      </c>
      <c r="AX8" s="47">
        <f t="shared" si="0"/>
        <v>135000</v>
      </c>
      <c r="AY8" s="47">
        <f t="shared" si="0"/>
        <v>135000</v>
      </c>
      <c r="AZ8" s="47">
        <f t="shared" si="0"/>
        <v>135000</v>
      </c>
      <c r="BA8" s="47">
        <f t="shared" si="0"/>
        <v>135000</v>
      </c>
      <c r="BB8" s="47">
        <f t="shared" si="0"/>
        <v>135000</v>
      </c>
      <c r="BC8" s="47">
        <f t="shared" si="0"/>
        <v>135000</v>
      </c>
    </row>
    <row r="9" spans="1:55" x14ac:dyDescent="0.2">
      <c r="A9" s="40" t="s">
        <v>257</v>
      </c>
      <c r="B9" s="39">
        <v>0</v>
      </c>
      <c r="C9" s="39">
        <v>0</v>
      </c>
      <c r="D9" s="39">
        <v>0</v>
      </c>
      <c r="E9" s="39">
        <v>0</v>
      </c>
      <c r="F9" s="39">
        <v>0</v>
      </c>
      <c r="G9" s="39">
        <v>0</v>
      </c>
      <c r="H9" s="39">
        <v>0</v>
      </c>
      <c r="I9" s="39">
        <v>0</v>
      </c>
      <c r="J9" s="39">
        <v>0</v>
      </c>
      <c r="K9" s="39">
        <v>0</v>
      </c>
      <c r="L9" s="39">
        <v>0</v>
      </c>
      <c r="M9" s="39">
        <v>0</v>
      </c>
      <c r="N9" s="39">
        <v>0</v>
      </c>
      <c r="O9" s="39">
        <v>0</v>
      </c>
      <c r="P9" s="39">
        <v>0</v>
      </c>
      <c r="Q9" s="39">
        <v>0</v>
      </c>
      <c r="R9" s="39">
        <v>0</v>
      </c>
      <c r="S9" s="39">
        <v>0</v>
      </c>
      <c r="T9" s="39">
        <v>0</v>
      </c>
      <c r="U9" s="39">
        <v>0</v>
      </c>
      <c r="V9" s="39">
        <v>0</v>
      </c>
      <c r="W9" s="39">
        <v>0</v>
      </c>
      <c r="X9" s="39">
        <v>0</v>
      </c>
      <c r="Y9" s="39">
        <v>0</v>
      </c>
      <c r="Z9" s="39">
        <v>0</v>
      </c>
      <c r="AA9" s="39">
        <v>0</v>
      </c>
      <c r="AB9" s="39">
        <v>0</v>
      </c>
      <c r="AC9" s="39">
        <v>0</v>
      </c>
      <c r="AD9" s="39">
        <v>0</v>
      </c>
      <c r="AE9" s="39">
        <v>0</v>
      </c>
      <c r="AF9" s="39">
        <v>0</v>
      </c>
      <c r="AG9" s="39">
        <v>0</v>
      </c>
      <c r="AH9" s="39">
        <v>0</v>
      </c>
      <c r="AI9" s="39">
        <v>0</v>
      </c>
      <c r="AJ9" s="47">
        <f t="shared" si="1"/>
        <v>0</v>
      </c>
      <c r="AK9" s="47">
        <f t="shared" si="0"/>
        <v>0</v>
      </c>
      <c r="AL9" s="47">
        <f t="shared" si="0"/>
        <v>0</v>
      </c>
      <c r="AM9" s="47">
        <f t="shared" si="0"/>
        <v>0</v>
      </c>
      <c r="AN9" s="47">
        <f t="shared" si="0"/>
        <v>0</v>
      </c>
      <c r="AO9" s="47">
        <f t="shared" si="0"/>
        <v>0</v>
      </c>
      <c r="AP9" s="47">
        <f t="shared" si="0"/>
        <v>0</v>
      </c>
      <c r="AQ9" s="47">
        <f t="shared" si="0"/>
        <v>0</v>
      </c>
      <c r="AR9" s="47">
        <f t="shared" si="0"/>
        <v>0</v>
      </c>
      <c r="AS9" s="47">
        <f t="shared" si="0"/>
        <v>0</v>
      </c>
      <c r="AT9" s="47">
        <f t="shared" si="0"/>
        <v>0</v>
      </c>
      <c r="AU9" s="47">
        <f t="shared" si="0"/>
        <v>0</v>
      </c>
      <c r="AV9" s="47">
        <f t="shared" si="0"/>
        <v>0</v>
      </c>
      <c r="AW9" s="47">
        <f t="shared" si="0"/>
        <v>0</v>
      </c>
      <c r="AX9" s="47">
        <f t="shared" si="0"/>
        <v>0</v>
      </c>
      <c r="AY9" s="47">
        <f t="shared" si="0"/>
        <v>0</v>
      </c>
      <c r="AZ9" s="47">
        <f t="shared" si="0"/>
        <v>0</v>
      </c>
      <c r="BA9" s="47">
        <f t="shared" si="0"/>
        <v>0</v>
      </c>
      <c r="BB9" s="47">
        <f t="shared" si="0"/>
        <v>0</v>
      </c>
      <c r="BC9" s="47">
        <f t="shared" si="0"/>
        <v>0</v>
      </c>
    </row>
    <row r="10" spans="1:55" x14ac:dyDescent="0.2">
      <c r="A10" s="40" t="s">
        <v>243</v>
      </c>
      <c r="B10" s="39">
        <v>0</v>
      </c>
      <c r="C10" s="39">
        <v>0</v>
      </c>
      <c r="D10" s="39">
        <v>0</v>
      </c>
      <c r="E10" s="39">
        <v>0</v>
      </c>
      <c r="F10" s="39">
        <v>0</v>
      </c>
      <c r="G10" s="39">
        <v>0</v>
      </c>
      <c r="H10" s="39">
        <v>0</v>
      </c>
      <c r="I10" s="39">
        <v>0</v>
      </c>
      <c r="J10" s="39">
        <v>0</v>
      </c>
      <c r="K10" s="39">
        <v>0</v>
      </c>
      <c r="L10" s="39">
        <v>0</v>
      </c>
      <c r="M10" s="39">
        <v>0</v>
      </c>
      <c r="N10" s="39">
        <v>0</v>
      </c>
      <c r="O10" s="39">
        <v>0</v>
      </c>
      <c r="P10" s="39">
        <v>0</v>
      </c>
      <c r="Q10" s="39">
        <v>0</v>
      </c>
      <c r="R10" s="39">
        <v>0</v>
      </c>
      <c r="S10" s="39">
        <v>0</v>
      </c>
      <c r="T10" s="39">
        <v>0</v>
      </c>
      <c r="U10" s="39">
        <v>0</v>
      </c>
      <c r="V10" s="39">
        <v>0</v>
      </c>
      <c r="W10" s="39">
        <v>0</v>
      </c>
      <c r="X10" s="39">
        <v>0</v>
      </c>
      <c r="Y10" s="39">
        <v>0</v>
      </c>
      <c r="Z10" s="39">
        <v>0</v>
      </c>
      <c r="AA10" s="39">
        <v>0</v>
      </c>
      <c r="AB10" s="39">
        <v>0</v>
      </c>
      <c r="AC10" s="39">
        <v>0</v>
      </c>
      <c r="AD10" s="39">
        <v>0</v>
      </c>
      <c r="AE10" s="39">
        <v>0</v>
      </c>
      <c r="AF10" s="39">
        <v>0</v>
      </c>
      <c r="AG10" s="39">
        <v>0</v>
      </c>
      <c r="AH10" s="39">
        <v>0</v>
      </c>
      <c r="AI10" s="39">
        <v>0</v>
      </c>
      <c r="AJ10" s="47">
        <f t="shared" si="1"/>
        <v>0</v>
      </c>
      <c r="AK10" s="47">
        <f t="shared" si="0"/>
        <v>0</v>
      </c>
      <c r="AL10" s="47">
        <f t="shared" si="0"/>
        <v>0</v>
      </c>
      <c r="AM10" s="47">
        <f t="shared" si="0"/>
        <v>0</v>
      </c>
      <c r="AN10" s="47">
        <f t="shared" si="0"/>
        <v>0</v>
      </c>
      <c r="AO10" s="47">
        <f t="shared" si="0"/>
        <v>0</v>
      </c>
      <c r="AP10" s="47">
        <f t="shared" si="0"/>
        <v>0</v>
      </c>
      <c r="AQ10" s="47">
        <f t="shared" si="0"/>
        <v>0</v>
      </c>
      <c r="AR10" s="47">
        <f t="shared" si="0"/>
        <v>0</v>
      </c>
      <c r="AS10" s="47">
        <f t="shared" si="0"/>
        <v>0</v>
      </c>
      <c r="AT10" s="47">
        <f t="shared" si="0"/>
        <v>0</v>
      </c>
      <c r="AU10" s="47">
        <f t="shared" si="0"/>
        <v>0</v>
      </c>
      <c r="AV10" s="47">
        <f t="shared" si="0"/>
        <v>0</v>
      </c>
      <c r="AW10" s="47">
        <f t="shared" si="0"/>
        <v>0</v>
      </c>
      <c r="AX10" s="47">
        <f t="shared" si="0"/>
        <v>0</v>
      </c>
      <c r="AY10" s="47">
        <f t="shared" si="0"/>
        <v>0</v>
      </c>
      <c r="AZ10" s="47">
        <f t="shared" si="0"/>
        <v>0</v>
      </c>
      <c r="BA10" s="47">
        <f t="shared" si="0"/>
        <v>0</v>
      </c>
      <c r="BB10" s="47">
        <f t="shared" si="0"/>
        <v>0</v>
      </c>
      <c r="BC10" s="47">
        <f t="shared" si="0"/>
        <v>0</v>
      </c>
    </row>
    <row r="11" spans="1:55" x14ac:dyDescent="0.2">
      <c r="A11" s="40" t="s">
        <v>245</v>
      </c>
      <c r="B11" s="39">
        <v>0</v>
      </c>
      <c r="C11" s="39">
        <v>0</v>
      </c>
      <c r="D11" s="39">
        <v>0</v>
      </c>
      <c r="E11" s="39">
        <v>0</v>
      </c>
      <c r="F11" s="39">
        <v>0</v>
      </c>
      <c r="G11" s="39">
        <v>0</v>
      </c>
      <c r="H11" s="39">
        <v>0</v>
      </c>
      <c r="I11" s="39">
        <v>0</v>
      </c>
      <c r="J11" s="39">
        <v>0</v>
      </c>
      <c r="K11" s="39">
        <v>0</v>
      </c>
      <c r="L11" s="39">
        <v>0</v>
      </c>
      <c r="M11" s="39">
        <v>0</v>
      </c>
      <c r="N11" s="39">
        <v>0</v>
      </c>
      <c r="O11" s="39">
        <v>0</v>
      </c>
      <c r="P11" s="39">
        <v>0</v>
      </c>
      <c r="Q11" s="39">
        <v>0</v>
      </c>
      <c r="R11" s="39">
        <v>0</v>
      </c>
      <c r="S11" s="39">
        <v>0</v>
      </c>
      <c r="T11" s="39">
        <v>0</v>
      </c>
      <c r="U11" s="39">
        <v>0</v>
      </c>
      <c r="V11" s="39">
        <v>0</v>
      </c>
      <c r="W11" s="39">
        <v>0</v>
      </c>
      <c r="X11" s="39">
        <v>0</v>
      </c>
      <c r="Y11" s="39">
        <v>0</v>
      </c>
      <c r="Z11" s="39">
        <v>0</v>
      </c>
      <c r="AA11" s="39">
        <v>0</v>
      </c>
      <c r="AB11" s="39">
        <v>0</v>
      </c>
      <c r="AC11" s="39">
        <v>0</v>
      </c>
      <c r="AD11" s="39">
        <v>0</v>
      </c>
      <c r="AE11" s="39">
        <v>0</v>
      </c>
      <c r="AF11" s="39">
        <v>0</v>
      </c>
      <c r="AG11" s="39">
        <v>0</v>
      </c>
      <c r="AH11" s="39">
        <v>0</v>
      </c>
      <c r="AI11" s="39">
        <v>0</v>
      </c>
      <c r="AJ11" s="47">
        <f t="shared" si="1"/>
        <v>0</v>
      </c>
      <c r="AK11" s="47">
        <f t="shared" si="0"/>
        <v>0</v>
      </c>
      <c r="AL11" s="47">
        <f t="shared" si="0"/>
        <v>0</v>
      </c>
      <c r="AM11" s="47">
        <f t="shared" si="0"/>
        <v>0</v>
      </c>
      <c r="AN11" s="47">
        <f t="shared" si="0"/>
        <v>0</v>
      </c>
      <c r="AO11" s="47">
        <f t="shared" si="0"/>
        <v>0</v>
      </c>
      <c r="AP11" s="47">
        <f t="shared" si="0"/>
        <v>0</v>
      </c>
      <c r="AQ11" s="47">
        <f t="shared" si="0"/>
        <v>0</v>
      </c>
      <c r="AR11" s="47">
        <f t="shared" si="0"/>
        <v>0</v>
      </c>
      <c r="AS11" s="47">
        <f t="shared" si="0"/>
        <v>0</v>
      </c>
      <c r="AT11" s="47">
        <f t="shared" si="0"/>
        <v>0</v>
      </c>
      <c r="AU11" s="47">
        <f t="shared" si="0"/>
        <v>0</v>
      </c>
      <c r="AV11" s="47">
        <f t="shared" si="0"/>
        <v>0</v>
      </c>
      <c r="AW11" s="47">
        <f t="shared" si="0"/>
        <v>0</v>
      </c>
      <c r="AX11" s="47">
        <f t="shared" si="0"/>
        <v>0</v>
      </c>
      <c r="AY11" s="47">
        <f t="shared" si="0"/>
        <v>0</v>
      </c>
      <c r="AZ11" s="47">
        <f t="shared" si="0"/>
        <v>0</v>
      </c>
      <c r="BA11" s="47">
        <f t="shared" si="0"/>
        <v>0</v>
      </c>
      <c r="BB11" s="47">
        <f t="shared" si="0"/>
        <v>0</v>
      </c>
      <c r="BC11" s="47">
        <f t="shared" si="0"/>
        <v>0</v>
      </c>
    </row>
    <row r="12" spans="1:55" ht="15" customHeight="1" x14ac:dyDescent="0.2">
      <c r="AJ12" s="47"/>
      <c r="AK12" s="47"/>
      <c r="AL12" s="47"/>
      <c r="AM12" s="47"/>
      <c r="AN12" s="47"/>
      <c r="AO12" s="47"/>
      <c r="AP12" s="47"/>
      <c r="AQ12" s="47"/>
      <c r="AR12" s="47"/>
      <c r="AS12" s="47"/>
      <c r="AT12" s="47"/>
      <c r="AU12" s="47"/>
      <c r="AV12" s="47"/>
      <c r="AW12" s="47"/>
      <c r="AX12" s="47"/>
      <c r="AY12" s="47"/>
      <c r="AZ12" s="47"/>
      <c r="BA12" s="47"/>
      <c r="BB12" s="47"/>
      <c r="BC12" s="47"/>
    </row>
    <row r="13" spans="1:55" ht="15" customHeight="1" x14ac:dyDescent="0.2">
      <c r="AJ13" s="47"/>
      <c r="AK13" s="47"/>
      <c r="AL13" s="47"/>
      <c r="AM13" s="47"/>
      <c r="AN13" s="47"/>
      <c r="AO13" s="47"/>
      <c r="AP13" s="47"/>
      <c r="AQ13" s="47"/>
      <c r="AR13" s="47"/>
      <c r="AS13" s="47"/>
      <c r="AT13" s="47"/>
      <c r="AU13" s="47"/>
      <c r="AV13" s="47"/>
      <c r="AW13" s="47"/>
      <c r="AX13" s="47"/>
      <c r="AY13" s="47"/>
      <c r="AZ13" s="47"/>
      <c r="BA13" s="47"/>
      <c r="BB13" s="47"/>
      <c r="BC13" s="47"/>
    </row>
    <row r="14" spans="1:55" ht="15" customHeight="1" x14ac:dyDescent="0.2">
      <c r="AJ14" s="47"/>
      <c r="AK14" s="47"/>
      <c r="AL14" s="47"/>
      <c r="AM14" s="47"/>
      <c r="AN14" s="47"/>
      <c r="AO14" s="47"/>
      <c r="AP14" s="47"/>
      <c r="AQ14" s="47"/>
      <c r="AR14" s="47"/>
      <c r="AS14" s="47"/>
      <c r="AT14" s="47"/>
      <c r="AU14" s="47"/>
      <c r="AV14" s="47"/>
      <c r="AW14" s="47"/>
      <c r="AX14" s="47"/>
      <c r="AY14" s="47"/>
      <c r="AZ14" s="47"/>
      <c r="BA14" s="47"/>
      <c r="BB14" s="47"/>
      <c r="BC14" s="47"/>
    </row>
    <row r="15" spans="1:55" ht="15" customHeight="1" x14ac:dyDescent="0.2">
      <c r="AJ15" s="47"/>
      <c r="AK15" s="47"/>
      <c r="AL15" s="47"/>
      <c r="AM15" s="47"/>
      <c r="AN15" s="47"/>
      <c r="AO15" s="47"/>
      <c r="AP15" s="47"/>
      <c r="AQ15" s="47"/>
      <c r="AR15" s="47"/>
      <c r="AS15" s="47"/>
      <c r="AT15" s="47"/>
      <c r="AU15" s="47"/>
      <c r="AV15" s="47"/>
      <c r="AW15" s="47"/>
      <c r="AX15" s="47"/>
      <c r="AY15" s="47"/>
      <c r="AZ15" s="47"/>
      <c r="BA15" s="47"/>
      <c r="BB15" s="47"/>
      <c r="BC15" s="47"/>
    </row>
    <row r="16" spans="1:55" ht="15" customHeight="1" x14ac:dyDescent="0.2">
      <c r="AJ16" s="47"/>
      <c r="AK16" s="47"/>
      <c r="AL16" s="47"/>
      <c r="AM16" s="47"/>
      <c r="AN16" s="47"/>
      <c r="AO16" s="47"/>
      <c r="AP16" s="47"/>
      <c r="AQ16" s="47"/>
      <c r="AR16" s="47"/>
      <c r="AS16" s="47"/>
      <c r="AT16" s="47"/>
      <c r="AU16" s="47"/>
      <c r="AV16" s="47"/>
      <c r="AW16" s="47"/>
      <c r="AX16" s="47"/>
      <c r="AY16" s="47"/>
      <c r="AZ16" s="47"/>
      <c r="BA16" s="47"/>
      <c r="BB16" s="47"/>
      <c r="BC16" s="47"/>
    </row>
    <row r="17" spans="36:55" ht="15" customHeight="1" x14ac:dyDescent="0.2">
      <c r="AJ17" s="47"/>
      <c r="AK17" s="47"/>
      <c r="AL17" s="47"/>
      <c r="AM17" s="47"/>
      <c r="AN17" s="47"/>
      <c r="AO17" s="47"/>
      <c r="AP17" s="47"/>
      <c r="AQ17" s="47"/>
      <c r="AR17" s="47"/>
      <c r="AS17" s="47"/>
      <c r="AT17" s="47"/>
      <c r="AU17" s="47"/>
      <c r="AV17" s="47"/>
      <c r="AW17" s="47"/>
      <c r="AX17" s="47"/>
      <c r="AY17" s="47"/>
      <c r="AZ17" s="47"/>
      <c r="BA17" s="47"/>
      <c r="BB17" s="47"/>
      <c r="BC17" s="47"/>
    </row>
    <row r="18" spans="36:55" ht="15" customHeight="1" x14ac:dyDescent="0.2">
      <c r="AJ18" s="47"/>
      <c r="AK18" s="47"/>
      <c r="AL18" s="47"/>
      <c r="AM18" s="47"/>
      <c r="AN18" s="47"/>
      <c r="AO18" s="47"/>
      <c r="AP18" s="47"/>
      <c r="AQ18" s="47"/>
      <c r="AR18" s="47"/>
      <c r="AS18" s="47"/>
      <c r="AT18" s="47"/>
      <c r="AU18" s="47"/>
      <c r="AV18" s="47"/>
      <c r="AW18" s="47"/>
      <c r="AX18" s="47"/>
      <c r="AY18" s="47"/>
      <c r="AZ18" s="47"/>
      <c r="BA18" s="47"/>
      <c r="BB18" s="47"/>
      <c r="BC18" s="47"/>
    </row>
    <row r="19" spans="36:55" ht="15" customHeight="1" x14ac:dyDescent="0.2">
      <c r="AJ19" s="47"/>
      <c r="AK19" s="47"/>
      <c r="AL19" s="47"/>
      <c r="AM19" s="47"/>
      <c r="AN19" s="47"/>
      <c r="AO19" s="47"/>
      <c r="AP19" s="47"/>
      <c r="AQ19" s="47"/>
      <c r="AR19" s="47"/>
      <c r="AS19" s="47"/>
      <c r="AT19" s="47"/>
      <c r="AU19" s="47"/>
      <c r="AV19" s="47"/>
      <c r="AW19" s="47"/>
      <c r="AX19" s="47"/>
      <c r="AY19" s="47"/>
      <c r="AZ19" s="47"/>
      <c r="BA19" s="47"/>
      <c r="BB19" s="47"/>
      <c r="BC19" s="47"/>
    </row>
    <row r="20" spans="36:55" ht="15" customHeight="1" x14ac:dyDescent="0.2">
      <c r="AJ20" s="47"/>
      <c r="AK20" s="47"/>
      <c r="AL20" s="47"/>
      <c r="AM20" s="47"/>
      <c r="AN20" s="47"/>
      <c r="AO20" s="47"/>
      <c r="AP20" s="47"/>
      <c r="AQ20" s="47"/>
      <c r="AR20" s="47"/>
      <c r="AS20" s="47"/>
      <c r="AT20" s="47"/>
      <c r="AU20" s="47"/>
      <c r="AV20" s="47"/>
      <c r="AW20" s="47"/>
      <c r="AX20" s="47"/>
      <c r="AY20" s="47"/>
      <c r="AZ20" s="47"/>
      <c r="BA20" s="47"/>
      <c r="BB20" s="47"/>
      <c r="BC20" s="47"/>
    </row>
    <row r="21" spans="36:55" ht="15" customHeight="1" x14ac:dyDescent="0.2">
      <c r="AJ21" s="47"/>
      <c r="AK21" s="47"/>
      <c r="AL21" s="47"/>
      <c r="AM21" s="47"/>
      <c r="AN21" s="47"/>
      <c r="AO21" s="47"/>
      <c r="AP21" s="47"/>
      <c r="AQ21" s="47"/>
      <c r="AR21" s="47"/>
      <c r="AS21" s="47"/>
      <c r="AT21" s="47"/>
      <c r="AU21" s="47"/>
      <c r="AV21" s="47"/>
      <c r="AW21" s="47"/>
      <c r="AX21" s="47"/>
      <c r="AY21" s="47"/>
      <c r="AZ21" s="47"/>
      <c r="BA21" s="47"/>
      <c r="BB21" s="47"/>
      <c r="BC21" s="47"/>
    </row>
    <row r="22" spans="36:55" ht="15" customHeight="1" x14ac:dyDescent="0.2">
      <c r="AJ22" s="47"/>
      <c r="AK22" s="47"/>
      <c r="AL22" s="47"/>
      <c r="AM22" s="47"/>
      <c r="AN22" s="47"/>
      <c r="AO22" s="47"/>
      <c r="AP22" s="47"/>
      <c r="AQ22" s="47"/>
      <c r="AR22" s="47"/>
      <c r="AS22" s="47"/>
      <c r="AT22" s="47"/>
      <c r="AU22" s="47"/>
      <c r="AV22" s="47"/>
      <c r="AW22" s="47"/>
      <c r="AX22" s="47"/>
      <c r="AY22" s="47"/>
      <c r="AZ22" s="47"/>
      <c r="BA22" s="47"/>
      <c r="BB22" s="47"/>
      <c r="BC22" s="4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outlinePr summaryBelow="0" summaryRight="0"/>
  </sheetPr>
  <dimension ref="A1:B2"/>
  <sheetViews>
    <sheetView tabSelected="1" workbookViewId="0"/>
  </sheetViews>
  <sheetFormatPr baseColWidth="10" defaultColWidth="14.5" defaultRowHeight="15" customHeight="1" x14ac:dyDescent="0.2"/>
  <sheetData>
    <row r="1" spans="1:2" x14ac:dyDescent="0.2">
      <c r="A1" s="40"/>
      <c r="B1" s="40" t="s">
        <v>258</v>
      </c>
    </row>
    <row r="2" spans="1:2" x14ac:dyDescent="0.2">
      <c r="A2" s="40" t="s">
        <v>17</v>
      </c>
      <c r="B2" s="41">
        <v>1000000000000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About</vt:lpstr>
      <vt:lpstr>HEESI</vt:lpstr>
      <vt:lpstr>AEO Table 73</vt:lpstr>
      <vt:lpstr>BCF-BpMSTC</vt:lpstr>
      <vt:lpstr>BCF-BpLFOU</vt:lpstr>
      <vt:lpstr>BCF-BpSFOU</vt:lpstr>
      <vt:lpstr>BCF-VFEUCF</vt:lpstr>
      <vt:lpstr>BCF-BpEIEOU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2014-08-06T22:04:45Z</dcterms:created>
  <dcterms:modified xsi:type="dcterms:W3CDTF">2025-04-13T00:09:13Z</dcterms:modified>
</cp:coreProperties>
</file>