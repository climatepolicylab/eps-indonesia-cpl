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ido\Documents\eps-indonesia-cpl\InputData\io-model\BPCiObIC\"/>
    </mc:Choice>
  </mc:AlternateContent>
  <bookViews>
    <workbookView xWindow="0" yWindow="0" windowWidth="20490" windowHeight="7635" firstSheet="2" activeTab="14"/>
  </bookViews>
  <sheets>
    <sheet name="About" sheetId="1" r:id="rId1"/>
    <sheet name="OECD 2018" sheetId="2" r:id="rId2"/>
    <sheet name="isic groups" sheetId="3" r:id="rId3"/>
    <sheet name="calcs" sheetId="4" r:id="rId4"/>
    <sheet name="GDP growth by Industry" sheetId="5" r:id="rId5"/>
    <sheet name="BPS-Statistics summary" sheetId="7" r:id="rId6"/>
    <sheet name="BPS 2019" sheetId="8" state="hidden" r:id="rId7"/>
    <sheet name="BPS 2020" sheetId="9" state="hidden" r:id="rId8"/>
    <sheet name="BPS 2021" sheetId="10" state="hidden" r:id="rId9"/>
    <sheet name="BPS 2022" sheetId="11" state="hidden" r:id="rId10"/>
    <sheet name="BPS 2023" sheetId="12" state="hidden" r:id="rId11"/>
    <sheet name="BPS 2024" sheetId="13" state="hidden" r:id="rId12"/>
    <sheet name="BPS 2025" sheetId="14" state="hidden" r:id="rId13"/>
    <sheet name="BPS 2026" sheetId="15" state="hidden" r:id="rId14"/>
    <sheet name="BPCiObIC" sheetId="6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5" hidden="1">'BPS-Statistics summary'!$A$1:$K$63</definedName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>#REF!</definedName>
    <definedName name="Sectors">#REF!</definedName>
    <definedName name="SUNBURST">'[5]35-sector'!#REF!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cs3cFdyA9K9UB/JbQtOVSyzq+GtSugCMeUnwV2GEbEM="/>
    </ext>
  </extLst>
</workbook>
</file>

<file path=xl/calcChain.xml><?xml version="1.0" encoding="utf-8"?>
<calcChain xmlns="http://schemas.openxmlformats.org/spreadsheetml/2006/main">
  <c r="AW2" i="6" l="1"/>
  <c r="AX2" i="6"/>
  <c r="AY2" i="6"/>
  <c r="AZ2" i="6"/>
  <c r="BA2" i="6"/>
  <c r="AW3" i="6"/>
  <c r="AX3" i="6"/>
  <c r="AY3" i="6"/>
  <c r="AZ3" i="6"/>
  <c r="BA3" i="6"/>
  <c r="AW4" i="6"/>
  <c r="AX4" i="6"/>
  <c r="AY4" i="6"/>
  <c r="AZ4" i="6"/>
  <c r="BA4" i="6"/>
  <c r="AW5" i="6"/>
  <c r="AX5" i="6"/>
  <c r="AY5" i="6"/>
  <c r="AZ5" i="6"/>
  <c r="BA5" i="6"/>
  <c r="AW6" i="6"/>
  <c r="AX6" i="6"/>
  <c r="AY6" i="6"/>
  <c r="AZ6" i="6"/>
  <c r="BA6" i="6"/>
  <c r="AW7" i="6"/>
  <c r="AX7" i="6"/>
  <c r="AY7" i="6"/>
  <c r="AZ7" i="6"/>
  <c r="BA7" i="6"/>
  <c r="AW8" i="6"/>
  <c r="AX8" i="6"/>
  <c r="AY8" i="6"/>
  <c r="AZ8" i="6"/>
  <c r="BA8" i="6"/>
  <c r="AW9" i="6"/>
  <c r="AX9" i="6"/>
  <c r="AY9" i="6"/>
  <c r="AZ9" i="6"/>
  <c r="BA9" i="6"/>
  <c r="AW10" i="6"/>
  <c r="AX10" i="6"/>
  <c r="AY10" i="6"/>
  <c r="AZ10" i="6"/>
  <c r="BA10" i="6"/>
  <c r="AW11" i="6"/>
  <c r="AX11" i="6"/>
  <c r="AY11" i="6"/>
  <c r="AZ11" i="6"/>
  <c r="BA11" i="6"/>
  <c r="AW12" i="6"/>
  <c r="AX12" i="6"/>
  <c r="AY12" i="6"/>
  <c r="AZ12" i="6"/>
  <c r="BA12" i="6"/>
  <c r="AW13" i="6"/>
  <c r="AX13" i="6"/>
  <c r="AY13" i="6"/>
  <c r="AZ13" i="6"/>
  <c r="BA13" i="6"/>
  <c r="AW14" i="6"/>
  <c r="AX14" i="6"/>
  <c r="AY14" i="6"/>
  <c r="AZ14" i="6"/>
  <c r="BA14" i="6"/>
  <c r="AW15" i="6"/>
  <c r="AX15" i="6"/>
  <c r="AY15" i="6"/>
  <c r="AZ15" i="6"/>
  <c r="BA15" i="6"/>
  <c r="AW16" i="6"/>
  <c r="AX16" i="6"/>
  <c r="AY16" i="6"/>
  <c r="AZ16" i="6"/>
  <c r="BA16" i="6"/>
  <c r="AW17" i="6"/>
  <c r="AX17" i="6"/>
  <c r="AY17" i="6"/>
  <c r="AZ17" i="6"/>
  <c r="BA17" i="6"/>
  <c r="AW18" i="6"/>
  <c r="AX18" i="6"/>
  <c r="AY18" i="6"/>
  <c r="AZ18" i="6"/>
  <c r="BA18" i="6"/>
  <c r="AW19" i="6"/>
  <c r="AX19" i="6"/>
  <c r="AY19" i="6"/>
  <c r="AZ19" i="6"/>
  <c r="BA19" i="6"/>
  <c r="AW20" i="6"/>
  <c r="AX20" i="6"/>
  <c r="AY20" i="6"/>
  <c r="AZ20" i="6"/>
  <c r="BA20" i="6"/>
  <c r="AW21" i="6"/>
  <c r="AX21" i="6"/>
  <c r="AY21" i="6"/>
  <c r="AZ21" i="6"/>
  <c r="BA21" i="6"/>
  <c r="AW22" i="6"/>
  <c r="AX22" i="6"/>
  <c r="AY22" i="6"/>
  <c r="AZ22" i="6"/>
  <c r="BA22" i="6"/>
  <c r="AW23" i="6"/>
  <c r="AX23" i="6"/>
  <c r="AY23" i="6"/>
  <c r="AZ23" i="6"/>
  <c r="BA23" i="6"/>
  <c r="AW24" i="6"/>
  <c r="AX24" i="6"/>
  <c r="AY24" i="6"/>
  <c r="AZ24" i="6"/>
  <c r="BA24" i="6"/>
  <c r="AW25" i="6"/>
  <c r="AX25" i="6"/>
  <c r="AY25" i="6"/>
  <c r="AZ25" i="6"/>
  <c r="BA25" i="6"/>
  <c r="AW26" i="6"/>
  <c r="AX26" i="6"/>
  <c r="AY26" i="6"/>
  <c r="AZ26" i="6"/>
  <c r="BA26" i="6"/>
  <c r="AW27" i="6"/>
  <c r="AX27" i="6"/>
  <c r="AY27" i="6"/>
  <c r="AZ27" i="6"/>
  <c r="BA27" i="6"/>
  <c r="AW28" i="6"/>
  <c r="AX28" i="6"/>
  <c r="AY28" i="6"/>
  <c r="AZ28" i="6"/>
  <c r="BA28" i="6"/>
  <c r="AW29" i="6"/>
  <c r="AX29" i="6"/>
  <c r="AY29" i="6"/>
  <c r="AZ29" i="6"/>
  <c r="BA29" i="6"/>
  <c r="AW30" i="6"/>
  <c r="AX30" i="6"/>
  <c r="AY30" i="6"/>
  <c r="AZ30" i="6"/>
  <c r="BA30" i="6"/>
  <c r="AW31" i="6"/>
  <c r="AX31" i="6"/>
  <c r="AY31" i="6"/>
  <c r="AZ31" i="6"/>
  <c r="BA31" i="6"/>
  <c r="AW32" i="6"/>
  <c r="AX32" i="6"/>
  <c r="AY32" i="6"/>
  <c r="AZ32" i="6"/>
  <c r="BA32" i="6"/>
  <c r="AW33" i="6"/>
  <c r="AX33" i="6"/>
  <c r="AY33" i="6"/>
  <c r="AZ33" i="6"/>
  <c r="BA33" i="6"/>
  <c r="AW34" i="6"/>
  <c r="AX34" i="6"/>
  <c r="AY34" i="6"/>
  <c r="AZ34" i="6"/>
  <c r="BA34" i="6"/>
  <c r="AW35" i="6"/>
  <c r="AX35" i="6"/>
  <c r="AY35" i="6"/>
  <c r="AZ35" i="6"/>
  <c r="BA35" i="6"/>
  <c r="AW36" i="6"/>
  <c r="AX36" i="6"/>
  <c r="AY36" i="6"/>
  <c r="AZ36" i="6"/>
  <c r="BA36" i="6"/>
  <c r="AW37" i="6"/>
  <c r="AX37" i="6"/>
  <c r="AY37" i="6"/>
  <c r="AZ37" i="6"/>
  <c r="BA37" i="6"/>
  <c r="AW38" i="6"/>
  <c r="AX38" i="6"/>
  <c r="AY38" i="6"/>
  <c r="AZ38" i="6"/>
  <c r="BA38" i="6"/>
  <c r="AW39" i="6"/>
  <c r="AX39" i="6"/>
  <c r="AY39" i="6"/>
  <c r="AZ39" i="6"/>
  <c r="BA39" i="6"/>
  <c r="AW40" i="6"/>
  <c r="AX40" i="6"/>
  <c r="AY40" i="6"/>
  <c r="AZ40" i="6"/>
  <c r="BA40" i="6"/>
  <c r="AW41" i="6"/>
  <c r="AX41" i="6"/>
  <c r="AY41" i="6"/>
  <c r="AZ41" i="6"/>
  <c r="BA41" i="6"/>
  <c r="AW42" i="6"/>
  <c r="AX42" i="6"/>
  <c r="AY42" i="6"/>
  <c r="AZ42" i="6"/>
  <c r="BA42" i="6"/>
  <c r="AW43" i="6"/>
  <c r="AX43" i="6"/>
  <c r="AY43" i="6"/>
  <c r="AZ43" i="6"/>
  <c r="BA43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M64" i="7" l="1"/>
  <c r="Q64" i="7" s="1"/>
  <c r="U64" i="7" s="1"/>
  <c r="Y64" i="7" s="1"/>
  <c r="AC64" i="7" s="1"/>
  <c r="AG64" i="7" s="1"/>
  <c r="AK64" i="7" s="1"/>
  <c r="AO64" i="7" s="1"/>
  <c r="AS64" i="7" s="1"/>
  <c r="AW64" i="7" s="1"/>
  <c r="BA64" i="7" s="1"/>
  <c r="L64" i="7"/>
  <c r="N64" i="7" s="1"/>
  <c r="R64" i="7" s="1"/>
  <c r="V64" i="7" s="1"/>
  <c r="Z64" i="7" s="1"/>
  <c r="AD64" i="7" s="1"/>
  <c r="AH64" i="7" s="1"/>
  <c r="AL64" i="7" s="1"/>
  <c r="AP64" i="7" s="1"/>
  <c r="AT64" i="7" s="1"/>
  <c r="AX64" i="7" s="1"/>
  <c r="BB64" i="7" s="1"/>
  <c r="O64" i="7" l="1"/>
  <c r="S64" i="7" s="1"/>
  <c r="W64" i="7" s="1"/>
  <c r="AA64" i="7" s="1"/>
  <c r="AE64" i="7" s="1"/>
  <c r="AI64" i="7" s="1"/>
  <c r="AM64" i="7" s="1"/>
  <c r="AQ64" i="7" s="1"/>
  <c r="AU64" i="7" s="1"/>
  <c r="AY64" i="7" s="1"/>
  <c r="BC64" i="7" s="1"/>
  <c r="P64" i="7"/>
  <c r="T64" i="7" s="1"/>
  <c r="X64" i="7" s="1"/>
  <c r="AB64" i="7" s="1"/>
  <c r="AF64" i="7" s="1"/>
  <c r="AJ64" i="7" s="1"/>
  <c r="AN64" i="7" s="1"/>
  <c r="AR64" i="7" s="1"/>
  <c r="AV64" i="7" s="1"/>
  <c r="AZ64" i="7" s="1"/>
  <c r="BD64" i="7" s="1"/>
  <c r="E2" i="7" l="1"/>
  <c r="F2" i="7"/>
  <c r="G2" i="7"/>
  <c r="H2" i="7"/>
  <c r="I2" i="7"/>
  <c r="J2" i="7"/>
  <c r="K2" i="7"/>
  <c r="E3" i="7"/>
  <c r="B2" i="6" s="1"/>
  <c r="F3" i="7"/>
  <c r="G3" i="7"/>
  <c r="H3" i="7"/>
  <c r="I3" i="7"/>
  <c r="J3" i="7"/>
  <c r="K3" i="7"/>
  <c r="E4" i="7"/>
  <c r="F4" i="7"/>
  <c r="G4" i="7"/>
  <c r="H4" i="7"/>
  <c r="I4" i="7"/>
  <c r="J4" i="7"/>
  <c r="K4" i="7"/>
  <c r="E5" i="7"/>
  <c r="F5" i="7"/>
  <c r="G5" i="7"/>
  <c r="H5" i="7"/>
  <c r="I5" i="7"/>
  <c r="J5" i="7"/>
  <c r="K5" i="7"/>
  <c r="E6" i="7"/>
  <c r="F6" i="7"/>
  <c r="G6" i="7"/>
  <c r="H6" i="7"/>
  <c r="I6" i="7"/>
  <c r="J6" i="7"/>
  <c r="K6" i="7"/>
  <c r="E7" i="7"/>
  <c r="F7" i="7"/>
  <c r="G7" i="7"/>
  <c r="H7" i="7"/>
  <c r="I7" i="7"/>
  <c r="J7" i="7"/>
  <c r="K7" i="7"/>
  <c r="E8" i="7"/>
  <c r="F8" i="7"/>
  <c r="G8" i="7"/>
  <c r="H8" i="7"/>
  <c r="I8" i="7"/>
  <c r="J8" i="7"/>
  <c r="K8" i="7"/>
  <c r="E9" i="7"/>
  <c r="F9" i="7"/>
  <c r="G9" i="7"/>
  <c r="H9" i="7"/>
  <c r="L9" i="7" s="1"/>
  <c r="I9" i="7"/>
  <c r="J9" i="7"/>
  <c r="K9" i="7"/>
  <c r="E10" i="7"/>
  <c r="F10" i="7"/>
  <c r="G10" i="7"/>
  <c r="H10" i="7"/>
  <c r="I10" i="7"/>
  <c r="J10" i="7"/>
  <c r="K10" i="7"/>
  <c r="E11" i="7"/>
  <c r="F11" i="7"/>
  <c r="G11" i="7"/>
  <c r="H11" i="7"/>
  <c r="I11" i="7"/>
  <c r="J11" i="7"/>
  <c r="K11" i="7"/>
  <c r="E12" i="7"/>
  <c r="F12" i="7"/>
  <c r="G12" i="7"/>
  <c r="H12" i="7"/>
  <c r="I12" i="7"/>
  <c r="J12" i="7"/>
  <c r="K12" i="7"/>
  <c r="E13" i="7"/>
  <c r="F13" i="7"/>
  <c r="G13" i="7"/>
  <c r="H13" i="7"/>
  <c r="I13" i="7"/>
  <c r="J13" i="7"/>
  <c r="K13" i="7"/>
  <c r="E14" i="7"/>
  <c r="F14" i="7"/>
  <c r="G14" i="7"/>
  <c r="H14" i="7"/>
  <c r="I14" i="7"/>
  <c r="J14" i="7"/>
  <c r="K14" i="7"/>
  <c r="E15" i="7"/>
  <c r="F15" i="7"/>
  <c r="G15" i="7"/>
  <c r="H15" i="7"/>
  <c r="I15" i="7"/>
  <c r="J15" i="7"/>
  <c r="K15" i="7"/>
  <c r="E16" i="7"/>
  <c r="F16" i="7"/>
  <c r="G16" i="7"/>
  <c r="H16" i="7"/>
  <c r="I16" i="7"/>
  <c r="J16" i="7"/>
  <c r="K16" i="7"/>
  <c r="E17" i="7"/>
  <c r="F17" i="7"/>
  <c r="G17" i="7"/>
  <c r="H17" i="7"/>
  <c r="I17" i="7"/>
  <c r="J17" i="7"/>
  <c r="K17" i="7"/>
  <c r="E18" i="7"/>
  <c r="F18" i="7"/>
  <c r="G18" i="7"/>
  <c r="H18" i="7"/>
  <c r="I18" i="7"/>
  <c r="J18" i="7"/>
  <c r="K18" i="7"/>
  <c r="E19" i="7"/>
  <c r="F19" i="7"/>
  <c r="G19" i="7"/>
  <c r="H19" i="7"/>
  <c r="I19" i="7"/>
  <c r="J19" i="7"/>
  <c r="K19" i="7"/>
  <c r="E20" i="7"/>
  <c r="F20" i="7"/>
  <c r="G20" i="7"/>
  <c r="H20" i="7"/>
  <c r="I20" i="7"/>
  <c r="J20" i="7"/>
  <c r="K20" i="7"/>
  <c r="E21" i="7"/>
  <c r="F21" i="7"/>
  <c r="G21" i="7"/>
  <c r="H21" i="7"/>
  <c r="I21" i="7"/>
  <c r="J21" i="7"/>
  <c r="K21" i="7"/>
  <c r="E22" i="7"/>
  <c r="F22" i="7"/>
  <c r="G22" i="7"/>
  <c r="H22" i="7"/>
  <c r="I22" i="7"/>
  <c r="J22" i="7"/>
  <c r="K22" i="7"/>
  <c r="E23" i="7"/>
  <c r="F23" i="7"/>
  <c r="G23" i="7"/>
  <c r="H23" i="7"/>
  <c r="I23" i="7"/>
  <c r="J23" i="7"/>
  <c r="K23" i="7"/>
  <c r="E24" i="7"/>
  <c r="F24" i="7"/>
  <c r="G24" i="7"/>
  <c r="H24" i="7"/>
  <c r="I24" i="7"/>
  <c r="J24" i="7"/>
  <c r="K24" i="7"/>
  <c r="E25" i="7"/>
  <c r="F25" i="7"/>
  <c r="G25" i="7"/>
  <c r="H25" i="7"/>
  <c r="I25" i="7"/>
  <c r="J25" i="7"/>
  <c r="K25" i="7"/>
  <c r="E26" i="7"/>
  <c r="F26" i="7"/>
  <c r="G26" i="7"/>
  <c r="H26" i="7"/>
  <c r="I26" i="7"/>
  <c r="J26" i="7"/>
  <c r="K26" i="7"/>
  <c r="E27" i="7"/>
  <c r="F27" i="7"/>
  <c r="G27" i="7"/>
  <c r="H27" i="7"/>
  <c r="I27" i="7"/>
  <c r="J27" i="7"/>
  <c r="K27" i="7"/>
  <c r="E28" i="7"/>
  <c r="F28" i="7"/>
  <c r="G28" i="7"/>
  <c r="H28" i="7"/>
  <c r="I28" i="7"/>
  <c r="J28" i="7"/>
  <c r="K28" i="7"/>
  <c r="E29" i="7"/>
  <c r="F29" i="7"/>
  <c r="G29" i="7"/>
  <c r="H29" i="7"/>
  <c r="I29" i="7"/>
  <c r="J29" i="7"/>
  <c r="K29" i="7"/>
  <c r="E30" i="7"/>
  <c r="F30" i="7"/>
  <c r="G30" i="7"/>
  <c r="H30" i="7"/>
  <c r="I30" i="7"/>
  <c r="J30" i="7"/>
  <c r="K30" i="7"/>
  <c r="E31" i="7"/>
  <c r="F31" i="7"/>
  <c r="G31" i="7"/>
  <c r="H31" i="7"/>
  <c r="I31" i="7"/>
  <c r="J31" i="7"/>
  <c r="K31" i="7"/>
  <c r="E32" i="7"/>
  <c r="F32" i="7"/>
  <c r="G32" i="7"/>
  <c r="H32" i="7"/>
  <c r="I32" i="7"/>
  <c r="J32" i="7"/>
  <c r="K32" i="7"/>
  <c r="E33" i="7"/>
  <c r="F33" i="7"/>
  <c r="G33" i="7"/>
  <c r="H33" i="7"/>
  <c r="I33" i="7"/>
  <c r="J33" i="7"/>
  <c r="K33" i="7"/>
  <c r="E34" i="7"/>
  <c r="F34" i="7"/>
  <c r="G34" i="7"/>
  <c r="H34" i="7"/>
  <c r="I34" i="7"/>
  <c r="J34" i="7"/>
  <c r="K34" i="7"/>
  <c r="E35" i="7"/>
  <c r="F35" i="7"/>
  <c r="G35" i="7"/>
  <c r="H35" i="7"/>
  <c r="I35" i="7"/>
  <c r="J35" i="7"/>
  <c r="K35" i="7"/>
  <c r="E36" i="7"/>
  <c r="F36" i="7"/>
  <c r="G36" i="7"/>
  <c r="H36" i="7"/>
  <c r="I36" i="7"/>
  <c r="J36" i="7"/>
  <c r="K36" i="7"/>
  <c r="E37" i="7"/>
  <c r="F37" i="7"/>
  <c r="G37" i="7"/>
  <c r="H37" i="7"/>
  <c r="I37" i="7"/>
  <c r="J37" i="7"/>
  <c r="K37" i="7"/>
  <c r="E38" i="7"/>
  <c r="F38" i="7"/>
  <c r="G38" i="7"/>
  <c r="H38" i="7"/>
  <c r="I38" i="7"/>
  <c r="J38" i="7"/>
  <c r="K38" i="7"/>
  <c r="E39" i="7"/>
  <c r="F39" i="7"/>
  <c r="G39" i="7"/>
  <c r="H39" i="7"/>
  <c r="I39" i="7"/>
  <c r="J39" i="7"/>
  <c r="K39" i="7"/>
  <c r="E40" i="7"/>
  <c r="F40" i="7"/>
  <c r="G40" i="7"/>
  <c r="H40" i="7"/>
  <c r="I40" i="7"/>
  <c r="J40" i="7"/>
  <c r="K40" i="7"/>
  <c r="E41" i="7"/>
  <c r="F41" i="7"/>
  <c r="G41" i="7"/>
  <c r="H41" i="7"/>
  <c r="L41" i="7" s="1"/>
  <c r="I41" i="7"/>
  <c r="J41" i="7"/>
  <c r="K41" i="7"/>
  <c r="E42" i="7"/>
  <c r="F42" i="7"/>
  <c r="G42" i="7"/>
  <c r="H42" i="7"/>
  <c r="I42" i="7"/>
  <c r="J42" i="7"/>
  <c r="K42" i="7"/>
  <c r="E43" i="7"/>
  <c r="F43" i="7"/>
  <c r="G43" i="7"/>
  <c r="H43" i="7"/>
  <c r="I43" i="7"/>
  <c r="J43" i="7"/>
  <c r="K43" i="7"/>
  <c r="E44" i="7"/>
  <c r="F44" i="7"/>
  <c r="G44" i="7"/>
  <c r="H44" i="7"/>
  <c r="I44" i="7"/>
  <c r="J44" i="7"/>
  <c r="K44" i="7"/>
  <c r="E45" i="7"/>
  <c r="F45" i="7"/>
  <c r="G45" i="7"/>
  <c r="H45" i="7"/>
  <c r="I45" i="7"/>
  <c r="J45" i="7"/>
  <c r="K45" i="7"/>
  <c r="E46" i="7"/>
  <c r="F46" i="7"/>
  <c r="G46" i="7"/>
  <c r="H46" i="7"/>
  <c r="I46" i="7"/>
  <c r="J46" i="7"/>
  <c r="K46" i="7"/>
  <c r="E47" i="7"/>
  <c r="F47" i="7"/>
  <c r="G47" i="7"/>
  <c r="H47" i="7"/>
  <c r="I47" i="7"/>
  <c r="J47" i="7"/>
  <c r="K47" i="7"/>
  <c r="E48" i="7"/>
  <c r="F48" i="7"/>
  <c r="G48" i="7"/>
  <c r="H48" i="7"/>
  <c r="I48" i="7"/>
  <c r="J48" i="7"/>
  <c r="K48" i="7"/>
  <c r="E49" i="7"/>
  <c r="F49" i="7"/>
  <c r="G49" i="7"/>
  <c r="H49" i="7"/>
  <c r="I49" i="7"/>
  <c r="J49" i="7"/>
  <c r="K49" i="7"/>
  <c r="E50" i="7"/>
  <c r="F50" i="7"/>
  <c r="G50" i="7"/>
  <c r="H50" i="7"/>
  <c r="I50" i="7"/>
  <c r="J50" i="7"/>
  <c r="K50" i="7"/>
  <c r="E51" i="7"/>
  <c r="F51" i="7"/>
  <c r="G51" i="7"/>
  <c r="H51" i="7"/>
  <c r="I51" i="7"/>
  <c r="J51" i="7"/>
  <c r="K51" i="7"/>
  <c r="E52" i="7"/>
  <c r="F52" i="7"/>
  <c r="G52" i="7"/>
  <c r="H52" i="7"/>
  <c r="I52" i="7"/>
  <c r="J52" i="7"/>
  <c r="K52" i="7"/>
  <c r="E53" i="7"/>
  <c r="F53" i="7"/>
  <c r="G53" i="7"/>
  <c r="H53" i="7"/>
  <c r="I53" i="7"/>
  <c r="J53" i="7"/>
  <c r="K53" i="7"/>
  <c r="E54" i="7"/>
  <c r="F54" i="7"/>
  <c r="G54" i="7"/>
  <c r="H54" i="7"/>
  <c r="I54" i="7"/>
  <c r="J54" i="7"/>
  <c r="K54" i="7"/>
  <c r="E55" i="7"/>
  <c r="F55" i="7"/>
  <c r="G55" i="7"/>
  <c r="H55" i="7"/>
  <c r="I55" i="7"/>
  <c r="J55" i="7"/>
  <c r="K55" i="7"/>
  <c r="E56" i="7"/>
  <c r="F56" i="7"/>
  <c r="G56" i="7"/>
  <c r="H56" i="7"/>
  <c r="I56" i="7"/>
  <c r="J56" i="7"/>
  <c r="K56" i="7"/>
  <c r="E57" i="7"/>
  <c r="F57" i="7"/>
  <c r="G57" i="7"/>
  <c r="H57" i="7"/>
  <c r="L57" i="7" s="1"/>
  <c r="I57" i="7"/>
  <c r="J57" i="7"/>
  <c r="K57" i="7"/>
  <c r="E58" i="7"/>
  <c r="F58" i="7"/>
  <c r="G58" i="7"/>
  <c r="H58" i="7"/>
  <c r="I58" i="7"/>
  <c r="J58" i="7"/>
  <c r="K58" i="7"/>
  <c r="E59" i="7"/>
  <c r="F59" i="7"/>
  <c r="G59" i="7"/>
  <c r="H59" i="7"/>
  <c r="I59" i="7"/>
  <c r="J59" i="7"/>
  <c r="K59" i="7"/>
  <c r="E60" i="7"/>
  <c r="F60" i="7"/>
  <c r="G60" i="7"/>
  <c r="H60" i="7"/>
  <c r="I60" i="7"/>
  <c r="J60" i="7"/>
  <c r="K60" i="7"/>
  <c r="E61" i="7"/>
  <c r="F61" i="7"/>
  <c r="G61" i="7"/>
  <c r="H61" i="7"/>
  <c r="I61" i="7"/>
  <c r="J61" i="7"/>
  <c r="K61" i="7"/>
  <c r="E62" i="7"/>
  <c r="F62" i="7"/>
  <c r="G62" i="7"/>
  <c r="H62" i="7"/>
  <c r="I62" i="7"/>
  <c r="J62" i="7"/>
  <c r="K62" i="7"/>
  <c r="E63" i="7"/>
  <c r="F63" i="7"/>
  <c r="G63" i="7"/>
  <c r="H63" i="7"/>
  <c r="I63" i="7"/>
  <c r="J63" i="7"/>
  <c r="K63" i="7"/>
  <c r="E65" i="7"/>
  <c r="F65" i="7"/>
  <c r="G65" i="7"/>
  <c r="H65" i="7"/>
  <c r="I65" i="7"/>
  <c r="J65" i="7"/>
  <c r="K65" i="7"/>
  <c r="E66" i="7"/>
  <c r="F66" i="7"/>
  <c r="G66" i="7"/>
  <c r="H66" i="7"/>
  <c r="L66" i="7" s="1"/>
  <c r="I66" i="7"/>
  <c r="J66" i="7"/>
  <c r="K66" i="7"/>
  <c r="E67" i="7"/>
  <c r="F67" i="7"/>
  <c r="G67" i="7"/>
  <c r="H67" i="7"/>
  <c r="I67" i="7"/>
  <c r="J67" i="7"/>
  <c r="K67" i="7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68" i="5" a="1"/>
  <c r="I68" i="5" s="1"/>
  <c r="C86" i="5"/>
  <c r="D86" i="5"/>
  <c r="E86" i="5"/>
  <c r="F86" i="5"/>
  <c r="G86" i="5"/>
  <c r="H86" i="5"/>
  <c r="C87" i="5"/>
  <c r="D87" i="5"/>
  <c r="E87" i="5"/>
  <c r="F87" i="5"/>
  <c r="G87" i="5"/>
  <c r="C88" i="5"/>
  <c r="D88" i="5"/>
  <c r="E88" i="5"/>
  <c r="F88" i="5"/>
  <c r="G88" i="5"/>
  <c r="H88" i="5"/>
  <c r="C89" i="5"/>
  <c r="D89" i="5"/>
  <c r="E89" i="5"/>
  <c r="F89" i="5"/>
  <c r="G89" i="5"/>
  <c r="H89" i="5"/>
  <c r="C90" i="5"/>
  <c r="D90" i="5"/>
  <c r="E90" i="5"/>
  <c r="F90" i="5"/>
  <c r="G90" i="5"/>
  <c r="H90" i="5"/>
  <c r="C91" i="5"/>
  <c r="D91" i="5"/>
  <c r="E91" i="5"/>
  <c r="F91" i="5"/>
  <c r="G91" i="5"/>
  <c r="H91" i="5"/>
  <c r="C92" i="5"/>
  <c r="D92" i="5"/>
  <c r="E92" i="5"/>
  <c r="F92" i="5"/>
  <c r="G92" i="5"/>
  <c r="H92" i="5"/>
  <c r="C93" i="5"/>
  <c r="D93" i="5"/>
  <c r="E93" i="5"/>
  <c r="F93" i="5"/>
  <c r="G93" i="5"/>
  <c r="H93" i="5"/>
  <c r="C94" i="5"/>
  <c r="D94" i="5"/>
  <c r="E94" i="5"/>
  <c r="F94" i="5"/>
  <c r="G94" i="5"/>
  <c r="H94" i="5"/>
  <c r="C95" i="5"/>
  <c r="D95" i="5"/>
  <c r="E95" i="5"/>
  <c r="F95" i="5"/>
  <c r="G95" i="5"/>
  <c r="H95" i="5"/>
  <c r="C96" i="5"/>
  <c r="D96" i="5"/>
  <c r="E96" i="5"/>
  <c r="F96" i="5"/>
  <c r="G96" i="5"/>
  <c r="H96" i="5"/>
  <c r="C97" i="5"/>
  <c r="D97" i="5"/>
  <c r="E97" i="5"/>
  <c r="F97" i="5"/>
  <c r="G97" i="5"/>
  <c r="H97" i="5"/>
  <c r="C98" i="5"/>
  <c r="D98" i="5"/>
  <c r="E98" i="5"/>
  <c r="F98" i="5"/>
  <c r="G98" i="5"/>
  <c r="H98" i="5"/>
  <c r="C99" i="5"/>
  <c r="D99" i="5"/>
  <c r="E99" i="5"/>
  <c r="F99" i="5"/>
  <c r="G99" i="5"/>
  <c r="H99" i="5"/>
  <c r="C100" i="5"/>
  <c r="D100" i="5"/>
  <c r="E100" i="5"/>
  <c r="F100" i="5"/>
  <c r="G100" i="5"/>
  <c r="H100" i="5"/>
  <c r="C101" i="5"/>
  <c r="D101" i="5"/>
  <c r="E101" i="5"/>
  <c r="F101" i="5"/>
  <c r="G101" i="5"/>
  <c r="H101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86" i="5"/>
  <c r="H48" i="5"/>
  <c r="H87" i="5" s="1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S25" i="5"/>
  <c r="AK25" i="5"/>
  <c r="AC25" i="5"/>
  <c r="W25" i="5"/>
  <c r="M25" i="5"/>
  <c r="E25" i="5"/>
  <c r="AS24" i="5"/>
  <c r="AK24" i="5"/>
  <c r="E24" i="5"/>
  <c r="AK23" i="5"/>
  <c r="U23" i="5"/>
  <c r="M23" i="5"/>
  <c r="E23" i="5"/>
  <c r="AS22" i="5"/>
  <c r="AK22" i="5"/>
  <c r="M22" i="5"/>
  <c r="E22" i="5"/>
  <c r="AZ21" i="5"/>
  <c r="AU21" i="5"/>
  <c r="AK21" i="5"/>
  <c r="U21" i="5"/>
  <c r="O21" i="5"/>
  <c r="E21" i="5"/>
  <c r="BA20" i="5"/>
  <c r="AK20" i="5"/>
  <c r="W20" i="5"/>
  <c r="M20" i="5"/>
  <c r="E20" i="5"/>
  <c r="AZ19" i="5"/>
  <c r="AU19" i="5"/>
  <c r="AK19" i="5"/>
  <c r="AC19" i="5"/>
  <c r="U19" i="5"/>
  <c r="M19" i="5"/>
  <c r="AS18" i="5"/>
  <c r="AK18" i="5"/>
  <c r="AC18" i="5"/>
  <c r="P18" i="5"/>
  <c r="O18" i="5"/>
  <c r="BA17" i="5"/>
  <c r="AK17" i="5"/>
  <c r="AE17" i="5"/>
  <c r="Z17" i="5"/>
  <c r="U17" i="5"/>
  <c r="M17" i="5"/>
  <c r="E17" i="5"/>
  <c r="D17" i="5"/>
  <c r="AK16" i="5"/>
  <c r="AC16" i="5"/>
  <c r="U16" i="5"/>
  <c r="M16" i="5"/>
  <c r="E16" i="5"/>
  <c r="B16" i="5"/>
  <c r="BA15" i="5"/>
  <c r="AS15" i="5"/>
  <c r="AK15" i="5"/>
  <c r="AJ15" i="5"/>
  <c r="AC15" i="5"/>
  <c r="M15" i="5"/>
  <c r="D15" i="5"/>
  <c r="B15" i="5"/>
  <c r="AS14" i="5"/>
  <c r="AH14" i="5"/>
  <c r="AC14" i="5"/>
  <c r="M14" i="5"/>
  <c r="E14" i="5"/>
  <c r="BA13" i="5"/>
  <c r="AK13" i="5"/>
  <c r="AC13" i="5"/>
  <c r="Z13" i="5"/>
  <c r="U13" i="5"/>
  <c r="T13" i="5"/>
  <c r="M13" i="5"/>
  <c r="K13" i="5"/>
  <c r="E13" i="5"/>
  <c r="BA12" i="5"/>
  <c r="AS12" i="5"/>
  <c r="AK12" i="5"/>
  <c r="AC12" i="5"/>
  <c r="U12" i="5"/>
  <c r="S12" i="5"/>
  <c r="J12" i="5"/>
  <c r="H12" i="5"/>
  <c r="E12" i="5"/>
  <c r="BA11" i="5"/>
  <c r="AS11" i="5"/>
  <c r="AR11" i="5"/>
  <c r="AP11" i="5"/>
  <c r="L11" i="5"/>
  <c r="B11" i="5"/>
  <c r="BA10" i="5"/>
  <c r="AS10" i="5"/>
  <c r="AK10" i="5"/>
  <c r="AC10" i="5"/>
  <c r="AB10" i="5"/>
  <c r="U10" i="5"/>
  <c r="T10" i="5"/>
  <c r="M10" i="5"/>
  <c r="L10" i="5"/>
  <c r="E10" i="5"/>
  <c r="B10" i="5"/>
  <c r="BA9" i="5"/>
  <c r="BA18" i="5" s="1"/>
  <c r="AZ9" i="5"/>
  <c r="AZ24" i="5" s="1"/>
  <c r="AY9" i="5"/>
  <c r="AY13" i="5" s="1"/>
  <c r="AX9" i="5"/>
  <c r="AX15" i="5" s="1"/>
  <c r="AW9" i="5"/>
  <c r="AV9" i="5"/>
  <c r="AV16" i="5" s="1"/>
  <c r="AU9" i="5"/>
  <c r="AU12" i="5" s="1"/>
  <c r="AT9" i="5"/>
  <c r="AT17" i="5" s="1"/>
  <c r="AS9" i="5"/>
  <c r="AS16" i="5" s="1"/>
  <c r="AR9" i="5"/>
  <c r="AR10" i="5" s="1"/>
  <c r="AQ9" i="5"/>
  <c r="AQ14" i="5" s="1"/>
  <c r="AP9" i="5"/>
  <c r="AP14" i="5" s="1"/>
  <c r="AO9" i="5"/>
  <c r="AN9" i="5"/>
  <c r="AN18" i="5" s="1"/>
  <c r="AM9" i="5"/>
  <c r="AM21" i="5" s="1"/>
  <c r="AL9" i="5"/>
  <c r="AL24" i="5" s="1"/>
  <c r="AK9" i="5"/>
  <c r="AK14" i="5" s="1"/>
  <c r="AJ9" i="5"/>
  <c r="AJ24" i="5" s="1"/>
  <c r="AI9" i="5"/>
  <c r="AI24" i="5" s="1"/>
  <c r="AH9" i="5"/>
  <c r="AH21" i="5" s="1"/>
  <c r="AG9" i="5"/>
  <c r="AG11" i="5" s="1"/>
  <c r="AF9" i="5"/>
  <c r="AF12" i="5" s="1"/>
  <c r="AE9" i="5"/>
  <c r="AE12" i="5" s="1"/>
  <c r="AD9" i="5"/>
  <c r="AD22" i="5" s="1"/>
  <c r="AC9" i="5"/>
  <c r="AC23" i="5" s="1"/>
  <c r="AB9" i="5"/>
  <c r="AB21" i="5" s="1"/>
  <c r="AA9" i="5"/>
  <c r="AA21" i="5" s="1"/>
  <c r="Z9" i="5"/>
  <c r="Z21" i="5" s="1"/>
  <c r="Y9" i="5"/>
  <c r="X9" i="5"/>
  <c r="X10" i="5" s="1"/>
  <c r="W9" i="5"/>
  <c r="W19" i="5" s="1"/>
  <c r="V9" i="5"/>
  <c r="V18" i="5" s="1"/>
  <c r="U9" i="5"/>
  <c r="U24" i="5" s="1"/>
  <c r="T9" i="5"/>
  <c r="T11" i="5" s="1"/>
  <c r="S9" i="5"/>
  <c r="S15" i="5" s="1"/>
  <c r="R9" i="5"/>
  <c r="R15" i="5" s="1"/>
  <c r="Q9" i="5"/>
  <c r="P9" i="5"/>
  <c r="P22" i="5" s="1"/>
  <c r="O9" i="5"/>
  <c r="O16" i="5" s="1"/>
  <c r="N9" i="5"/>
  <c r="N22" i="5" s="1"/>
  <c r="M9" i="5"/>
  <c r="M24" i="5" s="1"/>
  <c r="L9" i="5"/>
  <c r="L13" i="5" s="1"/>
  <c r="K9" i="5"/>
  <c r="K16" i="5" s="1"/>
  <c r="J9" i="5"/>
  <c r="J14" i="5" s="1"/>
  <c r="I9" i="5"/>
  <c r="H9" i="5"/>
  <c r="H25" i="5" s="1"/>
  <c r="G9" i="5"/>
  <c r="F9" i="5"/>
  <c r="F24" i="5" s="1"/>
  <c r="E9" i="5"/>
  <c r="E18" i="5" s="1"/>
  <c r="D9" i="5"/>
  <c r="D13" i="5" s="1"/>
  <c r="C9" i="5"/>
  <c r="C18" i="5" s="1"/>
  <c r="B9" i="5"/>
  <c r="B12" i="5" s="1"/>
  <c r="AV8" i="5"/>
  <c r="AU8" i="5"/>
  <c r="AS8" i="5"/>
  <c r="AL8" i="5"/>
  <c r="AH8" i="5"/>
  <c r="AE8" i="5"/>
  <c r="AD8" i="5"/>
  <c r="Z8" i="5"/>
  <c r="O8" i="5"/>
  <c r="M8" i="5"/>
  <c r="J8" i="5"/>
  <c r="F8" i="5"/>
  <c r="B8" i="5"/>
  <c r="BA7" i="5"/>
  <c r="BA8" i="5" s="1"/>
  <c r="AZ7" i="5"/>
  <c r="AZ8" i="5" s="1"/>
  <c r="AY7" i="5"/>
  <c r="AY8" i="5" s="1"/>
  <c r="AX7" i="5"/>
  <c r="AX8" i="5" s="1"/>
  <c r="AW7" i="5"/>
  <c r="AW8" i="5" s="1"/>
  <c r="AV7" i="5"/>
  <c r="AU7" i="5"/>
  <c r="AT7" i="5"/>
  <c r="AT8" i="5" s="1"/>
  <c r="AS7" i="5"/>
  <c r="AR7" i="5"/>
  <c r="AR8" i="5" s="1"/>
  <c r="AQ7" i="5"/>
  <c r="AQ8" i="5" s="1"/>
  <c r="AP7" i="5"/>
  <c r="AP8" i="5" s="1"/>
  <c r="AO7" i="5"/>
  <c r="AO8" i="5" s="1"/>
  <c r="AN7" i="5"/>
  <c r="AN8" i="5" s="1"/>
  <c r="AM7" i="5"/>
  <c r="AM8" i="5" s="1"/>
  <c r="AL7" i="5"/>
  <c r="AK7" i="5"/>
  <c r="AK8" i="5" s="1"/>
  <c r="AJ7" i="5"/>
  <c r="AJ8" i="5" s="1"/>
  <c r="AI7" i="5"/>
  <c r="AI8" i="5" s="1"/>
  <c r="AH7" i="5"/>
  <c r="AG7" i="5"/>
  <c r="AG8" i="5" s="1"/>
  <c r="AF7" i="5"/>
  <c r="AF8" i="5" s="1"/>
  <c r="AE7" i="5"/>
  <c r="AD7" i="5"/>
  <c r="AC7" i="5"/>
  <c r="AC8" i="5" s="1"/>
  <c r="AB7" i="5"/>
  <c r="AB8" i="5" s="1"/>
  <c r="AA7" i="5"/>
  <c r="AA8" i="5" s="1"/>
  <c r="Z7" i="5"/>
  <c r="Y7" i="5"/>
  <c r="Y8" i="5" s="1"/>
  <c r="X7" i="5"/>
  <c r="X8" i="5" s="1"/>
  <c r="W7" i="5"/>
  <c r="W8" i="5" s="1"/>
  <c r="V7" i="5"/>
  <c r="V8" i="5" s="1"/>
  <c r="U7" i="5"/>
  <c r="U8" i="5" s="1"/>
  <c r="T7" i="5"/>
  <c r="T8" i="5" s="1"/>
  <c r="S7" i="5"/>
  <c r="S8" i="5" s="1"/>
  <c r="R7" i="5"/>
  <c r="R8" i="5" s="1"/>
  <c r="Q7" i="5"/>
  <c r="Q8" i="5" s="1"/>
  <c r="P7" i="5"/>
  <c r="P8" i="5" s="1"/>
  <c r="O7" i="5"/>
  <c r="N7" i="5"/>
  <c r="N8" i="5" s="1"/>
  <c r="M7" i="5"/>
  <c r="L7" i="5"/>
  <c r="L8" i="5" s="1"/>
  <c r="K7" i="5"/>
  <c r="K8" i="5" s="1"/>
  <c r="J7" i="5"/>
  <c r="I7" i="5"/>
  <c r="I8" i="5" s="1"/>
  <c r="H7" i="5"/>
  <c r="H8" i="5" s="1"/>
  <c r="G7" i="5"/>
  <c r="F7" i="5"/>
  <c r="E7" i="5"/>
  <c r="D7" i="5"/>
  <c r="C7" i="5"/>
  <c r="B7" i="5"/>
  <c r="AY5" i="5"/>
  <c r="AY6" i="5" s="1"/>
  <c r="AR5" i="5"/>
  <c r="AR6" i="5" s="1"/>
  <c r="AI5" i="5"/>
  <c r="AI6" i="5" s="1"/>
  <c r="AB5" i="5"/>
  <c r="AB6" i="5" s="1"/>
  <c r="AA5" i="5"/>
  <c r="AA6" i="5" s="1"/>
  <c r="K5" i="5"/>
  <c r="K6" i="5" s="1"/>
  <c r="D5" i="5"/>
  <c r="BA4" i="5"/>
  <c r="BA5" i="5" s="1"/>
  <c r="BA6" i="5" s="1"/>
  <c r="AZ4" i="5"/>
  <c r="AZ5" i="5" s="1"/>
  <c r="AZ6" i="5" s="1"/>
  <c r="AY4" i="5"/>
  <c r="AX4" i="5"/>
  <c r="AX5" i="5" s="1"/>
  <c r="AX6" i="5" s="1"/>
  <c r="AW4" i="5"/>
  <c r="AW5" i="5" s="1"/>
  <c r="AW6" i="5" s="1"/>
  <c r="AV4" i="5"/>
  <c r="AV5" i="5" s="1"/>
  <c r="AV6" i="5" s="1"/>
  <c r="AU4" i="5"/>
  <c r="AU5" i="5" s="1"/>
  <c r="AU6" i="5" s="1"/>
  <c r="AT4" i="5"/>
  <c r="AT5" i="5" s="1"/>
  <c r="AT6" i="5" s="1"/>
  <c r="AS4" i="5"/>
  <c r="AS5" i="5" s="1"/>
  <c r="AS6" i="5" s="1"/>
  <c r="AR4" i="5"/>
  <c r="AQ4" i="5"/>
  <c r="AQ5" i="5" s="1"/>
  <c r="AQ6" i="5" s="1"/>
  <c r="AP4" i="5"/>
  <c r="AP5" i="5" s="1"/>
  <c r="AP6" i="5" s="1"/>
  <c r="AO4" i="5"/>
  <c r="AO5" i="5" s="1"/>
  <c r="AO6" i="5" s="1"/>
  <c r="AN4" i="5"/>
  <c r="AN5" i="5" s="1"/>
  <c r="AN6" i="5" s="1"/>
  <c r="AM4" i="5"/>
  <c r="AM5" i="5" s="1"/>
  <c r="AM6" i="5" s="1"/>
  <c r="AL4" i="5"/>
  <c r="AL5" i="5" s="1"/>
  <c r="AL6" i="5" s="1"/>
  <c r="AK4" i="5"/>
  <c r="AK5" i="5" s="1"/>
  <c r="AK6" i="5" s="1"/>
  <c r="AJ4" i="5"/>
  <c r="AJ5" i="5" s="1"/>
  <c r="AJ6" i="5" s="1"/>
  <c r="AI4" i="5"/>
  <c r="AH4" i="5"/>
  <c r="AH5" i="5" s="1"/>
  <c r="AH6" i="5" s="1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G5" i="5" s="1"/>
  <c r="F4" i="5"/>
  <c r="E4" i="5"/>
  <c r="D4" i="5"/>
  <c r="C4" i="5"/>
  <c r="B4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AL63" i="4"/>
  <c r="AJ63" i="4"/>
  <c r="AJ107" i="4" s="1"/>
  <c r="AI63" i="4"/>
  <c r="AH63" i="4"/>
  <c r="AH107" i="4" s="1"/>
  <c r="AG63" i="4"/>
  <c r="AF63" i="4"/>
  <c r="AE63" i="4"/>
  <c r="AE107" i="4" s="1"/>
  <c r="AD63" i="4"/>
  <c r="AC63" i="4"/>
  <c r="AC107" i="4" s="1"/>
  <c r="AB63" i="4"/>
  <c r="AB107" i="4" s="1"/>
  <c r="AA63" i="4"/>
  <c r="Z63" i="4"/>
  <c r="Z107" i="4" s="1"/>
  <c r="Y63" i="4"/>
  <c r="X63" i="4"/>
  <c r="W63" i="4"/>
  <c r="W107" i="4" s="1"/>
  <c r="V63" i="4"/>
  <c r="U63" i="4"/>
  <c r="U107" i="4" s="1"/>
  <c r="T63" i="4"/>
  <c r="T107" i="4" s="1"/>
  <c r="S63" i="4"/>
  <c r="R63" i="4"/>
  <c r="R107" i="4" s="1"/>
  <c r="Q63" i="4"/>
  <c r="P63" i="4"/>
  <c r="O63" i="4"/>
  <c r="O107" i="4" s="1"/>
  <c r="N63" i="4"/>
  <c r="M63" i="4"/>
  <c r="M107" i="4" s="1"/>
  <c r="L63" i="4"/>
  <c r="L107" i="4" s="1"/>
  <c r="K63" i="4"/>
  <c r="J63" i="4"/>
  <c r="J107" i="4" s="1"/>
  <c r="I63" i="4"/>
  <c r="H63" i="4"/>
  <c r="G63" i="4"/>
  <c r="G107" i="4" s="1"/>
  <c r="F63" i="4"/>
  <c r="AL61" i="4"/>
  <c r="AJ61" i="4"/>
  <c r="AJ105" i="4" s="1"/>
  <c r="AI61" i="4"/>
  <c r="AH61" i="4"/>
  <c r="AH105" i="4" s="1"/>
  <c r="AG61" i="4"/>
  <c r="AF61" i="4"/>
  <c r="AE61" i="4"/>
  <c r="AE105" i="4" s="1"/>
  <c r="AD61" i="4"/>
  <c r="AC61" i="4"/>
  <c r="AC105" i="4" s="1"/>
  <c r="AB61" i="4"/>
  <c r="AB105" i="4" s="1"/>
  <c r="AA61" i="4"/>
  <c r="Z61" i="4"/>
  <c r="Z105" i="4" s="1"/>
  <c r="Y61" i="4"/>
  <c r="X61" i="4"/>
  <c r="W61" i="4"/>
  <c r="W105" i="4" s="1"/>
  <c r="V61" i="4"/>
  <c r="U61" i="4"/>
  <c r="U105" i="4" s="1"/>
  <c r="T61" i="4"/>
  <c r="T105" i="4" s="1"/>
  <c r="S61" i="4"/>
  <c r="R61" i="4"/>
  <c r="R105" i="4" s="1"/>
  <c r="Q61" i="4"/>
  <c r="P61" i="4"/>
  <c r="O61" i="4"/>
  <c r="O105" i="4" s="1"/>
  <c r="N61" i="4"/>
  <c r="M61" i="4"/>
  <c r="M105" i="4" s="1"/>
  <c r="L61" i="4"/>
  <c r="L105" i="4" s="1"/>
  <c r="K61" i="4"/>
  <c r="J61" i="4"/>
  <c r="J105" i="4" s="1"/>
  <c r="I61" i="4"/>
  <c r="H61" i="4"/>
  <c r="G61" i="4"/>
  <c r="G105" i="4" s="1"/>
  <c r="F61" i="4"/>
  <c r="AL60" i="4"/>
  <c r="AJ60" i="4"/>
  <c r="AJ104" i="4" s="1"/>
  <c r="AI60" i="4"/>
  <c r="AH60" i="4"/>
  <c r="AH104" i="4" s="1"/>
  <c r="AG60" i="4"/>
  <c r="AF60" i="4"/>
  <c r="AE60" i="4"/>
  <c r="AE104" i="4" s="1"/>
  <c r="AD60" i="4"/>
  <c r="AC60" i="4"/>
  <c r="AC104" i="4" s="1"/>
  <c r="AB60" i="4"/>
  <c r="AB104" i="4" s="1"/>
  <c r="AA60" i="4"/>
  <c r="Z60" i="4"/>
  <c r="Z104" i="4" s="1"/>
  <c r="Y60" i="4"/>
  <c r="X60" i="4"/>
  <c r="W60" i="4"/>
  <c r="W104" i="4" s="1"/>
  <c r="V60" i="4"/>
  <c r="U60" i="4"/>
  <c r="U104" i="4" s="1"/>
  <c r="T60" i="4"/>
  <c r="T104" i="4" s="1"/>
  <c r="S60" i="4"/>
  <c r="R60" i="4"/>
  <c r="R104" i="4" s="1"/>
  <c r="Q60" i="4"/>
  <c r="P60" i="4"/>
  <c r="O60" i="4"/>
  <c r="O104" i="4" s="1"/>
  <c r="N60" i="4"/>
  <c r="M60" i="4"/>
  <c r="M104" i="4" s="1"/>
  <c r="L60" i="4"/>
  <c r="L104" i="4" s="1"/>
  <c r="K60" i="4"/>
  <c r="J60" i="4"/>
  <c r="J104" i="4" s="1"/>
  <c r="I60" i="4"/>
  <c r="H60" i="4"/>
  <c r="G60" i="4"/>
  <c r="G104" i="4" s="1"/>
  <c r="F60" i="4"/>
  <c r="AL59" i="4"/>
  <c r="AJ59" i="4"/>
  <c r="AJ103" i="4" s="1"/>
  <c r="AI59" i="4"/>
  <c r="AH59" i="4"/>
  <c r="AH103" i="4" s="1"/>
  <c r="AG59" i="4"/>
  <c r="AF59" i="4"/>
  <c r="AE59" i="4"/>
  <c r="AE103" i="4" s="1"/>
  <c r="AD59" i="4"/>
  <c r="AC59" i="4"/>
  <c r="AC103" i="4" s="1"/>
  <c r="AB59" i="4"/>
  <c r="AB103" i="4" s="1"/>
  <c r="AA59" i="4"/>
  <c r="Z59" i="4"/>
  <c r="Z103" i="4" s="1"/>
  <c r="Y59" i="4"/>
  <c r="X59" i="4"/>
  <c r="W59" i="4"/>
  <c r="W103" i="4" s="1"/>
  <c r="V59" i="4"/>
  <c r="U59" i="4"/>
  <c r="U103" i="4" s="1"/>
  <c r="T59" i="4"/>
  <c r="T103" i="4" s="1"/>
  <c r="S59" i="4"/>
  <c r="R59" i="4"/>
  <c r="R103" i="4" s="1"/>
  <c r="Q59" i="4"/>
  <c r="P59" i="4"/>
  <c r="O59" i="4"/>
  <c r="O103" i="4" s="1"/>
  <c r="N59" i="4"/>
  <c r="M59" i="4"/>
  <c r="M103" i="4" s="1"/>
  <c r="L59" i="4"/>
  <c r="L103" i="4" s="1"/>
  <c r="K59" i="4"/>
  <c r="J59" i="4"/>
  <c r="J103" i="4" s="1"/>
  <c r="I59" i="4"/>
  <c r="H59" i="4"/>
  <c r="G59" i="4"/>
  <c r="G103" i="4" s="1"/>
  <c r="F59" i="4"/>
  <c r="AL55" i="4"/>
  <c r="AJ55" i="4"/>
  <c r="AJ97" i="4" s="1"/>
  <c r="AI55" i="4"/>
  <c r="AH55" i="4"/>
  <c r="AH97" i="4" s="1"/>
  <c r="AG55" i="4"/>
  <c r="AF55" i="4"/>
  <c r="AE55" i="4"/>
  <c r="AE97" i="4" s="1"/>
  <c r="AD55" i="4"/>
  <c r="AC55" i="4"/>
  <c r="AC97" i="4" s="1"/>
  <c r="AB55" i="4"/>
  <c r="AB97" i="4" s="1"/>
  <c r="AA55" i="4"/>
  <c r="AA97" i="4" s="1"/>
  <c r="Z55" i="4"/>
  <c r="Z97" i="4" s="1"/>
  <c r="Y55" i="4"/>
  <c r="X55" i="4"/>
  <c r="W55" i="4"/>
  <c r="W97" i="4" s="1"/>
  <c r="V55" i="4"/>
  <c r="U55" i="4"/>
  <c r="U97" i="4" s="1"/>
  <c r="T55" i="4"/>
  <c r="T97" i="4" s="1"/>
  <c r="S55" i="4"/>
  <c r="R55" i="4"/>
  <c r="R97" i="4" s="1"/>
  <c r="Q55" i="4"/>
  <c r="P55" i="4"/>
  <c r="O55" i="4"/>
  <c r="O97" i="4" s="1"/>
  <c r="N55" i="4"/>
  <c r="M55" i="4"/>
  <c r="M97" i="4" s="1"/>
  <c r="L55" i="4"/>
  <c r="L97" i="4" s="1"/>
  <c r="K55" i="4"/>
  <c r="K97" i="4" s="1"/>
  <c r="J55" i="4"/>
  <c r="J97" i="4" s="1"/>
  <c r="I55" i="4"/>
  <c r="H55" i="4"/>
  <c r="G55" i="4"/>
  <c r="G97" i="4" s="1"/>
  <c r="F55" i="4"/>
  <c r="E40" i="4"/>
  <c r="E38" i="4"/>
  <c r="C38" i="4"/>
  <c r="AJ38" i="4" s="1"/>
  <c r="AB37" i="4"/>
  <c r="AB78" i="4" s="1"/>
  <c r="Q37" i="4"/>
  <c r="Q78" i="4" s="1"/>
  <c r="E37" i="4"/>
  <c r="E36" i="4"/>
  <c r="E34" i="4"/>
  <c r="E33" i="4"/>
  <c r="AC32" i="4"/>
  <c r="AC73" i="4" s="1"/>
  <c r="E32" i="4"/>
  <c r="E31" i="4"/>
  <c r="E30" i="4"/>
  <c r="E29" i="4"/>
  <c r="E27" i="4"/>
  <c r="E26" i="4"/>
  <c r="P25" i="4"/>
  <c r="P66" i="4" s="1"/>
  <c r="H25" i="4"/>
  <c r="H66" i="4" s="1"/>
  <c r="E25" i="4"/>
  <c r="E24" i="4"/>
  <c r="E23" i="4"/>
  <c r="G22" i="4"/>
  <c r="E22" i="4"/>
  <c r="E21" i="4"/>
  <c r="D21" i="4" a="1"/>
  <c r="D21" i="4" s="1"/>
  <c r="AJ21" i="4" s="1"/>
  <c r="E20" i="4"/>
  <c r="E19" i="4"/>
  <c r="E18" i="4"/>
  <c r="E17" i="4"/>
  <c r="E16" i="4"/>
  <c r="E15" i="4"/>
  <c r="C15" i="4" a="1"/>
  <c r="C15" i="4" s="1"/>
  <c r="AF14" i="4"/>
  <c r="M14" i="4"/>
  <c r="E14" i="4"/>
  <c r="E13" i="4"/>
  <c r="E12" i="4"/>
  <c r="C12" i="4" a="1"/>
  <c r="C12" i="4" s="1"/>
  <c r="E11" i="4"/>
  <c r="E10" i="4"/>
  <c r="C10" i="4"/>
  <c r="E9" i="4"/>
  <c r="E8" i="4"/>
  <c r="E7" i="4"/>
  <c r="C7" i="4" a="1"/>
  <c r="C7" i="4" s="1"/>
  <c r="W6" i="4"/>
  <c r="W47" i="4" s="1"/>
  <c r="E6" i="4"/>
  <c r="E5" i="4"/>
  <c r="D5" i="4" a="1"/>
  <c r="D5" i="4" s="1"/>
  <c r="E4" i="4"/>
  <c r="E3" i="4"/>
  <c r="AE56" i="2"/>
  <c r="AD56" i="2"/>
  <c r="D40" i="4" s="1" a="1"/>
  <c r="D40" i="4" s="1"/>
  <c r="AC56" i="2"/>
  <c r="C40" i="4" s="1" a="1"/>
  <c r="C40" i="4" s="1"/>
  <c r="AE55" i="2"/>
  <c r="AD55" i="2"/>
  <c r="AC55" i="2"/>
  <c r="AE54" i="2"/>
  <c r="AD54" i="2"/>
  <c r="AC54" i="2"/>
  <c r="AA53" i="2"/>
  <c r="E39" i="4" s="1"/>
  <c r="Z53" i="2"/>
  <c r="Y53" i="2"/>
  <c r="X53" i="2"/>
  <c r="W53" i="2"/>
  <c r="V53" i="2"/>
  <c r="U53" i="2"/>
  <c r="T53" i="2"/>
  <c r="S53" i="2"/>
  <c r="AC53" i="2" s="1"/>
  <c r="C39" i="4" s="1" a="1"/>
  <c r="C39" i="4" s="1"/>
  <c r="R53" i="2"/>
  <c r="Q53" i="2"/>
  <c r="P53" i="2"/>
  <c r="O53" i="2"/>
  <c r="N53" i="2"/>
  <c r="M53" i="2"/>
  <c r="AE53" i="2" s="1"/>
  <c r="L53" i="2"/>
  <c r="K53" i="2"/>
  <c r="J53" i="2"/>
  <c r="I53" i="2"/>
  <c r="H53" i="2"/>
  <c r="G53" i="2"/>
  <c r="F53" i="2"/>
  <c r="E53" i="2"/>
  <c r="D53" i="2"/>
  <c r="AE52" i="2"/>
  <c r="AD52" i="2"/>
  <c r="D38" i="4" s="1" a="1"/>
  <c r="D38" i="4" s="1"/>
  <c r="AC52" i="2"/>
  <c r="C38" i="4" s="1" a="1"/>
  <c r="AE51" i="2"/>
  <c r="AD51" i="2"/>
  <c r="D37" i="4" s="1" a="1"/>
  <c r="D37" i="4" s="1"/>
  <c r="F37" i="4" s="1"/>
  <c r="F78" i="4" s="1"/>
  <c r="AC51" i="2"/>
  <c r="C37" i="4" s="1" a="1"/>
  <c r="C37" i="4" s="1"/>
  <c r="AE50" i="2"/>
  <c r="AD50" i="2"/>
  <c r="D36" i="4" s="1" a="1"/>
  <c r="D36" i="4" s="1"/>
  <c r="AC50" i="2"/>
  <c r="C36" i="4" s="1" a="1"/>
  <c r="C36" i="4" s="1"/>
  <c r="AE49" i="2"/>
  <c r="AD49" i="2"/>
  <c r="AC49" i="2"/>
  <c r="AE48" i="2"/>
  <c r="AD48" i="2"/>
  <c r="AC48" i="2"/>
  <c r="AD47" i="2"/>
  <c r="D35" i="4" s="1" a="1"/>
  <c r="D35" i="4" s="1"/>
  <c r="AA47" i="2"/>
  <c r="E35" i="4" s="1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AE47" i="2" s="1"/>
  <c r="L47" i="2"/>
  <c r="K47" i="2"/>
  <c r="J47" i="2"/>
  <c r="I47" i="2"/>
  <c r="H47" i="2"/>
  <c r="G47" i="2"/>
  <c r="F47" i="2"/>
  <c r="E47" i="2"/>
  <c r="D47" i="2"/>
  <c r="AE46" i="2"/>
  <c r="AD46" i="2"/>
  <c r="D34" i="4" s="1" a="1"/>
  <c r="D34" i="4" s="1"/>
  <c r="AC46" i="2"/>
  <c r="C34" i="4" s="1" a="1"/>
  <c r="C34" i="4" s="1"/>
  <c r="AE45" i="2"/>
  <c r="AD45" i="2"/>
  <c r="D33" i="4" s="1" a="1"/>
  <c r="D33" i="4" s="1"/>
  <c r="AF33" i="4" s="1"/>
  <c r="AF74" i="4" s="1"/>
  <c r="AC45" i="2"/>
  <c r="C33" i="4" s="1" a="1"/>
  <c r="C33" i="4" s="1"/>
  <c r="AE44" i="2"/>
  <c r="AD44" i="2"/>
  <c r="D32" i="4" s="1" a="1"/>
  <c r="D32" i="4" s="1"/>
  <c r="AC44" i="2"/>
  <c r="C32" i="4" s="1" a="1"/>
  <c r="C32" i="4" s="1"/>
  <c r="M32" i="4" s="1"/>
  <c r="M73" i="4" s="1"/>
  <c r="AE43" i="2"/>
  <c r="AD43" i="2"/>
  <c r="D31" i="4" s="1" a="1"/>
  <c r="D31" i="4" s="1"/>
  <c r="AC43" i="2"/>
  <c r="C31" i="4" s="1" a="1"/>
  <c r="C31" i="4" s="1"/>
  <c r="AE42" i="2"/>
  <c r="AD42" i="2"/>
  <c r="D30" i="4" s="1" a="1"/>
  <c r="D30" i="4" s="1"/>
  <c r="G30" i="4" s="1"/>
  <c r="G71" i="4" s="1"/>
  <c r="AC42" i="2"/>
  <c r="C30" i="4" s="1" a="1"/>
  <c r="C30" i="4" s="1"/>
  <c r="AE41" i="2"/>
  <c r="AD41" i="2"/>
  <c r="D29" i="4" s="1" a="1"/>
  <c r="D29" i="4" s="1"/>
  <c r="AC41" i="2"/>
  <c r="C29" i="4" s="1" a="1"/>
  <c r="C29" i="4" s="1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A35" i="2"/>
  <c r="E28" i="4" s="1"/>
  <c r="Z35" i="2"/>
  <c r="Y35" i="2"/>
  <c r="X35" i="2"/>
  <c r="W35" i="2"/>
  <c r="V35" i="2"/>
  <c r="U35" i="2"/>
  <c r="T35" i="2"/>
  <c r="S35" i="2"/>
  <c r="R35" i="2"/>
  <c r="Q35" i="2"/>
  <c r="AE35" i="2" s="1"/>
  <c r="P35" i="2"/>
  <c r="O35" i="2"/>
  <c r="N35" i="2"/>
  <c r="AC35" i="2" s="1"/>
  <c r="C28" i="4" s="1" a="1"/>
  <c r="C28" i="4" s="1"/>
  <c r="M35" i="2"/>
  <c r="AD35" i="2" s="1"/>
  <c r="D28" i="4" s="1" a="1"/>
  <c r="D28" i="4" s="1"/>
  <c r="L35" i="2"/>
  <c r="K35" i="2"/>
  <c r="J35" i="2"/>
  <c r="I35" i="2"/>
  <c r="H35" i="2"/>
  <c r="G35" i="2"/>
  <c r="F35" i="2"/>
  <c r="E35" i="2"/>
  <c r="D35" i="2"/>
  <c r="AE34" i="2"/>
  <c r="AD34" i="2"/>
  <c r="D27" i="4" s="1" a="1"/>
  <c r="D27" i="4" s="1"/>
  <c r="F27" i="4" s="1"/>
  <c r="F68" i="4" s="1"/>
  <c r="AC34" i="2"/>
  <c r="C27" i="4" s="1" a="1"/>
  <c r="C27" i="4" s="1"/>
  <c r="AE33" i="2"/>
  <c r="AD33" i="2"/>
  <c r="D26" i="4" s="1" a="1"/>
  <c r="D26" i="4" s="1"/>
  <c r="AC33" i="2"/>
  <c r="C26" i="4" s="1" a="1"/>
  <c r="C26" i="4" s="1"/>
  <c r="AE32" i="2"/>
  <c r="AD32" i="2"/>
  <c r="D25" i="4" s="1" a="1"/>
  <c r="D25" i="4" s="1"/>
  <c r="AC32" i="2"/>
  <c r="C25" i="4" s="1" a="1"/>
  <c r="C25" i="4" s="1"/>
  <c r="X25" i="4" s="1"/>
  <c r="X66" i="4" s="1"/>
  <c r="AE31" i="2"/>
  <c r="AD31" i="2"/>
  <c r="D24" i="4" s="1" a="1"/>
  <c r="D24" i="4" s="1"/>
  <c r="AC31" i="2"/>
  <c r="C24" i="4" s="1" a="1"/>
  <c r="C24" i="4" s="1"/>
  <c r="AE30" i="2"/>
  <c r="AD30" i="2"/>
  <c r="D23" i="4" s="1" a="1"/>
  <c r="D23" i="4" s="1"/>
  <c r="AC30" i="2"/>
  <c r="C23" i="4" s="1" a="1"/>
  <c r="C23" i="4" s="1"/>
  <c r="AE29" i="2"/>
  <c r="AD29" i="2"/>
  <c r="D22" i="4" s="1" a="1"/>
  <c r="D22" i="4" s="1"/>
  <c r="AE22" i="4" s="1"/>
  <c r="AC29" i="2"/>
  <c r="C22" i="4" s="1" a="1"/>
  <c r="C22" i="4" s="1"/>
  <c r="O22" i="4" s="1"/>
  <c r="AE28" i="2"/>
  <c r="AD28" i="2"/>
  <c r="AC28" i="2"/>
  <c r="C21" i="4" s="1" a="1"/>
  <c r="C21" i="4" s="1"/>
  <c r="AE27" i="2"/>
  <c r="AD27" i="2"/>
  <c r="D20" i="4" s="1" a="1"/>
  <c r="D20" i="4" s="1"/>
  <c r="Y20" i="4" s="1"/>
  <c r="AC27" i="2"/>
  <c r="C20" i="4" s="1" a="1"/>
  <c r="C20" i="4" s="1"/>
  <c r="AE26" i="2"/>
  <c r="AD26" i="2"/>
  <c r="D19" i="4" s="1" a="1"/>
  <c r="D19" i="4" s="1"/>
  <c r="F19" i="4" s="1"/>
  <c r="AC26" i="2"/>
  <c r="C19" i="4" s="1" a="1"/>
  <c r="C19" i="4" s="1"/>
  <c r="N19" i="4" s="1"/>
  <c r="AE25" i="2"/>
  <c r="AD25" i="2"/>
  <c r="D18" i="4" s="1" a="1"/>
  <c r="D18" i="4" s="1"/>
  <c r="AC25" i="2"/>
  <c r="C18" i="4" s="1" a="1"/>
  <c r="C18" i="4" s="1"/>
  <c r="AE24" i="2"/>
  <c r="AD24" i="2"/>
  <c r="D17" i="4" s="1" a="1"/>
  <c r="D17" i="4" s="1"/>
  <c r="V17" i="4" s="1"/>
  <c r="AC24" i="2"/>
  <c r="C17" i="4" s="1" a="1"/>
  <c r="C17" i="4" s="1"/>
  <c r="AE23" i="2"/>
  <c r="AD23" i="2"/>
  <c r="D16" i="4" s="1" a="1"/>
  <c r="D16" i="4" s="1"/>
  <c r="AC23" i="2"/>
  <c r="C16" i="4" s="1" a="1"/>
  <c r="C16" i="4" s="1"/>
  <c r="AE22" i="2"/>
  <c r="AD22" i="2"/>
  <c r="D15" i="4" s="1" a="1"/>
  <c r="D15" i="4" s="1"/>
  <c r="AC22" i="2"/>
  <c r="AE21" i="2"/>
  <c r="AD21" i="2"/>
  <c r="D14" i="4" s="1" a="1"/>
  <c r="D14" i="4" s="1"/>
  <c r="AE14" i="4" s="1"/>
  <c r="AC21" i="2"/>
  <c r="C14" i="4" s="1" a="1"/>
  <c r="C14" i="4" s="1"/>
  <c r="O14" i="4" s="1"/>
  <c r="AE20" i="2"/>
  <c r="AD20" i="2"/>
  <c r="D13" i="4" s="1" a="1"/>
  <c r="D13" i="4" s="1"/>
  <c r="AC20" i="2"/>
  <c r="C13" i="4" s="1" a="1"/>
  <c r="C13" i="4" s="1"/>
  <c r="AE19" i="2"/>
  <c r="AD19" i="2"/>
  <c r="D12" i="4" s="1" a="1"/>
  <c r="D12" i="4" s="1"/>
  <c r="R12" i="4" s="1"/>
  <c r="R53" i="4" s="1"/>
  <c r="AC19" i="2"/>
  <c r="AE18" i="2"/>
  <c r="AD18" i="2"/>
  <c r="D11" i="4" s="1" a="1"/>
  <c r="D11" i="4" s="1"/>
  <c r="AC18" i="2"/>
  <c r="C11" i="4" s="1" a="1"/>
  <c r="C11" i="4" s="1"/>
  <c r="AE17" i="2"/>
  <c r="AD17" i="2"/>
  <c r="D10" i="4" s="1" a="1"/>
  <c r="D10" i="4" s="1"/>
  <c r="AC17" i="2"/>
  <c r="C10" i="4" s="1" a="1"/>
  <c r="AE16" i="2"/>
  <c r="AD16" i="2"/>
  <c r="D9" i="4" s="1" a="1"/>
  <c r="D9" i="4" s="1"/>
  <c r="V9" i="4" s="1"/>
  <c r="V50" i="4" s="1"/>
  <c r="AC16" i="2"/>
  <c r="C9" i="4" s="1" a="1"/>
  <c r="C9" i="4" s="1"/>
  <c r="AE15" i="2"/>
  <c r="AD15" i="2"/>
  <c r="D8" i="4" s="1" a="1"/>
  <c r="D8" i="4" s="1"/>
  <c r="AC15" i="2"/>
  <c r="C8" i="4" s="1" a="1"/>
  <c r="C8" i="4" s="1"/>
  <c r="AE14" i="2"/>
  <c r="AD14" i="2"/>
  <c r="D7" i="4" s="1" a="1"/>
  <c r="D7" i="4" s="1"/>
  <c r="AC14" i="2"/>
  <c r="AE13" i="2"/>
  <c r="AD13" i="2"/>
  <c r="D6" i="4" s="1" a="1"/>
  <c r="D6" i="4" s="1"/>
  <c r="AE6" i="4" s="1"/>
  <c r="AE47" i="4" s="1"/>
  <c r="AC13" i="2"/>
  <c r="C6" i="4" s="1" a="1"/>
  <c r="C6" i="4" s="1"/>
  <c r="X6" i="4" s="1"/>
  <c r="X47" i="4" s="1"/>
  <c r="X89" i="4" s="1"/>
  <c r="AE12" i="2"/>
  <c r="AD12" i="2"/>
  <c r="AC12" i="2"/>
  <c r="C5" i="4" s="1" a="1"/>
  <c r="C5" i="4" s="1"/>
  <c r="AE11" i="2"/>
  <c r="AD11" i="2"/>
  <c r="D4" i="4" s="1" a="1"/>
  <c r="D4" i="4" s="1"/>
  <c r="AE4" i="4" s="1"/>
  <c r="AE45" i="4" s="1"/>
  <c r="AC11" i="2"/>
  <c r="C4" i="4" s="1" a="1"/>
  <c r="C4" i="4" s="1"/>
  <c r="AE10" i="2"/>
  <c r="AD10" i="2"/>
  <c r="AC10" i="2"/>
  <c r="AE9" i="2"/>
  <c r="AD9" i="2"/>
  <c r="D3" i="4" s="1" a="1"/>
  <c r="D3" i="4" s="1"/>
  <c r="AC9" i="2"/>
  <c r="C3" i="4" s="1" a="1"/>
  <c r="C3" i="4" s="1"/>
  <c r="B1" i="2"/>
  <c r="L61" i="7" l="1"/>
  <c r="L21" i="7"/>
  <c r="N15" i="7"/>
  <c r="L5" i="7"/>
  <c r="M65" i="7"/>
  <c r="L63" i="7"/>
  <c r="N57" i="7"/>
  <c r="M56" i="7"/>
  <c r="L55" i="7"/>
  <c r="N49" i="7"/>
  <c r="O49" i="7" s="1"/>
  <c r="L47" i="7"/>
  <c r="L39" i="7"/>
  <c r="L31" i="7"/>
  <c r="L23" i="7"/>
  <c r="L15" i="7"/>
  <c r="N9" i="7"/>
  <c r="M8" i="7"/>
  <c r="L7" i="7"/>
  <c r="M50" i="7"/>
  <c r="M66" i="7"/>
  <c r="L65" i="7"/>
  <c r="N58" i="7"/>
  <c r="M57" i="7"/>
  <c r="L56" i="7"/>
  <c r="N50" i="7"/>
  <c r="M49" i="7"/>
  <c r="L48" i="7"/>
  <c r="M41" i="7"/>
  <c r="L40" i="7"/>
  <c r="M40" i="7" s="1"/>
  <c r="N40" i="7" s="1"/>
  <c r="N34" i="7"/>
  <c r="L32" i="7"/>
  <c r="M25" i="7"/>
  <c r="L24" i="7"/>
  <c r="M17" i="7"/>
  <c r="L16" i="7"/>
  <c r="M9" i="7"/>
  <c r="L8" i="7"/>
  <c r="L49" i="7"/>
  <c r="M34" i="7"/>
  <c r="M26" i="7"/>
  <c r="L25" i="7"/>
  <c r="M10" i="7"/>
  <c r="L67" i="7"/>
  <c r="L58" i="7"/>
  <c r="M51" i="7"/>
  <c r="L50" i="7"/>
  <c r="M43" i="7"/>
  <c r="L42" i="7"/>
  <c r="L34" i="7"/>
  <c r="M27" i="7"/>
  <c r="L26" i="7"/>
  <c r="M19" i="7"/>
  <c r="L18" i="7"/>
  <c r="M18" i="7" s="1"/>
  <c r="L10" i="7"/>
  <c r="L2" i="7"/>
  <c r="M2" i="7" s="1"/>
  <c r="M58" i="7"/>
  <c r="L33" i="7"/>
  <c r="N19" i="7"/>
  <c r="L17" i="7"/>
  <c r="L59" i="7"/>
  <c r="L51" i="7"/>
  <c r="L43" i="7"/>
  <c r="M36" i="7"/>
  <c r="L35" i="7"/>
  <c r="M28" i="7"/>
  <c r="L27" i="7"/>
  <c r="N21" i="7"/>
  <c r="L19" i="7"/>
  <c r="O19" i="7" s="1"/>
  <c r="L11" i="7"/>
  <c r="L3" i="7"/>
  <c r="M61" i="7"/>
  <c r="L60" i="7"/>
  <c r="L52" i="7"/>
  <c r="L44" i="7"/>
  <c r="L36" i="7"/>
  <c r="L28" i="7"/>
  <c r="M21" i="7"/>
  <c r="L20" i="7"/>
  <c r="L12" i="7"/>
  <c r="M5" i="7"/>
  <c r="L4" i="7"/>
  <c r="O15" i="7"/>
  <c r="O56" i="7"/>
  <c r="N55" i="7"/>
  <c r="L53" i="7"/>
  <c r="N47" i="7"/>
  <c r="M46" i="7"/>
  <c r="L45" i="7"/>
  <c r="L37" i="7"/>
  <c r="L29" i="7"/>
  <c r="L13" i="7"/>
  <c r="N65" i="7"/>
  <c r="O65" i="7" s="1"/>
  <c r="L62" i="7"/>
  <c r="O57" i="7"/>
  <c r="N56" i="7"/>
  <c r="M55" i="7"/>
  <c r="L54" i="7"/>
  <c r="M47" i="7"/>
  <c r="L46" i="7"/>
  <c r="M39" i="7"/>
  <c r="L38" i="7"/>
  <c r="M31" i="7"/>
  <c r="L30" i="7"/>
  <c r="M23" i="7"/>
  <c r="L22" i="7"/>
  <c r="M15" i="7"/>
  <c r="L14" i="7"/>
  <c r="O9" i="7"/>
  <c r="L6" i="7"/>
  <c r="AP13" i="5"/>
  <c r="O14" i="5"/>
  <c r="AU14" i="5"/>
  <c r="AT15" i="5"/>
  <c r="AU16" i="5"/>
  <c r="O17" i="5"/>
  <c r="O20" i="5"/>
  <c r="AJ21" i="5"/>
  <c r="O25" i="5"/>
  <c r="AM25" i="5"/>
  <c r="AL10" i="5"/>
  <c r="O19" i="5"/>
  <c r="O23" i="5"/>
  <c r="Q5" i="5"/>
  <c r="Q6" i="5" s="1"/>
  <c r="E8" i="5"/>
  <c r="W12" i="5"/>
  <c r="AX12" i="5"/>
  <c r="AM13" i="5"/>
  <c r="O15" i="5"/>
  <c r="J16" i="5"/>
  <c r="AM16" i="5"/>
  <c r="N17" i="5"/>
  <c r="AM17" i="5"/>
  <c r="S5" i="5"/>
  <c r="S6" i="5" s="1"/>
  <c r="B5" i="5"/>
  <c r="X5" i="5"/>
  <c r="X6" i="5" s="1"/>
  <c r="G8" i="5"/>
  <c r="O10" i="5"/>
  <c r="AE10" i="5"/>
  <c r="AV10" i="5"/>
  <c r="S11" i="5"/>
  <c r="B13" i="5"/>
  <c r="AU13" i="5"/>
  <c r="W14" i="5"/>
  <c r="AX14" i="5"/>
  <c r="T15" i="5"/>
  <c r="AU15" i="5"/>
  <c r="AX16" i="5"/>
  <c r="G18" i="5"/>
  <c r="AU18" i="5"/>
  <c r="AM19" i="5"/>
  <c r="R20" i="5"/>
  <c r="G21" i="5"/>
  <c r="AM23" i="5"/>
  <c r="R25" i="5"/>
  <c r="I5" i="5"/>
  <c r="I6" i="5" s="1"/>
  <c r="AE14" i="5"/>
  <c r="AE15" i="5"/>
  <c r="AU10" i="5"/>
  <c r="R11" i="5"/>
  <c r="Z12" i="5"/>
  <c r="C5" i="5"/>
  <c r="Y5" i="5"/>
  <c r="Y6" i="5" s="1"/>
  <c r="P10" i="5"/>
  <c r="AH10" i="5"/>
  <c r="AZ10" i="5"/>
  <c r="Z11" i="5"/>
  <c r="G12" i="5"/>
  <c r="AI12" i="5"/>
  <c r="W13" i="5"/>
  <c r="Z14" i="5"/>
  <c r="BA14" i="5"/>
  <c r="Z15" i="5"/>
  <c r="W16" i="5"/>
  <c r="BA16" i="5"/>
  <c r="W17" i="5"/>
  <c r="M18" i="5"/>
  <c r="AS19" i="5"/>
  <c r="U20" i="5"/>
  <c r="L21" i="5"/>
  <c r="AS21" i="5"/>
  <c r="G23" i="5"/>
  <c r="AS23" i="5"/>
  <c r="U25" i="5"/>
  <c r="AU25" i="5"/>
  <c r="AM12" i="5"/>
  <c r="G13" i="5"/>
  <c r="AE16" i="5"/>
  <c r="AE20" i="5"/>
  <c r="G17" i="5"/>
  <c r="AH17" i="5"/>
  <c r="W21" i="5"/>
  <c r="AE25" i="5"/>
  <c r="AG5" i="5"/>
  <c r="AG6" i="5" s="1"/>
  <c r="F10" i="5"/>
  <c r="W10" i="5"/>
  <c r="AM10" i="5"/>
  <c r="H11" i="5"/>
  <c r="AE13" i="5"/>
  <c r="G14" i="5"/>
  <c r="G15" i="5"/>
  <c r="L5" i="5"/>
  <c r="L6" i="5" s="1"/>
  <c r="D6" i="5"/>
  <c r="G10" i="5"/>
  <c r="Z10" i="5"/>
  <c r="J11" i="5"/>
  <c r="AU11" i="5"/>
  <c r="G16" i="5"/>
  <c r="AL16" i="5"/>
  <c r="AE18" i="5"/>
  <c r="G20" i="5"/>
  <c r="AM20" i="5"/>
  <c r="W23" i="5"/>
  <c r="AJ25" i="5"/>
  <c r="AE19" i="5"/>
  <c r="AE23" i="5"/>
  <c r="AG7" i="4"/>
  <c r="AG48" i="4" s="1"/>
  <c r="Y7" i="4"/>
  <c r="Y48" i="4" s="1"/>
  <c r="Q7" i="4"/>
  <c r="Q48" i="4" s="1"/>
  <c r="I7" i="4"/>
  <c r="I48" i="4" s="1"/>
  <c r="I90" i="4" s="1"/>
  <c r="AE7" i="4"/>
  <c r="AE48" i="4" s="1"/>
  <c r="AE90" i="4" s="1"/>
  <c r="W7" i="4"/>
  <c r="W48" i="4" s="1"/>
  <c r="W90" i="4" s="1"/>
  <c r="O7" i="4"/>
  <c r="O48" i="4" s="1"/>
  <c r="O90" i="4" s="1"/>
  <c r="G7" i="4"/>
  <c r="G48" i="4" s="1"/>
  <c r="G90" i="4" s="1"/>
  <c r="AD7" i="4"/>
  <c r="AD48" i="4" s="1"/>
  <c r="V7" i="4"/>
  <c r="V48" i="4" s="1"/>
  <c r="N7" i="4"/>
  <c r="N48" i="4" s="1"/>
  <c r="F7" i="4"/>
  <c r="F48" i="4" s="1"/>
  <c r="AC7" i="4"/>
  <c r="AC48" i="4" s="1"/>
  <c r="AC90" i="4" s="1"/>
  <c r="U7" i="4"/>
  <c r="U48" i="4" s="1"/>
  <c r="U90" i="4" s="1"/>
  <c r="M7" i="4"/>
  <c r="M48" i="4" s="1"/>
  <c r="M90" i="4" s="1"/>
  <c r="AJ7" i="4"/>
  <c r="AB7" i="4"/>
  <c r="AB48" i="4" s="1"/>
  <c r="T7" i="4"/>
  <c r="T48" i="4" s="1"/>
  <c r="L7" i="4"/>
  <c r="L48" i="4" s="1"/>
  <c r="R7" i="4"/>
  <c r="R48" i="4" s="1"/>
  <c r="R90" i="4" s="1"/>
  <c r="AI7" i="4"/>
  <c r="AI48" i="4" s="1"/>
  <c r="AI90" i="4" s="1"/>
  <c r="P7" i="4"/>
  <c r="P48" i="4" s="1"/>
  <c r="AF7" i="4"/>
  <c r="AF48" i="4" s="1"/>
  <c r="AF90" i="4" s="1"/>
  <c r="J7" i="4"/>
  <c r="J48" i="4" s="1"/>
  <c r="J90" i="4" s="1"/>
  <c r="H7" i="4"/>
  <c r="H48" i="4" s="1"/>
  <c r="AH7" i="4"/>
  <c r="AH48" i="4" s="1"/>
  <c r="AH90" i="4" s="1"/>
  <c r="K7" i="4"/>
  <c r="K48" i="4" s="1"/>
  <c r="AA7" i="4"/>
  <c r="AA48" i="4" s="1"/>
  <c r="Z7" i="4"/>
  <c r="Z48" i="4" s="1"/>
  <c r="Z90" i="4" s="1"/>
  <c r="X7" i="4"/>
  <c r="X48" i="4" s="1"/>
  <c r="X90" i="4" s="1"/>
  <c r="S7" i="4"/>
  <c r="S48" i="4" s="1"/>
  <c r="S90" i="4" s="1"/>
  <c r="AG15" i="4"/>
  <c r="AG56" i="4" s="1"/>
  <c r="Y15" i="4"/>
  <c r="Y56" i="4" s="1"/>
  <c r="Q15" i="4"/>
  <c r="Q56" i="4" s="1"/>
  <c r="I15" i="4"/>
  <c r="I56" i="4" s="1"/>
  <c r="AE15" i="4"/>
  <c r="AE56" i="4" s="1"/>
  <c r="W15" i="4"/>
  <c r="W56" i="4" s="1"/>
  <c r="O15" i="4"/>
  <c r="O56" i="4" s="1"/>
  <c r="G15" i="4"/>
  <c r="G56" i="4" s="1"/>
  <c r="AD15" i="4"/>
  <c r="AD56" i="4" s="1"/>
  <c r="V15" i="4"/>
  <c r="V56" i="4" s="1"/>
  <c r="N15" i="4"/>
  <c r="N56" i="4" s="1"/>
  <c r="F15" i="4"/>
  <c r="F56" i="4" s="1"/>
  <c r="AC15" i="4"/>
  <c r="AC56" i="4" s="1"/>
  <c r="U15" i="4"/>
  <c r="U56" i="4" s="1"/>
  <c r="M15" i="4"/>
  <c r="M56" i="4" s="1"/>
  <c r="AJ15" i="4"/>
  <c r="AB15" i="4"/>
  <c r="AB56" i="4" s="1"/>
  <c r="T15" i="4"/>
  <c r="T56" i="4" s="1"/>
  <c r="L15" i="4"/>
  <c r="L56" i="4" s="1"/>
  <c r="AA15" i="4"/>
  <c r="AA56" i="4" s="1"/>
  <c r="H15" i="4"/>
  <c r="H56" i="4" s="1"/>
  <c r="Z15" i="4"/>
  <c r="Z56" i="4" s="1"/>
  <c r="S15" i="4"/>
  <c r="S56" i="4" s="1"/>
  <c r="X15" i="4"/>
  <c r="X56" i="4" s="1"/>
  <c r="R15" i="4"/>
  <c r="R56" i="4" s="1"/>
  <c r="AI15" i="4"/>
  <c r="AI56" i="4" s="1"/>
  <c r="AH15" i="4"/>
  <c r="AH56" i="4" s="1"/>
  <c r="K15" i="4"/>
  <c r="K56" i="4" s="1"/>
  <c r="AF15" i="4"/>
  <c r="AF56" i="4" s="1"/>
  <c r="J15" i="4"/>
  <c r="J56" i="4" s="1"/>
  <c r="P15" i="4"/>
  <c r="P56" i="4" s="1"/>
  <c r="AH10" i="4"/>
  <c r="AH51" i="4" s="1"/>
  <c r="AH93" i="4" s="1"/>
  <c r="Z10" i="4"/>
  <c r="Z51" i="4" s="1"/>
  <c r="R10" i="4"/>
  <c r="R51" i="4" s="1"/>
  <c r="J10" i="4"/>
  <c r="J51" i="4" s="1"/>
  <c r="AF10" i="4"/>
  <c r="AF51" i="4" s="1"/>
  <c r="X10" i="4"/>
  <c r="X51" i="4" s="1"/>
  <c r="P10" i="4"/>
  <c r="P51" i="4" s="1"/>
  <c r="P93" i="4" s="1"/>
  <c r="H10" i="4"/>
  <c r="H51" i="4" s="1"/>
  <c r="H93" i="4" s="1"/>
  <c r="AE10" i="4"/>
  <c r="AE51" i="4" s="1"/>
  <c r="AE93" i="4" s="1"/>
  <c r="W10" i="4"/>
  <c r="W51" i="4" s="1"/>
  <c r="W93" i="4" s="1"/>
  <c r="O10" i="4"/>
  <c r="O51" i="4" s="1"/>
  <c r="G10" i="4"/>
  <c r="G51" i="4" s="1"/>
  <c r="AD10" i="4"/>
  <c r="AD51" i="4" s="1"/>
  <c r="V10" i="4"/>
  <c r="V51" i="4" s="1"/>
  <c r="N10" i="4"/>
  <c r="N51" i="4" s="1"/>
  <c r="N93" i="4" s="1"/>
  <c r="F10" i="4"/>
  <c r="F51" i="4" s="1"/>
  <c r="AC10" i="4"/>
  <c r="AC51" i="4" s="1"/>
  <c r="AC93" i="4" s="1"/>
  <c r="U10" i="4"/>
  <c r="U51" i="4" s="1"/>
  <c r="U93" i="4" s="1"/>
  <c r="M10" i="4"/>
  <c r="M51" i="4" s="1"/>
  <c r="AB10" i="4"/>
  <c r="AB51" i="4" s="1"/>
  <c r="I10" i="4"/>
  <c r="I51" i="4" s="1"/>
  <c r="AA10" i="4"/>
  <c r="AA51" i="4" s="1"/>
  <c r="T10" i="4"/>
  <c r="T51" i="4" s="1"/>
  <c r="AJ10" i="4"/>
  <c r="Y10" i="4"/>
  <c r="Y51" i="4" s="1"/>
  <c r="Y93" i="4" s="1"/>
  <c r="S10" i="4"/>
  <c r="S51" i="4" s="1"/>
  <c r="S93" i="4" s="1"/>
  <c r="Q10" i="4"/>
  <c r="Q51" i="4" s="1"/>
  <c r="AI10" i="4"/>
  <c r="AI51" i="4" s="1"/>
  <c r="L10" i="4"/>
  <c r="L51" i="4" s="1"/>
  <c r="AG10" i="4"/>
  <c r="AG51" i="4" s="1"/>
  <c r="AG93" i="4" s="1"/>
  <c r="K10" i="4"/>
  <c r="K51" i="4" s="1"/>
  <c r="K93" i="4" s="1"/>
  <c r="AJ5" i="4"/>
  <c r="AJ8" i="4"/>
  <c r="AB8" i="4"/>
  <c r="AB49" i="4" s="1"/>
  <c r="AB91" i="4" s="1"/>
  <c r="T8" i="4"/>
  <c r="T49" i="4" s="1"/>
  <c r="L8" i="4"/>
  <c r="L49" i="4" s="1"/>
  <c r="AH8" i="4"/>
  <c r="AH49" i="4" s="1"/>
  <c r="Z8" i="4"/>
  <c r="Z49" i="4" s="1"/>
  <c r="R8" i="4"/>
  <c r="R49" i="4" s="1"/>
  <c r="R91" i="4" s="1"/>
  <c r="J8" i="4"/>
  <c r="J49" i="4" s="1"/>
  <c r="J91" i="4" s="1"/>
  <c r="AG8" i="4"/>
  <c r="AG49" i="4" s="1"/>
  <c r="AG91" i="4" s="1"/>
  <c r="Y8" i="4"/>
  <c r="Y49" i="4" s="1"/>
  <c r="Y91" i="4" s="1"/>
  <c r="Q8" i="4"/>
  <c r="Q49" i="4" s="1"/>
  <c r="I8" i="4"/>
  <c r="I49" i="4" s="1"/>
  <c r="AF8" i="4"/>
  <c r="AF49" i="4" s="1"/>
  <c r="X8" i="4"/>
  <c r="X49" i="4" s="1"/>
  <c r="P8" i="4"/>
  <c r="P49" i="4" s="1"/>
  <c r="P91" i="4" s="1"/>
  <c r="H8" i="4"/>
  <c r="H49" i="4" s="1"/>
  <c r="H91" i="4" s="1"/>
  <c r="AE8" i="4"/>
  <c r="AE49" i="4" s="1"/>
  <c r="AE91" i="4" s="1"/>
  <c r="W8" i="4"/>
  <c r="W49" i="4" s="1"/>
  <c r="W91" i="4" s="1"/>
  <c r="O8" i="4"/>
  <c r="O49" i="4" s="1"/>
  <c r="G8" i="4"/>
  <c r="G49" i="4" s="1"/>
  <c r="V8" i="4"/>
  <c r="V49" i="4" s="1"/>
  <c r="U8" i="4"/>
  <c r="U49" i="4" s="1"/>
  <c r="U91" i="4" s="1"/>
  <c r="N8" i="4"/>
  <c r="N49" i="4" s="1"/>
  <c r="N91" i="4" s="1"/>
  <c r="AI8" i="4"/>
  <c r="AI49" i="4" s="1"/>
  <c r="AI91" i="4" s="1"/>
  <c r="K8" i="4"/>
  <c r="K49" i="4" s="1"/>
  <c r="K91" i="4" s="1"/>
  <c r="S8" i="4"/>
  <c r="S49" i="4" s="1"/>
  <c r="S91" i="4" s="1"/>
  <c r="M8" i="4"/>
  <c r="M49" i="4" s="1"/>
  <c r="M91" i="4" s="1"/>
  <c r="AD8" i="4"/>
  <c r="AD49" i="4" s="1"/>
  <c r="AD91" i="4" s="1"/>
  <c r="AC8" i="4"/>
  <c r="AC49" i="4" s="1"/>
  <c r="F8" i="4"/>
  <c r="F49" i="4" s="1"/>
  <c r="AA8" i="4"/>
  <c r="AA49" i="4" s="1"/>
  <c r="AA91" i="4" s="1"/>
  <c r="AJ16" i="4"/>
  <c r="AB16" i="4"/>
  <c r="AB57" i="4" s="1"/>
  <c r="T16" i="4"/>
  <c r="T57" i="4" s="1"/>
  <c r="L16" i="4"/>
  <c r="L57" i="4" s="1"/>
  <c r="AH16" i="4"/>
  <c r="AH57" i="4" s="1"/>
  <c r="Z16" i="4"/>
  <c r="Z57" i="4" s="1"/>
  <c r="R16" i="4"/>
  <c r="R57" i="4" s="1"/>
  <c r="J16" i="4"/>
  <c r="J57" i="4" s="1"/>
  <c r="AG16" i="4"/>
  <c r="AG57" i="4" s="1"/>
  <c r="Y16" i="4"/>
  <c r="Y57" i="4" s="1"/>
  <c r="Q16" i="4"/>
  <c r="Q57" i="4" s="1"/>
  <c r="I16" i="4"/>
  <c r="I57" i="4" s="1"/>
  <c r="AF16" i="4"/>
  <c r="AF57" i="4" s="1"/>
  <c r="X16" i="4"/>
  <c r="X57" i="4" s="1"/>
  <c r="P16" i="4"/>
  <c r="P57" i="4" s="1"/>
  <c r="H16" i="4"/>
  <c r="H57" i="4" s="1"/>
  <c r="AE16" i="4"/>
  <c r="AE57" i="4" s="1"/>
  <c r="W16" i="4"/>
  <c r="W57" i="4" s="1"/>
  <c r="O16" i="4"/>
  <c r="O57" i="4" s="1"/>
  <c r="G16" i="4"/>
  <c r="G57" i="4" s="1"/>
  <c r="AI16" i="4"/>
  <c r="AI57" i="4" s="1"/>
  <c r="M16" i="4"/>
  <c r="M57" i="4" s="1"/>
  <c r="AD16" i="4"/>
  <c r="AD57" i="4" s="1"/>
  <c r="K16" i="4"/>
  <c r="K57" i="4" s="1"/>
  <c r="AA16" i="4"/>
  <c r="AA57" i="4" s="1"/>
  <c r="V16" i="4"/>
  <c r="V57" i="4" s="1"/>
  <c r="AC16" i="4"/>
  <c r="AC57" i="4" s="1"/>
  <c r="F16" i="4"/>
  <c r="F57" i="4" s="1"/>
  <c r="S16" i="4"/>
  <c r="S57" i="4" s="1"/>
  <c r="N16" i="4"/>
  <c r="N57" i="4" s="1"/>
  <c r="U16" i="4"/>
  <c r="U57" i="4" s="1"/>
  <c r="R31" i="4"/>
  <c r="R72" i="4" s="1"/>
  <c r="J31" i="4"/>
  <c r="J72" i="4" s="1"/>
  <c r="AC3" i="4"/>
  <c r="AC44" i="4" s="1"/>
  <c r="AC85" i="4" s="1"/>
  <c r="U3" i="4"/>
  <c r="U44" i="4" s="1"/>
  <c r="U85" i="4" s="1"/>
  <c r="M3" i="4"/>
  <c r="M44" i="4" s="1"/>
  <c r="AI3" i="4"/>
  <c r="AI44" i="4" s="1"/>
  <c r="AA3" i="4"/>
  <c r="AA44" i="4" s="1"/>
  <c r="S3" i="4"/>
  <c r="S44" i="4" s="1"/>
  <c r="K3" i="4"/>
  <c r="K44" i="4" s="1"/>
  <c r="K85" i="4" s="1"/>
  <c r="AH3" i="4"/>
  <c r="AH44" i="4" s="1"/>
  <c r="AH85" i="4" s="1"/>
  <c r="Z3" i="4"/>
  <c r="Z44" i="4" s="1"/>
  <c r="Z85" i="4" s="1"/>
  <c r="R3" i="4"/>
  <c r="R44" i="4" s="1"/>
  <c r="R85" i="4" s="1"/>
  <c r="J3" i="4"/>
  <c r="J44" i="4" s="1"/>
  <c r="AG3" i="4"/>
  <c r="AG44" i="4" s="1"/>
  <c r="Y3" i="4"/>
  <c r="Y44" i="4" s="1"/>
  <c r="Q3" i="4"/>
  <c r="Q44" i="4" s="1"/>
  <c r="I3" i="4"/>
  <c r="I44" i="4" s="1"/>
  <c r="I85" i="4" s="1"/>
  <c r="AF3" i="4"/>
  <c r="AF44" i="4" s="1"/>
  <c r="X3" i="4"/>
  <c r="X44" i="4" s="1"/>
  <c r="X85" i="4" s="1"/>
  <c r="P3" i="4"/>
  <c r="P44" i="4" s="1"/>
  <c r="H3" i="4"/>
  <c r="H44" i="4" s="1"/>
  <c r="V3" i="4"/>
  <c r="V44" i="4" s="1"/>
  <c r="T3" i="4"/>
  <c r="T44" i="4" s="1"/>
  <c r="AJ3" i="4"/>
  <c r="N3" i="4"/>
  <c r="N44" i="4" s="1"/>
  <c r="N85" i="4" s="1"/>
  <c r="AD3" i="4"/>
  <c r="AD44" i="4" s="1"/>
  <c r="O3" i="4"/>
  <c r="O44" i="4" s="1"/>
  <c r="O85" i="4" s="1"/>
  <c r="AE3" i="4"/>
  <c r="AE44" i="4" s="1"/>
  <c r="AE85" i="4" s="1"/>
  <c r="AB3" i="4"/>
  <c r="AB44" i="4" s="1"/>
  <c r="AB85" i="4" s="1"/>
  <c r="F3" i="4"/>
  <c r="F44" i="4" s="1"/>
  <c r="W3" i="4"/>
  <c r="W44" i="4" s="1"/>
  <c r="W85" i="4" s="1"/>
  <c r="L3" i="4"/>
  <c r="L44" i="4" s="1"/>
  <c r="G3" i="4"/>
  <c r="G44" i="4" s="1"/>
  <c r="G85" i="4" s="1"/>
  <c r="AC11" i="4"/>
  <c r="AC52" i="4" s="1"/>
  <c r="U11" i="4"/>
  <c r="U52" i="4" s="1"/>
  <c r="U94" i="4" s="1"/>
  <c r="M11" i="4"/>
  <c r="M52" i="4" s="1"/>
  <c r="M94" i="4" s="1"/>
  <c r="AI11" i="4"/>
  <c r="AI52" i="4" s="1"/>
  <c r="AA11" i="4"/>
  <c r="AA52" i="4" s="1"/>
  <c r="S11" i="4"/>
  <c r="S52" i="4" s="1"/>
  <c r="K11" i="4"/>
  <c r="K52" i="4" s="1"/>
  <c r="K94" i="4" s="1"/>
  <c r="AH11" i="4"/>
  <c r="AH52" i="4" s="1"/>
  <c r="AH94" i="4" s="1"/>
  <c r="Z11" i="4"/>
  <c r="Z52" i="4" s="1"/>
  <c r="Z94" i="4" s="1"/>
  <c r="R11" i="4"/>
  <c r="R52" i="4" s="1"/>
  <c r="R94" i="4" s="1"/>
  <c r="J11" i="4"/>
  <c r="J52" i="4" s="1"/>
  <c r="AG11" i="4"/>
  <c r="AG52" i="4" s="1"/>
  <c r="Y11" i="4"/>
  <c r="Y52" i="4" s="1"/>
  <c r="Q11" i="4"/>
  <c r="Q52" i="4" s="1"/>
  <c r="I11" i="4"/>
  <c r="I52" i="4" s="1"/>
  <c r="I94" i="4" s="1"/>
  <c r="AF11" i="4"/>
  <c r="AF52" i="4" s="1"/>
  <c r="AF94" i="4" s="1"/>
  <c r="X11" i="4"/>
  <c r="X52" i="4" s="1"/>
  <c r="X94" i="4" s="1"/>
  <c r="P11" i="4"/>
  <c r="P52" i="4" s="1"/>
  <c r="P94" i="4" s="1"/>
  <c r="H11" i="4"/>
  <c r="H52" i="4" s="1"/>
  <c r="AE11" i="4"/>
  <c r="AE52" i="4" s="1"/>
  <c r="L11" i="4"/>
  <c r="L52" i="4" s="1"/>
  <c r="AD11" i="4"/>
  <c r="AD52" i="4" s="1"/>
  <c r="G11" i="4"/>
  <c r="G52" i="4" s="1"/>
  <c r="W11" i="4"/>
  <c r="W52" i="4" s="1"/>
  <c r="W94" i="4" s="1"/>
  <c r="AB11" i="4"/>
  <c r="AB52" i="4" s="1"/>
  <c r="AB94" i="4" s="1"/>
  <c r="F11" i="4"/>
  <c r="F52" i="4" s="1"/>
  <c r="V11" i="4"/>
  <c r="V52" i="4" s="1"/>
  <c r="T11" i="4"/>
  <c r="T52" i="4" s="1"/>
  <c r="O11" i="4"/>
  <c r="O52" i="4" s="1"/>
  <c r="AJ11" i="4"/>
  <c r="N11" i="4"/>
  <c r="N52" i="4" s="1"/>
  <c r="N94" i="4" s="1"/>
  <c r="O64" i="4"/>
  <c r="Z31" i="4"/>
  <c r="Z72" i="4" s="1"/>
  <c r="Z117" i="4" s="1"/>
  <c r="R95" i="4"/>
  <c r="AH23" i="4"/>
  <c r="Z23" i="4"/>
  <c r="AJ79" i="4"/>
  <c r="AL38" i="4"/>
  <c r="AH18" i="4"/>
  <c r="Z18" i="4"/>
  <c r="R18" i="4"/>
  <c r="J18" i="4"/>
  <c r="AG18" i="4"/>
  <c r="Y18" i="4"/>
  <c r="AF18" i="4"/>
  <c r="X18" i="4"/>
  <c r="P18" i="4"/>
  <c r="H18" i="4"/>
  <c r="AE18" i="4"/>
  <c r="W18" i="4"/>
  <c r="O18" i="4"/>
  <c r="G18" i="4"/>
  <c r="AD18" i="4"/>
  <c r="V18" i="4"/>
  <c r="V58" i="4" s="1"/>
  <c r="N18" i="4"/>
  <c r="F18" i="4"/>
  <c r="AC18" i="4"/>
  <c r="U18" i="4"/>
  <c r="M18" i="4"/>
  <c r="AJ18" i="4"/>
  <c r="AL18" i="4" s="1"/>
  <c r="AB18" i="4"/>
  <c r="T18" i="4"/>
  <c r="L18" i="4"/>
  <c r="AI18" i="4"/>
  <c r="AA18" i="4"/>
  <c r="Q18" i="4"/>
  <c r="K18" i="4"/>
  <c r="S18" i="4"/>
  <c r="I18" i="4"/>
  <c r="AH26" i="4"/>
  <c r="AH67" i="4" s="1"/>
  <c r="Z26" i="4"/>
  <c r="Z67" i="4" s="1"/>
  <c r="Z112" i="4" s="1"/>
  <c r="R26" i="4"/>
  <c r="R67" i="4" s="1"/>
  <c r="R112" i="4" s="1"/>
  <c r="J26" i="4"/>
  <c r="J67" i="4" s="1"/>
  <c r="J112" i="4" s="1"/>
  <c r="AG26" i="4"/>
  <c r="AG67" i="4" s="1"/>
  <c r="AG112" i="4" s="1"/>
  <c r="Y26" i="4"/>
  <c r="Y67" i="4" s="1"/>
  <c r="Q26" i="4"/>
  <c r="Q67" i="4" s="1"/>
  <c r="I26" i="4"/>
  <c r="I67" i="4" s="1"/>
  <c r="AF26" i="4"/>
  <c r="AF67" i="4" s="1"/>
  <c r="X26" i="4"/>
  <c r="X67" i="4" s="1"/>
  <c r="X112" i="4" s="1"/>
  <c r="P26" i="4"/>
  <c r="P67" i="4" s="1"/>
  <c r="P112" i="4" s="1"/>
  <c r="H26" i="4"/>
  <c r="H67" i="4" s="1"/>
  <c r="H112" i="4" s="1"/>
  <c r="AE26" i="4"/>
  <c r="AE67" i="4" s="1"/>
  <c r="AE112" i="4" s="1"/>
  <c r="W26" i="4"/>
  <c r="W67" i="4" s="1"/>
  <c r="O26" i="4"/>
  <c r="O67" i="4" s="1"/>
  <c r="G26" i="4"/>
  <c r="G67" i="4" s="1"/>
  <c r="AD26" i="4"/>
  <c r="AD67" i="4" s="1"/>
  <c r="V26" i="4"/>
  <c r="V67" i="4" s="1"/>
  <c r="V112" i="4" s="1"/>
  <c r="N26" i="4"/>
  <c r="N67" i="4" s="1"/>
  <c r="N112" i="4" s="1"/>
  <c r="F26" i="4"/>
  <c r="F67" i="4" s="1"/>
  <c r="AC26" i="4"/>
  <c r="AC67" i="4" s="1"/>
  <c r="AC112" i="4" s="1"/>
  <c r="U26" i="4"/>
  <c r="U67" i="4" s="1"/>
  <c r="M26" i="4"/>
  <c r="M67" i="4" s="1"/>
  <c r="AJ26" i="4"/>
  <c r="AB26" i="4"/>
  <c r="AB67" i="4" s="1"/>
  <c r="T26" i="4"/>
  <c r="T67" i="4" s="1"/>
  <c r="T112" i="4" s="1"/>
  <c r="L26" i="4"/>
  <c r="L67" i="4" s="1"/>
  <c r="L112" i="4" s="1"/>
  <c r="AI26" i="4"/>
  <c r="AI67" i="4" s="1"/>
  <c r="AI112" i="4" s="1"/>
  <c r="AA26" i="4"/>
  <c r="AA67" i="4" s="1"/>
  <c r="AA112" i="4" s="1"/>
  <c r="S26" i="4"/>
  <c r="S67" i="4" s="1"/>
  <c r="K26" i="4"/>
  <c r="K67" i="4" s="1"/>
  <c r="AI13" i="4"/>
  <c r="AI54" i="4" s="1"/>
  <c r="AA13" i="4"/>
  <c r="AA54" i="4" s="1"/>
  <c r="S13" i="4"/>
  <c r="S54" i="4" s="1"/>
  <c r="K13" i="4"/>
  <c r="K54" i="4" s="1"/>
  <c r="K96" i="4" s="1"/>
  <c r="AG13" i="4"/>
  <c r="AG54" i="4" s="1"/>
  <c r="AG96" i="4" s="1"/>
  <c r="Y13" i="4"/>
  <c r="Y54" i="4" s="1"/>
  <c r="Y96" i="4" s="1"/>
  <c r="Q13" i="4"/>
  <c r="Q54" i="4" s="1"/>
  <c r="I13" i="4"/>
  <c r="I54" i="4" s="1"/>
  <c r="AF13" i="4"/>
  <c r="AF54" i="4" s="1"/>
  <c r="X13" i="4"/>
  <c r="X54" i="4" s="1"/>
  <c r="P13" i="4"/>
  <c r="P54" i="4" s="1"/>
  <c r="P96" i="4" s="1"/>
  <c r="H13" i="4"/>
  <c r="H54" i="4" s="1"/>
  <c r="H96" i="4" s="1"/>
  <c r="AE13" i="4"/>
  <c r="AE54" i="4" s="1"/>
  <c r="AE96" i="4" s="1"/>
  <c r="W13" i="4"/>
  <c r="W54" i="4" s="1"/>
  <c r="W96" i="4" s="1"/>
  <c r="O13" i="4"/>
  <c r="O54" i="4" s="1"/>
  <c r="G13" i="4"/>
  <c r="G54" i="4" s="1"/>
  <c r="AD13" i="4"/>
  <c r="AD54" i="4" s="1"/>
  <c r="V13" i="4"/>
  <c r="V54" i="4" s="1"/>
  <c r="N13" i="4"/>
  <c r="N54" i="4" s="1"/>
  <c r="N96" i="4" s="1"/>
  <c r="F13" i="4"/>
  <c r="F54" i="4" s="1"/>
  <c r="T13" i="4"/>
  <c r="T54" i="4" s="1"/>
  <c r="T96" i="4" s="1"/>
  <c r="R13" i="4"/>
  <c r="R54" i="4" s="1"/>
  <c r="R96" i="4" s="1"/>
  <c r="AH13" i="4"/>
  <c r="AH54" i="4" s="1"/>
  <c r="L13" i="4"/>
  <c r="L54" i="4" s="1"/>
  <c r="AC13" i="4"/>
  <c r="AC54" i="4" s="1"/>
  <c r="J13" i="4"/>
  <c r="J54" i="4" s="1"/>
  <c r="J96" i="4" s="1"/>
  <c r="AJ13" i="4"/>
  <c r="M13" i="4"/>
  <c r="M54" i="4" s="1"/>
  <c r="M96" i="4" s="1"/>
  <c r="Z13" i="4"/>
  <c r="Z54" i="4" s="1"/>
  <c r="Z96" i="4" s="1"/>
  <c r="U13" i="4"/>
  <c r="U54" i="4" s="1"/>
  <c r="AB13" i="4"/>
  <c r="AB54" i="4" s="1"/>
  <c r="Q9" i="4"/>
  <c r="Q50" i="4" s="1"/>
  <c r="P9" i="4"/>
  <c r="P50" i="4" s="1"/>
  <c r="AG9" i="4"/>
  <c r="AG50" i="4" s="1"/>
  <c r="N9" i="4"/>
  <c r="N50" i="4" s="1"/>
  <c r="AD9" i="4"/>
  <c r="AD50" i="4" s="1"/>
  <c r="AD92" i="4" s="1"/>
  <c r="H9" i="4"/>
  <c r="H50" i="4" s="1"/>
  <c r="H92" i="4" s="1"/>
  <c r="AD17" i="4"/>
  <c r="H17" i="4"/>
  <c r="Y17" i="4"/>
  <c r="F17" i="4"/>
  <c r="F58" i="4" s="1"/>
  <c r="Q17" i="4"/>
  <c r="X17" i="4"/>
  <c r="X58" i="4" s="1"/>
  <c r="X111" i="4"/>
  <c r="AH34" i="4"/>
  <c r="AH75" i="4" s="1"/>
  <c r="Z34" i="4"/>
  <c r="Z75" i="4" s="1"/>
  <c r="R34" i="4"/>
  <c r="R75" i="4" s="1"/>
  <c r="J34" i="4"/>
  <c r="J75" i="4" s="1"/>
  <c r="AG34" i="4"/>
  <c r="AG75" i="4" s="1"/>
  <c r="AG120" i="4" s="1"/>
  <c r="Y34" i="4"/>
  <c r="Y75" i="4" s="1"/>
  <c r="Y120" i="4" s="1"/>
  <c r="Q34" i="4"/>
  <c r="Q75" i="4" s="1"/>
  <c r="Q120" i="4" s="1"/>
  <c r="I34" i="4"/>
  <c r="I75" i="4" s="1"/>
  <c r="I120" i="4" s="1"/>
  <c r="AF34" i="4"/>
  <c r="AF75" i="4" s="1"/>
  <c r="X34" i="4"/>
  <c r="X75" i="4" s="1"/>
  <c r="P34" i="4"/>
  <c r="P75" i="4" s="1"/>
  <c r="H34" i="4"/>
  <c r="H75" i="4" s="1"/>
  <c r="AE34" i="4"/>
  <c r="AE75" i="4" s="1"/>
  <c r="AE120" i="4" s="1"/>
  <c r="W34" i="4"/>
  <c r="W75" i="4" s="1"/>
  <c r="W120" i="4" s="1"/>
  <c r="O34" i="4"/>
  <c r="O75" i="4" s="1"/>
  <c r="O120" i="4" s="1"/>
  <c r="G34" i="4"/>
  <c r="G75" i="4" s="1"/>
  <c r="G120" i="4" s="1"/>
  <c r="AD34" i="4"/>
  <c r="AD75" i="4" s="1"/>
  <c r="V34" i="4"/>
  <c r="V75" i="4" s="1"/>
  <c r="N34" i="4"/>
  <c r="N75" i="4" s="1"/>
  <c r="F34" i="4"/>
  <c r="F75" i="4" s="1"/>
  <c r="AC34" i="4"/>
  <c r="AC75" i="4" s="1"/>
  <c r="AC120" i="4" s="1"/>
  <c r="U34" i="4"/>
  <c r="U75" i="4" s="1"/>
  <c r="U120" i="4" s="1"/>
  <c r="M34" i="4"/>
  <c r="M75" i="4" s="1"/>
  <c r="M120" i="4" s="1"/>
  <c r="AJ34" i="4"/>
  <c r="AB34" i="4"/>
  <c r="AB75" i="4" s="1"/>
  <c r="T34" i="4"/>
  <c r="T75" i="4" s="1"/>
  <c r="L34" i="4"/>
  <c r="L75" i="4" s="1"/>
  <c r="AI34" i="4"/>
  <c r="AI75" i="4" s="1"/>
  <c r="AI120" i="4" s="1"/>
  <c r="K34" i="4"/>
  <c r="K75" i="4" s="1"/>
  <c r="K120" i="4" s="1"/>
  <c r="AA34" i="4"/>
  <c r="AA75" i="4" s="1"/>
  <c r="AA120" i="4" s="1"/>
  <c r="S34" i="4"/>
  <c r="S75" i="4" s="1"/>
  <c r="S120" i="4" s="1"/>
  <c r="Z12" i="4"/>
  <c r="Z53" i="4" s="1"/>
  <c r="Z95" i="4" s="1"/>
  <c r="G12" i="4"/>
  <c r="G53" i="4" s="1"/>
  <c r="Y12" i="4"/>
  <c r="Y53" i="4" s="1"/>
  <c r="AE12" i="4"/>
  <c r="AE53" i="4" s="1"/>
  <c r="I12" i="4"/>
  <c r="I53" i="4" s="1"/>
  <c r="W12" i="4"/>
  <c r="W53" i="4" s="1"/>
  <c r="W95" i="4" s="1"/>
  <c r="Q12" i="4"/>
  <c r="Q53" i="4" s="1"/>
  <c r="AF28" i="4"/>
  <c r="AF69" i="4" s="1"/>
  <c r="AF114" i="4" s="1"/>
  <c r="X28" i="4"/>
  <c r="X69" i="4" s="1"/>
  <c r="P28" i="4"/>
  <c r="P69" i="4" s="1"/>
  <c r="H28" i="4"/>
  <c r="H69" i="4" s="1"/>
  <c r="AE28" i="4"/>
  <c r="AE69" i="4" s="1"/>
  <c r="W28" i="4"/>
  <c r="W69" i="4" s="1"/>
  <c r="W114" i="4" s="1"/>
  <c r="O28" i="4"/>
  <c r="O69" i="4" s="1"/>
  <c r="O114" i="4" s="1"/>
  <c r="G28" i="4"/>
  <c r="G69" i="4" s="1"/>
  <c r="G114" i="4" s="1"/>
  <c r="AD28" i="4"/>
  <c r="AD69" i="4" s="1"/>
  <c r="AD114" i="4" s="1"/>
  <c r="V28" i="4"/>
  <c r="V69" i="4" s="1"/>
  <c r="N28" i="4"/>
  <c r="N69" i="4" s="1"/>
  <c r="F28" i="4"/>
  <c r="F69" i="4" s="1"/>
  <c r="AC28" i="4"/>
  <c r="AC69" i="4" s="1"/>
  <c r="U28" i="4"/>
  <c r="U69" i="4" s="1"/>
  <c r="U114" i="4" s="1"/>
  <c r="M28" i="4"/>
  <c r="M69" i="4" s="1"/>
  <c r="M114" i="4" s="1"/>
  <c r="AJ28" i="4"/>
  <c r="AB28" i="4"/>
  <c r="AB69" i="4" s="1"/>
  <c r="AB114" i="4" s="1"/>
  <c r="T28" i="4"/>
  <c r="T69" i="4" s="1"/>
  <c r="L28" i="4"/>
  <c r="L69" i="4" s="1"/>
  <c r="AI28" i="4"/>
  <c r="AI69" i="4" s="1"/>
  <c r="AA28" i="4"/>
  <c r="AA69" i="4" s="1"/>
  <c r="S28" i="4"/>
  <c r="S69" i="4" s="1"/>
  <c r="S114" i="4" s="1"/>
  <c r="K28" i="4"/>
  <c r="K69" i="4" s="1"/>
  <c r="K114" i="4" s="1"/>
  <c r="AH28" i="4"/>
  <c r="AH69" i="4" s="1"/>
  <c r="AH114" i="4" s="1"/>
  <c r="Z28" i="4"/>
  <c r="Z69" i="4" s="1"/>
  <c r="Z114" i="4" s="1"/>
  <c r="R28" i="4"/>
  <c r="R69" i="4" s="1"/>
  <c r="J28" i="4"/>
  <c r="J69" i="4" s="1"/>
  <c r="Y28" i="4"/>
  <c r="Y69" i="4" s="1"/>
  <c r="Q28" i="4"/>
  <c r="Q69" i="4" s="1"/>
  <c r="Q114" i="4" s="1"/>
  <c r="AG28" i="4"/>
  <c r="AG69" i="4" s="1"/>
  <c r="I28" i="4"/>
  <c r="I69" i="4" s="1"/>
  <c r="I114" i="4" s="1"/>
  <c r="U5" i="4"/>
  <c r="U46" i="4" s="1"/>
  <c r="U88" i="4" s="1"/>
  <c r="T5" i="4"/>
  <c r="T46" i="4" s="1"/>
  <c r="AH5" i="4"/>
  <c r="AH46" i="4" s="1"/>
  <c r="L5" i="4"/>
  <c r="L46" i="4" s="1"/>
  <c r="R5" i="4"/>
  <c r="R46" i="4" s="1"/>
  <c r="AF119" i="4"/>
  <c r="AL21" i="4"/>
  <c r="Q4" i="4"/>
  <c r="Q45" i="4" s="1"/>
  <c r="Q86" i="4" s="1"/>
  <c r="AG4" i="4"/>
  <c r="AG45" i="4" s="1"/>
  <c r="R4" i="4"/>
  <c r="R45" i="4" s="1"/>
  <c r="AH4" i="4"/>
  <c r="AH45" i="4" s="1"/>
  <c r="O4" i="4"/>
  <c r="O45" i="4" s="1"/>
  <c r="Z4" i="4"/>
  <c r="Z45" i="4" s="1"/>
  <c r="Z86" i="4" s="1"/>
  <c r="G4" i="4"/>
  <c r="G45" i="4" s="1"/>
  <c r="G86" i="4" s="1"/>
  <c r="J4" i="4"/>
  <c r="J45" i="4" s="1"/>
  <c r="J86" i="4" s="1"/>
  <c r="V92" i="4"/>
  <c r="Q20" i="4"/>
  <c r="AG20" i="4"/>
  <c r="AI29" i="4"/>
  <c r="AI70" i="4" s="1"/>
  <c r="AA29" i="4"/>
  <c r="AA70" i="4" s="1"/>
  <c r="AA115" i="4" s="1"/>
  <c r="S29" i="4"/>
  <c r="S70" i="4" s="1"/>
  <c r="S115" i="4" s="1"/>
  <c r="K29" i="4"/>
  <c r="K70" i="4" s="1"/>
  <c r="K115" i="4" s="1"/>
  <c r="AH29" i="4"/>
  <c r="AH70" i="4" s="1"/>
  <c r="AH115" i="4" s="1"/>
  <c r="Z29" i="4"/>
  <c r="Z70" i="4" s="1"/>
  <c r="R29" i="4"/>
  <c r="R70" i="4" s="1"/>
  <c r="J29" i="4"/>
  <c r="J70" i="4" s="1"/>
  <c r="AG29" i="4"/>
  <c r="AG70" i="4" s="1"/>
  <c r="Y29" i="4"/>
  <c r="Y70" i="4" s="1"/>
  <c r="Y115" i="4" s="1"/>
  <c r="Q29" i="4"/>
  <c r="Q70" i="4" s="1"/>
  <c r="Q115" i="4" s="1"/>
  <c r="I29" i="4"/>
  <c r="I70" i="4" s="1"/>
  <c r="I115" i="4" s="1"/>
  <c r="AF29" i="4"/>
  <c r="AF70" i="4" s="1"/>
  <c r="AF115" i="4" s="1"/>
  <c r="X29" i="4"/>
  <c r="X70" i="4" s="1"/>
  <c r="P29" i="4"/>
  <c r="P70" i="4" s="1"/>
  <c r="H29" i="4"/>
  <c r="H70" i="4" s="1"/>
  <c r="AE29" i="4"/>
  <c r="AE70" i="4" s="1"/>
  <c r="W29" i="4"/>
  <c r="W70" i="4" s="1"/>
  <c r="W115" i="4" s="1"/>
  <c r="O29" i="4"/>
  <c r="O70" i="4" s="1"/>
  <c r="O115" i="4" s="1"/>
  <c r="G29" i="4"/>
  <c r="G70" i="4" s="1"/>
  <c r="G115" i="4" s="1"/>
  <c r="AD29" i="4"/>
  <c r="AD70" i="4" s="1"/>
  <c r="AD115" i="4" s="1"/>
  <c r="V29" i="4"/>
  <c r="V70" i="4" s="1"/>
  <c r="N29" i="4"/>
  <c r="N70" i="4" s="1"/>
  <c r="F29" i="4"/>
  <c r="F70" i="4" s="1"/>
  <c r="AC29" i="4"/>
  <c r="AC70" i="4" s="1"/>
  <c r="U29" i="4"/>
  <c r="U70" i="4" s="1"/>
  <c r="U115" i="4" s="1"/>
  <c r="M29" i="4"/>
  <c r="M70" i="4" s="1"/>
  <c r="M115" i="4" s="1"/>
  <c r="AJ29" i="4"/>
  <c r="AB29" i="4"/>
  <c r="AB70" i="4" s="1"/>
  <c r="AB115" i="4" s="1"/>
  <c r="T29" i="4"/>
  <c r="T70" i="4" s="1"/>
  <c r="L29" i="4"/>
  <c r="L70" i="4" s="1"/>
  <c r="AC36" i="4"/>
  <c r="AC77" i="4" s="1"/>
  <c r="AC122" i="4" s="1"/>
  <c r="U36" i="4"/>
  <c r="U77" i="4" s="1"/>
  <c r="M36" i="4"/>
  <c r="M77" i="4" s="1"/>
  <c r="M122" i="4" s="1"/>
  <c r="AF36" i="4"/>
  <c r="AF77" i="4" s="1"/>
  <c r="W36" i="4"/>
  <c r="W77" i="4" s="1"/>
  <c r="N36" i="4"/>
  <c r="N77" i="4" s="1"/>
  <c r="AE36" i="4"/>
  <c r="AE77" i="4" s="1"/>
  <c r="V36" i="4"/>
  <c r="V77" i="4" s="1"/>
  <c r="L36" i="4"/>
  <c r="L77" i="4" s="1"/>
  <c r="L122" i="4" s="1"/>
  <c r="AD36" i="4"/>
  <c r="AD77" i="4" s="1"/>
  <c r="AD122" i="4" s="1"/>
  <c r="T36" i="4"/>
  <c r="T77" i="4" s="1"/>
  <c r="T122" i="4" s="1"/>
  <c r="K36" i="4"/>
  <c r="K77" i="4" s="1"/>
  <c r="AB36" i="4"/>
  <c r="AB77" i="4" s="1"/>
  <c r="S36" i="4"/>
  <c r="S77" i="4" s="1"/>
  <c r="J36" i="4"/>
  <c r="J77" i="4" s="1"/>
  <c r="AJ36" i="4"/>
  <c r="AA36" i="4"/>
  <c r="AA77" i="4" s="1"/>
  <c r="AA122" i="4" s="1"/>
  <c r="R36" i="4"/>
  <c r="R77" i="4" s="1"/>
  <c r="R122" i="4" s="1"/>
  <c r="I36" i="4"/>
  <c r="I77" i="4" s="1"/>
  <c r="I122" i="4" s="1"/>
  <c r="AI36" i="4"/>
  <c r="AI77" i="4" s="1"/>
  <c r="Z36" i="4"/>
  <c r="Z77" i="4" s="1"/>
  <c r="Q36" i="4"/>
  <c r="Q77" i="4" s="1"/>
  <c r="H36" i="4"/>
  <c r="H77" i="4" s="1"/>
  <c r="AH36" i="4"/>
  <c r="AH77" i="4" s="1"/>
  <c r="Y36" i="4"/>
  <c r="Y77" i="4" s="1"/>
  <c r="Y122" i="4" s="1"/>
  <c r="P36" i="4"/>
  <c r="P77" i="4" s="1"/>
  <c r="G36" i="4"/>
  <c r="G77" i="4" s="1"/>
  <c r="G122" i="4" s="1"/>
  <c r="AG23" i="4"/>
  <c r="Y23" i="4"/>
  <c r="Q23" i="4"/>
  <c r="I23" i="4"/>
  <c r="AF23" i="4"/>
  <c r="AF64" i="4" s="1"/>
  <c r="AF108" i="4" s="1"/>
  <c r="X23" i="4"/>
  <c r="P23" i="4"/>
  <c r="H23" i="4"/>
  <c r="AE23" i="4"/>
  <c r="AE64" i="4" s="1"/>
  <c r="AE108" i="4" s="1"/>
  <c r="W23" i="4"/>
  <c r="O23" i="4"/>
  <c r="G23" i="4"/>
  <c r="AD23" i="4"/>
  <c r="V23" i="4"/>
  <c r="N23" i="4"/>
  <c r="F23" i="4"/>
  <c r="AC23" i="4"/>
  <c r="U23" i="4"/>
  <c r="M23" i="4"/>
  <c r="AJ23" i="4"/>
  <c r="AL23" i="4" s="1"/>
  <c r="AB23" i="4"/>
  <c r="T23" i="4"/>
  <c r="L23" i="4"/>
  <c r="AI23" i="4"/>
  <c r="AA23" i="4"/>
  <c r="S23" i="4"/>
  <c r="K23" i="4"/>
  <c r="P6" i="4"/>
  <c r="P47" i="4" s="1"/>
  <c r="G14" i="4"/>
  <c r="G64" i="4" s="1"/>
  <c r="AC14" i="4"/>
  <c r="AC64" i="4" s="1"/>
  <c r="J23" i="4"/>
  <c r="AD27" i="4"/>
  <c r="AD68" i="4" s="1"/>
  <c r="AD113" i="4" s="1"/>
  <c r="AE30" i="4"/>
  <c r="AE71" i="4" s="1"/>
  <c r="AJ32" i="4"/>
  <c r="AB32" i="4"/>
  <c r="AB73" i="4" s="1"/>
  <c r="T32" i="4"/>
  <c r="T73" i="4" s="1"/>
  <c r="T118" i="4" s="1"/>
  <c r="L32" i="4"/>
  <c r="L73" i="4" s="1"/>
  <c r="L118" i="4" s="1"/>
  <c r="AI32" i="4"/>
  <c r="AI73" i="4" s="1"/>
  <c r="AI118" i="4" s="1"/>
  <c r="AA32" i="4"/>
  <c r="AA73" i="4" s="1"/>
  <c r="AA118" i="4" s="1"/>
  <c r="S32" i="4"/>
  <c r="S73" i="4" s="1"/>
  <c r="K32" i="4"/>
  <c r="K73" i="4" s="1"/>
  <c r="AH32" i="4"/>
  <c r="AH73" i="4" s="1"/>
  <c r="Z32" i="4"/>
  <c r="Z73" i="4" s="1"/>
  <c r="R32" i="4"/>
  <c r="R73" i="4" s="1"/>
  <c r="R118" i="4" s="1"/>
  <c r="J32" i="4"/>
  <c r="J73" i="4" s="1"/>
  <c r="J118" i="4" s="1"/>
  <c r="AG32" i="4"/>
  <c r="AG73" i="4" s="1"/>
  <c r="AG118" i="4" s="1"/>
  <c r="Y32" i="4"/>
  <c r="Y73" i="4" s="1"/>
  <c r="Y118" i="4" s="1"/>
  <c r="Q32" i="4"/>
  <c r="Q73" i="4" s="1"/>
  <c r="I32" i="4"/>
  <c r="I73" i="4" s="1"/>
  <c r="AF32" i="4"/>
  <c r="AF73" i="4" s="1"/>
  <c r="X32" i="4"/>
  <c r="X73" i="4" s="1"/>
  <c r="P32" i="4"/>
  <c r="P73" i="4" s="1"/>
  <c r="P118" i="4" s="1"/>
  <c r="H32" i="4"/>
  <c r="H73" i="4" s="1"/>
  <c r="H118" i="4" s="1"/>
  <c r="AE32" i="4"/>
  <c r="AE73" i="4" s="1"/>
  <c r="AE118" i="4" s="1"/>
  <c r="W32" i="4"/>
  <c r="W73" i="4" s="1"/>
  <c r="W118" i="4" s="1"/>
  <c r="O32" i="4"/>
  <c r="O73" i="4" s="1"/>
  <c r="G32" i="4"/>
  <c r="G73" i="4" s="1"/>
  <c r="AD32" i="4"/>
  <c r="AD73" i="4" s="1"/>
  <c r="AD118" i="4" s="1"/>
  <c r="V32" i="4"/>
  <c r="V73" i="4" s="1"/>
  <c r="V118" i="4" s="1"/>
  <c r="N32" i="4"/>
  <c r="N73" i="4" s="1"/>
  <c r="N118" i="4" s="1"/>
  <c r="F32" i="4"/>
  <c r="F73" i="4" s="1"/>
  <c r="AC47" i="2"/>
  <c r="C35" i="4" s="1" a="1"/>
  <c r="C35" i="4" s="1"/>
  <c r="Z35" i="4" s="1"/>
  <c r="Z76" i="4" s="1"/>
  <c r="AC38" i="4"/>
  <c r="AC79" i="4" s="1"/>
  <c r="AC124" i="4" s="1"/>
  <c r="U38" i="4"/>
  <c r="U79" i="4" s="1"/>
  <c r="M38" i="4"/>
  <c r="M79" i="4" s="1"/>
  <c r="AI38" i="4"/>
  <c r="AI79" i="4" s="1"/>
  <c r="AA38" i="4"/>
  <c r="AA79" i="4" s="1"/>
  <c r="S38" i="4"/>
  <c r="S79" i="4" s="1"/>
  <c r="S124" i="4" s="1"/>
  <c r="K38" i="4"/>
  <c r="K79" i="4" s="1"/>
  <c r="K124" i="4" s="1"/>
  <c r="AH38" i="4"/>
  <c r="AH79" i="4" s="1"/>
  <c r="AH124" i="4" s="1"/>
  <c r="Z38" i="4"/>
  <c r="Z79" i="4" s="1"/>
  <c r="Z124" i="4" s="1"/>
  <c r="R38" i="4"/>
  <c r="R79" i="4" s="1"/>
  <c r="AG38" i="4"/>
  <c r="AG79" i="4" s="1"/>
  <c r="V38" i="4"/>
  <c r="V79" i="4" s="1"/>
  <c r="I38" i="4"/>
  <c r="I79" i="4" s="1"/>
  <c r="AF38" i="4"/>
  <c r="AF79" i="4" s="1"/>
  <c r="T38" i="4"/>
  <c r="T79" i="4" s="1"/>
  <c r="T124" i="4" s="1"/>
  <c r="H38" i="4"/>
  <c r="H79" i="4" s="1"/>
  <c r="H124" i="4" s="1"/>
  <c r="AE38" i="4"/>
  <c r="AE79" i="4" s="1"/>
  <c r="AE124" i="4" s="1"/>
  <c r="Q38" i="4"/>
  <c r="Q79" i="4" s="1"/>
  <c r="G38" i="4"/>
  <c r="G79" i="4" s="1"/>
  <c r="AD38" i="4"/>
  <c r="AD79" i="4" s="1"/>
  <c r="P38" i="4"/>
  <c r="P79" i="4" s="1"/>
  <c r="F38" i="4"/>
  <c r="F79" i="4" s="1"/>
  <c r="AB38" i="4"/>
  <c r="AB79" i="4" s="1"/>
  <c r="AB124" i="4" s="1"/>
  <c r="O38" i="4"/>
  <c r="O79" i="4" s="1"/>
  <c r="O124" i="4" s="1"/>
  <c r="Y38" i="4"/>
  <c r="Y79" i="4" s="1"/>
  <c r="Y124" i="4" s="1"/>
  <c r="N38" i="4"/>
  <c r="N79" i="4" s="1"/>
  <c r="N124" i="4" s="1"/>
  <c r="X38" i="4"/>
  <c r="X79" i="4" s="1"/>
  <c r="L38" i="4"/>
  <c r="L79" i="4" s="1"/>
  <c r="I4" i="4"/>
  <c r="I45" i="4" s="1"/>
  <c r="M5" i="4"/>
  <c r="M46" i="4" s="1"/>
  <c r="M88" i="4" s="1"/>
  <c r="U6" i="4"/>
  <c r="U47" i="4" s="1"/>
  <c r="I9" i="4"/>
  <c r="I50" i="4" s="1"/>
  <c r="I92" i="4" s="1"/>
  <c r="AF9" i="4"/>
  <c r="AF50" i="4" s="1"/>
  <c r="AF92" i="4" s="1"/>
  <c r="H14" i="4"/>
  <c r="R23" i="4"/>
  <c r="U32" i="4"/>
  <c r="U73" i="4" s="1"/>
  <c r="AJ24" i="4"/>
  <c r="AB24" i="4"/>
  <c r="AB65" i="4" s="1"/>
  <c r="AB109" i="4" s="1"/>
  <c r="T24" i="4"/>
  <c r="T65" i="4" s="1"/>
  <c r="T109" i="4" s="1"/>
  <c r="L24" i="4"/>
  <c r="L65" i="4" s="1"/>
  <c r="L109" i="4" s="1"/>
  <c r="AI24" i="4"/>
  <c r="AI65" i="4" s="1"/>
  <c r="AI109" i="4" s="1"/>
  <c r="AA24" i="4"/>
  <c r="AA65" i="4" s="1"/>
  <c r="S24" i="4"/>
  <c r="S65" i="4" s="1"/>
  <c r="K24" i="4"/>
  <c r="K65" i="4" s="1"/>
  <c r="AH24" i="4"/>
  <c r="AH65" i="4" s="1"/>
  <c r="Z24" i="4"/>
  <c r="Z65" i="4" s="1"/>
  <c r="Z109" i="4" s="1"/>
  <c r="R24" i="4"/>
  <c r="R65" i="4" s="1"/>
  <c r="R109" i="4" s="1"/>
  <c r="J24" i="4"/>
  <c r="J65" i="4" s="1"/>
  <c r="J109" i="4" s="1"/>
  <c r="AG24" i="4"/>
  <c r="AG65" i="4" s="1"/>
  <c r="AG109" i="4" s="1"/>
  <c r="Y24" i="4"/>
  <c r="Y65" i="4" s="1"/>
  <c r="Q24" i="4"/>
  <c r="Q65" i="4" s="1"/>
  <c r="I24" i="4"/>
  <c r="I65" i="4" s="1"/>
  <c r="AF24" i="4"/>
  <c r="AF65" i="4" s="1"/>
  <c r="X24" i="4"/>
  <c r="X65" i="4" s="1"/>
  <c r="X109" i="4" s="1"/>
  <c r="P24" i="4"/>
  <c r="P65" i="4" s="1"/>
  <c r="P109" i="4" s="1"/>
  <c r="H24" i="4"/>
  <c r="H65" i="4" s="1"/>
  <c r="H109" i="4" s="1"/>
  <c r="AE24" i="4"/>
  <c r="AE65" i="4" s="1"/>
  <c r="AE109" i="4" s="1"/>
  <c r="W24" i="4"/>
  <c r="W65" i="4" s="1"/>
  <c r="O24" i="4"/>
  <c r="O65" i="4" s="1"/>
  <c r="G24" i="4"/>
  <c r="G65" i="4" s="1"/>
  <c r="AD24" i="4"/>
  <c r="AD65" i="4" s="1"/>
  <c r="V24" i="4"/>
  <c r="V65" i="4" s="1"/>
  <c r="N24" i="4"/>
  <c r="N65" i="4" s="1"/>
  <c r="N109" i="4" s="1"/>
  <c r="F24" i="4"/>
  <c r="F65" i="4" s="1"/>
  <c r="AH35" i="4"/>
  <c r="AH76" i="4" s="1"/>
  <c r="F35" i="4"/>
  <c r="F76" i="4" s="1"/>
  <c r="AF35" i="4"/>
  <c r="AF76" i="4" s="1"/>
  <c r="U35" i="4"/>
  <c r="U76" i="4" s="1"/>
  <c r="L35" i="4"/>
  <c r="L76" i="4" s="1"/>
  <c r="AJ35" i="4"/>
  <c r="AA35" i="4"/>
  <c r="AA76" i="4" s="1"/>
  <c r="H111" i="4"/>
  <c r="AC19" i="4"/>
  <c r="U19" i="4"/>
  <c r="M19" i="4"/>
  <c r="AJ19" i="4"/>
  <c r="AL19" i="4" s="1"/>
  <c r="AB19" i="4"/>
  <c r="T19" i="4"/>
  <c r="L19" i="4"/>
  <c r="AI19" i="4"/>
  <c r="AA19" i="4"/>
  <c r="S19" i="4"/>
  <c r="K19" i="4"/>
  <c r="AH19" i="4"/>
  <c r="Z19" i="4"/>
  <c r="R19" i="4"/>
  <c r="J19" i="4"/>
  <c r="AG19" i="4"/>
  <c r="Y19" i="4"/>
  <c r="Q19" i="4"/>
  <c r="I19" i="4"/>
  <c r="AF19" i="4"/>
  <c r="X19" i="4"/>
  <c r="P19" i="4"/>
  <c r="H19" i="4"/>
  <c r="AE19" i="4"/>
  <c r="W19" i="4"/>
  <c r="O19" i="4"/>
  <c r="G19" i="4"/>
  <c r="AI21" i="4"/>
  <c r="AA21" i="4"/>
  <c r="S21" i="4"/>
  <c r="K21" i="4"/>
  <c r="AH21" i="4"/>
  <c r="Z21" i="4"/>
  <c r="R21" i="4"/>
  <c r="J21" i="4"/>
  <c r="AG21" i="4"/>
  <c r="Y21" i="4"/>
  <c r="Q21" i="4"/>
  <c r="I21" i="4"/>
  <c r="AF21" i="4"/>
  <c r="X21" i="4"/>
  <c r="P21" i="4"/>
  <c r="H21" i="4"/>
  <c r="AE21" i="4"/>
  <c r="AE62" i="4" s="1"/>
  <c r="W21" i="4"/>
  <c r="O21" i="4"/>
  <c r="O62" i="4" s="1"/>
  <c r="G21" i="4"/>
  <c r="G62" i="4" s="1"/>
  <c r="AD21" i="4"/>
  <c r="V21" i="4"/>
  <c r="N21" i="4"/>
  <c r="F21" i="4"/>
  <c r="F62" i="4" s="1"/>
  <c r="AC21" i="4"/>
  <c r="U21" i="4"/>
  <c r="M21" i="4"/>
  <c r="AD14" i="4"/>
  <c r="AD64" i="4" s="1"/>
  <c r="V14" i="4"/>
  <c r="V64" i="4" s="1"/>
  <c r="N14" i="4"/>
  <c r="N64" i="4" s="1"/>
  <c r="F14" i="4"/>
  <c r="F64" i="4" s="1"/>
  <c r="AJ14" i="4"/>
  <c r="AB14" i="4"/>
  <c r="T14" i="4"/>
  <c r="L14" i="4"/>
  <c r="AI14" i="4"/>
  <c r="AA14" i="4"/>
  <c r="AA64" i="4" s="1"/>
  <c r="AA108" i="4" s="1"/>
  <c r="S14" i="4"/>
  <c r="S64" i="4" s="1"/>
  <c r="S108" i="4" s="1"/>
  <c r="K14" i="4"/>
  <c r="K64" i="4" s="1"/>
  <c r="AH14" i="4"/>
  <c r="AH64" i="4" s="1"/>
  <c r="Z14" i="4"/>
  <c r="Z64" i="4" s="1"/>
  <c r="R14" i="4"/>
  <c r="R64" i="4" s="1"/>
  <c r="J14" i="4"/>
  <c r="AG14" i="4"/>
  <c r="AG64" i="4" s="1"/>
  <c r="Y14" i="4"/>
  <c r="Y64" i="4" s="1"/>
  <c r="Q14" i="4"/>
  <c r="Q64" i="4" s="1"/>
  <c r="I14" i="4"/>
  <c r="I64" i="4" s="1"/>
  <c r="AE33" i="4"/>
  <c r="AE74" i="4" s="1"/>
  <c r="W33" i="4"/>
  <c r="W74" i="4" s="1"/>
  <c r="O33" i="4"/>
  <c r="O74" i="4" s="1"/>
  <c r="G33" i="4"/>
  <c r="G74" i="4" s="1"/>
  <c r="AD33" i="4"/>
  <c r="AD74" i="4" s="1"/>
  <c r="AD119" i="4" s="1"/>
  <c r="V33" i="4"/>
  <c r="V74" i="4" s="1"/>
  <c r="V119" i="4" s="1"/>
  <c r="N33" i="4"/>
  <c r="N74" i="4" s="1"/>
  <c r="N119" i="4" s="1"/>
  <c r="F33" i="4"/>
  <c r="F74" i="4" s="1"/>
  <c r="AC33" i="4"/>
  <c r="AC74" i="4" s="1"/>
  <c r="U33" i="4"/>
  <c r="U74" i="4" s="1"/>
  <c r="M33" i="4"/>
  <c r="M74" i="4" s="1"/>
  <c r="AJ33" i="4"/>
  <c r="AB33" i="4"/>
  <c r="AB74" i="4" s="1"/>
  <c r="AB119" i="4" s="1"/>
  <c r="T33" i="4"/>
  <c r="T74" i="4" s="1"/>
  <c r="T119" i="4" s="1"/>
  <c r="L33" i="4"/>
  <c r="L74" i="4" s="1"/>
  <c r="L119" i="4" s="1"/>
  <c r="AI33" i="4"/>
  <c r="AI74" i="4" s="1"/>
  <c r="AI119" i="4" s="1"/>
  <c r="AA33" i="4"/>
  <c r="AA74" i="4" s="1"/>
  <c r="S33" i="4"/>
  <c r="S74" i="4" s="1"/>
  <c r="K33" i="4"/>
  <c r="K74" i="4" s="1"/>
  <c r="AH33" i="4"/>
  <c r="AH74" i="4" s="1"/>
  <c r="Z33" i="4"/>
  <c r="Z74" i="4" s="1"/>
  <c r="Z119" i="4" s="1"/>
  <c r="R33" i="4"/>
  <c r="R74" i="4" s="1"/>
  <c r="R119" i="4" s="1"/>
  <c r="J33" i="4"/>
  <c r="J74" i="4" s="1"/>
  <c r="J119" i="4" s="1"/>
  <c r="AG33" i="4"/>
  <c r="AG74" i="4" s="1"/>
  <c r="AG119" i="4" s="1"/>
  <c r="Y33" i="4"/>
  <c r="Y74" i="4" s="1"/>
  <c r="Q33" i="4"/>
  <c r="Q74" i="4" s="1"/>
  <c r="I33" i="4"/>
  <c r="I74" i="4" s="1"/>
  <c r="AD53" i="2"/>
  <c r="D39" i="4" s="1" a="1"/>
  <c r="D39" i="4" s="1"/>
  <c r="AE17" i="4"/>
  <c r="W17" i="4"/>
  <c r="W58" i="4" s="1"/>
  <c r="O17" i="4"/>
  <c r="O58" i="4" s="1"/>
  <c r="G17" i="4"/>
  <c r="G58" i="4" s="1"/>
  <c r="G102" i="4" s="1"/>
  <c r="AC17" i="4"/>
  <c r="U17" i="4"/>
  <c r="M17" i="4"/>
  <c r="AJ17" i="4"/>
  <c r="AB17" i="4"/>
  <c r="T17" i="4"/>
  <c r="T58" i="4" s="1"/>
  <c r="L17" i="4"/>
  <c r="L58" i="4" s="1"/>
  <c r="AI17" i="4"/>
  <c r="AI58" i="4" s="1"/>
  <c r="AA17" i="4"/>
  <c r="S17" i="4"/>
  <c r="K17" i="4"/>
  <c r="AH17" i="4"/>
  <c r="Z17" i="4"/>
  <c r="R17" i="4"/>
  <c r="R58" i="4" s="1"/>
  <c r="J17" i="4"/>
  <c r="J58" i="4" s="1"/>
  <c r="AE25" i="4"/>
  <c r="AE66" i="4" s="1"/>
  <c r="AE111" i="4" s="1"/>
  <c r="W25" i="4"/>
  <c r="W66" i="4" s="1"/>
  <c r="O25" i="4"/>
  <c r="O66" i="4" s="1"/>
  <c r="G25" i="4"/>
  <c r="G66" i="4" s="1"/>
  <c r="AD25" i="4"/>
  <c r="AD66" i="4" s="1"/>
  <c r="V25" i="4"/>
  <c r="V66" i="4" s="1"/>
  <c r="V111" i="4" s="1"/>
  <c r="N25" i="4"/>
  <c r="N66" i="4" s="1"/>
  <c r="N111" i="4" s="1"/>
  <c r="F25" i="4"/>
  <c r="F66" i="4" s="1"/>
  <c r="AC25" i="4"/>
  <c r="AC66" i="4" s="1"/>
  <c r="AC111" i="4" s="1"/>
  <c r="U25" i="4"/>
  <c r="U66" i="4" s="1"/>
  <c r="M25" i="4"/>
  <c r="M66" i="4" s="1"/>
  <c r="AJ25" i="4"/>
  <c r="AB25" i="4"/>
  <c r="AB66" i="4" s="1"/>
  <c r="T25" i="4"/>
  <c r="T66" i="4" s="1"/>
  <c r="T111" i="4" s="1"/>
  <c r="L25" i="4"/>
  <c r="L66" i="4" s="1"/>
  <c r="L111" i="4" s="1"/>
  <c r="AI25" i="4"/>
  <c r="AI66" i="4" s="1"/>
  <c r="AI111" i="4" s="1"/>
  <c r="AA25" i="4"/>
  <c r="AA66" i="4" s="1"/>
  <c r="AA111" i="4" s="1"/>
  <c r="S25" i="4"/>
  <c r="S66" i="4" s="1"/>
  <c r="K25" i="4"/>
  <c r="K66" i="4" s="1"/>
  <c r="AH25" i="4"/>
  <c r="AH66" i="4" s="1"/>
  <c r="Z25" i="4"/>
  <c r="Z66" i="4" s="1"/>
  <c r="R25" i="4"/>
  <c r="R66" i="4" s="1"/>
  <c r="R111" i="4" s="1"/>
  <c r="J25" i="4"/>
  <c r="J66" i="4" s="1"/>
  <c r="J111" i="4" s="1"/>
  <c r="AG25" i="4"/>
  <c r="AG66" i="4" s="1"/>
  <c r="AG111" i="4" s="1"/>
  <c r="Y25" i="4"/>
  <c r="Y66" i="4" s="1"/>
  <c r="Y111" i="4" s="1"/>
  <c r="Q25" i="4"/>
  <c r="Q66" i="4" s="1"/>
  <c r="Q111" i="4" s="1"/>
  <c r="I25" i="4"/>
  <c r="I66" i="4" s="1"/>
  <c r="I111" i="4" s="1"/>
  <c r="AJ40" i="4"/>
  <c r="AB40" i="4"/>
  <c r="AB81" i="4" s="1"/>
  <c r="T40" i="4"/>
  <c r="T81" i="4" s="1"/>
  <c r="T126" i="4" s="1"/>
  <c r="L40" i="4"/>
  <c r="L81" i="4" s="1"/>
  <c r="L126" i="4" s="1"/>
  <c r="AI40" i="4"/>
  <c r="AI81" i="4" s="1"/>
  <c r="AI126" i="4" s="1"/>
  <c r="AA40" i="4"/>
  <c r="AA81" i="4" s="1"/>
  <c r="AA126" i="4" s="1"/>
  <c r="S40" i="4"/>
  <c r="S81" i="4" s="1"/>
  <c r="K40" i="4"/>
  <c r="K81" i="4" s="1"/>
  <c r="AH40" i="4"/>
  <c r="AH81" i="4" s="1"/>
  <c r="Z40" i="4"/>
  <c r="Z81" i="4" s="1"/>
  <c r="R40" i="4"/>
  <c r="R81" i="4" s="1"/>
  <c r="R126" i="4" s="1"/>
  <c r="J40" i="4"/>
  <c r="J81" i="4" s="1"/>
  <c r="J126" i="4" s="1"/>
  <c r="AG40" i="4"/>
  <c r="AG81" i="4" s="1"/>
  <c r="AG126" i="4" s="1"/>
  <c r="Y40" i="4"/>
  <c r="Y81" i="4" s="1"/>
  <c r="Y126" i="4" s="1"/>
  <c r="Q40" i="4"/>
  <c r="Q81" i="4" s="1"/>
  <c r="I40" i="4"/>
  <c r="I81" i="4" s="1"/>
  <c r="AF40" i="4"/>
  <c r="AF81" i="4" s="1"/>
  <c r="X40" i="4"/>
  <c r="X81" i="4" s="1"/>
  <c r="P40" i="4"/>
  <c r="P81" i="4" s="1"/>
  <c r="H40" i="4"/>
  <c r="H81" i="4" s="1"/>
  <c r="H126" i="4" s="1"/>
  <c r="U40" i="4"/>
  <c r="U81" i="4" s="1"/>
  <c r="U126" i="4" s="1"/>
  <c r="O40" i="4"/>
  <c r="O81" i="4" s="1"/>
  <c r="O126" i="4" s="1"/>
  <c r="N40" i="4"/>
  <c r="N81" i="4" s="1"/>
  <c r="N126" i="4" s="1"/>
  <c r="AE40" i="4"/>
  <c r="AE81" i="4" s="1"/>
  <c r="M40" i="4"/>
  <c r="M81" i="4" s="1"/>
  <c r="AD40" i="4"/>
  <c r="AD81" i="4" s="1"/>
  <c r="G40" i="4"/>
  <c r="G81" i="4" s="1"/>
  <c r="AC40" i="4"/>
  <c r="AC81" i="4" s="1"/>
  <c r="AC126" i="4" s="1"/>
  <c r="F40" i="4"/>
  <c r="F81" i="4" s="1"/>
  <c r="W40" i="4"/>
  <c r="W81" i="4" s="1"/>
  <c r="W126" i="4" s="1"/>
  <c r="AI5" i="4"/>
  <c r="AI46" i="4" s="1"/>
  <c r="AI88" i="4" s="1"/>
  <c r="AA5" i="4"/>
  <c r="AA46" i="4" s="1"/>
  <c r="S5" i="4"/>
  <c r="S46" i="4" s="1"/>
  <c r="K5" i="4"/>
  <c r="K46" i="4" s="1"/>
  <c r="AG5" i="4"/>
  <c r="AG46" i="4" s="1"/>
  <c r="AG88" i="4" s="1"/>
  <c r="Y5" i="4"/>
  <c r="Y46" i="4" s="1"/>
  <c r="Y88" i="4" s="1"/>
  <c r="Q5" i="4"/>
  <c r="Q46" i="4" s="1"/>
  <c r="Q88" i="4" s="1"/>
  <c r="I5" i="4"/>
  <c r="I46" i="4" s="1"/>
  <c r="I88" i="4" s="1"/>
  <c r="AF5" i="4"/>
  <c r="AF46" i="4" s="1"/>
  <c r="X5" i="4"/>
  <c r="X46" i="4" s="1"/>
  <c r="P5" i="4"/>
  <c r="P46" i="4" s="1"/>
  <c r="H5" i="4"/>
  <c r="H46" i="4" s="1"/>
  <c r="AE5" i="4"/>
  <c r="AE46" i="4" s="1"/>
  <c r="AE88" i="4" s="1"/>
  <c r="W5" i="4"/>
  <c r="W46" i="4" s="1"/>
  <c r="W88" i="4" s="1"/>
  <c r="O5" i="4"/>
  <c r="O46" i="4" s="1"/>
  <c r="O88" i="4" s="1"/>
  <c r="G5" i="4"/>
  <c r="G46" i="4" s="1"/>
  <c r="G88" i="4" s="1"/>
  <c r="AD5" i="4"/>
  <c r="AD46" i="4" s="1"/>
  <c r="V5" i="4"/>
  <c r="V46" i="4" s="1"/>
  <c r="N5" i="4"/>
  <c r="N46" i="4" s="1"/>
  <c r="F5" i="4"/>
  <c r="F46" i="4" s="1"/>
  <c r="Z5" i="4"/>
  <c r="Z46" i="4" s="1"/>
  <c r="H6" i="4"/>
  <c r="H47" i="4" s="1"/>
  <c r="H89" i="4" s="1"/>
  <c r="U14" i="4"/>
  <c r="U64" i="4" s="1"/>
  <c r="I17" i="4"/>
  <c r="I58" i="4" s="1"/>
  <c r="AF17" i="4"/>
  <c r="L21" i="4"/>
  <c r="M24" i="4"/>
  <c r="M65" i="4" s="1"/>
  <c r="AF25" i="4"/>
  <c r="AF66" i="4" s="1"/>
  <c r="H33" i="4"/>
  <c r="H74" i="4" s="1"/>
  <c r="H119" i="4" s="1"/>
  <c r="O36" i="4"/>
  <c r="O77" i="4" s="1"/>
  <c r="O122" i="4" s="1"/>
  <c r="V40" i="4"/>
  <c r="V81" i="4" s="1"/>
  <c r="V126" i="4" s="1"/>
  <c r="M64" i="4"/>
  <c r="AC27" i="4"/>
  <c r="AC68" i="4" s="1"/>
  <c r="U27" i="4"/>
  <c r="U68" i="4" s="1"/>
  <c r="M27" i="4"/>
  <c r="M68" i="4" s="1"/>
  <c r="AJ27" i="4"/>
  <c r="AB27" i="4"/>
  <c r="AB68" i="4" s="1"/>
  <c r="AB113" i="4" s="1"/>
  <c r="T27" i="4"/>
  <c r="T68" i="4" s="1"/>
  <c r="T113" i="4" s="1"/>
  <c r="L27" i="4"/>
  <c r="L68" i="4" s="1"/>
  <c r="L113" i="4" s="1"/>
  <c r="AI27" i="4"/>
  <c r="AI68" i="4" s="1"/>
  <c r="AA27" i="4"/>
  <c r="AA68" i="4" s="1"/>
  <c r="S27" i="4"/>
  <c r="S68" i="4" s="1"/>
  <c r="K27" i="4"/>
  <c r="K68" i="4" s="1"/>
  <c r="AH27" i="4"/>
  <c r="AH68" i="4" s="1"/>
  <c r="AH113" i="4" s="1"/>
  <c r="Z27" i="4"/>
  <c r="Z68" i="4" s="1"/>
  <c r="Z113" i="4" s="1"/>
  <c r="R27" i="4"/>
  <c r="R68" i="4" s="1"/>
  <c r="R113" i="4" s="1"/>
  <c r="J27" i="4"/>
  <c r="J68" i="4" s="1"/>
  <c r="J113" i="4" s="1"/>
  <c r="AG27" i="4"/>
  <c r="AG68" i="4" s="1"/>
  <c r="Y27" i="4"/>
  <c r="Y68" i="4" s="1"/>
  <c r="Q27" i="4"/>
  <c r="Q68" i="4" s="1"/>
  <c r="I27" i="4"/>
  <c r="I68" i="4" s="1"/>
  <c r="AF27" i="4"/>
  <c r="AF68" i="4" s="1"/>
  <c r="AF113" i="4" s="1"/>
  <c r="X27" i="4"/>
  <c r="X68" i="4" s="1"/>
  <c r="X113" i="4" s="1"/>
  <c r="P27" i="4"/>
  <c r="P68" i="4" s="1"/>
  <c r="P113" i="4" s="1"/>
  <c r="H27" i="4"/>
  <c r="H68" i="4" s="1"/>
  <c r="H113" i="4" s="1"/>
  <c r="AE27" i="4"/>
  <c r="AE68" i="4" s="1"/>
  <c r="W27" i="4"/>
  <c r="W68" i="4" s="1"/>
  <c r="O27" i="4"/>
  <c r="O68" i="4" s="1"/>
  <c r="G27" i="4"/>
  <c r="G68" i="4" s="1"/>
  <c r="G113" i="4" s="1"/>
  <c r="AD30" i="4"/>
  <c r="AD71" i="4" s="1"/>
  <c r="AD116" i="4" s="1"/>
  <c r="V30" i="4"/>
  <c r="V71" i="4" s="1"/>
  <c r="V116" i="4" s="1"/>
  <c r="N30" i="4"/>
  <c r="N71" i="4" s="1"/>
  <c r="N116" i="4" s="1"/>
  <c r="F30" i="4"/>
  <c r="F71" i="4" s="1"/>
  <c r="G116" i="4" s="1"/>
  <c r="AC30" i="4"/>
  <c r="AC71" i="4" s="1"/>
  <c r="U30" i="4"/>
  <c r="U71" i="4" s="1"/>
  <c r="M30" i="4"/>
  <c r="M71" i="4" s="1"/>
  <c r="AJ30" i="4"/>
  <c r="AB30" i="4"/>
  <c r="AB71" i="4" s="1"/>
  <c r="AB116" i="4" s="1"/>
  <c r="T30" i="4"/>
  <c r="T71" i="4" s="1"/>
  <c r="T116" i="4" s="1"/>
  <c r="L30" i="4"/>
  <c r="L71" i="4" s="1"/>
  <c r="L116" i="4" s="1"/>
  <c r="AI30" i="4"/>
  <c r="AI71" i="4" s="1"/>
  <c r="AI116" i="4" s="1"/>
  <c r="AA30" i="4"/>
  <c r="AA71" i="4" s="1"/>
  <c r="S30" i="4"/>
  <c r="S71" i="4" s="1"/>
  <c r="K30" i="4"/>
  <c r="K71" i="4" s="1"/>
  <c r="AH30" i="4"/>
  <c r="AH71" i="4" s="1"/>
  <c r="Z30" i="4"/>
  <c r="Z71" i="4" s="1"/>
  <c r="Z116" i="4" s="1"/>
  <c r="R30" i="4"/>
  <c r="R71" i="4" s="1"/>
  <c r="R116" i="4" s="1"/>
  <c r="J30" i="4"/>
  <c r="J71" i="4" s="1"/>
  <c r="J116" i="4" s="1"/>
  <c r="AG30" i="4"/>
  <c r="AG71" i="4" s="1"/>
  <c r="AG116" i="4" s="1"/>
  <c r="Y30" i="4"/>
  <c r="Y71" i="4" s="1"/>
  <c r="Q30" i="4"/>
  <c r="Q71" i="4" s="1"/>
  <c r="I30" i="4"/>
  <c r="I71" i="4" s="1"/>
  <c r="AF30" i="4"/>
  <c r="AF71" i="4" s="1"/>
  <c r="AF116" i="4" s="1"/>
  <c r="X30" i="4"/>
  <c r="X71" i="4" s="1"/>
  <c r="X116" i="4" s="1"/>
  <c r="P30" i="4"/>
  <c r="P71" i="4" s="1"/>
  <c r="H30" i="4"/>
  <c r="H71" i="4" s="1"/>
  <c r="H116" i="4" s="1"/>
  <c r="V19" i="4"/>
  <c r="P111" i="4"/>
  <c r="AD6" i="4"/>
  <c r="AD47" i="4" s="1"/>
  <c r="V6" i="4"/>
  <c r="V47" i="4" s="1"/>
  <c r="N6" i="4"/>
  <c r="N47" i="4" s="1"/>
  <c r="F6" i="4"/>
  <c r="F47" i="4" s="1"/>
  <c r="AJ6" i="4"/>
  <c r="AB6" i="4"/>
  <c r="AB47" i="4" s="1"/>
  <c r="AB89" i="4" s="1"/>
  <c r="T6" i="4"/>
  <c r="T47" i="4" s="1"/>
  <c r="T89" i="4" s="1"/>
  <c r="L6" i="4"/>
  <c r="L47" i="4" s="1"/>
  <c r="AI6" i="4"/>
  <c r="AI47" i="4" s="1"/>
  <c r="AA6" i="4"/>
  <c r="AA47" i="4" s="1"/>
  <c r="S6" i="4"/>
  <c r="S47" i="4" s="1"/>
  <c r="K6" i="4"/>
  <c r="K47" i="4" s="1"/>
  <c r="K89" i="4" s="1"/>
  <c r="AH6" i="4"/>
  <c r="AH47" i="4" s="1"/>
  <c r="AH89" i="4" s="1"/>
  <c r="Z6" i="4"/>
  <c r="Z47" i="4" s="1"/>
  <c r="Z89" i="4" s="1"/>
  <c r="R6" i="4"/>
  <c r="R47" i="4" s="1"/>
  <c r="R89" i="4" s="1"/>
  <c r="J6" i="4"/>
  <c r="J47" i="4" s="1"/>
  <c r="AG6" i="4"/>
  <c r="AG47" i="4" s="1"/>
  <c r="Y6" i="4"/>
  <c r="Y47" i="4" s="1"/>
  <c r="Y89" i="4" s="1"/>
  <c r="Q6" i="4"/>
  <c r="Q47" i="4" s="1"/>
  <c r="Q89" i="4" s="1"/>
  <c r="I6" i="4"/>
  <c r="I47" i="4" s="1"/>
  <c r="AD22" i="4"/>
  <c r="V22" i="4"/>
  <c r="N22" i="4"/>
  <c r="F22" i="4"/>
  <c r="AC22" i="4"/>
  <c r="U22" i="4"/>
  <c r="M22" i="4"/>
  <c r="AJ22" i="4"/>
  <c r="AL22" i="4" s="1"/>
  <c r="AB22" i="4"/>
  <c r="T22" i="4"/>
  <c r="L22" i="4"/>
  <c r="AI22" i="4"/>
  <c r="AA22" i="4"/>
  <c r="S22" i="4"/>
  <c r="K22" i="4"/>
  <c r="AH22" i="4"/>
  <c r="Z22" i="4"/>
  <c r="R22" i="4"/>
  <c r="J22" i="4"/>
  <c r="AG22" i="4"/>
  <c r="Y22" i="4"/>
  <c r="Q22" i="4"/>
  <c r="I22" i="4"/>
  <c r="AF22" i="4"/>
  <c r="X22" i="4"/>
  <c r="P22" i="4"/>
  <c r="H22" i="4"/>
  <c r="G6" i="4"/>
  <c r="G47" i="4" s="1"/>
  <c r="AC6" i="4"/>
  <c r="AC47" i="4" s="1"/>
  <c r="P14" i="4"/>
  <c r="AD19" i="4"/>
  <c r="W22" i="4"/>
  <c r="F36" i="4"/>
  <c r="F77" i="4" s="1"/>
  <c r="AE9" i="4"/>
  <c r="AE50" i="4" s="1"/>
  <c r="AE92" i="4" s="1"/>
  <c r="W9" i="4"/>
  <c r="W50" i="4" s="1"/>
  <c r="W92" i="4" s="1"/>
  <c r="O9" i="4"/>
  <c r="O50" i="4" s="1"/>
  <c r="G9" i="4"/>
  <c r="G50" i="4" s="1"/>
  <c r="AC9" i="4"/>
  <c r="AC50" i="4" s="1"/>
  <c r="U9" i="4"/>
  <c r="U50" i="4" s="1"/>
  <c r="M9" i="4"/>
  <c r="M50" i="4" s="1"/>
  <c r="M92" i="4" s="1"/>
  <c r="AJ9" i="4"/>
  <c r="AB9" i="4"/>
  <c r="AB50" i="4" s="1"/>
  <c r="AB92" i="4" s="1"/>
  <c r="T9" i="4"/>
  <c r="T50" i="4" s="1"/>
  <c r="T92" i="4" s="1"/>
  <c r="L9" i="4"/>
  <c r="L50" i="4" s="1"/>
  <c r="AI9" i="4"/>
  <c r="AI50" i="4" s="1"/>
  <c r="AA9" i="4"/>
  <c r="AA50" i="4" s="1"/>
  <c r="S9" i="4"/>
  <c r="S50" i="4" s="1"/>
  <c r="K9" i="4"/>
  <c r="K50" i="4" s="1"/>
  <c r="K92" i="4" s="1"/>
  <c r="AH9" i="4"/>
  <c r="AH50" i="4" s="1"/>
  <c r="AH92" i="4" s="1"/>
  <c r="Z9" i="4"/>
  <c r="Z50" i="4" s="1"/>
  <c r="Z92" i="4" s="1"/>
  <c r="R9" i="4"/>
  <c r="R50" i="4" s="1"/>
  <c r="R92" i="4" s="1"/>
  <c r="J9" i="4"/>
  <c r="J50" i="4" s="1"/>
  <c r="AF4" i="4"/>
  <c r="AF45" i="4" s="1"/>
  <c r="AF86" i="4" s="1"/>
  <c r="X4" i="4"/>
  <c r="X45" i="4" s="1"/>
  <c r="P4" i="4"/>
  <c r="P45" i="4" s="1"/>
  <c r="P86" i="4" s="1"/>
  <c r="H4" i="4"/>
  <c r="H45" i="4" s="1"/>
  <c r="H86" i="4" s="1"/>
  <c r="AD4" i="4"/>
  <c r="AD45" i="4" s="1"/>
  <c r="AD86" i="4" s="1"/>
  <c r="V4" i="4"/>
  <c r="V45" i="4" s="1"/>
  <c r="V86" i="4" s="1"/>
  <c r="N4" i="4"/>
  <c r="N45" i="4" s="1"/>
  <c r="N86" i="4" s="1"/>
  <c r="F4" i="4"/>
  <c r="F45" i="4" s="1"/>
  <c r="AC4" i="4"/>
  <c r="AC45" i="4" s="1"/>
  <c r="U4" i="4"/>
  <c r="U45" i="4" s="1"/>
  <c r="M4" i="4"/>
  <c r="M45" i="4" s="1"/>
  <c r="AJ4" i="4"/>
  <c r="AB4" i="4"/>
  <c r="AB45" i="4" s="1"/>
  <c r="AB86" i="4" s="1"/>
  <c r="T4" i="4"/>
  <c r="T45" i="4" s="1"/>
  <c r="T86" i="4" s="1"/>
  <c r="L4" i="4"/>
  <c r="L45" i="4" s="1"/>
  <c r="L86" i="4" s="1"/>
  <c r="AI4" i="4"/>
  <c r="AI45" i="4" s="1"/>
  <c r="AI86" i="4" s="1"/>
  <c r="AA4" i="4"/>
  <c r="AA45" i="4" s="1"/>
  <c r="S4" i="4"/>
  <c r="S45" i="4" s="1"/>
  <c r="S86" i="4" s="1"/>
  <c r="K4" i="4"/>
  <c r="K45" i="4" s="1"/>
  <c r="AF12" i="4"/>
  <c r="AF53" i="4" s="1"/>
  <c r="AF95" i="4" s="1"/>
  <c r="X12" i="4"/>
  <c r="X53" i="4" s="1"/>
  <c r="X95" i="4" s="1"/>
  <c r="P12" i="4"/>
  <c r="P53" i="4" s="1"/>
  <c r="P95" i="4" s="1"/>
  <c r="H12" i="4"/>
  <c r="H53" i="4" s="1"/>
  <c r="H95" i="4" s="1"/>
  <c r="AD12" i="4"/>
  <c r="AD53" i="4" s="1"/>
  <c r="V12" i="4"/>
  <c r="V53" i="4" s="1"/>
  <c r="N12" i="4"/>
  <c r="N53" i="4" s="1"/>
  <c r="F12" i="4"/>
  <c r="F53" i="4" s="1"/>
  <c r="AC12" i="4"/>
  <c r="AC53" i="4" s="1"/>
  <c r="AC95" i="4" s="1"/>
  <c r="U12" i="4"/>
  <c r="U53" i="4" s="1"/>
  <c r="U95" i="4" s="1"/>
  <c r="M12" i="4"/>
  <c r="M53" i="4" s="1"/>
  <c r="M95" i="4" s="1"/>
  <c r="AJ12" i="4"/>
  <c r="AB12" i="4"/>
  <c r="AB53" i="4" s="1"/>
  <c r="T12" i="4"/>
  <c r="T53" i="4" s="1"/>
  <c r="L12" i="4"/>
  <c r="L53" i="4" s="1"/>
  <c r="AI12" i="4"/>
  <c r="AI53" i="4" s="1"/>
  <c r="AI95" i="4" s="1"/>
  <c r="AA12" i="4"/>
  <c r="AA53" i="4" s="1"/>
  <c r="AA95" i="4" s="1"/>
  <c r="S12" i="4"/>
  <c r="S53" i="4" s="1"/>
  <c r="S95" i="4" s="1"/>
  <c r="K12" i="4"/>
  <c r="K53" i="4" s="1"/>
  <c r="AF20" i="4"/>
  <c r="X20" i="4"/>
  <c r="P20" i="4"/>
  <c r="H20" i="4"/>
  <c r="AE20" i="4"/>
  <c r="W20" i="4"/>
  <c r="O20" i="4"/>
  <c r="G20" i="4"/>
  <c r="AD20" i="4"/>
  <c r="V20" i="4"/>
  <c r="N20" i="4"/>
  <c r="F20" i="4"/>
  <c r="AC20" i="4"/>
  <c r="U20" i="4"/>
  <c r="M20" i="4"/>
  <c r="AJ20" i="4"/>
  <c r="AL20" i="4" s="1"/>
  <c r="AB20" i="4"/>
  <c r="T20" i="4"/>
  <c r="L20" i="4"/>
  <c r="AI20" i="4"/>
  <c r="AA20" i="4"/>
  <c r="S20" i="4"/>
  <c r="K20" i="4"/>
  <c r="AH20" i="4"/>
  <c r="Z20" i="4"/>
  <c r="R20" i="4"/>
  <c r="J20" i="4"/>
  <c r="AG31" i="4"/>
  <c r="AG72" i="4" s="1"/>
  <c r="Y31" i="4"/>
  <c r="Y72" i="4" s="1"/>
  <c r="Q31" i="4"/>
  <c r="Q72" i="4" s="1"/>
  <c r="Q117" i="4" s="1"/>
  <c r="I31" i="4"/>
  <c r="I72" i="4" s="1"/>
  <c r="I117" i="4" s="1"/>
  <c r="AF31" i="4"/>
  <c r="AF72" i="4" s="1"/>
  <c r="AF117" i="4" s="1"/>
  <c r="X31" i="4"/>
  <c r="X72" i="4" s="1"/>
  <c r="X117" i="4" s="1"/>
  <c r="P31" i="4"/>
  <c r="P72" i="4" s="1"/>
  <c r="H31" i="4"/>
  <c r="H72" i="4" s="1"/>
  <c r="AE31" i="4"/>
  <c r="AE72" i="4" s="1"/>
  <c r="W31" i="4"/>
  <c r="W72" i="4" s="1"/>
  <c r="O31" i="4"/>
  <c r="O72" i="4" s="1"/>
  <c r="O117" i="4" s="1"/>
  <c r="G31" i="4"/>
  <c r="G72" i="4" s="1"/>
  <c r="G117" i="4" s="1"/>
  <c r="AD31" i="4"/>
  <c r="AD72" i="4" s="1"/>
  <c r="AD117" i="4" s="1"/>
  <c r="V31" i="4"/>
  <c r="V72" i="4" s="1"/>
  <c r="V117" i="4" s="1"/>
  <c r="N31" i="4"/>
  <c r="N72" i="4" s="1"/>
  <c r="F31" i="4"/>
  <c r="F72" i="4" s="1"/>
  <c r="AC31" i="4"/>
  <c r="AC72" i="4" s="1"/>
  <c r="U31" i="4"/>
  <c r="U72" i="4" s="1"/>
  <c r="M31" i="4"/>
  <c r="M72" i="4" s="1"/>
  <c r="M117" i="4" s="1"/>
  <c r="AJ31" i="4"/>
  <c r="AB31" i="4"/>
  <c r="AB72" i="4" s="1"/>
  <c r="AB117" i="4" s="1"/>
  <c r="T31" i="4"/>
  <c r="T72" i="4" s="1"/>
  <c r="T117" i="4" s="1"/>
  <c r="L31" i="4"/>
  <c r="L72" i="4" s="1"/>
  <c r="AI31" i="4"/>
  <c r="AI72" i="4" s="1"/>
  <c r="AA31" i="4"/>
  <c r="AA72" i="4" s="1"/>
  <c r="S31" i="4"/>
  <c r="S72" i="4" s="1"/>
  <c r="S117" i="4" s="1"/>
  <c r="K31" i="4"/>
  <c r="K72" i="4" s="1"/>
  <c r="K117" i="4" s="1"/>
  <c r="AH37" i="4"/>
  <c r="AH78" i="4" s="1"/>
  <c r="Z37" i="4"/>
  <c r="Z78" i="4" s="1"/>
  <c r="Z123" i="4" s="1"/>
  <c r="R37" i="4"/>
  <c r="R78" i="4" s="1"/>
  <c r="R123" i="4" s="1"/>
  <c r="J37" i="4"/>
  <c r="J78" i="4" s="1"/>
  <c r="AF37" i="4"/>
  <c r="AF78" i="4" s="1"/>
  <c r="X37" i="4"/>
  <c r="X78" i="4" s="1"/>
  <c r="P37" i="4"/>
  <c r="P78" i="4" s="1"/>
  <c r="H37" i="4"/>
  <c r="H78" i="4" s="1"/>
  <c r="H123" i="4" s="1"/>
  <c r="AA37" i="4"/>
  <c r="AA78" i="4" s="1"/>
  <c r="AB123" i="4" s="1"/>
  <c r="O37" i="4"/>
  <c r="O78" i="4" s="1"/>
  <c r="O123" i="4" s="1"/>
  <c r="AJ37" i="4"/>
  <c r="Y37" i="4"/>
  <c r="Y78" i="4" s="1"/>
  <c r="Y123" i="4" s="1"/>
  <c r="N37" i="4"/>
  <c r="N78" i="4" s="1"/>
  <c r="AI37" i="4"/>
  <c r="AI78" i="4" s="1"/>
  <c r="W37" i="4"/>
  <c r="W78" i="4" s="1"/>
  <c r="M37" i="4"/>
  <c r="M78" i="4" s="1"/>
  <c r="AG37" i="4"/>
  <c r="AG78" i="4" s="1"/>
  <c r="AG123" i="4" s="1"/>
  <c r="V37" i="4"/>
  <c r="V78" i="4" s="1"/>
  <c r="V123" i="4" s="1"/>
  <c r="L37" i="4"/>
  <c r="L78" i="4" s="1"/>
  <c r="L123" i="4" s="1"/>
  <c r="AE37" i="4"/>
  <c r="AE78" i="4" s="1"/>
  <c r="U37" i="4"/>
  <c r="U78" i="4" s="1"/>
  <c r="K37" i="4"/>
  <c r="K78" i="4" s="1"/>
  <c r="AD37" i="4"/>
  <c r="AD78" i="4" s="1"/>
  <c r="T37" i="4"/>
  <c r="T78" i="4" s="1"/>
  <c r="I37" i="4"/>
  <c r="I78" i="4" s="1"/>
  <c r="I123" i="4" s="1"/>
  <c r="AC37" i="4"/>
  <c r="AC78" i="4" s="1"/>
  <c r="AC123" i="4" s="1"/>
  <c r="S37" i="4"/>
  <c r="S78" i="4" s="1"/>
  <c r="S123" i="4" s="1"/>
  <c r="G37" i="4"/>
  <c r="G78" i="4" s="1"/>
  <c r="G123" i="4" s="1"/>
  <c r="W4" i="4"/>
  <c r="W45" i="4" s="1"/>
  <c r="AB5" i="4"/>
  <c r="AB46" i="4" s="1"/>
  <c r="AB88" i="4" s="1"/>
  <c r="M6" i="4"/>
  <c r="M47" i="4" s="1"/>
  <c r="M89" i="4" s="1"/>
  <c r="AF6" i="4"/>
  <c r="AF47" i="4" s="1"/>
  <c r="AF89" i="4" s="1"/>
  <c r="X9" i="4"/>
  <c r="X50" i="4" s="1"/>
  <c r="J12" i="4"/>
  <c r="J53" i="4" s="1"/>
  <c r="J95" i="4" s="1"/>
  <c r="AG12" i="4"/>
  <c r="AG53" i="4" s="1"/>
  <c r="AG95" i="4" s="1"/>
  <c r="W14" i="4"/>
  <c r="W64" i="4" s="1"/>
  <c r="N17" i="4"/>
  <c r="AG17" i="4"/>
  <c r="T21" i="4"/>
  <c r="U24" i="4"/>
  <c r="U65" i="4" s="1"/>
  <c r="U109" i="4" s="1"/>
  <c r="N27" i="4"/>
  <c r="N68" i="4" s="1"/>
  <c r="N113" i="4" s="1"/>
  <c r="O30" i="4"/>
  <c r="O71" i="4" s="1"/>
  <c r="O116" i="4" s="1"/>
  <c r="AH31" i="4"/>
  <c r="AH72" i="4" s="1"/>
  <c r="AH117" i="4" s="1"/>
  <c r="P33" i="4"/>
  <c r="P74" i="4" s="1"/>
  <c r="P119" i="4" s="1"/>
  <c r="X36" i="4"/>
  <c r="X77" i="4" s="1"/>
  <c r="X122" i="4" s="1"/>
  <c r="J38" i="4"/>
  <c r="J79" i="4" s="1"/>
  <c r="J124" i="4" s="1"/>
  <c r="Y4" i="4"/>
  <c r="Y45" i="4" s="1"/>
  <c r="Y86" i="4" s="1"/>
  <c r="J5" i="4"/>
  <c r="J46" i="4" s="1"/>
  <c r="AC5" i="4"/>
  <c r="AC46" i="4" s="1"/>
  <c r="AC88" i="4" s="1"/>
  <c r="O6" i="4"/>
  <c r="O47" i="4" s="1"/>
  <c r="O89" i="4" s="1"/>
  <c r="F9" i="4"/>
  <c r="F50" i="4" s="1"/>
  <c r="Y9" i="4"/>
  <c r="Y50" i="4" s="1"/>
  <c r="O12" i="4"/>
  <c r="O53" i="4" s="1"/>
  <c r="O95" i="4" s="1"/>
  <c r="AH12" i="4"/>
  <c r="AH53" i="4" s="1"/>
  <c r="X14" i="4"/>
  <c r="P17" i="4"/>
  <c r="P58" i="4" s="1"/>
  <c r="I20" i="4"/>
  <c r="AB21" i="4"/>
  <c r="AB62" i="4" s="1"/>
  <c r="AC24" i="4"/>
  <c r="AC65" i="4" s="1"/>
  <c r="AC109" i="4" s="1"/>
  <c r="V27" i="4"/>
  <c r="V68" i="4" s="1"/>
  <c r="V113" i="4" s="1"/>
  <c r="W30" i="4"/>
  <c r="W71" i="4" s="1"/>
  <c r="X33" i="4"/>
  <c r="X74" i="4" s="1"/>
  <c r="X119" i="4" s="1"/>
  <c r="AG36" i="4"/>
  <c r="AG77" i="4" s="1"/>
  <c r="AG122" i="4" s="1"/>
  <c r="W38" i="4"/>
  <c r="W79" i="4" s="1"/>
  <c r="W124" i="4" s="1"/>
  <c r="N103" i="4"/>
  <c r="V103" i="4"/>
  <c r="AD103" i="4"/>
  <c r="N104" i="4"/>
  <c r="V104" i="4"/>
  <c r="AD104" i="4"/>
  <c r="N105" i="4"/>
  <c r="V105" i="4"/>
  <c r="AD105" i="4"/>
  <c r="S97" i="4"/>
  <c r="AI97" i="4"/>
  <c r="H103" i="4"/>
  <c r="P103" i="4"/>
  <c r="X103" i="4"/>
  <c r="AF103" i="4"/>
  <c r="H104" i="4"/>
  <c r="P104" i="4"/>
  <c r="X104" i="4"/>
  <c r="AF104" i="4"/>
  <c r="H105" i="4"/>
  <c r="P105" i="4"/>
  <c r="X105" i="4"/>
  <c r="N97" i="4"/>
  <c r="V97" i="4"/>
  <c r="AD97" i="4"/>
  <c r="N107" i="4"/>
  <c r="V107" i="4"/>
  <c r="AD107" i="4"/>
  <c r="H97" i="4"/>
  <c r="P97" i="4"/>
  <c r="X97" i="4"/>
  <c r="AF97" i="4"/>
  <c r="AF105" i="4"/>
  <c r="H107" i="4"/>
  <c r="P107" i="4"/>
  <c r="X107" i="4"/>
  <c r="AF107" i="4"/>
  <c r="I97" i="4"/>
  <c r="Q97" i="4"/>
  <c r="Y97" i="4"/>
  <c r="AG97" i="4"/>
  <c r="I103" i="4"/>
  <c r="Q103" i="4"/>
  <c r="Y103" i="4"/>
  <c r="AG103" i="4"/>
  <c r="I104" i="4"/>
  <c r="Q104" i="4"/>
  <c r="Y104" i="4"/>
  <c r="AG104" i="4"/>
  <c r="I105" i="4"/>
  <c r="Q105" i="4"/>
  <c r="Y105" i="4"/>
  <c r="AG105" i="4"/>
  <c r="I107" i="4"/>
  <c r="Q107" i="4"/>
  <c r="Y107" i="4"/>
  <c r="AG107" i="4"/>
  <c r="K103" i="4"/>
  <c r="S103" i="4"/>
  <c r="AA103" i="4"/>
  <c r="AI103" i="4"/>
  <c r="K104" i="4"/>
  <c r="S104" i="4"/>
  <c r="AA104" i="4"/>
  <c r="AI104" i="4"/>
  <c r="K105" i="4"/>
  <c r="S105" i="4"/>
  <c r="AA105" i="4"/>
  <c r="AI105" i="4"/>
  <c r="K107" i="4"/>
  <c r="S107" i="4"/>
  <c r="AA107" i="4"/>
  <c r="AI107" i="4"/>
  <c r="D8" i="5"/>
  <c r="I13" i="5"/>
  <c r="I25" i="5"/>
  <c r="I24" i="5"/>
  <c r="I22" i="5"/>
  <c r="I17" i="5"/>
  <c r="I14" i="5"/>
  <c r="I10" i="5"/>
  <c r="I19" i="5"/>
  <c r="I16" i="5"/>
  <c r="I20" i="5"/>
  <c r="I21" i="5"/>
  <c r="I18" i="5"/>
  <c r="I23" i="5"/>
  <c r="I15" i="5"/>
  <c r="I12" i="5"/>
  <c r="I11" i="5"/>
  <c r="Q22" i="5"/>
  <c r="Q19" i="5"/>
  <c r="Q16" i="5"/>
  <c r="Q20" i="5"/>
  <c r="Q10" i="5"/>
  <c r="Q23" i="5"/>
  <c r="Q15" i="5"/>
  <c r="Q11" i="5"/>
  <c r="Q12" i="5"/>
  <c r="Q25" i="5"/>
  <c r="Q13" i="5"/>
  <c r="Q21" i="5"/>
  <c r="Q17" i="5"/>
  <c r="Q14" i="5"/>
  <c r="Q24" i="5"/>
  <c r="Q18" i="5"/>
  <c r="Y25" i="5"/>
  <c r="Y13" i="5"/>
  <c r="Y10" i="5"/>
  <c r="Y15" i="5"/>
  <c r="Y12" i="5"/>
  <c r="Y21" i="5"/>
  <c r="Y17" i="5"/>
  <c r="Y14" i="5"/>
  <c r="Y18" i="5"/>
  <c r="Y24" i="5"/>
  <c r="Y23" i="5"/>
  <c r="Y11" i="5"/>
  <c r="Y19" i="5"/>
  <c r="Y22" i="5"/>
  <c r="Y20" i="5"/>
  <c r="Y16" i="5"/>
  <c r="AG24" i="5"/>
  <c r="AG15" i="5"/>
  <c r="AG12" i="5"/>
  <c r="AG19" i="5"/>
  <c r="AG16" i="5"/>
  <c r="AG10" i="5"/>
  <c r="AG25" i="5"/>
  <c r="AG23" i="5"/>
  <c r="AG22" i="5"/>
  <c r="AG21" i="5"/>
  <c r="AG18" i="5"/>
  <c r="AG20" i="5"/>
  <c r="AG13" i="5"/>
  <c r="AG17" i="5"/>
  <c r="AG14" i="5"/>
  <c r="AO24" i="5"/>
  <c r="AO21" i="5"/>
  <c r="AO18" i="5"/>
  <c r="AO25" i="5"/>
  <c r="AO10" i="5"/>
  <c r="AO11" i="5"/>
  <c r="AO14" i="5"/>
  <c r="AO15" i="5"/>
  <c r="AO23" i="5"/>
  <c r="AO19" i="5"/>
  <c r="AO16" i="5"/>
  <c r="AO12" i="5"/>
  <c r="AO20" i="5"/>
  <c r="AO22" i="5"/>
  <c r="AO13" i="5"/>
  <c r="AW11" i="5"/>
  <c r="AW21" i="5"/>
  <c r="AW15" i="5"/>
  <c r="AW12" i="5"/>
  <c r="AW10" i="5"/>
  <c r="AW17" i="5"/>
  <c r="AW14" i="5"/>
  <c r="AW23" i="5"/>
  <c r="AW19" i="5"/>
  <c r="AW16" i="5"/>
  <c r="AW20" i="5"/>
  <c r="AW22" i="5"/>
  <c r="AW13" i="5"/>
  <c r="AW25" i="5"/>
  <c r="AW18" i="5"/>
  <c r="AW24" i="5"/>
  <c r="F5" i="5"/>
  <c r="N5" i="5"/>
  <c r="N6" i="5" s="1"/>
  <c r="V5" i="5"/>
  <c r="V6" i="5" s="1"/>
  <c r="AD5" i="5"/>
  <c r="AD6" i="5" s="1"/>
  <c r="B6" i="5"/>
  <c r="AO17" i="5"/>
  <c r="O5" i="5"/>
  <c r="O6" i="5" s="1"/>
  <c r="W5" i="5"/>
  <c r="W6" i="5" s="1"/>
  <c r="AE5" i="5"/>
  <c r="AE6" i="5" s="1"/>
  <c r="C6" i="5"/>
  <c r="B17" i="5"/>
  <c r="B14" i="5"/>
  <c r="B21" i="5"/>
  <c r="B18" i="5"/>
  <c r="B25" i="5"/>
  <c r="B24" i="5"/>
  <c r="B23" i="5"/>
  <c r="B22" i="5"/>
  <c r="B20" i="5"/>
  <c r="J23" i="5"/>
  <c r="J20" i="5"/>
  <c r="J13" i="5"/>
  <c r="R13" i="5"/>
  <c r="R23" i="5"/>
  <c r="R17" i="5"/>
  <c r="R14" i="5"/>
  <c r="R19" i="5"/>
  <c r="R16" i="5"/>
  <c r="Z22" i="5"/>
  <c r="Z19" i="5"/>
  <c r="Z16" i="5"/>
  <c r="Z20" i="5"/>
  <c r="AH25" i="5"/>
  <c r="AH13" i="5"/>
  <c r="AH24" i="5"/>
  <c r="AH15" i="5"/>
  <c r="AH12" i="5"/>
  <c r="AP25" i="5"/>
  <c r="AP23" i="5"/>
  <c r="AP22" i="5"/>
  <c r="AP21" i="5"/>
  <c r="AP15" i="5"/>
  <c r="AP12" i="5"/>
  <c r="AP19" i="5"/>
  <c r="AP16" i="5"/>
  <c r="AP18" i="5"/>
  <c r="AX24" i="5"/>
  <c r="AX21" i="5"/>
  <c r="AX25" i="5"/>
  <c r="AX18" i="5"/>
  <c r="AX23" i="5"/>
  <c r="AX22" i="5"/>
  <c r="AX11" i="5"/>
  <c r="R10" i="5"/>
  <c r="AX10" i="5"/>
  <c r="AH11" i="5"/>
  <c r="AL12" i="5"/>
  <c r="P14" i="5"/>
  <c r="AI15" i="5"/>
  <c r="AB17" i="5"/>
  <c r="AP17" i="5"/>
  <c r="AT18" i="5"/>
  <c r="J19" i="5"/>
  <c r="V19" i="5"/>
  <c r="AL19" i="5"/>
  <c r="AX19" i="5"/>
  <c r="N20" i="5"/>
  <c r="AN20" i="5"/>
  <c r="F22" i="5"/>
  <c r="F23" i="5"/>
  <c r="AJ23" i="5"/>
  <c r="AZ23" i="5"/>
  <c r="N25" i="5"/>
  <c r="AB25" i="5"/>
  <c r="AT25" i="5"/>
  <c r="P5" i="5"/>
  <c r="P6" i="5" s="1"/>
  <c r="Z5" i="5"/>
  <c r="Z6" i="5" s="1"/>
  <c r="C25" i="5"/>
  <c r="C23" i="5"/>
  <c r="C10" i="5"/>
  <c r="C15" i="5"/>
  <c r="C12" i="5"/>
  <c r="C17" i="5"/>
  <c r="C14" i="5"/>
  <c r="K25" i="5"/>
  <c r="K23" i="5"/>
  <c r="K24" i="5"/>
  <c r="K22" i="5"/>
  <c r="K17" i="5"/>
  <c r="K14" i="5"/>
  <c r="K10" i="5"/>
  <c r="K21" i="5"/>
  <c r="K18" i="5"/>
  <c r="K20" i="5"/>
  <c r="S25" i="5"/>
  <c r="S23" i="5"/>
  <c r="S20" i="5"/>
  <c r="S10" i="5"/>
  <c r="S24" i="5"/>
  <c r="S22" i="5"/>
  <c r="S13" i="5"/>
  <c r="AA25" i="5"/>
  <c r="AA23" i="5"/>
  <c r="AA13" i="5"/>
  <c r="AA10" i="5"/>
  <c r="AA17" i="5"/>
  <c r="AA14" i="5"/>
  <c r="AA19" i="5"/>
  <c r="AA16" i="5"/>
  <c r="AI25" i="5"/>
  <c r="AI23" i="5"/>
  <c r="AI21" i="5"/>
  <c r="AI22" i="5"/>
  <c r="AI19" i="5"/>
  <c r="AI16" i="5"/>
  <c r="AI10" i="5"/>
  <c r="AI20" i="5"/>
  <c r="AQ25" i="5"/>
  <c r="AQ23" i="5"/>
  <c r="AQ21" i="5"/>
  <c r="AQ24" i="5"/>
  <c r="AQ10" i="5"/>
  <c r="AQ13" i="5"/>
  <c r="AQ22" i="5"/>
  <c r="AQ15" i="5"/>
  <c r="AQ12" i="5"/>
  <c r="AY25" i="5"/>
  <c r="AY23" i="5"/>
  <c r="AY21" i="5"/>
  <c r="AY15" i="5"/>
  <c r="AY12" i="5"/>
  <c r="AY10" i="5"/>
  <c r="AY24" i="5"/>
  <c r="AY19" i="5"/>
  <c r="AY16" i="5"/>
  <c r="AY18" i="5"/>
  <c r="H10" i="5"/>
  <c r="AD10" i="5"/>
  <c r="AN10" i="5"/>
  <c r="V11" i="5"/>
  <c r="AI11" i="5"/>
  <c r="AY11" i="5"/>
  <c r="N13" i="5"/>
  <c r="AD13" i="5"/>
  <c r="F14" i="5"/>
  <c r="AF14" i="5"/>
  <c r="AN16" i="5"/>
  <c r="AQ17" i="5"/>
  <c r="R18" i="5"/>
  <c r="AH18" i="5"/>
  <c r="K19" i="5"/>
  <c r="AA20" i="5"/>
  <c r="C21" i="5"/>
  <c r="AT21" i="5"/>
  <c r="J22" i="5"/>
  <c r="AA22" i="5"/>
  <c r="C24" i="5"/>
  <c r="R24" i="5"/>
  <c r="G6" i="5"/>
  <c r="D24" i="5"/>
  <c r="D20" i="5"/>
  <c r="D18" i="5"/>
  <c r="D16" i="5"/>
  <c r="D14" i="5"/>
  <c r="D12" i="5"/>
  <c r="D21" i="5"/>
  <c r="L20" i="5"/>
  <c r="L18" i="5"/>
  <c r="L16" i="5"/>
  <c r="L14" i="5"/>
  <c r="L12" i="5"/>
  <c r="L25" i="5"/>
  <c r="L23" i="5"/>
  <c r="L15" i="5"/>
  <c r="L24" i="5"/>
  <c r="L22" i="5"/>
  <c r="L17" i="5"/>
  <c r="T23" i="5"/>
  <c r="T20" i="5"/>
  <c r="T18" i="5"/>
  <c r="T16" i="5"/>
  <c r="T14" i="5"/>
  <c r="T12" i="5"/>
  <c r="T17" i="5"/>
  <c r="T25" i="5"/>
  <c r="T21" i="5"/>
  <c r="AB20" i="5"/>
  <c r="AB18" i="5"/>
  <c r="AB16" i="5"/>
  <c r="AB14" i="5"/>
  <c r="AB12" i="5"/>
  <c r="AB13" i="5"/>
  <c r="AJ20" i="5"/>
  <c r="AJ18" i="5"/>
  <c r="AJ16" i="5"/>
  <c r="AJ14" i="5"/>
  <c r="AJ12" i="5"/>
  <c r="AJ13" i="5"/>
  <c r="AJ17" i="5"/>
  <c r="AJ19" i="5"/>
  <c r="AR25" i="5"/>
  <c r="AR22" i="5"/>
  <c r="AR20" i="5"/>
  <c r="AR18" i="5"/>
  <c r="AR16" i="5"/>
  <c r="AR14" i="5"/>
  <c r="AR12" i="5"/>
  <c r="AR19" i="5"/>
  <c r="AR24" i="5"/>
  <c r="AR23" i="5"/>
  <c r="AR21" i="5"/>
  <c r="AZ20" i="5"/>
  <c r="AZ18" i="5"/>
  <c r="AZ16" i="5"/>
  <c r="AZ14" i="5"/>
  <c r="AZ12" i="5"/>
  <c r="AZ22" i="5"/>
  <c r="AZ25" i="5"/>
  <c r="AZ13" i="5"/>
  <c r="AZ15" i="5"/>
  <c r="J10" i="5"/>
  <c r="AP10" i="5"/>
  <c r="K11" i="5"/>
  <c r="AJ11" i="5"/>
  <c r="AZ11" i="5"/>
  <c r="K12" i="5"/>
  <c r="AA12" i="5"/>
  <c r="C13" i="5"/>
  <c r="AR13" i="5"/>
  <c r="S14" i="5"/>
  <c r="J15" i="5"/>
  <c r="V15" i="5"/>
  <c r="N16" i="5"/>
  <c r="AD16" i="5"/>
  <c r="S17" i="5"/>
  <c r="AR17" i="5"/>
  <c r="H18" i="5"/>
  <c r="S18" i="5"/>
  <c r="AI18" i="5"/>
  <c r="L19" i="5"/>
  <c r="AB19" i="5"/>
  <c r="C20" i="5"/>
  <c r="P20" i="5"/>
  <c r="AP20" i="5"/>
  <c r="R21" i="5"/>
  <c r="AD21" i="5"/>
  <c r="AB22" i="5"/>
  <c r="AT22" i="5"/>
  <c r="X23" i="5"/>
  <c r="T24" i="5"/>
  <c r="D25" i="5"/>
  <c r="AV25" i="5"/>
  <c r="H5" i="5"/>
  <c r="H6" i="5" s="1"/>
  <c r="R5" i="5"/>
  <c r="R6" i="5" s="1"/>
  <c r="V10" i="5"/>
  <c r="AF10" i="5"/>
  <c r="AL11" i="5"/>
  <c r="N12" i="5"/>
  <c r="H14" i="5"/>
  <c r="K15" i="5"/>
  <c r="AL15" i="5"/>
  <c r="P16" i="5"/>
  <c r="AQ16" i="5"/>
  <c r="F17" i="5"/>
  <c r="AQ19" i="5"/>
  <c r="AF20" i="5"/>
  <c r="AQ20" i="5"/>
  <c r="F21" i="5"/>
  <c r="S21" i="5"/>
  <c r="AV21" i="5"/>
  <c r="AV22" i="5"/>
  <c r="F12" i="5"/>
  <c r="F16" i="5"/>
  <c r="F13" i="5"/>
  <c r="F18" i="5"/>
  <c r="F15" i="5"/>
  <c r="N18" i="5"/>
  <c r="N15" i="5"/>
  <c r="N19" i="5"/>
  <c r="N21" i="5"/>
  <c r="V24" i="5"/>
  <c r="V25" i="5"/>
  <c r="V23" i="5"/>
  <c r="V21" i="5"/>
  <c r="V12" i="5"/>
  <c r="V22" i="5"/>
  <c r="V14" i="5"/>
  <c r="AD14" i="5"/>
  <c r="AD25" i="5"/>
  <c r="AD23" i="5"/>
  <c r="AD18" i="5"/>
  <c r="AD15" i="5"/>
  <c r="AD20" i="5"/>
  <c r="AD17" i="5"/>
  <c r="AL23" i="5"/>
  <c r="AL20" i="5"/>
  <c r="AL17" i="5"/>
  <c r="AT14" i="5"/>
  <c r="AT11" i="5"/>
  <c r="AT16" i="5"/>
  <c r="AT13" i="5"/>
  <c r="C11" i="5"/>
  <c r="N11" i="5"/>
  <c r="AA11" i="5"/>
  <c r="AD12" i="5"/>
  <c r="AT12" i="5"/>
  <c r="AI13" i="5"/>
  <c r="X14" i="5"/>
  <c r="AI14" i="5"/>
  <c r="AY14" i="5"/>
  <c r="AA15" i="5"/>
  <c r="C16" i="5"/>
  <c r="S16" i="5"/>
  <c r="AF16" i="5"/>
  <c r="V17" i="5"/>
  <c r="AI17" i="5"/>
  <c r="AX17" i="5"/>
  <c r="J18" i="5"/>
  <c r="AL18" i="5"/>
  <c r="B19" i="5"/>
  <c r="AD19" i="5"/>
  <c r="F20" i="5"/>
  <c r="AT20" i="5"/>
  <c r="AH22" i="5"/>
  <c r="N23" i="5"/>
  <c r="Z23" i="5"/>
  <c r="H24" i="5"/>
  <c r="Z24" i="5"/>
  <c r="AP24" i="5"/>
  <c r="F25" i="5"/>
  <c r="J5" i="5"/>
  <c r="J6" i="5" s="1"/>
  <c r="T5" i="5"/>
  <c r="T6" i="5" s="1"/>
  <c r="AF5" i="5"/>
  <c r="AF6" i="5" s="1"/>
  <c r="D10" i="5"/>
  <c r="N10" i="5"/>
  <c r="AJ10" i="5"/>
  <c r="AT10" i="5"/>
  <c r="D11" i="5"/>
  <c r="AB11" i="5"/>
  <c r="AQ11" i="5"/>
  <c r="R12" i="5"/>
  <c r="V13" i="5"/>
  <c r="AX13" i="5"/>
  <c r="AL14" i="5"/>
  <c r="AB15" i="5"/>
  <c r="AR15" i="5"/>
  <c r="AH16" i="5"/>
  <c r="J17" i="5"/>
  <c r="AY17" i="5"/>
  <c r="Z18" i="5"/>
  <c r="C19" i="5"/>
  <c r="S19" i="5"/>
  <c r="AT19" i="5"/>
  <c r="V20" i="5"/>
  <c r="AH20" i="5"/>
  <c r="C22" i="5"/>
  <c r="R22" i="5"/>
  <c r="AJ22" i="5"/>
  <c r="AY22" i="5"/>
  <c r="AB23" i="5"/>
  <c r="AT23" i="5"/>
  <c r="J24" i="5"/>
  <c r="AA24" i="5"/>
  <c r="AL25" i="5"/>
  <c r="E5" i="5"/>
  <c r="M5" i="5"/>
  <c r="M6" i="5" s="1"/>
  <c r="U5" i="5"/>
  <c r="U6" i="5" s="1"/>
  <c r="AC5" i="5"/>
  <c r="AC6" i="5" s="1"/>
  <c r="C8" i="5"/>
  <c r="H22" i="5"/>
  <c r="H21" i="5"/>
  <c r="H19" i="5"/>
  <c r="H17" i="5"/>
  <c r="H15" i="5"/>
  <c r="H13" i="5"/>
  <c r="H16" i="5"/>
  <c r="H23" i="5"/>
  <c r="H20" i="5"/>
  <c r="P25" i="5"/>
  <c r="P21" i="5"/>
  <c r="P19" i="5"/>
  <c r="P17" i="5"/>
  <c r="P15" i="5"/>
  <c r="P13" i="5"/>
  <c r="P12" i="5"/>
  <c r="P11" i="5"/>
  <c r="X21" i="5"/>
  <c r="X19" i="5"/>
  <c r="X17" i="5"/>
  <c r="X15" i="5"/>
  <c r="X13" i="5"/>
  <c r="X12" i="5"/>
  <c r="X16" i="5"/>
  <c r="X24" i="5"/>
  <c r="X18" i="5"/>
  <c r="X11" i="5"/>
  <c r="AF24" i="5"/>
  <c r="AF21" i="5"/>
  <c r="AF19" i="5"/>
  <c r="AF17" i="5"/>
  <c r="AF15" i="5"/>
  <c r="AF13" i="5"/>
  <c r="AF25" i="5"/>
  <c r="AF23" i="5"/>
  <c r="AF22" i="5"/>
  <c r="AF18" i="5"/>
  <c r="AF11" i="5"/>
  <c r="AN19" i="5"/>
  <c r="AN17" i="5"/>
  <c r="AN15" i="5"/>
  <c r="AN13" i="5"/>
  <c r="AN11" i="5"/>
  <c r="AN25" i="5"/>
  <c r="AN24" i="5"/>
  <c r="AN23" i="5"/>
  <c r="AN22" i="5"/>
  <c r="AN12" i="5"/>
  <c r="AN14" i="5"/>
  <c r="AV19" i="5"/>
  <c r="AV17" i="5"/>
  <c r="AV15" i="5"/>
  <c r="AV13" i="5"/>
  <c r="AV11" i="5"/>
  <c r="AV14" i="5"/>
  <c r="AV18" i="5"/>
  <c r="AV20" i="5"/>
  <c r="F11" i="5"/>
  <c r="AD11" i="5"/>
  <c r="AV12" i="5"/>
  <c r="AL13" i="5"/>
  <c r="N14" i="5"/>
  <c r="V16" i="5"/>
  <c r="AZ17" i="5"/>
  <c r="AA18" i="5"/>
  <c r="AQ18" i="5"/>
  <c r="D19" i="5"/>
  <c r="T19" i="5"/>
  <c r="AH19" i="5"/>
  <c r="AX20" i="5"/>
  <c r="J21" i="5"/>
  <c r="AL21" i="5"/>
  <c r="D22" i="5"/>
  <c r="T22" i="5"/>
  <c r="D23" i="5"/>
  <c r="P23" i="5"/>
  <c r="AV23" i="5"/>
  <c r="N24" i="5"/>
  <c r="AB24" i="5"/>
  <c r="AT24" i="5"/>
  <c r="J25" i="5"/>
  <c r="X25" i="5"/>
  <c r="F19" i="5"/>
  <c r="X20" i="5"/>
  <c r="AY20" i="5"/>
  <c r="AN21" i="5"/>
  <c r="X22" i="5"/>
  <c r="AL22" i="5"/>
  <c r="AH23" i="5"/>
  <c r="P24" i="5"/>
  <c r="AD24" i="5"/>
  <c r="AV24" i="5"/>
  <c r="Z25" i="5"/>
  <c r="BA25" i="5"/>
  <c r="BA22" i="5"/>
  <c r="E11" i="5"/>
  <c r="M11" i="5"/>
  <c r="U11" i="5"/>
  <c r="AC11" i="5"/>
  <c r="AK11" i="5"/>
  <c r="M12" i="5"/>
  <c r="O13" i="5"/>
  <c r="U15" i="5"/>
  <c r="AM15" i="5"/>
  <c r="AS17" i="5"/>
  <c r="U18" i="5"/>
  <c r="AM18" i="5"/>
  <c r="E19" i="5"/>
  <c r="AS20" i="5"/>
  <c r="AC21" i="5"/>
  <c r="AC22" i="5"/>
  <c r="AC24" i="5"/>
  <c r="G24" i="5"/>
  <c r="G22" i="5"/>
  <c r="G25" i="5"/>
  <c r="O24" i="5"/>
  <c r="O22" i="5"/>
  <c r="W24" i="5"/>
  <c r="W22" i="5"/>
  <c r="AE24" i="5"/>
  <c r="AE22" i="5"/>
  <c r="AM24" i="5"/>
  <c r="AM22" i="5"/>
  <c r="AU24" i="5"/>
  <c r="AU22" i="5"/>
  <c r="AU23" i="5"/>
  <c r="G11" i="5"/>
  <c r="O11" i="5"/>
  <c r="W11" i="5"/>
  <c r="AE11" i="5"/>
  <c r="AM11" i="5"/>
  <c r="O12" i="5"/>
  <c r="AS13" i="5"/>
  <c r="U14" i="5"/>
  <c r="AM14" i="5"/>
  <c r="E15" i="5"/>
  <c r="W15" i="5"/>
  <c r="AC17" i="5"/>
  <c r="AU17" i="5"/>
  <c r="W18" i="5"/>
  <c r="G19" i="5"/>
  <c r="BA19" i="5"/>
  <c r="AC20" i="5"/>
  <c r="AU20" i="5"/>
  <c r="M21" i="5"/>
  <c r="AE21" i="5"/>
  <c r="BA21" i="5"/>
  <c r="U22" i="5"/>
  <c r="BA23" i="5"/>
  <c r="BA24" i="5"/>
  <c r="P65" i="7" l="1"/>
  <c r="O40" i="7"/>
  <c r="N67" i="7"/>
  <c r="N2" i="7"/>
  <c r="M38" i="7"/>
  <c r="N51" i="7"/>
  <c r="M59" i="7"/>
  <c r="N17" i="7"/>
  <c r="P17" i="7" s="1"/>
  <c r="M67" i="7"/>
  <c r="O34" i="7"/>
  <c r="O58" i="7"/>
  <c r="O2" i="7"/>
  <c r="P2" i="7" s="1"/>
  <c r="N31" i="7"/>
  <c r="N39" i="7"/>
  <c r="O39" i="7"/>
  <c r="M3" i="7"/>
  <c r="Q19" i="7"/>
  <c r="N10" i="7"/>
  <c r="N18" i="7"/>
  <c r="N25" i="7"/>
  <c r="Q49" i="7"/>
  <c r="N8" i="7"/>
  <c r="O18" i="7"/>
  <c r="M4" i="7"/>
  <c r="M60" i="7"/>
  <c r="P34" i="7"/>
  <c r="P49" i="7"/>
  <c r="O50" i="7"/>
  <c r="N27" i="7"/>
  <c r="O27" i="7" s="1"/>
  <c r="Q65" i="7"/>
  <c r="R65" i="7" s="1"/>
  <c r="Q15" i="7"/>
  <c r="M14" i="7"/>
  <c r="M30" i="7"/>
  <c r="M53" i="7"/>
  <c r="N5" i="7"/>
  <c r="N29" i="7"/>
  <c r="M52" i="7"/>
  <c r="N52" i="7" s="1"/>
  <c r="N26" i="7"/>
  <c r="O51" i="7"/>
  <c r="O10" i="7"/>
  <c r="N41" i="7"/>
  <c r="N66" i="7"/>
  <c r="M54" i="7"/>
  <c r="M22" i="7"/>
  <c r="M62" i="7"/>
  <c r="M45" i="7"/>
  <c r="N62" i="7"/>
  <c r="P19" i="7"/>
  <c r="M11" i="7"/>
  <c r="O21" i="7"/>
  <c r="M35" i="7"/>
  <c r="P56" i="7"/>
  <c r="P47" i="7"/>
  <c r="R57" i="7"/>
  <c r="O17" i="7"/>
  <c r="Q47" i="7"/>
  <c r="M63" i="7"/>
  <c r="M29" i="7"/>
  <c r="N46" i="7"/>
  <c r="O55" i="7"/>
  <c r="P55" i="7" s="1"/>
  <c r="M20" i="7"/>
  <c r="N20" i="7" s="1"/>
  <c r="M44" i="7"/>
  <c r="N53" i="7"/>
  <c r="N61" i="7"/>
  <c r="N28" i="7"/>
  <c r="Q57" i="7"/>
  <c r="N59" i="7"/>
  <c r="P15" i="7"/>
  <c r="M32" i="7"/>
  <c r="M48" i="7"/>
  <c r="M7" i="7"/>
  <c r="N48" i="7"/>
  <c r="O48" i="7" s="1"/>
  <c r="N43" i="7"/>
  <c r="M13" i="7"/>
  <c r="M37" i="7"/>
  <c r="O47" i="7"/>
  <c r="M12" i="7"/>
  <c r="M42" i="7"/>
  <c r="N42" i="7" s="1"/>
  <c r="N36" i="7"/>
  <c r="P57" i="7"/>
  <c r="M33" i="7"/>
  <c r="M16" i="7"/>
  <c r="M24" i="7"/>
  <c r="M6" i="7"/>
  <c r="N23" i="7"/>
  <c r="P9" i="7"/>
  <c r="Q9" i="7" s="1"/>
  <c r="S65" i="7"/>
  <c r="AA121" i="4"/>
  <c r="AJ75" i="4"/>
  <c r="AL34" i="4"/>
  <c r="U96" i="4"/>
  <c r="P85" i="4"/>
  <c r="Z93" i="4"/>
  <c r="AJ48" i="4"/>
  <c r="AL7" i="4"/>
  <c r="N62" i="4"/>
  <c r="P122" i="4"/>
  <c r="U122" i="4"/>
  <c r="AJ70" i="4"/>
  <c r="AL29" i="4"/>
  <c r="Y35" i="4"/>
  <c r="Y76" i="4" s="1"/>
  <c r="AJ69" i="4"/>
  <c r="AL28" i="4"/>
  <c r="AE86" i="4"/>
  <c r="X102" i="4"/>
  <c r="AC94" i="4"/>
  <c r="AJ49" i="4"/>
  <c r="AL8" i="4"/>
  <c r="AJ56" i="4"/>
  <c r="AL56" i="4" s="1"/>
  <c r="AL15" i="4"/>
  <c r="H62" i="4"/>
  <c r="H106" i="4" s="1"/>
  <c r="X92" i="4"/>
  <c r="AH123" i="4"/>
  <c r="W102" i="4"/>
  <c r="V108" i="4"/>
  <c r="V62" i="4"/>
  <c r="X62" i="4"/>
  <c r="Z62" i="4"/>
  <c r="I35" i="4"/>
  <c r="I76" i="4" s="1"/>
  <c r="AD35" i="4"/>
  <c r="AD76" i="4" s="1"/>
  <c r="O35" i="4"/>
  <c r="O76" i="4" s="1"/>
  <c r="U89" i="4"/>
  <c r="AJ62" i="4"/>
  <c r="Q95" i="4"/>
  <c r="Q58" i="4"/>
  <c r="Q102" i="4" s="1"/>
  <c r="N92" i="4"/>
  <c r="O108" i="4"/>
  <c r="AD85" i="4"/>
  <c r="AF85" i="4"/>
  <c r="J117" i="4"/>
  <c r="AJ57" i="4"/>
  <c r="AL57" i="4" s="1"/>
  <c r="AL16" i="4"/>
  <c r="AJ46" i="4"/>
  <c r="AL5" i="4"/>
  <c r="AJ51" i="4"/>
  <c r="AL10" i="4"/>
  <c r="P90" i="4"/>
  <c r="N108" i="4"/>
  <c r="P62" i="4"/>
  <c r="P106" i="4" s="1"/>
  <c r="AJ47" i="4"/>
  <c r="AL6" i="4"/>
  <c r="P102" i="4"/>
  <c r="T123" i="4"/>
  <c r="P126" i="4"/>
  <c r="AB58" i="4"/>
  <c r="AE58" i="4"/>
  <c r="AD108" i="4"/>
  <c r="AJ54" i="4"/>
  <c r="AL13" i="4"/>
  <c r="S96" i="4"/>
  <c r="G94" i="4"/>
  <c r="R117" i="4"/>
  <c r="T93" i="4"/>
  <c r="AJ72" i="4"/>
  <c r="AL31" i="4"/>
  <c r="AJ50" i="4"/>
  <c r="AL9" i="4"/>
  <c r="P116" i="4"/>
  <c r="Z58" i="4"/>
  <c r="S35" i="4"/>
  <c r="S76" i="4" s="1"/>
  <c r="M35" i="4"/>
  <c r="M76" i="4" s="1"/>
  <c r="M121" i="4" s="1"/>
  <c r="X35" i="4"/>
  <c r="X76" i="4" s="1"/>
  <c r="AF124" i="4"/>
  <c r="G108" i="4"/>
  <c r="AH122" i="4"/>
  <c r="AJ77" i="4"/>
  <c r="AL36" i="4"/>
  <c r="AI35" i="4"/>
  <c r="AI76" i="4" s="1"/>
  <c r="AI121" i="4" s="1"/>
  <c r="AG114" i="4"/>
  <c r="AG92" i="4"/>
  <c r="G35" i="4"/>
  <c r="G76" i="4" s="1"/>
  <c r="G121" i="4" s="1"/>
  <c r="X64" i="4"/>
  <c r="X108" i="4" s="1"/>
  <c r="T62" i="4"/>
  <c r="AD123" i="4"/>
  <c r="W123" i="4"/>
  <c r="P123" i="4"/>
  <c r="U117" i="4"/>
  <c r="W117" i="4"/>
  <c r="Y117" i="4"/>
  <c r="K86" i="4"/>
  <c r="M86" i="4"/>
  <c r="S92" i="4"/>
  <c r="U92" i="4"/>
  <c r="S89" i="4"/>
  <c r="N89" i="4"/>
  <c r="AH116" i="4"/>
  <c r="AJ71" i="4"/>
  <c r="AL30" i="4"/>
  <c r="I113" i="4"/>
  <c r="K113" i="4"/>
  <c r="M113" i="4"/>
  <c r="AF111" i="4"/>
  <c r="H88" i="4"/>
  <c r="K88" i="4"/>
  <c r="AD126" i="4"/>
  <c r="X126" i="4"/>
  <c r="Z126" i="4"/>
  <c r="AB126" i="4"/>
  <c r="Z111" i="4"/>
  <c r="AB111" i="4"/>
  <c r="AD111" i="4"/>
  <c r="AH58" i="4"/>
  <c r="AJ58" i="4"/>
  <c r="AL17" i="4"/>
  <c r="AF39" i="4"/>
  <c r="AF80" i="4" s="1"/>
  <c r="X39" i="4"/>
  <c r="X80" i="4" s="1"/>
  <c r="X125" i="4" s="1"/>
  <c r="P39" i="4"/>
  <c r="P80" i="4" s="1"/>
  <c r="H39" i="4"/>
  <c r="H80" i="4" s="1"/>
  <c r="AD39" i="4"/>
  <c r="AD80" i="4" s="1"/>
  <c r="AD125" i="4" s="1"/>
  <c r="V39" i="4"/>
  <c r="V80" i="4" s="1"/>
  <c r="N39" i="4"/>
  <c r="N80" i="4" s="1"/>
  <c r="F39" i="4"/>
  <c r="F80" i="4" s="1"/>
  <c r="AC39" i="4"/>
  <c r="AC80" i="4" s="1"/>
  <c r="AC125" i="4" s="1"/>
  <c r="U39" i="4"/>
  <c r="U80" i="4" s="1"/>
  <c r="U125" i="4" s="1"/>
  <c r="M39" i="4"/>
  <c r="M80" i="4" s="1"/>
  <c r="AI39" i="4"/>
  <c r="AI80" i="4" s="1"/>
  <c r="AI125" i="4" s="1"/>
  <c r="W39" i="4"/>
  <c r="W80" i="4" s="1"/>
  <c r="W125" i="4" s="1"/>
  <c r="J39" i="4"/>
  <c r="J80" i="4" s="1"/>
  <c r="AH39" i="4"/>
  <c r="AH80" i="4" s="1"/>
  <c r="T39" i="4"/>
  <c r="T80" i="4" s="1"/>
  <c r="I39" i="4"/>
  <c r="I80" i="4" s="1"/>
  <c r="AG39" i="4"/>
  <c r="AG80" i="4" s="1"/>
  <c r="AG125" i="4" s="1"/>
  <c r="S39" i="4"/>
  <c r="S80" i="4" s="1"/>
  <c r="S125" i="4" s="1"/>
  <c r="G39" i="4"/>
  <c r="G80" i="4" s="1"/>
  <c r="G125" i="4" s="1"/>
  <c r="AE39" i="4"/>
  <c r="AE80" i="4" s="1"/>
  <c r="AE125" i="4" s="1"/>
  <c r="R39" i="4"/>
  <c r="R80" i="4" s="1"/>
  <c r="R125" i="4" s="1"/>
  <c r="AB39" i="4"/>
  <c r="AB80" i="4" s="1"/>
  <c r="Q39" i="4"/>
  <c r="Q80" i="4" s="1"/>
  <c r="AA39" i="4"/>
  <c r="AA80" i="4" s="1"/>
  <c r="O39" i="4"/>
  <c r="O80" i="4" s="1"/>
  <c r="O125" i="4" s="1"/>
  <c r="Z39" i="4"/>
  <c r="Z80" i="4" s="1"/>
  <c r="Z125" i="4" s="1"/>
  <c r="L39" i="4"/>
  <c r="L80" i="4" s="1"/>
  <c r="L125" i="4" s="1"/>
  <c r="AJ39" i="4"/>
  <c r="Y39" i="4"/>
  <c r="Y80" i="4" s="1"/>
  <c r="K39" i="4"/>
  <c r="K80" i="4" s="1"/>
  <c r="K125" i="4" s="1"/>
  <c r="AH119" i="4"/>
  <c r="AJ74" i="4"/>
  <c r="AL33" i="4"/>
  <c r="G119" i="4"/>
  <c r="J64" i="4"/>
  <c r="J108" i="4" s="1"/>
  <c r="L64" i="4"/>
  <c r="L108" i="4" s="1"/>
  <c r="G106" i="4"/>
  <c r="I62" i="4"/>
  <c r="I106" i="4" s="1"/>
  <c r="K62" i="4"/>
  <c r="AB35" i="4"/>
  <c r="AB76" i="4" s="1"/>
  <c r="AB121" i="4" s="1"/>
  <c r="V35" i="4"/>
  <c r="V76" i="4" s="1"/>
  <c r="V121" i="4" s="1"/>
  <c r="AG35" i="4"/>
  <c r="AG76" i="4" s="1"/>
  <c r="AG121" i="4" s="1"/>
  <c r="AD109" i="4"/>
  <c r="AF109" i="4"/>
  <c r="AH109" i="4"/>
  <c r="AJ65" i="4"/>
  <c r="AL24" i="4"/>
  <c r="I86" i="4"/>
  <c r="P124" i="4"/>
  <c r="I124" i="4"/>
  <c r="AA124" i="4"/>
  <c r="X118" i="4"/>
  <c r="Z118" i="4"/>
  <c r="AB118" i="4"/>
  <c r="P89" i="4"/>
  <c r="H122" i="4"/>
  <c r="J122" i="4"/>
  <c r="AE122" i="4"/>
  <c r="AC118" i="4"/>
  <c r="AC115" i="4"/>
  <c r="AE115" i="4"/>
  <c r="AG115" i="4"/>
  <c r="AI115" i="4"/>
  <c r="O86" i="4"/>
  <c r="R88" i="4"/>
  <c r="AA114" i="4"/>
  <c r="AC114" i="4"/>
  <c r="AE114" i="4"/>
  <c r="I95" i="4"/>
  <c r="H120" i="4"/>
  <c r="J120" i="4"/>
  <c r="Y58" i="4"/>
  <c r="Y102" i="4" s="1"/>
  <c r="P92" i="4"/>
  <c r="V96" i="4"/>
  <c r="X96" i="4"/>
  <c r="AA96" i="4"/>
  <c r="AB112" i="4"/>
  <c r="AD112" i="4"/>
  <c r="AF112" i="4"/>
  <c r="AH112" i="4"/>
  <c r="AJ52" i="4"/>
  <c r="AL11" i="4"/>
  <c r="AD94" i="4"/>
  <c r="Q94" i="4"/>
  <c r="S94" i="4"/>
  <c r="L85" i="4"/>
  <c r="AJ44" i="4"/>
  <c r="AL3" i="4"/>
  <c r="Q85" i="4"/>
  <c r="S85" i="4"/>
  <c r="X91" i="4"/>
  <c r="Z91" i="4"/>
  <c r="AA93" i="4"/>
  <c r="V93" i="4"/>
  <c r="X93" i="4"/>
  <c r="AA90" i="4"/>
  <c r="M108" i="4"/>
  <c r="J62" i="4"/>
  <c r="J106" i="4" s="1"/>
  <c r="V109" i="4"/>
  <c r="E6" i="5"/>
  <c r="AH95" i="4"/>
  <c r="AG58" i="4"/>
  <c r="K123" i="4"/>
  <c r="AI123" i="4"/>
  <c r="X123" i="4"/>
  <c r="AA117" i="4"/>
  <c r="AC117" i="4"/>
  <c r="AE117" i="4"/>
  <c r="AG117" i="4"/>
  <c r="L95" i="4"/>
  <c r="N95" i="4"/>
  <c r="U86" i="4"/>
  <c r="X86" i="4"/>
  <c r="AA92" i="4"/>
  <c r="AC92" i="4"/>
  <c r="P64" i="4"/>
  <c r="P108" i="4" s="1"/>
  <c r="AA89" i="4"/>
  <c r="V89" i="4"/>
  <c r="I116" i="4"/>
  <c r="K116" i="4"/>
  <c r="M116" i="4"/>
  <c r="O113" i="4"/>
  <c r="Q113" i="4"/>
  <c r="S113" i="4"/>
  <c r="U113" i="4"/>
  <c r="M109" i="4"/>
  <c r="N88" i="4"/>
  <c r="P88" i="4"/>
  <c r="S88" i="4"/>
  <c r="M126" i="4"/>
  <c r="AF126" i="4"/>
  <c r="AH126" i="4"/>
  <c r="AJ81" i="4"/>
  <c r="AL40" i="4"/>
  <c r="AH111" i="4"/>
  <c r="AJ66" i="4"/>
  <c r="AL25" i="4"/>
  <c r="G111" i="4"/>
  <c r="K58" i="4"/>
  <c r="K102" i="4" s="1"/>
  <c r="M58" i="4"/>
  <c r="M102" i="4" s="1"/>
  <c r="I119" i="4"/>
  <c r="K119" i="4"/>
  <c r="M119" i="4"/>
  <c r="O119" i="4"/>
  <c r="R108" i="4"/>
  <c r="T64" i="4"/>
  <c r="T108" i="4" s="1"/>
  <c r="M62" i="4"/>
  <c r="O106" i="4"/>
  <c r="Q62" i="4"/>
  <c r="Q106" i="4" s="1"/>
  <c r="S62" i="4"/>
  <c r="W89" i="4"/>
  <c r="K35" i="4"/>
  <c r="K76" i="4" s="1"/>
  <c r="K121" i="4" s="1"/>
  <c r="AE35" i="4"/>
  <c r="AE76" i="4" s="1"/>
  <c r="AE121" i="4" s="1"/>
  <c r="J35" i="4"/>
  <c r="J76" i="4" s="1"/>
  <c r="J121" i="4" s="1"/>
  <c r="G109" i="4"/>
  <c r="I109" i="4"/>
  <c r="K109" i="4"/>
  <c r="U118" i="4"/>
  <c r="L124" i="4"/>
  <c r="AD124" i="4"/>
  <c r="V124" i="4"/>
  <c r="AI124" i="4"/>
  <c r="AF118" i="4"/>
  <c r="AH118" i="4"/>
  <c r="AJ73" i="4"/>
  <c r="AL32" i="4"/>
  <c r="Q122" i="4"/>
  <c r="S122" i="4"/>
  <c r="N122" i="4"/>
  <c r="M118" i="4"/>
  <c r="H115" i="4"/>
  <c r="J115" i="4"/>
  <c r="AH86" i="4"/>
  <c r="L88" i="4"/>
  <c r="Y114" i="4"/>
  <c r="AI114" i="4"/>
  <c r="H114" i="4"/>
  <c r="AE95" i="4"/>
  <c r="L120" i="4"/>
  <c r="N120" i="4"/>
  <c r="P120" i="4"/>
  <c r="R120" i="4"/>
  <c r="H58" i="4"/>
  <c r="H102" i="4" s="1"/>
  <c r="Q92" i="4"/>
  <c r="AC96" i="4"/>
  <c r="AD96" i="4"/>
  <c r="AF96" i="4"/>
  <c r="AI96" i="4"/>
  <c r="AJ67" i="4"/>
  <c r="AL26" i="4"/>
  <c r="G112" i="4"/>
  <c r="I112" i="4"/>
  <c r="AJ124" i="4"/>
  <c r="AL79" i="4"/>
  <c r="O94" i="4"/>
  <c r="L94" i="4"/>
  <c r="Y94" i="4"/>
  <c r="AA94" i="4"/>
  <c r="T85" i="4"/>
  <c r="Y85" i="4"/>
  <c r="AA85" i="4"/>
  <c r="AC91" i="4"/>
  <c r="V91" i="4"/>
  <c r="AF91" i="4"/>
  <c r="AH91" i="4"/>
  <c r="L93" i="4"/>
  <c r="I93" i="4"/>
  <c r="AD93" i="4"/>
  <c r="AF93" i="4"/>
  <c r="K90" i="4"/>
  <c r="L90" i="4"/>
  <c r="N90" i="4"/>
  <c r="Q90" i="4"/>
  <c r="AJ78" i="4"/>
  <c r="AL37" i="4"/>
  <c r="AJ53" i="4"/>
  <c r="AL12" i="4"/>
  <c r="J88" i="4"/>
  <c r="M123" i="4"/>
  <c r="AL4" i="4"/>
  <c r="AJ45" i="4"/>
  <c r="I89" i="4"/>
  <c r="AJ68" i="4"/>
  <c r="AL27" i="4"/>
  <c r="Z88" i="4"/>
  <c r="G126" i="4"/>
  <c r="AD62" i="4"/>
  <c r="W116" i="4"/>
  <c r="N58" i="4"/>
  <c r="N102" i="4" s="1"/>
  <c r="W86" i="4"/>
  <c r="U123" i="4"/>
  <c r="N123" i="4"/>
  <c r="AF123" i="4"/>
  <c r="AI117" i="4"/>
  <c r="H117" i="4"/>
  <c r="T95" i="4"/>
  <c r="V95" i="4"/>
  <c r="AA86" i="4"/>
  <c r="AC86" i="4"/>
  <c r="AI92" i="4"/>
  <c r="G92" i="4"/>
  <c r="AC89" i="4"/>
  <c r="AG89" i="4"/>
  <c r="AI89" i="4"/>
  <c r="AD89" i="4"/>
  <c r="Q116" i="4"/>
  <c r="S116" i="4"/>
  <c r="U116" i="4"/>
  <c r="W113" i="4"/>
  <c r="Y113" i="4"/>
  <c r="AA113" i="4"/>
  <c r="AC113" i="4"/>
  <c r="L62" i="4"/>
  <c r="L106" i="4" s="1"/>
  <c r="V88" i="4"/>
  <c r="X88" i="4"/>
  <c r="AA88" i="4"/>
  <c r="AE126" i="4"/>
  <c r="I126" i="4"/>
  <c r="K126" i="4"/>
  <c r="K111" i="4"/>
  <c r="M111" i="4"/>
  <c r="O111" i="4"/>
  <c r="S58" i="4"/>
  <c r="S102" i="4" s="1"/>
  <c r="U58" i="4"/>
  <c r="U102" i="4" s="1"/>
  <c r="Q119" i="4"/>
  <c r="S119" i="4"/>
  <c r="U119" i="4"/>
  <c r="W119" i="4"/>
  <c r="Z108" i="4"/>
  <c r="AB64" i="4"/>
  <c r="AB108" i="4" s="1"/>
  <c r="U62" i="4"/>
  <c r="U106" i="4" s="1"/>
  <c r="W62" i="4"/>
  <c r="W106" i="4" s="1"/>
  <c r="Y62" i="4"/>
  <c r="Y106" i="4" s="1"/>
  <c r="AA62" i="4"/>
  <c r="AA106" i="4" s="1"/>
  <c r="H35" i="4"/>
  <c r="H76" i="4" s="1"/>
  <c r="H121" i="4" s="1"/>
  <c r="T35" i="4"/>
  <c r="T76" i="4" s="1"/>
  <c r="T121" i="4" s="1"/>
  <c r="N35" i="4"/>
  <c r="N76" i="4" s="1"/>
  <c r="N121" i="4" s="1"/>
  <c r="R35" i="4"/>
  <c r="R76" i="4" s="1"/>
  <c r="R121" i="4" s="1"/>
  <c r="O109" i="4"/>
  <c r="Q109" i="4"/>
  <c r="S109" i="4"/>
  <c r="X124" i="4"/>
  <c r="G124" i="4"/>
  <c r="AG124" i="4"/>
  <c r="M124" i="4"/>
  <c r="G118" i="4"/>
  <c r="I118" i="4"/>
  <c r="K118" i="4"/>
  <c r="P35" i="4"/>
  <c r="P76" i="4" s="1"/>
  <c r="P121" i="4" s="1"/>
  <c r="Z122" i="4"/>
  <c r="AB122" i="4"/>
  <c r="W122" i="4"/>
  <c r="L115" i="4"/>
  <c r="N115" i="4"/>
  <c r="P115" i="4"/>
  <c r="R115" i="4"/>
  <c r="R86" i="4"/>
  <c r="AH88" i="4"/>
  <c r="J114" i="4"/>
  <c r="L114" i="4"/>
  <c r="N114" i="4"/>
  <c r="P114" i="4"/>
  <c r="Y95" i="4"/>
  <c r="T120" i="4"/>
  <c r="V120" i="4"/>
  <c r="X120" i="4"/>
  <c r="Z120" i="4"/>
  <c r="AD58" i="4"/>
  <c r="AE89" i="4"/>
  <c r="L96" i="4"/>
  <c r="G96" i="4"/>
  <c r="I96" i="4"/>
  <c r="K112" i="4"/>
  <c r="M112" i="4"/>
  <c r="O112" i="4"/>
  <c r="Q112" i="4"/>
  <c r="T94" i="4"/>
  <c r="AE94" i="4"/>
  <c r="AG94" i="4"/>
  <c r="AI94" i="4"/>
  <c r="V85" i="4"/>
  <c r="AG85" i="4"/>
  <c r="AI85" i="4"/>
  <c r="G91" i="4"/>
  <c r="I91" i="4"/>
  <c r="L91" i="4"/>
  <c r="AI93" i="4"/>
  <c r="AB93" i="4"/>
  <c r="G93" i="4"/>
  <c r="J93" i="4"/>
  <c r="T90" i="4"/>
  <c r="V90" i="4"/>
  <c r="Y90" i="4"/>
  <c r="AH121" i="4"/>
  <c r="K95" i="4"/>
  <c r="U108" i="4"/>
  <c r="J102" i="4"/>
  <c r="Q108" i="4"/>
  <c r="R62" i="4"/>
  <c r="R106" i="4" s="1"/>
  <c r="AJ76" i="4"/>
  <c r="AL35" i="4"/>
  <c r="AA123" i="4"/>
  <c r="AG108" i="4"/>
  <c r="AI64" i="4"/>
  <c r="AI108" i="4" s="1"/>
  <c r="AF62" i="4"/>
  <c r="AF106" i="4" s="1"/>
  <c r="AH62" i="4"/>
  <c r="AH106" i="4" s="1"/>
  <c r="V122" i="4"/>
  <c r="F6" i="5"/>
  <c r="Y92" i="4"/>
  <c r="W108" i="4"/>
  <c r="AE123" i="4"/>
  <c r="J123" i="4"/>
  <c r="L117" i="4"/>
  <c r="N117" i="4"/>
  <c r="P117" i="4"/>
  <c r="AB95" i="4"/>
  <c r="AD95" i="4"/>
  <c r="J92" i="4"/>
  <c r="L92" i="4"/>
  <c r="O92" i="4"/>
  <c r="G89" i="4"/>
  <c r="J89" i="4"/>
  <c r="L89" i="4"/>
  <c r="Y116" i="4"/>
  <c r="AA116" i="4"/>
  <c r="AC116" i="4"/>
  <c r="AE113" i="4"/>
  <c r="AG113" i="4"/>
  <c r="AI113" i="4"/>
  <c r="Q123" i="4"/>
  <c r="AF58" i="4"/>
  <c r="AF102" i="4" s="1"/>
  <c r="AD88" i="4"/>
  <c r="AF88" i="4"/>
  <c r="Q126" i="4"/>
  <c r="S126" i="4"/>
  <c r="S111" i="4"/>
  <c r="U111" i="4"/>
  <c r="W111" i="4"/>
  <c r="AA58" i="4"/>
  <c r="AA102" i="4" s="1"/>
  <c r="AC58" i="4"/>
  <c r="AC102" i="4" s="1"/>
  <c r="Y119" i="4"/>
  <c r="AA119" i="4"/>
  <c r="AC119" i="4"/>
  <c r="AE119" i="4"/>
  <c r="AH108" i="4"/>
  <c r="AJ64" i="4"/>
  <c r="AL14" i="4"/>
  <c r="AC62" i="4"/>
  <c r="AC106" i="4" s="1"/>
  <c r="AE106" i="4"/>
  <c r="AG62" i="4"/>
  <c r="AG106" i="4" s="1"/>
  <c r="AI62" i="4"/>
  <c r="Q35" i="4"/>
  <c r="Q76" i="4" s="1"/>
  <c r="Q121" i="4" s="1"/>
  <c r="AC35" i="4"/>
  <c r="AC76" i="4" s="1"/>
  <c r="AC121" i="4" s="1"/>
  <c r="W35" i="4"/>
  <c r="W76" i="4" s="1"/>
  <c r="W121" i="4" s="1"/>
  <c r="W109" i="4"/>
  <c r="Y109" i="4"/>
  <c r="AA109" i="4"/>
  <c r="H64" i="4"/>
  <c r="H108" i="4" s="1"/>
  <c r="Q124" i="4"/>
  <c r="R124" i="4"/>
  <c r="U124" i="4"/>
  <c r="O118" i="4"/>
  <c r="Q118" i="4"/>
  <c r="S118" i="4"/>
  <c r="AE116" i="4"/>
  <c r="AI122" i="4"/>
  <c r="K122" i="4"/>
  <c r="AF122" i="4"/>
  <c r="T115" i="4"/>
  <c r="V115" i="4"/>
  <c r="X115" i="4"/>
  <c r="Z115" i="4"/>
  <c r="AG86" i="4"/>
  <c r="T88" i="4"/>
  <c r="R114" i="4"/>
  <c r="T114" i="4"/>
  <c r="V114" i="4"/>
  <c r="X114" i="4"/>
  <c r="G95" i="4"/>
  <c r="AB120" i="4"/>
  <c r="AD120" i="4"/>
  <c r="AF120" i="4"/>
  <c r="AH120" i="4"/>
  <c r="AB96" i="4"/>
  <c r="AH96" i="4"/>
  <c r="O96" i="4"/>
  <c r="Q96" i="4"/>
  <c r="S112" i="4"/>
  <c r="U112" i="4"/>
  <c r="W112" i="4"/>
  <c r="Y112" i="4"/>
  <c r="V94" i="4"/>
  <c r="H94" i="4"/>
  <c r="J94" i="4"/>
  <c r="H85" i="4"/>
  <c r="J85" i="4"/>
  <c r="M85" i="4"/>
  <c r="O91" i="4"/>
  <c r="Q91" i="4"/>
  <c r="T91" i="4"/>
  <c r="Q93" i="4"/>
  <c r="M93" i="4"/>
  <c r="O93" i="4"/>
  <c r="R93" i="4"/>
  <c r="H90" i="4"/>
  <c r="AB90" i="4"/>
  <c r="AD90" i="4"/>
  <c r="AG90" i="4"/>
  <c r="N45" i="7" l="1"/>
  <c r="O45" i="7" s="1"/>
  <c r="P27" i="7"/>
  <c r="S57" i="7"/>
  <c r="N60" i="7"/>
  <c r="P60" i="7" s="1"/>
  <c r="O60" i="7"/>
  <c r="Q17" i="7"/>
  <c r="N13" i="7"/>
  <c r="O13" i="7"/>
  <c r="O36" i="7"/>
  <c r="Q2" i="7"/>
  <c r="O42" i="7"/>
  <c r="R42" i="7" s="1"/>
  <c r="P10" i="7"/>
  <c r="R15" i="7"/>
  <c r="S15" i="7" s="1"/>
  <c r="N63" i="7"/>
  <c r="Q55" i="7"/>
  <c r="O52" i="7"/>
  <c r="P42" i="7"/>
  <c r="O33" i="7"/>
  <c r="N33" i="7"/>
  <c r="P33" i="7" s="1"/>
  <c r="O53" i="7"/>
  <c r="O29" i="7"/>
  <c r="P29" i="7" s="1"/>
  <c r="R34" i="7"/>
  <c r="R49" i="7"/>
  <c r="O20" i="7"/>
  <c r="N35" i="7"/>
  <c r="Q34" i="7"/>
  <c r="N6" i="7"/>
  <c r="O23" i="7"/>
  <c r="P23" i="7" s="1"/>
  <c r="O66" i="7"/>
  <c r="S34" i="7"/>
  <c r="T34" i="7" s="1"/>
  <c r="P51" i="7"/>
  <c r="Q51" i="7" s="1"/>
  <c r="R9" i="7"/>
  <c r="S9" i="7" s="1"/>
  <c r="N24" i="7"/>
  <c r="O24" i="7"/>
  <c r="N7" i="7"/>
  <c r="O46" i="7"/>
  <c r="O28" i="7"/>
  <c r="N11" i="7"/>
  <c r="Q56" i="7"/>
  <c r="P52" i="7"/>
  <c r="R55" i="7"/>
  <c r="R19" i="7"/>
  <c r="P40" i="7"/>
  <c r="N44" i="7"/>
  <c r="O44" i="7" s="1"/>
  <c r="Q42" i="7"/>
  <c r="N16" i="7"/>
  <c r="N12" i="7"/>
  <c r="P5" i="7"/>
  <c r="O41" i="7"/>
  <c r="O5" i="7"/>
  <c r="O8" i="7"/>
  <c r="O25" i="7"/>
  <c r="N3" i="7"/>
  <c r="P39" i="7"/>
  <c r="N30" i="7"/>
  <c r="S19" i="7"/>
  <c r="T19" i="7" s="1"/>
  <c r="N4" i="7"/>
  <c r="O4" i="7" s="1"/>
  <c r="P58" i="7"/>
  <c r="R47" i="7"/>
  <c r="T47" i="7" s="1"/>
  <c r="U47" i="7" s="1"/>
  <c r="S47" i="7"/>
  <c r="P21" i="7"/>
  <c r="O62" i="7"/>
  <c r="N14" i="7"/>
  <c r="O26" i="7"/>
  <c r="O31" i="7"/>
  <c r="O59" i="7"/>
  <c r="P18" i="7"/>
  <c r="R17" i="7"/>
  <c r="O43" i="7"/>
  <c r="P50" i="7"/>
  <c r="N37" i="7"/>
  <c r="O37" i="7"/>
  <c r="N32" i="7"/>
  <c r="O61" i="7"/>
  <c r="P37" i="7"/>
  <c r="O67" i="7"/>
  <c r="N54" i="7"/>
  <c r="Q52" i="7"/>
  <c r="Q58" i="7"/>
  <c r="N22" i="7"/>
  <c r="P48" i="7"/>
  <c r="N38" i="7"/>
  <c r="T65" i="7"/>
  <c r="I102" i="4"/>
  <c r="Y125" i="4"/>
  <c r="J125" i="4"/>
  <c r="V125" i="4"/>
  <c r="AH102" i="4"/>
  <c r="AJ92" i="4"/>
  <c r="AL50" i="4"/>
  <c r="I121" i="4"/>
  <c r="R102" i="4"/>
  <c r="AJ113" i="4"/>
  <c r="AL68" i="4"/>
  <c r="AF121" i="4"/>
  <c r="AJ80" i="4"/>
  <c r="AL39" i="4"/>
  <c r="AJ116" i="4"/>
  <c r="AL71" i="4"/>
  <c r="AJ96" i="4"/>
  <c r="AL54" i="4"/>
  <c r="AJ89" i="4"/>
  <c r="AL47" i="4"/>
  <c r="AJ88" i="4"/>
  <c r="AL46" i="4"/>
  <c r="Z106" i="4"/>
  <c r="AJ91" i="4"/>
  <c r="AL49" i="4"/>
  <c r="AJ115" i="4"/>
  <c r="AL70" i="4"/>
  <c r="AJ121" i="4"/>
  <c r="AL76" i="4"/>
  <c r="AJ111" i="4"/>
  <c r="AL66" i="4"/>
  <c r="H125" i="4"/>
  <c r="X121" i="4"/>
  <c r="AJ117" i="4"/>
  <c r="AL72" i="4"/>
  <c r="X106" i="4"/>
  <c r="AJ108" i="4"/>
  <c r="AL64" i="4"/>
  <c r="AJ86" i="4"/>
  <c r="AL45" i="4"/>
  <c r="K108" i="4"/>
  <c r="M125" i="4"/>
  <c r="P125" i="4"/>
  <c r="AB106" i="4"/>
  <c r="AE102" i="4"/>
  <c r="AJ106" i="4"/>
  <c r="AL62" i="4"/>
  <c r="V106" i="4"/>
  <c r="L121" i="4"/>
  <c r="AD102" i="4"/>
  <c r="AJ123" i="4"/>
  <c r="AL78" i="4"/>
  <c r="S106" i="4"/>
  <c r="AG102" i="4"/>
  <c r="AJ94" i="4"/>
  <c r="AL52" i="4"/>
  <c r="S121" i="4"/>
  <c r="AB102" i="4"/>
  <c r="L102" i="4"/>
  <c r="AC108" i="4"/>
  <c r="N106" i="4"/>
  <c r="AJ120" i="4"/>
  <c r="AL75" i="4"/>
  <c r="O102" i="4"/>
  <c r="AD106" i="4"/>
  <c r="AJ112" i="4"/>
  <c r="AL67" i="4"/>
  <c r="AJ118" i="4"/>
  <c r="AL73" i="4"/>
  <c r="AJ126" i="4"/>
  <c r="AL81" i="4"/>
  <c r="AJ119" i="4"/>
  <c r="AL74" i="4"/>
  <c r="AA125" i="4"/>
  <c r="I125" i="4"/>
  <c r="AF125" i="4"/>
  <c r="Z102" i="4"/>
  <c r="Y108" i="4"/>
  <c r="AI102" i="4"/>
  <c r="I108" i="4"/>
  <c r="AI106" i="4"/>
  <c r="AJ85" i="4"/>
  <c r="AL44" i="4"/>
  <c r="K106" i="4"/>
  <c r="Q125" i="4"/>
  <c r="T125" i="4"/>
  <c r="AJ122" i="4"/>
  <c r="AL77" i="4"/>
  <c r="O121" i="4"/>
  <c r="AJ114" i="4"/>
  <c r="AL69" i="4"/>
  <c r="V102" i="4"/>
  <c r="AJ95" i="4"/>
  <c r="AL53" i="4"/>
  <c r="U121" i="4"/>
  <c r="M106" i="4"/>
  <c r="AJ109" i="4"/>
  <c r="AL65" i="4"/>
  <c r="AB125" i="4"/>
  <c r="AH125" i="4"/>
  <c r="N125" i="4"/>
  <c r="AJ102" i="4"/>
  <c r="AL58" i="4"/>
  <c r="T106" i="4"/>
  <c r="AJ93" i="4"/>
  <c r="AL51" i="4"/>
  <c r="AD121" i="4"/>
  <c r="T102" i="4"/>
  <c r="Y121" i="4"/>
  <c r="AJ90" i="4"/>
  <c r="AL48" i="4"/>
  <c r="Z121" i="4"/>
  <c r="S58" i="7" l="1"/>
  <c r="R51" i="7"/>
  <c r="T51" i="7" s="1"/>
  <c r="U51" i="7" s="1"/>
  <c r="Q29" i="7"/>
  <c r="U15" i="7"/>
  <c r="R23" i="7"/>
  <c r="Q23" i="7"/>
  <c r="Q14" i="7"/>
  <c r="P45" i="7"/>
  <c r="P54" i="7"/>
  <c r="R58" i="7"/>
  <c r="P31" i="7"/>
  <c r="P67" i="7"/>
  <c r="P4" i="7"/>
  <c r="Q26" i="7"/>
  <c r="P41" i="7"/>
  <c r="R24" i="7"/>
  <c r="P24" i="7"/>
  <c r="Q33" i="7"/>
  <c r="Q10" i="7"/>
  <c r="O38" i="7"/>
  <c r="R2" i="7"/>
  <c r="S2" i="7" s="1"/>
  <c r="P26" i="7"/>
  <c r="Q21" i="7"/>
  <c r="R21" i="7"/>
  <c r="Q41" i="7"/>
  <c r="R41" i="7" s="1"/>
  <c r="O54" i="7"/>
  <c r="O35" i="7"/>
  <c r="P14" i="7"/>
  <c r="Q37" i="7"/>
  <c r="Q48" i="7"/>
  <c r="O12" i="7"/>
  <c r="S55" i="7"/>
  <c r="Q24" i="7"/>
  <c r="Q31" i="7"/>
  <c r="P66" i="7"/>
  <c r="P53" i="7"/>
  <c r="S51" i="7"/>
  <c r="P44" i="7"/>
  <c r="R45" i="7"/>
  <c r="R14" i="7"/>
  <c r="O14" i="7"/>
  <c r="P8" i="7"/>
  <c r="Q40" i="7"/>
  <c r="O11" i="7"/>
  <c r="O6" i="7"/>
  <c r="V34" i="7"/>
  <c r="T15" i="7"/>
  <c r="R60" i="7"/>
  <c r="Q27" i="7"/>
  <c r="Q45" i="7"/>
  <c r="P61" i="7"/>
  <c r="Q61" i="7" s="1"/>
  <c r="P62" i="7"/>
  <c r="Q39" i="7"/>
  <c r="O16" i="7"/>
  <c r="S49" i="7"/>
  <c r="R56" i="7"/>
  <c r="S56" i="7" s="1"/>
  <c r="O7" i="7"/>
  <c r="S17" i="7"/>
  <c r="Q5" i="7"/>
  <c r="S23" i="7"/>
  <c r="U34" i="7"/>
  <c r="R5" i="7"/>
  <c r="O63" i="7"/>
  <c r="P36" i="7"/>
  <c r="P13" i="7"/>
  <c r="Q60" i="7"/>
  <c r="S60" i="7" s="1"/>
  <c r="P20" i="7"/>
  <c r="O32" i="7"/>
  <c r="P43" i="7"/>
  <c r="Q18" i="7"/>
  <c r="Q62" i="7"/>
  <c r="T58" i="7"/>
  <c r="O30" i="7"/>
  <c r="O3" i="7"/>
  <c r="T9" i="7"/>
  <c r="P28" i="7"/>
  <c r="Q28" i="7" s="1"/>
  <c r="U19" i="7"/>
  <c r="R29" i="7"/>
  <c r="S52" i="7"/>
  <c r="Q36" i="7"/>
  <c r="Q32" i="7"/>
  <c r="Q4" i="7"/>
  <c r="P25" i="7"/>
  <c r="O22" i="7"/>
  <c r="P46" i="7"/>
  <c r="T57" i="7"/>
  <c r="S21" i="7"/>
  <c r="R33" i="7"/>
  <c r="R52" i="7"/>
  <c r="P32" i="7"/>
  <c r="S42" i="7"/>
  <c r="Q50" i="7"/>
  <c r="P59" i="7"/>
  <c r="U65" i="7"/>
  <c r="V65" i="7" s="1"/>
  <c r="V47" i="7"/>
  <c r="Y47" i="7" s="1"/>
  <c r="W47" i="7"/>
  <c r="X47" i="7"/>
  <c r="AJ125" i="4"/>
  <c r="AL80" i="4"/>
  <c r="A43" i="4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T60" i="7" l="1"/>
  <c r="U49" i="7"/>
  <c r="V41" i="7"/>
  <c r="W41" i="7" s="1"/>
  <c r="U41" i="7"/>
  <c r="U57" i="7"/>
  <c r="R32" i="7"/>
  <c r="R36" i="7"/>
  <c r="S14" i="7"/>
  <c r="V57" i="7"/>
  <c r="R31" i="7"/>
  <c r="R28" i="7"/>
  <c r="Q46" i="7"/>
  <c r="R46" i="7"/>
  <c r="P3" i="7"/>
  <c r="S32" i="7"/>
  <c r="Q63" i="7"/>
  <c r="T49" i="7"/>
  <c r="V49" i="7"/>
  <c r="R62" i="7"/>
  <c r="V15" i="7"/>
  <c r="R48" i="7"/>
  <c r="P35" i="7"/>
  <c r="Q35" i="7"/>
  <c r="U21" i="7"/>
  <c r="S41" i="7"/>
  <c r="T41" i="7" s="1"/>
  <c r="U23" i="7"/>
  <c r="P30" i="7"/>
  <c r="Q66" i="7"/>
  <c r="R66" i="7"/>
  <c r="T42" i="7"/>
  <c r="W34" i="7"/>
  <c r="X34" i="7" s="1"/>
  <c r="P6" i="7"/>
  <c r="R40" i="7"/>
  <c r="S40" i="7" s="1"/>
  <c r="R35" i="7"/>
  <c r="T21" i="7"/>
  <c r="R44" i="7"/>
  <c r="U9" i="7"/>
  <c r="V9" i="7" s="1"/>
  <c r="W9" i="7" s="1"/>
  <c r="Q54" i="7"/>
  <c r="V23" i="7"/>
  <c r="S48" i="7"/>
  <c r="Q59" i="7"/>
  <c r="P38" i="7"/>
  <c r="T56" i="7"/>
  <c r="P16" i="7"/>
  <c r="T2" i="7"/>
  <c r="U2" i="7" s="1"/>
  <c r="T48" i="7"/>
  <c r="U58" i="7"/>
  <c r="T23" i="7"/>
  <c r="Q67" i="7"/>
  <c r="U42" i="7"/>
  <c r="Q3" i="7"/>
  <c r="R18" i="7"/>
  <c r="R50" i="7"/>
  <c r="X15" i="7"/>
  <c r="P11" i="7"/>
  <c r="Q8" i="7"/>
  <c r="R8" i="7" s="1"/>
  <c r="Q53" i="7"/>
  <c r="T55" i="7"/>
  <c r="R4" i="7"/>
  <c r="S33" i="7"/>
  <c r="T45" i="7"/>
  <c r="T29" i="7"/>
  <c r="P7" i="7"/>
  <c r="Q13" i="7"/>
  <c r="R13" i="7"/>
  <c r="V19" i="7"/>
  <c r="Q43" i="7"/>
  <c r="S29" i="7"/>
  <c r="U29" i="7" s="1"/>
  <c r="S5" i="7"/>
  <c r="T14" i="7"/>
  <c r="R26" i="7"/>
  <c r="R37" i="7"/>
  <c r="T24" i="7"/>
  <c r="S45" i="7"/>
  <c r="W15" i="7"/>
  <c r="P22" i="7"/>
  <c r="R27" i="7"/>
  <c r="S24" i="7"/>
  <c r="S18" i="7"/>
  <c r="Q25" i="7"/>
  <c r="U60" i="7"/>
  <c r="U17" i="7"/>
  <c r="T17" i="7"/>
  <c r="R39" i="7"/>
  <c r="R61" i="7"/>
  <c r="T52" i="7"/>
  <c r="U52" i="7" s="1"/>
  <c r="P12" i="7"/>
  <c r="R10" i="7"/>
  <c r="Q44" i="7"/>
  <c r="S37" i="7"/>
  <c r="V42" i="7"/>
  <c r="Q20" i="7"/>
  <c r="P63" i="7"/>
  <c r="V51" i="7"/>
  <c r="W65" i="7"/>
  <c r="Z47" i="7"/>
  <c r="V24" i="7" l="1"/>
  <c r="R7" i="7"/>
  <c r="T37" i="7"/>
  <c r="U45" i="7"/>
  <c r="W57" i="7"/>
  <c r="X57" i="7" s="1"/>
  <c r="R3" i="7"/>
  <c r="R59" i="7"/>
  <c r="S20" i="7"/>
  <c r="V29" i="7"/>
  <c r="W29" i="7" s="1"/>
  <c r="U56" i="7"/>
  <c r="V56" i="7" s="1"/>
  <c r="S10" i="7"/>
  <c r="R53" i="7"/>
  <c r="S50" i="7"/>
  <c r="V21" i="7"/>
  <c r="T32" i="7"/>
  <c r="T40" i="7"/>
  <c r="X41" i="7"/>
  <c r="S26" i="7"/>
  <c r="R67" i="7"/>
  <c r="R54" i="7"/>
  <c r="T54" i="7" s="1"/>
  <c r="U54" i="7" s="1"/>
  <c r="Q30" i="7"/>
  <c r="S44" i="7"/>
  <c r="S35" i="7"/>
  <c r="V52" i="7"/>
  <c r="W42" i="7"/>
  <c r="T10" i="7"/>
  <c r="T39" i="7"/>
  <c r="V58" i="7"/>
  <c r="R43" i="7"/>
  <c r="T67" i="7"/>
  <c r="R25" i="7"/>
  <c r="S25" i="7" s="1"/>
  <c r="S13" i="7"/>
  <c r="S46" i="7"/>
  <c r="S3" i="7"/>
  <c r="S66" i="7"/>
  <c r="W23" i="7"/>
  <c r="Y23" i="7" s="1"/>
  <c r="R63" i="7"/>
  <c r="S63" i="7" s="1"/>
  <c r="S39" i="7"/>
  <c r="Q12" i="7"/>
  <c r="S8" i="7"/>
  <c r="Y15" i="7"/>
  <c r="T33" i="7"/>
  <c r="U24" i="7"/>
  <c r="U48" i="7"/>
  <c r="U14" i="7"/>
  <c r="V14" i="7" s="1"/>
  <c r="Q22" i="7"/>
  <c r="S27" i="7"/>
  <c r="S53" i="7"/>
  <c r="Q7" i="7"/>
  <c r="T4" i="7"/>
  <c r="W19" i="7"/>
  <c r="T26" i="7"/>
  <c r="R11" i="7"/>
  <c r="Q11" i="7"/>
  <c r="T18" i="7"/>
  <c r="U32" i="7"/>
  <c r="X23" i="7"/>
  <c r="T8" i="7"/>
  <c r="S62" i="7"/>
  <c r="V48" i="7"/>
  <c r="W49" i="7"/>
  <c r="V60" i="7"/>
  <c r="W2" i="7"/>
  <c r="T5" i="7"/>
  <c r="V55" i="7"/>
  <c r="U55" i="7"/>
  <c r="Y34" i="7"/>
  <c r="R20" i="7"/>
  <c r="T20" i="7" s="1"/>
  <c r="W52" i="7"/>
  <c r="V17" i="7"/>
  <c r="S59" i="7"/>
  <c r="Q6" i="7"/>
  <c r="S54" i="7"/>
  <c r="U18" i="7"/>
  <c r="Q38" i="7"/>
  <c r="S36" i="7"/>
  <c r="V45" i="7"/>
  <c r="W45" i="7" s="1"/>
  <c r="Q16" i="7"/>
  <c r="V2" i="7"/>
  <c r="S28" i="7"/>
  <c r="S31" i="7"/>
  <c r="S67" i="7"/>
  <c r="S61" i="7"/>
  <c r="S4" i="7"/>
  <c r="X9" i="7"/>
  <c r="W51" i="7"/>
  <c r="Y41" i="7"/>
  <c r="X65" i="7"/>
  <c r="AA47" i="7"/>
  <c r="Z34" i="7"/>
  <c r="X51" i="7"/>
  <c r="Z41" i="7"/>
  <c r="AA41" i="7" s="1"/>
  <c r="Z23" i="7" l="1"/>
  <c r="W14" i="7"/>
  <c r="X60" i="7"/>
  <c r="T63" i="7"/>
  <c r="T25" i="7"/>
  <c r="Y29" i="7"/>
  <c r="X29" i="7"/>
  <c r="V37" i="7"/>
  <c r="R38" i="7"/>
  <c r="X49" i="7"/>
  <c r="X19" i="7"/>
  <c r="T27" i="7"/>
  <c r="S43" i="7"/>
  <c r="T66" i="7"/>
  <c r="U66" i="7" s="1"/>
  <c r="Y57" i="7"/>
  <c r="X21" i="7"/>
  <c r="T59" i="7"/>
  <c r="T3" i="7"/>
  <c r="X2" i="7"/>
  <c r="V18" i="7"/>
  <c r="U33" i="7"/>
  <c r="R6" i="7"/>
  <c r="T53" i="7"/>
  <c r="W18" i="7"/>
  <c r="W21" i="7"/>
  <c r="V32" i="7"/>
  <c r="U50" i="7"/>
  <c r="T50" i="7"/>
  <c r="W20" i="7"/>
  <c r="W48" i="7"/>
  <c r="S11" i="7"/>
  <c r="U53" i="7"/>
  <c r="Z15" i="7"/>
  <c r="T61" i="7"/>
  <c r="U10" i="7"/>
  <c r="W56" i="7"/>
  <c r="R16" i="7"/>
  <c r="V20" i="7"/>
  <c r="X20" i="7" s="1"/>
  <c r="U62" i="7"/>
  <c r="R12" i="7"/>
  <c r="R30" i="7"/>
  <c r="S30" i="7"/>
  <c r="U61" i="7"/>
  <c r="U4" i="7"/>
  <c r="U39" i="7"/>
  <c r="T31" i="7"/>
  <c r="V31" i="7" s="1"/>
  <c r="U8" i="7"/>
  <c r="V8" i="7" s="1"/>
  <c r="U27" i="7"/>
  <c r="T44" i="7"/>
  <c r="S6" i="7"/>
  <c r="V40" i="7"/>
  <c r="T28" i="7"/>
  <c r="U25" i="7"/>
  <c r="U46" i="7"/>
  <c r="X42" i="7"/>
  <c r="X45" i="7"/>
  <c r="X52" i="7"/>
  <c r="U31" i="7"/>
  <c r="U20" i="7"/>
  <c r="S38" i="7"/>
  <c r="W60" i="7"/>
  <c r="U26" i="7"/>
  <c r="AA23" i="7"/>
  <c r="Y2" i="7"/>
  <c r="W24" i="7"/>
  <c r="U59" i="7"/>
  <c r="T62" i="7"/>
  <c r="U37" i="7"/>
  <c r="W37" i="7" s="1"/>
  <c r="U67" i="7"/>
  <c r="T46" i="7"/>
  <c r="Y42" i="7"/>
  <c r="W58" i="7"/>
  <c r="Y45" i="7"/>
  <c r="W55" i="7"/>
  <c r="S22" i="7"/>
  <c r="W17" i="7"/>
  <c r="S7" i="7"/>
  <c r="T13" i="7"/>
  <c r="V54" i="7"/>
  <c r="W54" i="7" s="1"/>
  <c r="R22" i="7"/>
  <c r="T22" i="7" s="1"/>
  <c r="T35" i="7"/>
  <c r="U5" i="7"/>
  <c r="U40" i="7"/>
  <c r="T36" i="7"/>
  <c r="AB41" i="7"/>
  <c r="AA34" i="7"/>
  <c r="Y65" i="7"/>
  <c r="AC41" i="7"/>
  <c r="AB47" i="7"/>
  <c r="Z65" i="7"/>
  <c r="Y51" i="7"/>
  <c r="Z51" i="7" s="1"/>
  <c r="Y9" i="7"/>
  <c r="X40" i="7" l="1"/>
  <c r="W5" i="7"/>
  <c r="U22" i="7"/>
  <c r="AA9" i="7"/>
  <c r="V62" i="7"/>
  <c r="V25" i="7"/>
  <c r="Y19" i="7"/>
  <c r="V13" i="7"/>
  <c r="Z9" i="7"/>
  <c r="X58" i="7"/>
  <c r="Z45" i="7"/>
  <c r="W39" i="7"/>
  <c r="X24" i="7"/>
  <c r="Z21" i="7"/>
  <c r="U38" i="7"/>
  <c r="V27" i="7"/>
  <c r="U36" i="7"/>
  <c r="AB23" i="7"/>
  <c r="X8" i="7"/>
  <c r="U13" i="7"/>
  <c r="V10" i="7"/>
  <c r="U44" i="7"/>
  <c r="AA21" i="7"/>
  <c r="U28" i="7"/>
  <c r="X18" i="7"/>
  <c r="Z18" i="7" s="1"/>
  <c r="V4" i="7"/>
  <c r="Y60" i="7"/>
  <c r="X56" i="7"/>
  <c r="X54" i="7"/>
  <c r="Y54" i="7" s="1"/>
  <c r="Y5" i="7"/>
  <c r="V5" i="7"/>
  <c r="X17" i="7"/>
  <c r="W40" i="7"/>
  <c r="W31" i="7"/>
  <c r="W27" i="7"/>
  <c r="Z2" i="7"/>
  <c r="V67" i="7"/>
  <c r="AA2" i="7"/>
  <c r="Z42" i="7"/>
  <c r="X48" i="7"/>
  <c r="V59" i="7"/>
  <c r="W59" i="7" s="1"/>
  <c r="AA65" i="7"/>
  <c r="AC65" i="7" s="1"/>
  <c r="U35" i="7"/>
  <c r="T7" i="7"/>
  <c r="Y52" i="7"/>
  <c r="Z52" i="7"/>
  <c r="AA52" i="7"/>
  <c r="W8" i="7"/>
  <c r="Z29" i="7"/>
  <c r="S12" i="7"/>
  <c r="W61" i="7"/>
  <c r="V28" i="7"/>
  <c r="T43" i="7"/>
  <c r="U43" i="7"/>
  <c r="V43" i="7" s="1"/>
  <c r="Y49" i="7"/>
  <c r="Z24" i="7"/>
  <c r="V39" i="7"/>
  <c r="V66" i="7"/>
  <c r="V53" i="7"/>
  <c r="AB9" i="7"/>
  <c r="V22" i="7"/>
  <c r="Y24" i="7"/>
  <c r="AA24" i="7" s="1"/>
  <c r="U30" i="7"/>
  <c r="U6" i="7"/>
  <c r="Y18" i="7"/>
  <c r="AA18" i="7" s="1"/>
  <c r="X5" i="7"/>
  <c r="X37" i="7"/>
  <c r="T6" i="7"/>
  <c r="V6" i="7" s="1"/>
  <c r="W32" i="7"/>
  <c r="V50" i="7"/>
  <c r="T30" i="7"/>
  <c r="T11" i="7"/>
  <c r="V26" i="7"/>
  <c r="V61" i="7"/>
  <c r="U63" i="7"/>
  <c r="T38" i="7"/>
  <c r="V46" i="7"/>
  <c r="Y20" i="7"/>
  <c r="X55" i="7"/>
  <c r="S16" i="7"/>
  <c r="T16" i="7"/>
  <c r="AA15" i="7"/>
  <c r="AB15" i="7"/>
  <c r="X14" i="7"/>
  <c r="V33" i="7"/>
  <c r="U3" i="7"/>
  <c r="W25" i="7"/>
  <c r="AA45" i="7"/>
  <c r="Z57" i="7"/>
  <c r="Y21" i="7"/>
  <c r="AB65" i="7"/>
  <c r="AC47" i="7"/>
  <c r="AD41" i="7"/>
  <c r="AA51" i="7"/>
  <c r="AD47" i="7"/>
  <c r="AB51" i="7"/>
  <c r="AB34" i="7"/>
  <c r="AC51" i="7"/>
  <c r="AC9" i="7"/>
  <c r="AD9" i="7" s="1"/>
  <c r="X59" i="7" l="1"/>
  <c r="W6" i="7"/>
  <c r="Y61" i="7"/>
  <c r="Z54" i="7"/>
  <c r="AD24" i="7"/>
  <c r="Z49" i="7"/>
  <c r="AA49" i="7"/>
  <c r="T12" i="7"/>
  <c r="Y8" i="7"/>
  <c r="Y56" i="7"/>
  <c r="Z56" i="7" s="1"/>
  <c r="W13" i="7"/>
  <c r="AA5" i="7"/>
  <c r="Y58" i="7"/>
  <c r="X33" i="7"/>
  <c r="W33" i="7"/>
  <c r="AD15" i="7"/>
  <c r="AC15" i="7"/>
  <c r="V63" i="7"/>
  <c r="V3" i="7"/>
  <c r="V7" i="7"/>
  <c r="U7" i="7"/>
  <c r="Z37" i="7"/>
  <c r="W67" i="7"/>
  <c r="AB21" i="7"/>
  <c r="V36" i="7"/>
  <c r="Y40" i="7"/>
  <c r="X46" i="7"/>
  <c r="V16" i="7"/>
  <c r="W10" i="7"/>
  <c r="AC24" i="7"/>
  <c r="Z20" i="7"/>
  <c r="W22" i="7"/>
  <c r="Y17" i="7"/>
  <c r="Z17" i="7"/>
  <c r="AC23" i="7"/>
  <c r="AB24" i="7"/>
  <c r="V44" i="7"/>
  <c r="W62" i="7"/>
  <c r="AC21" i="7"/>
  <c r="W16" i="7"/>
  <c r="U16" i="7"/>
  <c r="W26" i="7"/>
  <c r="X26" i="7" s="1"/>
  <c r="W50" i="7"/>
  <c r="U12" i="7"/>
  <c r="AB45" i="7"/>
  <c r="W66" i="7"/>
  <c r="W43" i="7"/>
  <c r="X43" i="7" s="1"/>
  <c r="V30" i="7"/>
  <c r="W35" i="7"/>
  <c r="X25" i="7"/>
  <c r="Y27" i="7"/>
  <c r="X31" i="7"/>
  <c r="X39" i="7"/>
  <c r="AB18" i="7"/>
  <c r="X27" i="7"/>
  <c r="U11" i="7"/>
  <c r="W4" i="7"/>
  <c r="Y32" i="7"/>
  <c r="X32" i="7"/>
  <c r="Y37" i="7"/>
  <c r="AB2" i="7"/>
  <c r="V35" i="7"/>
  <c r="Y59" i="7"/>
  <c r="Z59" i="7" s="1"/>
  <c r="Y48" i="7"/>
  <c r="Z60" i="7"/>
  <c r="Y25" i="7"/>
  <c r="Z25" i="7" s="1"/>
  <c r="W53" i="7"/>
  <c r="X53" i="7" s="1"/>
  <c r="V38" i="7"/>
  <c r="Z19" i="7"/>
  <c r="AA19" i="7"/>
  <c r="AA57" i="7"/>
  <c r="AA42" i="7"/>
  <c r="AA56" i="7"/>
  <c r="Y14" i="7"/>
  <c r="Y55" i="7"/>
  <c r="V11" i="7"/>
  <c r="AA29" i="7"/>
  <c r="AB52" i="7"/>
  <c r="X61" i="7"/>
  <c r="Z5" i="7"/>
  <c r="W7" i="7"/>
  <c r="W28" i="7"/>
  <c r="W46" i="7"/>
  <c r="AD65" i="7"/>
  <c r="AE47" i="7"/>
  <c r="AE65" i="7"/>
  <c r="AE9" i="7"/>
  <c r="AF9" i="7"/>
  <c r="AD51" i="7"/>
  <c r="AE51" i="7" s="1"/>
  <c r="AC34" i="7"/>
  <c r="AE41" i="7"/>
  <c r="AA25" i="7" l="1"/>
  <c r="AC18" i="7"/>
  <c r="AD18" i="7"/>
  <c r="AE18" i="7" s="1"/>
  <c r="AB37" i="7"/>
  <c r="AE15" i="7"/>
  <c r="X22" i="7"/>
  <c r="Y22" i="7"/>
  <c r="X62" i="7"/>
  <c r="AA61" i="7"/>
  <c r="AC45" i="7"/>
  <c r="AA54" i="7"/>
  <c r="AC57" i="7"/>
  <c r="AD57" i="7" s="1"/>
  <c r="Z32" i="7"/>
  <c r="AA32" i="7"/>
  <c r="AB19" i="7"/>
  <c r="AC19" i="7" s="1"/>
  <c r="Z48" i="7"/>
  <c r="Y26" i="7"/>
  <c r="Z26" i="7" s="1"/>
  <c r="Y53" i="7"/>
  <c r="AE23" i="7"/>
  <c r="AD23" i="7"/>
  <c r="Z46" i="7"/>
  <c r="AB56" i="7"/>
  <c r="AC56" i="7" s="1"/>
  <c r="AD56" i="7" s="1"/>
  <c r="X7" i="7"/>
  <c r="Y43" i="7"/>
  <c r="X16" i="7"/>
  <c r="Y46" i="7"/>
  <c r="AE24" i="7"/>
  <c r="AC49" i="7"/>
  <c r="AB42" i="7"/>
  <c r="X44" i="7"/>
  <c r="W63" i="7"/>
  <c r="Y33" i="7"/>
  <c r="X6" i="7"/>
  <c r="Y35" i="7"/>
  <c r="Z61" i="7"/>
  <c r="AC42" i="7"/>
  <c r="AB58" i="7"/>
  <c r="AC2" i="7"/>
  <c r="X50" i="7"/>
  <c r="Y50" i="7" s="1"/>
  <c r="AA20" i="7"/>
  <c r="AA46" i="7"/>
  <c r="AB46" i="7" s="1"/>
  <c r="X4" i="7"/>
  <c r="AB25" i="7"/>
  <c r="AC25" i="7" s="1"/>
  <c r="AF24" i="7"/>
  <c r="Z33" i="7"/>
  <c r="Z8" i="7"/>
  <c r="X28" i="7"/>
  <c r="Z39" i="7"/>
  <c r="V12" i="7"/>
  <c r="W44" i="7"/>
  <c r="X13" i="7"/>
  <c r="AB5" i="7"/>
  <c r="AC5" i="7" s="1"/>
  <c r="AB29" i="7"/>
  <c r="AB57" i="7"/>
  <c r="X67" i="7"/>
  <c r="AA59" i="7"/>
  <c r="X35" i="7"/>
  <c r="Z35" i="7" s="1"/>
  <c r="W38" i="7"/>
  <c r="AA60" i="7"/>
  <c r="AA17" i="7"/>
  <c r="X66" i="7"/>
  <c r="Y66" i="7"/>
  <c r="Z27" i="7"/>
  <c r="AA27" i="7" s="1"/>
  <c r="Z58" i="7"/>
  <c r="AA58" i="7"/>
  <c r="W12" i="7"/>
  <c r="W11" i="7"/>
  <c r="X11" i="7" s="1"/>
  <c r="Z43" i="7"/>
  <c r="AA43" i="7" s="1"/>
  <c r="W36" i="7"/>
  <c r="AC52" i="7"/>
  <c r="AD52" i="7"/>
  <c r="Z55" i="7"/>
  <c r="AD21" i="7"/>
  <c r="AB32" i="7"/>
  <c r="AB49" i="7"/>
  <c r="Y31" i="7"/>
  <c r="W30" i="7"/>
  <c r="Z66" i="7"/>
  <c r="Y16" i="7"/>
  <c r="AA39" i="7"/>
  <c r="X10" i="7"/>
  <c r="W3" i="7"/>
  <c r="AF15" i="7"/>
  <c r="Z40" i="7"/>
  <c r="Y39" i="7"/>
  <c r="Z14" i="7"/>
  <c r="AA14" i="7" s="1"/>
  <c r="AA37" i="7"/>
  <c r="AF47" i="7"/>
  <c r="AG47" i="7" s="1"/>
  <c r="AF65" i="7"/>
  <c r="AF41" i="7"/>
  <c r="AF51" i="7"/>
  <c r="AG9" i="7"/>
  <c r="AG65" i="7"/>
  <c r="AD34" i="7"/>
  <c r="AB27" i="7" l="1"/>
  <c r="AA26" i="7"/>
  <c r="Y4" i="7"/>
  <c r="Z4" i="7" s="1"/>
  <c r="AB39" i="7"/>
  <c r="Z50" i="7"/>
  <c r="AB43" i="7"/>
  <c r="Y13" i="7"/>
  <c r="Z13" i="7"/>
  <c r="AA13" i="7" s="1"/>
  <c r="AE57" i="7"/>
  <c r="AF57" i="7" s="1"/>
  <c r="AA35" i="7"/>
  <c r="AC43" i="7"/>
  <c r="AB26" i="7"/>
  <c r="AB54" i="7"/>
  <c r="AF18" i="7"/>
  <c r="AG18" i="7" s="1"/>
  <c r="AC32" i="7"/>
  <c r="X3" i="7"/>
  <c r="AE52" i="7"/>
  <c r="Y44" i="7"/>
  <c r="Y7" i="7"/>
  <c r="X63" i="7"/>
  <c r="Y63" i="7"/>
  <c r="Y62" i="7"/>
  <c r="Z62" i="7" s="1"/>
  <c r="X30" i="7"/>
  <c r="AE21" i="7"/>
  <c r="Y36" i="7"/>
  <c r="Z36" i="7" s="1"/>
  <c r="X36" i="7"/>
  <c r="Z16" i="7"/>
  <c r="AA16" i="7" s="1"/>
  <c r="AC37" i="7"/>
  <c r="AG24" i="7"/>
  <c r="Y11" i="7"/>
  <c r="AC29" i="7"/>
  <c r="AB20" i="7"/>
  <c r="AD2" i="7"/>
  <c r="AE2" i="7" s="1"/>
  <c r="Z6" i="7"/>
  <c r="Y6" i="7"/>
  <c r="AD42" i="7"/>
  <c r="AD45" i="7"/>
  <c r="AC60" i="7"/>
  <c r="AB61" i="7"/>
  <c r="AE42" i="7"/>
  <c r="AC26" i="7"/>
  <c r="AD43" i="7"/>
  <c r="AB35" i="7"/>
  <c r="AF21" i="7"/>
  <c r="AA55" i="7"/>
  <c r="AB55" i="7" s="1"/>
  <c r="AC58" i="7"/>
  <c r="AD58" i="7" s="1"/>
  <c r="AB17" i="7"/>
  <c r="AB59" i="7"/>
  <c r="AD19" i="7"/>
  <c r="AA33" i="7"/>
  <c r="Z44" i="7"/>
  <c r="AC46" i="7"/>
  <c r="AD46" i="7" s="1"/>
  <c r="AE46" i="7" s="1"/>
  <c r="AF46" i="7" s="1"/>
  <c r="AA48" i="7"/>
  <c r="AD32" i="7"/>
  <c r="AE56" i="7"/>
  <c r="AF56" i="7" s="1"/>
  <c r="AG15" i="7"/>
  <c r="AD25" i="7"/>
  <c r="Y67" i="7"/>
  <c r="Z67" i="7" s="1"/>
  <c r="AB8" i="7"/>
  <c r="AA8" i="7"/>
  <c r="AD5" i="7"/>
  <c r="AE5" i="7" s="1"/>
  <c r="AC39" i="7"/>
  <c r="AD39" i="7" s="1"/>
  <c r="Z31" i="7"/>
  <c r="AA66" i="7"/>
  <c r="AC66" i="7" s="1"/>
  <c r="AB60" i="7"/>
  <c r="X12" i="7"/>
  <c r="AA50" i="7"/>
  <c r="AB50" i="7" s="1"/>
  <c r="AA40" i="7"/>
  <c r="AB40" i="7"/>
  <c r="Z10" i="7"/>
  <c r="Y10" i="7"/>
  <c r="X38" i="7"/>
  <c r="AB66" i="7"/>
  <c r="AC61" i="7"/>
  <c r="Z53" i="7"/>
  <c r="AC27" i="7"/>
  <c r="AD49" i="7"/>
  <c r="Y28" i="7"/>
  <c r="AF23" i="7"/>
  <c r="AG23" i="7" s="1"/>
  <c r="AB14" i="7"/>
  <c r="Z22" i="7"/>
  <c r="AE25" i="7"/>
  <c r="AH41" i="7"/>
  <c r="AG41" i="7"/>
  <c r="AH65" i="7"/>
  <c r="AE34" i="7"/>
  <c r="AH9" i="7"/>
  <c r="AF34" i="7"/>
  <c r="AG51" i="7"/>
  <c r="AH47" i="7"/>
  <c r="AE60" i="7" l="1"/>
  <c r="AC55" i="7"/>
  <c r="AA4" i="7"/>
  <c r="AG42" i="7"/>
  <c r="AG57" i="7"/>
  <c r="AA36" i="7"/>
  <c r="AB22" i="7"/>
  <c r="AF5" i="7"/>
  <c r="AG5" i="7" s="1"/>
  <c r="AA62" i="7"/>
  <c r="AH18" i="7"/>
  <c r="AI18" i="7"/>
  <c r="AD60" i="7"/>
  <c r="AC40" i="7"/>
  <c r="AE39" i="7"/>
  <c r="AG25" i="7"/>
  <c r="AE66" i="7"/>
  <c r="Y12" i="7"/>
  <c r="AA22" i="7"/>
  <c r="AH57" i="7"/>
  <c r="AI57" i="7" s="1"/>
  <c r="AA6" i="7"/>
  <c r="Y38" i="7"/>
  <c r="Z38" i="7" s="1"/>
  <c r="AD61" i="7"/>
  <c r="AE61" i="7" s="1"/>
  <c r="AD29" i="7"/>
  <c r="AB16" i="7"/>
  <c r="AC16" i="7" s="1"/>
  <c r="Y30" i="7"/>
  <c r="Z30" i="7"/>
  <c r="AF52" i="7"/>
  <c r="AC54" i="7"/>
  <c r="AD54" i="7" s="1"/>
  <c r="AB4" i="7"/>
  <c r="AE29" i="7"/>
  <c r="AA31" i="7"/>
  <c r="AC59" i="7"/>
  <c r="AE45" i="7"/>
  <c r="AB6" i="7"/>
  <c r="Z11" i="7"/>
  <c r="AB36" i="7"/>
  <c r="AA30" i="7"/>
  <c r="AE49" i="7"/>
  <c r="AD26" i="7"/>
  <c r="AB62" i="7"/>
  <c r="AA67" i="7"/>
  <c r="Z28" i="7"/>
  <c r="AA10" i="7"/>
  <c r="AD27" i="7"/>
  <c r="AF2" i="7"/>
  <c r="AC36" i="7"/>
  <c r="AE19" i="7"/>
  <c r="Z7" i="7"/>
  <c r="AF19" i="7"/>
  <c r="AB33" i="7"/>
  <c r="AC33" i="7" s="1"/>
  <c r="AG60" i="7"/>
  <c r="AD66" i="7"/>
  <c r="AF66" i="7" s="1"/>
  <c r="AA7" i="7"/>
  <c r="AB7" i="7"/>
  <c r="AG56" i="7"/>
  <c r="AG19" i="7"/>
  <c r="AA53" i="7"/>
  <c r="AB53" i="7"/>
  <c r="AB10" i="7"/>
  <c r="AC14" i="7"/>
  <c r="AH15" i="7"/>
  <c r="AD37" i="7"/>
  <c r="AC20" i="7"/>
  <c r="AD20" i="7" s="1"/>
  <c r="Z63" i="7"/>
  <c r="AA44" i="7"/>
  <c r="Z3" i="7"/>
  <c r="AF43" i="7"/>
  <c r="AE58" i="7"/>
  <c r="AF58" i="7" s="1"/>
  <c r="AC35" i="7"/>
  <c r="AD35" i="7" s="1"/>
  <c r="AE43" i="7"/>
  <c r="AH24" i="7"/>
  <c r="AH23" i="7"/>
  <c r="AF60" i="7"/>
  <c r="AE32" i="7"/>
  <c r="AF25" i="7"/>
  <c r="AF42" i="7"/>
  <c r="AF29" i="7"/>
  <c r="AG21" i="7"/>
  <c r="AH21" i="7" s="1"/>
  <c r="AE37" i="7"/>
  <c r="AA63" i="7"/>
  <c r="Y3" i="7"/>
  <c r="AB13" i="7"/>
  <c r="AD50" i="7"/>
  <c r="AE50" i="7" s="1"/>
  <c r="AC50" i="7"/>
  <c r="AC17" i="7"/>
  <c r="AB48" i="7"/>
  <c r="AC8" i="7"/>
  <c r="AG34" i="7"/>
  <c r="AI47" i="7"/>
  <c r="AJ47" i="7" s="1"/>
  <c r="AI9" i="7"/>
  <c r="AI65" i="7"/>
  <c r="AI41" i="7"/>
  <c r="AJ41" i="7" s="1"/>
  <c r="AH51" i="7"/>
  <c r="AG46" i="7"/>
  <c r="AH46" i="7" s="1"/>
  <c r="AG58" i="7" l="1"/>
  <c r="AH58" i="7"/>
  <c r="AG66" i="7"/>
  <c r="AF61" i="7"/>
  <c r="AD16" i="7"/>
  <c r="AE16" i="7" s="1"/>
  <c r="AB38" i="7"/>
  <c r="AA38" i="7"/>
  <c r="AH5" i="7"/>
  <c r="AI5" i="7"/>
  <c r="AA11" i="7"/>
  <c r="AE35" i="7"/>
  <c r="AG29" i="7"/>
  <c r="AF39" i="7"/>
  <c r="AJ18" i="7"/>
  <c r="AK18" i="7" s="1"/>
  <c r="AL18" i="7" s="1"/>
  <c r="AC22" i="7"/>
  <c r="AI46" i="7"/>
  <c r="AA3" i="7"/>
  <c r="AI24" i="7"/>
  <c r="AJ24" i="7" s="1"/>
  <c r="AB63" i="7"/>
  <c r="AC63" i="7"/>
  <c r="AE27" i="7"/>
  <c r="AF37" i="7"/>
  <c r="AE26" i="7"/>
  <c r="AC6" i="7"/>
  <c r="AD6" i="7" s="1"/>
  <c r="AD36" i="7"/>
  <c r="AG2" i="7"/>
  <c r="AD8" i="7"/>
  <c r="AG43" i="7"/>
  <c r="AI43" i="7"/>
  <c r="AF32" i="7"/>
  <c r="AF45" i="7"/>
  <c r="AG52" i="7"/>
  <c r="AB30" i="7"/>
  <c r="AH19" i="7"/>
  <c r="AF35" i="7"/>
  <c r="Z12" i="7"/>
  <c r="AE54" i="7"/>
  <c r="AC48" i="7"/>
  <c r="AD48" i="7" s="1"/>
  <c r="AG61" i="7"/>
  <c r="AG49" i="7"/>
  <c r="AB67" i="7"/>
  <c r="AD67" i="7" s="1"/>
  <c r="AC4" i="7"/>
  <c r="AF49" i="7"/>
  <c r="AD17" i="7"/>
  <c r="AI58" i="7"/>
  <c r="AE20" i="7"/>
  <c r="AD14" i="7"/>
  <c r="AD33" i="7"/>
  <c r="AB44" i="7"/>
  <c r="AC38" i="7"/>
  <c r="AD40" i="7"/>
  <c r="AC53" i="7"/>
  <c r="AG50" i="7"/>
  <c r="AH25" i="7"/>
  <c r="AH43" i="7"/>
  <c r="AJ43" i="7"/>
  <c r="AB3" i="7"/>
  <c r="AH66" i="7"/>
  <c r="AH56" i="7"/>
  <c r="AD59" i="7"/>
  <c r="AA28" i="7"/>
  <c r="AC7" i="7"/>
  <c r="AD7" i="7" s="1"/>
  <c r="AC30" i="7"/>
  <c r="AC67" i="7"/>
  <c r="AI23" i="7"/>
  <c r="AI25" i="7"/>
  <c r="AE40" i="7"/>
  <c r="AJ23" i="7"/>
  <c r="AF50" i="7"/>
  <c r="AD55" i="7"/>
  <c r="AI21" i="7"/>
  <c r="AC13" i="7"/>
  <c r="AH42" i="7"/>
  <c r="AC44" i="7"/>
  <c r="AD44" i="7" s="1"/>
  <c r="AC10" i="7"/>
  <c r="AD10" i="7" s="1"/>
  <c r="AF26" i="7"/>
  <c r="AF27" i="7"/>
  <c r="AI15" i="7"/>
  <c r="AJ15" i="7" s="1"/>
  <c r="AC62" i="7"/>
  <c r="AB31" i="7"/>
  <c r="AC31" i="7" s="1"/>
  <c r="AG37" i="7"/>
  <c r="AH60" i="7"/>
  <c r="AE14" i="7"/>
  <c r="AJ57" i="7"/>
  <c r="AL47" i="7"/>
  <c r="AJ9" i="7"/>
  <c r="AK9" i="7" s="1"/>
  <c r="AK41" i="7"/>
  <c r="AL41" i="7" s="1"/>
  <c r="AM41" i="7" s="1"/>
  <c r="AJ46" i="7"/>
  <c r="AK46" i="7" s="1"/>
  <c r="AK47" i="7"/>
  <c r="AJ65" i="7"/>
  <c r="AI51" i="7"/>
  <c r="AH34" i="7"/>
  <c r="AI34" i="7" s="1"/>
  <c r="AJ5" i="7"/>
  <c r="AL24" i="7" l="1"/>
  <c r="AK24" i="7"/>
  <c r="AK15" i="7"/>
  <c r="AF16" i="7"/>
  <c r="AE44" i="7"/>
  <c r="AD62" i="7"/>
  <c r="AE62" i="7"/>
  <c r="AF62" i="7" s="1"/>
  <c r="AI42" i="7"/>
  <c r="AL15" i="7"/>
  <c r="AN15" i="7" s="1"/>
  <c r="AM15" i="7"/>
  <c r="AI66" i="7"/>
  <c r="AE55" i="7"/>
  <c r="AE10" i="7"/>
  <c r="AL43" i="7"/>
  <c r="AD53" i="7"/>
  <c r="AE17" i="7"/>
  <c r="AF17" i="7" s="1"/>
  <c r="AE48" i="7"/>
  <c r="AG48" i="7" s="1"/>
  <c r="AF48" i="7"/>
  <c r="AK43" i="7"/>
  <c r="AM43" i="7" s="1"/>
  <c r="AG27" i="7"/>
  <c r="AH27" i="7"/>
  <c r="AF10" i="7"/>
  <c r="AD38" i="7"/>
  <c r="AK23" i="7"/>
  <c r="AE67" i="7"/>
  <c r="AF67" i="7" s="1"/>
  <c r="AG35" i="7"/>
  <c r="AH35" i="7" s="1"/>
  <c r="AH52" i="7"/>
  <c r="AG32" i="7"/>
  <c r="AE6" i="7"/>
  <c r="AF6" i="7" s="1"/>
  <c r="AC3" i="7"/>
  <c r="AD3" i="7" s="1"/>
  <c r="AH29" i="7"/>
  <c r="AH37" i="7"/>
  <c r="AJ37" i="7" s="1"/>
  <c r="AG16" i="7"/>
  <c r="AI56" i="7"/>
  <c r="AH50" i="7"/>
  <c r="AF40" i="7"/>
  <c r="AD30" i="7"/>
  <c r="AD63" i="7"/>
  <c r="AI50" i="7"/>
  <c r="AH26" i="7"/>
  <c r="AD22" i="7"/>
  <c r="AB28" i="7"/>
  <c r="AG40" i="7"/>
  <c r="AL23" i="7"/>
  <c r="AH61" i="7"/>
  <c r="AI19" i="7"/>
  <c r="AJ19" i="7" s="1"/>
  <c r="AF7" i="7"/>
  <c r="AE4" i="7"/>
  <c r="AG39" i="7"/>
  <c r="AF54" i="7"/>
  <c r="AK58" i="7"/>
  <c r="AH49" i="7"/>
  <c r="AE33" i="7"/>
  <c r="AI37" i="7"/>
  <c r="AJ56" i="7"/>
  <c r="AH2" i="7"/>
  <c r="AM24" i="7"/>
  <c r="AE36" i="7"/>
  <c r="AI29" i="7"/>
  <c r="AB11" i="7"/>
  <c r="AC11" i="7" s="1"/>
  <c r="AJ58" i="7"/>
  <c r="AM23" i="7"/>
  <c r="AD31" i="7"/>
  <c r="AF14" i="7"/>
  <c r="AE30" i="7"/>
  <c r="AJ21" i="7"/>
  <c r="AA12" i="7"/>
  <c r="AC12" i="7" s="1"/>
  <c r="AB12" i="7"/>
  <c r="AM47" i="7"/>
  <c r="AN47" i="7" s="1"/>
  <c r="AK57" i="7"/>
  <c r="AN57" i="7" s="1"/>
  <c r="AL57" i="7"/>
  <c r="AM57" i="7"/>
  <c r="AD13" i="7"/>
  <c r="AE59" i="7"/>
  <c r="AF59" i="7" s="1"/>
  <c r="AF20" i="7"/>
  <c r="AI60" i="7"/>
  <c r="AE8" i="7"/>
  <c r="AG45" i="7"/>
  <c r="AE7" i="7"/>
  <c r="AE63" i="7"/>
  <c r="AD4" i="7"/>
  <c r="AG26" i="7"/>
  <c r="AJ25" i="7"/>
  <c r="AL46" i="7"/>
  <c r="AM46" i="7" s="1"/>
  <c r="AN41" i="7"/>
  <c r="AO41" i="7"/>
  <c r="AL9" i="7"/>
  <c r="AP41" i="7"/>
  <c r="AN23" i="7"/>
  <c r="AK65" i="7"/>
  <c r="AJ34" i="7"/>
  <c r="AK34" i="7" s="1"/>
  <c r="AJ51" i="7"/>
  <c r="AK5" i="7"/>
  <c r="AM18" i="7"/>
  <c r="AG59" i="7" l="1"/>
  <c r="AH17" i="7"/>
  <c r="AG17" i="7"/>
  <c r="AH14" i="7"/>
  <c r="AI14" i="7" s="1"/>
  <c r="AK37" i="7"/>
  <c r="AI35" i="7"/>
  <c r="AD12" i="7"/>
  <c r="AO43" i="7"/>
  <c r="AP43" i="7" s="1"/>
  <c r="AN43" i="7"/>
  <c r="AG62" i="7"/>
  <c r="AG20" i="7"/>
  <c r="AE31" i="7"/>
  <c r="AG54" i="7"/>
  <c r="AE3" i="7"/>
  <c r="AK21" i="7"/>
  <c r="AN24" i="7"/>
  <c r="AJ60" i="7"/>
  <c r="AF30" i="7"/>
  <c r="AH39" i="7"/>
  <c r="AJ29" i="7"/>
  <c r="AK29" i="7" s="1"/>
  <c r="AI59" i="7"/>
  <c r="AO57" i="7"/>
  <c r="AQ57" i="7" s="1"/>
  <c r="AP57" i="7"/>
  <c r="AR57" i="7" s="1"/>
  <c r="AK25" i="7"/>
  <c r="AK19" i="7"/>
  <c r="AE53" i="7"/>
  <c r="AF44" i="7"/>
  <c r="AG14" i="7"/>
  <c r="AH59" i="7"/>
  <c r="AL58" i="7"/>
  <c r="AM58" i="7" s="1"/>
  <c r="AI2" i="7"/>
  <c r="AJ49" i="7"/>
  <c r="AE22" i="7"/>
  <c r="AG7" i="7"/>
  <c r="AG6" i="7"/>
  <c r="AH6" i="7" s="1"/>
  <c r="AJ50" i="7"/>
  <c r="AG10" i="7"/>
  <c r="AC28" i="7"/>
  <c r="AD28" i="7" s="1"/>
  <c r="AE38" i="7"/>
  <c r="AJ35" i="7"/>
  <c r="AK35" i="7" s="1"/>
  <c r="AO15" i="7"/>
  <c r="AI26" i="7"/>
  <c r="AF63" i="7"/>
  <c r="AJ42" i="7"/>
  <c r="AM21" i="7"/>
  <c r="AN21" i="7" s="1"/>
  <c r="AF31" i="7"/>
  <c r="AG31" i="7" s="1"/>
  <c r="AJ66" i="7"/>
  <c r="AK56" i="7"/>
  <c r="AF8" i="7"/>
  <c r="AG8" i="7"/>
  <c r="AE13" i="7"/>
  <c r="AL21" i="7"/>
  <c r="AH32" i="7"/>
  <c r="AJ32" i="7" s="1"/>
  <c r="AI32" i="7"/>
  <c r="AI48" i="7"/>
  <c r="AH48" i="7"/>
  <c r="AD11" i="7"/>
  <c r="AH40" i="7"/>
  <c r="AI40" i="7" s="1"/>
  <c r="AH16" i="7"/>
  <c r="AI27" i="7"/>
  <c r="AF4" i="7"/>
  <c r="AI49" i="7"/>
  <c r="AH62" i="7"/>
  <c r="AO24" i="7"/>
  <c r="AG67" i="7"/>
  <c r="AH67" i="7" s="1"/>
  <c r="AF33" i="7"/>
  <c r="AF36" i="7"/>
  <c r="AI61" i="7"/>
  <c r="AL37" i="7"/>
  <c r="AI52" i="7"/>
  <c r="AJ52" i="7" s="1"/>
  <c r="AL25" i="7"/>
  <c r="AG33" i="7"/>
  <c r="AI17" i="7"/>
  <c r="AF55" i="7"/>
  <c r="AH45" i="7"/>
  <c r="AI45" i="7" s="1"/>
  <c r="AK42" i="7"/>
  <c r="AN46" i="7"/>
  <c r="AL5" i="7"/>
  <c r="AM5" i="7" s="1"/>
  <c r="AR41" i="7"/>
  <c r="AN58" i="7"/>
  <c r="AO58" i="7"/>
  <c r="AM34" i="7"/>
  <c r="AM9" i="7"/>
  <c r="AK51" i="7"/>
  <c r="AL65" i="7"/>
  <c r="AL51" i="7"/>
  <c r="AO47" i="7"/>
  <c r="AP47" i="7" s="1"/>
  <c r="AO23" i="7"/>
  <c r="AQ41" i="7"/>
  <c r="AN34" i="7"/>
  <c r="AL34" i="7"/>
  <c r="AP23" i="7"/>
  <c r="AN18" i="7"/>
  <c r="AO18" i="7" s="1"/>
  <c r="AO46" i="7"/>
  <c r="AE28" i="7" l="1"/>
  <c r="AF28" i="7" s="1"/>
  <c r="AT57" i="7"/>
  <c r="AS57" i="7"/>
  <c r="AI6" i="7"/>
  <c r="AJ6" i="7" s="1"/>
  <c r="AP37" i="7"/>
  <c r="AQ37" i="7" s="1"/>
  <c r="AJ40" i="7"/>
  <c r="AJ45" i="7"/>
  <c r="AP15" i="7"/>
  <c r="AR15" i="7" s="1"/>
  <c r="AI67" i="7"/>
  <c r="AI16" i="7"/>
  <c r="AM37" i="7"/>
  <c r="AH33" i="7"/>
  <c r="AI62" i="7"/>
  <c r="AF53" i="7"/>
  <c r="AQ43" i="7"/>
  <c r="AQ15" i="7"/>
  <c r="AH31" i="7"/>
  <c r="AJ61" i="7"/>
  <c r="AK52" i="7"/>
  <c r="AP24" i="7"/>
  <c r="AK27" i="7"/>
  <c r="AJ27" i="7"/>
  <c r="AG44" i="7"/>
  <c r="AL35" i="7"/>
  <c r="AG36" i="7"/>
  <c r="AJ8" i="7"/>
  <c r="AL42" i="7"/>
  <c r="AK6" i="7"/>
  <c r="AJ2" i="7"/>
  <c r="AK2" i="7"/>
  <c r="AF3" i="7"/>
  <c r="AH20" i="7"/>
  <c r="AG30" i="7"/>
  <c r="AJ17" i="7"/>
  <c r="AK17" i="7" s="1"/>
  <c r="AG55" i="7"/>
  <c r="AH55" i="7" s="1"/>
  <c r="AE11" i="7"/>
  <c r="AG4" i="7"/>
  <c r="AF38" i="7"/>
  <c r="AJ39" i="7"/>
  <c r="AJ26" i="7"/>
  <c r="AM25" i="7"/>
  <c r="AN37" i="7"/>
  <c r="AJ59" i="7"/>
  <c r="AK32" i="7"/>
  <c r="AK45" i="7"/>
  <c r="AF22" i="7"/>
  <c r="AL19" i="7"/>
  <c r="AJ14" i="7"/>
  <c r="AL29" i="7"/>
  <c r="AH8" i="7"/>
  <c r="AI8" i="7" s="1"/>
  <c r="AL56" i="7"/>
  <c r="AM56" i="7" s="1"/>
  <c r="AQ23" i="7"/>
  <c r="AR23" i="7" s="1"/>
  <c r="AS23" i="7" s="1"/>
  <c r="AK50" i="7"/>
  <c r="AL50" i="7" s="1"/>
  <c r="AL52" i="7"/>
  <c r="AH7" i="7"/>
  <c r="AK61" i="7"/>
  <c r="AL61" i="7" s="1"/>
  <c r="AK26" i="7"/>
  <c r="AK49" i="7"/>
  <c r="AL49" i="7" s="1"/>
  <c r="AG63" i="7"/>
  <c r="AH63" i="7" s="1"/>
  <c r="AE12" i="7"/>
  <c r="AK60" i="7"/>
  <c r="AL60" i="7" s="1"/>
  <c r="AM60" i="7" s="1"/>
  <c r="AP21" i="7"/>
  <c r="AF13" i="7"/>
  <c r="AG13" i="7" s="1"/>
  <c r="AK66" i="7"/>
  <c r="AJ48" i="7"/>
  <c r="AH54" i="7"/>
  <c r="AH10" i="7"/>
  <c r="AL59" i="7"/>
  <c r="AI39" i="7"/>
  <c r="AK39" i="7" s="1"/>
  <c r="AO21" i="7"/>
  <c r="AQ21" i="7" s="1"/>
  <c r="AO37" i="7"/>
  <c r="AK48" i="7"/>
  <c r="AK59" i="7"/>
  <c r="AO9" i="7"/>
  <c r="AM65" i="7"/>
  <c r="AN51" i="7"/>
  <c r="AP58" i="7"/>
  <c r="AQ47" i="7"/>
  <c r="AU57" i="7"/>
  <c r="AS41" i="7"/>
  <c r="AN9" i="7"/>
  <c r="AM51" i="7"/>
  <c r="AP18" i="7"/>
  <c r="AQ18" i="7" s="1"/>
  <c r="AP46" i="7"/>
  <c r="AQ46" i="7" s="1"/>
  <c r="AJ67" i="7"/>
  <c r="AM49" i="7"/>
  <c r="AT41" i="7"/>
  <c r="AR47" i="7"/>
  <c r="AN65" i="7"/>
  <c r="AN5" i="7"/>
  <c r="AO5" i="7" s="1"/>
  <c r="AM52" i="7"/>
  <c r="AO34" i="7"/>
  <c r="AS15" i="7" l="1"/>
  <c r="AT15" i="7"/>
  <c r="AU15" i="7" s="1"/>
  <c r="AM61" i="7"/>
  <c r="AG28" i="7"/>
  <c r="AM50" i="7"/>
  <c r="AI55" i="7"/>
  <c r="AM6" i="7"/>
  <c r="AQ24" i="7"/>
  <c r="AI31" i="7"/>
  <c r="AN35" i="7"/>
  <c r="AK62" i="7"/>
  <c r="AL26" i="7"/>
  <c r="AM42" i="7"/>
  <c r="AL6" i="7"/>
  <c r="AP34" i="7"/>
  <c r="AQ34" i="7" s="1"/>
  <c r="AR34" i="7" s="1"/>
  <c r="AM29" i="7"/>
  <c r="AH4" i="7"/>
  <c r="AL32" i="7"/>
  <c r="AK8" i="7"/>
  <c r="AI33" i="7"/>
  <c r="AN25" i="7"/>
  <c r="AJ7" i="7"/>
  <c r="AL66" i="7"/>
  <c r="AN60" i="7"/>
  <c r="AG38" i="7"/>
  <c r="AI63" i="7"/>
  <c r="AJ16" i="7"/>
  <c r="AL17" i="7"/>
  <c r="AN17" i="7" s="1"/>
  <c r="AO25" i="7"/>
  <c r="AG53" i="7"/>
  <c r="AH53" i="7"/>
  <c r="AR21" i="7"/>
  <c r="AM19" i="7"/>
  <c r="AG3" i="7"/>
  <c r="AH36" i="7"/>
  <c r="AI36" i="7"/>
  <c r="AH44" i="7"/>
  <c r="AI44" i="7"/>
  <c r="AU41" i="7"/>
  <c r="AV41" i="7" s="1"/>
  <c r="AI7" i="7"/>
  <c r="AN56" i="7"/>
  <c r="AO56" i="7" s="1"/>
  <c r="AG22" i="7"/>
  <c r="AF11" i="7"/>
  <c r="AM17" i="7"/>
  <c r="AL45" i="7"/>
  <c r="AL27" i="7"/>
  <c r="AM27" i="7"/>
  <c r="AR43" i="7"/>
  <c r="AI10" i="7"/>
  <c r="AO60" i="7"/>
  <c r="AN59" i="7"/>
  <c r="AL39" i="7"/>
  <c r="AH30" i="7"/>
  <c r="AI30" i="7"/>
  <c r="AL2" i="7"/>
  <c r="AN42" i="7"/>
  <c r="AH38" i="7"/>
  <c r="AI38" i="7"/>
  <c r="AM35" i="7"/>
  <c r="AO35" i="7" s="1"/>
  <c r="AM59" i="7"/>
  <c r="AK14" i="7"/>
  <c r="AM45" i="7"/>
  <c r="AK40" i="7"/>
  <c r="AI54" i="7"/>
  <c r="AJ54" i="7" s="1"/>
  <c r="AJ62" i="7"/>
  <c r="AF12" i="7"/>
  <c r="AG12" i="7"/>
  <c r="AL48" i="7"/>
  <c r="AI20" i="7"/>
  <c r="AM2" i="7"/>
  <c r="AH13" i="7"/>
  <c r="AT23" i="7"/>
  <c r="AQ58" i="7"/>
  <c r="AV15" i="7"/>
  <c r="AV57" i="7"/>
  <c r="AO51" i="7"/>
  <c r="AP51" i="7"/>
  <c r="AO65" i="7"/>
  <c r="AS47" i="7"/>
  <c r="AR18" i="7"/>
  <c r="AS18" i="7" s="1"/>
  <c r="AN52" i="7"/>
  <c r="AR37" i="7"/>
  <c r="AT37" i="7" s="1"/>
  <c r="AS37" i="7"/>
  <c r="AP5" i="7"/>
  <c r="AQ5" i="7" s="1"/>
  <c r="AU23" i="7"/>
  <c r="AT47" i="7"/>
  <c r="AN49" i="7"/>
  <c r="AO49" i="7" s="1"/>
  <c r="AP9" i="7"/>
  <c r="AQ9" i="7" s="1"/>
  <c r="AR46" i="7"/>
  <c r="AK67" i="7"/>
  <c r="AP17" i="7" l="1"/>
  <c r="AS21" i="7"/>
  <c r="AU21" i="7" s="1"/>
  <c r="AN7" i="7"/>
  <c r="AK7" i="7"/>
  <c r="AJ10" i="7"/>
  <c r="AN27" i="7"/>
  <c r="AP25" i="7"/>
  <c r="AJ31" i="7"/>
  <c r="AG11" i="7"/>
  <c r="AP56" i="7"/>
  <c r="AJ36" i="7"/>
  <c r="AI53" i="7"/>
  <c r="AM39" i="7"/>
  <c r="AR24" i="7"/>
  <c r="AS24" i="7"/>
  <c r="AO42" i="7"/>
  <c r="AT43" i="7"/>
  <c r="AL7" i="7"/>
  <c r="AN19" i="7"/>
  <c r="AJ33" i="7"/>
  <c r="AU43" i="7"/>
  <c r="AV43" i="7" s="1"/>
  <c r="AP60" i="7"/>
  <c r="AL40" i="7"/>
  <c r="AN2" i="7"/>
  <c r="AH28" i="7"/>
  <c r="AP35" i="7"/>
  <c r="AM7" i="7"/>
  <c r="AJ53" i="7"/>
  <c r="AM66" i="7"/>
  <c r="AL16" i="7"/>
  <c r="AH12" i="7"/>
  <c r="AL62" i="7"/>
  <c r="AM62" i="7" s="1"/>
  <c r="AO62" i="7"/>
  <c r="AK10" i="7"/>
  <c r="AJ20" i="7"/>
  <c r="AL14" i="7"/>
  <c r="AO17" i="7"/>
  <c r="AS43" i="7"/>
  <c r="AO27" i="7"/>
  <c r="AP27" i="7" s="1"/>
  <c r="AN62" i="7"/>
  <c r="AJ44" i="7"/>
  <c r="AU47" i="7"/>
  <c r="AV47" i="7" s="1"/>
  <c r="AQ35" i="7"/>
  <c r="AL30" i="7"/>
  <c r="AJ30" i="7"/>
  <c r="AT21" i="7"/>
  <c r="AV21" i="7" s="1"/>
  <c r="AM48" i="7"/>
  <c r="AN50" i="7"/>
  <c r="AO50" i="7" s="1"/>
  <c r="AK54" i="7"/>
  <c r="AN29" i="7"/>
  <c r="AJ63" i="7"/>
  <c r="AK30" i="7"/>
  <c r="AL8" i="7"/>
  <c r="AN45" i="7"/>
  <c r="AP42" i="7"/>
  <c r="AH22" i="7"/>
  <c r="AM32" i="7"/>
  <c r="AH3" i="7"/>
  <c r="AN61" i="7"/>
  <c r="AJ38" i="7"/>
  <c r="AO59" i="7"/>
  <c r="AI4" i="7"/>
  <c r="AN6" i="7"/>
  <c r="AM26" i="7"/>
  <c r="AK16" i="7"/>
  <c r="AJ55" i="7"/>
  <c r="AI13" i="7"/>
  <c r="AR5" i="7"/>
  <c r="AT18" i="7"/>
  <c r="AS34" i="7"/>
  <c r="AS46" i="7"/>
  <c r="AL67" i="7"/>
  <c r="AQ51" i="7"/>
  <c r="AP49" i="7"/>
  <c r="AR58" i="7"/>
  <c r="AO52" i="7"/>
  <c r="AU18" i="7"/>
  <c r="AW15" i="7"/>
  <c r="AP65" i="7"/>
  <c r="AQ65" i="7" s="1"/>
  <c r="AV37" i="7"/>
  <c r="AS5" i="7"/>
  <c r="AW57" i="7"/>
  <c r="AR9" i="7"/>
  <c r="AW41" i="7"/>
  <c r="AX41" i="7" s="1"/>
  <c r="AY41" i="7" s="1"/>
  <c r="AU37" i="7"/>
  <c r="AW37" i="7" s="1"/>
  <c r="AX37" i="7" s="1"/>
  <c r="AV23" i="7"/>
  <c r="AX15" i="7"/>
  <c r="AY15" i="7" s="1"/>
  <c r="AP50" i="7" l="1"/>
  <c r="AK28" i="7"/>
  <c r="AW47" i="7"/>
  <c r="AX47" i="7"/>
  <c r="AY47" i="7" s="1"/>
  <c r="AW21" i="7"/>
  <c r="AO32" i="7"/>
  <c r="AN32" i="7"/>
  <c r="AW24" i="7"/>
  <c r="AK31" i="7"/>
  <c r="AL31" i="7" s="1"/>
  <c r="AV24" i="7"/>
  <c r="AT24" i="7"/>
  <c r="AU24" i="7" s="1"/>
  <c r="AQ17" i="7"/>
  <c r="AR17" i="7" s="1"/>
  <c r="AS17" i="7" s="1"/>
  <c r="AK53" i="7"/>
  <c r="AN39" i="7"/>
  <c r="AO39" i="7" s="1"/>
  <c r="AO19" i="7"/>
  <c r="AQ19" i="7" s="1"/>
  <c r="AO7" i="7"/>
  <c r="AP7" i="7" s="1"/>
  <c r="AM14" i="7"/>
  <c r="AM16" i="7"/>
  <c r="AO61" i="7"/>
  <c r="AN48" i="7"/>
  <c r="AX21" i="7"/>
  <c r="AY21" i="7" s="1"/>
  <c r="AL20" i="7"/>
  <c r="AK20" i="7"/>
  <c r="AH11" i="7"/>
  <c r="AI11" i="7" s="1"/>
  <c r="AO2" i="7"/>
  <c r="AP32" i="7"/>
  <c r="AI28" i="7"/>
  <c r="AK44" i="7"/>
  <c r="AK36" i="7"/>
  <c r="AQ42" i="7"/>
  <c r="AR42" i="7" s="1"/>
  <c r="AO29" i="7"/>
  <c r="AP62" i="7"/>
  <c r="AM30" i="7"/>
  <c r="AP30" i="7" s="1"/>
  <c r="AO45" i="7"/>
  <c r="AX43" i="7"/>
  <c r="AP19" i="7"/>
  <c r="AI12" i="7"/>
  <c r="AJ12" i="7" s="1"/>
  <c r="AL53" i="7"/>
  <c r="AK55" i="7"/>
  <c r="AM55" i="7" s="1"/>
  <c r="AL55" i="7"/>
  <c r="AN26" i="7"/>
  <c r="AP26" i="7" s="1"/>
  <c r="AO26" i="7"/>
  <c r="AI3" i="7"/>
  <c r="AJ3" i="7" s="1"/>
  <c r="AI22" i="7"/>
  <c r="AZ15" i="7"/>
  <c r="AJ28" i="7"/>
  <c r="AL10" i="7"/>
  <c r="AP59" i="7"/>
  <c r="AL36" i="7"/>
  <c r="AJ13" i="7"/>
  <c r="AL54" i="7"/>
  <c r="AN8" i="7"/>
  <c r="AO6" i="7"/>
  <c r="AO30" i="7"/>
  <c r="AK38" i="7"/>
  <c r="AM8" i="7"/>
  <c r="AO8" i="7" s="1"/>
  <c r="AW43" i="7"/>
  <c r="AY43" i="7" s="1"/>
  <c r="AZ43" i="7" s="1"/>
  <c r="AN40" i="7"/>
  <c r="AK33" i="7"/>
  <c r="AQ56" i="7"/>
  <c r="AR56" i="7" s="1"/>
  <c r="AQ50" i="7"/>
  <c r="AR50" i="7" s="1"/>
  <c r="AN66" i="7"/>
  <c r="AJ4" i="7"/>
  <c r="AK4" i="7" s="1"/>
  <c r="AK63" i="7"/>
  <c r="AN30" i="7"/>
  <c r="AQ60" i="7"/>
  <c r="AR60" i="7" s="1"/>
  <c r="AM40" i="7"/>
  <c r="AM36" i="7"/>
  <c r="AQ25" i="7"/>
  <c r="AR35" i="7"/>
  <c r="AT58" i="7"/>
  <c r="AU58" i="7" s="1"/>
  <c r="AQ27" i="7"/>
  <c r="AT34" i="7"/>
  <c r="AU34" i="7"/>
  <c r="AV34" i="7" s="1"/>
  <c r="AW23" i="7"/>
  <c r="AT5" i="7"/>
  <c r="AM67" i="7"/>
  <c r="AS58" i="7"/>
  <c r="AR51" i="7"/>
  <c r="BA15" i="7"/>
  <c r="BB15" i="7" s="1"/>
  <c r="BC15" i="7" s="1"/>
  <c r="AY37" i="7"/>
  <c r="AZ37" i="7" s="1"/>
  <c r="AX57" i="7"/>
  <c r="AX23" i="7"/>
  <c r="AV18" i="7"/>
  <c r="AS9" i="7"/>
  <c r="AR65" i="7"/>
  <c r="AS65" i="7" s="1"/>
  <c r="AP52" i="7"/>
  <c r="AZ41" i="7"/>
  <c r="BA41" i="7" s="1"/>
  <c r="BB41" i="7" s="1"/>
  <c r="AQ49" i="7"/>
  <c r="AR49" i="7" s="1"/>
  <c r="AS49" i="7" s="1"/>
  <c r="AT49" i="7" s="1"/>
  <c r="AN67" i="7"/>
  <c r="AO67" i="7" s="1"/>
  <c r="AT46" i="7"/>
  <c r="AW18" i="7"/>
  <c r="AK12" i="7" l="1"/>
  <c r="AL12" i="7"/>
  <c r="AP8" i="7"/>
  <c r="AT30" i="7"/>
  <c r="AQ45" i="7"/>
  <c r="AS56" i="7"/>
  <c r="AZ21" i="7"/>
  <c r="BC21" i="7" s="1"/>
  <c r="BD21" i="7" s="1"/>
  <c r="AP39" i="7"/>
  <c r="AN31" i="7"/>
  <c r="AP2" i="7"/>
  <c r="AQ61" i="7"/>
  <c r="AL13" i="7"/>
  <c r="AP6" i="7"/>
  <c r="AN55" i="7"/>
  <c r="AK13" i="7"/>
  <c r="AM28" i="7"/>
  <c r="AT35" i="7"/>
  <c r="AU35" i="7" s="1"/>
  <c r="AP61" i="7"/>
  <c r="AQ59" i="7"/>
  <c r="AL4" i="7"/>
  <c r="AM10" i="7"/>
  <c r="AR61" i="7"/>
  <c r="AQ7" i="7"/>
  <c r="AR25" i="7"/>
  <c r="AN28" i="7"/>
  <c r="AJ11" i="7"/>
  <c r="AN16" i="7"/>
  <c r="AX24" i="7"/>
  <c r="AM20" i="7"/>
  <c r="AR30" i="7"/>
  <c r="AO66" i="7"/>
  <c r="AP66" i="7"/>
  <c r="AP40" i="7"/>
  <c r="AM54" i="7"/>
  <c r="AL28" i="7"/>
  <c r="AK11" i="7"/>
  <c r="AO16" i="7"/>
  <c r="AS19" i="7"/>
  <c r="AN20" i="7"/>
  <c r="AR19" i="7"/>
  <c r="AS50" i="7"/>
  <c r="AS30" i="7"/>
  <c r="AL63" i="7"/>
  <c r="AP45" i="7"/>
  <c r="AQ30" i="7"/>
  <c r="AQ32" i="7"/>
  <c r="AR32" i="7" s="1"/>
  <c r="AM53" i="7"/>
  <c r="AO14" i="7"/>
  <c r="AP29" i="7"/>
  <c r="AS60" i="7"/>
  <c r="AT60" i="7" s="1"/>
  <c r="AK3" i="7"/>
  <c r="AL44" i="7"/>
  <c r="AR45" i="7"/>
  <c r="AJ22" i="7"/>
  <c r="AP16" i="7"/>
  <c r="BA21" i="7"/>
  <c r="BB21" i="7" s="1"/>
  <c r="BA43" i="7"/>
  <c r="BB43" i="7" s="1"/>
  <c r="AT65" i="7"/>
  <c r="AS42" i="7"/>
  <c r="AQ8" i="7"/>
  <c r="AQ26" i="7"/>
  <c r="AS35" i="7"/>
  <c r="AO40" i="7"/>
  <c r="AL33" i="7"/>
  <c r="AL38" i="7"/>
  <c r="AQ62" i="7"/>
  <c r="AR62" i="7" s="1"/>
  <c r="AN36" i="7"/>
  <c r="AQ29" i="7"/>
  <c r="AR29" i="7" s="1"/>
  <c r="AT42" i="7"/>
  <c r="AM31" i="7"/>
  <c r="AO48" i="7"/>
  <c r="AP48" i="7" s="1"/>
  <c r="AN14" i="7"/>
  <c r="AP14" i="7" s="1"/>
  <c r="BC41" i="7"/>
  <c r="BA47" i="7"/>
  <c r="AP67" i="7"/>
  <c r="AQ67" i="7" s="1"/>
  <c r="BD15" i="7"/>
  <c r="AR27" i="7"/>
  <c r="AT17" i="7"/>
  <c r="AV17" i="7" s="1"/>
  <c r="AV49" i="7"/>
  <c r="AX58" i="7"/>
  <c r="AS51" i="7"/>
  <c r="BD41" i="7"/>
  <c r="AU5" i="7"/>
  <c r="AV58" i="7"/>
  <c r="AU65" i="7"/>
  <c r="AT9" i="7"/>
  <c r="BA37" i="7"/>
  <c r="BB37" i="7" s="1"/>
  <c r="AU49" i="7"/>
  <c r="AZ47" i="7"/>
  <c r="BB47" i="7" s="1"/>
  <c r="AU17" i="7"/>
  <c r="AV65" i="7"/>
  <c r="AW65" i="7" s="1"/>
  <c r="AX18" i="7"/>
  <c r="AY57" i="7"/>
  <c r="AW58" i="7"/>
  <c r="AU46" i="7"/>
  <c r="AQ52" i="7"/>
  <c r="AR52" i="7" s="1"/>
  <c r="AY23" i="7"/>
  <c r="AW34" i="7"/>
  <c r="AS32" i="7" l="1"/>
  <c r="AR67" i="7"/>
  <c r="AS67" i="7" s="1"/>
  <c r="AT67" i="7" s="1"/>
  <c r="BC43" i="7"/>
  <c r="BD43" i="7" s="1"/>
  <c r="AO20" i="7"/>
  <c r="AR20" i="7" s="1"/>
  <c r="AP20" i="7"/>
  <c r="AM63" i="7"/>
  <c r="AY24" i="7"/>
  <c r="AV35" i="7"/>
  <c r="AN10" i="7"/>
  <c r="AO28" i="7"/>
  <c r="AU45" i="7"/>
  <c r="AM33" i="7"/>
  <c r="AN33" i="7"/>
  <c r="AQ16" i="7"/>
  <c r="AQ39" i="7"/>
  <c r="AM4" i="7"/>
  <c r="AR8" i="7"/>
  <c r="AS8" i="7" s="1"/>
  <c r="AM13" i="7"/>
  <c r="AS61" i="7"/>
  <c r="AL3" i="7"/>
  <c r="BC47" i="7"/>
  <c r="AW42" i="7"/>
  <c r="AX42" i="7" s="1"/>
  <c r="AM44" i="7"/>
  <c r="AR7" i="7"/>
  <c r="AS29" i="7"/>
  <c r="AQ2" i="7"/>
  <c r="AO55" i="7"/>
  <c r="AN53" i="7"/>
  <c r="AR26" i="7"/>
  <c r="AS25" i="7"/>
  <c r="AR59" i="7"/>
  <c r="AM38" i="7"/>
  <c r="AS62" i="7"/>
  <c r="AQ40" i="7"/>
  <c r="AU60" i="7"/>
  <c r="AQ48" i="7"/>
  <c r="AO36" i="7"/>
  <c r="AO31" i="7"/>
  <c r="AU30" i="7"/>
  <c r="AS45" i="7"/>
  <c r="AT50" i="7"/>
  <c r="AL11" i="7"/>
  <c r="AT19" i="7"/>
  <c r="AU19" i="7" s="1"/>
  <c r="AR2" i="7"/>
  <c r="AQ6" i="7"/>
  <c r="AR6" i="7"/>
  <c r="AS59" i="7"/>
  <c r="AQ66" i="7"/>
  <c r="AM12" i="7"/>
  <c r="AT45" i="7"/>
  <c r="AO53" i="7"/>
  <c r="AN54" i="7"/>
  <c r="AQ20" i="7"/>
  <c r="AU42" i="7"/>
  <c r="AV42" i="7" s="1"/>
  <c r="AQ14" i="7"/>
  <c r="AR14" i="7" s="1"/>
  <c r="AS6" i="7"/>
  <c r="AP55" i="7"/>
  <c r="AT56" i="7"/>
  <c r="AK22" i="7"/>
  <c r="BA23" i="7"/>
  <c r="BB23" i="7" s="1"/>
  <c r="BC23" i="7" s="1"/>
  <c r="AW5" i="7"/>
  <c r="BD47" i="7"/>
  <c r="BC37" i="7"/>
  <c r="BD37" i="7" s="1"/>
  <c r="AT51" i="7"/>
  <c r="AY65" i="7"/>
  <c r="AY58" i="7"/>
  <c r="AZ58" i="7" s="1"/>
  <c r="AX65" i="7"/>
  <c r="AZ57" i="7"/>
  <c r="AW17" i="7"/>
  <c r="AU9" i="7"/>
  <c r="AU51" i="7"/>
  <c r="AV46" i="7"/>
  <c r="AV51" i="7"/>
  <c r="AS52" i="7"/>
  <c r="AX34" i="7"/>
  <c r="AW49" i="7"/>
  <c r="AX49" i="7" s="1"/>
  <c r="AY49" i="7" s="1"/>
  <c r="AZ23" i="7"/>
  <c r="AY18" i="7"/>
  <c r="AV5" i="7"/>
  <c r="AS27" i="7"/>
  <c r="AY42" i="7" l="1"/>
  <c r="AO63" i="7"/>
  <c r="AN63" i="7"/>
  <c r="AO54" i="7"/>
  <c r="AP54" i="7"/>
  <c r="AN44" i="7"/>
  <c r="AW35" i="7"/>
  <c r="AZ35" i="7" s="1"/>
  <c r="AQ36" i="7"/>
  <c r="AO33" i="7"/>
  <c r="AQ55" i="7"/>
  <c r="AR55" i="7"/>
  <c r="AT61" i="7"/>
  <c r="AM11" i="7"/>
  <c r="AU50" i="7"/>
  <c r="AN38" i="7"/>
  <c r="AN13" i="7"/>
  <c r="AO13" i="7" s="1"/>
  <c r="AP33" i="7"/>
  <c r="AP10" i="7"/>
  <c r="AZ24" i="7"/>
  <c r="AY35" i="7"/>
  <c r="AS20" i="7"/>
  <c r="AT20" i="7" s="1"/>
  <c r="AU56" i="7"/>
  <c r="AX56" i="7" s="1"/>
  <c r="AV45" i="7"/>
  <c r="AQ54" i="7"/>
  <c r="AS2" i="7"/>
  <c r="AV19" i="7"/>
  <c r="AO10" i="7"/>
  <c r="AS14" i="7"/>
  <c r="AT14" i="7" s="1"/>
  <c r="AT62" i="7"/>
  <c r="AP36" i="7"/>
  <c r="AR39" i="7"/>
  <c r="AO44" i="7"/>
  <c r="AM3" i="7"/>
  <c r="AT25" i="7"/>
  <c r="AW19" i="7"/>
  <c r="AU66" i="7"/>
  <c r="AS7" i="7"/>
  <c r="AV56" i="7"/>
  <c r="AW45" i="7"/>
  <c r="AX45" i="7" s="1"/>
  <c r="AX35" i="7"/>
  <c r="AT29" i="7"/>
  <c r="AU29" i="7" s="1"/>
  <c r="AV60" i="7"/>
  <c r="AP53" i="7"/>
  <c r="AS66" i="7"/>
  <c r="AL22" i="7"/>
  <c r="AN12" i="7"/>
  <c r="AT6" i="7"/>
  <c r="AV30" i="7"/>
  <c r="AW30" i="7" s="1"/>
  <c r="AR40" i="7"/>
  <c r="AO12" i="7"/>
  <c r="AW56" i="7"/>
  <c r="AR16" i="7"/>
  <c r="AR48" i="7"/>
  <c r="AS48" i="7" s="1"/>
  <c r="AT7" i="7"/>
  <c r="AZ42" i="7"/>
  <c r="BA42" i="7" s="1"/>
  <c r="AT59" i="7"/>
  <c r="AU62" i="7"/>
  <c r="AV62" i="7" s="1"/>
  <c r="AS26" i="7"/>
  <c r="AT2" i="7"/>
  <c r="AP28" i="7"/>
  <c r="AR66" i="7"/>
  <c r="AN4" i="7"/>
  <c r="AT32" i="7"/>
  <c r="AT8" i="7"/>
  <c r="AT66" i="7"/>
  <c r="AP12" i="7"/>
  <c r="AQ12" i="7" s="1"/>
  <c r="AP63" i="7"/>
  <c r="AP31" i="7"/>
  <c r="AT26" i="7"/>
  <c r="AW46" i="7"/>
  <c r="AY46" i="7" s="1"/>
  <c r="AZ46" i="7" s="1"/>
  <c r="BA57" i="7"/>
  <c r="BB57" i="7" s="1"/>
  <c r="BA58" i="7"/>
  <c r="BB58" i="7" s="1"/>
  <c r="BC58" i="7" s="1"/>
  <c r="AZ49" i="7"/>
  <c r="AU27" i="7"/>
  <c r="AU67" i="7"/>
  <c r="AZ65" i="7"/>
  <c r="AT52" i="7"/>
  <c r="AY34" i="7"/>
  <c r="AV9" i="7"/>
  <c r="BD23" i="7"/>
  <c r="AX46" i="7"/>
  <c r="AW51" i="7"/>
  <c r="AX51" i="7" s="1"/>
  <c r="AX17" i="7"/>
  <c r="AX5" i="7"/>
  <c r="AT27" i="7"/>
  <c r="AZ18" i="7"/>
  <c r="AX30" i="7" l="1"/>
  <c r="AV7" i="7"/>
  <c r="AY45" i="7"/>
  <c r="AR28" i="7"/>
  <c r="AW62" i="7"/>
  <c r="AS40" i="7"/>
  <c r="AU26" i="7"/>
  <c r="BB35" i="7"/>
  <c r="AX62" i="7"/>
  <c r="AU14" i="7"/>
  <c r="AV14" i="7" s="1"/>
  <c r="AO38" i="7"/>
  <c r="AU7" i="7"/>
  <c r="AM22" i="7"/>
  <c r="AV26" i="7"/>
  <c r="AU2" i="7"/>
  <c r="AV2" i="7" s="1"/>
  <c r="AU8" i="7"/>
  <c r="AQ28" i="7"/>
  <c r="AU52" i="7"/>
  <c r="AV52" i="7" s="1"/>
  <c r="AU32" i="7"/>
  <c r="AY62" i="7"/>
  <c r="AY30" i="7"/>
  <c r="AU61" i="7"/>
  <c r="AV29" i="7"/>
  <c r="AR36" i="7"/>
  <c r="AS36" i="7" s="1"/>
  <c r="AO4" i="7"/>
  <c r="AV16" i="7"/>
  <c r="AS16" i="7"/>
  <c r="AY56" i="7"/>
  <c r="AS55" i="7"/>
  <c r="AQ33" i="7"/>
  <c r="AN11" i="7"/>
  <c r="AO11" i="7" s="1"/>
  <c r="AT16" i="7"/>
  <c r="AR31" i="7"/>
  <c r="AQ31" i="7"/>
  <c r="AU6" i="7"/>
  <c r="AW6" i="7" s="1"/>
  <c r="AZ56" i="7"/>
  <c r="AP13" i="7"/>
  <c r="BD24" i="7"/>
  <c r="BA24" i="7"/>
  <c r="BB24" i="7" s="1"/>
  <c r="AU20" i="7"/>
  <c r="AW20" i="7" s="1"/>
  <c r="BB42" i="7"/>
  <c r="BC42" i="7" s="1"/>
  <c r="BD42" i="7" s="1"/>
  <c r="AT48" i="7"/>
  <c r="AV66" i="7"/>
  <c r="AW66" i="7" s="1"/>
  <c r="AR12" i="7"/>
  <c r="AU12" i="7" s="1"/>
  <c r="AW60" i="7"/>
  <c r="AX60" i="7"/>
  <c r="AN3" i="7"/>
  <c r="AQ10" i="7"/>
  <c r="BC24" i="7"/>
  <c r="AV50" i="7"/>
  <c r="AP44" i="7"/>
  <c r="AR54" i="7"/>
  <c r="AQ53" i="7"/>
  <c r="AR53" i="7" s="1"/>
  <c r="AW29" i="7"/>
  <c r="AS12" i="7"/>
  <c r="AT12" i="7" s="1"/>
  <c r="AU25" i="7"/>
  <c r="AV6" i="7"/>
  <c r="AW7" i="7"/>
  <c r="AX7" i="7" s="1"/>
  <c r="AV8" i="7"/>
  <c r="AX19" i="7"/>
  <c r="AU16" i="7"/>
  <c r="AR10" i="7"/>
  <c r="AQ63" i="7"/>
  <c r="AU59" i="7"/>
  <c r="BA35" i="7"/>
  <c r="BC35" i="7" s="1"/>
  <c r="AV20" i="7"/>
  <c r="AS39" i="7"/>
  <c r="BD58" i="7"/>
  <c r="AY17" i="7"/>
  <c r="AZ34" i="7"/>
  <c r="BA18" i="7"/>
  <c r="BB65" i="7"/>
  <c r="BD57" i="7"/>
  <c r="BA49" i="7"/>
  <c r="BB49" i="7" s="1"/>
  <c r="BC49" i="7" s="1"/>
  <c r="BA65" i="7"/>
  <c r="AY51" i="7"/>
  <c r="AZ51" i="7" s="1"/>
  <c r="AY5" i="7"/>
  <c r="AW9" i="7"/>
  <c r="AV67" i="7"/>
  <c r="BA46" i="7"/>
  <c r="AV27" i="7"/>
  <c r="AW27" i="7" s="1"/>
  <c r="BB18" i="7"/>
  <c r="BC57" i="7"/>
  <c r="AX20" i="7" l="1"/>
  <c r="AT36" i="7"/>
  <c r="AX61" i="7"/>
  <c r="AQ38" i="7"/>
  <c r="AW52" i="7"/>
  <c r="AW14" i="7"/>
  <c r="AO3" i="7"/>
  <c r="AP3" i="7" s="1"/>
  <c r="BA51" i="7"/>
  <c r="AW32" i="7"/>
  <c r="AS28" i="7"/>
  <c r="AY7" i="7"/>
  <c r="AS53" i="7"/>
  <c r="AV59" i="7"/>
  <c r="AX59" i="7" s="1"/>
  <c r="AV61" i="7"/>
  <c r="AY60" i="7"/>
  <c r="AZ60" i="7" s="1"/>
  <c r="AS54" i="7"/>
  <c r="AP4" i="7"/>
  <c r="AQ13" i="7"/>
  <c r="AP38" i="7"/>
  <c r="AW26" i="7"/>
  <c r="AX14" i="7"/>
  <c r="AY14" i="7" s="1"/>
  <c r="AZ45" i="7"/>
  <c r="BB45" i="7" s="1"/>
  <c r="BC45" i="7" s="1"/>
  <c r="AZ62" i="7"/>
  <c r="AV12" i="7"/>
  <c r="AY20" i="7"/>
  <c r="BA20" i="7" s="1"/>
  <c r="AU48" i="7"/>
  <c r="AW50" i="7"/>
  <c r="AX66" i="7"/>
  <c r="AY66" i="7" s="1"/>
  <c r="BA45" i="7"/>
  <c r="AW25" i="7"/>
  <c r="AW61" i="7"/>
  <c r="AP11" i="7"/>
  <c r="AV25" i="7"/>
  <c r="AY25" i="7" s="1"/>
  <c r="AT40" i="7"/>
  <c r="AT28" i="7"/>
  <c r="AZ7" i="7"/>
  <c r="AZ20" i="7"/>
  <c r="AT55" i="7"/>
  <c r="BA56" i="7"/>
  <c r="AX25" i="7"/>
  <c r="AY29" i="7"/>
  <c r="AO22" i="7"/>
  <c r="AY27" i="7"/>
  <c r="AR63" i="7"/>
  <c r="AX29" i="7"/>
  <c r="AS10" i="7"/>
  <c r="AT10" i="7" s="1"/>
  <c r="AY6" i="7"/>
  <c r="AX6" i="7"/>
  <c r="AQ44" i="7"/>
  <c r="AT53" i="7"/>
  <c r="AS63" i="7"/>
  <c r="AT63" i="7" s="1"/>
  <c r="AN22" i="7"/>
  <c r="AP22" i="7" s="1"/>
  <c r="AW2" i="7"/>
  <c r="AR33" i="7"/>
  <c r="AV32" i="7"/>
  <c r="AX32" i="7" s="1"/>
  <c r="AY32" i="7" s="1"/>
  <c r="AZ30" i="7"/>
  <c r="AT39" i="7"/>
  <c r="AX27" i="7"/>
  <c r="BD35" i="7"/>
  <c r="AY19" i="7"/>
  <c r="AS31" i="7"/>
  <c r="AW16" i="7"/>
  <c r="AS33" i="7"/>
  <c r="AW8" i="7"/>
  <c r="AU40" i="7"/>
  <c r="BB62" i="7"/>
  <c r="BA62" i="7"/>
  <c r="AW59" i="7"/>
  <c r="BC46" i="7"/>
  <c r="BD46" i="7" s="1"/>
  <c r="BB51" i="7"/>
  <c r="BA34" i="7"/>
  <c r="AW67" i="7"/>
  <c r="AX67" i="7" s="1"/>
  <c r="BC65" i="7"/>
  <c r="BD65" i="7" s="1"/>
  <c r="BC18" i="7"/>
  <c r="BD18" i="7" s="1"/>
  <c r="BB46" i="7"/>
  <c r="AZ17" i="7"/>
  <c r="AX9" i="7"/>
  <c r="BD49" i="7"/>
  <c r="AZ27" i="7"/>
  <c r="AZ5" i="7"/>
  <c r="AZ16" i="7" l="1"/>
  <c r="AU10" i="7"/>
  <c r="BD45" i="7"/>
  <c r="AY52" i="7"/>
  <c r="BA52" i="7" s="1"/>
  <c r="AW48" i="7"/>
  <c r="BC29" i="7"/>
  <c r="BD29" i="7" s="1"/>
  <c r="AW12" i="7"/>
  <c r="AZ67" i="7"/>
  <c r="AQ3" i="7"/>
  <c r="AU53" i="7"/>
  <c r="AZ6" i="7"/>
  <c r="AX8" i="7"/>
  <c r="AY59" i="7"/>
  <c r="BA59" i="7" s="1"/>
  <c r="BB56" i="7"/>
  <c r="BC56" i="7" s="1"/>
  <c r="AR44" i="7"/>
  <c r="AV63" i="7"/>
  <c r="AZ29" i="7"/>
  <c r="BA29" i="7" s="1"/>
  <c r="BB29" i="7" s="1"/>
  <c r="AR3" i="7"/>
  <c r="AY12" i="7"/>
  <c r="AX2" i="7"/>
  <c r="BA60" i="7"/>
  <c r="AT54" i="7"/>
  <c r="AZ32" i="7"/>
  <c r="AQ22" i="7"/>
  <c r="AT22" i="7" s="1"/>
  <c r="AU55" i="7"/>
  <c r="BA7" i="7"/>
  <c r="BB7" i="7" s="1"/>
  <c r="BC7" i="7" s="1"/>
  <c r="AZ19" i="7"/>
  <c r="AZ59" i="7"/>
  <c r="AT33" i="7"/>
  <c r="AV40" i="7"/>
  <c r="AW40" i="7" s="1"/>
  <c r="AQ11" i="7"/>
  <c r="AR11" i="7" s="1"/>
  <c r="AS11" i="7" s="1"/>
  <c r="AV48" i="7"/>
  <c r="AQ4" i="7"/>
  <c r="AX50" i="7"/>
  <c r="AU63" i="7"/>
  <c r="AZ14" i="7"/>
  <c r="AW36" i="7"/>
  <c r="AY67" i="7"/>
  <c r="AX12" i="7"/>
  <c r="AZ12" i="7" s="1"/>
  <c r="AX16" i="7"/>
  <c r="AY16" i="7" s="1"/>
  <c r="AX26" i="7"/>
  <c r="AR13" i="7"/>
  <c r="AX52" i="7"/>
  <c r="AZ52" i="7" s="1"/>
  <c r="AZ66" i="7"/>
  <c r="AV55" i="7"/>
  <c r="BB20" i="7"/>
  <c r="BC20" i="7" s="1"/>
  <c r="BA30" i="7"/>
  <c r="BB30" i="7" s="1"/>
  <c r="BC30" i="7" s="1"/>
  <c r="AT31" i="7"/>
  <c r="AU39" i="7"/>
  <c r="AR22" i="7"/>
  <c r="AS22" i="7" s="1"/>
  <c r="AW10" i="7"/>
  <c r="AZ25" i="7"/>
  <c r="AV10" i="7"/>
  <c r="AR38" i="7"/>
  <c r="AU36" i="7"/>
  <c r="AV36" i="7" s="1"/>
  <c r="AY61" i="7"/>
  <c r="AU28" i="7"/>
  <c r="AV28" i="7" s="1"/>
  <c r="BC62" i="7"/>
  <c r="BD62" i="7" s="1"/>
  <c r="BD51" i="7"/>
  <c r="BA5" i="7"/>
  <c r="AY9" i="7"/>
  <c r="BA17" i="7"/>
  <c r="BB17" i="7" s="1"/>
  <c r="BC17" i="7" s="1"/>
  <c r="BC51" i="7"/>
  <c r="BB34" i="7"/>
  <c r="BA27" i="7"/>
  <c r="AU22" i="7" l="1"/>
  <c r="AX40" i="7"/>
  <c r="BD60" i="7"/>
  <c r="BC14" i="7"/>
  <c r="AT3" i="7"/>
  <c r="BA67" i="7"/>
  <c r="BB67" i="7" s="1"/>
  <c r="BC67" i="7" s="1"/>
  <c r="BD67" i="7" s="1"/>
  <c r="AY26" i="7"/>
  <c r="BA32" i="7"/>
  <c r="BB32" i="7" s="1"/>
  <c r="BB59" i="7"/>
  <c r="BC59" i="7" s="1"/>
  <c r="BD59" i="7" s="1"/>
  <c r="BD56" i="7"/>
  <c r="AS13" i="7"/>
  <c r="BB60" i="7"/>
  <c r="BC60" i="7" s="1"/>
  <c r="AY50" i="7"/>
  <c r="AZ50" i="7" s="1"/>
  <c r="BA66" i="7"/>
  <c r="BD20" i="7"/>
  <c r="AW55" i="7"/>
  <c r="AX36" i="7"/>
  <c r="AY36" i="7" s="1"/>
  <c r="AS44" i="7"/>
  <c r="BA12" i="7"/>
  <c r="BB12" i="7" s="1"/>
  <c r="BA25" i="7"/>
  <c r="BB25" i="7" s="1"/>
  <c r="BB19" i="7"/>
  <c r="BC19" i="7" s="1"/>
  <c r="BA6" i="7"/>
  <c r="AU33" i="7"/>
  <c r="BD7" i="7"/>
  <c r="AX48" i="7"/>
  <c r="AY8" i="7"/>
  <c r="AV53" i="7"/>
  <c r="AV22" i="7"/>
  <c r="AV39" i="7"/>
  <c r="AW28" i="7"/>
  <c r="AW63" i="7"/>
  <c r="BD30" i="7"/>
  <c r="AS3" i="7"/>
  <c r="AR4" i="7"/>
  <c r="AS4" i="7" s="1"/>
  <c r="AS38" i="7"/>
  <c r="AZ36" i="7"/>
  <c r="AU31" i="7"/>
  <c r="AV31" i="7" s="1"/>
  <c r="AZ61" i="7"/>
  <c r="BA61" i="7" s="1"/>
  <c r="BB61" i="7" s="1"/>
  <c r="BA16" i="7"/>
  <c r="BB16" i="7" s="1"/>
  <c r="BA14" i="7"/>
  <c r="BB14" i="7" s="1"/>
  <c r="AY2" i="7"/>
  <c r="AT11" i="7"/>
  <c r="AU11" i="7" s="1"/>
  <c r="BC25" i="7"/>
  <c r="BA19" i="7"/>
  <c r="BD19" i="7" s="1"/>
  <c r="AX10" i="7"/>
  <c r="AU54" i="7"/>
  <c r="BC52" i="7"/>
  <c r="BB27" i="7"/>
  <c r="BC34" i="7"/>
  <c r="BD34" i="7" s="1"/>
  <c r="BB5" i="7"/>
  <c r="BB52" i="7"/>
  <c r="AZ9" i="7"/>
  <c r="BA9" i="7"/>
  <c r="BD17" i="7"/>
  <c r="AV3" i="7" l="1"/>
  <c r="AU4" i="7"/>
  <c r="AZ48" i="7"/>
  <c r="BA48" i="7" s="1"/>
  <c r="AZ8" i="7"/>
  <c r="BC12" i="7"/>
  <c r="BB66" i="7"/>
  <c r="BC66" i="7" s="1"/>
  <c r="BD66" i="7" s="1"/>
  <c r="BD12" i="7"/>
  <c r="AX63" i="7"/>
  <c r="AY63" i="7" s="1"/>
  <c r="AX53" i="7"/>
  <c r="AW53" i="7"/>
  <c r="BD25" i="7"/>
  <c r="BA36" i="7"/>
  <c r="BB36" i="7" s="1"/>
  <c r="AT44" i="7"/>
  <c r="AV33" i="7"/>
  <c r="AY10" i="7"/>
  <c r="BA10" i="7" s="1"/>
  <c r="BD50" i="7"/>
  <c r="AT4" i="7"/>
  <c r="AY40" i="7"/>
  <c r="BA50" i="7"/>
  <c r="BB50" i="7" s="1"/>
  <c r="BC50" i="7" s="1"/>
  <c r="AU38" i="7"/>
  <c r="AY48" i="7"/>
  <c r="BB48" i="7" s="1"/>
  <c r="AT13" i="7"/>
  <c r="AZ26" i="7"/>
  <c r="AX28" i="7"/>
  <c r="BB6" i="7"/>
  <c r="AU3" i="7"/>
  <c r="AV54" i="7"/>
  <c r="BC16" i="7"/>
  <c r="BD16" i="7" s="1"/>
  <c r="AZ63" i="7"/>
  <c r="AT38" i="7"/>
  <c r="BA2" i="7"/>
  <c r="AZ2" i="7"/>
  <c r="BB2" i="7" s="1"/>
  <c r="BC2" i="7" s="1"/>
  <c r="BA8" i="7"/>
  <c r="BB8" i="7" s="1"/>
  <c r="BC8" i="7" s="1"/>
  <c r="BD52" i="7"/>
  <c r="AW39" i="7"/>
  <c r="AX39" i="7" s="1"/>
  <c r="AV11" i="7"/>
  <c r="AW31" i="7"/>
  <c r="BC61" i="7"/>
  <c r="BD61" i="7" s="1"/>
  <c r="BD14" i="7"/>
  <c r="AX55" i="7"/>
  <c r="AZ10" i="7"/>
  <c r="AW22" i="7"/>
  <c r="BC32" i="7"/>
  <c r="BD32" i="7" s="1"/>
  <c r="BB9" i="7"/>
  <c r="BC9" i="7" s="1"/>
  <c r="BD9" i="7" s="1"/>
  <c r="BC5" i="7"/>
  <c r="BD5" i="7" s="1"/>
  <c r="BC27" i="7"/>
  <c r="BD27" i="7" s="1"/>
  <c r="BB10" i="7" l="1"/>
  <c r="BD10" i="7" s="1"/>
  <c r="AY39" i="7"/>
  <c r="AX31" i="7"/>
  <c r="AY31" i="7" s="1"/>
  <c r="AZ40" i="7"/>
  <c r="AV38" i="7"/>
  <c r="AU13" i="7"/>
  <c r="BA26" i="7"/>
  <c r="BB26" i="7" s="1"/>
  <c r="AY55" i="7"/>
  <c r="AZ55" i="7" s="1"/>
  <c r="BC6" i="7"/>
  <c r="BD6" i="7" s="1"/>
  <c r="BC48" i="7"/>
  <c r="BD48" i="7" s="1"/>
  <c r="AY53" i="7"/>
  <c r="BA53" i="7" s="1"/>
  <c r="AV4" i="7"/>
  <c r="AW3" i="7"/>
  <c r="AU44" i="7"/>
  <c r="AZ53" i="7"/>
  <c r="AW11" i="7"/>
  <c r="BD2" i="7"/>
  <c r="BC36" i="7"/>
  <c r="BD36" i="7" s="1"/>
  <c r="AY28" i="7"/>
  <c r="AZ28" i="7"/>
  <c r="BA28" i="7" s="1"/>
  <c r="AW54" i="7"/>
  <c r="BA40" i="7"/>
  <c r="BB40" i="7" s="1"/>
  <c r="BC40" i="7" s="1"/>
  <c r="BC10" i="7"/>
  <c r="BA63" i="7"/>
  <c r="BB63" i="7" s="1"/>
  <c r="BC63" i="7" s="1"/>
  <c r="BD8" i="7"/>
  <c r="AX22" i="7"/>
  <c r="AY22" i="7" s="1"/>
  <c r="AW33" i="7"/>
  <c r="AX54" i="7" l="1"/>
  <c r="AV13" i="7"/>
  <c r="AZ39" i="7"/>
  <c r="AV44" i="7"/>
  <c r="AW44" i="7" s="1"/>
  <c r="AX44" i="7" s="1"/>
  <c r="BC53" i="7"/>
  <c r="BD53" i="7" s="1"/>
  <c r="AZ31" i="7"/>
  <c r="BA31" i="7" s="1"/>
  <c r="BB31" i="7" s="1"/>
  <c r="AX33" i="7"/>
  <c r="BD26" i="7"/>
  <c r="AW4" i="7"/>
  <c r="BD63" i="7"/>
  <c r="BB53" i="7"/>
  <c r="BA55" i="7"/>
  <c r="BB55" i="7"/>
  <c r="AX3" i="7"/>
  <c r="AZ22" i="7"/>
  <c r="AW38" i="7"/>
  <c r="BB28" i="7"/>
  <c r="BC28" i="7"/>
  <c r="AX11" i="7"/>
  <c r="BD40" i="7"/>
  <c r="BC26" i="7"/>
  <c r="AX38" i="7" l="1"/>
  <c r="AX13" i="7"/>
  <c r="AZ13" i="7" s="1"/>
  <c r="AW13" i="7"/>
  <c r="AY4" i="7"/>
  <c r="AX4" i="7"/>
  <c r="AY3" i="7"/>
  <c r="BA3" i="7" s="1"/>
  <c r="BB3" i="7" s="1"/>
  <c r="BC3" i="7" s="1"/>
  <c r="AY13" i="7"/>
  <c r="AZ33" i="7"/>
  <c r="AY44" i="7"/>
  <c r="BB22" i="7"/>
  <c r="BB54" i="7"/>
  <c r="BC54" i="7" s="1"/>
  <c r="AZ54" i="7"/>
  <c r="BD28" i="7"/>
  <c r="BC55" i="7"/>
  <c r="BD55" i="7" s="1"/>
  <c r="AY33" i="7"/>
  <c r="BA39" i="7"/>
  <c r="BB39" i="7" s="1"/>
  <c r="AY54" i="7"/>
  <c r="BA54" i="7" s="1"/>
  <c r="BA22" i="7"/>
  <c r="BC22" i="7" s="1"/>
  <c r="BD22" i="7" s="1"/>
  <c r="AZ3" i="7"/>
  <c r="BC31" i="7"/>
  <c r="BD31" i="7" s="1"/>
  <c r="AY11" i="7"/>
  <c r="BD54" i="7" l="1"/>
  <c r="AY38" i="7"/>
  <c r="BC39" i="7"/>
  <c r="BD39" i="7" s="1"/>
  <c r="AZ11" i="7"/>
  <c r="BD3" i="7"/>
  <c r="AZ44" i="7"/>
  <c r="BA44" i="7" s="1"/>
  <c r="AZ4" i="7"/>
  <c r="BA13" i="7"/>
  <c r="BA33" i="7"/>
  <c r="BB13" i="7" l="1"/>
  <c r="BA4" i="7"/>
  <c r="BB33" i="7"/>
  <c r="BA11" i="7"/>
  <c r="BB11" i="7" s="1"/>
  <c r="AZ38" i="7"/>
  <c r="BC11" i="7"/>
  <c r="BA38" i="7"/>
  <c r="BB38" i="7" s="1"/>
  <c r="BB4" i="7"/>
  <c r="BC4" i="7" s="1"/>
  <c r="BB44" i="7"/>
  <c r="BC44" i="7" s="1"/>
  <c r="BD44" i="7" s="1"/>
  <c r="BD4" i="7" l="1"/>
  <c r="BC38" i="7"/>
  <c r="BD38" i="7" s="1"/>
  <c r="BC33" i="7"/>
  <c r="BD33" i="7" s="1"/>
  <c r="BD11" i="7"/>
  <c r="BC13" i="7"/>
  <c r="BD13" i="7" s="1"/>
</calcChain>
</file>

<file path=xl/comments1.xml><?xml version="1.0" encoding="utf-8"?>
<comments xmlns="http://schemas.openxmlformats.org/spreadsheetml/2006/main">
  <authors>
    <author>tc={57B2FB2A-12B7-E84B-9ACA-C4844C8717F0}</author>
  </authors>
  <commentList>
    <comment ref="B19" authorId="0" shapeId="0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guessing that 1.Food and Beverage Industry ~ 15. Other Manufacturing is under Non-Oil and Gas Manufacturing Industry?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<sst xmlns="http://schemas.openxmlformats.org/spreadsheetml/2006/main" count="8350" uniqueCount="2539">
  <si>
    <t>BPCiObIC BAU Percent Change in Output by ISIC Code</t>
  </si>
  <si>
    <t>Source:</t>
  </si>
  <si>
    <t>Most Industries</t>
  </si>
  <si>
    <t>OECD</t>
  </si>
  <si>
    <t>Input-Output Tables 2021 Edition (ISIC Rev. 4)</t>
  </si>
  <si>
    <t>https://stats.oecd.org/Index.aspx?DataSetCode=IOTS_2021</t>
  </si>
  <si>
    <t>Variable: TTL</t>
  </si>
  <si>
    <t>Electricity consumption</t>
  </si>
  <si>
    <t>Statistik Industri Manufaktur Indonesia, 2020</t>
  </si>
  <si>
    <t>2019-2024</t>
  </si>
  <si>
    <t>Badan Pusat Statistik</t>
  </si>
  <si>
    <t>https://www.bps.go.id/en/statistics-table/2/MTA0IzI=/growth-rate-of-gdp-by-industry--2010-100---percent-.html</t>
  </si>
  <si>
    <t>Notes:</t>
  </si>
  <si>
    <t>We examine each industry to determin the appropriate trend, then carry that forward.</t>
  </si>
  <si>
    <t>From there, we estimate the annual percentage growth.</t>
  </si>
  <si>
    <t>Note that this is not linked to BIFUbC nor fuel production.</t>
  </si>
  <si>
    <t>Sorry, the query is too large to fit into the Excel cell. You will not be able to update your table with the .Stat Populator.</t>
  </si>
  <si>
    <t>Dataset: Input-Output Tables (IOTs) 2021 ed.</t>
  </si>
  <si>
    <t>Variable</t>
  </si>
  <si>
    <t>TTL: Total</t>
  </si>
  <si>
    <t>Country</t>
  </si>
  <si>
    <t>IDN: Indonesia</t>
  </si>
  <si>
    <t>From industry / sector</t>
  </si>
  <si>
    <t>OUTPUT: Output at basic prices</t>
  </si>
  <si>
    <t>Unit</t>
  </si>
  <si>
    <t>US Dollar, Millions</t>
  </si>
  <si>
    <t>SPARK</t>
  </si>
  <si>
    <t>Intercept</t>
  </si>
  <si>
    <t>Slope</t>
  </si>
  <si>
    <t>R2</t>
  </si>
  <si>
    <t/>
  </si>
  <si>
    <t>ISIC 01T03</t>
  </si>
  <si>
    <t>D01T02: Agriculture, hunting, forestry</t>
  </si>
  <si>
    <t>D03: Fishing and aquaculture</t>
  </si>
  <si>
    <t>ISIC 05</t>
  </si>
  <si>
    <t>D05T06: Mining and quarrying, energy producing products</t>
  </si>
  <si>
    <t>ISIC 07T08</t>
  </si>
  <si>
    <t>D07T08: Mining and quarrying, non-energy producing products</t>
  </si>
  <si>
    <t>ISIC 09</t>
  </si>
  <si>
    <t>D09: Mining support service activities</t>
  </si>
  <si>
    <t>ISIC 10T12</t>
  </si>
  <si>
    <t>D10T12: Food products, beverages and tobacco</t>
  </si>
  <si>
    <t>ISIC 13T15</t>
  </si>
  <si>
    <t>D13T15: Textiles, textile products, leather and footwear</t>
  </si>
  <si>
    <t>ISIC 16</t>
  </si>
  <si>
    <t>D16: Wood and products of wood and cork</t>
  </si>
  <si>
    <t>ISIC 17T18</t>
  </si>
  <si>
    <t>D17T18: Paper products and printing</t>
  </si>
  <si>
    <t>ISIC 19</t>
  </si>
  <si>
    <t>D19: Coke and refined petroleum products</t>
  </si>
  <si>
    <t>ISIC 20</t>
  </si>
  <si>
    <t>D20: Chemical and chemical products</t>
  </si>
  <si>
    <t>ISIC 21</t>
  </si>
  <si>
    <t>D21: Pharmaceuticals, medicinal chemical and botanical products</t>
  </si>
  <si>
    <t>ISIC 22</t>
  </si>
  <si>
    <t>D22: Rubber and plastics products</t>
  </si>
  <si>
    <t>ISIC 23</t>
  </si>
  <si>
    <t>D23: Other non-metallic mineral products</t>
  </si>
  <si>
    <t>ISIC 24</t>
  </si>
  <si>
    <t>D24: Basic metals</t>
  </si>
  <si>
    <t>ISIC 25</t>
  </si>
  <si>
    <t>D25: Fabricated metal products</t>
  </si>
  <si>
    <t>ISIC 26</t>
  </si>
  <si>
    <t>D26: Computer, electronic and optical equipment</t>
  </si>
  <si>
    <t>ISIC 27</t>
  </si>
  <si>
    <t>D27: Electrical equipment</t>
  </si>
  <si>
    <t>ISIC 28</t>
  </si>
  <si>
    <t>D28: Machinery and equipment, nec</t>
  </si>
  <si>
    <t>ISIC 29</t>
  </si>
  <si>
    <t>D29: Motor vehicles, trailers and semi-trailers</t>
  </si>
  <si>
    <t>ISIC 30</t>
  </si>
  <si>
    <t>D30: Other transport equipment</t>
  </si>
  <si>
    <t>ISIC 31T33</t>
  </si>
  <si>
    <t>D31T33: Manufacturing nec; repair and installation of machinery and equipment</t>
  </si>
  <si>
    <t>ISIC 351</t>
  </si>
  <si>
    <t>D35: Electricity, gas, steam and air conditioning supply</t>
  </si>
  <si>
    <t>ISIC 36T39</t>
  </si>
  <si>
    <t>D36T39: Water supply; sewerage, waste management and remediation activities</t>
  </si>
  <si>
    <t>ISIC 41T43</t>
  </si>
  <si>
    <t>D41T43: Construction</t>
  </si>
  <si>
    <t>ISIC 45T47</t>
  </si>
  <si>
    <t>D45T47: Wholesale and retail trade; repair of motor vehicles</t>
  </si>
  <si>
    <t>ISIC 49T53</t>
  </si>
  <si>
    <t>COMBINED: 4953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</si>
  <si>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</si>
  <si>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</si>
  <si>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</si>
  <si>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</si>
  <si>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</si>
  <si>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ISIC 55T56</t>
  </si>
  <si>
    <t>D55T56: Accommodation and food service activities</t>
  </si>
  <si>
    <t>ISIC 58T60</t>
  </si>
  <si>
    <t>D58T60: Publishing, audiovisual and broadcasting activities</t>
  </si>
  <si>
    <t>ISIC 61</t>
  </si>
  <si>
    <t>D61: Telecommunications</t>
  </si>
  <si>
    <t>ISIC 62T63</t>
  </si>
  <si>
    <t>D62T63: IT and other information services</t>
  </si>
  <si>
    <t>ISIC 64T66</t>
  </si>
  <si>
    <t>D64T66: Financial and insurance activities</t>
  </si>
  <si>
    <t>ISIC 68</t>
  </si>
  <si>
    <t>D68: Real estate activities</t>
  </si>
  <si>
    <t>ISIC 69T82</t>
  </si>
  <si>
    <t>COMBINED: 69T82</t>
  </si>
  <si>
    <t>D69T75: Professional, scientific and technical activities</t>
  </si>
  <si>
    <t>D77T82: Administrative and support services</t>
  </si>
  <si>
    <t>ISIC 84</t>
  </si>
  <si>
    <t>D84: Public administration and defence; compulsory social security</t>
  </si>
  <si>
    <t>ISIC 85</t>
  </si>
  <si>
    <t>D85: Education</t>
  </si>
  <si>
    <t>ISIC 86T88</t>
  </si>
  <si>
    <t>D86T88: Human health and social work activities</t>
  </si>
  <si>
    <t>ISIC 90T96</t>
  </si>
  <si>
    <t>COMBINED: 90T96</t>
  </si>
  <si>
    <t>D90T93: Arts, entertainment and recreation</t>
  </si>
  <si>
    <t>D94T96: Other service activities</t>
  </si>
  <si>
    <t>ISIC 97T98</t>
  </si>
  <si>
    <t>D97T98: Activities of households as employers; undifferentiated goods- and services-producing activities of households for own use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</si>
  <si>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</si>
  <si>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</si>
  <si>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</si>
  <si>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</si>
  <si>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</si>
  <si>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</si>
  <si>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</si>
  <si>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</si>
  <si>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</si>
  <si>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Data extracted on 28 Mar 2023 19:43 UTC (GMT) from OECD.Stat</t>
  </si>
  <si>
    <t>ISIC used</t>
  </si>
  <si>
    <t>ISIC Group</t>
  </si>
  <si>
    <t>bifubc sector used</t>
  </si>
  <si>
    <t>bifubc sector grouped</t>
  </si>
  <si>
    <t>agriculture and forestry 01T03</t>
  </si>
  <si>
    <t>ISIC 239</t>
  </si>
  <si>
    <t>ISIC 231</t>
  </si>
  <si>
    <t>cement and other nonmetallic minerals 239</t>
  </si>
  <si>
    <t>glass and glass products 231</t>
  </si>
  <si>
    <t>chemicals 20</t>
  </si>
  <si>
    <t>coal mining 05</t>
  </si>
  <si>
    <t>construction 41T43</t>
  </si>
  <si>
    <t>ISIC 352T353</t>
  </si>
  <si>
    <t>energy pipelines and gas processing 352T353</t>
  </si>
  <si>
    <t>food beverage and tobacco 10T12</t>
  </si>
  <si>
    <t>ISIC 241</t>
  </si>
  <si>
    <t>iron and steel 241</t>
  </si>
  <si>
    <t>metal products except machinery and vehicles 25</t>
  </si>
  <si>
    <t>computers and electronics 26</t>
  </si>
  <si>
    <t>appliances and electrical equipment 27</t>
  </si>
  <si>
    <t>other machinery 28</t>
  </si>
  <si>
    <t>ISIC 06</t>
  </si>
  <si>
    <t>oil and gas extraction 06</t>
  </si>
  <si>
    <t>other manufacturing 31T33</t>
  </si>
  <si>
    <t>rubber and plastic products 22</t>
  </si>
  <si>
    <t>ISIC 242</t>
  </si>
  <si>
    <t>other metals 242</t>
  </si>
  <si>
    <t>other mining and quarrying 07T08</t>
  </si>
  <si>
    <t>pulp paper and printing 17T18</t>
  </si>
  <si>
    <t>refined petroleum and coke 19</t>
  </si>
  <si>
    <t>road vehicles 29</t>
  </si>
  <si>
    <t>nonroad vehicles 30</t>
  </si>
  <si>
    <t>textiles apparel and leather 13T15</t>
  </si>
  <si>
    <t>wood products 16</t>
  </si>
  <si>
    <t>Preconsolidation</t>
  </si>
  <si>
    <t>original</t>
  </si>
  <si>
    <t>consolidated</t>
  </si>
  <si>
    <t>TOTAL</t>
  </si>
  <si>
    <t>consolidation</t>
  </si>
  <si>
    <t>ISIC CODE</t>
  </si>
  <si>
    <t>Unit: dimensionless (% change)</t>
  </si>
  <si>
    <t>Historical data</t>
  </si>
  <si>
    <t>GDP Growth by industry (Percent)</t>
  </si>
  <si>
    <t>Agriculture, Forestry and Fishing</t>
  </si>
  <si>
    <t>Mining and Quarrying</t>
  </si>
  <si>
    <t>Manufacturing</t>
  </si>
  <si>
    <t>Electricity and Gas</t>
  </si>
  <si>
    <t>Water supply,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</si>
  <si>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</si>
  <si>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</si>
  <si>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</si>
  <si>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</si>
  <si>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</si>
  <si>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</si>
  <si>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</si>
  <si>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Business Activities</t>
  </si>
  <si>
    <t>Public Administration and Defence; Compulsory Social Security</t>
  </si>
  <si>
    <t>Education</t>
  </si>
  <si>
    <t>Human Health and Social Work Activities</t>
  </si>
  <si>
    <t>Other Services Activities</t>
  </si>
  <si>
    <t>GDP by Industrial Origin (2010 Series): Google Translate of Column 'B'</t>
  </si>
  <si>
    <t>A. Agriculture, Forestry, and Fisheries</t>
  </si>
  <si>
    <t>B. Mining and Quarrying</t>
  </si>
  <si>
    <t>C. Manufacturing Industry</t>
  </si>
  <si>
    <t>D. Electricity and Gas Supply</t>
  </si>
  <si>
    <t>E. Water Supply, Waste Management, Sewerage, and Recycling</t>
  </si>
  <si>
    <t>F. Construction</t>
  </si>
  <si>
    <t>G. Wholesale and Retail Trade; Repair of Motor Vehicles and Motorcycles</t>
  </si>
  <si>
    <t>H. Transportation and Warehousing</t>
  </si>
  <si>
    <t>I. Accommodation and Food &amp; Beverage Service Activities</t>
  </si>
  <si>
    <t>J. Information and Communication</t>
  </si>
  <si>
    <t>K. Financial and Insurance Services</t>
  </si>
  <si>
    <t>L. Real Estate</t>
  </si>
  <si>
    <t>O. Public Administration, Defense, and Compulsory Social Security</t>
  </si>
  <si>
    <t>P. Education Services</t>
  </si>
  <si>
    <t>Q. Health and Social Work Activities</t>
  </si>
  <si>
    <t>R,S,T,U. Other Services</t>
  </si>
  <si>
    <t>Updated values below (July 17, 2026)</t>
  </si>
  <si>
    <t>Differences between original data and the updated data below</t>
  </si>
  <si>
    <t>C. GROSS DOMESTIC PRODUCT</t>
  </si>
  <si>
    <t>C. PRODUK DOMESTIK BRUTO</t>
  </si>
  <si>
    <t>B. TAXES LESS SUBSIDIES ON PRODUCTS</t>
  </si>
  <si>
    <t>B. PAJAK DIKURANG SUBSIDI ATAS PRODUK</t>
  </si>
  <si>
    <t>B. TAXES LESS SUBSIDIES ON PRUDUCTS</t>
  </si>
  <si>
    <t>A. GROSS VALUE ADDED AT BASIC PRICES</t>
  </si>
  <si>
    <t>A. NILAI TAMBAH BRUTO ATAS HARGA DASAR</t>
  </si>
  <si>
    <t>A. GROSS VALUE ADDED AT BASIC PRICE</t>
  </si>
  <si>
    <t>R,S,T,U. Jasa lainnya</t>
  </si>
  <si>
    <t>R,S,T,U</t>
  </si>
  <si>
    <t>R,S,T,U. Other Services Activities</t>
  </si>
  <si>
    <t>Q. Jasa Kesehatan dan Kegiatan Sosial</t>
  </si>
  <si>
    <t>Q</t>
  </si>
  <si>
    <t>Q. Human Health and Social Work Activities</t>
  </si>
  <si>
    <t>P. Jasa Pendidikan</t>
  </si>
  <si>
    <t>P</t>
  </si>
  <si>
    <t>P. Education</t>
  </si>
  <si>
    <t>O. Administrasi Pemerintahan, Pertahanan dan Jaminan Sosial Wajib</t>
  </si>
  <si>
    <t>O</t>
  </si>
  <si>
    <t>O. Public Administration and Defence; Compulsory Social Security</t>
  </si>
  <si>
    <t>M,N. Business Services</t>
  </si>
  <si>
    <t>M,N. Jasa Perusahaan</t>
  </si>
  <si>
    <t>M,N</t>
  </si>
  <si>
    <t>M,N. Business Activities</t>
  </si>
  <si>
    <t>L</t>
  </si>
  <si>
    <t>L. Real Estate Activities</t>
  </si>
  <si>
    <t>4. Financial Support Services</t>
  </si>
  <si>
    <t>4. Jasa Penunjang Keuangan</t>
  </si>
  <si>
    <t>K-4</t>
  </si>
  <si>
    <t>-</t>
  </si>
  <si>
    <t>3. Other Financial Services</t>
  </si>
  <si>
    <t>3. Jasa Keuangan Lainnya</t>
  </si>
  <si>
    <t>K-3</t>
  </si>
  <si>
    <t>2. Insurance and Pension Funds</t>
  </si>
  <si>
    <t>2. Asuransi dan Dana Pensiun</t>
  </si>
  <si>
    <t>K-2</t>
  </si>
  <si>
    <t>1. Financial Intermediation Services</t>
  </si>
  <si>
    <t>1. Jasa Perantara Keuangan</t>
  </si>
  <si>
    <t>K-1</t>
  </si>
  <si>
    <t>K. Jasa Keuangan dan Asuransi</t>
  </si>
  <si>
    <t>K</t>
  </si>
  <si>
    <t>K. Financial and Insurance Activities</t>
  </si>
  <si>
    <t>J. Informasi dan Komunikasi</t>
  </si>
  <si>
    <t>J</t>
  </si>
  <si>
    <t>2. Food and Beverage Services</t>
  </si>
  <si>
    <t>2. Penyediaan Makan Minum</t>
  </si>
  <si>
    <t>I-2</t>
  </si>
  <si>
    <t>1. Accommodation Services</t>
  </si>
  <si>
    <t>1. Penyediaan Akomodasi</t>
  </si>
  <si>
    <t>I-1</t>
  </si>
  <si>
    <t>I. Penyediaan Akomodasi dan Makan Minum</t>
  </si>
  <si>
    <t>I</t>
  </si>
  <si>
    <t>I. Accommodation and Food Service Activities</t>
  </si>
  <si>
    <t>6. Warehousing and Transport Support Services; Postal and Courier Services</t>
  </si>
  <si>
    <t>6. Pergudangan dan Jasa Penunjang Angkutan; Pos dan Kurir</t>
  </si>
  <si>
    <t>H-6</t>
  </si>
  <si>
    <t>5. Air Transport</t>
  </si>
  <si>
    <t>5. Angkutan Udara</t>
  </si>
  <si>
    <t>H-5</t>
  </si>
  <si>
    <t>4. River, Lake, and Ferry Transport</t>
  </si>
  <si>
    <t>4. Angkutan Sungai Danau dan Penyeberangan</t>
  </si>
  <si>
    <t>H-4</t>
  </si>
  <si>
    <t>3. Sea Transport</t>
  </si>
  <si>
    <t>3. Angkutan Laut</t>
  </si>
  <si>
    <t>H-3</t>
  </si>
  <si>
    <t>2. Land Transport</t>
  </si>
  <si>
    <t>2. Angkutan Darat</t>
  </si>
  <si>
    <t>H-2</t>
  </si>
  <si>
    <t>1. Rail Transport</t>
  </si>
  <si>
    <t>1. Angkutan Rel</t>
  </si>
  <si>
    <t>H-1</t>
  </si>
  <si>
    <t>H. Transportasi dan Pergudangan</t>
  </si>
  <si>
    <t>H</t>
  </si>
  <si>
    <t>H. Transportation and Storage</t>
  </si>
  <si>
    <t>2. Wholesale and Retail Trade (Excluding Motor Vehicles and Motorcycles)</t>
  </si>
  <si>
    <t>2. Perdagangan Besar dan Eceran, Bukan Mobil dan Sepeda Motor</t>
  </si>
  <si>
    <t>G-2</t>
  </si>
  <si>
    <t>1. Trade and Repair of Motor Vehicles and Motorcycles</t>
  </si>
  <si>
    <t>1. Perdagangan Mobil, Sepeda Motor dan Reparasinya</t>
  </si>
  <si>
    <t>G-1</t>
  </si>
  <si>
    <t>G. Perdagangan Besar dan Eceran; Reparasi Mobil dan Sepeda Motor</t>
  </si>
  <si>
    <t>G</t>
  </si>
  <si>
    <t>F. Konstruksi</t>
  </si>
  <si>
    <t>F</t>
  </si>
  <si>
    <t>E. Pengadaan Air, Pengelolaan Sampah, Limbah dan Daur Ulang</t>
  </si>
  <si>
    <t>E</t>
  </si>
  <si>
    <t>E. Water supply, Sewerage, Waste Management and Remediation Activities</t>
  </si>
  <si>
    <t>2. Gas Supply and Ice Production</t>
  </si>
  <si>
    <t>2. Pengadaan Gas dan Produksi Es</t>
  </si>
  <si>
    <t>D-2</t>
  </si>
  <si>
    <t>1. Electricity Supply</t>
  </si>
  <si>
    <t>1. Ketenagalistrikan</t>
  </si>
  <si>
    <t>D-1</t>
  </si>
  <si>
    <t>D. Pengadaan Listrik dan Gas</t>
  </si>
  <si>
    <t>D</t>
  </si>
  <si>
    <t>D. Electricity and Gas</t>
  </si>
  <si>
    <t>15. Other Manufacturing; Repair and Installation Services of Machinery and Equipment</t>
  </si>
  <si>
    <t>15. Industri Pengolahan Lainnya; Jasa Reparasi dan Pemasangan Mesin dan Peralatan</t>
  </si>
  <si>
    <t>C-2-o</t>
  </si>
  <si>
    <t>14. Furniture Industry</t>
  </si>
  <si>
    <t>14. Industri Furnitur</t>
  </si>
  <si>
    <t>C-2-n</t>
  </si>
  <si>
    <t>13. Transport Equipment Industry</t>
  </si>
  <si>
    <t>13. Industri Alat Angkutan</t>
  </si>
  <si>
    <t>C-2-m</t>
  </si>
  <si>
    <t>12. Machinery and Equipment Industry</t>
  </si>
  <si>
    <t>12. Industri Mesin dan Perlengkapan</t>
  </si>
  <si>
    <t>C-2-l</t>
  </si>
  <si>
    <t>11. Fabricated Metal Products; Computer, Electronic, and Optical Products; and Electrical Equipment Industry</t>
  </si>
  <si>
    <t>11. Industri Barang Logam; Komputer, Barang Elektronik, Optik; dan Peralatan Listrik</t>
  </si>
  <si>
    <t>C-2-k</t>
  </si>
  <si>
    <t>10. Basic Metal Industry</t>
  </si>
  <si>
    <t>10. Industri Logam Dasar</t>
  </si>
  <si>
    <t>C-2-j</t>
  </si>
  <si>
    <t>9. Non-Metallic Mineral Products Industry</t>
  </si>
  <si>
    <t>9. Industri Barang Galian bukan Logam</t>
  </si>
  <si>
    <t>C-2-i</t>
  </si>
  <si>
    <t>8. Rubber, Rubber Products, and Plastic Industry</t>
  </si>
  <si>
    <t>8. Industri Karet, Barang dari Karet dan Plastik</t>
  </si>
  <si>
    <t>C-2-h</t>
  </si>
  <si>
    <t>7. Chemical, Pharmaceutical, and Traditional Medicine Industry</t>
  </si>
  <si>
    <t>7. Industri Kimia, Farmasi dan Obat Tradisional</t>
  </si>
  <si>
    <t>C-2-g</t>
  </si>
  <si>
    <t>6. Paper and Paper Products; Printing and Reproduction of Recorded Media Industry</t>
  </si>
  <si>
    <t>6. Industri Kertas dan Barang dari Kertas; Percetakan dan Reproduksi Media Rekaman</t>
  </si>
  <si>
    <t>C-2-f</t>
  </si>
  <si>
    <t>5. Wood, Wood and Cork Products, and Woven Goods (Bamboo, Rattan, etc.) Industry</t>
  </si>
  <si>
    <t>5. Industri Kayu, Barang dari Kayu dan Gabus dan Barang Anyaman dari Bambu, Rotan dan Sejenisnya</t>
  </si>
  <si>
    <t>C-2-e</t>
  </si>
  <si>
    <t>4. Leather, Leather Goods, and Footwear Industry</t>
  </si>
  <si>
    <t>4. Industri Kulit, Barang dari Kulit dan Alas Kaki</t>
  </si>
  <si>
    <t>C-2-d</t>
  </si>
  <si>
    <t>3. Textile and Apparel Industry</t>
  </si>
  <si>
    <t>3. Industri Tekstil dan Pakaian Jadi</t>
  </si>
  <si>
    <t>C-2-c</t>
  </si>
  <si>
    <t>2. Tobacco Processing Industry</t>
  </si>
  <si>
    <t>2. Industri Pengolahan Tembakau</t>
  </si>
  <si>
    <t>C-2-b</t>
  </si>
  <si>
    <t>1. Food and Beverage Industry</t>
  </si>
  <si>
    <t>1. Industri Makanan dan Minuman</t>
  </si>
  <si>
    <t>C-2-a</t>
  </si>
  <si>
    <t>Non-Oil &amp; Gas Manufacturing Industry</t>
  </si>
  <si>
    <t>Industri Pengolahan Non Migas</t>
  </si>
  <si>
    <t>C-2</t>
  </si>
  <si>
    <t>1. Coal and Oil &amp; Gas Refining Industry</t>
  </si>
  <si>
    <t>1. Industri Batubara dan Pengilangan Migas</t>
  </si>
  <si>
    <t>C-1</t>
  </si>
  <si>
    <t>C. Industri Pengolahan</t>
  </si>
  <si>
    <t>C</t>
  </si>
  <si>
    <t>C. Manufacturing</t>
  </si>
  <si>
    <t>4. Other Mining and Quarrying</t>
  </si>
  <si>
    <t>4. Pertambangan dan Penggalian Lainnya</t>
  </si>
  <si>
    <t>B-4</t>
  </si>
  <si>
    <t>3. Metal Ore Mining</t>
  </si>
  <si>
    <t>3. Pertambangan Bijih Logam</t>
  </si>
  <si>
    <t>B-3</t>
  </si>
  <si>
    <t>2. Coal and Lignite Mining</t>
  </si>
  <si>
    <t>2. Pertambangan Batubara dan Lignit</t>
  </si>
  <si>
    <t>B-2</t>
  </si>
  <si>
    <t>1. Oil, Gas, and Geothermal Mining</t>
  </si>
  <si>
    <t>1. Pertambangan Minyak, Gas dan Panas Bumi</t>
  </si>
  <si>
    <t>B-1</t>
  </si>
  <si>
    <t>B. Pertambangan dan Penggalian</t>
  </si>
  <si>
    <t>B</t>
  </si>
  <si>
    <t>3. Fisheries</t>
  </si>
  <si>
    <t>3. Perikanan</t>
  </si>
  <si>
    <t>A-3</t>
  </si>
  <si>
    <t>2. Forestry and Logging</t>
  </si>
  <si>
    <t>2. Kehutanan dan Penebangan Kayu</t>
  </si>
  <si>
    <t>A-2</t>
  </si>
  <si>
    <t>e. Agricultural and Hunting Services</t>
  </si>
  <si>
    <t>e. Jasa Pertanian dan Perburuan</t>
  </si>
  <si>
    <t>A-1-e</t>
  </si>
  <si>
    <t>d. Livestock</t>
  </si>
  <si>
    <t>d. Peternakan</t>
  </si>
  <si>
    <t>A-1-d</t>
  </si>
  <si>
    <t>c. Plantation Crops</t>
  </si>
  <si>
    <t>c. Tanaman Perkebunan</t>
  </si>
  <si>
    <t>A-1-c</t>
  </si>
  <si>
    <t>b. Horticultural Crops</t>
  </si>
  <si>
    <t>b. Tanaman Hortikultura</t>
  </si>
  <si>
    <t>A-1-b</t>
  </si>
  <si>
    <t>a. Food Crops</t>
  </si>
  <si>
    <t>a. Tanaman Pangan</t>
  </si>
  <si>
    <t>A-1-a</t>
  </si>
  <si>
    <t>1. Agriculture, Livestock, Hunting, and Agricultural Services</t>
  </si>
  <si>
    <t>1. Pertanian, Peternakan, Perburuan dan Jasa Pertanian</t>
  </si>
  <si>
    <t>A-1</t>
  </si>
  <si>
    <t>A. Pertanian, Kehutanan, dan Perikanan</t>
  </si>
  <si>
    <t>A</t>
  </si>
  <si>
    <t>A. Agriculture, Forestry and Fishing</t>
  </si>
  <si>
    <t>PDB Lapangan Usaha (Seri 2010)</t>
  </si>
  <si>
    <t>GDP by Industrial Origin (2010 Version)</t>
  </si>
  <si>
    <t>5.02</t>
  </si>
  <si>
    <t>4.96</t>
  </si>
  <si>
    <t>5.01</t>
  </si>
  <si>
    <t>5.05</t>
  </si>
  <si>
    <t>5.06</t>
  </si>
  <si>
    <t>-1.74</t>
  </si>
  <si>
    <t>3.05</t>
  </si>
  <si>
    <t>4.2</t>
  </si>
  <si>
    <t>-0.52</t>
  </si>
  <si>
    <t>5.04</t>
  </si>
  <si>
    <t>6.52</t>
  </si>
  <si>
    <t>3.42</t>
  </si>
  <si>
    <t>6.89</t>
  </si>
  <si>
    <t>7.14</t>
  </si>
  <si>
    <t>10.09</t>
  </si>
  <si>
    <t>9.67</t>
  </si>
  <si>
    <t>32.89</t>
  </si>
  <si>
    <t>-31.14</t>
  </si>
  <si>
    <t>7.8</t>
  </si>
  <si>
    <t>8.39</t>
  </si>
  <si>
    <t>5.03</t>
  </si>
  <si>
    <t>4.92</t>
  </si>
  <si>
    <t>4.9</t>
  </si>
  <si>
    <t>-1.96</t>
  </si>
  <si>
    <t>2.76</t>
  </si>
  <si>
    <t>3.24</t>
  </si>
  <si>
    <t>0.98</t>
  </si>
  <si>
    <t>4.93</t>
  </si>
  <si>
    <t>10.57</t>
  </si>
  <si>
    <t>10.8</t>
  </si>
  <si>
    <t>10.73</t>
  </si>
  <si>
    <t>10.74</t>
  </si>
  <si>
    <t>9.99</t>
  </si>
  <si>
    <t>1.53</t>
  </si>
  <si>
    <t>2.64</t>
  </si>
  <si>
    <t>4</t>
  </si>
  <si>
    <t>2.23</t>
  </si>
  <si>
    <t>10.5</t>
  </si>
  <si>
    <t>10.37</t>
  </si>
  <si>
    <t>8.66</t>
  </si>
  <si>
    <t>7.78</t>
  </si>
  <si>
    <t>9.16</t>
  </si>
  <si>
    <t>9.13</t>
  </si>
  <si>
    <t>8.65</t>
  </si>
  <si>
    <t>4.63</t>
  </si>
  <si>
    <t>2.25</t>
  </si>
  <si>
    <t>2.02</t>
  </si>
  <si>
    <t>-1.25</t>
  </si>
  <si>
    <t>8.98</t>
  </si>
  <si>
    <t>8.89</t>
  </si>
  <si>
    <t>6.3</t>
  </si>
  <si>
    <t>5.44</t>
  </si>
  <si>
    <t>7.83</t>
  </si>
  <si>
    <t>6.33</t>
  </si>
  <si>
    <t>5.65</t>
  </si>
  <si>
    <t>8.94</t>
  </si>
  <si>
    <t>4.37</t>
  </si>
  <si>
    <t>3.93</t>
  </si>
  <si>
    <t>-10.78</t>
  </si>
  <si>
    <t>6.62</t>
  </si>
  <si>
    <t>5.99</t>
  </si>
  <si>
    <t>4.66</t>
  </si>
  <si>
    <t>2.05</t>
  </si>
  <si>
    <t>1.85</t>
  </si>
  <si>
    <t>8.86</t>
  </si>
  <si>
    <t>6.4</t>
  </si>
  <si>
    <t>12.69</t>
  </si>
  <si>
    <t>-3.59</t>
  </si>
  <si>
    <t>3.84</t>
  </si>
  <si>
    <t>-9.55</t>
  </si>
  <si>
    <t>5.66</t>
  </si>
  <si>
    <t>7.64</t>
  </si>
  <si>
    <t>10.25</t>
  </si>
  <si>
    <t>10.49</t>
  </si>
  <si>
    <t>10.22</t>
  </si>
  <si>
    <t>9.94</t>
  </si>
  <si>
    <t>10.36</t>
  </si>
  <si>
    <t>2.01</t>
  </si>
  <si>
    <t>2.68</t>
  </si>
  <si>
    <t>2.98</t>
  </si>
  <si>
    <t>2.44</t>
  </si>
  <si>
    <t>10.17</t>
  </si>
  <si>
    <t>10.15</t>
  </si>
  <si>
    <t>5.76</t>
  </si>
  <si>
    <t>5.88</t>
  </si>
  <si>
    <t>6</t>
  </si>
  <si>
    <t>5.73</t>
  </si>
  <si>
    <t>5.41</t>
  </si>
  <si>
    <t>0.78</t>
  </si>
  <si>
    <t>1.29</t>
  </si>
  <si>
    <t>1.21</t>
  </si>
  <si>
    <t>2.5</t>
  </si>
  <si>
    <t>5.71</t>
  </si>
  <si>
    <t>5.57</t>
  </si>
  <si>
    <t>2.08</t>
  </si>
  <si>
    <t>2.34</t>
  </si>
  <si>
    <t>3.03</t>
  </si>
  <si>
    <t>1.4</t>
  </si>
  <si>
    <t>1.54</t>
  </si>
  <si>
    <t>-0.06</t>
  </si>
  <si>
    <t>1.52</t>
  </si>
  <si>
    <t>-0.03</t>
  </si>
  <si>
    <t>0.89</t>
  </si>
  <si>
    <t>1.99</t>
  </si>
  <si>
    <t>1.47</t>
  </si>
  <si>
    <t>10.63</t>
  </si>
  <si>
    <t>10.32</t>
  </si>
  <si>
    <t>9.64</t>
  </si>
  <si>
    <t>11.67</t>
  </si>
  <si>
    <t>10.96</t>
  </si>
  <si>
    <t>2.67</t>
  </si>
  <si>
    <t>2.78</t>
  </si>
  <si>
    <t>2.24</t>
  </si>
  <si>
    <t>2.26</t>
  </si>
  <si>
    <t>11.32</t>
  </si>
  <si>
    <t>5.67</t>
  </si>
  <si>
    <t>9.8</t>
  </si>
  <si>
    <t>2.41</t>
  </si>
  <si>
    <t>4.23</t>
  </si>
  <si>
    <t>6.13</t>
  </si>
  <si>
    <t>9.9</t>
  </si>
  <si>
    <t>-0.05</t>
  </si>
  <si>
    <t>-0.02</t>
  </si>
  <si>
    <t>4.24</t>
  </si>
  <si>
    <t>5.17</t>
  </si>
  <si>
    <t>6.14</t>
  </si>
  <si>
    <t>7.79</t>
  </si>
  <si>
    <t>6.79</t>
  </si>
  <si>
    <t>2.99</t>
  </si>
  <si>
    <t>6.96</t>
  </si>
  <si>
    <t>-0.56</t>
  </si>
  <si>
    <t>7.04</t>
  </si>
  <si>
    <t>-3.51</t>
  </si>
  <si>
    <t>4.95</t>
  </si>
  <si>
    <t>5.59</t>
  </si>
  <si>
    <t>4.97</t>
  </si>
  <si>
    <t>6.61</t>
  </si>
  <si>
    <t>8.51</t>
  </si>
  <si>
    <t>6.16</t>
  </si>
  <si>
    <t>4.5</t>
  </si>
  <si>
    <t>7.23</t>
  </si>
  <si>
    <t>2.18</t>
  </si>
  <si>
    <t>4.67</t>
  </si>
  <si>
    <t>-1.8</t>
  </si>
  <si>
    <t>3.32</t>
  </si>
  <si>
    <t>5.96</t>
  </si>
  <si>
    <t>5.86</t>
  </si>
  <si>
    <t>9.42</t>
  </si>
  <si>
    <t>9.78</t>
  </si>
  <si>
    <t>9.24</t>
  </si>
  <si>
    <t>9.6</t>
  </si>
  <si>
    <t>9.06</t>
  </si>
  <si>
    <t>0.81</t>
  </si>
  <si>
    <t>3.33</t>
  </si>
  <si>
    <t>2.43</t>
  </si>
  <si>
    <t>2.88</t>
  </si>
  <si>
    <t>9.3</t>
  </si>
  <si>
    <t>9.33</t>
  </si>
  <si>
    <t>7.65</t>
  </si>
  <si>
    <t>6.55</t>
  </si>
  <si>
    <t>6.75</t>
  </si>
  <si>
    <t>6.59</t>
  </si>
  <si>
    <t>2.51</t>
  </si>
  <si>
    <t>1.39</t>
  </si>
  <si>
    <t>2.2</t>
  </si>
  <si>
    <t>1.35</t>
  </si>
  <si>
    <t>6.63</t>
  </si>
  <si>
    <t>6.67</t>
  </si>
  <si>
    <t>1.38</t>
  </si>
  <si>
    <t>1.22</t>
  </si>
  <si>
    <t>0.75</t>
  </si>
  <si>
    <t>0.63</t>
  </si>
  <si>
    <t>2.97</t>
  </si>
  <si>
    <t>2.17</t>
  </si>
  <si>
    <t>-1.07</t>
  </si>
  <si>
    <t>-2.02</t>
  </si>
  <si>
    <t>1.44</t>
  </si>
  <si>
    <t>1.79</t>
  </si>
  <si>
    <t>5.79</t>
  </si>
  <si>
    <t>6.36</t>
  </si>
  <si>
    <t>5.39</t>
  </si>
  <si>
    <t>5.53</t>
  </si>
  <si>
    <t>1.55</t>
  </si>
  <si>
    <t>1.56</t>
  </si>
  <si>
    <t>0.67</t>
  </si>
  <si>
    <t>5.69</t>
  </si>
  <si>
    <t>10.34</t>
  </si>
  <si>
    <t>11.31</t>
  </si>
  <si>
    <t>11.34</t>
  </si>
  <si>
    <t>9.89</t>
  </si>
  <si>
    <t>8.67</t>
  </si>
  <si>
    <t>0.24</t>
  </si>
  <si>
    <t>5.45</t>
  </si>
  <si>
    <t>5.46</t>
  </si>
  <si>
    <t>-0.14</t>
  </si>
  <si>
    <t>10</t>
  </si>
  <si>
    <t>-9.76</t>
  </si>
  <si>
    <t>-4.92</t>
  </si>
  <si>
    <t>-11.42</t>
  </si>
  <si>
    <t>-13.37</t>
  </si>
  <si>
    <t>-9.38</t>
  </si>
  <si>
    <t>4.76</t>
  </si>
  <si>
    <t>7.77</t>
  </si>
  <si>
    <t>-0.09</t>
  </si>
  <si>
    <t>-15.71</t>
  </si>
  <si>
    <t>5.58</t>
  </si>
  <si>
    <t>5.78</t>
  </si>
  <si>
    <t>4.29</t>
  </si>
  <si>
    <t>0.66</t>
  </si>
  <si>
    <t>-0.41</t>
  </si>
  <si>
    <t>5.29</t>
  </si>
  <si>
    <t>0.12</t>
  </si>
  <si>
    <t>5.55</t>
  </si>
  <si>
    <t>10.47</t>
  </si>
  <si>
    <t>12.45</t>
  </si>
  <si>
    <t>13.93</t>
  </si>
  <si>
    <t>8.2</t>
  </si>
  <si>
    <t>7.17</t>
  </si>
  <si>
    <t>0.19</t>
  </si>
  <si>
    <t>4.44</t>
  </si>
  <si>
    <t>5.64</t>
  </si>
  <si>
    <t>1.72</t>
  </si>
  <si>
    <t>9.79</t>
  </si>
  <si>
    <t>7.69</t>
  </si>
  <si>
    <t>9.96</t>
  </si>
  <si>
    <t>9.98</t>
  </si>
  <si>
    <t>10.4</t>
  </si>
  <si>
    <t>8.95</t>
  </si>
  <si>
    <t>0.51</t>
  </si>
  <si>
    <t>3.74</t>
  </si>
  <si>
    <t>3.89</t>
  </si>
  <si>
    <t>9.95</t>
  </si>
  <si>
    <t>9.72</t>
  </si>
  <si>
    <t>4.49</t>
  </si>
  <si>
    <t>2.87</t>
  </si>
  <si>
    <t>6.23</t>
  </si>
  <si>
    <t>8.02</t>
  </si>
  <si>
    <t>1.02</t>
  </si>
  <si>
    <t>2.31</t>
  </si>
  <si>
    <t>-6.52</t>
  </si>
  <si>
    <t>5.6</t>
  </si>
  <si>
    <t>7.09</t>
  </si>
  <si>
    <t>6.38</t>
  </si>
  <si>
    <t>7.55</t>
  </si>
  <si>
    <t>6.65</t>
  </si>
  <si>
    <t>5.84</t>
  </si>
  <si>
    <t>5.42</t>
  </si>
  <si>
    <t>1.09</t>
  </si>
  <si>
    <t>3.27</t>
  </si>
  <si>
    <t>3.65</t>
  </si>
  <si>
    <t>-0.6</t>
  </si>
  <si>
    <t>5.98</t>
  </si>
  <si>
    <t>5.63</t>
  </si>
  <si>
    <t>4.8</t>
  </si>
  <si>
    <t>4.22</t>
  </si>
  <si>
    <t>4.48</t>
  </si>
  <si>
    <t>4.91</t>
  </si>
  <si>
    <t>-2.87</t>
  </si>
  <si>
    <t>2.49</t>
  </si>
  <si>
    <t>3.14</t>
  </si>
  <si>
    <t>1.51</t>
  </si>
  <si>
    <t>5</t>
  </si>
  <si>
    <t>5.27</t>
  </si>
  <si>
    <t>3.72</t>
  </si>
  <si>
    <t>4.05</t>
  </si>
  <si>
    <t>4.06</t>
  </si>
  <si>
    <t>3.34</t>
  </si>
  <si>
    <t>3.41</t>
  </si>
  <si>
    <t>-0.07</t>
  </si>
  <si>
    <t>4.34</t>
  </si>
  <si>
    <t>-0.15</t>
  </si>
  <si>
    <t>3.61</t>
  </si>
  <si>
    <t>3.37</t>
  </si>
  <si>
    <t>4.6</t>
  </si>
  <si>
    <t>4.19</t>
  </si>
  <si>
    <t>4.4</t>
  </si>
  <si>
    <t>4.62</t>
  </si>
  <si>
    <t>5.22</t>
  </si>
  <si>
    <t>-2.34</t>
  </si>
  <si>
    <t>2.83</t>
  </si>
  <si>
    <t>2.53</t>
  </si>
  <si>
    <t>1.19</t>
  </si>
  <si>
    <t>4.73</t>
  </si>
  <si>
    <t>5.91</t>
  </si>
  <si>
    <t>4.74</t>
  </si>
  <si>
    <t>-4.3</t>
  </si>
  <si>
    <t>5.75</t>
  </si>
  <si>
    <t>5.8</t>
  </si>
  <si>
    <t>6.83</t>
  </si>
  <si>
    <t>5.38</t>
  </si>
  <si>
    <t>4.85</t>
  </si>
  <si>
    <t>8.34</t>
  </si>
  <si>
    <t>0.06</t>
  </si>
  <si>
    <t>1.3</t>
  </si>
  <si>
    <t>-0.1</t>
  </si>
  <si>
    <t>7.34</t>
  </si>
  <si>
    <t>8.64</t>
  </si>
  <si>
    <t>0.16</t>
  </si>
  <si>
    <t>2.4</t>
  </si>
  <si>
    <t>-4.48</t>
  </si>
  <si>
    <t>-6.22</t>
  </si>
  <si>
    <t>-0.61</t>
  </si>
  <si>
    <t>13.05</t>
  </si>
  <si>
    <t>1.36</t>
  </si>
  <si>
    <t>-4.31</t>
  </si>
  <si>
    <t>-2.68</t>
  </si>
  <si>
    <t>-5.35</t>
  </si>
  <si>
    <t>4.61</t>
  </si>
  <si>
    <t>3.95</t>
  </si>
  <si>
    <t>3.19</t>
  </si>
  <si>
    <t>5.72</t>
  </si>
  <si>
    <t>4.32</t>
  </si>
  <si>
    <t>3.82</t>
  </si>
  <si>
    <t>1.16</t>
  </si>
  <si>
    <t>-3.62</t>
  </si>
  <si>
    <t>4.27</t>
  </si>
  <si>
    <t>4.43</t>
  </si>
  <si>
    <t>4.04</t>
  </si>
  <si>
    <t>6.01</t>
  </si>
  <si>
    <t>3.75</t>
  </si>
  <si>
    <t>4.12</t>
  </si>
  <si>
    <t>3.68</t>
  </si>
  <si>
    <t>4.94</t>
  </si>
  <si>
    <t>-3.7</t>
  </si>
  <si>
    <t>3.35</t>
  </si>
  <si>
    <t>3.15</t>
  </si>
  <si>
    <t>10.33</t>
  </si>
  <si>
    <t>8.31</t>
  </si>
  <si>
    <t>5.36</t>
  </si>
  <si>
    <t>-7.05</t>
  </si>
  <si>
    <t>2.45</t>
  </si>
  <si>
    <t>7.98</t>
  </si>
  <si>
    <t>6.82</t>
  </si>
  <si>
    <t>8.35</t>
  </si>
  <si>
    <t>6.93</t>
  </si>
  <si>
    <t>5.81</t>
  </si>
  <si>
    <t>12.89</t>
  </si>
  <si>
    <t>1.27</t>
  </si>
  <si>
    <t>1.15</t>
  </si>
  <si>
    <t>-6.11</t>
  </si>
  <si>
    <t>12.07</t>
  </si>
  <si>
    <t>8.54</t>
  </si>
  <si>
    <t>9.35</t>
  </si>
  <si>
    <t>-3.43</t>
  </si>
  <si>
    <t>-2.25</t>
  </si>
  <si>
    <t>-1.23</t>
  </si>
  <si>
    <t>-3.73</t>
  </si>
  <si>
    <t>-6.61</t>
  </si>
  <si>
    <t>-2.22</t>
  </si>
  <si>
    <t>-0.53</t>
  </si>
  <si>
    <t>-8.84</t>
  </si>
  <si>
    <t>-3.83</t>
  </si>
  <si>
    <t>-5.2</t>
  </si>
  <si>
    <t>-4.13</t>
  </si>
  <si>
    <t>-7.1</t>
  </si>
  <si>
    <t>-6.69</t>
  </si>
  <si>
    <t>-3.96</t>
  </si>
  <si>
    <t>7.05</t>
  </si>
  <si>
    <t>-2.78</t>
  </si>
  <si>
    <t>-8.08</t>
  </si>
  <si>
    <t>-2.89</t>
  </si>
  <si>
    <t>-3.08</t>
  </si>
  <si>
    <t>-1.3</t>
  </si>
  <si>
    <t>-0.51</t>
  </si>
  <si>
    <t>-2.13</t>
  </si>
  <si>
    <t>2.21</t>
  </si>
  <si>
    <t>-2.52</t>
  </si>
  <si>
    <t>0.41</t>
  </si>
  <si>
    <t>-4.67</t>
  </si>
  <si>
    <t>5.28</t>
  </si>
  <si>
    <t>-0.33</t>
  </si>
  <si>
    <t>-2.17</t>
  </si>
  <si>
    <t>0.04</t>
  </si>
  <si>
    <t>-4.51</t>
  </si>
  <si>
    <t>3.4</t>
  </si>
  <si>
    <t>8.59</t>
  </si>
  <si>
    <t>-3.03</t>
  </si>
  <si>
    <t>8.18</t>
  </si>
  <si>
    <t>-6.76</t>
  </si>
  <si>
    <t>-2.37</t>
  </si>
  <si>
    <t>6.02</t>
  </si>
  <si>
    <t>-1.03</t>
  </si>
  <si>
    <t>-0.89</t>
  </si>
  <si>
    <t>-2.09</t>
  </si>
  <si>
    <t>-5.07</t>
  </si>
  <si>
    <t>11.35</t>
  </si>
  <si>
    <t>-5</t>
  </si>
  <si>
    <t>-8.43</t>
  </si>
  <si>
    <t>-2.69</t>
  </si>
  <si>
    <t>-3.64</t>
  </si>
  <si>
    <t>-5.52</t>
  </si>
  <si>
    <t>-4.91</t>
  </si>
  <si>
    <t>-3.42</t>
  </si>
  <si>
    <t>-7.22</t>
  </si>
  <si>
    <t>-6.1</t>
  </si>
  <si>
    <t>4.7</t>
  </si>
  <si>
    <t>-0.54</t>
  </si>
  <si>
    <t>-2.76</t>
  </si>
  <si>
    <t>-5.71</t>
  </si>
  <si>
    <t>-6.87</t>
  </si>
  <si>
    <t>8.48</t>
  </si>
  <si>
    <t>12.73</t>
  </si>
  <si>
    <t>11.53</t>
  </si>
  <si>
    <t>8.45</t>
  </si>
  <si>
    <t>-0.12</t>
  </si>
  <si>
    <t>4.1</t>
  </si>
  <si>
    <t>7.02</t>
  </si>
  <si>
    <t>8.19</t>
  </si>
  <si>
    <t>7.1</t>
  </si>
  <si>
    <t>6.94</t>
  </si>
  <si>
    <t>12.49</t>
  </si>
  <si>
    <t>9.22</t>
  </si>
  <si>
    <t>-0.87</t>
  </si>
  <si>
    <t>3.47</t>
  </si>
  <si>
    <t>-0.18</t>
  </si>
  <si>
    <t>9.48</t>
  </si>
  <si>
    <t>10.87</t>
  </si>
  <si>
    <t>-4.55</t>
  </si>
  <si>
    <t>-0.26</t>
  </si>
  <si>
    <t>-7.85</t>
  </si>
  <si>
    <t>-8.56</t>
  </si>
  <si>
    <t>-2.04</t>
  </si>
  <si>
    <t>-3.82</t>
  </si>
  <si>
    <t>-5.93</t>
  </si>
  <si>
    <t>-8.21</t>
  </si>
  <si>
    <t>-0.99</t>
  </si>
  <si>
    <t>-1.77</t>
  </si>
  <si>
    <t>5.94</t>
  </si>
  <si>
    <t>-6.42</t>
  </si>
  <si>
    <t>-1.15</t>
  </si>
  <si>
    <t>3.21</t>
  </si>
  <si>
    <t>-0.04</t>
  </si>
  <si>
    <t>-2.59</t>
  </si>
  <si>
    <t>-0.73</t>
  </si>
  <si>
    <t>-3.86</t>
  </si>
  <si>
    <t>15.35</t>
  </si>
  <si>
    <t>15.08</t>
  </si>
  <si>
    <t>20.71</t>
  </si>
  <si>
    <t>18.98</t>
  </si>
  <si>
    <t>-3.99</t>
  </si>
  <si>
    <t>-2.6</t>
  </si>
  <si>
    <t>5.12</t>
  </si>
  <si>
    <t>9.04</t>
  </si>
  <si>
    <t>18.23</t>
  </si>
  <si>
    <t>19.86</t>
  </si>
  <si>
    <t>3.36</t>
  </si>
  <si>
    <t>1.9</t>
  </si>
  <si>
    <t>0.68</t>
  </si>
  <si>
    <t>16.1</t>
  </si>
  <si>
    <t>6.57</t>
  </si>
  <si>
    <t>-4.35</t>
  </si>
  <si>
    <t>1.97</t>
  </si>
  <si>
    <t>3.87</t>
  </si>
  <si>
    <t>8.01</t>
  </si>
  <si>
    <t>7.95</t>
  </si>
  <si>
    <t>8.33</t>
  </si>
  <si>
    <t>7.99</t>
  </si>
  <si>
    <t>6.77</t>
  </si>
  <si>
    <t>-4.54</t>
  </si>
  <si>
    <t>3.78</t>
  </si>
  <si>
    <t>3.13</t>
  </si>
  <si>
    <t>7.72</t>
  </si>
  <si>
    <t>7.4</t>
  </si>
  <si>
    <t>3.94</t>
  </si>
  <si>
    <t>4.68</t>
  </si>
  <si>
    <t>3.98</t>
  </si>
  <si>
    <t>3.8</t>
  </si>
  <si>
    <t>0.42</t>
  </si>
  <si>
    <t>4.38</t>
  </si>
  <si>
    <t>-1.11</t>
  </si>
  <si>
    <t>-0.8</t>
  </si>
  <si>
    <t>-0.43</t>
  </si>
  <si>
    <t>-4.25</t>
  </si>
  <si>
    <t>-2.35</t>
  </si>
  <si>
    <t>3.83</t>
  </si>
  <si>
    <t>-1.83</t>
  </si>
  <si>
    <t>3.67</t>
  </si>
  <si>
    <t>4.14</t>
  </si>
  <si>
    <t>3.52</t>
  </si>
  <si>
    <t>3.85</t>
  </si>
  <si>
    <t>-1.62</t>
  </si>
  <si>
    <t>1.73</t>
  </si>
  <si>
    <t>0.37</t>
  </si>
  <si>
    <t>3.69</t>
  </si>
  <si>
    <t>6.18</t>
  </si>
  <si>
    <t>7.94</t>
  </si>
  <si>
    <t>5.89</t>
  </si>
  <si>
    <t>4.51</t>
  </si>
  <si>
    <t>2.73</t>
  </si>
  <si>
    <t>3.3</t>
  </si>
  <si>
    <t>1.84</t>
  </si>
  <si>
    <t>-0.13</t>
  </si>
  <si>
    <t>5.2</t>
  </si>
  <si>
    <t>-15.15</t>
  </si>
  <si>
    <t>-4.09</t>
  </si>
  <si>
    <t>-10.14</t>
  </si>
  <si>
    <t>-25.93</t>
  </si>
  <si>
    <t>-17.92</t>
  </si>
  <si>
    <t>-17.01</t>
  </si>
  <si>
    <t>18.39</t>
  </si>
  <si>
    <t>-2.06</t>
  </si>
  <si>
    <t>-18.07</t>
  </si>
  <si>
    <t>-22.12</t>
  </si>
  <si>
    <t>10.2</t>
  </si>
  <si>
    <t>1.92</t>
  </si>
  <si>
    <t>13.21</t>
  </si>
  <si>
    <t>11.9</t>
  </si>
  <si>
    <t>14.77</t>
  </si>
  <si>
    <t>2.42</t>
  </si>
  <si>
    <t>2.12</t>
  </si>
  <si>
    <t>13.29</t>
  </si>
  <si>
    <t>13.33</t>
  </si>
  <si>
    <t>-2.83</t>
  </si>
  <si>
    <t>-2.28</t>
  </si>
  <si>
    <t>-3.52</t>
  </si>
  <si>
    <t>-4.11</t>
  </si>
  <si>
    <t>-1.36</t>
  </si>
  <si>
    <t>-0.35</t>
  </si>
  <si>
    <t>-1.82</t>
  </si>
  <si>
    <t>-3.01</t>
  </si>
  <si>
    <t>-2.75</t>
  </si>
  <si>
    <t>0.94</t>
  </si>
  <si>
    <t>-0.71</t>
  </si>
  <si>
    <t>2.32</t>
  </si>
  <si>
    <t>-1.52</t>
  </si>
  <si>
    <t>3.38</t>
  </si>
  <si>
    <t>-0.24</t>
  </si>
  <si>
    <t>1.31</t>
  </si>
  <si>
    <t>0.79</t>
  </si>
  <si>
    <t>5.5</t>
  </si>
  <si>
    <t>5.68</t>
  </si>
  <si>
    <t>6.07</t>
  </si>
  <si>
    <t>1.88</t>
  </si>
  <si>
    <t>5.87</t>
  </si>
  <si>
    <t>-0.23</t>
  </si>
  <si>
    <t>3.63</t>
  </si>
  <si>
    <t>-2.84</t>
  </si>
  <si>
    <t>-5.56</t>
  </si>
  <si>
    <t>11.62</t>
  </si>
  <si>
    <t>-10.53</t>
  </si>
  <si>
    <t>0.58</t>
  </si>
  <si>
    <t>-1.04</t>
  </si>
  <si>
    <t>3.17</t>
  </si>
  <si>
    <t>1.89</t>
  </si>
  <si>
    <t>5.43</t>
  </si>
  <si>
    <t>1.82</t>
  </si>
  <si>
    <t>-20.67</t>
  </si>
  <si>
    <t>7.15</t>
  </si>
  <si>
    <t>19.27</t>
  </si>
  <si>
    <t>3.04</t>
  </si>
  <si>
    <t>7.86</t>
  </si>
  <si>
    <t>7.7</t>
  </si>
  <si>
    <t>7.87</t>
  </si>
  <si>
    <t>-5.38</t>
  </si>
  <si>
    <t>0.49</t>
  </si>
  <si>
    <t>8.84</t>
  </si>
  <si>
    <t>7.75</t>
  </si>
  <si>
    <t>4.56</t>
  </si>
  <si>
    <t>5.23</t>
  </si>
  <si>
    <t>-25.6</t>
  </si>
  <si>
    <t>10.41</t>
  </si>
  <si>
    <t>28.14</t>
  </si>
  <si>
    <t>4.36</t>
  </si>
  <si>
    <t>3.99</t>
  </si>
  <si>
    <t>4.98</t>
  </si>
  <si>
    <t>6.06</t>
  </si>
  <si>
    <t>-20.77</t>
  </si>
  <si>
    <t>23.79</t>
  </si>
  <si>
    <t>7.06</t>
  </si>
  <si>
    <t>6.11</t>
  </si>
  <si>
    <t>-1.73</t>
  </si>
  <si>
    <t>-1.05</t>
  </si>
  <si>
    <t>5.08</t>
  </si>
  <si>
    <t>-5.98</t>
  </si>
  <si>
    <t>-41.95</t>
  </si>
  <si>
    <t>-11.27</t>
  </si>
  <si>
    <t>10.7</t>
  </si>
  <si>
    <t>73.54</t>
  </si>
  <si>
    <t>-1.85</t>
  </si>
  <si>
    <t>-0.48</t>
  </si>
  <si>
    <t>3.31</t>
  </si>
  <si>
    <t>1.14</t>
  </si>
  <si>
    <t>-26.23</t>
  </si>
  <si>
    <t>0.59</t>
  </si>
  <si>
    <t>17.43</t>
  </si>
  <si>
    <t>19.61</t>
  </si>
  <si>
    <t>3.07</t>
  </si>
  <si>
    <t>3.39</t>
  </si>
  <si>
    <t>4.25</t>
  </si>
  <si>
    <t>-20.48</t>
  </si>
  <si>
    <t>1.04</t>
  </si>
  <si>
    <t>13.75</t>
  </si>
  <si>
    <t>14.07</t>
  </si>
  <si>
    <t>3.43</t>
  </si>
  <si>
    <t>3.62</t>
  </si>
  <si>
    <t>Tahunan</t>
  </si>
  <si>
    <t>Triwulan IV</t>
  </si>
  <si>
    <t>Triwulan III</t>
  </si>
  <si>
    <t>Triwulan II</t>
  </si>
  <si>
    <t>Triwulan I</t>
  </si>
  <si>
    <t>2019</t>
  </si>
  <si>
    <t>Laju Pertumbuhan Triwulanan terhadap Triwulan yang Sama Tahun Sebelumnya (y-on-y)</t>
  </si>
  <si>
    <t>Laju Pertumbuhan Triwulanan Berantai (q-to-q)</t>
  </si>
  <si>
    <t>Laju Pertumbuhan Kumulatif (c-to-c)</t>
  </si>
  <si>
    <t>[Seri 2010] Laju Pertumbuhan PDB Seri 2010 (Persen)</t>
  </si>
  <si>
    <t>-2.07</t>
  </si>
  <si>
    <t>-3.49</t>
  </si>
  <si>
    <t>-5.32</t>
  </si>
  <si>
    <t>-0.4</t>
  </si>
  <si>
    <t>-4.19</t>
  </si>
  <si>
    <t>-2.41</t>
  </si>
  <si>
    <t>-2.03</t>
  </si>
  <si>
    <t>-1.26</t>
  </si>
  <si>
    <t>-13.13</t>
  </si>
  <si>
    <t>-9.16</t>
  </si>
  <si>
    <t>-23.08</t>
  </si>
  <si>
    <t>-19.34</t>
  </si>
  <si>
    <t>3.64</t>
  </si>
  <si>
    <t>21.7</t>
  </si>
  <si>
    <t>4.57</t>
  </si>
  <si>
    <t>-30.99</t>
  </si>
  <si>
    <t>-14.71</t>
  </si>
  <si>
    <t>-9.47</t>
  </si>
  <si>
    <t>-1.59</t>
  </si>
  <si>
    <t>-4.72</t>
  </si>
  <si>
    <t>2.94</t>
  </si>
  <si>
    <t>-1.2</t>
  </si>
  <si>
    <t>-4.45</t>
  </si>
  <si>
    <t>-1.02</t>
  </si>
  <si>
    <t>-1.51</t>
  </si>
  <si>
    <t>-0.95</t>
  </si>
  <si>
    <t>-4.1</t>
  </si>
  <si>
    <t>-4.84</t>
  </si>
  <si>
    <t>-5.55</t>
  </si>
  <si>
    <t>-12.6</t>
  </si>
  <si>
    <t>2.29</t>
  </si>
  <si>
    <t>10.93</t>
  </si>
  <si>
    <t>-15.12</t>
  </si>
  <si>
    <t>-3.84</t>
  </si>
  <si>
    <t>-2.95</t>
  </si>
  <si>
    <t>11.56</t>
  </si>
  <si>
    <t>16.53</t>
  </si>
  <si>
    <t>15.26</t>
  </si>
  <si>
    <t>13.68</t>
  </si>
  <si>
    <t>-4.14</t>
  </si>
  <si>
    <t>1.08</t>
  </si>
  <si>
    <t>6.97</t>
  </si>
  <si>
    <t>2.61</t>
  </si>
  <si>
    <t>1.33</t>
  </si>
  <si>
    <t>2.39</t>
  </si>
  <si>
    <t>1.18</t>
  </si>
  <si>
    <t>7.82</t>
  </si>
  <si>
    <t>5.61</t>
  </si>
  <si>
    <t>-0.66</t>
  </si>
  <si>
    <t>-10.42</t>
  </si>
  <si>
    <t>3.1</t>
  </si>
  <si>
    <t>3.48</t>
  </si>
  <si>
    <t>-1.56</t>
  </si>
  <si>
    <t>-3.21</t>
  </si>
  <si>
    <t>3.16</t>
  </si>
  <si>
    <t>1.42</t>
  </si>
  <si>
    <t>-2.57</t>
  </si>
  <si>
    <t>0.54</t>
  </si>
  <si>
    <t>-0.08</t>
  </si>
  <si>
    <t>-5.44</t>
  </si>
  <si>
    <t>-7.02</t>
  </si>
  <si>
    <t>-7.61</t>
  </si>
  <si>
    <t>-12.09</t>
  </si>
  <si>
    <t>2.66</t>
  </si>
  <si>
    <t>7.92</t>
  </si>
  <si>
    <t>-14.11</t>
  </si>
  <si>
    <t>-4.89</t>
  </si>
  <si>
    <t>-3.48</t>
  </si>
  <si>
    <t>1.25</t>
  </si>
  <si>
    <t>1.96</t>
  </si>
  <si>
    <t>3.81</t>
  </si>
  <si>
    <t>0.07</t>
  </si>
  <si>
    <t>2.69</t>
  </si>
  <si>
    <t>3.06</t>
  </si>
  <si>
    <t>1.86</t>
  </si>
  <si>
    <t>1.32</t>
  </si>
  <si>
    <t>1.75</t>
  </si>
  <si>
    <t>0.1</t>
  </si>
  <si>
    <t>1.26</t>
  </si>
  <si>
    <t>-0.57</t>
  </si>
  <si>
    <t>-6.34</t>
  </si>
  <si>
    <t>-0.17</t>
  </si>
  <si>
    <t>-0.86</t>
  </si>
  <si>
    <t>1.46</t>
  </si>
  <si>
    <t>4.03</t>
  </si>
  <si>
    <t>5.35</t>
  </si>
  <si>
    <t>7.29</t>
  </si>
  <si>
    <t>-1.86</t>
  </si>
  <si>
    <t>6.17</t>
  </si>
  <si>
    <t>5.92</t>
  </si>
  <si>
    <t>-2.72</t>
  </si>
  <si>
    <t>-0.96</t>
  </si>
  <si>
    <t>13.67</t>
  </si>
  <si>
    <t>8.27</t>
  </si>
  <si>
    <t>5.14</t>
  </si>
  <si>
    <t>-15.93</t>
  </si>
  <si>
    <t>10.68</t>
  </si>
  <si>
    <t>6.48</t>
  </si>
  <si>
    <t>3.25</t>
  </si>
  <si>
    <t>2.37</t>
  </si>
  <si>
    <t>1.06</t>
  </si>
  <si>
    <t>2.59</t>
  </si>
  <si>
    <t>-10.3</t>
  </si>
  <si>
    <t>5.34</t>
  </si>
  <si>
    <t>3.55</t>
  </si>
  <si>
    <t>10.61</t>
  </si>
  <si>
    <t>10.99</t>
  </si>
  <si>
    <t>10.72</t>
  </si>
  <si>
    <t>10.85</t>
  </si>
  <si>
    <t>9.82</t>
  </si>
  <si>
    <t>3.22</t>
  </si>
  <si>
    <t>2.92</t>
  </si>
  <si>
    <t>-6.88</t>
  </si>
  <si>
    <t>-8.04</t>
  </si>
  <si>
    <t>-16.81</t>
  </si>
  <si>
    <t>3.49</t>
  </si>
  <si>
    <t>12.08</t>
  </si>
  <si>
    <t>-17.85</t>
  </si>
  <si>
    <t>-2.56</t>
  </si>
  <si>
    <t>-7.2</t>
  </si>
  <si>
    <t>-6.77</t>
  </si>
  <si>
    <t>-24.49</t>
  </si>
  <si>
    <t>-21.38</t>
  </si>
  <si>
    <t>-28.06</t>
  </si>
  <si>
    <t>-44.22</t>
  </si>
  <si>
    <t>-4.57</t>
  </si>
  <si>
    <t>11.66</t>
  </si>
  <si>
    <t>31.81</t>
  </si>
  <si>
    <t>-42.18</t>
  </si>
  <si>
    <t>-7.62</t>
  </si>
  <si>
    <t>-25.56</t>
  </si>
  <si>
    <t>-24.29</t>
  </si>
  <si>
    <t>-10.26</t>
  </si>
  <si>
    <t>-8.91</t>
  </si>
  <si>
    <t>-11.86</t>
  </si>
  <si>
    <t>-22.01</t>
  </si>
  <si>
    <t>14.76</t>
  </si>
  <si>
    <t>-22.29</t>
  </si>
  <si>
    <t>-3.53</t>
  </si>
  <si>
    <t>-10.72</t>
  </si>
  <si>
    <t>-17.61</t>
  </si>
  <si>
    <t>-13.12</t>
  </si>
  <si>
    <t>-17.57</t>
  </si>
  <si>
    <t>-38.49</t>
  </si>
  <si>
    <t>-0.64</t>
  </si>
  <si>
    <t>41.31</t>
  </si>
  <si>
    <t>-34.71</t>
  </si>
  <si>
    <t>-10.86</t>
  </si>
  <si>
    <t>-19.19</t>
  </si>
  <si>
    <t>-20.07</t>
  </si>
  <si>
    <t>-53.06</t>
  </si>
  <si>
    <t>-53.81</t>
  </si>
  <si>
    <t>-63.9</t>
  </si>
  <si>
    <t>-80.26</t>
  </si>
  <si>
    <t>-13.35</t>
  </si>
  <si>
    <t>34.02</t>
  </si>
  <si>
    <t>97.06</t>
  </si>
  <si>
    <t>-77.23</t>
  </si>
  <si>
    <t>-23.19</t>
  </si>
  <si>
    <t>-52.78</t>
  </si>
  <si>
    <t>-46.79</t>
  </si>
  <si>
    <t>-13</t>
  </si>
  <si>
    <t>-12.28</t>
  </si>
  <si>
    <t>-13.51</t>
  </si>
  <si>
    <t>-26.66</t>
  </si>
  <si>
    <t>17.45</t>
  </si>
  <si>
    <t>-23.67</t>
  </si>
  <si>
    <t>-4.16</t>
  </si>
  <si>
    <t>-13.24</t>
  </si>
  <si>
    <t>-13.11</t>
  </si>
  <si>
    <t>-1.24</t>
  </si>
  <si>
    <t>-17.14</t>
  </si>
  <si>
    <t>19.34</t>
  </si>
  <si>
    <t>-17.29</t>
  </si>
  <si>
    <t>-4.26</t>
  </si>
  <si>
    <t>-5.74</t>
  </si>
  <si>
    <t>-5.97</t>
  </si>
  <si>
    <t>-5.34</t>
  </si>
  <si>
    <t>-3.5</t>
  </si>
  <si>
    <t>-5.03</t>
  </si>
  <si>
    <t>-17.65</t>
  </si>
  <si>
    <t>5.15</t>
  </si>
  <si>
    <t>2.13</t>
  </si>
  <si>
    <t>17.09</t>
  </si>
  <si>
    <t>-18.76</t>
  </si>
  <si>
    <t>-0.67</t>
  </si>
  <si>
    <t>-6.46</t>
  </si>
  <si>
    <t>-42.34</t>
  </si>
  <si>
    <t>-45.56</t>
  </si>
  <si>
    <t>-51.11</t>
  </si>
  <si>
    <t>-63.75</t>
  </si>
  <si>
    <t>-6.95</t>
  </si>
  <si>
    <t>12.48</t>
  </si>
  <si>
    <t>37.97</t>
  </si>
  <si>
    <t>-59.11</t>
  </si>
  <si>
    <t>-14.21</t>
  </si>
  <si>
    <t>-41.22</t>
  </si>
  <si>
    <t>-36.03</t>
  </si>
  <si>
    <t>-15.05</t>
  </si>
  <si>
    <t>-13.42</t>
  </si>
  <si>
    <t>-16.71</t>
  </si>
  <si>
    <t>-30.79</t>
  </si>
  <si>
    <t>24.28</t>
  </si>
  <si>
    <t>-29.16</t>
  </si>
  <si>
    <t>-6.41</t>
  </si>
  <si>
    <t>-15.62</t>
  </si>
  <si>
    <t>-1.38</t>
  </si>
  <si>
    <t>-2.14</t>
  </si>
  <si>
    <t>-2.65</t>
  </si>
  <si>
    <t>1.6</t>
  </si>
  <si>
    <t>-2.94</t>
  </si>
  <si>
    <t>-1.18</t>
  </si>
  <si>
    <t>-1.1</t>
  </si>
  <si>
    <t>-9.73</t>
  </si>
  <si>
    <t>-18.05</t>
  </si>
  <si>
    <t>-29.75</t>
  </si>
  <si>
    <t>1.07</t>
  </si>
  <si>
    <t>21.71</t>
  </si>
  <si>
    <t>-30.53</t>
  </si>
  <si>
    <t>-15.61</t>
  </si>
  <si>
    <t>-14.34</t>
  </si>
  <si>
    <t>-3.79</t>
  </si>
  <si>
    <t>-3.66</t>
  </si>
  <si>
    <t>-5.14</t>
  </si>
  <si>
    <t>-7.68</t>
  </si>
  <si>
    <t>1.5</t>
  </si>
  <si>
    <t>-0.83</t>
  </si>
  <si>
    <t>-6.74</t>
  </si>
  <si>
    <t>-1.43</t>
  </si>
  <si>
    <t>-3.15</t>
  </si>
  <si>
    <t>-3.26</t>
  </si>
  <si>
    <t>-5.67</t>
  </si>
  <si>
    <t>-4.52</t>
  </si>
  <si>
    <t>-5.39</t>
  </si>
  <si>
    <t>2.9</t>
  </si>
  <si>
    <t>-7.37</t>
  </si>
  <si>
    <t>-6.92</t>
  </si>
  <si>
    <t>-2.39</t>
  </si>
  <si>
    <t>3.11</t>
  </si>
  <si>
    <t>4.41</t>
  </si>
  <si>
    <t>-11.94</t>
  </si>
  <si>
    <t>-12.05</t>
  </si>
  <si>
    <t>-17.52</t>
  </si>
  <si>
    <t>-18.82</t>
  </si>
  <si>
    <t>14.85</t>
  </si>
  <si>
    <t>-18.97</t>
  </si>
  <si>
    <t>-10.84</t>
  </si>
  <si>
    <t>-11.9</t>
  </si>
  <si>
    <t>-8.7</t>
  </si>
  <si>
    <t>-0.98</t>
  </si>
  <si>
    <t>-4.01</t>
  </si>
  <si>
    <t>-3.63</t>
  </si>
  <si>
    <t>4.17</t>
  </si>
  <si>
    <t>0.32</t>
  </si>
  <si>
    <t>7.54</t>
  </si>
  <si>
    <t>-4.93</t>
  </si>
  <si>
    <t>-5.01</t>
  </si>
  <si>
    <t>-2.44</t>
  </si>
  <si>
    <t>-5.46</t>
  </si>
  <si>
    <t>8.3</t>
  </si>
  <si>
    <t>-7.89</t>
  </si>
  <si>
    <t>-5.66</t>
  </si>
  <si>
    <t>-1.39</t>
  </si>
  <si>
    <t>-0.88</t>
  </si>
  <si>
    <t>5.54</t>
  </si>
  <si>
    <t>-5.19</t>
  </si>
  <si>
    <t>-4.73</t>
  </si>
  <si>
    <t>8.88</t>
  </si>
  <si>
    <t>-2.9</t>
  </si>
  <si>
    <t>-4.96</t>
  </si>
  <si>
    <t>-3.36</t>
  </si>
  <si>
    <t>-1.72</t>
  </si>
  <si>
    <t>-1.69</t>
  </si>
  <si>
    <t>-7.28</t>
  </si>
  <si>
    <t>1.24</t>
  </si>
  <si>
    <t>2.06</t>
  </si>
  <si>
    <t>-1.34</t>
  </si>
  <si>
    <t>-3.6</t>
  </si>
  <si>
    <t>-3.91</t>
  </si>
  <si>
    <t>-19.86</t>
  </si>
  <si>
    <t>-18.98</t>
  </si>
  <si>
    <t>-29.98</t>
  </si>
  <si>
    <t>-34.29</t>
  </si>
  <si>
    <t>4.64</t>
  </si>
  <si>
    <t>13.14</t>
  </si>
  <si>
    <t>17.48</t>
  </si>
  <si>
    <t>-37.54</t>
  </si>
  <si>
    <t>-20.17</t>
  </si>
  <si>
    <t>-14.77</t>
  </si>
  <si>
    <t>-10.17</t>
  </si>
  <si>
    <t>-7.38</t>
  </si>
  <si>
    <t>-10.76</t>
  </si>
  <si>
    <t>-9.33</t>
  </si>
  <si>
    <t>11.11</t>
  </si>
  <si>
    <t>0.21</t>
  </si>
  <si>
    <t>-12.22</t>
  </si>
  <si>
    <t>-5.22</t>
  </si>
  <si>
    <t>-11.12</t>
  </si>
  <si>
    <t>-11.29</t>
  </si>
  <si>
    <t>-2.11</t>
  </si>
  <si>
    <t>-6.86</t>
  </si>
  <si>
    <t>-9.29</t>
  </si>
  <si>
    <t>0.2</t>
  </si>
  <si>
    <t>8.11</t>
  </si>
  <si>
    <t>-6.29</t>
  </si>
  <si>
    <t>-3.56</t>
  </si>
  <si>
    <t>-6.56</t>
  </si>
  <si>
    <t>-6.4</t>
  </si>
  <si>
    <t>11.46</t>
  </si>
  <si>
    <t>5.19</t>
  </si>
  <si>
    <t>2.75</t>
  </si>
  <si>
    <t>6.31</t>
  </si>
  <si>
    <t>4.01</t>
  </si>
  <si>
    <t>-9.13</t>
  </si>
  <si>
    <t>-12.52</t>
  </si>
  <si>
    <t>-9.11</t>
  </si>
  <si>
    <t>-5.3</t>
  </si>
  <si>
    <t>3.02</t>
  </si>
  <si>
    <t>11.37</t>
  </si>
  <si>
    <t>-16.37</t>
  </si>
  <si>
    <t>-7.17</t>
  </si>
  <si>
    <t>-5.61</t>
  </si>
  <si>
    <t>-9.61</t>
  </si>
  <si>
    <t>-11.98</t>
  </si>
  <si>
    <t>-0.82</t>
  </si>
  <si>
    <t>4.13</t>
  </si>
  <si>
    <t>7.52</t>
  </si>
  <si>
    <t>-11.74</t>
  </si>
  <si>
    <t>1.43</t>
  </si>
  <si>
    <t>-7.49</t>
  </si>
  <si>
    <t>-6.39</t>
  </si>
  <si>
    <t>9.39</t>
  </si>
  <si>
    <t>14.96</t>
  </si>
  <si>
    <t>-2.5</t>
  </si>
  <si>
    <t>9.73</t>
  </si>
  <si>
    <t>7.12</t>
  </si>
  <si>
    <t>0.22</t>
  </si>
  <si>
    <t>-2.98</t>
  </si>
  <si>
    <t>-1.42</t>
  </si>
  <si>
    <t>1.1</t>
  </si>
  <si>
    <t>1.2</t>
  </si>
  <si>
    <t>-2.16</t>
  </si>
  <si>
    <t>-4.36</t>
  </si>
  <si>
    <t>-5.92</t>
  </si>
  <si>
    <t>-4.39</t>
  </si>
  <si>
    <t>0.97</t>
  </si>
  <si>
    <t>-8.76</t>
  </si>
  <si>
    <t>-6.07</t>
  </si>
  <si>
    <t>-19.75</t>
  </si>
  <si>
    <t>-8.55</t>
  </si>
  <si>
    <t>-0.36</t>
  </si>
  <si>
    <t>14.41</t>
  </si>
  <si>
    <t>-9.43</t>
  </si>
  <si>
    <t>-8.26</t>
  </si>
  <si>
    <t>-9.66</t>
  </si>
  <si>
    <t>-8.88</t>
  </si>
  <si>
    <t>-10.49</t>
  </si>
  <si>
    <t>-9.32</t>
  </si>
  <si>
    <t>-14.23</t>
  </si>
  <si>
    <t>-5.23</t>
  </si>
  <si>
    <t>-8.72</t>
  </si>
  <si>
    <t>0.48</t>
  </si>
  <si>
    <t>-8.37</t>
  </si>
  <si>
    <t>-7.9</t>
  </si>
  <si>
    <t>-5.78</t>
  </si>
  <si>
    <t>-10.77</t>
  </si>
  <si>
    <t>0.31</t>
  </si>
  <si>
    <t>-17.59</t>
  </si>
  <si>
    <t>3.56</t>
  </si>
  <si>
    <t>-4.06</t>
  </si>
  <si>
    <t>1.58</t>
  </si>
  <si>
    <t>1.66</t>
  </si>
  <si>
    <t>1.87</t>
  </si>
  <si>
    <t>-0.7</t>
  </si>
  <si>
    <t>2.03</t>
  </si>
  <si>
    <t>-4.02</t>
  </si>
  <si>
    <t>-6.21</t>
  </si>
  <si>
    <t>-1.44</t>
  </si>
  <si>
    <t>-2.63</t>
  </si>
  <si>
    <t>-1.9</t>
  </si>
  <si>
    <t>-6.81</t>
  </si>
  <si>
    <t>-11.96</t>
  </si>
  <si>
    <t>-7.44</t>
  </si>
  <si>
    <t>-10.2</t>
  </si>
  <si>
    <t>2.58</t>
  </si>
  <si>
    <t>-4.99</t>
  </si>
  <si>
    <t>0.65</t>
  </si>
  <si>
    <t>-9.1</t>
  </si>
  <si>
    <t>1.28</t>
  </si>
  <si>
    <t>-5.1</t>
  </si>
  <si>
    <t>-3.93</t>
  </si>
  <si>
    <t>-2.93</t>
  </si>
  <si>
    <t>-3.14</t>
  </si>
  <si>
    <t>-4.34</t>
  </si>
  <si>
    <t>-6.18</t>
  </si>
  <si>
    <t>-0.38</t>
  </si>
  <si>
    <t>-6.49</t>
  </si>
  <si>
    <t>-2.86</t>
  </si>
  <si>
    <t>-1.22</t>
  </si>
  <si>
    <t>-1.21</t>
  </si>
  <si>
    <t>2.56</t>
  </si>
  <si>
    <t>3.6</t>
  </si>
  <si>
    <t>5.52</t>
  </si>
  <si>
    <t>-4.77</t>
  </si>
  <si>
    <t>-5.11</t>
  </si>
  <si>
    <t>20.26</t>
  </si>
  <si>
    <t>33.09</t>
  </si>
  <si>
    <t>9.23</t>
  </si>
  <si>
    <t>31.82</t>
  </si>
  <si>
    <t>9.18</t>
  </si>
  <si>
    <t>1.12</t>
  </si>
  <si>
    <t>-1.89</t>
  </si>
  <si>
    <t>20.33</t>
  </si>
  <si>
    <t>11.49</t>
  </si>
  <si>
    <t>16.3</t>
  </si>
  <si>
    <t>20.48</t>
  </si>
  <si>
    <t>-5.43</t>
  </si>
  <si>
    <t>-5.87</t>
  </si>
  <si>
    <t>-7.75</t>
  </si>
  <si>
    <t>-8.32</t>
  </si>
  <si>
    <t>0.13</t>
  </si>
  <si>
    <t>-10.75</t>
  </si>
  <si>
    <t>-5.28</t>
  </si>
  <si>
    <t>-4.04</t>
  </si>
  <si>
    <t>-6</t>
  </si>
  <si>
    <t>-7.14</t>
  </si>
  <si>
    <t>-7.07</t>
  </si>
  <si>
    <t>-2.99</t>
  </si>
  <si>
    <t>-2.53</t>
  </si>
  <si>
    <t>-5.73</t>
  </si>
  <si>
    <t>-1.95</t>
  </si>
  <si>
    <t>-4.28</t>
  </si>
  <si>
    <t>0.45</t>
  </si>
  <si>
    <t>1.65</t>
  </si>
  <si>
    <t>-3.75</t>
  </si>
  <si>
    <t>-2.2</t>
  </si>
  <si>
    <t>-1.13</t>
  </si>
  <si>
    <t>0.73</t>
  </si>
  <si>
    <t>-0.63</t>
  </si>
  <si>
    <t>0.61</t>
  </si>
  <si>
    <t>1.45</t>
  </si>
  <si>
    <t>-5.41</t>
  </si>
  <si>
    <t>5.32</t>
  </si>
  <si>
    <t>-9.2</t>
  </si>
  <si>
    <t>1.8</t>
  </si>
  <si>
    <t>3.7</t>
  </si>
  <si>
    <t>2.48</t>
  </si>
  <si>
    <t>-1.41</t>
  </si>
  <si>
    <t>-20.08</t>
  </si>
  <si>
    <t>2.35</t>
  </si>
  <si>
    <t>11.25</t>
  </si>
  <si>
    <t>13.44</t>
  </si>
  <si>
    <t>-0.31</t>
  </si>
  <si>
    <t>-0.2</t>
  </si>
  <si>
    <t>-1.87</t>
  </si>
  <si>
    <t>2.72</t>
  </si>
  <si>
    <t>-6.94</t>
  </si>
  <si>
    <t>-0.44</t>
  </si>
  <si>
    <t>3.66</t>
  </si>
  <si>
    <t>0.18</t>
  </si>
  <si>
    <t>0.38</t>
  </si>
  <si>
    <t>1.34</t>
  </si>
  <si>
    <t>3.97</t>
  </si>
  <si>
    <t>-25.26</t>
  </si>
  <si>
    <t>10.97</t>
  </si>
  <si>
    <t>23.46</t>
  </si>
  <si>
    <t>7.85</t>
  </si>
  <si>
    <t>5.74</t>
  </si>
  <si>
    <t>-19.18</t>
  </si>
  <si>
    <t>21.78</t>
  </si>
  <si>
    <t>4.71</t>
  </si>
  <si>
    <t>1.69</t>
  </si>
  <si>
    <t>7.24</t>
  </si>
  <si>
    <t>-10.25</t>
  </si>
  <si>
    <t>-40.06</t>
  </si>
  <si>
    <t>-12.89</t>
  </si>
  <si>
    <t>34.74</t>
  </si>
  <si>
    <t>57.4</t>
  </si>
  <si>
    <t>2.3</t>
  </si>
  <si>
    <t>-0.01</t>
  </si>
  <si>
    <t>2.14</t>
  </si>
  <si>
    <t>3.71</t>
  </si>
  <si>
    <t>2.81</t>
  </si>
  <si>
    <t>-1.17</t>
  </si>
  <si>
    <t>-25.79</t>
  </si>
  <si>
    <t>0.87</t>
  </si>
  <si>
    <t>22.15</t>
  </si>
  <si>
    <t>13.42</t>
  </si>
  <si>
    <t>1.77</t>
  </si>
  <si>
    <t>0.03</t>
  </si>
  <si>
    <t>-20.13</t>
  </si>
  <si>
    <t>1.01</t>
  </si>
  <si>
    <t>16.23</t>
  </si>
  <si>
    <t>9.45</t>
  </si>
  <si>
    <t>2020</t>
  </si>
  <si>
    <t>3.53</t>
  </si>
  <si>
    <t>7.08</t>
  </si>
  <si>
    <t>-0.69</t>
  </si>
  <si>
    <t>1.05</t>
  </si>
  <si>
    <t>1.57</t>
  </si>
  <si>
    <t>-0.93</t>
  </si>
  <si>
    <t>15.14</t>
  </si>
  <si>
    <t>24.06</t>
  </si>
  <si>
    <t>18.26</t>
  </si>
  <si>
    <t>8.36</t>
  </si>
  <si>
    <t>27.67</t>
  </si>
  <si>
    <t>14.13</t>
  </si>
  <si>
    <t>4.72</t>
  </si>
  <si>
    <t>-18.69</t>
  </si>
  <si>
    <t>4.18</t>
  </si>
  <si>
    <t>7.03</t>
  </si>
  <si>
    <t>2.95</t>
  </si>
  <si>
    <t>-0.3</t>
  </si>
  <si>
    <t>11.97</t>
  </si>
  <si>
    <t>-5.15</t>
  </si>
  <si>
    <t>6.04</t>
  </si>
  <si>
    <t>2.71</t>
  </si>
  <si>
    <t>10.45</t>
  </si>
  <si>
    <t>12.16</t>
  </si>
  <si>
    <t>14.04</t>
  </si>
  <si>
    <t>11.68</t>
  </si>
  <si>
    <t>16.08</t>
  </si>
  <si>
    <t>-10.33</t>
  </si>
  <si>
    <t>7.44</t>
  </si>
  <si>
    <t>0.11</t>
  </si>
  <si>
    <t>0.71</t>
  </si>
  <si>
    <t>-4.43</t>
  </si>
  <si>
    <t>-1.54</t>
  </si>
  <si>
    <t>13.62</t>
  </si>
  <si>
    <t>-4.68</t>
  </si>
  <si>
    <t>6.84</t>
  </si>
  <si>
    <t>-12.96</t>
  </si>
  <si>
    <t>-0.11</t>
  </si>
  <si>
    <t>2.16</t>
  </si>
  <si>
    <t>0.99</t>
  </si>
  <si>
    <t>-9.95</t>
  </si>
  <si>
    <t>-2.24</t>
  </si>
  <si>
    <t>22.17</t>
  </si>
  <si>
    <t>-16.93</t>
  </si>
  <si>
    <t>9.57</t>
  </si>
  <si>
    <t>-9.19</t>
  </si>
  <si>
    <t>-0.81</t>
  </si>
  <si>
    <t>3.77</t>
  </si>
  <si>
    <t>-0.59</t>
  </si>
  <si>
    <t>-2.42</t>
  </si>
  <si>
    <t>0.56</t>
  </si>
  <si>
    <t>-1.31</t>
  </si>
  <si>
    <t>2.82</t>
  </si>
  <si>
    <t>0.57</t>
  </si>
  <si>
    <t>1.59</t>
  </si>
  <si>
    <t>5.18</t>
  </si>
  <si>
    <t>5.07</t>
  </si>
  <si>
    <t>5.85</t>
  </si>
  <si>
    <t>-0.49</t>
  </si>
  <si>
    <t>1.03</t>
  </si>
  <si>
    <t>-2.19</t>
  </si>
  <si>
    <t>-8.23</t>
  </si>
  <si>
    <t>0.91</t>
  </si>
  <si>
    <t>-5.29</t>
  </si>
  <si>
    <t>1.62</t>
  </si>
  <si>
    <t>-0.19</t>
  </si>
  <si>
    <t>-4.46</t>
  </si>
  <si>
    <t>6.47</t>
  </si>
  <si>
    <t>14.63</t>
  </si>
  <si>
    <t>-3.76</t>
  </si>
  <si>
    <t>-2.97</t>
  </si>
  <si>
    <t>0.15</t>
  </si>
  <si>
    <t>-0.16</t>
  </si>
  <si>
    <t>3</t>
  </si>
  <si>
    <t>6.24</t>
  </si>
  <si>
    <t>6.9</t>
  </si>
  <si>
    <t>8.72</t>
  </si>
  <si>
    <t>17.84</t>
  </si>
  <si>
    <t>5.62</t>
  </si>
  <si>
    <t>-3.58</t>
  </si>
  <si>
    <t>5.77</t>
  </si>
  <si>
    <t>19.22</t>
  </si>
  <si>
    <t>-8.34</t>
  </si>
  <si>
    <t>45.11</t>
  </si>
  <si>
    <t>-17.67</t>
  </si>
  <si>
    <t>45.24</t>
  </si>
  <si>
    <t>-16.74</t>
  </si>
  <si>
    <t>1.91</t>
  </si>
  <si>
    <t>0.88</t>
  </si>
  <si>
    <t>5.33</t>
  </si>
  <si>
    <t>3.88</t>
  </si>
  <si>
    <t>21.54</t>
  </si>
  <si>
    <t>11.29</t>
  </si>
  <si>
    <t>3.5</t>
  </si>
  <si>
    <t>20.2</t>
  </si>
  <si>
    <t>33.62</t>
  </si>
  <si>
    <t>-15.89</t>
  </si>
  <si>
    <t>38.87</t>
  </si>
  <si>
    <t>-3.3</t>
  </si>
  <si>
    <t>3.73</t>
  </si>
  <si>
    <t>-13.71</t>
  </si>
  <si>
    <t>-0.72</t>
  </si>
  <si>
    <t>-8.01</t>
  </si>
  <si>
    <t>19.3</t>
  </si>
  <si>
    <t>-19.74</t>
  </si>
  <si>
    <t>137.74</t>
  </si>
  <si>
    <t>-52.35</t>
  </si>
  <si>
    <t>99.21</t>
  </si>
  <si>
    <t>-33.47</t>
  </si>
  <si>
    <t>13.58</t>
  </si>
  <si>
    <t>-20.75</t>
  </si>
  <si>
    <t>-17.8</t>
  </si>
  <si>
    <t>-17.09</t>
  </si>
  <si>
    <t>-0.42</t>
  </si>
  <si>
    <t>17.67</t>
  </si>
  <si>
    <t>-4.74</t>
  </si>
  <si>
    <t>-18.43</t>
  </si>
  <si>
    <t>26.09</t>
  </si>
  <si>
    <t>-0.28</t>
  </si>
  <si>
    <t>-10.88</t>
  </si>
  <si>
    <t>-6.64</t>
  </si>
  <si>
    <t>2.89</t>
  </si>
  <si>
    <t>0.93</t>
  </si>
  <si>
    <t>16.41</t>
  </si>
  <si>
    <t>4.78</t>
  </si>
  <si>
    <t>3.2</t>
  </si>
  <si>
    <t>0.39</t>
  </si>
  <si>
    <t>-7.03</t>
  </si>
  <si>
    <t>4.55</t>
  </si>
  <si>
    <t>3.28</t>
  </si>
  <si>
    <t>18.15</t>
  </si>
  <si>
    <t>-4.41</t>
  </si>
  <si>
    <t>2.47</t>
  </si>
  <si>
    <t>2.36</t>
  </si>
  <si>
    <t>-1.6</t>
  </si>
  <si>
    <t>4.87</t>
  </si>
  <si>
    <t>5.7</t>
  </si>
  <si>
    <t>-3.37</t>
  </si>
  <si>
    <t>20.73</t>
  </si>
  <si>
    <t>67.25</t>
  </si>
  <si>
    <t>-44.98</t>
  </si>
  <si>
    <t>47.45</t>
  </si>
  <si>
    <t>-24.02</t>
  </si>
  <si>
    <t>24.31</t>
  </si>
  <si>
    <t>-13.3</t>
  </si>
  <si>
    <t>-12.41</t>
  </si>
  <si>
    <t>7.93</t>
  </si>
  <si>
    <t>25.1</t>
  </si>
  <si>
    <t>-13.09</t>
  </si>
  <si>
    <t>14.24</t>
  </si>
  <si>
    <t>-1.37</t>
  </si>
  <si>
    <t>-6.05</t>
  </si>
  <si>
    <t>4.84</t>
  </si>
  <si>
    <t>-1.53</t>
  </si>
  <si>
    <t>3.92</t>
  </si>
  <si>
    <t>12.13</t>
  </si>
  <si>
    <t>9.26</t>
  </si>
  <si>
    <t>14.93</t>
  </si>
  <si>
    <t>37.89</t>
  </si>
  <si>
    <t>-5.47</t>
  </si>
  <si>
    <t>13.18</t>
  </si>
  <si>
    <t>12.31</t>
  </si>
  <si>
    <t>9.5</t>
  </si>
  <si>
    <t>-1.28</t>
  </si>
  <si>
    <t>3.45</t>
  </si>
  <si>
    <t>4.33</t>
  </si>
  <si>
    <t>3.91</t>
  </si>
  <si>
    <t>4.42</t>
  </si>
  <si>
    <t>-0.79</t>
  </si>
  <si>
    <t>5.13</t>
  </si>
  <si>
    <t>-2.51</t>
  </si>
  <si>
    <t>-2.1</t>
  </si>
  <si>
    <t>2.7</t>
  </si>
  <si>
    <t>0.33</t>
  </si>
  <si>
    <t>1.67</t>
  </si>
  <si>
    <t>-1.81</t>
  </si>
  <si>
    <t>6.21</t>
  </si>
  <si>
    <t>15.92</t>
  </si>
  <si>
    <t>-7.84</t>
  </si>
  <si>
    <t>9.07</t>
  </si>
  <si>
    <t>7.81</t>
  </si>
  <si>
    <t>9.09</t>
  </si>
  <si>
    <t>1.68</t>
  </si>
  <si>
    <t>4.79</t>
  </si>
  <si>
    <t>-1.64</t>
  </si>
  <si>
    <t>-6.48</t>
  </si>
  <si>
    <t>0.9</t>
  </si>
  <si>
    <t>1.83</t>
  </si>
  <si>
    <t>0.92</t>
  </si>
  <si>
    <t>-3.61</t>
  </si>
  <si>
    <t>8.16</t>
  </si>
  <si>
    <t>7.18</t>
  </si>
  <si>
    <t>8.04</t>
  </si>
  <si>
    <t>-2.12</t>
  </si>
  <si>
    <t>5.97</t>
  </si>
  <si>
    <t>7.41</t>
  </si>
  <si>
    <t>7.61</t>
  </si>
  <si>
    <t>17.82</t>
  </si>
  <si>
    <t>22.61</t>
  </si>
  <si>
    <t>27.84</t>
  </si>
  <si>
    <t>45.7</t>
  </si>
  <si>
    <t>-10.93</t>
  </si>
  <si>
    <t>3.08</t>
  </si>
  <si>
    <t>7.28</t>
  </si>
  <si>
    <t>16.13</t>
  </si>
  <si>
    <t>10.84</t>
  </si>
  <si>
    <t>11.43</t>
  </si>
  <si>
    <t>11.05</t>
  </si>
  <si>
    <t>16.25</t>
  </si>
  <si>
    <t>16.35</t>
  </si>
  <si>
    <t>-1.06</t>
  </si>
  <si>
    <t>9.36</t>
  </si>
  <si>
    <t>-8.06</t>
  </si>
  <si>
    <t>6.73</t>
  </si>
  <si>
    <t>-4.08</t>
  </si>
  <si>
    <t>8.44</t>
  </si>
  <si>
    <t>-5.51</t>
  </si>
  <si>
    <t>11.5</t>
  </si>
  <si>
    <t>9.52</t>
  </si>
  <si>
    <t>18.03</t>
  </si>
  <si>
    <t>7.71</t>
  </si>
  <si>
    <t>2.74</t>
  </si>
  <si>
    <t>11.57</t>
  </si>
  <si>
    <t>12.66</t>
  </si>
  <si>
    <t>0.46</t>
  </si>
  <si>
    <t>2.96</t>
  </si>
  <si>
    <t>8.05</t>
  </si>
  <si>
    <t>0.52</t>
  </si>
  <si>
    <t>6.12</t>
  </si>
  <si>
    <t>-11.36</t>
  </si>
  <si>
    <t>-7.51</t>
  </si>
  <si>
    <t>-2.8</t>
  </si>
  <si>
    <t>11.72</t>
  </si>
  <si>
    <t>-0.92</t>
  </si>
  <si>
    <t>-6.45</t>
  </si>
  <si>
    <t>4.07</t>
  </si>
  <si>
    <t>7.53</t>
  </si>
  <si>
    <t>9.61</t>
  </si>
  <si>
    <t>8.28</t>
  </si>
  <si>
    <t>9.71</t>
  </si>
  <si>
    <t>9.15</t>
  </si>
  <si>
    <t>0.74</t>
  </si>
  <si>
    <t>10.29</t>
  </si>
  <si>
    <t>-5.37</t>
  </si>
  <si>
    <t>-2.67</t>
  </si>
  <si>
    <t>-2.29</t>
  </si>
  <si>
    <t>-3.34</t>
  </si>
  <si>
    <t>-3.71</t>
  </si>
  <si>
    <t>1.13</t>
  </si>
  <si>
    <t>-8.51</t>
  </si>
  <si>
    <t>-4.82</t>
  </si>
  <si>
    <t>-5.31</t>
  </si>
  <si>
    <t>-7.32</t>
  </si>
  <si>
    <t>18.12</t>
  </si>
  <si>
    <t>3.26</t>
  </si>
  <si>
    <t>1.74</t>
  </si>
  <si>
    <t>7.2</t>
  </si>
  <si>
    <t>-13.28</t>
  </si>
  <si>
    <t>-7.21</t>
  </si>
  <si>
    <t>-1.32</t>
  </si>
  <si>
    <t>6.03</t>
  </si>
  <si>
    <t>0.69</t>
  </si>
  <si>
    <t>-9.58</t>
  </si>
  <si>
    <t>6.1</t>
  </si>
  <si>
    <t>-9.84</t>
  </si>
  <si>
    <t>-3.68</t>
  </si>
  <si>
    <t>2.54</t>
  </si>
  <si>
    <t>1.23</t>
  </si>
  <si>
    <t>-5.69</t>
  </si>
  <si>
    <t>4.58</t>
  </si>
  <si>
    <t>6.91</t>
  </si>
  <si>
    <t>2.93</t>
  </si>
  <si>
    <t>0.08</t>
  </si>
  <si>
    <t>8.58</t>
  </si>
  <si>
    <t>-0.77</t>
  </si>
  <si>
    <t>-7.7</t>
  </si>
  <si>
    <t>-3.39</t>
  </si>
  <si>
    <t>6.19</t>
  </si>
  <si>
    <t>6.58</t>
  </si>
  <si>
    <t>0.82</t>
  </si>
  <si>
    <t>2.46</t>
  </si>
  <si>
    <t>4.08</t>
  </si>
  <si>
    <t>-0.62</t>
  </si>
  <si>
    <t>5.21</t>
  </si>
  <si>
    <t>6.22</t>
  </si>
  <si>
    <t>-2.43</t>
  </si>
  <si>
    <t>22.84</t>
  </si>
  <si>
    <t>24.39</t>
  </si>
  <si>
    <t>24.73</t>
  </si>
  <si>
    <t>18.08</t>
  </si>
  <si>
    <t>24.48</t>
  </si>
  <si>
    <t>0.85</t>
  </si>
  <si>
    <t>14.15</t>
  </si>
  <si>
    <t>4.28</t>
  </si>
  <si>
    <t>22.29</t>
  </si>
  <si>
    <t>20.99</t>
  </si>
  <si>
    <t>6.6</t>
  </si>
  <si>
    <t>14.95</t>
  </si>
  <si>
    <t>13.27</t>
  </si>
  <si>
    <t>8.76</t>
  </si>
  <si>
    <t>-4.42</t>
  </si>
  <si>
    <t>-3.38</t>
  </si>
  <si>
    <t>-2.23</t>
  </si>
  <si>
    <t>-5.06</t>
  </si>
  <si>
    <t>-4.76</t>
  </si>
  <si>
    <t>-5.99</t>
  </si>
  <si>
    <t>8.99</t>
  </si>
  <si>
    <t>9.69</t>
  </si>
  <si>
    <t>-3.25</t>
  </si>
  <si>
    <t>6.41</t>
  </si>
  <si>
    <t>-1.45</t>
  </si>
  <si>
    <t>-6.58</t>
  </si>
  <si>
    <t>14.29</t>
  </si>
  <si>
    <t>-6.72</t>
  </si>
  <si>
    <t>-21</t>
  </si>
  <si>
    <t>15.85</t>
  </si>
  <si>
    <t>-5.26</t>
  </si>
  <si>
    <t>-2.49</t>
  </si>
  <si>
    <t>6.71</t>
  </si>
  <si>
    <t>2.09</t>
  </si>
  <si>
    <t>-9.59</t>
  </si>
  <si>
    <t>2.07</t>
  </si>
  <si>
    <t>2.28</t>
  </si>
  <si>
    <t>-29.44</t>
  </si>
  <si>
    <t>19.83</t>
  </si>
  <si>
    <t>21.23</t>
  </si>
  <si>
    <t>-0.22</t>
  </si>
  <si>
    <t>0.53</t>
  </si>
  <si>
    <t>3.01</t>
  </si>
  <si>
    <t>-11.16</t>
  </si>
  <si>
    <t>-2.58</t>
  </si>
  <si>
    <t>20.21</t>
  </si>
  <si>
    <t>0.01</t>
  </si>
  <si>
    <t>-1.4</t>
  </si>
  <si>
    <t>-1.92</t>
  </si>
  <si>
    <t>-7.77</t>
  </si>
  <si>
    <t>12.42</t>
  </si>
  <si>
    <t>-37.76</t>
  </si>
  <si>
    <t>-10.8</t>
  </si>
  <si>
    <t>10.54</t>
  </si>
  <si>
    <t>59.81</t>
  </si>
  <si>
    <t>0.83</t>
  </si>
  <si>
    <t>5.37</t>
  </si>
  <si>
    <t>-26.14</t>
  </si>
  <si>
    <t>14.49</t>
  </si>
  <si>
    <t>15.24</t>
  </si>
  <si>
    <t>2.33</t>
  </si>
  <si>
    <t>-19.42</t>
  </si>
  <si>
    <t>12.94</t>
  </si>
  <si>
    <t>10.35</t>
  </si>
  <si>
    <t>2021</t>
  </si>
  <si>
    <t>5.31</t>
  </si>
  <si>
    <t>0.36</t>
  </si>
  <si>
    <t>-0.94</t>
  </si>
  <si>
    <t>5.25</t>
  </si>
  <si>
    <t>13.83</t>
  </si>
  <si>
    <t>-8.45</t>
  </si>
  <si>
    <t>38.49</t>
  </si>
  <si>
    <t>16.98</t>
  </si>
  <si>
    <t>-0.97</t>
  </si>
  <si>
    <t>-2.73</t>
  </si>
  <si>
    <t>23.98</t>
  </si>
  <si>
    <t>-23.34</t>
  </si>
  <si>
    <t>27.98</t>
  </si>
  <si>
    <t>4.59</t>
  </si>
  <si>
    <t>0.26</t>
  </si>
  <si>
    <t>9.47</t>
  </si>
  <si>
    <t>11.14</t>
  </si>
  <si>
    <t>8.25</t>
  </si>
  <si>
    <t>8.75</t>
  </si>
  <si>
    <t>-1.7</t>
  </si>
  <si>
    <t>6.51</t>
  </si>
  <si>
    <t>4.53</t>
  </si>
  <si>
    <t>-16.43</t>
  </si>
  <si>
    <t>2.85</t>
  </si>
  <si>
    <t>0.55</t>
  </si>
  <si>
    <t>7.19</t>
  </si>
  <si>
    <t>-14.82</t>
  </si>
  <si>
    <t>-1.27</t>
  </si>
  <si>
    <t>2.52</t>
  </si>
  <si>
    <t>-1.29</t>
  </si>
  <si>
    <t>-5.12</t>
  </si>
  <si>
    <t>9.32</t>
  </si>
  <si>
    <t>-11.24</t>
  </si>
  <si>
    <t>2.8</t>
  </si>
  <si>
    <t>8.77</t>
  </si>
  <si>
    <t>10.42</t>
  </si>
  <si>
    <t>10.79</t>
  </si>
  <si>
    <t>8.21</t>
  </si>
  <si>
    <t>0.02</t>
  </si>
  <si>
    <t>-1.33</t>
  </si>
  <si>
    <t>2.62</t>
  </si>
  <si>
    <t>-0.75</t>
  </si>
  <si>
    <t>-3.95</t>
  </si>
  <si>
    <t>7.42</t>
  </si>
  <si>
    <t>1.71</t>
  </si>
  <si>
    <t>2.22</t>
  </si>
  <si>
    <t>1.93</t>
  </si>
  <si>
    <t>3.76</t>
  </si>
  <si>
    <t>1.64</t>
  </si>
  <si>
    <t>7.73</t>
  </si>
  <si>
    <t>8.06</t>
  </si>
  <si>
    <t>7.38</t>
  </si>
  <si>
    <t>12.59</t>
  </si>
  <si>
    <t>10.3</t>
  </si>
  <si>
    <t>4.39</t>
  </si>
  <si>
    <t>6.7</t>
  </si>
  <si>
    <t>30.96</t>
  </si>
  <si>
    <t>18.91</t>
  </si>
  <si>
    <t>62.63</t>
  </si>
  <si>
    <t>28.23</t>
  </si>
  <si>
    <t>21.72</t>
  </si>
  <si>
    <t>6.2</t>
  </si>
  <si>
    <t>7.36</t>
  </si>
  <si>
    <t>36.14</t>
  </si>
  <si>
    <t>25</t>
  </si>
  <si>
    <t>11.94</t>
  </si>
  <si>
    <t>13.77</t>
  </si>
  <si>
    <t>17.79</t>
  </si>
  <si>
    <t>7.49</t>
  </si>
  <si>
    <t>1.17</t>
  </si>
  <si>
    <t>40.54</t>
  </si>
  <si>
    <t>24.32</t>
  </si>
  <si>
    <t>57</t>
  </si>
  <si>
    <t>46.03</t>
  </si>
  <si>
    <t>40.94</t>
  </si>
  <si>
    <t>9.97</t>
  </si>
  <si>
    <t>3.96</t>
  </si>
  <si>
    <t>7.48</t>
  </si>
  <si>
    <t>47.97</t>
  </si>
  <si>
    <t>43.53</t>
  </si>
  <si>
    <t>66.9</t>
  </si>
  <si>
    <t>44.07</t>
  </si>
  <si>
    <t>144.4</t>
  </si>
  <si>
    <t>57.67</t>
  </si>
  <si>
    <t>53.2</t>
  </si>
  <si>
    <t>16.9</t>
  </si>
  <si>
    <t>78.79</t>
  </si>
  <si>
    <t>55.58</t>
  </si>
  <si>
    <t>69.94</t>
  </si>
  <si>
    <t>50.64</t>
  </si>
  <si>
    <t>91.55</t>
  </si>
  <si>
    <t>100.91</t>
  </si>
  <si>
    <t>41.9</t>
  </si>
  <si>
    <t>-0.84</t>
  </si>
  <si>
    <t>41.18</t>
  </si>
  <si>
    <t>78.31</t>
  </si>
  <si>
    <t>71.36</t>
  </si>
  <si>
    <t>9.51</t>
  </si>
  <si>
    <t>8.22</t>
  </si>
  <si>
    <t>-7.99</t>
  </si>
  <si>
    <t>2.27</t>
  </si>
  <si>
    <t>8.73</t>
  </si>
  <si>
    <t>9.77</t>
  </si>
  <si>
    <t>6.87</t>
  </si>
  <si>
    <t>1.37</t>
  </si>
  <si>
    <t>8.46</t>
  </si>
  <si>
    <t>8.32</t>
  </si>
  <si>
    <t>69.75</t>
  </si>
  <si>
    <t>61.9</t>
  </si>
  <si>
    <t>126.59</t>
  </si>
  <si>
    <t>56.9</t>
  </si>
  <si>
    <t>42.97</t>
  </si>
  <si>
    <t>36.41</t>
  </si>
  <si>
    <t>73.18</t>
  </si>
  <si>
    <t>50.69</t>
  </si>
  <si>
    <t>19.87</t>
  </si>
  <si>
    <t>16.99</t>
  </si>
  <si>
    <t>25.8</t>
  </si>
  <si>
    <t>21.27</t>
  </si>
  <si>
    <t>15.79</t>
  </si>
  <si>
    <t>6.78</t>
  </si>
  <si>
    <t>0.8</t>
  </si>
  <si>
    <t>20.97</t>
  </si>
  <si>
    <t>18.56</t>
  </si>
  <si>
    <t>6.49</t>
  </si>
  <si>
    <t>1.98</t>
  </si>
  <si>
    <t>5.09</t>
  </si>
  <si>
    <t>6.88</t>
  </si>
  <si>
    <t>7.45</t>
  </si>
  <si>
    <t>4.09</t>
  </si>
  <si>
    <t>-2.55</t>
  </si>
  <si>
    <t>1.61</t>
  </si>
  <si>
    <t>4.83</t>
  </si>
  <si>
    <t>3.23</t>
  </si>
  <si>
    <t>2.84</t>
  </si>
  <si>
    <t>4.26</t>
  </si>
  <si>
    <t>4.46</t>
  </si>
  <si>
    <t>-3.24</t>
  </si>
  <si>
    <t>-1.47</t>
  </si>
  <si>
    <t>8.93</t>
  </si>
  <si>
    <t>9.74</t>
  </si>
  <si>
    <t>8.09</t>
  </si>
  <si>
    <t>-1.19</t>
  </si>
  <si>
    <t>8.92</t>
  </si>
  <si>
    <t>-0.78</t>
  </si>
  <si>
    <t>8.14</t>
  </si>
  <si>
    <t>6.08</t>
  </si>
  <si>
    <t>1.94</t>
  </si>
  <si>
    <t>4.88</t>
  </si>
  <si>
    <t>-1.99</t>
  </si>
  <si>
    <t>-8.03</t>
  </si>
  <si>
    <t>-3.85</t>
  </si>
  <si>
    <t>-6.36</t>
  </si>
  <si>
    <t>10.67</t>
  </si>
  <si>
    <t>10.95</t>
  </si>
  <si>
    <t>10.26</t>
  </si>
  <si>
    <t>7.35</t>
  </si>
  <si>
    <t>14.2</t>
  </si>
  <si>
    <t>9.19</t>
  </si>
  <si>
    <t>6.95</t>
  </si>
  <si>
    <t>11.22</t>
  </si>
  <si>
    <t>9.92</t>
  </si>
  <si>
    <t>-3.54</t>
  </si>
  <si>
    <t>5.93</t>
  </si>
  <si>
    <t>12.93</t>
  </si>
  <si>
    <t>10.56</t>
  </si>
  <si>
    <t>7.62</t>
  </si>
  <si>
    <t>12.56</t>
  </si>
  <si>
    <t>6.8</t>
  </si>
  <si>
    <t>14.8</t>
  </si>
  <si>
    <t>15.12</t>
  </si>
  <si>
    <t>20.16</t>
  </si>
  <si>
    <t>7.9</t>
  </si>
  <si>
    <t>0.05</t>
  </si>
  <si>
    <t>14.68</t>
  </si>
  <si>
    <t>11.86</t>
  </si>
  <si>
    <t>-2</t>
  </si>
  <si>
    <t>-2.3</t>
  </si>
  <si>
    <t>-1.97</t>
  </si>
  <si>
    <t>-4.87</t>
  </si>
  <si>
    <t>-0.29</t>
  </si>
  <si>
    <t>-10.57</t>
  </si>
  <si>
    <t>0.29</t>
  </si>
  <si>
    <t>-3.23</t>
  </si>
  <si>
    <t>-12.13</t>
  </si>
  <si>
    <t>-7.8</t>
  </si>
  <si>
    <t>2.1</t>
  </si>
  <si>
    <t>-3.4</t>
  </si>
  <si>
    <t>-1.46</t>
  </si>
  <si>
    <t>4.47</t>
  </si>
  <si>
    <t>-6.23</t>
  </si>
  <si>
    <t>-3.57</t>
  </si>
  <si>
    <t>-4.49</t>
  </si>
  <si>
    <t>13.12</t>
  </si>
  <si>
    <t>-2.7</t>
  </si>
  <si>
    <t>11.54</t>
  </si>
  <si>
    <t>10.6</t>
  </si>
  <si>
    <t>9.34</t>
  </si>
  <si>
    <t>13.74</t>
  </si>
  <si>
    <t>11.38</t>
  </si>
  <si>
    <t>13.1</t>
  </si>
  <si>
    <t>-7.11</t>
  </si>
  <si>
    <t>-10.74</t>
  </si>
  <si>
    <t>-0.65</t>
  </si>
  <si>
    <t>8.68</t>
  </si>
  <si>
    <t>3.57</t>
  </si>
  <si>
    <t>5.47</t>
  </si>
  <si>
    <t>0.96</t>
  </si>
  <si>
    <t>4.89</t>
  </si>
  <si>
    <t>-1.08</t>
  </si>
  <si>
    <t>0.95</t>
  </si>
  <si>
    <t>4.54</t>
  </si>
  <si>
    <t>-3.89</t>
  </si>
  <si>
    <t>18.01</t>
  </si>
  <si>
    <t>16.24</t>
  </si>
  <si>
    <t>9.03</t>
  </si>
  <si>
    <t>22.37</t>
  </si>
  <si>
    <t>25.78</t>
  </si>
  <si>
    <t>7.51</t>
  </si>
  <si>
    <t>11.06</t>
  </si>
  <si>
    <t>18.65</t>
  </si>
  <si>
    <t>23.96</t>
  </si>
  <si>
    <t>9.41</t>
  </si>
  <si>
    <t>9.76</t>
  </si>
  <si>
    <t>-5.24</t>
  </si>
  <si>
    <t>-3.8</t>
  </si>
  <si>
    <t>-6.26</t>
  </si>
  <si>
    <t>-5.49</t>
  </si>
  <si>
    <t>-5.04</t>
  </si>
  <si>
    <t>6.46</t>
  </si>
  <si>
    <t>-2.81</t>
  </si>
  <si>
    <t>2.79</t>
  </si>
  <si>
    <t>10.01</t>
  </si>
  <si>
    <t>-11</t>
  </si>
  <si>
    <t>2.86</t>
  </si>
  <si>
    <t>-1.71</t>
  </si>
  <si>
    <t>-3.77</t>
  </si>
  <si>
    <t>-9.14</t>
  </si>
  <si>
    <t>0.4</t>
  </si>
  <si>
    <t>2.65</t>
  </si>
  <si>
    <t>6.37</t>
  </si>
  <si>
    <t>1.48</t>
  </si>
  <si>
    <t>-17.2</t>
  </si>
  <si>
    <t>17.77</t>
  </si>
  <si>
    <t>1.63</t>
  </si>
  <si>
    <t>-6.68</t>
  </si>
  <si>
    <t>0.23</t>
  </si>
  <si>
    <t>21.57</t>
  </si>
  <si>
    <t>4.81</t>
  </si>
  <si>
    <t>0.27</t>
  </si>
  <si>
    <t>-0.34</t>
  </si>
  <si>
    <t>-28.17</t>
  </si>
  <si>
    <t>22.32</t>
  </si>
  <si>
    <t>21.97</t>
  </si>
  <si>
    <t>-2.77</t>
  </si>
  <si>
    <t>0</t>
  </si>
  <si>
    <t>-11.17</t>
  </si>
  <si>
    <t>2.55</t>
  </si>
  <si>
    <t>-31.1</t>
  </si>
  <si>
    <t>-17.73</t>
  </si>
  <si>
    <t>13.45</t>
  </si>
  <si>
    <t>62.81</t>
  </si>
  <si>
    <t>5.56</t>
  </si>
  <si>
    <t>-23.05</t>
  </si>
  <si>
    <t>14.53</t>
  </si>
  <si>
    <t>16.79</t>
  </si>
  <si>
    <t>1.95</t>
  </si>
  <si>
    <t>-17.4</t>
  </si>
  <si>
    <t>13.52</t>
  </si>
  <si>
    <t>9.08</t>
  </si>
  <si>
    <t>2022</t>
  </si>
  <si>
    <t>3.86</t>
  </si>
  <si>
    <t>-0.9</t>
  </si>
  <si>
    <t>5.11</t>
  </si>
  <si>
    <t>-0.85</t>
  </si>
  <si>
    <t>-3.1</t>
  </si>
  <si>
    <t>23.53</t>
  </si>
  <si>
    <t>3.44</t>
  </si>
  <si>
    <t>-0.47</t>
  </si>
  <si>
    <t>8.79</t>
  </si>
  <si>
    <t>10.52</t>
  </si>
  <si>
    <t>11.89</t>
  </si>
  <si>
    <t>8.9</t>
  </si>
  <si>
    <t>10.65</t>
  </si>
  <si>
    <t>3.09</t>
  </si>
  <si>
    <t>4.77</t>
  </si>
  <si>
    <t>9.05</t>
  </si>
  <si>
    <t>-14.57</t>
  </si>
  <si>
    <t>2.63</t>
  </si>
  <si>
    <t>14.5</t>
  </si>
  <si>
    <t>-14.28</t>
  </si>
  <si>
    <t>-6.24</t>
  </si>
  <si>
    <t>-17.77</t>
  </si>
  <si>
    <t>15.8</t>
  </si>
  <si>
    <t>8.24</t>
  </si>
  <si>
    <t>9.37</t>
  </si>
  <si>
    <t>9.59</t>
  </si>
  <si>
    <t>8</t>
  </si>
  <si>
    <t>0.6</t>
  </si>
  <si>
    <t>-0.74</t>
  </si>
  <si>
    <t>0.28</t>
  </si>
  <si>
    <t>-1.79</t>
  </si>
  <si>
    <t>5.16</t>
  </si>
  <si>
    <t>-0.5</t>
  </si>
  <si>
    <t>-2.31</t>
  </si>
  <si>
    <t>7.01</t>
  </si>
  <si>
    <t>7.39</t>
  </si>
  <si>
    <t>2.91</t>
  </si>
  <si>
    <t>6.5</t>
  </si>
  <si>
    <t>6.56</t>
  </si>
  <si>
    <t>5.24</t>
  </si>
  <si>
    <t>4.45</t>
  </si>
  <si>
    <t>0.43</t>
  </si>
  <si>
    <t>4.86</t>
  </si>
  <si>
    <t>7.59</t>
  </si>
  <si>
    <t>6.74</t>
  </si>
  <si>
    <t>8.03</t>
  </si>
  <si>
    <t>7.11</t>
  </si>
  <si>
    <t>0.17</t>
  </si>
  <si>
    <t>7.89</t>
  </si>
  <si>
    <t>7.58</t>
  </si>
  <si>
    <t>10.76</t>
  </si>
  <si>
    <t>4.65</t>
  </si>
  <si>
    <t>10.03</t>
  </si>
  <si>
    <t>13.15</t>
  </si>
  <si>
    <t>11.59</t>
  </si>
  <si>
    <t>13.87</t>
  </si>
  <si>
    <t>12.39</t>
  </si>
  <si>
    <t>15.02</t>
  </si>
  <si>
    <t>6.99</t>
  </si>
  <si>
    <t>-4.47</t>
  </si>
  <si>
    <t>13.73</t>
  </si>
  <si>
    <t>13.66</t>
  </si>
  <si>
    <t>7.88</t>
  </si>
  <si>
    <t>9.91</t>
  </si>
  <si>
    <t>10.78</t>
  </si>
  <si>
    <t>10.71</t>
  </si>
  <si>
    <t>17.91</t>
  </si>
  <si>
    <t>10.43</t>
  </si>
  <si>
    <t>18.82</t>
  </si>
  <si>
    <t>20.91</t>
  </si>
  <si>
    <t>22.86</t>
  </si>
  <si>
    <t>20.79</t>
  </si>
  <si>
    <t>21.85</t>
  </si>
  <si>
    <t>28.96</t>
  </si>
  <si>
    <t>32.73</t>
  </si>
  <si>
    <t>32.88</t>
  </si>
  <si>
    <t>41.1</t>
  </si>
  <si>
    <t>10.08</t>
  </si>
  <si>
    <t>35.26</t>
  </si>
  <si>
    <t>36.67</t>
  </si>
  <si>
    <t>13.54</t>
  </si>
  <si>
    <t>40.12</t>
  </si>
  <si>
    <t>-2.64</t>
  </si>
  <si>
    <t>21.29</t>
  </si>
  <si>
    <t>15.47</t>
  </si>
  <si>
    <t>17.65</t>
  </si>
  <si>
    <t>19</t>
  </si>
  <si>
    <t>18.28</t>
  </si>
  <si>
    <t>18.62</t>
  </si>
  <si>
    <t>9.66</t>
  </si>
  <si>
    <t>9.58</t>
  </si>
  <si>
    <t>23.74</t>
  </si>
  <si>
    <t>16.95</t>
  </si>
  <si>
    <t>16.58</t>
  </si>
  <si>
    <t>19.4</t>
  </si>
  <si>
    <t>51.08</t>
  </si>
  <si>
    <t>26.51</t>
  </si>
  <si>
    <t>32.8</t>
  </si>
  <si>
    <t>13.96</t>
  </si>
  <si>
    <t>14.74</t>
  </si>
  <si>
    <t>15.28</t>
  </si>
  <si>
    <t>15.93</t>
  </si>
  <si>
    <t>2.15</t>
  </si>
  <si>
    <t>15.3</t>
  </si>
  <si>
    <t>15.59</t>
  </si>
  <si>
    <t>4.75</t>
  </si>
  <si>
    <t>6.64</t>
  </si>
  <si>
    <t>-0.37</t>
  </si>
  <si>
    <t>-0.27</t>
  </si>
  <si>
    <t>7.68</t>
  </si>
  <si>
    <t>6.39</t>
  </si>
  <si>
    <t>-0.55</t>
  </si>
  <si>
    <t>3.54</t>
  </si>
  <si>
    <t>-1.68</t>
  </si>
  <si>
    <t>0.86</t>
  </si>
  <si>
    <t>6.34</t>
  </si>
  <si>
    <t>3.46</t>
  </si>
  <si>
    <t>3.58</t>
  </si>
  <si>
    <t>-7.13</t>
  </si>
  <si>
    <t>-8.38</t>
  </si>
  <si>
    <t>-1.76</t>
  </si>
  <si>
    <t>-4.65</t>
  </si>
  <si>
    <t>-5.63</t>
  </si>
  <si>
    <t>7.63</t>
  </si>
  <si>
    <t>7.31</t>
  </si>
  <si>
    <t>17.27</t>
  </si>
  <si>
    <t>-10.18</t>
  </si>
  <si>
    <t>11.41</t>
  </si>
  <si>
    <t>-8.16</t>
  </si>
  <si>
    <t>7.91</t>
  </si>
  <si>
    <t>-0.91</t>
  </si>
  <si>
    <t>0.5</t>
  </si>
  <si>
    <t>11.12</t>
  </si>
  <si>
    <t>17.32</t>
  </si>
  <si>
    <t>12.78</t>
  </si>
  <si>
    <t>6.28</t>
  </si>
  <si>
    <t>14.57</t>
  </si>
  <si>
    <t>14.17</t>
  </si>
  <si>
    <t>10.86</t>
  </si>
  <si>
    <t>15.51</t>
  </si>
  <si>
    <t>12.5</t>
  </si>
  <si>
    <t>4.11</t>
  </si>
  <si>
    <t>9.17</t>
  </si>
  <si>
    <t>15.6</t>
  </si>
  <si>
    <t>3.29</t>
  </si>
  <si>
    <t>-10.38</t>
  </si>
  <si>
    <t>-7.18</t>
  </si>
  <si>
    <t>-3.35</t>
  </si>
  <si>
    <t>-3.16</t>
  </si>
  <si>
    <t>-2.46</t>
  </si>
  <si>
    <t>4.52</t>
  </si>
  <si>
    <t>5.83</t>
  </si>
  <si>
    <t>5.49</t>
  </si>
  <si>
    <t>-2.96</t>
  </si>
  <si>
    <t>-2.05</t>
  </si>
  <si>
    <t>-1.58</t>
  </si>
  <si>
    <t>-1.98</t>
  </si>
  <si>
    <t>-1.5</t>
  </si>
  <si>
    <t>11.58</t>
  </si>
  <si>
    <t>13.28</t>
  </si>
  <si>
    <t>-7.26</t>
  </si>
  <si>
    <t>-0.21</t>
  </si>
  <si>
    <t>0.34</t>
  </si>
  <si>
    <t>4.69</t>
  </si>
  <si>
    <t>4.16</t>
  </si>
  <si>
    <t>7.6</t>
  </si>
  <si>
    <t>0.47</t>
  </si>
  <si>
    <t>6.86</t>
  </si>
  <si>
    <t>6.09</t>
  </si>
  <si>
    <t>7.57</t>
  </si>
  <si>
    <t>-4.71</t>
  </si>
  <si>
    <t>8.5</t>
  </si>
  <si>
    <t>19.94</t>
  </si>
  <si>
    <t>9.43</t>
  </si>
  <si>
    <t>7.66</t>
  </si>
  <si>
    <t>-14.2</t>
  </si>
  <si>
    <t>-2.01</t>
  </si>
  <si>
    <t>10.02</t>
  </si>
  <si>
    <t>7.13</t>
  </si>
  <si>
    <t>6.45</t>
  </si>
  <si>
    <t>17.36</t>
  </si>
  <si>
    <t>-1.55</t>
  </si>
  <si>
    <t>13.71</t>
  </si>
  <si>
    <t>7.46</t>
  </si>
  <si>
    <t>-4.21</t>
  </si>
  <si>
    <t>9.93</t>
  </si>
  <si>
    <t>20.9</t>
  </si>
  <si>
    <t>-13.25</t>
  </si>
  <si>
    <t>1.81</t>
  </si>
  <si>
    <t>9.88</t>
  </si>
  <si>
    <t>-5.89</t>
  </si>
  <si>
    <t>-16.94</t>
  </si>
  <si>
    <t>0.25</t>
  </si>
  <si>
    <t>10.21</t>
  </si>
  <si>
    <t>1.76</t>
  </si>
  <si>
    <t>11.82</t>
  </si>
  <si>
    <t>-26.29</t>
  </si>
  <si>
    <t>17.5</t>
  </si>
  <si>
    <t>19.97</t>
  </si>
  <si>
    <t>-2.32</t>
  </si>
  <si>
    <t>-0.32</t>
  </si>
  <si>
    <t>-15.52</t>
  </si>
  <si>
    <t>19.96</t>
  </si>
  <si>
    <t>-8.4</t>
  </si>
  <si>
    <t>-1.67</t>
  </si>
  <si>
    <t>-9.96</t>
  </si>
  <si>
    <t>-3.27</t>
  </si>
  <si>
    <t>-3</t>
  </si>
  <si>
    <t>-37.15</t>
  </si>
  <si>
    <t>-16.04</t>
  </si>
  <si>
    <t>50.83</t>
  </si>
  <si>
    <t>-23.16</t>
  </si>
  <si>
    <t>2.38</t>
  </si>
  <si>
    <t>14.27</t>
  </si>
  <si>
    <t>11.16</t>
  </si>
  <si>
    <t>0.35</t>
  </si>
  <si>
    <t>1.49</t>
  </si>
  <si>
    <t>0.44</t>
  </si>
  <si>
    <t>-17.7</t>
  </si>
  <si>
    <t>15.32</t>
  </si>
  <si>
    <t>2023</t>
  </si>
  <si>
    <t>-3.31</t>
  </si>
  <si>
    <t>25.28</t>
  </si>
  <si>
    <t>-7.95</t>
  </si>
  <si>
    <t>14.36</t>
  </si>
  <si>
    <t>-16.78</t>
  </si>
  <si>
    <t>5.3</t>
  </si>
  <si>
    <t>8.71</t>
  </si>
  <si>
    <t>9.84</t>
  </si>
  <si>
    <t>10.59</t>
  </si>
  <si>
    <t>5.95</t>
  </si>
  <si>
    <t>-6.97</t>
  </si>
  <si>
    <t>4.99</t>
  </si>
  <si>
    <t>13.59</t>
  </si>
  <si>
    <t>-17.21</t>
  </si>
  <si>
    <t>0.14</t>
  </si>
  <si>
    <t>9.1</t>
  </si>
  <si>
    <t>9.31</t>
  </si>
  <si>
    <t>9.27</t>
  </si>
  <si>
    <t>9.29</t>
  </si>
  <si>
    <t>6.32</t>
  </si>
  <si>
    <t>12.15</t>
  </si>
  <si>
    <t>9.62</t>
  </si>
  <si>
    <t>8.63</t>
  </si>
  <si>
    <t>0.7</t>
  </si>
  <si>
    <t>6.29</t>
  </si>
  <si>
    <t>10.07</t>
  </si>
  <si>
    <t>-6.73</t>
  </si>
  <si>
    <t>6.66</t>
  </si>
  <si>
    <t>0.77</t>
  </si>
  <si>
    <t>3.59</t>
  </si>
  <si>
    <t>9.65</t>
  </si>
  <si>
    <t>9.46</t>
  </si>
  <si>
    <t>8.82</t>
  </si>
  <si>
    <t>-12.32</t>
  </si>
  <si>
    <t>6.42</t>
  </si>
  <si>
    <t>7.5</t>
  </si>
  <si>
    <t>9.4</t>
  </si>
  <si>
    <t>-7.73</t>
  </si>
  <si>
    <t>6.68</t>
  </si>
  <si>
    <t>6.54</t>
  </si>
  <si>
    <t>13.9</t>
  </si>
  <si>
    <t>10.19</t>
  </si>
  <si>
    <t>9.75</t>
  </si>
  <si>
    <t>9.14</t>
  </si>
  <si>
    <t>17.56</t>
  </si>
  <si>
    <t>8.07</t>
  </si>
  <si>
    <t>-3.94</t>
  </si>
  <si>
    <t>13.06</t>
  </si>
  <si>
    <t>8.78</t>
  </si>
  <si>
    <t>8.62</t>
  </si>
  <si>
    <t>8.52</t>
  </si>
  <si>
    <t>9.01</t>
  </si>
  <si>
    <t>6.26</t>
  </si>
  <si>
    <t>4.21</t>
  </si>
  <si>
    <t>3.79</t>
  </si>
  <si>
    <t>-1.63</t>
  </si>
  <si>
    <t>-2.38</t>
  </si>
  <si>
    <t>7.43</t>
  </si>
  <si>
    <t>-2.61</t>
  </si>
  <si>
    <t>9.55</t>
  </si>
  <si>
    <t>7.33</t>
  </si>
  <si>
    <t>9.86</t>
  </si>
  <si>
    <t>8.38</t>
  </si>
  <si>
    <t>-11.58</t>
  </si>
  <si>
    <t>-3.46</t>
  </si>
  <si>
    <t>13.98</t>
  </si>
  <si>
    <t>26.6</t>
  </si>
  <si>
    <t>11.74</t>
  </si>
  <si>
    <t>18.75</t>
  </si>
  <si>
    <t>6.05</t>
  </si>
  <si>
    <t>17.88</t>
  </si>
  <si>
    <t>2.04</t>
  </si>
  <si>
    <t>-5.36</t>
  </si>
  <si>
    <t>15.71</t>
  </si>
  <si>
    <t>14.91</t>
  </si>
  <si>
    <t>14.47</t>
  </si>
  <si>
    <t>16.04</t>
  </si>
  <si>
    <t>14.69</t>
  </si>
  <si>
    <t>-4.07</t>
  </si>
  <si>
    <t>-12.53</t>
  </si>
  <si>
    <t>-3.2</t>
  </si>
  <si>
    <t>-2.08</t>
  </si>
  <si>
    <t>-3.9</t>
  </si>
  <si>
    <t>11.65</t>
  </si>
  <si>
    <t>2.19</t>
  </si>
  <si>
    <t>0.84</t>
  </si>
  <si>
    <t>-3.29</t>
  </si>
  <si>
    <t>-9.6</t>
  </si>
  <si>
    <t>-1.78</t>
  </si>
  <si>
    <t>-0.25</t>
  </si>
  <si>
    <t>0.72</t>
  </si>
  <si>
    <t>4.35</t>
  </si>
  <si>
    <t>-4.97</t>
  </si>
  <si>
    <t>-9.09</t>
  </si>
  <si>
    <t>6.81</t>
  </si>
  <si>
    <t>6.15</t>
  </si>
  <si>
    <t>4.31</t>
  </si>
  <si>
    <t>6.92</t>
  </si>
  <si>
    <t>6.53</t>
  </si>
  <si>
    <t>6.27</t>
  </si>
  <si>
    <t>5.4</t>
  </si>
  <si>
    <t>5.26</t>
  </si>
  <si>
    <t>-7.92</t>
  </si>
  <si>
    <t>-18.9</t>
  </si>
  <si>
    <t>-3.19</t>
  </si>
  <si>
    <t>-11.83</t>
  </si>
  <si>
    <t>-18.5</t>
  </si>
  <si>
    <t>-4.63</t>
  </si>
  <si>
    <t>13.25</t>
  </si>
  <si>
    <t>-7.87</t>
  </si>
  <si>
    <t>-4.38</t>
  </si>
  <si>
    <t>-7.29</t>
  </si>
  <si>
    <t>22.54</t>
  </si>
  <si>
    <t>-5.64</t>
  </si>
  <si>
    <t>-7.42</t>
  </si>
  <si>
    <t>12.34</t>
  </si>
  <si>
    <t>11.73</t>
  </si>
  <si>
    <t>13.3</t>
  </si>
  <si>
    <t>-13.16</t>
  </si>
  <si>
    <t>-4.29</t>
  </si>
  <si>
    <t>-6.62</t>
  </si>
  <si>
    <t>-6.8</t>
  </si>
  <si>
    <t>-2.21</t>
  </si>
  <si>
    <t>12.64</t>
  </si>
  <si>
    <t>-19.83</t>
  </si>
  <si>
    <t>6.72</t>
  </si>
  <si>
    <t>8.83</t>
  </si>
  <si>
    <t>-6.14</t>
  </si>
  <si>
    <t>-5.9</t>
  </si>
  <si>
    <t>19.67</t>
  </si>
  <si>
    <t>8.1</t>
  </si>
  <si>
    <t>8.87</t>
  </si>
  <si>
    <t>-31.07</t>
  </si>
  <si>
    <t>18.19</t>
  </si>
  <si>
    <t>17.89</t>
  </si>
  <si>
    <t>-11.48</t>
  </si>
  <si>
    <t>26.89</t>
  </si>
  <si>
    <t>-8.09</t>
  </si>
  <si>
    <t>-6.01</t>
  </si>
  <si>
    <t>42.25</t>
  </si>
  <si>
    <t>-37.95</t>
  </si>
  <si>
    <t>-8.78</t>
  </si>
  <si>
    <t>64.14</t>
  </si>
  <si>
    <t>11.27</t>
  </si>
  <si>
    <t>11.92</t>
  </si>
  <si>
    <t>13.6</t>
  </si>
  <si>
    <t>-26</t>
  </si>
  <si>
    <t>13.76</t>
  </si>
  <si>
    <t>18.25</t>
  </si>
  <si>
    <t>10.53</t>
  </si>
  <si>
    <t>-18.33</t>
  </si>
  <si>
    <t>13.53</t>
  </si>
  <si>
    <t>2025</t>
  </si>
  <si>
    <t>11.8</t>
  </si>
  <si>
    <t>-15.23</t>
  </si>
  <si>
    <t>-5.5</t>
  </si>
  <si>
    <t>-6.89</t>
  </si>
  <si>
    <t>13.04</t>
  </si>
  <si>
    <t>12.82</t>
  </si>
  <si>
    <t>-1.66</t>
  </si>
  <si>
    <t>15.2</t>
  </si>
  <si>
    <t>-8.95</t>
  </si>
  <si>
    <t>8.53</t>
  </si>
  <si>
    <t>-9.28</t>
  </si>
  <si>
    <t>7.32</t>
  </si>
  <si>
    <t>-11.18</t>
  </si>
  <si>
    <t>-9.51</t>
  </si>
  <si>
    <t>-1.49</t>
  </si>
  <si>
    <t>-1.65</t>
  </si>
  <si>
    <t>-8.49</t>
  </si>
  <si>
    <t>-5.02</t>
  </si>
  <si>
    <t>21.93</t>
  </si>
  <si>
    <t>-5.48</t>
  </si>
  <si>
    <t>9.12</t>
  </si>
  <si>
    <t>-9.01</t>
  </si>
  <si>
    <t>-0.45</t>
  </si>
  <si>
    <t>3.9</t>
  </si>
  <si>
    <t>-4.05</t>
  </si>
  <si>
    <t>-10.39</t>
  </si>
  <si>
    <t>-1.01</t>
  </si>
  <si>
    <t>-1.16</t>
  </si>
  <si>
    <t>-16.02</t>
  </si>
  <si>
    <t>-3.11</t>
  </si>
  <si>
    <t>-8.2</t>
  </si>
  <si>
    <t>-20.55</t>
  </si>
  <si>
    <t>-10.9</t>
  </si>
  <si>
    <t>22.62</t>
  </si>
  <si>
    <t>11.84</t>
  </si>
  <si>
    <t>25.41</t>
  </si>
  <si>
    <t>-9.37</t>
  </si>
  <si>
    <t>70.1</t>
  </si>
  <si>
    <t>21.58</t>
  </si>
  <si>
    <t>9.56</t>
  </si>
  <si>
    <t>2026</t>
  </si>
  <si>
    <t>BPS- Statistics Indonesia</t>
  </si>
  <si>
    <t>Growth Rate of GDP by Industry (2010=100) (Percent), 2026</t>
  </si>
  <si>
    <t>2019-2025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</si>
</sst>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_ ;\-#,##0\ "/>
    <numFmt numFmtId="165" formatCode="#,##0.000_ ;\-#,##0.000\ "/>
    <numFmt numFmtId="166" formatCode="_(* #,##0_);_(* \(#,##0\);_(* &quot;-&quot;??_);_(@_)"/>
    <numFmt numFmtId="167" formatCode="0.0%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FFFF"/>
      <name val="Verdana"/>
      <family val="2"/>
    </font>
    <font>
      <sz val="8"/>
      <color rgb="FFFFFFFF"/>
      <name val="Verdana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b/>
      <sz val="9"/>
      <color rgb="FFFF0000"/>
      <name val="Courier New"/>
      <family val="1"/>
    </font>
    <font>
      <sz val="8"/>
      <color theme="1"/>
      <name val="Verdana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2973BD"/>
        <bgColor rgb="FF2973BD"/>
      </patternFill>
    </fill>
    <fill>
      <patternFill patternType="solid">
        <fgColor rgb="FF00A1E3"/>
        <bgColor rgb="FF00A1E3"/>
      </patternFill>
    </fill>
    <fill>
      <patternFill patternType="solid">
        <fgColor rgb="FFC4D8ED"/>
        <bgColor rgb="FFC4D8ED"/>
      </patternFill>
    </fill>
    <fill>
      <patternFill patternType="solid">
        <fgColor rgb="FFFFFFFF"/>
        <bgColor rgb="FFFFFFFF"/>
      </patternFill>
    </fill>
    <fill>
      <patternFill patternType="solid">
        <fgColor rgb="FFF0F8FF"/>
        <bgColor rgb="FFF0F8FF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2F2F2"/>
        <bgColor rgb="FFF2F2F2"/>
      </patternFill>
    </fill>
    <fill>
      <patternFill patternType="solid">
        <fgColor rgb="FFFF99FF"/>
        <bgColor rgb="FFFF99FF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5">
    <xf numFmtId="0" fontId="0" fillId="0" borderId="0"/>
    <xf numFmtId="9" fontId="17" fillId="0" borderId="0" applyFont="0" applyFill="0" applyBorder="0" applyAlignment="0" applyProtection="0"/>
    <xf numFmtId="0" fontId="2" fillId="0" borderId="1"/>
    <xf numFmtId="9" fontId="2" fillId="0" borderId="1" applyFont="0" applyFill="0" applyBorder="0" applyAlignment="0" applyProtection="0"/>
    <xf numFmtId="0" fontId="23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3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/>
    <xf numFmtId="0" fontId="10" fillId="3" borderId="3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1" fillId="3" borderId="3" xfId="0" applyFont="1" applyFill="1" applyBorder="1" applyAlignment="1">
      <alignment vertical="top" wrapText="1"/>
    </xf>
    <xf numFmtId="0" fontId="11" fillId="3" borderId="8" xfId="0" applyFont="1" applyFill="1" applyBorder="1" applyAlignment="1">
      <alignment vertical="top" wrapText="1"/>
    </xf>
    <xf numFmtId="0" fontId="11" fillId="3" borderId="9" xfId="0" applyFont="1" applyFill="1" applyBorder="1" applyAlignment="1">
      <alignment vertical="top" wrapText="1"/>
    </xf>
    <xf numFmtId="0" fontId="11" fillId="3" borderId="10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11" fillId="4" borderId="11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top" wrapText="1"/>
    </xf>
    <xf numFmtId="0" fontId="12" fillId="0" borderId="0" xfId="0" applyFont="1"/>
    <xf numFmtId="0" fontId="13" fillId="5" borderId="2" xfId="0" applyFont="1" applyFill="1" applyBorder="1" applyAlignment="1">
      <alignment wrapText="1"/>
    </xf>
    <xf numFmtId="0" fontId="14" fillId="6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5" fillId="5" borderId="2" xfId="0" applyFont="1" applyFill="1" applyBorder="1" applyAlignment="1">
      <alignment vertical="top" wrapText="1"/>
    </xf>
    <xf numFmtId="164" fontId="9" fillId="0" borderId="2" xfId="0" applyNumberFormat="1" applyFont="1" applyBorder="1" applyAlignment="1">
      <alignment horizontal="right"/>
    </xf>
    <xf numFmtId="164" fontId="9" fillId="0" borderId="13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/>
    </xf>
    <xf numFmtId="164" fontId="9" fillId="0" borderId="12" xfId="0" applyNumberFormat="1" applyFont="1" applyBorder="1" applyAlignment="1">
      <alignment horizontal="right"/>
    </xf>
    <xf numFmtId="165" fontId="8" fillId="0" borderId="0" xfId="0" applyNumberFormat="1" applyFont="1"/>
    <xf numFmtId="43" fontId="8" fillId="0" borderId="0" xfId="0" applyNumberFormat="1" applyFont="1"/>
    <xf numFmtId="164" fontId="9" fillId="7" borderId="2" xfId="0" applyNumberFormat="1" applyFont="1" applyFill="1" applyBorder="1" applyAlignment="1">
      <alignment horizontal="right"/>
    </xf>
    <xf numFmtId="164" fontId="9" fillId="7" borderId="3" xfId="0" applyNumberFormat="1" applyFont="1" applyFill="1" applyBorder="1" applyAlignment="1">
      <alignment horizontal="right"/>
    </xf>
    <xf numFmtId="164" fontId="9" fillId="7" borderId="11" xfId="0" applyNumberFormat="1" applyFont="1" applyFill="1" applyBorder="1" applyAlignment="1">
      <alignment horizontal="right"/>
    </xf>
    <xf numFmtId="164" fontId="9" fillId="7" borderId="12" xfId="0" applyNumberFormat="1" applyFont="1" applyFill="1" applyBorder="1" applyAlignment="1">
      <alignment horizontal="right"/>
    </xf>
    <xf numFmtId="0" fontId="4" fillId="8" borderId="1" xfId="0" applyFont="1" applyFill="1" applyBorder="1"/>
    <xf numFmtId="166" fontId="8" fillId="0" borderId="0" xfId="0" applyNumberFormat="1" applyFont="1"/>
    <xf numFmtId="0" fontId="13" fillId="9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horizontal="center"/>
    </xf>
    <xf numFmtId="164" fontId="9" fillId="9" borderId="2" xfId="0" applyNumberFormat="1" applyFont="1" applyFill="1" applyBorder="1" applyAlignment="1">
      <alignment horizontal="right"/>
    </xf>
    <xf numFmtId="164" fontId="9" fillId="7" borderId="14" xfId="0" applyNumberFormat="1" applyFont="1" applyFill="1" applyBorder="1" applyAlignment="1">
      <alignment horizontal="right"/>
    </xf>
    <xf numFmtId="164" fontId="9" fillId="7" borderId="15" xfId="0" applyNumberFormat="1" applyFont="1" applyFill="1" applyBorder="1" applyAlignment="1">
      <alignment horizontal="right"/>
    </xf>
    <xf numFmtId="164" fontId="9" fillId="7" borderId="16" xfId="0" applyNumberFormat="1" applyFont="1" applyFill="1" applyBorder="1" applyAlignment="1">
      <alignment horizontal="right"/>
    </xf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0" borderId="0" xfId="0" applyFont="1" applyAlignment="1">
      <alignment horizontal="center"/>
    </xf>
    <xf numFmtId="0" fontId="12" fillId="13" borderId="1" xfId="0" applyFont="1" applyFill="1" applyBorder="1"/>
    <xf numFmtId="0" fontId="4" fillId="13" borderId="1" xfId="0" applyFont="1" applyFill="1" applyBorder="1"/>
    <xf numFmtId="0" fontId="3" fillId="9" borderId="1" xfId="0" applyFont="1" applyFill="1" applyBorder="1"/>
    <xf numFmtId="0" fontId="3" fillId="14" borderId="17" xfId="0" applyFont="1" applyFill="1" applyBorder="1" applyAlignment="1">
      <alignment horizontal="right"/>
    </xf>
    <xf numFmtId="0" fontId="3" fillId="14" borderId="18" xfId="0" applyFont="1" applyFill="1" applyBorder="1" applyAlignment="1">
      <alignment horizontal="right"/>
    </xf>
    <xf numFmtId="0" fontId="3" fillId="14" borderId="19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5" fontId="5" fillId="0" borderId="0" xfId="0" applyNumberFormat="1" applyFont="1"/>
    <xf numFmtId="0" fontId="4" fillId="14" borderId="20" xfId="0" applyFont="1" applyFill="1" applyBorder="1"/>
    <xf numFmtId="0" fontId="4" fillId="14" borderId="1" xfId="0" applyFont="1" applyFill="1" applyBorder="1"/>
    <xf numFmtId="0" fontId="4" fillId="14" borderId="21" xfId="0" applyFont="1" applyFill="1" applyBorder="1"/>
    <xf numFmtId="9" fontId="4" fillId="15" borderId="1" xfId="0" applyNumberFormat="1" applyFont="1" applyFill="1" applyBorder="1"/>
    <xf numFmtId="0" fontId="4" fillId="14" borderId="22" xfId="0" applyFont="1" applyFill="1" applyBorder="1"/>
    <xf numFmtId="0" fontId="4" fillId="14" borderId="23" xfId="0" applyFont="1" applyFill="1" applyBorder="1"/>
    <xf numFmtId="0" fontId="4" fillId="14" borderId="24" xfId="0" applyFont="1" applyFill="1" applyBorder="1"/>
    <xf numFmtId="166" fontId="4" fillId="0" borderId="0" xfId="0" applyNumberFormat="1" applyFont="1"/>
    <xf numFmtId="0" fontId="4" fillId="16" borderId="20" xfId="0" applyFont="1" applyFill="1" applyBorder="1"/>
    <xf numFmtId="0" fontId="4" fillId="0" borderId="0" xfId="0" applyFont="1"/>
    <xf numFmtId="0" fontId="4" fillId="17" borderId="1" xfId="0" applyFont="1" applyFill="1" applyBorder="1"/>
    <xf numFmtId="0" fontId="16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7" fontId="5" fillId="0" borderId="0" xfId="1" applyNumberFormat="1" applyFont="1"/>
    <xf numFmtId="0" fontId="0" fillId="18" borderId="0" xfId="0" applyFill="1" applyAlignment="1">
      <alignment horizontal="center" wrapText="1"/>
    </xf>
    <xf numFmtId="0" fontId="0" fillId="18" borderId="0" xfId="0" applyFill="1" applyAlignment="1">
      <alignment horizontal="center"/>
    </xf>
    <xf numFmtId="0" fontId="2" fillId="19" borderId="0" xfId="0" applyFont="1" applyFill="1"/>
    <xf numFmtId="10" fontId="2" fillId="19" borderId="0" xfId="1" applyNumberFormat="1" applyFont="1" applyFill="1"/>
    <xf numFmtId="10" fontId="0" fillId="0" borderId="0" xfId="0" applyNumberFormat="1"/>
    <xf numFmtId="0" fontId="2" fillId="0" borderId="0" xfId="0" applyFont="1" applyFill="1"/>
    <xf numFmtId="10" fontId="2" fillId="0" borderId="0" xfId="1" applyNumberFormat="1" applyFont="1" applyFill="1"/>
    <xf numFmtId="0" fontId="0" fillId="0" borderId="0" xfId="0" applyFill="1"/>
    <xf numFmtId="0" fontId="18" fillId="0" borderId="0" xfId="0" applyFont="1" applyFill="1"/>
    <xf numFmtId="0" fontId="19" fillId="19" borderId="0" xfId="0" applyFont="1" applyFill="1"/>
    <xf numFmtId="10" fontId="20" fillId="0" borderId="0" xfId="0" applyNumberFormat="1" applyFont="1"/>
    <xf numFmtId="0" fontId="21" fillId="0" borderId="0" xfId="0" applyFont="1"/>
    <xf numFmtId="167" fontId="0" fillId="0" borderId="0" xfId="0" applyNumberFormat="1"/>
    <xf numFmtId="10" fontId="0" fillId="0" borderId="0" xfId="1" applyNumberFormat="1" applyFont="1"/>
    <xf numFmtId="0" fontId="2" fillId="0" borderId="1" xfId="2"/>
    <xf numFmtId="10" fontId="0" fillId="0" borderId="1" xfId="3" applyNumberFormat="1" applyFont="1"/>
    <xf numFmtId="0" fontId="18" fillId="19" borderId="1" xfId="2" applyFont="1" applyFill="1"/>
    <xf numFmtId="10" fontId="2" fillId="0" borderId="1" xfId="2" applyNumberFormat="1"/>
    <xf numFmtId="0" fontId="18" fillId="0" borderId="1" xfId="2" applyFont="1"/>
    <xf numFmtId="0" fontId="22" fillId="0" borderId="1" xfId="2" applyFont="1"/>
    <xf numFmtId="0" fontId="23" fillId="0" borderId="0" xfId="4"/>
    <xf numFmtId="0" fontId="21" fillId="20" borderId="0" xfId="0" applyFont="1" applyFill="1"/>
    <xf numFmtId="0" fontId="1" fillId="0" borderId="0" xfId="0" applyFont="1"/>
    <xf numFmtId="0" fontId="1" fillId="0" borderId="1" xfId="0" applyFont="1" applyFill="1" applyBorder="1"/>
    <xf numFmtId="0" fontId="21" fillId="19" borderId="1" xfId="3" applyNumberFormat="1" applyFont="1" applyFill="1"/>
    <xf numFmtId="0" fontId="1" fillId="0" borderId="1" xfId="3" applyNumberFormat="1" applyFont="1"/>
    <xf numFmtId="0" fontId="24" fillId="19" borderId="26" xfId="2" applyFont="1" applyFill="1" applyBorder="1"/>
    <xf numFmtId="0" fontId="2" fillId="21" borderId="25" xfId="2" applyFill="1" applyBorder="1" applyAlignment="1">
      <alignment horizontal="center"/>
    </xf>
    <xf numFmtId="0" fontId="2" fillId="21" borderId="25" xfId="2" applyFill="1" applyBorder="1" applyAlignment="1">
      <alignment horizontal="center" wrapText="1"/>
    </xf>
    <xf numFmtId="11" fontId="5" fillId="0" borderId="0" xfId="0" applyNumberFormat="1" applyFont="1"/>
    <xf numFmtId="11" fontId="4" fillId="0" borderId="0" xfId="0" applyNumberFormat="1" applyFont="1"/>
    <xf numFmtId="0" fontId="2" fillId="0" borderId="1" xfId="2"/>
    <xf numFmtId="0" fontId="18" fillId="0" borderId="1" xfId="2" applyFont="1"/>
    <xf numFmtId="0" fontId="22" fillId="0" borderId="1" xfId="2" applyFont="1"/>
  </cellXfs>
  <cellStyles count="5">
    <cellStyle name="Lien hypertexte" xfId="4" builtinId="8"/>
    <cellStyle name="Normal" xfId="0" builtinId="0"/>
    <cellStyle name="Normal 2" xfId="2"/>
    <cellStyle name="Percent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h, Soyoung" id="{AD6A1E89-5917-B34F-A2AC-70D286565C10}" userId="S::soh14@tufts.edu::3872c03f-cfe5-4293-8c09-24a1aa77830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6-07-17T19:49:24.14" personId="{AD6A1E89-5917-B34F-A2AC-70D286565C10}" id="{57B2FB2A-12B7-E84B-9ACA-C4844C8717F0}">
    <text>guessing that 1.Food and Beverage Industry ~ 15. Other Manufacturing is under Non-Oil and Gas Manufacturing Industry?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ps.go.id/en/statistics-table/2/MTA0IzI=/growth-rate-of-gdp-by-industry--2010-100---percent-.html" TargetMode="External"/><Relationship Id="rId1" Type="http://schemas.openxmlformats.org/officeDocument/2006/relationships/hyperlink" Target="https://www.bps.go.id/en/statistics-table/2/MTA0IzI=/growth-rate-of-gdp-by-industry--2010-100---percent-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7"/>
  <sheetViews>
    <sheetView workbookViewId="0">
      <selection activeCell="B13" sqref="B13:B14"/>
    </sheetView>
  </sheetViews>
  <sheetFormatPr baseColWidth="10" defaultColWidth="14.42578125" defaultRowHeight="15" customHeight="1" x14ac:dyDescent="0.25"/>
  <cols>
    <col min="1" max="1" width="8.85546875" customWidth="1"/>
    <col min="2" max="2" width="77.42578125" customWidth="1"/>
    <col min="3" max="26" width="8.85546875" customWidth="1"/>
  </cols>
  <sheetData>
    <row r="1" spans="1:2" x14ac:dyDescent="0.25">
      <c r="A1" s="1" t="s">
        <v>0</v>
      </c>
      <c r="B1" s="2"/>
    </row>
    <row r="2" spans="1:2" x14ac:dyDescent="0.25">
      <c r="B2" s="2"/>
    </row>
    <row r="3" spans="1:2" x14ac:dyDescent="0.25">
      <c r="A3" s="1" t="s">
        <v>1</v>
      </c>
      <c r="B3" s="3" t="s">
        <v>2</v>
      </c>
    </row>
    <row r="4" spans="1:2" x14ac:dyDescent="0.25">
      <c r="B4" s="4" t="s">
        <v>3</v>
      </c>
    </row>
    <row r="5" spans="1:2" x14ac:dyDescent="0.25">
      <c r="B5" s="2">
        <v>2021</v>
      </c>
    </row>
    <row r="6" spans="1:2" x14ac:dyDescent="0.25">
      <c r="B6" s="4" t="s">
        <v>4</v>
      </c>
    </row>
    <row r="7" spans="1:2" x14ac:dyDescent="0.25">
      <c r="B7" s="5" t="s">
        <v>5</v>
      </c>
    </row>
    <row r="8" spans="1:2" x14ac:dyDescent="0.25">
      <c r="B8" s="4" t="s">
        <v>6</v>
      </c>
    </row>
    <row r="11" spans="1:2" ht="15" customHeight="1" x14ac:dyDescent="0.25">
      <c r="B11" s="96" t="s">
        <v>2536</v>
      </c>
    </row>
    <row r="12" spans="1:2" ht="15" customHeight="1" x14ac:dyDescent="0.25">
      <c r="B12" s="97" t="s">
        <v>2537</v>
      </c>
    </row>
    <row r="13" spans="1:2" ht="15" customHeight="1" x14ac:dyDescent="0.25">
      <c r="B13" s="98" t="s">
        <v>2538</v>
      </c>
    </row>
    <row r="14" spans="1:2" ht="15" customHeight="1" x14ac:dyDescent="0.25">
      <c r="B14" s="95" t="s">
        <v>11</v>
      </c>
    </row>
    <row r="17" spans="1:2" x14ac:dyDescent="0.25">
      <c r="B17" s="3" t="s">
        <v>7</v>
      </c>
    </row>
    <row r="18" spans="1:2" x14ac:dyDescent="0.25">
      <c r="B18" s="2" t="s">
        <v>8</v>
      </c>
    </row>
    <row r="19" spans="1:2" x14ac:dyDescent="0.25">
      <c r="B19" s="2" t="s">
        <v>9</v>
      </c>
    </row>
    <row r="20" spans="1:2" x14ac:dyDescent="0.25">
      <c r="B20" s="2" t="s">
        <v>10</v>
      </c>
    </row>
    <row r="21" spans="1:2" x14ac:dyDescent="0.25">
      <c r="B21" s="6" t="s">
        <v>11</v>
      </c>
    </row>
    <row r="24" spans="1:2" x14ac:dyDescent="0.25">
      <c r="A24" s="1" t="s">
        <v>12</v>
      </c>
      <c r="B24" s="4" t="s">
        <v>13</v>
      </c>
    </row>
    <row r="25" spans="1:2" x14ac:dyDescent="0.25">
      <c r="B25" s="4" t="s">
        <v>14</v>
      </c>
    </row>
    <row r="27" spans="1:2" x14ac:dyDescent="0.25">
      <c r="B27" s="4" t="s">
        <v>15</v>
      </c>
    </row>
    <row r="28" spans="1:2" ht="15.75" customHeight="1" x14ac:dyDescent="0.25"/>
    <row r="29" spans="1:2" ht="15.75" customHeight="1" x14ac:dyDescent="0.25"/>
    <row r="30" spans="1:2" ht="15.75" customHeight="1" x14ac:dyDescent="0.25">
      <c r="B30" s="2"/>
    </row>
    <row r="31" spans="1:2" ht="15.75" customHeight="1" x14ac:dyDescent="0.25">
      <c r="B31" s="2"/>
    </row>
    <row r="32" spans="1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2:2" ht="15.75" customHeight="1" x14ac:dyDescent="0.25"/>
    <row r="66" spans="2:2" ht="15.75" customHeight="1" x14ac:dyDescent="0.25"/>
    <row r="67" spans="2:2" ht="15.75" customHeight="1" x14ac:dyDescent="0.25"/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  <row r="1001" spans="2:2" ht="15.75" customHeight="1" x14ac:dyDescent="0.25">
      <c r="B1001" s="2"/>
    </row>
    <row r="1002" spans="2:2" ht="15.75" customHeight="1" x14ac:dyDescent="0.25">
      <c r="B1002" s="2"/>
    </row>
    <row r="1003" spans="2:2" ht="15.75" customHeight="1" x14ac:dyDescent="0.25">
      <c r="B1003" s="2"/>
    </row>
    <row r="1004" spans="2:2" ht="15.75" customHeight="1" x14ac:dyDescent="0.25">
      <c r="B1004" s="2"/>
    </row>
    <row r="1005" spans="2:2" ht="15.75" customHeight="1" x14ac:dyDescent="0.25">
      <c r="B1005" s="2"/>
    </row>
    <row r="1006" spans="2:2" ht="15.75" customHeight="1" x14ac:dyDescent="0.25">
      <c r="B1006" s="2"/>
    </row>
    <row r="1007" spans="2:2" ht="15.75" customHeight="1" x14ac:dyDescent="0.25">
      <c r="B1007" s="2"/>
    </row>
  </sheetData>
  <hyperlinks>
    <hyperlink ref="B21" r:id="rId1"/>
    <hyperlink ref="B14" r:id="rId2"/>
  </hyperlinks>
  <pageMargins left="0.7" right="0.7" top="0.75" bottom="0.75" header="0" footer="0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topLeftCell="A2" workbookViewId="0"/>
  </sheetViews>
  <sheetFormatPr baseColWidth="10" defaultColWidth="14.42578125" defaultRowHeight="15" customHeight="1" x14ac:dyDescent="0.25"/>
  <cols>
    <col min="1" max="1" width="16.85546875" customWidth="1"/>
    <col min="2" max="2" width="27.42578125" customWidth="1"/>
    <col min="3" max="3" width="2.42578125" customWidth="1"/>
    <col min="4" max="4" width="9.28515625" customWidth="1"/>
    <col min="5" max="12" width="9.28515625" hidden="1" customWidth="1"/>
    <col min="13" max="14" width="9.28515625" customWidth="1"/>
    <col min="15" max="27" width="10" customWidth="1"/>
    <col min="28" max="28" width="18.85546875" customWidth="1"/>
    <col min="29" max="29" width="11.42578125" customWidth="1"/>
    <col min="30" max="30" width="11.7109375" customWidth="1"/>
    <col min="31" max="33" width="9.140625" customWidth="1"/>
    <col min="34" max="34" width="15" customWidth="1"/>
  </cols>
  <sheetData>
    <row r="1" spans="1:34" ht="12.75" hidden="1" customHeight="1" x14ac:dyDescent="0.25">
      <c r="A1" s="7"/>
      <c r="B1" s="8" t="e">
        <f ca="1">DotStatQuery(C1)</f>
        <v>#NAME?</v>
      </c>
      <c r="C1" s="8" t="s">
        <v>16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12.75" customHeight="1" x14ac:dyDescent="0.25">
      <c r="A2" s="7"/>
      <c r="B2" s="4" t="s">
        <v>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ht="12.75" customHeight="1" x14ac:dyDescent="0.25">
      <c r="A3" s="7"/>
      <c r="B3" s="9" t="s">
        <v>18</v>
      </c>
      <c r="C3" s="10"/>
      <c r="D3" s="4" t="s">
        <v>19</v>
      </c>
      <c r="M3" s="11">
        <v>1</v>
      </c>
      <c r="N3" s="12">
        <v>2</v>
      </c>
      <c r="O3" s="12">
        <v>3</v>
      </c>
      <c r="P3" s="12">
        <v>4</v>
      </c>
      <c r="Q3" s="12">
        <v>5</v>
      </c>
      <c r="R3" s="12">
        <v>6</v>
      </c>
      <c r="S3" s="12">
        <v>7</v>
      </c>
      <c r="T3" s="12">
        <v>8</v>
      </c>
      <c r="U3" s="12">
        <v>9</v>
      </c>
      <c r="V3" s="12">
        <v>10</v>
      </c>
      <c r="W3" s="12">
        <v>11</v>
      </c>
      <c r="X3" s="12">
        <v>12</v>
      </c>
      <c r="Y3" s="12">
        <v>13</v>
      </c>
      <c r="Z3" s="12">
        <v>14</v>
      </c>
      <c r="AA3" s="13">
        <v>15</v>
      </c>
      <c r="AB3" s="7"/>
      <c r="AC3" s="7"/>
      <c r="AD3" s="7"/>
      <c r="AE3" s="7"/>
      <c r="AF3" s="7"/>
      <c r="AG3" s="7"/>
      <c r="AH3" s="7"/>
    </row>
    <row r="4" spans="1:34" ht="12.75" customHeight="1" x14ac:dyDescent="0.25">
      <c r="A4" s="7"/>
      <c r="B4" s="9" t="s">
        <v>20</v>
      </c>
      <c r="C4" s="10"/>
      <c r="D4" s="14" t="s">
        <v>21</v>
      </c>
      <c r="E4" s="15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7"/>
      <c r="AC4" s="7"/>
      <c r="AD4" s="7"/>
      <c r="AE4" s="7"/>
      <c r="AF4" s="7"/>
      <c r="AG4" s="7"/>
      <c r="AH4" s="7"/>
    </row>
    <row r="5" spans="1:34" ht="12.75" customHeight="1" x14ac:dyDescent="0.25">
      <c r="A5" s="7"/>
      <c r="B5" s="9" t="s">
        <v>22</v>
      </c>
      <c r="C5" s="10"/>
      <c r="D5" s="14" t="s">
        <v>23</v>
      </c>
      <c r="E5" s="15"/>
      <c r="F5" s="15"/>
      <c r="G5" s="15"/>
      <c r="H5" s="15"/>
      <c r="I5" s="15"/>
      <c r="J5" s="15"/>
      <c r="K5" s="15"/>
      <c r="L5" s="15"/>
      <c r="M5" s="16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7"/>
      <c r="AB5" s="7"/>
      <c r="AC5" s="7"/>
      <c r="AD5" s="7"/>
      <c r="AE5" s="7"/>
      <c r="AF5" s="7"/>
      <c r="AG5" s="7"/>
      <c r="AH5" s="7"/>
    </row>
    <row r="6" spans="1:34" ht="12.75" customHeight="1" x14ac:dyDescent="0.25">
      <c r="A6" s="7"/>
      <c r="B6" s="9" t="s">
        <v>24</v>
      </c>
      <c r="C6" s="10"/>
      <c r="D6" s="14" t="s">
        <v>25</v>
      </c>
      <c r="E6" s="15"/>
      <c r="F6" s="15"/>
      <c r="G6" s="15"/>
      <c r="H6" s="15"/>
      <c r="I6" s="15"/>
      <c r="J6" s="15"/>
      <c r="K6" s="15"/>
      <c r="L6" s="15"/>
      <c r="M6" s="16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7"/>
      <c r="AB6" s="7"/>
      <c r="AC6" s="7"/>
      <c r="AD6" s="7"/>
      <c r="AE6" s="7"/>
      <c r="AF6" s="7"/>
      <c r="AG6" s="7"/>
      <c r="AH6" s="7"/>
    </row>
    <row r="7" spans="1:34" ht="12.75" customHeight="1" x14ac:dyDescent="0.25">
      <c r="A7" s="7"/>
      <c r="B7" s="18"/>
      <c r="C7" s="19"/>
      <c r="D7" s="20">
        <v>1995</v>
      </c>
      <c r="E7" s="20">
        <v>1996</v>
      </c>
      <c r="F7" s="20">
        <v>1997</v>
      </c>
      <c r="G7" s="20">
        <v>1998</v>
      </c>
      <c r="H7" s="20">
        <v>1999</v>
      </c>
      <c r="I7" s="20">
        <v>2000</v>
      </c>
      <c r="J7" s="20">
        <v>2001</v>
      </c>
      <c r="K7" s="20">
        <v>2002</v>
      </c>
      <c r="L7" s="21">
        <v>2003</v>
      </c>
      <c r="M7" s="22">
        <v>2004</v>
      </c>
      <c r="N7" s="20">
        <v>2005</v>
      </c>
      <c r="O7" s="20">
        <v>2006</v>
      </c>
      <c r="P7" s="20">
        <v>2007</v>
      </c>
      <c r="Q7" s="20">
        <v>2008</v>
      </c>
      <c r="R7" s="20">
        <v>2009</v>
      </c>
      <c r="S7" s="20">
        <v>2010</v>
      </c>
      <c r="T7" s="20">
        <v>2011</v>
      </c>
      <c r="U7" s="20">
        <v>2012</v>
      </c>
      <c r="V7" s="20">
        <v>2013</v>
      </c>
      <c r="W7" s="20">
        <v>2014</v>
      </c>
      <c r="X7" s="20">
        <v>2015</v>
      </c>
      <c r="Y7" s="20">
        <v>2016</v>
      </c>
      <c r="Z7" s="20">
        <v>2017</v>
      </c>
      <c r="AA7" s="23">
        <v>2018</v>
      </c>
      <c r="AB7" s="24" t="s">
        <v>26</v>
      </c>
      <c r="AC7" s="24" t="s">
        <v>27</v>
      </c>
      <c r="AD7" s="24" t="s">
        <v>28</v>
      </c>
      <c r="AE7" s="24" t="s">
        <v>29</v>
      </c>
      <c r="AF7" s="24"/>
      <c r="AG7" s="7"/>
      <c r="AH7" s="7"/>
    </row>
    <row r="8" spans="1:34" ht="12.75" customHeight="1" x14ac:dyDescent="0.25">
      <c r="A8" s="7"/>
      <c r="B8" s="25"/>
      <c r="C8" s="26" t="s">
        <v>30</v>
      </c>
      <c r="D8" s="26" t="s">
        <v>30</v>
      </c>
      <c r="E8" s="26" t="s">
        <v>30</v>
      </c>
      <c r="F8" s="26" t="s">
        <v>30</v>
      </c>
      <c r="G8" s="26" t="s">
        <v>30</v>
      </c>
      <c r="H8" s="26" t="s">
        <v>30</v>
      </c>
      <c r="I8" s="26" t="s">
        <v>30</v>
      </c>
      <c r="J8" s="26" t="s">
        <v>30</v>
      </c>
      <c r="K8" s="26" t="s">
        <v>30</v>
      </c>
      <c r="L8" s="27" t="s">
        <v>30</v>
      </c>
      <c r="M8" s="28" t="s">
        <v>30</v>
      </c>
      <c r="N8" s="26" t="s">
        <v>30</v>
      </c>
      <c r="O8" s="26" t="s">
        <v>30</v>
      </c>
      <c r="P8" s="26" t="s">
        <v>30</v>
      </c>
      <c r="Q8" s="26" t="s">
        <v>30</v>
      </c>
      <c r="R8" s="26" t="s">
        <v>30</v>
      </c>
      <c r="S8" s="26" t="s">
        <v>30</v>
      </c>
      <c r="T8" s="26" t="s">
        <v>30</v>
      </c>
      <c r="U8" s="26" t="s">
        <v>30</v>
      </c>
      <c r="V8" s="26" t="s">
        <v>30</v>
      </c>
      <c r="W8" s="26" t="s">
        <v>30</v>
      </c>
      <c r="X8" s="26" t="s">
        <v>30</v>
      </c>
      <c r="Y8" s="26" t="s">
        <v>30</v>
      </c>
      <c r="Z8" s="26" t="s">
        <v>30</v>
      </c>
      <c r="AA8" s="29" t="s">
        <v>30</v>
      </c>
      <c r="AB8" s="7"/>
      <c r="AC8" s="7"/>
      <c r="AD8" s="7"/>
      <c r="AE8" s="7"/>
      <c r="AF8" s="7"/>
      <c r="AG8" s="7"/>
      <c r="AH8" s="7"/>
    </row>
    <row r="9" spans="1:34" ht="12.75" customHeight="1" x14ac:dyDescent="0.25">
      <c r="A9" s="4" t="s">
        <v>31</v>
      </c>
      <c r="B9" s="30" t="s">
        <v>32</v>
      </c>
      <c r="C9" s="26" t="s">
        <v>30</v>
      </c>
      <c r="D9" s="31">
        <v>34317.199999999997</v>
      </c>
      <c r="E9" s="31">
        <v>38860.9</v>
      </c>
      <c r="F9" s="31">
        <v>37050.6</v>
      </c>
      <c r="G9" s="31">
        <v>16258.4</v>
      </c>
      <c r="H9" s="31">
        <v>24351.3</v>
      </c>
      <c r="I9" s="31">
        <v>26274.1</v>
      </c>
      <c r="J9" s="31">
        <v>25280.6</v>
      </c>
      <c r="K9" s="31">
        <v>30755.7</v>
      </c>
      <c r="L9" s="32">
        <v>36838.9</v>
      </c>
      <c r="M9" s="33">
        <v>40118.300000000003</v>
      </c>
      <c r="N9" s="31">
        <v>44253.599999999999</v>
      </c>
      <c r="O9" s="31">
        <v>56841.2</v>
      </c>
      <c r="P9" s="31">
        <v>67541.600000000006</v>
      </c>
      <c r="Q9" s="31">
        <v>79095.100000000006</v>
      </c>
      <c r="R9" s="31">
        <v>86180.800000000003</v>
      </c>
      <c r="S9" s="31">
        <v>110613.9</v>
      </c>
      <c r="T9" s="31">
        <v>128256.9</v>
      </c>
      <c r="U9" s="31">
        <v>132003.4</v>
      </c>
      <c r="V9" s="31">
        <v>129858.8</v>
      </c>
      <c r="W9" s="31">
        <v>126113.1</v>
      </c>
      <c r="X9" s="31">
        <v>120681.1</v>
      </c>
      <c r="Y9" s="31">
        <v>128515.9</v>
      </c>
      <c r="Z9" s="31">
        <v>139310.1</v>
      </c>
      <c r="AA9" s="34">
        <v>142726.1</v>
      </c>
      <c r="AB9" s="7"/>
      <c r="AC9" s="7">
        <f t="shared" ref="AC9:AC56" si="0">INTERCEPT(M9:AA9,$M$7:$AA$7)</f>
        <v>-15047329.949285714</v>
      </c>
      <c r="AD9" s="35">
        <f t="shared" ref="AD9:AD56" si="1">SLOPE(M9:AA9,$M$7:$AA$7)</f>
        <v>7533.3021428571428</v>
      </c>
      <c r="AE9" s="36">
        <f t="shared" ref="AE9:AE56" si="2">RSQ(M9:AA9,$M$7:$AA$7)</f>
        <v>0.86881943009175444</v>
      </c>
      <c r="AF9" s="7"/>
      <c r="AG9" s="7"/>
      <c r="AH9" s="7"/>
    </row>
    <row r="10" spans="1:34" ht="12.75" customHeight="1" x14ac:dyDescent="0.25">
      <c r="A10" s="7"/>
      <c r="B10" s="30" t="s">
        <v>33</v>
      </c>
      <c r="C10" s="26" t="s">
        <v>30</v>
      </c>
      <c r="D10" s="37">
        <v>5520.9</v>
      </c>
      <c r="E10" s="37">
        <v>6287.4</v>
      </c>
      <c r="F10" s="37">
        <v>6045.8</v>
      </c>
      <c r="G10" s="37">
        <v>2681.1</v>
      </c>
      <c r="H10" s="37">
        <v>4021.7</v>
      </c>
      <c r="I10" s="37">
        <v>4353.5</v>
      </c>
      <c r="J10" s="37">
        <v>4228</v>
      </c>
      <c r="K10" s="37">
        <v>5167.5</v>
      </c>
      <c r="L10" s="38">
        <v>6212.5</v>
      </c>
      <c r="M10" s="39">
        <v>6774.5</v>
      </c>
      <c r="N10" s="37">
        <v>7533.3</v>
      </c>
      <c r="O10" s="37">
        <v>9578.6</v>
      </c>
      <c r="P10" s="37">
        <v>11357.8</v>
      </c>
      <c r="Q10" s="37">
        <v>13401.8</v>
      </c>
      <c r="R10" s="37">
        <v>14114.8</v>
      </c>
      <c r="S10" s="37">
        <v>18553.900000000001</v>
      </c>
      <c r="T10" s="37">
        <v>21833.200000000001</v>
      </c>
      <c r="U10" s="37">
        <v>22470.9</v>
      </c>
      <c r="V10" s="37">
        <v>22371.7</v>
      </c>
      <c r="W10" s="37">
        <v>22986.5</v>
      </c>
      <c r="X10" s="37">
        <v>23974.1</v>
      </c>
      <c r="Y10" s="37">
        <v>26461.3</v>
      </c>
      <c r="Z10" s="37">
        <v>28943.200000000001</v>
      </c>
      <c r="AA10" s="40">
        <v>30116.1</v>
      </c>
      <c r="AB10" s="7"/>
      <c r="AC10" s="7">
        <f t="shared" si="0"/>
        <v>-3399385.6588095236</v>
      </c>
      <c r="AD10" s="35">
        <f t="shared" si="1"/>
        <v>1699.6935714285712</v>
      </c>
      <c r="AE10" s="36">
        <f t="shared" si="2"/>
        <v>0.97185618932787332</v>
      </c>
      <c r="AF10" s="7"/>
      <c r="AG10" s="7"/>
      <c r="AH10" s="7"/>
    </row>
    <row r="11" spans="1:34" ht="12.75" customHeight="1" x14ac:dyDescent="0.25">
      <c r="A11" s="41" t="s">
        <v>34</v>
      </c>
      <c r="B11" s="30" t="s">
        <v>35</v>
      </c>
      <c r="C11" s="26" t="s">
        <v>30</v>
      </c>
      <c r="D11" s="31">
        <v>22832.6</v>
      </c>
      <c r="E11" s="31">
        <v>26011.3</v>
      </c>
      <c r="F11" s="31">
        <v>25010.7</v>
      </c>
      <c r="G11" s="31">
        <v>11090.8</v>
      </c>
      <c r="H11" s="31">
        <v>16637.099999999999</v>
      </c>
      <c r="I11" s="31">
        <v>18013.5</v>
      </c>
      <c r="J11" s="31">
        <v>17480.3</v>
      </c>
      <c r="K11" s="31">
        <v>21363.1</v>
      </c>
      <c r="L11" s="32">
        <v>25680.6</v>
      </c>
      <c r="M11" s="33">
        <v>28006</v>
      </c>
      <c r="N11" s="31">
        <v>31143.8</v>
      </c>
      <c r="O11" s="31">
        <v>39627.199999999997</v>
      </c>
      <c r="P11" s="31">
        <v>46987.6</v>
      </c>
      <c r="Q11" s="31">
        <v>55453.4</v>
      </c>
      <c r="R11" s="31">
        <v>58389.599999999999</v>
      </c>
      <c r="S11" s="31">
        <v>76742.899999999994</v>
      </c>
      <c r="T11" s="31">
        <v>94749.2</v>
      </c>
      <c r="U11" s="31">
        <v>92616.4</v>
      </c>
      <c r="V11" s="31">
        <v>92534.8</v>
      </c>
      <c r="W11" s="31">
        <v>88476.9</v>
      </c>
      <c r="X11" s="31">
        <v>84666.1</v>
      </c>
      <c r="Y11" s="31">
        <v>90166.399999999994</v>
      </c>
      <c r="Z11" s="31">
        <v>97743.9</v>
      </c>
      <c r="AA11" s="34">
        <v>100140.2</v>
      </c>
      <c r="AB11" s="7"/>
      <c r="AC11" s="7">
        <f t="shared" si="0"/>
        <v>-10638069.760476189</v>
      </c>
      <c r="AD11" s="35">
        <f t="shared" si="1"/>
        <v>5325.6585714285711</v>
      </c>
      <c r="AE11" s="36">
        <f t="shared" si="2"/>
        <v>0.85025292117688767</v>
      </c>
      <c r="AF11" s="7"/>
      <c r="AG11" s="7"/>
      <c r="AH11" s="7"/>
    </row>
    <row r="12" spans="1:34" ht="12.75" customHeight="1" x14ac:dyDescent="0.25">
      <c r="A12" s="4" t="s">
        <v>36</v>
      </c>
      <c r="B12" s="30" t="s">
        <v>37</v>
      </c>
      <c r="C12" s="26" t="s">
        <v>30</v>
      </c>
      <c r="D12" s="37">
        <v>9601</v>
      </c>
      <c r="E12" s="37">
        <v>10869</v>
      </c>
      <c r="F12" s="37">
        <v>10420.200000000001</v>
      </c>
      <c r="G12" s="37">
        <v>4557</v>
      </c>
      <c r="H12" s="37">
        <v>6788</v>
      </c>
      <c r="I12" s="37">
        <v>7545.8</v>
      </c>
      <c r="J12" s="37">
        <v>6936.4</v>
      </c>
      <c r="K12" s="37">
        <v>7835.3</v>
      </c>
      <c r="L12" s="38">
        <v>9418.7999999999993</v>
      </c>
      <c r="M12" s="39">
        <v>10271.700000000001</v>
      </c>
      <c r="N12" s="37">
        <v>12560.1</v>
      </c>
      <c r="O12" s="37">
        <v>15919</v>
      </c>
      <c r="P12" s="37">
        <v>18625.3</v>
      </c>
      <c r="Q12" s="37">
        <v>21877.200000000001</v>
      </c>
      <c r="R12" s="37">
        <v>22792.9</v>
      </c>
      <c r="S12" s="37">
        <v>30658.7</v>
      </c>
      <c r="T12" s="37">
        <v>35808.1</v>
      </c>
      <c r="U12" s="37">
        <v>36632.699999999997</v>
      </c>
      <c r="V12" s="37">
        <v>36625.699999999997</v>
      </c>
      <c r="W12" s="37">
        <v>35752</v>
      </c>
      <c r="X12" s="37">
        <v>32544.400000000001</v>
      </c>
      <c r="Y12" s="37">
        <v>34801</v>
      </c>
      <c r="Z12" s="37">
        <v>37808.5</v>
      </c>
      <c r="AA12" s="40">
        <v>38835.300000000003</v>
      </c>
      <c r="AB12" s="7"/>
      <c r="AC12" s="7">
        <f t="shared" si="0"/>
        <v>-4114458.61</v>
      </c>
      <c r="AD12" s="35">
        <f t="shared" si="1"/>
        <v>2059.9499999999998</v>
      </c>
      <c r="AE12" s="36">
        <f t="shared" si="2"/>
        <v>0.84353376904463651</v>
      </c>
      <c r="AF12" s="7"/>
      <c r="AG12" s="7"/>
      <c r="AH12" s="7"/>
    </row>
    <row r="13" spans="1:34" ht="12.75" customHeight="1" x14ac:dyDescent="0.25">
      <c r="A13" s="4" t="s">
        <v>38</v>
      </c>
      <c r="B13" s="30" t="s">
        <v>39</v>
      </c>
      <c r="C13" s="26" t="s">
        <v>30</v>
      </c>
      <c r="D13" s="31">
        <v>1352.5</v>
      </c>
      <c r="E13" s="31">
        <v>1528.2</v>
      </c>
      <c r="F13" s="31">
        <v>1470.8</v>
      </c>
      <c r="G13" s="31">
        <v>653.1</v>
      </c>
      <c r="H13" s="31">
        <v>978.7</v>
      </c>
      <c r="I13" s="31">
        <v>1054.5999999999999</v>
      </c>
      <c r="J13" s="31">
        <v>1042.9000000000001</v>
      </c>
      <c r="K13" s="31">
        <v>1276.5</v>
      </c>
      <c r="L13" s="32">
        <v>1538.5</v>
      </c>
      <c r="M13" s="33">
        <v>1674.4</v>
      </c>
      <c r="N13" s="31">
        <v>1860.9</v>
      </c>
      <c r="O13" s="31">
        <v>2328.3000000000002</v>
      </c>
      <c r="P13" s="31">
        <v>2761.2</v>
      </c>
      <c r="Q13" s="31">
        <v>3244.8</v>
      </c>
      <c r="R13" s="31">
        <v>3436.6</v>
      </c>
      <c r="S13" s="31">
        <v>4531</v>
      </c>
      <c r="T13" s="31">
        <v>5763.8</v>
      </c>
      <c r="U13" s="31">
        <v>5936.4</v>
      </c>
      <c r="V13" s="31">
        <v>5844.9</v>
      </c>
      <c r="W13" s="31">
        <v>5680.7</v>
      </c>
      <c r="X13" s="31">
        <v>5435.9</v>
      </c>
      <c r="Y13" s="31">
        <v>5783.8</v>
      </c>
      <c r="Z13" s="31">
        <v>6263.7</v>
      </c>
      <c r="AA13" s="34">
        <v>6417.9</v>
      </c>
      <c r="AB13" s="7"/>
      <c r="AC13" s="7">
        <f t="shared" si="0"/>
        <v>-721846.42869047611</v>
      </c>
      <c r="AD13" s="35">
        <f t="shared" si="1"/>
        <v>361.16892857142852</v>
      </c>
      <c r="AE13" s="36">
        <f t="shared" si="2"/>
        <v>0.87897435225594123</v>
      </c>
      <c r="AF13" s="7"/>
      <c r="AG13" s="7"/>
      <c r="AH13" s="7"/>
    </row>
    <row r="14" spans="1:34" ht="12.75" customHeight="1" x14ac:dyDescent="0.25">
      <c r="A14" s="4" t="s">
        <v>40</v>
      </c>
      <c r="B14" s="30" t="s">
        <v>41</v>
      </c>
      <c r="C14" s="26" t="s">
        <v>30</v>
      </c>
      <c r="D14" s="37">
        <v>36432.699999999997</v>
      </c>
      <c r="E14" s="37">
        <v>40567.5</v>
      </c>
      <c r="F14" s="37">
        <v>39051.5</v>
      </c>
      <c r="G14" s="37">
        <v>17318.7</v>
      </c>
      <c r="H14" s="37">
        <v>25977.599999999999</v>
      </c>
      <c r="I14" s="37">
        <v>27973.8</v>
      </c>
      <c r="J14" s="37">
        <v>26860.400000000001</v>
      </c>
      <c r="K14" s="37">
        <v>32906.199999999997</v>
      </c>
      <c r="L14" s="38">
        <v>39722.400000000001</v>
      </c>
      <c r="M14" s="39">
        <v>43227.5</v>
      </c>
      <c r="N14" s="37">
        <v>47972.5</v>
      </c>
      <c r="O14" s="37">
        <v>63456.6</v>
      </c>
      <c r="P14" s="37">
        <v>75364.5</v>
      </c>
      <c r="Q14" s="37">
        <v>88685.6</v>
      </c>
      <c r="R14" s="37">
        <v>94414.7</v>
      </c>
      <c r="S14" s="37">
        <v>124268.1</v>
      </c>
      <c r="T14" s="37">
        <v>143982.20000000001</v>
      </c>
      <c r="U14" s="37">
        <v>148772.6</v>
      </c>
      <c r="V14" s="37">
        <v>146988.70000000001</v>
      </c>
      <c r="W14" s="37">
        <v>143476.79999999999</v>
      </c>
      <c r="X14" s="37">
        <v>137297.20000000001</v>
      </c>
      <c r="Y14" s="37">
        <v>144220.79999999999</v>
      </c>
      <c r="Z14" s="37">
        <v>156370.9</v>
      </c>
      <c r="AA14" s="40">
        <v>160201.60000000001</v>
      </c>
      <c r="AB14" s="7"/>
      <c r="AC14" s="7">
        <f t="shared" si="0"/>
        <v>-17228765.183571428</v>
      </c>
      <c r="AD14" s="35">
        <f t="shared" si="1"/>
        <v>8624.2392857142859</v>
      </c>
      <c r="AE14" s="36">
        <f t="shared" si="2"/>
        <v>0.8680397463014512</v>
      </c>
      <c r="AF14" s="7"/>
      <c r="AG14" s="7"/>
      <c r="AH14" s="7"/>
    </row>
    <row r="15" spans="1:34" ht="12.75" customHeight="1" x14ac:dyDescent="0.25">
      <c r="A15" s="4" t="s">
        <v>42</v>
      </c>
      <c r="B15" s="30" t="s">
        <v>43</v>
      </c>
      <c r="C15" s="26" t="s">
        <v>30</v>
      </c>
      <c r="D15" s="31">
        <v>11991.1</v>
      </c>
      <c r="E15" s="31">
        <v>14775.2</v>
      </c>
      <c r="F15" s="31">
        <v>14199.3</v>
      </c>
      <c r="G15" s="31">
        <v>7277.8</v>
      </c>
      <c r="H15" s="31">
        <v>9561.6</v>
      </c>
      <c r="I15" s="31">
        <v>10900.8</v>
      </c>
      <c r="J15" s="31">
        <v>10994.6</v>
      </c>
      <c r="K15" s="31">
        <v>12443.6</v>
      </c>
      <c r="L15" s="32">
        <v>14588</v>
      </c>
      <c r="M15" s="33">
        <v>15901.2</v>
      </c>
      <c r="N15" s="31">
        <v>17604.8</v>
      </c>
      <c r="O15" s="31">
        <v>21337.4</v>
      </c>
      <c r="P15" s="31">
        <v>24544.7</v>
      </c>
      <c r="Q15" s="31">
        <v>28529.1</v>
      </c>
      <c r="R15" s="31">
        <v>30423.5</v>
      </c>
      <c r="S15" s="31">
        <v>39542.199999999997</v>
      </c>
      <c r="T15" s="31">
        <v>45611.3</v>
      </c>
      <c r="U15" s="31">
        <v>46754.9</v>
      </c>
      <c r="V15" s="31">
        <v>46294</v>
      </c>
      <c r="W15" s="31">
        <v>45475.9</v>
      </c>
      <c r="X15" s="31">
        <v>44187.9</v>
      </c>
      <c r="Y15" s="31">
        <v>47086</v>
      </c>
      <c r="Z15" s="31">
        <v>50976</v>
      </c>
      <c r="AA15" s="34">
        <v>52239.5</v>
      </c>
      <c r="AB15" s="7"/>
      <c r="AC15" s="7">
        <f t="shared" si="0"/>
        <v>-5361753.5728571443</v>
      </c>
      <c r="AD15" s="35">
        <f t="shared" si="1"/>
        <v>2684.661428571429</v>
      </c>
      <c r="AE15" s="36">
        <f t="shared" si="2"/>
        <v>0.89628503988400088</v>
      </c>
      <c r="AF15" s="7"/>
      <c r="AG15" s="7"/>
      <c r="AH15" s="7"/>
    </row>
    <row r="16" spans="1:34" ht="12.75" customHeight="1" x14ac:dyDescent="0.25">
      <c r="A16" s="4" t="s">
        <v>44</v>
      </c>
      <c r="B16" s="30" t="s">
        <v>45</v>
      </c>
      <c r="C16" s="26" t="s">
        <v>30</v>
      </c>
      <c r="D16" s="37">
        <v>3625.6</v>
      </c>
      <c r="E16" s="37">
        <v>4038.1</v>
      </c>
      <c r="F16" s="37">
        <v>3887.1</v>
      </c>
      <c r="G16" s="37">
        <v>1723.8</v>
      </c>
      <c r="H16" s="37">
        <v>2585.6999999999998</v>
      </c>
      <c r="I16" s="37">
        <v>2784.7</v>
      </c>
      <c r="J16" s="37">
        <v>2676.9</v>
      </c>
      <c r="K16" s="37">
        <v>3279.4</v>
      </c>
      <c r="L16" s="38">
        <v>3958.6</v>
      </c>
      <c r="M16" s="39">
        <v>4308.1000000000004</v>
      </c>
      <c r="N16" s="37">
        <v>4780.8999999999996</v>
      </c>
      <c r="O16" s="37">
        <v>6273</v>
      </c>
      <c r="P16" s="37">
        <v>7450.3</v>
      </c>
      <c r="Q16" s="37">
        <v>8767.6</v>
      </c>
      <c r="R16" s="37">
        <v>9334</v>
      </c>
      <c r="S16" s="37">
        <v>12284.4</v>
      </c>
      <c r="T16" s="37">
        <v>14287.7</v>
      </c>
      <c r="U16" s="37">
        <v>14762</v>
      </c>
      <c r="V16" s="37">
        <v>14583.7</v>
      </c>
      <c r="W16" s="37">
        <v>14233.7</v>
      </c>
      <c r="X16" s="37">
        <v>13620.7</v>
      </c>
      <c r="Y16" s="37">
        <v>14311.9</v>
      </c>
      <c r="Z16" s="37">
        <v>15517.3</v>
      </c>
      <c r="AA16" s="40">
        <v>15897.5</v>
      </c>
      <c r="AB16" s="7"/>
      <c r="AC16" s="7">
        <f t="shared" si="0"/>
        <v>-1710885.4023809524</v>
      </c>
      <c r="AD16" s="35">
        <f t="shared" si="1"/>
        <v>856.41285714285709</v>
      </c>
      <c r="AE16" s="36">
        <f t="shared" si="2"/>
        <v>0.86890221858341188</v>
      </c>
      <c r="AF16" s="7"/>
      <c r="AG16" s="7"/>
      <c r="AH16" s="7"/>
    </row>
    <row r="17" spans="1:34" ht="12.75" customHeight="1" x14ac:dyDescent="0.25">
      <c r="A17" s="4" t="s">
        <v>46</v>
      </c>
      <c r="B17" s="30" t="s">
        <v>47</v>
      </c>
      <c r="C17" s="26" t="s">
        <v>30</v>
      </c>
      <c r="D17" s="31">
        <v>5743</v>
      </c>
      <c r="E17" s="31">
        <v>6391.9</v>
      </c>
      <c r="F17" s="31">
        <v>6153</v>
      </c>
      <c r="G17" s="31">
        <v>2728.6</v>
      </c>
      <c r="H17" s="31">
        <v>4093</v>
      </c>
      <c r="I17" s="31">
        <v>4407.6000000000004</v>
      </c>
      <c r="J17" s="31">
        <v>4240.3</v>
      </c>
      <c r="K17" s="31">
        <v>5194.7</v>
      </c>
      <c r="L17" s="32">
        <v>6270.9</v>
      </c>
      <c r="M17" s="33">
        <v>6824.1</v>
      </c>
      <c r="N17" s="31">
        <v>7573.2</v>
      </c>
      <c r="O17" s="31">
        <v>9926.6</v>
      </c>
      <c r="P17" s="31">
        <v>11789.3</v>
      </c>
      <c r="Q17" s="31">
        <v>13872.7</v>
      </c>
      <c r="R17" s="31">
        <v>14768.8</v>
      </c>
      <c r="S17" s="31">
        <v>19439.5</v>
      </c>
      <c r="T17" s="31">
        <v>23023.599999999999</v>
      </c>
      <c r="U17" s="31">
        <v>23789.1</v>
      </c>
      <c r="V17" s="31">
        <v>23503.4</v>
      </c>
      <c r="W17" s="31">
        <v>22940.6</v>
      </c>
      <c r="X17" s="31">
        <v>21952.5</v>
      </c>
      <c r="Y17" s="31">
        <v>23065.1</v>
      </c>
      <c r="Z17" s="31">
        <v>25005.9</v>
      </c>
      <c r="AA17" s="34">
        <v>25618.799999999999</v>
      </c>
      <c r="AB17" s="7"/>
      <c r="AC17" s="7">
        <f t="shared" si="0"/>
        <v>-2793795.9148809523</v>
      </c>
      <c r="AD17" s="35">
        <f t="shared" si="1"/>
        <v>1398.3103571428571</v>
      </c>
      <c r="AE17" s="36">
        <f t="shared" si="2"/>
        <v>0.87159064648297213</v>
      </c>
      <c r="AF17" s="7"/>
      <c r="AG17" s="7"/>
      <c r="AH17" s="7"/>
    </row>
    <row r="18" spans="1:34" ht="12.75" customHeight="1" x14ac:dyDescent="0.25">
      <c r="A18" s="4" t="s">
        <v>48</v>
      </c>
      <c r="B18" s="30" t="s">
        <v>49</v>
      </c>
      <c r="C18" s="26" t="s">
        <v>30</v>
      </c>
      <c r="D18" s="37">
        <v>19822.400000000001</v>
      </c>
      <c r="E18" s="37">
        <v>21651.599999999999</v>
      </c>
      <c r="F18" s="37">
        <v>20664.099999999999</v>
      </c>
      <c r="G18" s="37">
        <v>9161.2000000000007</v>
      </c>
      <c r="H18" s="37">
        <v>13744.6</v>
      </c>
      <c r="I18" s="37">
        <v>15410.8</v>
      </c>
      <c r="J18" s="37">
        <v>15573.4</v>
      </c>
      <c r="K18" s="37">
        <v>18758.400000000001</v>
      </c>
      <c r="L18" s="38">
        <v>21974.400000000001</v>
      </c>
      <c r="M18" s="39">
        <v>24293.1</v>
      </c>
      <c r="N18" s="37">
        <v>27343.599999999999</v>
      </c>
      <c r="O18" s="37">
        <v>36111.699999999997</v>
      </c>
      <c r="P18" s="37">
        <v>42434.400000000001</v>
      </c>
      <c r="Q18" s="37">
        <v>50934.7</v>
      </c>
      <c r="R18" s="37">
        <v>50299.7</v>
      </c>
      <c r="S18" s="37">
        <v>65477.8</v>
      </c>
      <c r="T18" s="37">
        <v>82684</v>
      </c>
      <c r="U18" s="37">
        <v>83146.5</v>
      </c>
      <c r="V18" s="37">
        <v>79675.899999999994</v>
      </c>
      <c r="W18" s="37">
        <v>74951.399999999994</v>
      </c>
      <c r="X18" s="37">
        <v>71722.399999999994</v>
      </c>
      <c r="Y18" s="37">
        <v>82949.100000000006</v>
      </c>
      <c r="Z18" s="37">
        <v>89846.8</v>
      </c>
      <c r="AA18" s="40">
        <v>92056.9</v>
      </c>
      <c r="AB18" s="7"/>
      <c r="AC18" s="7">
        <f t="shared" si="0"/>
        <v>-9626379.5714285728</v>
      </c>
      <c r="AD18" s="35">
        <f t="shared" si="1"/>
        <v>4818.4857142857145</v>
      </c>
      <c r="AE18" s="36">
        <f t="shared" si="2"/>
        <v>0.86951253264867279</v>
      </c>
      <c r="AF18" s="7"/>
      <c r="AG18" s="7"/>
      <c r="AH18" s="42"/>
    </row>
    <row r="19" spans="1:34" ht="12.75" customHeight="1" x14ac:dyDescent="0.25">
      <c r="A19" s="4" t="s">
        <v>50</v>
      </c>
      <c r="B19" s="30" t="s">
        <v>51</v>
      </c>
      <c r="C19" s="26" t="s">
        <v>30</v>
      </c>
      <c r="D19" s="31">
        <v>9080.7000000000007</v>
      </c>
      <c r="E19" s="31">
        <v>10113.799999999999</v>
      </c>
      <c r="F19" s="31">
        <v>9735.6</v>
      </c>
      <c r="G19" s="31">
        <v>4317.3999999999996</v>
      </c>
      <c r="H19" s="31">
        <v>6476.2</v>
      </c>
      <c r="I19" s="31">
        <v>6974.7</v>
      </c>
      <c r="J19" s="31">
        <v>6704.7</v>
      </c>
      <c r="K19" s="31">
        <v>8213.7000000000007</v>
      </c>
      <c r="L19" s="32">
        <v>9914.9</v>
      </c>
      <c r="M19" s="33">
        <v>10790.1</v>
      </c>
      <c r="N19" s="31">
        <v>11974.4</v>
      </c>
      <c r="O19" s="31">
        <v>15711.5</v>
      </c>
      <c r="P19" s="31">
        <v>18660.2</v>
      </c>
      <c r="Q19" s="31">
        <v>21959.5</v>
      </c>
      <c r="R19" s="31">
        <v>23378.3</v>
      </c>
      <c r="S19" s="31">
        <v>30768</v>
      </c>
      <c r="T19" s="31">
        <v>35785.300000000003</v>
      </c>
      <c r="U19" s="31">
        <v>36973.199999999997</v>
      </c>
      <c r="V19" s="31">
        <v>36526.9</v>
      </c>
      <c r="W19" s="31">
        <v>35650.1</v>
      </c>
      <c r="X19" s="31">
        <v>34114.699999999997</v>
      </c>
      <c r="Y19" s="31">
        <v>35846.1</v>
      </c>
      <c r="Z19" s="31">
        <v>38865</v>
      </c>
      <c r="AA19" s="34">
        <v>39817.199999999997</v>
      </c>
      <c r="AB19" s="7"/>
      <c r="AC19" s="7">
        <f t="shared" si="0"/>
        <v>-4285129.5267857146</v>
      </c>
      <c r="AD19" s="35">
        <f t="shared" si="1"/>
        <v>2144.9946428571429</v>
      </c>
      <c r="AE19" s="36">
        <f t="shared" si="2"/>
        <v>0.86890142334387122</v>
      </c>
      <c r="AF19" s="7"/>
      <c r="AG19" s="7"/>
      <c r="AH19" s="42"/>
    </row>
    <row r="20" spans="1:34" ht="12.75" customHeight="1" x14ac:dyDescent="0.25">
      <c r="A20" s="4" t="s">
        <v>52</v>
      </c>
      <c r="B20" s="30" t="s">
        <v>53</v>
      </c>
      <c r="C20" s="26" t="s">
        <v>30</v>
      </c>
      <c r="D20" s="37">
        <v>1445.2</v>
      </c>
      <c r="E20" s="37">
        <v>1530.7</v>
      </c>
      <c r="F20" s="37">
        <v>1474.9</v>
      </c>
      <c r="G20" s="37">
        <v>655</v>
      </c>
      <c r="H20" s="37">
        <v>981.5</v>
      </c>
      <c r="I20" s="37">
        <v>1052</v>
      </c>
      <c r="J20" s="37">
        <v>788.6</v>
      </c>
      <c r="K20" s="37">
        <v>966.5</v>
      </c>
      <c r="L20" s="38">
        <v>1169.4000000000001</v>
      </c>
      <c r="M20" s="39">
        <v>1270</v>
      </c>
      <c r="N20" s="37">
        <v>1409.1</v>
      </c>
      <c r="O20" s="37">
        <v>2454.1</v>
      </c>
      <c r="P20" s="37">
        <v>2913.3</v>
      </c>
      <c r="Q20" s="37">
        <v>3423.4</v>
      </c>
      <c r="R20" s="37">
        <v>3643.7</v>
      </c>
      <c r="S20" s="37">
        <v>4806.8</v>
      </c>
      <c r="T20" s="37">
        <v>4107.6000000000004</v>
      </c>
      <c r="U20" s="37">
        <v>4247.1000000000004</v>
      </c>
      <c r="V20" s="37">
        <v>4199.6000000000004</v>
      </c>
      <c r="W20" s="37">
        <v>4102</v>
      </c>
      <c r="X20" s="37">
        <v>3925.3</v>
      </c>
      <c r="Y20" s="37">
        <v>4120.8</v>
      </c>
      <c r="Z20" s="37">
        <v>4463.3999999999996</v>
      </c>
      <c r="AA20" s="40">
        <v>4573.2</v>
      </c>
      <c r="AB20" s="7"/>
      <c r="AC20" s="7">
        <f t="shared" si="0"/>
        <v>-401621.96952380956</v>
      </c>
      <c r="AD20" s="35">
        <f t="shared" si="1"/>
        <v>201.4914285714286</v>
      </c>
      <c r="AE20" s="36">
        <f t="shared" si="2"/>
        <v>0.67452397513472528</v>
      </c>
      <c r="AF20" s="7"/>
      <c r="AG20" s="7"/>
      <c r="AH20" s="42"/>
    </row>
    <row r="21" spans="1:34" ht="12.75" customHeight="1" x14ac:dyDescent="0.25">
      <c r="A21" s="4" t="s">
        <v>54</v>
      </c>
      <c r="B21" s="30" t="s">
        <v>55</v>
      </c>
      <c r="C21" s="26" t="s">
        <v>30</v>
      </c>
      <c r="D21" s="31">
        <v>6713.8</v>
      </c>
      <c r="E21" s="31">
        <v>7477.7</v>
      </c>
      <c r="F21" s="31">
        <v>7198</v>
      </c>
      <c r="G21" s="31">
        <v>3192.1</v>
      </c>
      <c r="H21" s="31">
        <v>4788.2</v>
      </c>
      <c r="I21" s="31">
        <v>5156.8</v>
      </c>
      <c r="J21" s="31">
        <v>4957.1000000000004</v>
      </c>
      <c r="K21" s="31">
        <v>6072.8</v>
      </c>
      <c r="L21" s="32">
        <v>7330.5</v>
      </c>
      <c r="M21" s="33">
        <v>7977.6</v>
      </c>
      <c r="N21" s="31">
        <v>8853.2000000000007</v>
      </c>
      <c r="O21" s="31">
        <v>11616.3</v>
      </c>
      <c r="P21" s="31">
        <v>13796.4</v>
      </c>
      <c r="Q21" s="31">
        <v>16235.7</v>
      </c>
      <c r="R21" s="31">
        <v>17284.7</v>
      </c>
      <c r="S21" s="31">
        <v>22748.3</v>
      </c>
      <c r="T21" s="31">
        <v>26457.8</v>
      </c>
      <c r="U21" s="31">
        <v>27336.1</v>
      </c>
      <c r="V21" s="31">
        <v>27006.1</v>
      </c>
      <c r="W21" s="31">
        <v>26357.9</v>
      </c>
      <c r="X21" s="31">
        <v>25222.7</v>
      </c>
      <c r="Y21" s="31">
        <v>26502.799999999999</v>
      </c>
      <c r="Z21" s="31">
        <v>28734.799999999999</v>
      </c>
      <c r="AA21" s="34">
        <v>29438.799999999999</v>
      </c>
      <c r="AB21" s="7"/>
      <c r="AC21" s="7">
        <f t="shared" si="0"/>
        <v>-3168213.4172619041</v>
      </c>
      <c r="AD21" s="35">
        <f t="shared" si="1"/>
        <v>1585.9032142857141</v>
      </c>
      <c r="AE21" s="36">
        <f t="shared" si="2"/>
        <v>0.86890196155731414</v>
      </c>
      <c r="AF21" s="7"/>
      <c r="AG21" s="7"/>
      <c r="AH21" s="7"/>
    </row>
    <row r="22" spans="1:34" ht="12.75" customHeight="1" x14ac:dyDescent="0.25">
      <c r="A22" s="41" t="s">
        <v>56</v>
      </c>
      <c r="B22" s="30" t="s">
        <v>57</v>
      </c>
      <c r="C22" s="26" t="s">
        <v>30</v>
      </c>
      <c r="D22" s="37">
        <v>3746.5</v>
      </c>
      <c r="E22" s="37">
        <v>4172.7</v>
      </c>
      <c r="F22" s="37">
        <v>4016.7</v>
      </c>
      <c r="G22" s="37">
        <v>1781.3</v>
      </c>
      <c r="H22" s="37">
        <v>2671.9</v>
      </c>
      <c r="I22" s="37">
        <v>2877.6</v>
      </c>
      <c r="J22" s="37">
        <v>2766.2</v>
      </c>
      <c r="K22" s="37">
        <v>3388.8</v>
      </c>
      <c r="L22" s="38">
        <v>4090.6</v>
      </c>
      <c r="M22" s="39">
        <v>4451.7</v>
      </c>
      <c r="N22" s="37">
        <v>4940.3</v>
      </c>
      <c r="O22" s="37">
        <v>6482.2</v>
      </c>
      <c r="P22" s="37">
        <v>7698.7</v>
      </c>
      <c r="Q22" s="37">
        <v>9060</v>
      </c>
      <c r="R22" s="37">
        <v>9645.2999999999993</v>
      </c>
      <c r="S22" s="37">
        <v>12694.2</v>
      </c>
      <c r="T22" s="37">
        <v>14764.2</v>
      </c>
      <c r="U22" s="37">
        <v>15254.3</v>
      </c>
      <c r="V22" s="37">
        <v>15070.1</v>
      </c>
      <c r="W22" s="37">
        <v>14708.4</v>
      </c>
      <c r="X22" s="37">
        <v>14074.9</v>
      </c>
      <c r="Y22" s="37">
        <v>14789.3</v>
      </c>
      <c r="Z22" s="37">
        <v>16034.8</v>
      </c>
      <c r="AA22" s="40">
        <v>16427.7</v>
      </c>
      <c r="AB22" s="7"/>
      <c r="AC22" s="7">
        <f t="shared" si="0"/>
        <v>-1767953.6035714292</v>
      </c>
      <c r="AD22" s="35">
        <f t="shared" si="1"/>
        <v>884.97928571428599</v>
      </c>
      <c r="AE22" s="36">
        <f t="shared" si="2"/>
        <v>0.86890125650991223</v>
      </c>
      <c r="AF22" s="7"/>
      <c r="AG22" s="7"/>
      <c r="AH22" s="7"/>
    </row>
    <row r="23" spans="1:34" ht="12.75" customHeight="1" x14ac:dyDescent="0.25">
      <c r="A23" s="41" t="s">
        <v>58</v>
      </c>
      <c r="B23" s="30" t="s">
        <v>59</v>
      </c>
      <c r="C23" s="26" t="s">
        <v>30</v>
      </c>
      <c r="D23" s="31">
        <v>5669.3</v>
      </c>
      <c r="E23" s="31">
        <v>6314.3</v>
      </c>
      <c r="F23" s="31">
        <v>6078.2</v>
      </c>
      <c r="G23" s="31">
        <v>2695.5</v>
      </c>
      <c r="H23" s="31">
        <v>4043.3</v>
      </c>
      <c r="I23" s="31">
        <v>4354.5</v>
      </c>
      <c r="J23" s="31">
        <v>4185.8999999999996</v>
      </c>
      <c r="K23" s="31">
        <v>5430.5</v>
      </c>
      <c r="L23" s="32">
        <v>6190.1</v>
      </c>
      <c r="M23" s="33">
        <v>6804.6</v>
      </c>
      <c r="N23" s="31">
        <v>7475.9</v>
      </c>
      <c r="O23" s="31">
        <v>9809.1</v>
      </c>
      <c r="P23" s="31">
        <v>11650</v>
      </c>
      <c r="Q23" s="31">
        <v>13709.8</v>
      </c>
      <c r="R23" s="31">
        <v>14595.6</v>
      </c>
      <c r="S23" s="31">
        <v>19209.2</v>
      </c>
      <c r="T23" s="31">
        <v>22341.599999999999</v>
      </c>
      <c r="U23" s="31">
        <v>23083.3</v>
      </c>
      <c r="V23" s="31">
        <v>22804.6</v>
      </c>
      <c r="W23" s="31">
        <v>22257.200000000001</v>
      </c>
      <c r="X23" s="31">
        <v>21298.6</v>
      </c>
      <c r="Y23" s="31">
        <v>22379.599999999999</v>
      </c>
      <c r="Z23" s="31">
        <v>24264.3</v>
      </c>
      <c r="AA23" s="34">
        <v>24858.799999999999</v>
      </c>
      <c r="AB23" s="7"/>
      <c r="AC23" s="7">
        <f t="shared" si="0"/>
        <v>-2671878.3807142852</v>
      </c>
      <c r="AD23" s="35">
        <f t="shared" si="1"/>
        <v>1337.4678571428569</v>
      </c>
      <c r="AE23" s="36">
        <f t="shared" si="2"/>
        <v>0.86894470851439143</v>
      </c>
      <c r="AF23" s="7"/>
      <c r="AG23" s="7"/>
      <c r="AH23" s="7"/>
    </row>
    <row r="24" spans="1:34" ht="12.75" customHeight="1" x14ac:dyDescent="0.25">
      <c r="A24" s="4" t="s">
        <v>60</v>
      </c>
      <c r="B24" s="30" t="s">
        <v>61</v>
      </c>
      <c r="C24" s="26" t="s">
        <v>30</v>
      </c>
      <c r="D24" s="37">
        <v>11701</v>
      </c>
      <c r="E24" s="37">
        <v>13032.3</v>
      </c>
      <c r="F24" s="37">
        <v>12545</v>
      </c>
      <c r="G24" s="37">
        <v>5563.3</v>
      </c>
      <c r="H24" s="37">
        <v>8345</v>
      </c>
      <c r="I24" s="37">
        <v>8987.4</v>
      </c>
      <c r="J24" s="37">
        <v>8639.4</v>
      </c>
      <c r="K24" s="37">
        <v>10583.8</v>
      </c>
      <c r="L24" s="38">
        <v>12775.9</v>
      </c>
      <c r="M24" s="39">
        <v>13903.6</v>
      </c>
      <c r="N24" s="37">
        <v>15429.7</v>
      </c>
      <c r="O24" s="37">
        <v>20245.3</v>
      </c>
      <c r="P24" s="37">
        <v>24044.7</v>
      </c>
      <c r="Q24" s="37">
        <v>28296.1</v>
      </c>
      <c r="R24" s="37">
        <v>30124.3</v>
      </c>
      <c r="S24" s="37">
        <v>39646.400000000001</v>
      </c>
      <c r="T24" s="37">
        <v>46111.5</v>
      </c>
      <c r="U24" s="37">
        <v>47642.2</v>
      </c>
      <c r="V24" s="37">
        <v>47067.1</v>
      </c>
      <c r="W24" s="37">
        <v>45937.4</v>
      </c>
      <c r="X24" s="37">
        <v>43958.8</v>
      </c>
      <c r="Y24" s="37">
        <v>46189.8</v>
      </c>
      <c r="Z24" s="37">
        <v>50079.9</v>
      </c>
      <c r="AA24" s="40">
        <v>51306.9</v>
      </c>
      <c r="AB24" s="7"/>
      <c r="AC24" s="7">
        <f t="shared" si="0"/>
        <v>-5521655.8253571447</v>
      </c>
      <c r="AD24" s="35">
        <f t="shared" si="1"/>
        <v>2763.9589285714296</v>
      </c>
      <c r="AE24" s="36">
        <f t="shared" si="2"/>
        <v>0.86890141027686874</v>
      </c>
      <c r="AF24" s="7"/>
      <c r="AG24" s="7"/>
      <c r="AH24" s="7"/>
    </row>
    <row r="25" spans="1:34" ht="12.75" customHeight="1" x14ac:dyDescent="0.25">
      <c r="A25" s="4" t="s">
        <v>62</v>
      </c>
      <c r="B25" s="30" t="s">
        <v>63</v>
      </c>
      <c r="C25" s="26" t="s">
        <v>30</v>
      </c>
      <c r="D25" s="31">
        <v>4387.3</v>
      </c>
      <c r="E25" s="31">
        <v>6525.2</v>
      </c>
      <c r="F25" s="31">
        <v>6284</v>
      </c>
      <c r="G25" s="31">
        <v>4085.1</v>
      </c>
      <c r="H25" s="31">
        <v>4669</v>
      </c>
      <c r="I25" s="31">
        <v>5557.3</v>
      </c>
      <c r="J25" s="31">
        <v>5383</v>
      </c>
      <c r="K25" s="31">
        <v>5505.1</v>
      </c>
      <c r="L25" s="32">
        <v>6488.5</v>
      </c>
      <c r="M25" s="33">
        <v>7053.7</v>
      </c>
      <c r="N25" s="31">
        <v>7830.2</v>
      </c>
      <c r="O25" s="31">
        <v>7814.9</v>
      </c>
      <c r="P25" s="31">
        <v>8923.7000000000007</v>
      </c>
      <c r="Q25" s="31">
        <v>10456.700000000001</v>
      </c>
      <c r="R25" s="31">
        <v>11197.6</v>
      </c>
      <c r="S25" s="31">
        <v>14783.3</v>
      </c>
      <c r="T25" s="31">
        <v>16871.3</v>
      </c>
      <c r="U25" s="31">
        <v>17444.2</v>
      </c>
      <c r="V25" s="31">
        <v>17249</v>
      </c>
      <c r="W25" s="31">
        <v>16848.400000000001</v>
      </c>
      <c r="X25" s="31">
        <v>16122.6</v>
      </c>
      <c r="Y25" s="31">
        <v>16925.400000000001</v>
      </c>
      <c r="Z25" s="31">
        <v>18332.8</v>
      </c>
      <c r="AA25" s="34">
        <v>18783.8</v>
      </c>
      <c r="AB25" s="7"/>
      <c r="AC25" s="7">
        <f t="shared" si="0"/>
        <v>-1806273.9642857143</v>
      </c>
      <c r="AD25" s="35">
        <f t="shared" si="1"/>
        <v>905.04714285714294</v>
      </c>
      <c r="AE25" s="36">
        <f t="shared" si="2"/>
        <v>0.86839938183429322</v>
      </c>
      <c r="AF25" s="7"/>
      <c r="AG25" s="7"/>
      <c r="AH25" s="7"/>
    </row>
    <row r="26" spans="1:34" ht="12.75" customHeight="1" x14ac:dyDescent="0.25">
      <c r="A26" s="4" t="s">
        <v>64</v>
      </c>
      <c r="B26" s="30" t="s">
        <v>65</v>
      </c>
      <c r="C26" s="26" t="s">
        <v>30</v>
      </c>
      <c r="D26" s="37">
        <v>3008.9</v>
      </c>
      <c r="E26" s="37">
        <v>3967.6</v>
      </c>
      <c r="F26" s="37">
        <v>3822.9</v>
      </c>
      <c r="G26" s="37">
        <v>1697.8</v>
      </c>
      <c r="H26" s="37">
        <v>2543.9</v>
      </c>
      <c r="I26" s="37">
        <v>2726.6</v>
      </c>
      <c r="J26" s="37">
        <v>3005.6</v>
      </c>
      <c r="K26" s="37">
        <v>3683.6</v>
      </c>
      <c r="L26" s="38">
        <v>4449.8999999999996</v>
      </c>
      <c r="M26" s="39">
        <v>4837.5</v>
      </c>
      <c r="N26" s="37">
        <v>5370.1</v>
      </c>
      <c r="O26" s="37">
        <v>5109.5</v>
      </c>
      <c r="P26" s="37">
        <v>6065.6</v>
      </c>
      <c r="Q26" s="37">
        <v>7127.7</v>
      </c>
      <c r="R26" s="37">
        <v>7586.4</v>
      </c>
      <c r="S26" s="37">
        <v>10007.799999999999</v>
      </c>
      <c r="T26" s="37">
        <v>13064.5</v>
      </c>
      <c r="U26" s="37">
        <v>13532.1</v>
      </c>
      <c r="V26" s="37">
        <v>13406.4</v>
      </c>
      <c r="W26" s="37">
        <v>13135</v>
      </c>
      <c r="X26" s="37">
        <v>12569.5</v>
      </c>
      <c r="Y26" s="37">
        <v>13067.9</v>
      </c>
      <c r="Z26" s="37">
        <v>14180.9</v>
      </c>
      <c r="AA26" s="40">
        <v>14527</v>
      </c>
      <c r="AB26" s="7"/>
      <c r="AC26" s="7">
        <f t="shared" si="0"/>
        <v>-1567570.5784523806</v>
      </c>
      <c r="AD26" s="35">
        <f t="shared" si="1"/>
        <v>784.58964285714274</v>
      </c>
      <c r="AE26" s="36">
        <f t="shared" si="2"/>
        <v>0.87057132145312899</v>
      </c>
      <c r="AF26" s="7"/>
      <c r="AG26" s="7"/>
      <c r="AH26" s="7"/>
    </row>
    <row r="27" spans="1:34" ht="12.75" customHeight="1" x14ac:dyDescent="0.25">
      <c r="A27" s="4" t="s">
        <v>66</v>
      </c>
      <c r="B27" s="30" t="s">
        <v>67</v>
      </c>
      <c r="C27" s="26" t="s">
        <v>30</v>
      </c>
      <c r="D27" s="31">
        <v>2638.8</v>
      </c>
      <c r="E27" s="31">
        <v>2939</v>
      </c>
      <c r="F27" s="31">
        <v>2829.1</v>
      </c>
      <c r="G27" s="31">
        <v>1254.5999999999999</v>
      </c>
      <c r="H27" s="31">
        <v>1881.9</v>
      </c>
      <c r="I27" s="31">
        <v>2026.8</v>
      </c>
      <c r="J27" s="31">
        <v>1948.3</v>
      </c>
      <c r="K27" s="31">
        <v>2386.8000000000002</v>
      </c>
      <c r="L27" s="32">
        <v>2881.2</v>
      </c>
      <c r="M27" s="33">
        <v>3135.5</v>
      </c>
      <c r="N27" s="31">
        <v>3479.7</v>
      </c>
      <c r="O27" s="31">
        <v>4565.6000000000004</v>
      </c>
      <c r="P27" s="31">
        <v>5422.5</v>
      </c>
      <c r="Q27" s="31">
        <v>6381.3</v>
      </c>
      <c r="R27" s="31">
        <v>6793.5</v>
      </c>
      <c r="S27" s="31">
        <v>8940.9</v>
      </c>
      <c r="T27" s="31">
        <v>10398.9</v>
      </c>
      <c r="U27" s="31">
        <v>10744.1</v>
      </c>
      <c r="V27" s="31">
        <v>10614.4</v>
      </c>
      <c r="W27" s="31">
        <v>10359.700000000001</v>
      </c>
      <c r="X27" s="31">
        <v>9913.5</v>
      </c>
      <c r="Y27" s="31">
        <v>10416.6</v>
      </c>
      <c r="Z27" s="31">
        <v>11293.9</v>
      </c>
      <c r="AA27" s="34">
        <v>11570.6</v>
      </c>
      <c r="AB27" s="7"/>
      <c r="AC27" s="7">
        <f t="shared" si="0"/>
        <v>-1245231.3977380954</v>
      </c>
      <c r="AD27" s="35">
        <f t="shared" si="1"/>
        <v>623.32178571428585</v>
      </c>
      <c r="AE27" s="36">
        <f t="shared" si="2"/>
        <v>0.86890607107033013</v>
      </c>
      <c r="AF27" s="7"/>
      <c r="AG27" s="7"/>
      <c r="AH27" s="7"/>
    </row>
    <row r="28" spans="1:34" ht="12.75" customHeight="1" x14ac:dyDescent="0.25">
      <c r="A28" s="4" t="s">
        <v>68</v>
      </c>
      <c r="B28" s="30" t="s">
        <v>69</v>
      </c>
      <c r="C28" s="26" t="s">
        <v>30</v>
      </c>
      <c r="D28" s="37">
        <v>7461.2</v>
      </c>
      <c r="E28" s="37">
        <v>8310.1</v>
      </c>
      <c r="F28" s="37">
        <v>7999.4</v>
      </c>
      <c r="G28" s="37">
        <v>3547.5</v>
      </c>
      <c r="H28" s="37">
        <v>5321.3</v>
      </c>
      <c r="I28" s="37">
        <v>5730.9</v>
      </c>
      <c r="J28" s="37">
        <v>5509</v>
      </c>
      <c r="K28" s="37">
        <v>6748.9</v>
      </c>
      <c r="L28" s="38">
        <v>8146.7</v>
      </c>
      <c r="M28" s="39">
        <v>8865.7999999999993</v>
      </c>
      <c r="N28" s="37">
        <v>9838.9</v>
      </c>
      <c r="O28" s="37">
        <v>12909.6</v>
      </c>
      <c r="P28" s="37">
        <v>15332.3</v>
      </c>
      <c r="Q28" s="37">
        <v>18043.3</v>
      </c>
      <c r="R28" s="37">
        <v>19209</v>
      </c>
      <c r="S28" s="37">
        <v>25280.9</v>
      </c>
      <c r="T28" s="37">
        <v>29403.4</v>
      </c>
      <c r="U28" s="37">
        <v>30379.5</v>
      </c>
      <c r="V28" s="37">
        <v>30012.7</v>
      </c>
      <c r="W28" s="37">
        <v>29292.400000000001</v>
      </c>
      <c r="X28" s="37">
        <v>28030.7</v>
      </c>
      <c r="Y28" s="37">
        <v>29453.3</v>
      </c>
      <c r="Z28" s="37">
        <v>31933.9</v>
      </c>
      <c r="AA28" s="40">
        <v>32716.3</v>
      </c>
      <c r="AB28" s="7"/>
      <c r="AC28" s="7">
        <f t="shared" si="0"/>
        <v>-3520927.6448809523</v>
      </c>
      <c r="AD28" s="35">
        <f t="shared" si="1"/>
        <v>1762.460357142857</v>
      </c>
      <c r="AE28" s="36">
        <f t="shared" si="2"/>
        <v>0.86890102510984102</v>
      </c>
      <c r="AF28" s="7"/>
      <c r="AG28" s="7"/>
      <c r="AH28" s="7"/>
    </row>
    <row r="29" spans="1:34" ht="12.75" customHeight="1" x14ac:dyDescent="0.25">
      <c r="A29" s="4" t="s">
        <v>70</v>
      </c>
      <c r="B29" s="30" t="s">
        <v>71</v>
      </c>
      <c r="C29" s="26" t="s">
        <v>30</v>
      </c>
      <c r="D29" s="31">
        <v>3922.3</v>
      </c>
      <c r="E29" s="31">
        <v>4717.3</v>
      </c>
      <c r="F29" s="31">
        <v>4542.8999999999996</v>
      </c>
      <c r="G29" s="31">
        <v>2014.2</v>
      </c>
      <c r="H29" s="31">
        <v>3021.9</v>
      </c>
      <c r="I29" s="31">
        <v>3248.2</v>
      </c>
      <c r="J29" s="31">
        <v>3214</v>
      </c>
      <c r="K29" s="31">
        <v>3939.3</v>
      </c>
      <c r="L29" s="32">
        <v>4759.6000000000004</v>
      </c>
      <c r="M29" s="33">
        <v>5173.8</v>
      </c>
      <c r="N29" s="31">
        <v>5742.9</v>
      </c>
      <c r="O29" s="31">
        <v>5574.3</v>
      </c>
      <c r="P29" s="31">
        <v>6617.8</v>
      </c>
      <c r="Q29" s="31">
        <v>7774.3</v>
      </c>
      <c r="R29" s="31">
        <v>8279.7999999999993</v>
      </c>
      <c r="S29" s="31">
        <v>10923.6</v>
      </c>
      <c r="T29" s="31">
        <v>12916.7</v>
      </c>
      <c r="U29" s="31">
        <v>13355.2</v>
      </c>
      <c r="V29" s="31">
        <v>13205.9</v>
      </c>
      <c r="W29" s="31">
        <v>12899.1</v>
      </c>
      <c r="X29" s="31">
        <v>12343.4</v>
      </c>
      <c r="Y29" s="31">
        <v>12958.1</v>
      </c>
      <c r="Z29" s="31">
        <v>14035.6</v>
      </c>
      <c r="AA29" s="34">
        <v>14380.9</v>
      </c>
      <c r="AB29" s="7"/>
      <c r="AC29" s="7">
        <f t="shared" si="0"/>
        <v>-1438121.9798809523</v>
      </c>
      <c r="AD29" s="35">
        <f t="shared" si="1"/>
        <v>720.30535714285702</v>
      </c>
      <c r="AE29" s="36">
        <f t="shared" si="2"/>
        <v>0.87081279511452903</v>
      </c>
      <c r="AF29" s="7"/>
      <c r="AG29" s="7"/>
      <c r="AH29" s="7"/>
    </row>
    <row r="30" spans="1:34" ht="12.75" customHeight="1" x14ac:dyDescent="0.25">
      <c r="A30" s="4" t="s">
        <v>72</v>
      </c>
      <c r="B30" s="30" t="s">
        <v>73</v>
      </c>
      <c r="C30" s="26" t="s">
        <v>30</v>
      </c>
      <c r="D30" s="37">
        <v>2658.9</v>
      </c>
      <c r="E30" s="37">
        <v>2958.4</v>
      </c>
      <c r="F30" s="37">
        <v>2847.9</v>
      </c>
      <c r="G30" s="37">
        <v>1262.9000000000001</v>
      </c>
      <c r="H30" s="37">
        <v>1894.4</v>
      </c>
      <c r="I30" s="37">
        <v>2040</v>
      </c>
      <c r="J30" s="37">
        <v>1963.2</v>
      </c>
      <c r="K30" s="37">
        <v>2405.1</v>
      </c>
      <c r="L30" s="38">
        <v>2903.4</v>
      </c>
      <c r="M30" s="39">
        <v>3159.4</v>
      </c>
      <c r="N30" s="37">
        <v>3506.3</v>
      </c>
      <c r="O30" s="37">
        <v>4593.8</v>
      </c>
      <c r="P30" s="37">
        <v>5455.8</v>
      </c>
      <c r="Q30" s="37">
        <v>6419.7</v>
      </c>
      <c r="R30" s="37">
        <v>6834.5</v>
      </c>
      <c r="S30" s="37">
        <v>8997</v>
      </c>
      <c r="T30" s="37">
        <v>10739.9</v>
      </c>
      <c r="U30" s="37">
        <v>11097.3</v>
      </c>
      <c r="V30" s="37">
        <v>10964.3</v>
      </c>
      <c r="W30" s="37">
        <v>10702</v>
      </c>
      <c r="X30" s="37">
        <v>10241</v>
      </c>
      <c r="Y30" s="37">
        <v>10759.8</v>
      </c>
      <c r="Z30" s="37">
        <v>11664.8</v>
      </c>
      <c r="AA30" s="40">
        <v>11950.7</v>
      </c>
      <c r="AB30" s="7"/>
      <c r="AC30" s="7">
        <f t="shared" si="0"/>
        <v>-1310655.2396428573</v>
      </c>
      <c r="AD30" s="35">
        <f t="shared" si="1"/>
        <v>655.95607142857148</v>
      </c>
      <c r="AE30" s="36">
        <f t="shared" si="2"/>
        <v>0.87260174341593455</v>
      </c>
      <c r="AF30" s="7"/>
      <c r="AG30" s="7"/>
      <c r="AH30" s="7"/>
    </row>
    <row r="31" spans="1:34" ht="12.75" customHeight="1" x14ac:dyDescent="0.25">
      <c r="A31" s="41" t="s">
        <v>74</v>
      </c>
      <c r="B31" s="30" t="s">
        <v>75</v>
      </c>
      <c r="C31" s="26" t="s">
        <v>30</v>
      </c>
      <c r="D31" s="31">
        <v>10090.700000000001</v>
      </c>
      <c r="E31" s="31">
        <v>11491.6</v>
      </c>
      <c r="F31" s="31">
        <v>11050</v>
      </c>
      <c r="G31" s="31">
        <v>4900.3</v>
      </c>
      <c r="H31" s="31">
        <v>7350.6</v>
      </c>
      <c r="I31" s="31">
        <v>7957.1</v>
      </c>
      <c r="J31" s="31">
        <v>7727.7</v>
      </c>
      <c r="K31" s="31">
        <v>9444.7000000000007</v>
      </c>
      <c r="L31" s="32">
        <v>11354.8</v>
      </c>
      <c r="M31" s="33">
        <v>12381.9</v>
      </c>
      <c r="N31" s="31">
        <v>13768.8</v>
      </c>
      <c r="O31" s="31">
        <v>17507.099999999999</v>
      </c>
      <c r="P31" s="31">
        <v>20759.099999999999</v>
      </c>
      <c r="Q31" s="31">
        <v>24494.9</v>
      </c>
      <c r="R31" s="31">
        <v>25798.1</v>
      </c>
      <c r="S31" s="31">
        <v>33911.5</v>
      </c>
      <c r="T31" s="31">
        <v>39905.199999999997</v>
      </c>
      <c r="U31" s="31">
        <v>41070.9</v>
      </c>
      <c r="V31" s="31">
        <v>40403.599999999999</v>
      </c>
      <c r="W31" s="31">
        <v>39238.199999999997</v>
      </c>
      <c r="X31" s="31">
        <v>37548.1</v>
      </c>
      <c r="Y31" s="31">
        <v>39985.800000000003</v>
      </c>
      <c r="Z31" s="31">
        <v>43344.2</v>
      </c>
      <c r="AA31" s="34">
        <v>44407.1</v>
      </c>
      <c r="AB31" s="7"/>
      <c r="AC31" s="7">
        <f t="shared" si="0"/>
        <v>-4721353.4783333335</v>
      </c>
      <c r="AD31" s="35">
        <f t="shared" si="1"/>
        <v>2363.4950000000003</v>
      </c>
      <c r="AE31" s="36">
        <f t="shared" si="2"/>
        <v>0.87134131957278582</v>
      </c>
      <c r="AF31" s="7"/>
      <c r="AG31" s="7"/>
      <c r="AH31" s="7"/>
    </row>
    <row r="32" spans="1:34" ht="12.75" customHeight="1" x14ac:dyDescent="0.25">
      <c r="A32" s="4" t="s">
        <v>76</v>
      </c>
      <c r="B32" s="30" t="s">
        <v>77</v>
      </c>
      <c r="C32" s="26" t="s">
        <v>30</v>
      </c>
      <c r="D32" s="37">
        <v>332.9</v>
      </c>
      <c r="E32" s="37">
        <v>379.1</v>
      </c>
      <c r="F32" s="37">
        <v>364.6</v>
      </c>
      <c r="G32" s="37">
        <v>161.69999999999999</v>
      </c>
      <c r="H32" s="37">
        <v>242.5</v>
      </c>
      <c r="I32" s="37">
        <v>262.5</v>
      </c>
      <c r="J32" s="37">
        <v>255</v>
      </c>
      <c r="K32" s="37">
        <v>335.5</v>
      </c>
      <c r="L32" s="38">
        <v>406.3</v>
      </c>
      <c r="M32" s="39">
        <v>432.8</v>
      </c>
      <c r="N32" s="37">
        <v>470.6</v>
      </c>
      <c r="O32" s="37">
        <v>593.4</v>
      </c>
      <c r="P32" s="37">
        <v>696.3</v>
      </c>
      <c r="Q32" s="37">
        <v>808.2</v>
      </c>
      <c r="R32" s="37">
        <v>851.2</v>
      </c>
      <c r="S32" s="37">
        <v>1118.8</v>
      </c>
      <c r="T32" s="37">
        <v>1316.6</v>
      </c>
      <c r="U32" s="37">
        <v>1355</v>
      </c>
      <c r="V32" s="37">
        <v>1333</v>
      </c>
      <c r="W32" s="37">
        <v>1294.5999999999999</v>
      </c>
      <c r="X32" s="37">
        <v>1238.8</v>
      </c>
      <c r="Y32" s="37">
        <v>1319.2</v>
      </c>
      <c r="Z32" s="37">
        <v>1430.1</v>
      </c>
      <c r="AA32" s="40">
        <v>1465.1</v>
      </c>
      <c r="AB32" s="7"/>
      <c r="AC32" s="7">
        <f t="shared" si="0"/>
        <v>-152944.79654761904</v>
      </c>
      <c r="AD32" s="35">
        <f t="shared" si="1"/>
        <v>76.575357142857143</v>
      </c>
      <c r="AE32" s="36">
        <f t="shared" si="2"/>
        <v>0.87248496033975176</v>
      </c>
      <c r="AF32" s="7"/>
      <c r="AG32" s="7"/>
      <c r="AH32" s="7"/>
    </row>
    <row r="33" spans="1:34" ht="12.75" customHeight="1" x14ac:dyDescent="0.25">
      <c r="A33" s="4" t="s">
        <v>78</v>
      </c>
      <c r="B33" s="30" t="s">
        <v>79</v>
      </c>
      <c r="C33" s="26" t="s">
        <v>30</v>
      </c>
      <c r="D33" s="31">
        <v>58696.4</v>
      </c>
      <c r="E33" s="31">
        <v>66845.3</v>
      </c>
      <c r="F33" s="31">
        <v>64276.5</v>
      </c>
      <c r="G33" s="31">
        <v>28504.5</v>
      </c>
      <c r="H33" s="31">
        <v>42757.2</v>
      </c>
      <c r="I33" s="31">
        <v>46285.4</v>
      </c>
      <c r="J33" s="31">
        <v>44950.8</v>
      </c>
      <c r="K33" s="31">
        <v>54938.8</v>
      </c>
      <c r="L33" s="32">
        <v>66049.2</v>
      </c>
      <c r="M33" s="33">
        <v>72023.8</v>
      </c>
      <c r="N33" s="31">
        <v>80091.399999999994</v>
      </c>
      <c r="O33" s="31">
        <v>101836.4</v>
      </c>
      <c r="P33" s="31">
        <v>120752.7</v>
      </c>
      <c r="Q33" s="31">
        <v>142483.70000000001</v>
      </c>
      <c r="R33" s="31">
        <v>150064.20000000001</v>
      </c>
      <c r="S33" s="31">
        <v>197258.5</v>
      </c>
      <c r="T33" s="31">
        <v>232123</v>
      </c>
      <c r="U33" s="31">
        <v>238903.5</v>
      </c>
      <c r="V33" s="31">
        <v>235022.2</v>
      </c>
      <c r="W33" s="31">
        <v>228243.1</v>
      </c>
      <c r="X33" s="31">
        <v>218412.1</v>
      </c>
      <c r="Y33" s="31">
        <v>232591.8</v>
      </c>
      <c r="Z33" s="31">
        <v>252127.4</v>
      </c>
      <c r="AA33" s="34">
        <v>258309.8</v>
      </c>
      <c r="AB33" s="7"/>
      <c r="AC33" s="7">
        <f t="shared" si="0"/>
        <v>-27463440.152142856</v>
      </c>
      <c r="AD33" s="35">
        <f t="shared" si="1"/>
        <v>13748.11357142857</v>
      </c>
      <c r="AE33" s="36">
        <f t="shared" si="2"/>
        <v>0.87134154339627479</v>
      </c>
      <c r="AF33" s="7"/>
      <c r="AG33" s="7"/>
      <c r="AH33" s="7"/>
    </row>
    <row r="34" spans="1:34" ht="12.75" customHeight="1" x14ac:dyDescent="0.25">
      <c r="A34" s="4" t="s">
        <v>80</v>
      </c>
      <c r="B34" s="30" t="s">
        <v>81</v>
      </c>
      <c r="C34" s="26" t="s">
        <v>30</v>
      </c>
      <c r="D34" s="37">
        <v>44544</v>
      </c>
      <c r="E34" s="37">
        <v>50728.1</v>
      </c>
      <c r="F34" s="37">
        <v>48778.7</v>
      </c>
      <c r="G34" s="37">
        <v>21631.8</v>
      </c>
      <c r="H34" s="37">
        <v>32448</v>
      </c>
      <c r="I34" s="37">
        <v>35125.5</v>
      </c>
      <c r="J34" s="37">
        <v>34112.6</v>
      </c>
      <c r="K34" s="37">
        <v>41692.400000000001</v>
      </c>
      <c r="L34" s="38">
        <v>50124</v>
      </c>
      <c r="M34" s="39">
        <v>54658</v>
      </c>
      <c r="N34" s="37">
        <v>60780.4</v>
      </c>
      <c r="O34" s="37">
        <v>77282.5</v>
      </c>
      <c r="P34" s="37">
        <v>91637.8</v>
      </c>
      <c r="Q34" s="37">
        <v>108129.2</v>
      </c>
      <c r="R34" s="37">
        <v>113881.9</v>
      </c>
      <c r="S34" s="37">
        <v>149697.20000000001</v>
      </c>
      <c r="T34" s="37">
        <v>176155.5</v>
      </c>
      <c r="U34" s="37">
        <v>181301.1</v>
      </c>
      <c r="V34" s="37">
        <v>178355.6</v>
      </c>
      <c r="W34" s="37">
        <v>173211</v>
      </c>
      <c r="X34" s="37">
        <v>165750.39999999999</v>
      </c>
      <c r="Y34" s="37">
        <v>176511.2</v>
      </c>
      <c r="Z34" s="37">
        <v>191336.5</v>
      </c>
      <c r="AA34" s="40">
        <v>196028.3</v>
      </c>
      <c r="AB34" s="7"/>
      <c r="AC34" s="7">
        <f t="shared" si="0"/>
        <v>-20841684.770595238</v>
      </c>
      <c r="AD34" s="35">
        <f t="shared" si="1"/>
        <v>10433.283214285713</v>
      </c>
      <c r="AE34" s="36">
        <f t="shared" si="2"/>
        <v>0.87134132947614573</v>
      </c>
      <c r="AF34" s="7"/>
      <c r="AG34" s="7"/>
      <c r="AH34" s="7"/>
    </row>
    <row r="35" spans="1:34" ht="12.75" customHeight="1" x14ac:dyDescent="0.25">
      <c r="A35" s="4" t="s">
        <v>82</v>
      </c>
      <c r="B35" s="43" t="s">
        <v>83</v>
      </c>
      <c r="C35" s="44"/>
      <c r="D35" s="45">
        <f t="shared" ref="D35:AA35" si="3">SUM(D36:D40)</f>
        <v>18014</v>
      </c>
      <c r="E35" s="45">
        <f t="shared" si="3"/>
        <v>20514.999999999996</v>
      </c>
      <c r="F35" s="45">
        <f t="shared" si="3"/>
        <v>19726.5</v>
      </c>
      <c r="G35" s="45">
        <f t="shared" si="3"/>
        <v>8748.0999999999985</v>
      </c>
      <c r="H35" s="45">
        <f t="shared" si="3"/>
        <v>13122.200000000003</v>
      </c>
      <c r="I35" s="45">
        <f t="shared" si="3"/>
        <v>14205</v>
      </c>
      <c r="J35" s="45">
        <f t="shared" si="3"/>
        <v>13795.5</v>
      </c>
      <c r="K35" s="45">
        <f t="shared" si="3"/>
        <v>16860.899999999998</v>
      </c>
      <c r="L35" s="45">
        <f t="shared" si="3"/>
        <v>20270.600000000002</v>
      </c>
      <c r="M35" s="45">
        <f t="shared" si="3"/>
        <v>22104.2</v>
      </c>
      <c r="N35" s="45">
        <f t="shared" si="3"/>
        <v>24580.2</v>
      </c>
      <c r="O35" s="45">
        <f t="shared" si="3"/>
        <v>31253.7</v>
      </c>
      <c r="P35" s="45">
        <f t="shared" si="3"/>
        <v>37059.1</v>
      </c>
      <c r="Q35" s="45">
        <f t="shared" si="3"/>
        <v>43728.5</v>
      </c>
      <c r="R35" s="45">
        <f t="shared" si="3"/>
        <v>46055</v>
      </c>
      <c r="S35" s="45">
        <f t="shared" si="3"/>
        <v>60539</v>
      </c>
      <c r="T35" s="45">
        <f t="shared" si="3"/>
        <v>71239</v>
      </c>
      <c r="U35" s="45">
        <f t="shared" si="3"/>
        <v>73319.8</v>
      </c>
      <c r="V35" s="45">
        <f t="shared" si="3"/>
        <v>72128.799999999988</v>
      </c>
      <c r="W35" s="45">
        <f t="shared" si="3"/>
        <v>71927.8</v>
      </c>
      <c r="X35" s="45">
        <f t="shared" si="3"/>
        <v>72521.600000000006</v>
      </c>
      <c r="Y35" s="45">
        <f t="shared" si="3"/>
        <v>80821.39999999998</v>
      </c>
      <c r="Z35" s="45">
        <f t="shared" si="3"/>
        <v>91422.2</v>
      </c>
      <c r="AA35" s="45">
        <f t="shared" si="3"/>
        <v>93728.7</v>
      </c>
      <c r="AB35" s="7"/>
      <c r="AC35" s="7">
        <f t="shared" si="0"/>
        <v>-10294556.952261902</v>
      </c>
      <c r="AD35" s="35">
        <f t="shared" si="1"/>
        <v>5148.7082142857134</v>
      </c>
      <c r="AE35" s="36">
        <f t="shared" si="2"/>
        <v>0.95071071927492135</v>
      </c>
      <c r="AF35" s="7"/>
      <c r="AG35" s="7"/>
      <c r="AH35" s="7"/>
    </row>
    <row r="36" spans="1:34" ht="12.75" customHeight="1" x14ac:dyDescent="0.25">
      <c r="A36" s="7"/>
      <c r="B36" s="30" t="s">
        <v>84</v>
      </c>
      <c r="C36" s="26" t="s">
        <v>30</v>
      </c>
      <c r="D36" s="31">
        <v>8988.7999999999993</v>
      </c>
      <c r="E36" s="31">
        <v>10239.799999999999</v>
      </c>
      <c r="F36" s="31">
        <v>9846.2000000000007</v>
      </c>
      <c r="G36" s="31">
        <v>4366.5</v>
      </c>
      <c r="H36" s="31">
        <v>6549.7</v>
      </c>
      <c r="I36" s="31">
        <v>7090.5</v>
      </c>
      <c r="J36" s="31">
        <v>6883.8</v>
      </c>
      <c r="K36" s="31">
        <v>8413.2999999999993</v>
      </c>
      <c r="L36" s="32">
        <v>10114.6</v>
      </c>
      <c r="M36" s="33">
        <v>11029.8</v>
      </c>
      <c r="N36" s="31">
        <v>12265.2</v>
      </c>
      <c r="O36" s="31">
        <v>15597</v>
      </c>
      <c r="P36" s="31">
        <v>18494.099999999999</v>
      </c>
      <c r="Q36" s="31">
        <v>21824.5</v>
      </c>
      <c r="R36" s="31">
        <v>22982.6</v>
      </c>
      <c r="S36" s="31">
        <v>30208.3</v>
      </c>
      <c r="T36" s="31">
        <v>35291.5</v>
      </c>
      <c r="U36" s="31">
        <v>36321.599999999999</v>
      </c>
      <c r="V36" s="31">
        <v>35730.5</v>
      </c>
      <c r="W36" s="31">
        <v>34699.1</v>
      </c>
      <c r="X36" s="31">
        <v>33204.5</v>
      </c>
      <c r="Y36" s="31">
        <v>35361.1</v>
      </c>
      <c r="Z36" s="31">
        <v>38332.300000000003</v>
      </c>
      <c r="AA36" s="34">
        <v>39272.1</v>
      </c>
      <c r="AB36" s="7"/>
      <c r="AC36" s="7">
        <f t="shared" si="0"/>
        <v>-4151920.9486904768</v>
      </c>
      <c r="AD36" s="35">
        <f t="shared" si="1"/>
        <v>2078.5489285714289</v>
      </c>
      <c r="AE36" s="36">
        <f t="shared" si="2"/>
        <v>0.870243435134745</v>
      </c>
      <c r="AF36" s="7"/>
      <c r="AG36" s="7"/>
      <c r="AH36" s="7"/>
    </row>
    <row r="37" spans="1:34" ht="12.75" customHeight="1" x14ac:dyDescent="0.25">
      <c r="A37" s="7"/>
      <c r="B37" s="30" t="s">
        <v>85</v>
      </c>
      <c r="C37" s="26" t="s">
        <v>30</v>
      </c>
      <c r="D37" s="37">
        <v>2751</v>
      </c>
      <c r="E37" s="37">
        <v>3133.8</v>
      </c>
      <c r="F37" s="37">
        <v>3013.4</v>
      </c>
      <c r="G37" s="37">
        <v>1336.3</v>
      </c>
      <c r="H37" s="37">
        <v>2004.5</v>
      </c>
      <c r="I37" s="37">
        <v>2170</v>
      </c>
      <c r="J37" s="37">
        <v>2106.8000000000002</v>
      </c>
      <c r="K37" s="37">
        <v>2574.9</v>
      </c>
      <c r="L37" s="38">
        <v>3095.5</v>
      </c>
      <c r="M37" s="39">
        <v>3375.6</v>
      </c>
      <c r="N37" s="37">
        <v>3753.7</v>
      </c>
      <c r="O37" s="37">
        <v>4773.3999999999996</v>
      </c>
      <c r="P37" s="37">
        <v>5660</v>
      </c>
      <c r="Q37" s="37">
        <v>6679.3</v>
      </c>
      <c r="R37" s="37">
        <v>7033.7</v>
      </c>
      <c r="S37" s="37">
        <v>9245.1</v>
      </c>
      <c r="T37" s="37">
        <v>10800.8</v>
      </c>
      <c r="U37" s="37">
        <v>11116</v>
      </c>
      <c r="V37" s="37">
        <v>10935.2</v>
      </c>
      <c r="W37" s="37">
        <v>10619.5</v>
      </c>
      <c r="X37" s="37">
        <v>10162.1</v>
      </c>
      <c r="Y37" s="37">
        <v>10822.1</v>
      </c>
      <c r="Z37" s="37">
        <v>11731.4</v>
      </c>
      <c r="AA37" s="40">
        <v>12019</v>
      </c>
      <c r="AB37" s="7"/>
      <c r="AC37" s="7">
        <f t="shared" si="0"/>
        <v>-1270675.6366666665</v>
      </c>
      <c r="AD37" s="35">
        <f t="shared" si="1"/>
        <v>636.12999999999988</v>
      </c>
      <c r="AE37" s="36">
        <f t="shared" si="2"/>
        <v>0.87024326139662689</v>
      </c>
      <c r="AF37" s="7"/>
      <c r="AG37" s="7"/>
      <c r="AH37" s="7"/>
    </row>
    <row r="38" spans="1:34" ht="12.75" customHeight="1" x14ac:dyDescent="0.25">
      <c r="A38" s="7"/>
      <c r="B38" s="30" t="s">
        <v>86</v>
      </c>
      <c r="C38" s="26" t="s">
        <v>30</v>
      </c>
      <c r="D38" s="31">
        <v>3689.2</v>
      </c>
      <c r="E38" s="31">
        <v>4202.6000000000004</v>
      </c>
      <c r="F38" s="31">
        <v>4041</v>
      </c>
      <c r="G38" s="31">
        <v>1792.1</v>
      </c>
      <c r="H38" s="31">
        <v>2688.1</v>
      </c>
      <c r="I38" s="31">
        <v>2910.1</v>
      </c>
      <c r="J38" s="31">
        <v>2825.2</v>
      </c>
      <c r="K38" s="31">
        <v>3453</v>
      </c>
      <c r="L38" s="32">
        <v>4151.2</v>
      </c>
      <c r="M38" s="33">
        <v>4526.8</v>
      </c>
      <c r="N38" s="31">
        <v>5033.8</v>
      </c>
      <c r="O38" s="31">
        <v>6401.3</v>
      </c>
      <c r="P38" s="31">
        <v>7590.3</v>
      </c>
      <c r="Q38" s="31">
        <v>8957.2000000000007</v>
      </c>
      <c r="R38" s="31">
        <v>9432.5</v>
      </c>
      <c r="S38" s="31">
        <v>12398.1</v>
      </c>
      <c r="T38" s="31">
        <v>14484.3</v>
      </c>
      <c r="U38" s="31">
        <v>14907</v>
      </c>
      <c r="V38" s="31">
        <v>14664.5</v>
      </c>
      <c r="W38" s="31">
        <v>16120.7</v>
      </c>
      <c r="X38" s="31">
        <v>19118.3</v>
      </c>
      <c r="Y38" s="31">
        <v>23951.599999999999</v>
      </c>
      <c r="Z38" s="31">
        <v>29776.2</v>
      </c>
      <c r="AA38" s="34">
        <v>30571.1</v>
      </c>
      <c r="AB38" s="7"/>
      <c r="AC38" s="7">
        <f t="shared" si="0"/>
        <v>-3570016.8202380952</v>
      </c>
      <c r="AD38" s="35">
        <f t="shared" si="1"/>
        <v>1782.4692857142859</v>
      </c>
      <c r="AE38" s="36">
        <f t="shared" si="2"/>
        <v>0.91870326534638402</v>
      </c>
      <c r="AF38" s="7"/>
      <c r="AG38" s="7"/>
      <c r="AH38" s="7"/>
    </row>
    <row r="39" spans="1:34" ht="12.75" customHeight="1" x14ac:dyDescent="0.25">
      <c r="A39" s="7"/>
      <c r="B39" s="30" t="s">
        <v>87</v>
      </c>
      <c r="C39" s="26" t="s">
        <v>30</v>
      </c>
      <c r="D39" s="37">
        <v>2176.8000000000002</v>
      </c>
      <c r="E39" s="37">
        <v>2479.8000000000002</v>
      </c>
      <c r="F39" s="37">
        <v>2384.4</v>
      </c>
      <c r="G39" s="37">
        <v>1057.4000000000001</v>
      </c>
      <c r="H39" s="37">
        <v>1586.2</v>
      </c>
      <c r="I39" s="37">
        <v>1717.1</v>
      </c>
      <c r="J39" s="37">
        <v>1667.1</v>
      </c>
      <c r="K39" s="37">
        <v>2037.5</v>
      </c>
      <c r="L39" s="38">
        <v>2449.4</v>
      </c>
      <c r="M39" s="39">
        <v>2671.1</v>
      </c>
      <c r="N39" s="37">
        <v>2970.3</v>
      </c>
      <c r="O39" s="37">
        <v>3777.1</v>
      </c>
      <c r="P39" s="37">
        <v>4478.7</v>
      </c>
      <c r="Q39" s="37">
        <v>5285.2</v>
      </c>
      <c r="R39" s="37">
        <v>5565.7</v>
      </c>
      <c r="S39" s="37">
        <v>7315.6</v>
      </c>
      <c r="T39" s="37">
        <v>8546.5</v>
      </c>
      <c r="U39" s="37">
        <v>8796</v>
      </c>
      <c r="V39" s="37">
        <v>8652.9</v>
      </c>
      <c r="W39" s="37">
        <v>8403.1</v>
      </c>
      <c r="X39" s="37">
        <v>8041.1</v>
      </c>
      <c r="Y39" s="37">
        <v>8563.4</v>
      </c>
      <c r="Z39" s="37">
        <v>9282.9</v>
      </c>
      <c r="AA39" s="40">
        <v>9510.5</v>
      </c>
      <c r="AB39" s="7"/>
      <c r="AC39" s="7">
        <f t="shared" si="0"/>
        <v>-1005467.723095238</v>
      </c>
      <c r="AD39" s="35">
        <f t="shared" si="1"/>
        <v>503.36071428571421</v>
      </c>
      <c r="AE39" s="36">
        <f t="shared" si="2"/>
        <v>0.8702414744967798</v>
      </c>
      <c r="AF39" s="7"/>
      <c r="AG39" s="7"/>
      <c r="AH39" s="7"/>
    </row>
    <row r="40" spans="1:34" ht="12.75" customHeight="1" x14ac:dyDescent="0.25">
      <c r="A40" s="7"/>
      <c r="B40" s="30" t="s">
        <v>88</v>
      </c>
      <c r="C40" s="26" t="s">
        <v>30</v>
      </c>
      <c r="D40" s="31">
        <v>408.2</v>
      </c>
      <c r="E40" s="31">
        <v>459</v>
      </c>
      <c r="F40" s="31">
        <v>441.5</v>
      </c>
      <c r="G40" s="31">
        <v>195.8</v>
      </c>
      <c r="H40" s="31">
        <v>293.7</v>
      </c>
      <c r="I40" s="31">
        <v>317.3</v>
      </c>
      <c r="J40" s="31">
        <v>312.60000000000002</v>
      </c>
      <c r="K40" s="31">
        <v>382.2</v>
      </c>
      <c r="L40" s="32">
        <v>459.9</v>
      </c>
      <c r="M40" s="33">
        <v>500.9</v>
      </c>
      <c r="N40" s="31">
        <v>557.20000000000005</v>
      </c>
      <c r="O40" s="31">
        <v>704.9</v>
      </c>
      <c r="P40" s="31">
        <v>836</v>
      </c>
      <c r="Q40" s="31">
        <v>982.3</v>
      </c>
      <c r="R40" s="31">
        <v>1040.5</v>
      </c>
      <c r="S40" s="31">
        <v>1371.9</v>
      </c>
      <c r="T40" s="31">
        <v>2115.9</v>
      </c>
      <c r="U40" s="31">
        <v>2179.1999999999998</v>
      </c>
      <c r="V40" s="31">
        <v>2145.6999999999998</v>
      </c>
      <c r="W40" s="31">
        <v>2085.4</v>
      </c>
      <c r="X40" s="31">
        <v>1995.6</v>
      </c>
      <c r="Y40" s="31">
        <v>2123.1999999999998</v>
      </c>
      <c r="Z40" s="31">
        <v>2299.4</v>
      </c>
      <c r="AA40" s="34">
        <v>2356</v>
      </c>
      <c r="AB40" s="7"/>
      <c r="AC40" s="7">
        <f t="shared" si="0"/>
        <v>-296475.8235714286</v>
      </c>
      <c r="AD40" s="35">
        <f t="shared" si="1"/>
        <v>148.19928571428574</v>
      </c>
      <c r="AE40" s="36">
        <f t="shared" si="2"/>
        <v>0.87605351197424342</v>
      </c>
      <c r="AF40" s="7"/>
      <c r="AG40" s="7"/>
      <c r="AH40" s="7"/>
    </row>
    <row r="41" spans="1:34" ht="12.75" customHeight="1" x14ac:dyDescent="0.25">
      <c r="A41" s="4" t="s">
        <v>89</v>
      </c>
      <c r="B41" s="30" t="s">
        <v>90</v>
      </c>
      <c r="C41" s="26" t="s">
        <v>30</v>
      </c>
      <c r="D41" s="37">
        <v>14355.2</v>
      </c>
      <c r="E41" s="37">
        <v>16348.2</v>
      </c>
      <c r="F41" s="37">
        <v>15719.9</v>
      </c>
      <c r="G41" s="37">
        <v>6971.3</v>
      </c>
      <c r="H41" s="37">
        <v>10457</v>
      </c>
      <c r="I41" s="37">
        <v>11319.9</v>
      </c>
      <c r="J41" s="37">
        <v>10993.5</v>
      </c>
      <c r="K41" s="37">
        <v>13436.2</v>
      </c>
      <c r="L41" s="38">
        <v>16153.5</v>
      </c>
      <c r="M41" s="39">
        <v>17614.7</v>
      </c>
      <c r="N41" s="37">
        <v>19587.7</v>
      </c>
      <c r="O41" s="37">
        <v>24905.8</v>
      </c>
      <c r="P41" s="37">
        <v>29532.1</v>
      </c>
      <c r="Q41" s="37">
        <v>34846.800000000003</v>
      </c>
      <c r="R41" s="37">
        <v>36700.800000000003</v>
      </c>
      <c r="S41" s="37">
        <v>48242.9</v>
      </c>
      <c r="T41" s="37">
        <v>56769.7</v>
      </c>
      <c r="U41" s="37">
        <v>58427.9</v>
      </c>
      <c r="V41" s="37">
        <v>57478.7</v>
      </c>
      <c r="W41" s="37">
        <v>55820.800000000003</v>
      </c>
      <c r="X41" s="37">
        <v>53416.4</v>
      </c>
      <c r="Y41" s="37">
        <v>56884.3</v>
      </c>
      <c r="Z41" s="37">
        <v>61662.1</v>
      </c>
      <c r="AA41" s="40">
        <v>63174.1</v>
      </c>
      <c r="AB41" s="7"/>
      <c r="AC41" s="7">
        <f t="shared" si="0"/>
        <v>-6716657.8289285721</v>
      </c>
      <c r="AD41" s="35">
        <f t="shared" si="1"/>
        <v>3362.3382142857149</v>
      </c>
      <c r="AE41" s="36">
        <f t="shared" si="2"/>
        <v>0.87134170519306708</v>
      </c>
      <c r="AF41" s="7"/>
      <c r="AG41" s="7"/>
      <c r="AH41" s="7"/>
    </row>
    <row r="42" spans="1:34" ht="12.75" customHeight="1" x14ac:dyDescent="0.25">
      <c r="A42" s="4" t="s">
        <v>91</v>
      </c>
      <c r="B42" s="30" t="s">
        <v>92</v>
      </c>
      <c r="C42" s="26" t="s">
        <v>30</v>
      </c>
      <c r="D42" s="31">
        <v>3756</v>
      </c>
      <c r="E42" s="31">
        <v>4461.6000000000004</v>
      </c>
      <c r="F42" s="31">
        <v>4288.5</v>
      </c>
      <c r="G42" s="31">
        <v>1901.6</v>
      </c>
      <c r="H42" s="31">
        <v>2852.6</v>
      </c>
      <c r="I42" s="31">
        <v>3093.6</v>
      </c>
      <c r="J42" s="31">
        <v>2719.5</v>
      </c>
      <c r="K42" s="31">
        <v>3320.1</v>
      </c>
      <c r="L42" s="32">
        <v>3983.8</v>
      </c>
      <c r="M42" s="33">
        <v>4247</v>
      </c>
      <c r="N42" s="31">
        <v>4840.1000000000004</v>
      </c>
      <c r="O42" s="31">
        <v>5778.5</v>
      </c>
      <c r="P42" s="31">
        <v>6854.2</v>
      </c>
      <c r="Q42" s="31">
        <v>8096.6</v>
      </c>
      <c r="R42" s="31">
        <v>8528.9</v>
      </c>
      <c r="S42" s="31">
        <v>11191.4</v>
      </c>
      <c r="T42" s="31">
        <v>12738.5</v>
      </c>
      <c r="U42" s="31">
        <v>13089.1</v>
      </c>
      <c r="V42" s="31">
        <v>12855.8</v>
      </c>
      <c r="W42" s="31">
        <v>12477.4</v>
      </c>
      <c r="X42" s="31">
        <v>11940.1</v>
      </c>
      <c r="Y42" s="31">
        <v>12772.5</v>
      </c>
      <c r="Z42" s="31">
        <v>13839.9</v>
      </c>
      <c r="AA42" s="34">
        <v>14179.9</v>
      </c>
      <c r="AB42" s="7"/>
      <c r="AC42" s="7">
        <f t="shared" si="0"/>
        <v>-1444418.1350000002</v>
      </c>
      <c r="AD42" s="35">
        <f t="shared" si="1"/>
        <v>723.34500000000003</v>
      </c>
      <c r="AE42" s="36">
        <f t="shared" si="2"/>
        <v>0.86758949803327012</v>
      </c>
      <c r="AF42" s="7"/>
      <c r="AG42" s="7"/>
      <c r="AH42" s="7"/>
    </row>
    <row r="43" spans="1:34" ht="12.75" customHeight="1" x14ac:dyDescent="0.25">
      <c r="A43" s="4" t="s">
        <v>93</v>
      </c>
      <c r="B43" s="30" t="s">
        <v>94</v>
      </c>
      <c r="C43" s="26" t="s">
        <v>30</v>
      </c>
      <c r="D43" s="37">
        <v>7189.8</v>
      </c>
      <c r="E43" s="37">
        <v>8429.5</v>
      </c>
      <c r="F43" s="37">
        <v>8106</v>
      </c>
      <c r="G43" s="37">
        <v>3676</v>
      </c>
      <c r="H43" s="37">
        <v>5391.9</v>
      </c>
      <c r="I43" s="37">
        <v>5835.9</v>
      </c>
      <c r="J43" s="37">
        <v>6074.6</v>
      </c>
      <c r="K43" s="37">
        <v>7928.7</v>
      </c>
      <c r="L43" s="38">
        <v>9142.6</v>
      </c>
      <c r="M43" s="39">
        <v>11030.7</v>
      </c>
      <c r="N43" s="37">
        <v>11236.1</v>
      </c>
      <c r="O43" s="37">
        <v>14687.7</v>
      </c>
      <c r="P43" s="37">
        <v>17414</v>
      </c>
      <c r="Q43" s="37">
        <v>20540.400000000001</v>
      </c>
      <c r="R43" s="37">
        <v>21631.9</v>
      </c>
      <c r="S43" s="37">
        <v>28451.7</v>
      </c>
      <c r="T43" s="37">
        <v>32086.2</v>
      </c>
      <c r="U43" s="37">
        <v>33052.300000000003</v>
      </c>
      <c r="V43" s="37">
        <v>32541.7</v>
      </c>
      <c r="W43" s="37">
        <v>31609.1</v>
      </c>
      <c r="X43" s="37">
        <v>30247.5</v>
      </c>
      <c r="Y43" s="37">
        <v>32125.7</v>
      </c>
      <c r="Z43" s="37">
        <v>34841</v>
      </c>
      <c r="AA43" s="40">
        <v>35693.599999999999</v>
      </c>
      <c r="AB43" s="7"/>
      <c r="AC43" s="7">
        <f t="shared" si="0"/>
        <v>-3654461.0028571431</v>
      </c>
      <c r="AD43" s="35">
        <f t="shared" si="1"/>
        <v>1830.0714285714287</v>
      </c>
      <c r="AE43" s="36">
        <f t="shared" si="2"/>
        <v>0.8628370805886223</v>
      </c>
      <c r="AF43" s="7"/>
      <c r="AG43" s="7"/>
      <c r="AH43" s="7"/>
    </row>
    <row r="44" spans="1:34" ht="12.75" customHeight="1" x14ac:dyDescent="0.25">
      <c r="A44" s="4" t="s">
        <v>95</v>
      </c>
      <c r="B44" s="30" t="s">
        <v>96</v>
      </c>
      <c r="C44" s="26" t="s">
        <v>30</v>
      </c>
      <c r="D44" s="31">
        <v>2384.3000000000002</v>
      </c>
      <c r="E44" s="31">
        <v>2289.6</v>
      </c>
      <c r="F44" s="31">
        <v>2202.8000000000002</v>
      </c>
      <c r="G44" s="31">
        <v>978.2</v>
      </c>
      <c r="H44" s="31">
        <v>1465.8</v>
      </c>
      <c r="I44" s="31">
        <v>1582</v>
      </c>
      <c r="J44" s="31">
        <v>1414.3</v>
      </c>
      <c r="K44" s="31">
        <v>1729.3</v>
      </c>
      <c r="L44" s="32">
        <v>2080.4</v>
      </c>
      <c r="M44" s="33">
        <v>2213.3000000000002</v>
      </c>
      <c r="N44" s="31">
        <v>2521</v>
      </c>
      <c r="O44" s="31">
        <v>2661</v>
      </c>
      <c r="P44" s="31">
        <v>3155</v>
      </c>
      <c r="Q44" s="31">
        <v>3721.4</v>
      </c>
      <c r="R44" s="31">
        <v>3919.1</v>
      </c>
      <c r="S44" s="31">
        <v>5154.7</v>
      </c>
      <c r="T44" s="31">
        <v>7890.9</v>
      </c>
      <c r="U44" s="31">
        <v>8114.1</v>
      </c>
      <c r="V44" s="31">
        <v>7976.6</v>
      </c>
      <c r="W44" s="31">
        <v>7748</v>
      </c>
      <c r="X44" s="31">
        <v>7414.2</v>
      </c>
      <c r="Y44" s="31">
        <v>7923.9</v>
      </c>
      <c r="Z44" s="31">
        <v>8577.7000000000007</v>
      </c>
      <c r="AA44" s="34">
        <v>8789.2000000000007</v>
      </c>
      <c r="AB44" s="7"/>
      <c r="AC44" s="7">
        <f t="shared" si="0"/>
        <v>-1063403.8754761906</v>
      </c>
      <c r="AD44" s="35">
        <f t="shared" si="1"/>
        <v>531.70357142857142</v>
      </c>
      <c r="AE44" s="36">
        <f t="shared" si="2"/>
        <v>0.87249470059942902</v>
      </c>
      <c r="AF44" s="7"/>
      <c r="AG44" s="7"/>
      <c r="AH44" s="7"/>
    </row>
    <row r="45" spans="1:34" ht="12.75" customHeight="1" x14ac:dyDescent="0.25">
      <c r="A45" s="4" t="s">
        <v>97</v>
      </c>
      <c r="B45" s="30" t="s">
        <v>98</v>
      </c>
      <c r="C45" s="26" t="s">
        <v>30</v>
      </c>
      <c r="D45" s="37">
        <v>10787.7</v>
      </c>
      <c r="E45" s="37">
        <v>12285.3</v>
      </c>
      <c r="F45" s="37">
        <v>11813.2</v>
      </c>
      <c r="G45" s="37">
        <v>5238.8</v>
      </c>
      <c r="H45" s="37">
        <v>7858.3</v>
      </c>
      <c r="I45" s="37">
        <v>8506.7000000000007</v>
      </c>
      <c r="J45" s="37">
        <v>8261.4</v>
      </c>
      <c r="K45" s="37">
        <v>10097.1</v>
      </c>
      <c r="L45" s="38">
        <v>12139</v>
      </c>
      <c r="M45" s="39">
        <v>13237.1</v>
      </c>
      <c r="N45" s="37">
        <v>14719.8</v>
      </c>
      <c r="O45" s="37">
        <v>18716.3</v>
      </c>
      <c r="P45" s="37">
        <v>22192.9</v>
      </c>
      <c r="Q45" s="37">
        <v>26186.799999999999</v>
      </c>
      <c r="R45" s="37">
        <v>27580</v>
      </c>
      <c r="S45" s="37">
        <v>36253.699999999997</v>
      </c>
      <c r="T45" s="37">
        <v>42661.4</v>
      </c>
      <c r="U45" s="37">
        <v>43907.5</v>
      </c>
      <c r="V45" s="37">
        <v>43194.2</v>
      </c>
      <c r="W45" s="37">
        <v>41948.3</v>
      </c>
      <c r="X45" s="37">
        <v>40141.5</v>
      </c>
      <c r="Y45" s="37">
        <v>44824.9</v>
      </c>
      <c r="Z45" s="37">
        <v>48982.1</v>
      </c>
      <c r="AA45" s="40">
        <v>48486.400000000001</v>
      </c>
      <c r="AB45" s="7"/>
      <c r="AC45" s="7">
        <f t="shared" si="0"/>
        <v>-5286494.424523809</v>
      </c>
      <c r="AD45" s="35">
        <f t="shared" si="1"/>
        <v>2645.7964285714284</v>
      </c>
      <c r="AE45" s="36">
        <f t="shared" si="2"/>
        <v>0.89392419533586043</v>
      </c>
      <c r="AF45" s="7"/>
      <c r="AG45" s="7"/>
      <c r="AH45" s="7"/>
    </row>
    <row r="46" spans="1:34" ht="12.75" customHeight="1" x14ac:dyDescent="0.25">
      <c r="A46" s="4" t="s">
        <v>99</v>
      </c>
      <c r="B46" s="30" t="s">
        <v>100</v>
      </c>
      <c r="C46" s="26" t="s">
        <v>30</v>
      </c>
      <c r="D46" s="31">
        <v>8410.1</v>
      </c>
      <c r="E46" s="31">
        <v>9798.9</v>
      </c>
      <c r="F46" s="31">
        <v>9271.7999999999993</v>
      </c>
      <c r="G46" s="31">
        <v>4062.8</v>
      </c>
      <c r="H46" s="31">
        <v>5995.1</v>
      </c>
      <c r="I46" s="31">
        <v>6425.3</v>
      </c>
      <c r="J46" s="31">
        <v>6238.4</v>
      </c>
      <c r="K46" s="31">
        <v>8040.8</v>
      </c>
      <c r="L46" s="32">
        <v>9343.7999999999993</v>
      </c>
      <c r="M46" s="33">
        <v>9987.7000000000007</v>
      </c>
      <c r="N46" s="31">
        <v>10950.2</v>
      </c>
      <c r="O46" s="31">
        <v>13745</v>
      </c>
      <c r="P46" s="31">
        <v>16082.2</v>
      </c>
      <c r="Q46" s="31">
        <v>18976.400000000001</v>
      </c>
      <c r="R46" s="31">
        <v>19986</v>
      </c>
      <c r="S46" s="31">
        <v>26271.5</v>
      </c>
      <c r="T46" s="31">
        <v>30914.9</v>
      </c>
      <c r="U46" s="31">
        <v>31817.9</v>
      </c>
      <c r="V46" s="31">
        <v>31301</v>
      </c>
      <c r="W46" s="31">
        <v>30398.1</v>
      </c>
      <c r="X46" s="31">
        <v>29088.799999999999</v>
      </c>
      <c r="Y46" s="31">
        <v>30977.3</v>
      </c>
      <c r="Z46" s="31">
        <v>33579.1</v>
      </c>
      <c r="AA46" s="34">
        <v>34402.5</v>
      </c>
      <c r="AB46" s="7"/>
      <c r="AC46" s="7">
        <f t="shared" si="0"/>
        <v>-3618981.7971428563</v>
      </c>
      <c r="AD46" s="35">
        <f t="shared" si="1"/>
        <v>1811.8085714285712</v>
      </c>
      <c r="AE46" s="36">
        <f t="shared" si="2"/>
        <v>0.87210105305725782</v>
      </c>
      <c r="AF46" s="7"/>
      <c r="AG46" s="7"/>
      <c r="AH46" s="7"/>
    </row>
    <row r="47" spans="1:34" ht="12.75" customHeight="1" x14ac:dyDescent="0.25">
      <c r="A47" s="4" t="s">
        <v>101</v>
      </c>
      <c r="B47" s="43" t="s">
        <v>102</v>
      </c>
      <c r="C47" s="44"/>
      <c r="D47" s="45">
        <f t="shared" ref="D47:AA47" si="4">SUM(D48:D49)</f>
        <v>5443.1</v>
      </c>
      <c r="E47" s="45">
        <f t="shared" si="4"/>
        <v>6195</v>
      </c>
      <c r="F47" s="45">
        <f t="shared" si="4"/>
        <v>5957</v>
      </c>
      <c r="G47" s="45">
        <f t="shared" si="4"/>
        <v>2641.8</v>
      </c>
      <c r="H47" s="45">
        <f t="shared" si="4"/>
        <v>3962.7</v>
      </c>
      <c r="I47" s="45">
        <f t="shared" si="4"/>
        <v>4289.6000000000004</v>
      </c>
      <c r="J47" s="45">
        <f t="shared" si="4"/>
        <v>4166</v>
      </c>
      <c r="K47" s="45">
        <f t="shared" si="4"/>
        <v>5091.6000000000004</v>
      </c>
      <c r="L47" s="45">
        <f t="shared" si="4"/>
        <v>6122.6</v>
      </c>
      <c r="M47" s="45">
        <f t="shared" si="4"/>
        <v>6675</v>
      </c>
      <c r="N47" s="45">
        <f t="shared" si="4"/>
        <v>7422.7</v>
      </c>
      <c r="O47" s="45">
        <f t="shared" si="4"/>
        <v>9438</v>
      </c>
      <c r="P47" s="45">
        <f t="shared" si="4"/>
        <v>11193.3</v>
      </c>
      <c r="Q47" s="45">
        <f t="shared" si="4"/>
        <v>13260.599999999999</v>
      </c>
      <c r="R47" s="45">
        <f t="shared" si="4"/>
        <v>14019.099999999999</v>
      </c>
      <c r="S47" s="45">
        <f t="shared" si="4"/>
        <v>18336.900000000001</v>
      </c>
      <c r="T47" s="45">
        <f t="shared" si="4"/>
        <v>21805.699999999997</v>
      </c>
      <c r="U47" s="45">
        <f t="shared" si="4"/>
        <v>22711.8</v>
      </c>
      <c r="V47" s="45">
        <f t="shared" si="4"/>
        <v>22147.9</v>
      </c>
      <c r="W47" s="45">
        <f t="shared" si="4"/>
        <v>21345.9</v>
      </c>
      <c r="X47" s="45">
        <f t="shared" si="4"/>
        <v>20426.2</v>
      </c>
      <c r="Y47" s="45">
        <f t="shared" si="4"/>
        <v>21878.3</v>
      </c>
      <c r="Z47" s="45">
        <f t="shared" si="4"/>
        <v>23759.4</v>
      </c>
      <c r="AA47" s="45">
        <f t="shared" si="4"/>
        <v>24467.5</v>
      </c>
      <c r="AB47" s="7"/>
      <c r="AC47" s="7">
        <f t="shared" si="0"/>
        <v>-2615636.7842857144</v>
      </c>
      <c r="AD47" s="35">
        <f t="shared" si="1"/>
        <v>1309.247142857143</v>
      </c>
      <c r="AE47" s="36">
        <f t="shared" si="2"/>
        <v>0.87109963698105097</v>
      </c>
      <c r="AF47" s="7"/>
      <c r="AG47" s="7"/>
      <c r="AH47" s="7"/>
    </row>
    <row r="48" spans="1:34" ht="12.75" customHeight="1" x14ac:dyDescent="0.25">
      <c r="A48" s="7"/>
      <c r="B48" s="30" t="s">
        <v>103</v>
      </c>
      <c r="C48" s="26" t="s">
        <v>30</v>
      </c>
      <c r="D48" s="37">
        <v>983</v>
      </c>
      <c r="E48" s="37">
        <v>1781.7</v>
      </c>
      <c r="F48" s="37">
        <v>1713.3</v>
      </c>
      <c r="G48" s="37">
        <v>759.8</v>
      </c>
      <c r="H48" s="37">
        <v>1139.7</v>
      </c>
      <c r="I48" s="37">
        <v>1233.7</v>
      </c>
      <c r="J48" s="37">
        <v>1193.9000000000001</v>
      </c>
      <c r="K48" s="37">
        <v>1459.4</v>
      </c>
      <c r="L48" s="38">
        <v>1755</v>
      </c>
      <c r="M48" s="39">
        <v>1913.5</v>
      </c>
      <c r="N48" s="37">
        <v>2127.5</v>
      </c>
      <c r="O48" s="37">
        <v>2169.1</v>
      </c>
      <c r="P48" s="37">
        <v>2574.1999999999998</v>
      </c>
      <c r="Q48" s="37">
        <v>3090.3</v>
      </c>
      <c r="R48" s="37">
        <v>3307.8</v>
      </c>
      <c r="S48" s="37">
        <v>4256.8999999999996</v>
      </c>
      <c r="T48" s="37">
        <v>4180.3999999999996</v>
      </c>
      <c r="U48" s="37">
        <v>4571.7</v>
      </c>
      <c r="V48" s="37">
        <v>4302.5</v>
      </c>
      <c r="W48" s="37">
        <v>4015.2</v>
      </c>
      <c r="X48" s="37">
        <v>3808.2</v>
      </c>
      <c r="Y48" s="37">
        <v>4053.5</v>
      </c>
      <c r="Z48" s="37">
        <v>4342</v>
      </c>
      <c r="AA48" s="40">
        <v>4483.7</v>
      </c>
      <c r="AB48" s="7"/>
      <c r="AC48" s="7">
        <f t="shared" si="0"/>
        <v>-360698.0963095238</v>
      </c>
      <c r="AD48" s="35">
        <f t="shared" si="1"/>
        <v>181.12607142857144</v>
      </c>
      <c r="AE48" s="36">
        <f t="shared" si="2"/>
        <v>0.7423884175651273</v>
      </c>
      <c r="AF48" s="7"/>
      <c r="AG48" s="7"/>
      <c r="AH48" s="7"/>
    </row>
    <row r="49" spans="1:34" ht="12.75" customHeight="1" x14ac:dyDescent="0.25">
      <c r="B49" s="30" t="s">
        <v>104</v>
      </c>
      <c r="C49" s="26" t="s">
        <v>30</v>
      </c>
      <c r="D49" s="31">
        <v>4460.1000000000004</v>
      </c>
      <c r="E49" s="31">
        <v>4413.3</v>
      </c>
      <c r="F49" s="31">
        <v>4243.7</v>
      </c>
      <c r="G49" s="31">
        <v>1882</v>
      </c>
      <c r="H49" s="31">
        <v>2823</v>
      </c>
      <c r="I49" s="31">
        <v>3055.9</v>
      </c>
      <c r="J49" s="31">
        <v>2972.1</v>
      </c>
      <c r="K49" s="31">
        <v>3632.2</v>
      </c>
      <c r="L49" s="32">
        <v>4367.6000000000004</v>
      </c>
      <c r="M49" s="33">
        <v>4761.5</v>
      </c>
      <c r="N49" s="31">
        <v>5295.2</v>
      </c>
      <c r="O49" s="31">
        <v>7268.9</v>
      </c>
      <c r="P49" s="31">
        <v>8619.1</v>
      </c>
      <c r="Q49" s="31">
        <v>10170.299999999999</v>
      </c>
      <c r="R49" s="31">
        <v>10711.3</v>
      </c>
      <c r="S49" s="31">
        <v>14080</v>
      </c>
      <c r="T49" s="31">
        <v>17625.3</v>
      </c>
      <c r="U49" s="31">
        <v>18140.099999999999</v>
      </c>
      <c r="V49" s="31">
        <v>17845.400000000001</v>
      </c>
      <c r="W49" s="31">
        <v>17330.7</v>
      </c>
      <c r="X49" s="31">
        <v>16618</v>
      </c>
      <c r="Y49" s="31">
        <v>17824.8</v>
      </c>
      <c r="Z49" s="31">
        <v>19417.400000000001</v>
      </c>
      <c r="AA49" s="34">
        <v>19983.8</v>
      </c>
      <c r="AB49" s="7"/>
      <c r="AC49" s="7">
        <f t="shared" si="0"/>
        <v>-2254938.6879761899</v>
      </c>
      <c r="AD49" s="35">
        <f t="shared" si="1"/>
        <v>1128.1210714285712</v>
      </c>
      <c r="AE49" s="36">
        <f t="shared" si="2"/>
        <v>0.88546444945238267</v>
      </c>
      <c r="AF49" s="7"/>
      <c r="AG49" s="7"/>
      <c r="AH49" s="7"/>
    </row>
    <row r="50" spans="1:34" ht="12.75" customHeight="1" x14ac:dyDescent="0.25">
      <c r="A50" s="4" t="s">
        <v>105</v>
      </c>
      <c r="B50" s="30" t="s">
        <v>106</v>
      </c>
      <c r="C50" s="26" t="s">
        <v>30</v>
      </c>
      <c r="D50" s="37">
        <v>13646.2</v>
      </c>
      <c r="E50" s="37">
        <v>15540.7</v>
      </c>
      <c r="F50" s="37">
        <v>14943.5</v>
      </c>
      <c r="G50" s="37">
        <v>6626.9</v>
      </c>
      <c r="H50" s="37">
        <v>9940.5</v>
      </c>
      <c r="I50" s="37">
        <v>10760.8</v>
      </c>
      <c r="J50" s="37">
        <v>10450.5</v>
      </c>
      <c r="K50" s="37">
        <v>12772.6</v>
      </c>
      <c r="L50" s="38">
        <v>15355.6</v>
      </c>
      <c r="M50" s="39">
        <v>16744.599999999999</v>
      </c>
      <c r="N50" s="37">
        <v>18620.2</v>
      </c>
      <c r="O50" s="37">
        <v>23675.7</v>
      </c>
      <c r="P50" s="37">
        <v>28073.5</v>
      </c>
      <c r="Q50" s="37">
        <v>33125.599999999999</v>
      </c>
      <c r="R50" s="37">
        <v>34888</v>
      </c>
      <c r="S50" s="37">
        <v>45860.1</v>
      </c>
      <c r="T50" s="37">
        <v>53965.599999999999</v>
      </c>
      <c r="U50" s="37">
        <v>55542</v>
      </c>
      <c r="V50" s="37">
        <v>54639.6</v>
      </c>
      <c r="W50" s="37">
        <v>53063.6</v>
      </c>
      <c r="X50" s="37">
        <v>50778</v>
      </c>
      <c r="Y50" s="37">
        <v>54074.6</v>
      </c>
      <c r="Z50" s="37">
        <v>58616.4</v>
      </c>
      <c r="AA50" s="40">
        <v>60053.7</v>
      </c>
      <c r="AB50" s="7"/>
      <c r="AC50" s="7">
        <f t="shared" si="0"/>
        <v>-6384895.2920238106</v>
      </c>
      <c r="AD50" s="35">
        <f t="shared" si="1"/>
        <v>3196.2589285714289</v>
      </c>
      <c r="AE50" s="36">
        <f t="shared" si="2"/>
        <v>0.8713415813674803</v>
      </c>
      <c r="AF50" s="7"/>
      <c r="AG50" s="7"/>
      <c r="AH50" s="7"/>
    </row>
    <row r="51" spans="1:34" ht="12.75" customHeight="1" x14ac:dyDescent="0.25">
      <c r="A51" s="4" t="s">
        <v>107</v>
      </c>
      <c r="B51" s="30" t="s">
        <v>108</v>
      </c>
      <c r="C51" s="26" t="s">
        <v>30</v>
      </c>
      <c r="D51" s="31">
        <v>10147.700000000001</v>
      </c>
      <c r="E51" s="31">
        <v>11556.5</v>
      </c>
      <c r="F51" s="31">
        <v>11112.4</v>
      </c>
      <c r="G51" s="31">
        <v>4928</v>
      </c>
      <c r="H51" s="31">
        <v>7392.1</v>
      </c>
      <c r="I51" s="31">
        <v>8002</v>
      </c>
      <c r="J51" s="31">
        <v>7771.3</v>
      </c>
      <c r="K51" s="31">
        <v>9498.1</v>
      </c>
      <c r="L51" s="32">
        <v>11418.9</v>
      </c>
      <c r="M51" s="33">
        <v>12451.8</v>
      </c>
      <c r="N51" s="31">
        <v>13846.6</v>
      </c>
      <c r="O51" s="31">
        <v>17605.900000000001</v>
      </c>
      <c r="P51" s="31">
        <v>20876.3</v>
      </c>
      <c r="Q51" s="31">
        <v>24633.200000000001</v>
      </c>
      <c r="R51" s="31">
        <v>25943.8</v>
      </c>
      <c r="S51" s="31">
        <v>34102.9</v>
      </c>
      <c r="T51" s="31">
        <v>40130.5</v>
      </c>
      <c r="U51" s="31">
        <v>41302.699999999997</v>
      </c>
      <c r="V51" s="31">
        <v>40631.699999999997</v>
      </c>
      <c r="W51" s="31">
        <v>39459.699999999997</v>
      </c>
      <c r="X51" s="31">
        <v>37760.1</v>
      </c>
      <c r="Y51" s="31">
        <v>40211.5</v>
      </c>
      <c r="Z51" s="31">
        <v>43588.9</v>
      </c>
      <c r="AA51" s="34">
        <v>44657.8</v>
      </c>
      <c r="AB51" s="7"/>
      <c r="AC51" s="7">
        <f t="shared" si="0"/>
        <v>-4748003.7796428585</v>
      </c>
      <c r="AD51" s="35">
        <f t="shared" si="1"/>
        <v>2376.8360714285718</v>
      </c>
      <c r="AE51" s="36">
        <f t="shared" si="2"/>
        <v>0.8713418373658236</v>
      </c>
      <c r="AF51" s="7"/>
      <c r="AG51" s="7"/>
      <c r="AH51" s="7"/>
    </row>
    <row r="52" spans="1:34" ht="12.75" customHeight="1" x14ac:dyDescent="0.25">
      <c r="A52" s="4" t="s">
        <v>109</v>
      </c>
      <c r="B52" s="30" t="s">
        <v>110</v>
      </c>
      <c r="C52" s="26" t="s">
        <v>30</v>
      </c>
      <c r="D52" s="37">
        <v>4864.7</v>
      </c>
      <c r="E52" s="37">
        <v>5540.1</v>
      </c>
      <c r="F52" s="37">
        <v>5327.2</v>
      </c>
      <c r="G52" s="37">
        <v>2362.4</v>
      </c>
      <c r="H52" s="37">
        <v>3543.7</v>
      </c>
      <c r="I52" s="37">
        <v>3836.1</v>
      </c>
      <c r="J52" s="37">
        <v>3725.5</v>
      </c>
      <c r="K52" s="37">
        <v>4553.3</v>
      </c>
      <c r="L52" s="38">
        <v>5474.1</v>
      </c>
      <c r="M52" s="39">
        <v>5969.3</v>
      </c>
      <c r="N52" s="37">
        <v>6637.9</v>
      </c>
      <c r="O52" s="37">
        <v>8440.1</v>
      </c>
      <c r="P52" s="37">
        <v>10007.9</v>
      </c>
      <c r="Q52" s="37">
        <v>11808.9</v>
      </c>
      <c r="R52" s="37">
        <v>12437.2</v>
      </c>
      <c r="S52" s="37">
        <v>16348.6</v>
      </c>
      <c r="T52" s="37">
        <v>19238.099999999999</v>
      </c>
      <c r="U52" s="37">
        <v>19800.099999999999</v>
      </c>
      <c r="V52" s="37">
        <v>19478.400000000001</v>
      </c>
      <c r="W52" s="37">
        <v>18916.5</v>
      </c>
      <c r="X52" s="37">
        <v>18101.8</v>
      </c>
      <c r="Y52" s="37">
        <v>19277</v>
      </c>
      <c r="Z52" s="37">
        <v>20896</v>
      </c>
      <c r="AA52" s="40">
        <v>21408.400000000001</v>
      </c>
      <c r="AB52" s="7"/>
      <c r="AC52" s="7">
        <f t="shared" si="0"/>
        <v>-2276133.3132142858</v>
      </c>
      <c r="AD52" s="35">
        <f t="shared" si="1"/>
        <v>1139.4253571428571</v>
      </c>
      <c r="AE52" s="36">
        <f t="shared" si="2"/>
        <v>0.87134075083331108</v>
      </c>
      <c r="AF52" s="7"/>
      <c r="AG52" s="7"/>
      <c r="AH52" s="7"/>
    </row>
    <row r="53" spans="1:34" ht="12.75" customHeight="1" x14ac:dyDescent="0.25">
      <c r="A53" s="4" t="s">
        <v>111</v>
      </c>
      <c r="B53" s="43" t="s">
        <v>112</v>
      </c>
      <c r="C53" s="44"/>
      <c r="D53" s="45">
        <f t="shared" ref="D53:AA53" si="5">SUM(D54:D55)</f>
        <v>4726.2</v>
      </c>
      <c r="E53" s="45">
        <f t="shared" si="5"/>
        <v>5438.2000000000007</v>
      </c>
      <c r="F53" s="45">
        <f t="shared" si="5"/>
        <v>5236.6000000000004</v>
      </c>
      <c r="G53" s="45">
        <f t="shared" si="5"/>
        <v>2325.3999999999996</v>
      </c>
      <c r="H53" s="45">
        <f t="shared" si="5"/>
        <v>3492.9</v>
      </c>
      <c r="I53" s="45">
        <f t="shared" si="5"/>
        <v>3785.3</v>
      </c>
      <c r="J53" s="45">
        <f t="shared" si="5"/>
        <v>3634.6000000000004</v>
      </c>
      <c r="K53" s="45">
        <f t="shared" si="5"/>
        <v>4441.6000000000004</v>
      </c>
      <c r="L53" s="45">
        <f t="shared" si="5"/>
        <v>5339.4</v>
      </c>
      <c r="M53" s="45">
        <f t="shared" si="5"/>
        <v>5820.3</v>
      </c>
      <c r="N53" s="45">
        <f t="shared" si="5"/>
        <v>6471</v>
      </c>
      <c r="O53" s="45">
        <f t="shared" si="5"/>
        <v>8002.1</v>
      </c>
      <c r="P53" s="45">
        <f t="shared" si="5"/>
        <v>9485.5999999999985</v>
      </c>
      <c r="Q53" s="45">
        <f t="shared" si="5"/>
        <v>11188.6</v>
      </c>
      <c r="R53" s="45">
        <f t="shared" si="5"/>
        <v>11779.7</v>
      </c>
      <c r="S53" s="45">
        <f t="shared" si="5"/>
        <v>15485</v>
      </c>
      <c r="T53" s="45">
        <f t="shared" si="5"/>
        <v>18947.599999999999</v>
      </c>
      <c r="U53" s="45">
        <f t="shared" si="5"/>
        <v>19500.8</v>
      </c>
      <c r="V53" s="45">
        <f t="shared" si="5"/>
        <v>19173.3</v>
      </c>
      <c r="W53" s="45">
        <f t="shared" si="5"/>
        <v>18613.900000000001</v>
      </c>
      <c r="X53" s="45">
        <f t="shared" si="5"/>
        <v>17811.900000000001</v>
      </c>
      <c r="Y53" s="45">
        <f t="shared" si="5"/>
        <v>18953.2</v>
      </c>
      <c r="Z53" s="45">
        <f t="shared" si="5"/>
        <v>20543.599999999999</v>
      </c>
      <c r="AA53" s="45">
        <f t="shared" si="5"/>
        <v>21047.5</v>
      </c>
      <c r="AB53" s="7"/>
      <c r="AC53" s="7">
        <f t="shared" si="0"/>
        <v>-2284620.1371428575</v>
      </c>
      <c r="AD53" s="35">
        <f t="shared" si="1"/>
        <v>1143.4485714285715</v>
      </c>
      <c r="AE53" s="36">
        <f t="shared" si="2"/>
        <v>0.87506162767136375</v>
      </c>
      <c r="AF53" s="7"/>
      <c r="AG53" s="7"/>
      <c r="AH53" s="7"/>
    </row>
    <row r="54" spans="1:34" ht="12.75" customHeight="1" x14ac:dyDescent="0.25">
      <c r="A54" s="7"/>
      <c r="B54" s="30" t="s">
        <v>113</v>
      </c>
      <c r="C54" s="26" t="s">
        <v>30</v>
      </c>
      <c r="D54" s="31">
        <v>1230.5999999999999</v>
      </c>
      <c r="E54" s="31">
        <v>1712.4</v>
      </c>
      <c r="F54" s="31">
        <v>1649.5</v>
      </c>
      <c r="G54" s="31">
        <v>733.3</v>
      </c>
      <c r="H54" s="31">
        <v>1100.5</v>
      </c>
      <c r="I54" s="31">
        <v>1190.3</v>
      </c>
      <c r="J54" s="31">
        <v>896.7</v>
      </c>
      <c r="K54" s="31">
        <v>1096.7</v>
      </c>
      <c r="L54" s="32">
        <v>1320.2</v>
      </c>
      <c r="M54" s="33">
        <v>1438</v>
      </c>
      <c r="N54" s="31">
        <v>1597.8</v>
      </c>
      <c r="O54" s="31">
        <v>1951</v>
      </c>
      <c r="P54" s="31">
        <v>2312.6999999999998</v>
      </c>
      <c r="Q54" s="31">
        <v>2727.9</v>
      </c>
      <c r="R54" s="31">
        <v>2872</v>
      </c>
      <c r="S54" s="31">
        <v>3775.4</v>
      </c>
      <c r="T54" s="31">
        <v>6113.2</v>
      </c>
      <c r="U54" s="31">
        <v>6291.7</v>
      </c>
      <c r="V54" s="31">
        <v>6186</v>
      </c>
      <c r="W54" s="31">
        <v>6005.5</v>
      </c>
      <c r="X54" s="31">
        <v>5746.8</v>
      </c>
      <c r="Y54" s="31">
        <v>6115</v>
      </c>
      <c r="Z54" s="31">
        <v>6628.1</v>
      </c>
      <c r="AA54" s="34">
        <v>6790.7</v>
      </c>
      <c r="AB54" s="7"/>
      <c r="AC54" s="7">
        <f t="shared" si="0"/>
        <v>-865925.44976190478</v>
      </c>
      <c r="AD54" s="35">
        <f t="shared" si="1"/>
        <v>432.80071428571426</v>
      </c>
      <c r="AE54" s="36">
        <f t="shared" si="2"/>
        <v>0.87128709467414722</v>
      </c>
      <c r="AF54" s="7"/>
      <c r="AG54" s="7"/>
      <c r="AH54" s="7"/>
    </row>
    <row r="55" spans="1:34" ht="12.75" customHeight="1" x14ac:dyDescent="0.25">
      <c r="A55" s="7"/>
      <c r="B55" s="30" t="s">
        <v>114</v>
      </c>
      <c r="C55" s="26" t="s">
        <v>30</v>
      </c>
      <c r="D55" s="37">
        <v>3495.6</v>
      </c>
      <c r="E55" s="37">
        <v>3725.8</v>
      </c>
      <c r="F55" s="37">
        <v>3587.1</v>
      </c>
      <c r="G55" s="37">
        <v>1592.1</v>
      </c>
      <c r="H55" s="37">
        <v>2392.4</v>
      </c>
      <c r="I55" s="37">
        <v>2595</v>
      </c>
      <c r="J55" s="37">
        <v>2737.9</v>
      </c>
      <c r="K55" s="37">
        <v>3344.9</v>
      </c>
      <c r="L55" s="38">
        <v>4019.2</v>
      </c>
      <c r="M55" s="39">
        <v>4382.3</v>
      </c>
      <c r="N55" s="37">
        <v>4873.2</v>
      </c>
      <c r="O55" s="37">
        <v>6051.1</v>
      </c>
      <c r="P55" s="37">
        <v>7172.9</v>
      </c>
      <c r="Q55" s="37">
        <v>8460.7000000000007</v>
      </c>
      <c r="R55" s="37">
        <v>8907.7000000000007</v>
      </c>
      <c r="S55" s="37">
        <v>11709.6</v>
      </c>
      <c r="T55" s="37">
        <v>12834.4</v>
      </c>
      <c r="U55" s="37">
        <v>13209.1</v>
      </c>
      <c r="V55" s="37">
        <v>12987.3</v>
      </c>
      <c r="W55" s="37">
        <v>12608.4</v>
      </c>
      <c r="X55" s="37">
        <v>12065.1</v>
      </c>
      <c r="Y55" s="37">
        <v>12838.2</v>
      </c>
      <c r="Z55" s="37">
        <v>13915.5</v>
      </c>
      <c r="AA55" s="40">
        <v>14256.8</v>
      </c>
      <c r="AB55" s="7"/>
      <c r="AC55" s="7">
        <f t="shared" si="0"/>
        <v>-1418694.6873809523</v>
      </c>
      <c r="AD55" s="35">
        <f t="shared" si="1"/>
        <v>710.64785714285711</v>
      </c>
      <c r="AE55" s="36">
        <f t="shared" si="2"/>
        <v>0.85636687062039263</v>
      </c>
      <c r="AF55" s="7"/>
      <c r="AG55" s="7"/>
      <c r="AH55" s="7"/>
    </row>
    <row r="56" spans="1:34" ht="12.75" customHeight="1" x14ac:dyDescent="0.25">
      <c r="A56" s="4" t="s">
        <v>115</v>
      </c>
      <c r="B56" s="30" t="s">
        <v>116</v>
      </c>
      <c r="C56" s="26" t="s">
        <v>30</v>
      </c>
      <c r="D56" s="31">
        <v>678.3</v>
      </c>
      <c r="E56" s="31">
        <v>637.6</v>
      </c>
      <c r="F56" s="31">
        <v>605.1</v>
      </c>
      <c r="G56" s="31">
        <v>267.60000000000002</v>
      </c>
      <c r="H56" s="31">
        <v>392.5</v>
      </c>
      <c r="I56" s="31">
        <v>421.6</v>
      </c>
      <c r="J56" s="31">
        <v>493.8</v>
      </c>
      <c r="K56" s="31">
        <v>662.8</v>
      </c>
      <c r="L56" s="32">
        <v>843.1</v>
      </c>
      <c r="M56" s="33">
        <v>969.6</v>
      </c>
      <c r="N56" s="31">
        <v>1123.2</v>
      </c>
      <c r="O56" s="31">
        <v>1697.8</v>
      </c>
      <c r="P56" s="31">
        <v>1918.1</v>
      </c>
      <c r="Q56" s="31">
        <v>2068</v>
      </c>
      <c r="R56" s="31">
        <v>2160.5</v>
      </c>
      <c r="S56" s="31">
        <v>2935.9</v>
      </c>
      <c r="T56" s="31">
        <v>2570.1999999999998</v>
      </c>
      <c r="U56" s="31">
        <v>2604.3000000000002</v>
      </c>
      <c r="V56" s="31">
        <v>2675.2</v>
      </c>
      <c r="W56" s="31">
        <v>2749.2</v>
      </c>
      <c r="X56" s="31">
        <v>2838.9</v>
      </c>
      <c r="Y56" s="31">
        <v>3168.6</v>
      </c>
      <c r="Z56" s="31">
        <v>3566.3</v>
      </c>
      <c r="AA56" s="34">
        <v>3763.2</v>
      </c>
      <c r="AB56" s="7"/>
      <c r="AC56" s="7">
        <f t="shared" si="0"/>
        <v>-342234.33952380944</v>
      </c>
      <c r="AD56" s="35">
        <f t="shared" si="1"/>
        <v>171.40142857142854</v>
      </c>
      <c r="AE56" s="36">
        <f t="shared" si="2"/>
        <v>0.90563946016206986</v>
      </c>
      <c r="AF56" s="7"/>
      <c r="AG56" s="7"/>
      <c r="AH56" s="7"/>
    </row>
    <row r="57" spans="1:34" ht="12.75" customHeight="1" x14ac:dyDescent="0.25">
      <c r="A57" s="7"/>
      <c r="B57" s="30" t="s">
        <v>117</v>
      </c>
      <c r="C57" s="26" t="s">
        <v>30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8">
        <v>0</v>
      </c>
      <c r="M57" s="39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40">
        <v>0</v>
      </c>
      <c r="AB57" s="7"/>
      <c r="AC57" s="7"/>
      <c r="AD57" s="35"/>
      <c r="AE57" s="36"/>
      <c r="AF57" s="7"/>
      <c r="AG57" s="7"/>
      <c r="AH57" s="7"/>
    </row>
    <row r="58" spans="1:34" ht="12.75" customHeight="1" x14ac:dyDescent="0.25">
      <c r="A58" s="7"/>
      <c r="B58" s="30" t="s">
        <v>118</v>
      </c>
      <c r="C58" s="26" t="s">
        <v>30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2">
        <v>0</v>
      </c>
      <c r="M58" s="33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4">
        <v>0</v>
      </c>
      <c r="AB58" s="7"/>
      <c r="AC58" s="7"/>
      <c r="AD58" s="35"/>
      <c r="AE58" s="36"/>
      <c r="AF58" s="7"/>
      <c r="AG58" s="7"/>
      <c r="AH58" s="7"/>
    </row>
    <row r="59" spans="1:34" ht="12.75" customHeight="1" x14ac:dyDescent="0.25">
      <c r="A59" s="7"/>
      <c r="B59" s="30" t="s">
        <v>119</v>
      </c>
      <c r="C59" s="26" t="s">
        <v>30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8">
        <v>0</v>
      </c>
      <c r="M59" s="39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40">
        <v>0</v>
      </c>
      <c r="AB59" s="7"/>
      <c r="AC59" s="7"/>
      <c r="AD59" s="35"/>
      <c r="AE59" s="36"/>
      <c r="AF59" s="7"/>
      <c r="AG59" s="7"/>
      <c r="AH59" s="7"/>
    </row>
    <row r="60" spans="1:34" ht="12.75" customHeight="1" x14ac:dyDescent="0.25">
      <c r="A60" s="7"/>
      <c r="B60" s="30" t="s">
        <v>120</v>
      </c>
      <c r="C60" s="26" t="s">
        <v>30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2">
        <v>0</v>
      </c>
      <c r="M60" s="33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4">
        <v>0</v>
      </c>
      <c r="AB60" s="7"/>
      <c r="AC60" s="7"/>
      <c r="AD60" s="35"/>
      <c r="AE60" s="36"/>
      <c r="AF60" s="7"/>
      <c r="AG60" s="7"/>
      <c r="AH60" s="7"/>
    </row>
    <row r="61" spans="1:34" ht="12.75" customHeight="1" x14ac:dyDescent="0.25">
      <c r="A61" s="7"/>
      <c r="B61" s="30" t="s">
        <v>121</v>
      </c>
      <c r="C61" s="26" t="s">
        <v>30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8">
        <v>0</v>
      </c>
      <c r="M61" s="39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40">
        <v>0</v>
      </c>
      <c r="AB61" s="7"/>
      <c r="AC61" s="7"/>
      <c r="AD61" s="35"/>
      <c r="AE61" s="36"/>
      <c r="AF61" s="7"/>
      <c r="AG61" s="7"/>
      <c r="AH61" s="7"/>
    </row>
    <row r="62" spans="1:34" ht="12.75" customHeight="1" x14ac:dyDescent="0.25">
      <c r="A62" s="7"/>
      <c r="B62" s="30" t="s">
        <v>122</v>
      </c>
      <c r="C62" s="26" t="s">
        <v>30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2">
        <v>0</v>
      </c>
      <c r="M62" s="33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4">
        <v>0</v>
      </c>
      <c r="AB62" s="7"/>
      <c r="AC62" s="7"/>
      <c r="AD62" s="35"/>
      <c r="AE62" s="36"/>
      <c r="AF62" s="7"/>
      <c r="AG62" s="7"/>
      <c r="AH62" s="7"/>
    </row>
    <row r="63" spans="1:34" ht="12.75" customHeight="1" x14ac:dyDescent="0.25">
      <c r="A63" s="7"/>
      <c r="B63" s="4" t="s">
        <v>123</v>
      </c>
      <c r="C63" s="26" t="s">
        <v>30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8">
        <v>0</v>
      </c>
      <c r="M63" s="39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40">
        <v>0</v>
      </c>
      <c r="AB63" s="7"/>
      <c r="AC63" s="7"/>
      <c r="AD63" s="35"/>
      <c r="AE63" s="36"/>
      <c r="AF63" s="7"/>
      <c r="AG63" s="7"/>
      <c r="AH63" s="7"/>
    </row>
    <row r="64" spans="1:34" ht="12.75" customHeight="1" x14ac:dyDescent="0.25">
      <c r="A64" s="7"/>
      <c r="B64" s="30" t="s">
        <v>124</v>
      </c>
      <c r="C64" s="26" t="s">
        <v>30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2">
        <v>0</v>
      </c>
      <c r="M64" s="33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4">
        <v>0</v>
      </c>
      <c r="AB64" s="7"/>
      <c r="AC64" s="7"/>
      <c r="AD64" s="35"/>
      <c r="AE64" s="36"/>
      <c r="AF64" s="7"/>
      <c r="AG64" s="7"/>
      <c r="AH64" s="7"/>
    </row>
    <row r="65" spans="1:34" ht="12.75" customHeight="1" x14ac:dyDescent="0.25">
      <c r="A65" s="7"/>
      <c r="B65" s="30" t="s">
        <v>125</v>
      </c>
      <c r="C65" s="26" t="s">
        <v>30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8">
        <v>0</v>
      </c>
      <c r="M65" s="46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8">
        <v>0</v>
      </c>
      <c r="AB65" s="7"/>
      <c r="AC65" s="7"/>
      <c r="AD65" s="35"/>
      <c r="AE65" s="36"/>
      <c r="AF65" s="7"/>
      <c r="AG65" s="7"/>
      <c r="AH65" s="7"/>
    </row>
    <row r="66" spans="1:34" ht="12.75" customHeight="1" x14ac:dyDescent="0.25">
      <c r="A66" s="7"/>
      <c r="B66" s="4" t="s">
        <v>126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</sheetData>
  <pageMargins left="0.75" right="0.75" top="1" bottom="1" header="0" footer="0"/>
  <pageSetup orientation="portrait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sparklines>
            <x14:sparkline>
              <xm:f>'OECD 2018'!D9:AA9</xm:f>
              <xm:sqref>AB9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2018'!D10:AA10</xm:f>
              <xm:sqref>AB10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2018'!D11:AA11</xm:f>
              <xm:sqref>AB11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2018'!D12:AA12</xm:f>
              <xm:sqref>AB12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2018'!D13:AA13</xm:f>
              <xm:sqref>AB13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2018'!D14:AA14</xm:f>
              <xm:sqref>AB14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2018'!D15:AA15</xm:f>
              <xm:sqref>AB15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2018'!D16:AA16</xm:f>
              <xm:sqref>AB16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2018'!D17:AA17</xm:f>
              <xm:sqref>AB17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2018'!D18:AA18</xm:f>
              <xm:sqref>AB18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2018'!D19:AA19</xm:f>
              <xm:sqref>AB19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2018'!D20:AA20</xm:f>
              <xm:sqref>AB20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2018'!D21:AA21</xm:f>
              <xm:sqref>AB21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2018'!D22:AA22</xm:f>
              <xm:sqref>AB22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2018'!D23:AA23</xm:f>
              <xm:sqref>AB23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2018'!D24:AA24</xm:f>
              <xm:sqref>AB24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2018'!D25:AA25</xm:f>
              <xm:sqref>AB25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2018'!D26:AA26</xm:f>
              <xm:sqref>AB26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2018'!D27:AA27</xm:f>
              <xm:sqref>AB27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2018'!D28:AA28</xm:f>
              <xm:sqref>AB28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2018'!D29:AA29</xm:f>
              <xm:sqref>AB29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2018'!D30:AA30</xm:f>
              <xm:sqref>AB30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2018'!D31:AA31</xm:f>
              <xm:sqref>AB31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2018'!D32:AA32</xm:f>
              <xm:sqref>AB32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2018'!D33:AA33</xm:f>
              <xm:sqref>AB33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2018'!D34:AA34</xm:f>
              <xm:sqref>AB34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2018'!D35:AA35</xm:f>
              <xm:sqref>AB35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2018'!D36:AA36</xm:f>
              <xm:sqref>AB36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2018'!D37:AA37</xm:f>
              <xm:sqref>AB37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2018'!D38:AA38</xm:f>
              <xm:sqref>AB38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2018'!D39:AA39</xm:f>
              <xm:sqref>AB39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2018'!D40:AA40</xm:f>
              <xm:sqref>AB40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2018'!D41:AA41</xm:f>
              <xm:sqref>AB41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2018'!D42:AA42</xm:f>
              <xm:sqref>AB42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2018'!D43:AA43</xm:f>
              <xm:sqref>AB43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2018'!D44:AA44</xm:f>
              <xm:sqref>AB44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2018'!D45:AA45</xm:f>
              <xm:sqref>AB45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2018'!D46:AA46</xm:f>
              <xm:sqref>AB46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2018'!D47:AA47</xm:f>
              <xm:sqref>AB47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2018'!D48:AA48</xm:f>
              <xm:sqref>AB48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2018'!D49:AA49</xm:f>
              <xm:sqref>AB49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2018'!D50:AA50</xm:f>
              <xm:sqref>AB50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2018'!D51:AA51</xm:f>
              <xm:sqref>AB51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2018'!D52:AA52</xm:f>
              <xm:sqref>AB52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2018'!D53:AA53</xm:f>
              <xm:sqref>AB53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2018'!D54:AA54</xm:f>
              <xm:sqref>AB54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2018'!D55:AA55</xm:f>
              <xm:sqref>AB55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2018'!D56:AA56</xm:f>
              <xm:sqref>AB56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2018'!D57:AA57</xm:f>
              <xm:sqref>AB57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2018'!D58:AA58</xm:f>
              <xm:sqref>AB58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2018'!D59:AA59</xm:f>
              <xm:sqref>AB59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2018'!D60:AA60</xm:f>
              <xm:sqref>AB60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2018'!D61:AA61</xm:f>
              <xm:sqref>AB61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2018'!D62:AA62</xm:f>
              <xm:sqref>AB62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2018'!D63:AA63</xm:f>
              <xm:sqref>AB63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2018'!D64:AA64</xm:f>
              <xm:sqref>AB64</xm:sqref>
            </x14:sparkline>
          </x14:sparklines>
        </x14:sparklineGroup>
        <x14:sparklineGroup displayEmptyCellsAs="gap">
          <x14:colorSeries rgb="FF376092"/>
          <x14:sparklines>
            <x14:sparkline>
              <xm:f>'OECD 2018'!D65:AA65</xm:f>
              <xm:sqref>AB65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1" width="14.28515625" customWidth="1"/>
    <col min="2" max="4" width="10.42578125" customWidth="1"/>
    <col min="5" max="5" width="41.85546875" customWidth="1"/>
    <col min="6" max="6" width="24.7109375" customWidth="1"/>
    <col min="7" max="8" width="12.28515625" customWidth="1"/>
    <col min="9" max="26" width="8.85546875" customWidth="1"/>
  </cols>
  <sheetData>
    <row r="1" spans="1:8" x14ac:dyDescent="0.25">
      <c r="A1" s="1" t="s">
        <v>127</v>
      </c>
      <c r="B1" s="1" t="s">
        <v>128</v>
      </c>
      <c r="C1" s="1"/>
      <c r="D1" s="1"/>
      <c r="E1" s="1" t="s">
        <v>129</v>
      </c>
      <c r="F1" s="1" t="s">
        <v>130</v>
      </c>
    </row>
    <row r="2" spans="1:8" x14ac:dyDescent="0.25">
      <c r="A2" s="49" t="s">
        <v>31</v>
      </c>
      <c r="E2" s="50" t="s">
        <v>131</v>
      </c>
      <c r="F2" s="51"/>
      <c r="G2" s="51"/>
      <c r="H2" s="51"/>
    </row>
    <row r="3" spans="1:8" x14ac:dyDescent="0.25">
      <c r="A3" s="49" t="s">
        <v>132</v>
      </c>
      <c r="B3" s="4" t="s">
        <v>133</v>
      </c>
      <c r="E3" s="50" t="s">
        <v>134</v>
      </c>
      <c r="F3" s="51" t="s">
        <v>135</v>
      </c>
      <c r="G3" s="51"/>
      <c r="H3" s="51"/>
    </row>
    <row r="4" spans="1:8" x14ac:dyDescent="0.25">
      <c r="A4" s="49" t="s">
        <v>50</v>
      </c>
      <c r="E4" s="50" t="s">
        <v>136</v>
      </c>
      <c r="F4" s="51"/>
      <c r="G4" s="51"/>
      <c r="H4" s="51"/>
    </row>
    <row r="5" spans="1:8" x14ac:dyDescent="0.25">
      <c r="A5" s="49" t="s">
        <v>34</v>
      </c>
      <c r="E5" s="50" t="s">
        <v>137</v>
      </c>
      <c r="F5" s="51"/>
      <c r="G5" s="51"/>
      <c r="H5" s="51"/>
    </row>
    <row r="6" spans="1:8" x14ac:dyDescent="0.25">
      <c r="A6" s="49" t="s">
        <v>78</v>
      </c>
      <c r="E6" s="50" t="s">
        <v>138</v>
      </c>
      <c r="F6" s="51"/>
      <c r="G6" s="51"/>
      <c r="H6" s="51"/>
    </row>
    <row r="7" spans="1:8" x14ac:dyDescent="0.25">
      <c r="A7" s="49" t="s">
        <v>139</v>
      </c>
      <c r="E7" s="50" t="s">
        <v>140</v>
      </c>
      <c r="F7" s="51"/>
      <c r="G7" s="51"/>
      <c r="H7" s="51"/>
    </row>
    <row r="8" spans="1:8" x14ac:dyDescent="0.25">
      <c r="A8" s="49" t="s">
        <v>40</v>
      </c>
      <c r="E8" s="50" t="s">
        <v>141</v>
      </c>
      <c r="F8" s="51"/>
      <c r="G8" s="51"/>
      <c r="H8" s="51"/>
    </row>
    <row r="9" spans="1:8" x14ac:dyDescent="0.25">
      <c r="A9" s="49" t="s">
        <v>142</v>
      </c>
      <c r="E9" s="50" t="s">
        <v>143</v>
      </c>
      <c r="F9" s="51"/>
      <c r="G9" s="51"/>
      <c r="H9" s="51"/>
    </row>
    <row r="10" spans="1:8" x14ac:dyDescent="0.25">
      <c r="A10" s="49" t="s">
        <v>60</v>
      </c>
      <c r="B10" s="4" t="s">
        <v>62</v>
      </c>
      <c r="C10" s="4" t="s">
        <v>64</v>
      </c>
      <c r="D10" s="4" t="s">
        <v>66</v>
      </c>
      <c r="E10" s="50" t="s">
        <v>144</v>
      </c>
      <c r="F10" s="51" t="s">
        <v>145</v>
      </c>
      <c r="G10" s="51" t="s">
        <v>146</v>
      </c>
      <c r="H10" s="51" t="s">
        <v>147</v>
      </c>
    </row>
    <row r="11" spans="1:8" x14ac:dyDescent="0.25">
      <c r="A11" s="49" t="s">
        <v>148</v>
      </c>
      <c r="E11" s="50" t="s">
        <v>149</v>
      </c>
      <c r="F11" s="51"/>
      <c r="G11" s="51"/>
      <c r="H11" s="51"/>
    </row>
    <row r="12" spans="1:8" x14ac:dyDescent="0.25">
      <c r="A12" s="49" t="s">
        <v>72</v>
      </c>
      <c r="B12" s="52" t="s">
        <v>54</v>
      </c>
      <c r="E12" s="50" t="s">
        <v>150</v>
      </c>
      <c r="F12" s="51" t="s">
        <v>151</v>
      </c>
      <c r="G12" s="51"/>
      <c r="H12" s="51"/>
    </row>
    <row r="13" spans="1:8" x14ac:dyDescent="0.25">
      <c r="A13" s="49" t="s">
        <v>152</v>
      </c>
      <c r="E13" s="50" t="s">
        <v>153</v>
      </c>
      <c r="F13" s="51"/>
      <c r="G13" s="51"/>
      <c r="H13" s="51"/>
    </row>
    <row r="14" spans="1:8" x14ac:dyDescent="0.25">
      <c r="A14" s="49" t="s">
        <v>36</v>
      </c>
      <c r="E14" s="50" t="s">
        <v>154</v>
      </c>
      <c r="F14" s="51"/>
      <c r="G14" s="51"/>
      <c r="H14" s="51"/>
    </row>
    <row r="15" spans="1:8" x14ac:dyDescent="0.25">
      <c r="A15" s="49" t="s">
        <v>46</v>
      </c>
      <c r="E15" s="50" t="s">
        <v>155</v>
      </c>
      <c r="F15" s="51"/>
      <c r="G15" s="51"/>
      <c r="H15" s="51"/>
    </row>
    <row r="16" spans="1:8" x14ac:dyDescent="0.25">
      <c r="A16" s="49" t="s">
        <v>48</v>
      </c>
      <c r="E16" s="50" t="s">
        <v>156</v>
      </c>
      <c r="F16" s="51"/>
      <c r="G16" s="51"/>
      <c r="H16" s="51"/>
    </row>
    <row r="17" spans="1:8" x14ac:dyDescent="0.25">
      <c r="A17" s="49" t="s">
        <v>68</v>
      </c>
      <c r="B17" s="52" t="s">
        <v>70</v>
      </c>
      <c r="E17" s="50" t="s">
        <v>157</v>
      </c>
      <c r="F17" s="51" t="s">
        <v>158</v>
      </c>
      <c r="G17" s="51"/>
      <c r="H17" s="51"/>
    </row>
    <row r="18" spans="1:8" x14ac:dyDescent="0.25">
      <c r="A18" s="49" t="s">
        <v>42</v>
      </c>
      <c r="E18" s="50" t="s">
        <v>159</v>
      </c>
      <c r="F18" s="51"/>
      <c r="G18" s="51"/>
      <c r="H18" s="51"/>
    </row>
    <row r="19" spans="1:8" x14ac:dyDescent="0.25">
      <c r="A19" s="49" t="s">
        <v>44</v>
      </c>
      <c r="E19" s="50" t="s">
        <v>160</v>
      </c>
      <c r="F19" s="51"/>
      <c r="G19" s="51"/>
      <c r="H19" s="51"/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/>
  </sheetViews>
  <sheetFormatPr baseColWidth="10" defaultColWidth="14.42578125" defaultRowHeight="15" customHeight="1" x14ac:dyDescent="0.25"/>
  <cols>
    <col min="1" max="2" width="16.85546875" customWidth="1"/>
    <col min="3" max="3" width="19" customWidth="1"/>
    <col min="4" max="7" width="12" customWidth="1"/>
    <col min="8" max="38" width="8.85546875" customWidth="1"/>
  </cols>
  <sheetData>
    <row r="1" spans="1:38" x14ac:dyDescent="0.25">
      <c r="A1" s="53" t="s">
        <v>161</v>
      </c>
      <c r="B1" s="53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38" x14ac:dyDescent="0.25">
      <c r="A2" s="24" t="s">
        <v>162</v>
      </c>
      <c r="B2" s="24" t="s">
        <v>163</v>
      </c>
      <c r="C2" s="55" t="s">
        <v>27</v>
      </c>
      <c r="D2" s="55" t="s">
        <v>28</v>
      </c>
      <c r="E2" s="55">
        <v>2018</v>
      </c>
      <c r="F2" s="56">
        <v>2020</v>
      </c>
      <c r="G2" s="57">
        <v>2021</v>
      </c>
      <c r="H2" s="57">
        <v>2022</v>
      </c>
      <c r="I2" s="57">
        <v>2023</v>
      </c>
      <c r="J2" s="57">
        <v>2024</v>
      </c>
      <c r="K2" s="57">
        <v>2025</v>
      </c>
      <c r="L2" s="57">
        <v>2026</v>
      </c>
      <c r="M2" s="57">
        <v>2027</v>
      </c>
      <c r="N2" s="57">
        <v>2028</v>
      </c>
      <c r="O2" s="57">
        <v>2029</v>
      </c>
      <c r="P2" s="57">
        <v>2030</v>
      </c>
      <c r="Q2" s="57">
        <v>2031</v>
      </c>
      <c r="R2" s="57">
        <v>2032</v>
      </c>
      <c r="S2" s="57">
        <v>2033</v>
      </c>
      <c r="T2" s="57">
        <v>2034</v>
      </c>
      <c r="U2" s="57">
        <v>2035</v>
      </c>
      <c r="V2" s="57">
        <v>2036</v>
      </c>
      <c r="W2" s="57">
        <v>2037</v>
      </c>
      <c r="X2" s="57">
        <v>2038</v>
      </c>
      <c r="Y2" s="57">
        <v>2039</v>
      </c>
      <c r="Z2" s="57">
        <v>2040</v>
      </c>
      <c r="AA2" s="57">
        <v>2041</v>
      </c>
      <c r="AB2" s="57">
        <v>2042</v>
      </c>
      <c r="AC2" s="57">
        <v>2043</v>
      </c>
      <c r="AD2" s="57">
        <v>2044</v>
      </c>
      <c r="AE2" s="57">
        <v>2045</v>
      </c>
      <c r="AF2" s="57">
        <v>2046</v>
      </c>
      <c r="AG2" s="57">
        <v>2047</v>
      </c>
      <c r="AH2" s="57">
        <v>2048</v>
      </c>
      <c r="AI2" s="57">
        <v>2049</v>
      </c>
      <c r="AJ2" s="58">
        <v>2050</v>
      </c>
      <c r="AK2" s="59"/>
      <c r="AL2" s="1" t="s">
        <v>164</v>
      </c>
    </row>
    <row r="3" spans="1:38" x14ac:dyDescent="0.25">
      <c r="A3" s="4" t="s">
        <v>31</v>
      </c>
      <c r="B3" s="4" t="s">
        <v>31</v>
      </c>
      <c r="C3" s="4">
        <f t="array" ref="C3">INDEX('OECD 2018'!AC:AC,MATCH($A3,'OECD 2018'!$A:$A,0))</f>
        <v>-15047329.949285714</v>
      </c>
      <c r="D3" s="60">
        <f t="array" ref="D3">INDEX('OECD 2018'!AD:AD,MATCH($A3,'OECD 2018'!$A:$A,0))</f>
        <v>7533.3021428571428</v>
      </c>
      <c r="E3" s="4">
        <f>SUMIFS('OECD 2018'!$AA$9:$AA$65,'OECD 2018'!$A$9:$A$65,calcs!A3)</f>
        <v>142726.1</v>
      </c>
      <c r="F3" s="61">
        <f t="shared" ref="F3:AJ3" si="0">F$2*$D3+$C3</f>
        <v>169940.37928571366</v>
      </c>
      <c r="G3" s="62">
        <f t="shared" si="0"/>
        <v>177473.68142857216</v>
      </c>
      <c r="H3" s="62">
        <f t="shared" si="0"/>
        <v>185006.98357142881</v>
      </c>
      <c r="I3" s="62">
        <f t="shared" si="0"/>
        <v>192540.28571428545</v>
      </c>
      <c r="J3" s="62">
        <f t="shared" si="0"/>
        <v>200073.58785714395</v>
      </c>
      <c r="K3" s="62">
        <f t="shared" si="0"/>
        <v>207606.8900000006</v>
      </c>
      <c r="L3" s="62">
        <f t="shared" si="0"/>
        <v>215140.19214285724</v>
      </c>
      <c r="M3" s="62">
        <f t="shared" si="0"/>
        <v>222673.49428571388</v>
      </c>
      <c r="N3" s="62">
        <f t="shared" si="0"/>
        <v>230206.79642857239</v>
      </c>
      <c r="O3" s="62">
        <f t="shared" si="0"/>
        <v>237740.09857142903</v>
      </c>
      <c r="P3" s="62">
        <f t="shared" si="0"/>
        <v>245273.40071428567</v>
      </c>
      <c r="Q3" s="62">
        <f t="shared" si="0"/>
        <v>252806.70285714231</v>
      </c>
      <c r="R3" s="62">
        <f t="shared" si="0"/>
        <v>260340.00500000082</v>
      </c>
      <c r="S3" s="62">
        <f t="shared" si="0"/>
        <v>267873.30714285746</v>
      </c>
      <c r="T3" s="62">
        <f t="shared" si="0"/>
        <v>275406.6092857141</v>
      </c>
      <c r="U3" s="62">
        <f t="shared" si="0"/>
        <v>282939.91142857261</v>
      </c>
      <c r="V3" s="62">
        <f t="shared" si="0"/>
        <v>290473.21357142925</v>
      </c>
      <c r="W3" s="62">
        <f t="shared" si="0"/>
        <v>298006.5157142859</v>
      </c>
      <c r="X3" s="62">
        <f t="shared" si="0"/>
        <v>305539.81785714254</v>
      </c>
      <c r="Y3" s="62">
        <f t="shared" si="0"/>
        <v>313073.12000000104</v>
      </c>
      <c r="Z3" s="62">
        <f t="shared" si="0"/>
        <v>320606.42214285769</v>
      </c>
      <c r="AA3" s="62">
        <f t="shared" si="0"/>
        <v>328139.72428571433</v>
      </c>
      <c r="AB3" s="62">
        <f t="shared" si="0"/>
        <v>335673.02642857097</v>
      </c>
      <c r="AC3" s="62">
        <f t="shared" si="0"/>
        <v>343206.32857142948</v>
      </c>
      <c r="AD3" s="62">
        <f t="shared" si="0"/>
        <v>350739.63071428612</v>
      </c>
      <c r="AE3" s="62">
        <f t="shared" si="0"/>
        <v>358272.93285714276</v>
      </c>
      <c r="AF3" s="62">
        <f t="shared" si="0"/>
        <v>365806.2349999994</v>
      </c>
      <c r="AG3" s="62">
        <f t="shared" si="0"/>
        <v>373339.53714285791</v>
      </c>
      <c r="AH3" s="62">
        <f t="shared" si="0"/>
        <v>380872.83928571455</v>
      </c>
      <c r="AI3" s="62">
        <f t="shared" si="0"/>
        <v>388406.14142857119</v>
      </c>
      <c r="AJ3" s="63">
        <f t="shared" si="0"/>
        <v>395939.4435714297</v>
      </c>
      <c r="AL3" s="64">
        <f t="shared" ref="AL3:AL40" si="1">(AJ3-E3)/E3</f>
        <v>1.7741208060153657</v>
      </c>
    </row>
    <row r="4" spans="1:38" x14ac:dyDescent="0.25">
      <c r="A4" s="41" t="s">
        <v>34</v>
      </c>
      <c r="B4" s="4" t="s">
        <v>34</v>
      </c>
      <c r="C4" s="4">
        <f t="array" ref="C4">INDEX('OECD 2018'!AC:AC,MATCH($A4,'OECD 2018'!$A:$A,0))</f>
        <v>-10638069.760476189</v>
      </c>
      <c r="D4" s="60">
        <f t="array" ref="D4">INDEX('OECD 2018'!AD:AD,MATCH($A4,'OECD 2018'!$A:$A,0))</f>
        <v>5325.6585714285711</v>
      </c>
      <c r="E4" s="4">
        <f>SUMIFS('OECD 2018'!$AA$9:$AA$65,'OECD 2018'!$A$9:$A$65,calcs!A4)</f>
        <v>100140.2</v>
      </c>
      <c r="F4" s="61">
        <f t="shared" ref="F4:AJ4" si="2">F$2*$D4+$C4</f>
        <v>119760.55380952545</v>
      </c>
      <c r="G4" s="62">
        <f t="shared" si="2"/>
        <v>125086.21238095313</v>
      </c>
      <c r="H4" s="62">
        <f t="shared" si="2"/>
        <v>130411.87095238268</v>
      </c>
      <c r="I4" s="62">
        <f t="shared" si="2"/>
        <v>135737.52952381037</v>
      </c>
      <c r="J4" s="62">
        <f t="shared" si="2"/>
        <v>141063.18809523992</v>
      </c>
      <c r="K4" s="62">
        <f t="shared" si="2"/>
        <v>146388.84666666761</v>
      </c>
      <c r="L4" s="62">
        <f t="shared" si="2"/>
        <v>151714.50523809716</v>
      </c>
      <c r="M4" s="62">
        <f t="shared" si="2"/>
        <v>157040.16380952485</v>
      </c>
      <c r="N4" s="62">
        <f t="shared" si="2"/>
        <v>162365.8223809544</v>
      </c>
      <c r="O4" s="62">
        <f t="shared" si="2"/>
        <v>167691.48095238209</v>
      </c>
      <c r="P4" s="62">
        <f t="shared" si="2"/>
        <v>173017.13952380978</v>
      </c>
      <c r="Q4" s="62">
        <f t="shared" si="2"/>
        <v>178342.79809523933</v>
      </c>
      <c r="R4" s="62">
        <f t="shared" si="2"/>
        <v>183668.45666666701</v>
      </c>
      <c r="S4" s="62">
        <f t="shared" si="2"/>
        <v>188994.11523809657</v>
      </c>
      <c r="T4" s="62">
        <f t="shared" si="2"/>
        <v>194319.77380952425</v>
      </c>
      <c r="U4" s="62">
        <f t="shared" si="2"/>
        <v>199645.4323809538</v>
      </c>
      <c r="V4" s="62">
        <f t="shared" si="2"/>
        <v>204971.09095238149</v>
      </c>
      <c r="W4" s="62">
        <f t="shared" si="2"/>
        <v>210296.74952381104</v>
      </c>
      <c r="X4" s="62">
        <f t="shared" si="2"/>
        <v>215622.40809523873</v>
      </c>
      <c r="Y4" s="62">
        <f t="shared" si="2"/>
        <v>220948.06666666828</v>
      </c>
      <c r="Z4" s="62">
        <f t="shared" si="2"/>
        <v>226273.72523809597</v>
      </c>
      <c r="AA4" s="62">
        <f t="shared" si="2"/>
        <v>231599.38380952552</v>
      </c>
      <c r="AB4" s="62">
        <f t="shared" si="2"/>
        <v>236925.04238095321</v>
      </c>
      <c r="AC4" s="62">
        <f t="shared" si="2"/>
        <v>242250.70095238276</v>
      </c>
      <c r="AD4" s="62">
        <f t="shared" si="2"/>
        <v>247576.35952381045</v>
      </c>
      <c r="AE4" s="62">
        <f t="shared" si="2"/>
        <v>252902.01809524</v>
      </c>
      <c r="AF4" s="62">
        <f t="shared" si="2"/>
        <v>258227.67666666768</v>
      </c>
      <c r="AG4" s="62">
        <f t="shared" si="2"/>
        <v>263553.33523809724</v>
      </c>
      <c r="AH4" s="62">
        <f t="shared" si="2"/>
        <v>268878.99380952492</v>
      </c>
      <c r="AI4" s="62">
        <f t="shared" si="2"/>
        <v>274204.65238095261</v>
      </c>
      <c r="AJ4" s="63">
        <f t="shared" si="2"/>
        <v>279530.31095238216</v>
      </c>
      <c r="AL4" s="64">
        <f t="shared" si="1"/>
        <v>1.7913895813307958</v>
      </c>
    </row>
    <row r="5" spans="1:38" x14ac:dyDescent="0.25">
      <c r="A5" s="4" t="s">
        <v>36</v>
      </c>
      <c r="B5" s="4" t="s">
        <v>36</v>
      </c>
      <c r="C5" s="4">
        <f t="array" ref="C5">INDEX('OECD 2018'!AC:AC,MATCH($A5,'OECD 2018'!$A:$A,0))</f>
        <v>-4114458.61</v>
      </c>
      <c r="D5" s="60">
        <f t="array" ref="D5">INDEX('OECD 2018'!AD:AD,MATCH($A5,'OECD 2018'!$A:$A,0))</f>
        <v>2059.9499999999998</v>
      </c>
      <c r="E5" s="4">
        <f>SUMIFS('OECD 2018'!$AA$9:$AA$65,'OECD 2018'!$A$9:$A$65,calcs!A5)</f>
        <v>38835.300000000003</v>
      </c>
      <c r="F5" s="61">
        <f t="shared" ref="F5:AJ5" si="3">F$2*$D5+$C5</f>
        <v>46640.389999999665</v>
      </c>
      <c r="G5" s="62">
        <f t="shared" si="3"/>
        <v>48700.339999999851</v>
      </c>
      <c r="H5" s="62">
        <f t="shared" si="3"/>
        <v>50760.289999999572</v>
      </c>
      <c r="I5" s="62">
        <f t="shared" si="3"/>
        <v>52820.239999999758</v>
      </c>
      <c r="J5" s="62">
        <f t="shared" si="3"/>
        <v>54880.189999999944</v>
      </c>
      <c r="K5" s="62">
        <f t="shared" si="3"/>
        <v>56940.139999999665</v>
      </c>
      <c r="L5" s="62">
        <f t="shared" si="3"/>
        <v>59000.089999999851</v>
      </c>
      <c r="M5" s="62">
        <f t="shared" si="3"/>
        <v>61060.039999999572</v>
      </c>
      <c r="N5" s="62">
        <f t="shared" si="3"/>
        <v>63119.989999999758</v>
      </c>
      <c r="O5" s="62">
        <f t="shared" si="3"/>
        <v>65179.939999999944</v>
      </c>
      <c r="P5" s="62">
        <f t="shared" si="3"/>
        <v>67239.889999999665</v>
      </c>
      <c r="Q5" s="62">
        <f t="shared" si="3"/>
        <v>69299.839999999851</v>
      </c>
      <c r="R5" s="62">
        <f t="shared" si="3"/>
        <v>71359.789999999572</v>
      </c>
      <c r="S5" s="62">
        <f t="shared" si="3"/>
        <v>73419.739999999758</v>
      </c>
      <c r="T5" s="62">
        <f t="shared" si="3"/>
        <v>75479.689999999944</v>
      </c>
      <c r="U5" s="62">
        <f t="shared" si="3"/>
        <v>77539.639999999665</v>
      </c>
      <c r="V5" s="62">
        <f t="shared" si="3"/>
        <v>79599.589999999851</v>
      </c>
      <c r="W5" s="62">
        <f t="shared" si="3"/>
        <v>81659.539999999572</v>
      </c>
      <c r="X5" s="62">
        <f t="shared" si="3"/>
        <v>83719.489999999758</v>
      </c>
      <c r="Y5" s="62">
        <f t="shared" si="3"/>
        <v>85779.439999999944</v>
      </c>
      <c r="Z5" s="62">
        <f t="shared" si="3"/>
        <v>87839.39000000013</v>
      </c>
      <c r="AA5" s="62">
        <f t="shared" si="3"/>
        <v>89899.339999999385</v>
      </c>
      <c r="AB5" s="62">
        <f t="shared" si="3"/>
        <v>91959.289999999572</v>
      </c>
      <c r="AC5" s="62">
        <f t="shared" si="3"/>
        <v>94019.239999999758</v>
      </c>
      <c r="AD5" s="62">
        <f t="shared" si="3"/>
        <v>96079.189999999944</v>
      </c>
      <c r="AE5" s="62">
        <f t="shared" si="3"/>
        <v>98139.14000000013</v>
      </c>
      <c r="AF5" s="62">
        <f t="shared" si="3"/>
        <v>100199.08999999939</v>
      </c>
      <c r="AG5" s="62">
        <f t="shared" si="3"/>
        <v>102259.03999999957</v>
      </c>
      <c r="AH5" s="62">
        <f t="shared" si="3"/>
        <v>104318.98999999976</v>
      </c>
      <c r="AI5" s="62">
        <f t="shared" si="3"/>
        <v>106378.93999999994</v>
      </c>
      <c r="AJ5" s="63">
        <f t="shared" si="3"/>
        <v>108438.89000000013</v>
      </c>
      <c r="AL5" s="64">
        <f t="shared" si="1"/>
        <v>1.7922763568197007</v>
      </c>
    </row>
    <row r="6" spans="1:38" x14ac:dyDescent="0.25">
      <c r="A6" s="4" t="s">
        <v>38</v>
      </c>
      <c r="B6" s="4" t="s">
        <v>38</v>
      </c>
      <c r="C6" s="4">
        <f t="array" ref="C6">INDEX('OECD 2018'!AC:AC,MATCH($A6,'OECD 2018'!$A:$A,0))</f>
        <v>-721846.42869047611</v>
      </c>
      <c r="D6" s="60">
        <f t="array" ref="D6">INDEX('OECD 2018'!AD:AD,MATCH($A6,'OECD 2018'!$A:$A,0))</f>
        <v>361.16892857142852</v>
      </c>
      <c r="E6" s="4">
        <f>SUMIFS('OECD 2018'!$AA$9:$AA$65,'OECD 2018'!$A$9:$A$65,calcs!A6)</f>
        <v>6417.9</v>
      </c>
      <c r="F6" s="61">
        <f t="shared" ref="F6:AJ6" si="4">F$2*$D6+$C6</f>
        <v>7714.8070238095243</v>
      </c>
      <c r="G6" s="62">
        <f t="shared" si="4"/>
        <v>8075.9759523809189</v>
      </c>
      <c r="H6" s="62">
        <f t="shared" si="4"/>
        <v>8437.1448809523135</v>
      </c>
      <c r="I6" s="62">
        <f t="shared" si="4"/>
        <v>8798.3138095238246</v>
      </c>
      <c r="J6" s="62">
        <f t="shared" si="4"/>
        <v>9159.4827380952192</v>
      </c>
      <c r="K6" s="62">
        <f t="shared" si="4"/>
        <v>9520.6516666666139</v>
      </c>
      <c r="L6" s="62">
        <f t="shared" si="4"/>
        <v>9881.820595238125</v>
      </c>
      <c r="M6" s="62">
        <f t="shared" si="4"/>
        <v>10242.98952380952</v>
      </c>
      <c r="N6" s="62">
        <f t="shared" si="4"/>
        <v>10604.158452380914</v>
      </c>
      <c r="O6" s="62">
        <f t="shared" si="4"/>
        <v>10965.327380952309</v>
      </c>
      <c r="P6" s="62">
        <f t="shared" si="4"/>
        <v>11326.49630952382</v>
      </c>
      <c r="Q6" s="62">
        <f t="shared" si="4"/>
        <v>11687.665238095215</v>
      </c>
      <c r="R6" s="62">
        <f t="shared" si="4"/>
        <v>12048.834166666609</v>
      </c>
      <c r="S6" s="62">
        <f t="shared" si="4"/>
        <v>12410.00309523812</v>
      </c>
      <c r="T6" s="62">
        <f t="shared" si="4"/>
        <v>12771.172023809515</v>
      </c>
      <c r="U6" s="62">
        <f t="shared" si="4"/>
        <v>13132.34095238091</v>
      </c>
      <c r="V6" s="62">
        <f t="shared" si="4"/>
        <v>13493.509880952421</v>
      </c>
      <c r="W6" s="62">
        <f t="shared" si="4"/>
        <v>13854.678809523815</v>
      </c>
      <c r="X6" s="62">
        <f t="shared" si="4"/>
        <v>14215.84773809521</v>
      </c>
      <c r="Y6" s="62">
        <f t="shared" si="4"/>
        <v>14577.016666666605</v>
      </c>
      <c r="Z6" s="62">
        <f t="shared" si="4"/>
        <v>14938.185595238116</v>
      </c>
      <c r="AA6" s="62">
        <f t="shared" si="4"/>
        <v>15299.35452380951</v>
      </c>
      <c r="AB6" s="62">
        <f t="shared" si="4"/>
        <v>15660.523452380905</v>
      </c>
      <c r="AC6" s="62">
        <f t="shared" si="4"/>
        <v>16021.692380952416</v>
      </c>
      <c r="AD6" s="62">
        <f t="shared" si="4"/>
        <v>16382.861309523811</v>
      </c>
      <c r="AE6" s="62">
        <f t="shared" si="4"/>
        <v>16744.030238095205</v>
      </c>
      <c r="AF6" s="62">
        <f t="shared" si="4"/>
        <v>17105.1991666666</v>
      </c>
      <c r="AG6" s="62">
        <f t="shared" si="4"/>
        <v>17466.368095238111</v>
      </c>
      <c r="AH6" s="62">
        <f t="shared" si="4"/>
        <v>17827.537023809506</v>
      </c>
      <c r="AI6" s="62">
        <f t="shared" si="4"/>
        <v>18188.7059523809</v>
      </c>
      <c r="AJ6" s="63">
        <f t="shared" si="4"/>
        <v>18549.874880952411</v>
      </c>
      <c r="AL6" s="64">
        <f t="shared" si="1"/>
        <v>1.8903340471108014</v>
      </c>
    </row>
    <row r="7" spans="1:38" x14ac:dyDescent="0.25">
      <c r="A7" s="4" t="s">
        <v>40</v>
      </c>
      <c r="B7" s="4" t="s">
        <v>40</v>
      </c>
      <c r="C7" s="4">
        <f t="array" ref="C7">INDEX('OECD 2018'!AC:AC,MATCH($A7,'OECD 2018'!$A:$A,0))</f>
        <v>-17228765.183571428</v>
      </c>
      <c r="D7" s="60">
        <f t="array" ref="D7">INDEX('OECD 2018'!AD:AD,MATCH($A7,'OECD 2018'!$A:$A,0))</f>
        <v>8624.2392857142859</v>
      </c>
      <c r="E7" s="4">
        <f>SUMIFS('OECD 2018'!$AA$9:$AA$65,'OECD 2018'!$A$9:$A$65,calcs!A7)</f>
        <v>160201.60000000001</v>
      </c>
      <c r="F7" s="61">
        <f t="shared" ref="F7:AJ7" si="5">F$2*$D7+$C7</f>
        <v>192198.17357143015</v>
      </c>
      <c r="G7" s="62">
        <f t="shared" si="5"/>
        <v>200822.41285714507</v>
      </c>
      <c r="H7" s="62">
        <f t="shared" si="5"/>
        <v>209446.65214285627</v>
      </c>
      <c r="I7" s="62">
        <f t="shared" si="5"/>
        <v>218070.89142857119</v>
      </c>
      <c r="J7" s="62">
        <f t="shared" si="5"/>
        <v>226695.13071428612</v>
      </c>
      <c r="K7" s="62">
        <f t="shared" si="5"/>
        <v>235319.37000000104</v>
      </c>
      <c r="L7" s="62">
        <f t="shared" si="5"/>
        <v>243943.60928571597</v>
      </c>
      <c r="M7" s="62">
        <f t="shared" si="5"/>
        <v>252567.84857143089</v>
      </c>
      <c r="N7" s="62">
        <f t="shared" si="5"/>
        <v>261192.08785714209</v>
      </c>
      <c r="O7" s="62">
        <f t="shared" si="5"/>
        <v>269816.32714285702</v>
      </c>
      <c r="P7" s="62">
        <f t="shared" si="5"/>
        <v>278440.56642857194</v>
      </c>
      <c r="Q7" s="62">
        <f t="shared" si="5"/>
        <v>287064.80571428686</v>
      </c>
      <c r="R7" s="62">
        <f t="shared" si="5"/>
        <v>295689.04500000179</v>
      </c>
      <c r="S7" s="62">
        <f t="shared" si="5"/>
        <v>304313.28428571671</v>
      </c>
      <c r="T7" s="62">
        <f t="shared" si="5"/>
        <v>312937.52357142791</v>
      </c>
      <c r="U7" s="62">
        <f t="shared" si="5"/>
        <v>321561.76285714284</v>
      </c>
      <c r="V7" s="62">
        <f t="shared" si="5"/>
        <v>330186.00214285776</v>
      </c>
      <c r="W7" s="62">
        <f t="shared" si="5"/>
        <v>338810.24142857268</v>
      </c>
      <c r="X7" s="62">
        <f t="shared" si="5"/>
        <v>347434.48071428761</v>
      </c>
      <c r="Y7" s="62">
        <f t="shared" si="5"/>
        <v>356058.72000000253</v>
      </c>
      <c r="Z7" s="62">
        <f t="shared" si="5"/>
        <v>364682.95928571373</v>
      </c>
      <c r="AA7" s="62">
        <f t="shared" si="5"/>
        <v>373307.19857142866</v>
      </c>
      <c r="AB7" s="62">
        <f t="shared" si="5"/>
        <v>381931.43785714358</v>
      </c>
      <c r="AC7" s="62">
        <f t="shared" si="5"/>
        <v>390555.67714285851</v>
      </c>
      <c r="AD7" s="62">
        <f t="shared" si="5"/>
        <v>399179.91642857343</v>
      </c>
      <c r="AE7" s="62">
        <f t="shared" si="5"/>
        <v>407804.15571428835</v>
      </c>
      <c r="AF7" s="62">
        <f t="shared" si="5"/>
        <v>416428.39499999955</v>
      </c>
      <c r="AG7" s="62">
        <f t="shared" si="5"/>
        <v>425052.63428571448</v>
      </c>
      <c r="AH7" s="62">
        <f t="shared" si="5"/>
        <v>433676.8735714294</v>
      </c>
      <c r="AI7" s="62">
        <f t="shared" si="5"/>
        <v>442301.11285714433</v>
      </c>
      <c r="AJ7" s="63">
        <f t="shared" si="5"/>
        <v>450925.35214285925</v>
      </c>
      <c r="AL7" s="64">
        <f t="shared" si="1"/>
        <v>1.8147368824210199</v>
      </c>
    </row>
    <row r="8" spans="1:38" x14ac:dyDescent="0.25">
      <c r="A8" s="4" t="s">
        <v>42</v>
      </c>
      <c r="B8" s="4" t="s">
        <v>42</v>
      </c>
      <c r="C8" s="4">
        <f t="array" ref="C8">INDEX('OECD 2018'!AC:AC,MATCH($A8,'OECD 2018'!$A:$A,0))</f>
        <v>-5361753.5728571443</v>
      </c>
      <c r="D8" s="60">
        <f t="array" ref="D8">INDEX('OECD 2018'!AD:AD,MATCH($A8,'OECD 2018'!$A:$A,0))</f>
        <v>2684.661428571429</v>
      </c>
      <c r="E8" s="4">
        <f>SUMIFS('OECD 2018'!$AA$9:$AA$65,'OECD 2018'!$A$9:$A$65,calcs!A8)</f>
        <v>52239.5</v>
      </c>
      <c r="F8" s="61">
        <f t="shared" ref="F8:AJ8" si="6">F$2*$D8+$C8</f>
        <v>61262.512857142836</v>
      </c>
      <c r="G8" s="62">
        <f t="shared" si="6"/>
        <v>63947.174285713583</v>
      </c>
      <c r="H8" s="62">
        <f t="shared" si="6"/>
        <v>66631.835714285262</v>
      </c>
      <c r="I8" s="62">
        <f t="shared" si="6"/>
        <v>69316.497142856941</v>
      </c>
      <c r="J8" s="62">
        <f t="shared" si="6"/>
        <v>72001.158571427688</v>
      </c>
      <c r="K8" s="62">
        <f t="shared" si="6"/>
        <v>74685.819999999367</v>
      </c>
      <c r="L8" s="62">
        <f t="shared" si="6"/>
        <v>77370.481428571045</v>
      </c>
      <c r="M8" s="62">
        <f t="shared" si="6"/>
        <v>80055.142857142724</v>
      </c>
      <c r="N8" s="62">
        <f t="shared" si="6"/>
        <v>82739.804285713471</v>
      </c>
      <c r="O8" s="62">
        <f t="shared" si="6"/>
        <v>85424.46571428515</v>
      </c>
      <c r="P8" s="62">
        <f t="shared" si="6"/>
        <v>88109.127142856829</v>
      </c>
      <c r="Q8" s="62">
        <f t="shared" si="6"/>
        <v>90793.788571428508</v>
      </c>
      <c r="R8" s="62">
        <f t="shared" si="6"/>
        <v>93478.449999999255</v>
      </c>
      <c r="S8" s="62">
        <f t="shared" si="6"/>
        <v>96163.111428570934</v>
      </c>
      <c r="T8" s="62">
        <f t="shared" si="6"/>
        <v>98847.772857142612</v>
      </c>
      <c r="U8" s="62">
        <f t="shared" si="6"/>
        <v>101532.43428571336</v>
      </c>
      <c r="V8" s="62">
        <f t="shared" si="6"/>
        <v>104217.09571428504</v>
      </c>
      <c r="W8" s="62">
        <f t="shared" si="6"/>
        <v>106901.75714285672</v>
      </c>
      <c r="X8" s="62">
        <f t="shared" si="6"/>
        <v>109586.4185714284</v>
      </c>
      <c r="Y8" s="62">
        <f t="shared" si="6"/>
        <v>112271.07999999914</v>
      </c>
      <c r="Z8" s="62">
        <f t="shared" si="6"/>
        <v>114955.74142857082</v>
      </c>
      <c r="AA8" s="62">
        <f t="shared" si="6"/>
        <v>117640.4028571425</v>
      </c>
      <c r="AB8" s="62">
        <f t="shared" si="6"/>
        <v>120325.06428571418</v>
      </c>
      <c r="AC8" s="62">
        <f t="shared" si="6"/>
        <v>123009.72571428493</v>
      </c>
      <c r="AD8" s="62">
        <f t="shared" si="6"/>
        <v>125694.38714285661</v>
      </c>
      <c r="AE8" s="62">
        <f t="shared" si="6"/>
        <v>128379.04857142828</v>
      </c>
      <c r="AF8" s="62">
        <f t="shared" si="6"/>
        <v>131063.70999999996</v>
      </c>
      <c r="AG8" s="62">
        <f t="shared" si="6"/>
        <v>133748.37142857071</v>
      </c>
      <c r="AH8" s="62">
        <f t="shared" si="6"/>
        <v>136433.03285714239</v>
      </c>
      <c r="AI8" s="62">
        <f t="shared" si="6"/>
        <v>139117.69428571407</v>
      </c>
      <c r="AJ8" s="63">
        <f t="shared" si="6"/>
        <v>141802.35571428481</v>
      </c>
      <c r="AL8" s="64">
        <f t="shared" si="1"/>
        <v>1.7144661743371359</v>
      </c>
    </row>
    <row r="9" spans="1:38" x14ac:dyDescent="0.25">
      <c r="A9" s="4" t="s">
        <v>44</v>
      </c>
      <c r="B9" s="4" t="s">
        <v>44</v>
      </c>
      <c r="C9" s="4">
        <f t="array" ref="C9">INDEX('OECD 2018'!AC:AC,MATCH($A9,'OECD 2018'!$A:$A,0))</f>
        <v>-1710885.4023809524</v>
      </c>
      <c r="D9" s="60">
        <f t="array" ref="D9">INDEX('OECD 2018'!AD:AD,MATCH($A9,'OECD 2018'!$A:$A,0))</f>
        <v>856.41285714285709</v>
      </c>
      <c r="E9" s="4">
        <f>SUMIFS('OECD 2018'!$AA$9:$AA$65,'OECD 2018'!$A$9:$A$65,calcs!A9)</f>
        <v>15897.5</v>
      </c>
      <c r="F9" s="61">
        <f t="shared" ref="F9:AJ9" si="7">F$2*$D9+$C9</f>
        <v>19068.56904761889</v>
      </c>
      <c r="G9" s="62">
        <f t="shared" si="7"/>
        <v>19924.981904761866</v>
      </c>
      <c r="H9" s="62">
        <f t="shared" si="7"/>
        <v>20781.394761904608</v>
      </c>
      <c r="I9" s="62">
        <f t="shared" si="7"/>
        <v>21637.807619047584</v>
      </c>
      <c r="J9" s="62">
        <f t="shared" si="7"/>
        <v>22494.220476190327</v>
      </c>
      <c r="K9" s="62">
        <f t="shared" si="7"/>
        <v>23350.633333333302</v>
      </c>
      <c r="L9" s="62">
        <f t="shared" si="7"/>
        <v>24207.046190476045</v>
      </c>
      <c r="M9" s="62">
        <f t="shared" si="7"/>
        <v>25063.459047619021</v>
      </c>
      <c r="N9" s="62">
        <f t="shared" si="7"/>
        <v>25919.871904761763</v>
      </c>
      <c r="O9" s="62">
        <f t="shared" si="7"/>
        <v>26776.284761904739</v>
      </c>
      <c r="P9" s="62">
        <f t="shared" si="7"/>
        <v>27632.697619047482</v>
      </c>
      <c r="Q9" s="62">
        <f t="shared" si="7"/>
        <v>28489.110476190457</v>
      </c>
      <c r="R9" s="62">
        <f t="shared" si="7"/>
        <v>29345.5233333332</v>
      </c>
      <c r="S9" s="62">
        <f t="shared" si="7"/>
        <v>30201.936190476175</v>
      </c>
      <c r="T9" s="62">
        <f t="shared" si="7"/>
        <v>31058.349047618918</v>
      </c>
      <c r="U9" s="62">
        <f t="shared" si="7"/>
        <v>31914.761904761894</v>
      </c>
      <c r="V9" s="62">
        <f t="shared" si="7"/>
        <v>32771.174761904636</v>
      </c>
      <c r="W9" s="62">
        <f t="shared" si="7"/>
        <v>33627.587619047612</v>
      </c>
      <c r="X9" s="62">
        <f t="shared" si="7"/>
        <v>34484.000476190355</v>
      </c>
      <c r="Y9" s="62">
        <f t="shared" si="7"/>
        <v>35340.41333333333</v>
      </c>
      <c r="Z9" s="62">
        <f t="shared" si="7"/>
        <v>36196.826190476073</v>
      </c>
      <c r="AA9" s="62">
        <f t="shared" si="7"/>
        <v>37053.239047619049</v>
      </c>
      <c r="AB9" s="62">
        <f t="shared" si="7"/>
        <v>37909.651904761791</v>
      </c>
      <c r="AC9" s="62">
        <f t="shared" si="7"/>
        <v>38766.064761904767</v>
      </c>
      <c r="AD9" s="62">
        <f t="shared" si="7"/>
        <v>39622.47761904751</v>
      </c>
      <c r="AE9" s="62">
        <f t="shared" si="7"/>
        <v>40478.890476190485</v>
      </c>
      <c r="AF9" s="62">
        <f t="shared" si="7"/>
        <v>41335.303333333228</v>
      </c>
      <c r="AG9" s="62">
        <f t="shared" si="7"/>
        <v>42191.716190476203</v>
      </c>
      <c r="AH9" s="62">
        <f t="shared" si="7"/>
        <v>43048.129047618946</v>
      </c>
      <c r="AI9" s="62">
        <f t="shared" si="7"/>
        <v>43904.541904761689</v>
      </c>
      <c r="AJ9" s="63">
        <f t="shared" si="7"/>
        <v>44760.954761904664</v>
      </c>
      <c r="AL9" s="64">
        <f t="shared" si="1"/>
        <v>1.8155970914863762</v>
      </c>
    </row>
    <row r="10" spans="1:38" x14ac:dyDescent="0.25">
      <c r="A10" s="4" t="s">
        <v>46</v>
      </c>
      <c r="B10" s="4" t="s">
        <v>46</v>
      </c>
      <c r="C10" s="4">
        <f t="array" ref="C10">INDEX('OECD 2018'!AC:AC,MATCH($A10,'OECD 2018'!$A:$A,0))</f>
        <v>-2793795.9148809523</v>
      </c>
      <c r="D10" s="60">
        <f t="array" ref="D10">INDEX('OECD 2018'!AD:AD,MATCH($A10,'OECD 2018'!$A:$A,0))</f>
        <v>1398.3103571428571</v>
      </c>
      <c r="E10" s="4">
        <f>SUMIFS('OECD 2018'!$AA$9:$AA$65,'OECD 2018'!$A$9:$A$65,calcs!A10)</f>
        <v>25618.799999999999</v>
      </c>
      <c r="F10" s="61">
        <f t="shared" ref="F10:AJ10" si="8">F$2*$D10+$C10</f>
        <v>30791.006547619123</v>
      </c>
      <c r="G10" s="62">
        <f t="shared" si="8"/>
        <v>32189.316904761828</v>
      </c>
      <c r="H10" s="62">
        <f t="shared" si="8"/>
        <v>33587.627261905</v>
      </c>
      <c r="I10" s="62">
        <f t="shared" si="8"/>
        <v>34985.937619047705</v>
      </c>
      <c r="J10" s="62">
        <f t="shared" si="8"/>
        <v>36384.247976190411</v>
      </c>
      <c r="K10" s="62">
        <f t="shared" si="8"/>
        <v>37782.558333333582</v>
      </c>
      <c r="L10" s="62">
        <f t="shared" si="8"/>
        <v>39180.868690476287</v>
      </c>
      <c r="M10" s="62">
        <f t="shared" si="8"/>
        <v>40579.179047618993</v>
      </c>
      <c r="N10" s="62">
        <f t="shared" si="8"/>
        <v>41977.489404761698</v>
      </c>
      <c r="O10" s="62">
        <f t="shared" si="8"/>
        <v>43375.799761904869</v>
      </c>
      <c r="P10" s="62">
        <f t="shared" si="8"/>
        <v>44774.110119047575</v>
      </c>
      <c r="Q10" s="62">
        <f t="shared" si="8"/>
        <v>46172.42047619028</v>
      </c>
      <c r="R10" s="62">
        <f t="shared" si="8"/>
        <v>47570.730833333451</v>
      </c>
      <c r="S10" s="62">
        <f t="shared" si="8"/>
        <v>48969.041190476157</v>
      </c>
      <c r="T10" s="62">
        <f t="shared" si="8"/>
        <v>50367.351547618862</v>
      </c>
      <c r="U10" s="62">
        <f t="shared" si="8"/>
        <v>51765.661904762033</v>
      </c>
      <c r="V10" s="62">
        <f t="shared" si="8"/>
        <v>53163.972261904739</v>
      </c>
      <c r="W10" s="62">
        <f t="shared" si="8"/>
        <v>54562.282619047444</v>
      </c>
      <c r="X10" s="62">
        <f t="shared" si="8"/>
        <v>55960.592976190615</v>
      </c>
      <c r="Y10" s="62">
        <f t="shared" si="8"/>
        <v>57358.903333333321</v>
      </c>
      <c r="Z10" s="62">
        <f t="shared" si="8"/>
        <v>58757.213690476026</v>
      </c>
      <c r="AA10" s="62">
        <f t="shared" si="8"/>
        <v>60155.524047619198</v>
      </c>
      <c r="AB10" s="62">
        <f t="shared" si="8"/>
        <v>61553.834404761903</v>
      </c>
      <c r="AC10" s="62">
        <f t="shared" si="8"/>
        <v>62952.144761904608</v>
      </c>
      <c r="AD10" s="62">
        <f t="shared" si="8"/>
        <v>64350.45511904778</v>
      </c>
      <c r="AE10" s="62">
        <f t="shared" si="8"/>
        <v>65748.765476190485</v>
      </c>
      <c r="AF10" s="62">
        <f t="shared" si="8"/>
        <v>67147.075833333191</v>
      </c>
      <c r="AG10" s="62">
        <f t="shared" si="8"/>
        <v>68545.386190476362</v>
      </c>
      <c r="AH10" s="62">
        <f t="shared" si="8"/>
        <v>69943.696547619067</v>
      </c>
      <c r="AI10" s="62">
        <f t="shared" si="8"/>
        <v>71342.006904761773</v>
      </c>
      <c r="AJ10" s="63">
        <f t="shared" si="8"/>
        <v>72740.317261904944</v>
      </c>
      <c r="AL10" s="64">
        <f t="shared" si="1"/>
        <v>1.8393335074985926</v>
      </c>
    </row>
    <row r="11" spans="1:38" x14ac:dyDescent="0.25">
      <c r="A11" s="4" t="s">
        <v>48</v>
      </c>
      <c r="B11" s="4" t="s">
        <v>48</v>
      </c>
      <c r="C11" s="4">
        <f t="array" ref="C11">INDEX('OECD 2018'!AC:AC,MATCH($A11,'OECD 2018'!$A:$A,0))</f>
        <v>-9626379.5714285728</v>
      </c>
      <c r="D11" s="60">
        <f t="array" ref="D11">INDEX('OECD 2018'!AD:AD,MATCH($A11,'OECD 2018'!$A:$A,0))</f>
        <v>4818.4857142857145</v>
      </c>
      <c r="E11" s="4">
        <f>SUMIFS('OECD 2018'!$AA$9:$AA$65,'OECD 2018'!$A$9:$A$65,calcs!A11)</f>
        <v>92056.9</v>
      </c>
      <c r="F11" s="61">
        <f t="shared" ref="F11:AJ11" si="9">F$2*$D11+$C11</f>
        <v>106961.5714285709</v>
      </c>
      <c r="G11" s="62">
        <f t="shared" si="9"/>
        <v>111780.0571428556</v>
      </c>
      <c r="H11" s="62">
        <f t="shared" si="9"/>
        <v>116598.54285714217</v>
      </c>
      <c r="I11" s="62">
        <f t="shared" si="9"/>
        <v>121417.02857142687</v>
      </c>
      <c r="J11" s="62">
        <f t="shared" si="9"/>
        <v>126235.51428571343</v>
      </c>
      <c r="K11" s="62">
        <f t="shared" si="9"/>
        <v>131054</v>
      </c>
      <c r="L11" s="62">
        <f t="shared" si="9"/>
        <v>135872.4857142847</v>
      </c>
      <c r="M11" s="62">
        <f t="shared" si="9"/>
        <v>140690.97142857127</v>
      </c>
      <c r="N11" s="62">
        <f t="shared" si="9"/>
        <v>145509.45714285597</v>
      </c>
      <c r="O11" s="62">
        <f t="shared" si="9"/>
        <v>150327.94285714254</v>
      </c>
      <c r="P11" s="62">
        <f t="shared" si="9"/>
        <v>155146.42857142724</v>
      </c>
      <c r="Q11" s="62">
        <f t="shared" si="9"/>
        <v>159964.91428571381</v>
      </c>
      <c r="R11" s="62">
        <f t="shared" si="9"/>
        <v>164783.39999999851</v>
      </c>
      <c r="S11" s="62">
        <f t="shared" si="9"/>
        <v>169601.88571428508</v>
      </c>
      <c r="T11" s="62">
        <f t="shared" si="9"/>
        <v>174420.37142856978</v>
      </c>
      <c r="U11" s="62">
        <f t="shared" si="9"/>
        <v>179238.85714285634</v>
      </c>
      <c r="V11" s="62">
        <f t="shared" si="9"/>
        <v>184057.34285714105</v>
      </c>
      <c r="W11" s="62">
        <f t="shared" si="9"/>
        <v>188875.82857142761</v>
      </c>
      <c r="X11" s="62">
        <f t="shared" si="9"/>
        <v>193694.31428571418</v>
      </c>
      <c r="Y11" s="62">
        <f t="shared" si="9"/>
        <v>198512.79999999888</v>
      </c>
      <c r="Z11" s="62">
        <f t="shared" si="9"/>
        <v>203331.28571428545</v>
      </c>
      <c r="AA11" s="62">
        <f t="shared" si="9"/>
        <v>208149.77142857015</v>
      </c>
      <c r="AB11" s="62">
        <f t="shared" si="9"/>
        <v>212968.25714285672</v>
      </c>
      <c r="AC11" s="62">
        <f t="shared" si="9"/>
        <v>217786.74285714142</v>
      </c>
      <c r="AD11" s="62">
        <f t="shared" si="9"/>
        <v>222605.22857142799</v>
      </c>
      <c r="AE11" s="62">
        <f t="shared" si="9"/>
        <v>227423.71428571269</v>
      </c>
      <c r="AF11" s="62">
        <f t="shared" si="9"/>
        <v>232242.19999999925</v>
      </c>
      <c r="AG11" s="62">
        <f t="shared" si="9"/>
        <v>237060.68571428396</v>
      </c>
      <c r="AH11" s="62">
        <f t="shared" si="9"/>
        <v>241879.17142857052</v>
      </c>
      <c r="AI11" s="62">
        <f t="shared" si="9"/>
        <v>246697.65714285709</v>
      </c>
      <c r="AJ11" s="63">
        <f t="shared" si="9"/>
        <v>251516.14285714179</v>
      </c>
      <c r="AL11" s="64">
        <f t="shared" si="1"/>
        <v>1.7321813232592214</v>
      </c>
    </row>
    <row r="12" spans="1:38" x14ac:dyDescent="0.25">
      <c r="A12" s="4" t="s">
        <v>50</v>
      </c>
      <c r="B12" s="4" t="s">
        <v>50</v>
      </c>
      <c r="C12" s="4">
        <f t="array" ref="C12">INDEX('OECD 2018'!AC:AC,MATCH($A12,'OECD 2018'!$A:$A,0))</f>
        <v>-4285129.5267857146</v>
      </c>
      <c r="D12" s="60">
        <f t="array" ref="D12">INDEX('OECD 2018'!AD:AD,MATCH($A12,'OECD 2018'!$A:$A,0))</f>
        <v>2144.9946428571429</v>
      </c>
      <c r="E12" s="4">
        <f>SUMIFS('OECD 2018'!$AA$9:$AA$65,'OECD 2018'!$A$9:$A$65,calcs!A12)</f>
        <v>39817.199999999997</v>
      </c>
      <c r="F12" s="61">
        <f t="shared" ref="F12:AJ12" si="10">F$2*$D12+$C12</f>
        <v>47759.651785714552</v>
      </c>
      <c r="G12" s="62">
        <f t="shared" si="10"/>
        <v>49904.646428571083</v>
      </c>
      <c r="H12" s="62">
        <f t="shared" si="10"/>
        <v>52049.641071428545</v>
      </c>
      <c r="I12" s="62">
        <f t="shared" si="10"/>
        <v>54194.635714286007</v>
      </c>
      <c r="J12" s="62">
        <f t="shared" si="10"/>
        <v>56339.630357142538</v>
      </c>
      <c r="K12" s="62">
        <f t="shared" si="10"/>
        <v>58484.625</v>
      </c>
      <c r="L12" s="62">
        <f t="shared" si="10"/>
        <v>60629.619642857462</v>
      </c>
      <c r="M12" s="62">
        <f t="shared" si="10"/>
        <v>62774.614285713993</v>
      </c>
      <c r="N12" s="62">
        <f t="shared" si="10"/>
        <v>64919.608928571455</v>
      </c>
      <c r="O12" s="62">
        <f t="shared" si="10"/>
        <v>67064.603571428917</v>
      </c>
      <c r="P12" s="62">
        <f t="shared" si="10"/>
        <v>69209.598214285448</v>
      </c>
      <c r="Q12" s="62">
        <f t="shared" si="10"/>
        <v>71354.59285714291</v>
      </c>
      <c r="R12" s="62">
        <f t="shared" si="10"/>
        <v>73499.587499999441</v>
      </c>
      <c r="S12" s="62">
        <f t="shared" si="10"/>
        <v>75644.582142856903</v>
      </c>
      <c r="T12" s="62">
        <f t="shared" si="10"/>
        <v>77789.576785714366</v>
      </c>
      <c r="U12" s="62">
        <f t="shared" si="10"/>
        <v>79934.571428570896</v>
      </c>
      <c r="V12" s="62">
        <f t="shared" si="10"/>
        <v>82079.566071428359</v>
      </c>
      <c r="W12" s="62">
        <f t="shared" si="10"/>
        <v>84224.560714285821</v>
      </c>
      <c r="X12" s="62">
        <f t="shared" si="10"/>
        <v>86369.555357142352</v>
      </c>
      <c r="Y12" s="62">
        <f t="shared" si="10"/>
        <v>88514.549999999814</v>
      </c>
      <c r="Z12" s="62">
        <f t="shared" si="10"/>
        <v>90659.544642857276</v>
      </c>
      <c r="AA12" s="62">
        <f t="shared" si="10"/>
        <v>92804.539285713807</v>
      </c>
      <c r="AB12" s="62">
        <f t="shared" si="10"/>
        <v>94949.533928571269</v>
      </c>
      <c r="AC12" s="62">
        <f t="shared" si="10"/>
        <v>97094.528571428731</v>
      </c>
      <c r="AD12" s="62">
        <f t="shared" si="10"/>
        <v>99239.523214285262</v>
      </c>
      <c r="AE12" s="62">
        <f t="shared" si="10"/>
        <v>101384.51785714272</v>
      </c>
      <c r="AF12" s="62">
        <f t="shared" si="10"/>
        <v>103529.51250000019</v>
      </c>
      <c r="AG12" s="62">
        <f t="shared" si="10"/>
        <v>105674.50714285672</v>
      </c>
      <c r="AH12" s="62">
        <f t="shared" si="10"/>
        <v>107819.50178571418</v>
      </c>
      <c r="AI12" s="62">
        <f t="shared" si="10"/>
        <v>109964.49642857164</v>
      </c>
      <c r="AJ12" s="63">
        <f t="shared" si="10"/>
        <v>112109.49107142817</v>
      </c>
      <c r="AL12" s="64">
        <f t="shared" si="1"/>
        <v>1.8156045897609119</v>
      </c>
    </row>
    <row r="13" spans="1:38" x14ac:dyDescent="0.25">
      <c r="A13" s="4" t="s">
        <v>52</v>
      </c>
      <c r="B13" s="4" t="s">
        <v>52</v>
      </c>
      <c r="C13" s="4">
        <f t="array" ref="C13">INDEX('OECD 2018'!AC:AC,MATCH($A13,'OECD 2018'!$A:$A,0))</f>
        <v>-401621.96952380956</v>
      </c>
      <c r="D13" s="60">
        <f t="array" ref="D13">INDEX('OECD 2018'!AD:AD,MATCH($A13,'OECD 2018'!$A:$A,0))</f>
        <v>201.4914285714286</v>
      </c>
      <c r="E13" s="4">
        <f>SUMIFS('OECD 2018'!$AA$9:$AA$65,'OECD 2018'!$A$9:$A$65,calcs!A13)</f>
        <v>4573.2</v>
      </c>
      <c r="F13" s="61">
        <f t="shared" ref="F13:AJ13" si="11">F$2*$D13+$C13</f>
        <v>5390.7161904762033</v>
      </c>
      <c r="G13" s="62">
        <f t="shared" si="11"/>
        <v>5592.2076190476655</v>
      </c>
      <c r="H13" s="62">
        <f t="shared" si="11"/>
        <v>5793.6990476190695</v>
      </c>
      <c r="I13" s="62">
        <f t="shared" si="11"/>
        <v>5995.1904761904734</v>
      </c>
      <c r="J13" s="62">
        <f t="shared" si="11"/>
        <v>6196.6819047619356</v>
      </c>
      <c r="K13" s="62">
        <f t="shared" si="11"/>
        <v>6398.1733333333395</v>
      </c>
      <c r="L13" s="62">
        <f t="shared" si="11"/>
        <v>6599.6647619048017</v>
      </c>
      <c r="M13" s="62">
        <f t="shared" si="11"/>
        <v>6801.1561904762057</v>
      </c>
      <c r="N13" s="62">
        <f t="shared" si="11"/>
        <v>7002.6476190476678</v>
      </c>
      <c r="O13" s="62">
        <f t="shared" si="11"/>
        <v>7204.1390476190718</v>
      </c>
      <c r="P13" s="62">
        <f t="shared" si="11"/>
        <v>7405.6304761904757</v>
      </c>
      <c r="Q13" s="62">
        <f t="shared" si="11"/>
        <v>7607.1219047619379</v>
      </c>
      <c r="R13" s="62">
        <f t="shared" si="11"/>
        <v>7808.6133333333419</v>
      </c>
      <c r="S13" s="62">
        <f t="shared" si="11"/>
        <v>8010.104761904804</v>
      </c>
      <c r="T13" s="62">
        <f t="shared" si="11"/>
        <v>8211.596190476208</v>
      </c>
      <c r="U13" s="62">
        <f t="shared" si="11"/>
        <v>8413.087619047612</v>
      </c>
      <c r="V13" s="62">
        <f t="shared" si="11"/>
        <v>8614.5790476190741</v>
      </c>
      <c r="W13" s="62">
        <f t="shared" si="11"/>
        <v>8816.0704761904781</v>
      </c>
      <c r="X13" s="62">
        <f t="shared" si="11"/>
        <v>9017.5619047619402</v>
      </c>
      <c r="Y13" s="62">
        <f t="shared" si="11"/>
        <v>9219.0533333333442</v>
      </c>
      <c r="Z13" s="62">
        <f t="shared" si="11"/>
        <v>9420.5447619048064</v>
      </c>
      <c r="AA13" s="62">
        <f t="shared" si="11"/>
        <v>9622.0361904762103</v>
      </c>
      <c r="AB13" s="62">
        <f t="shared" si="11"/>
        <v>9823.5276190476143</v>
      </c>
      <c r="AC13" s="62">
        <f t="shared" si="11"/>
        <v>10025.019047619076</v>
      </c>
      <c r="AD13" s="62">
        <f t="shared" si="11"/>
        <v>10226.51047619048</v>
      </c>
      <c r="AE13" s="62">
        <f t="shared" si="11"/>
        <v>10428.001904761943</v>
      </c>
      <c r="AF13" s="62">
        <f t="shared" si="11"/>
        <v>10629.493333333347</v>
      </c>
      <c r="AG13" s="62">
        <f t="shared" si="11"/>
        <v>10830.984761904809</v>
      </c>
      <c r="AH13" s="62">
        <f t="shared" si="11"/>
        <v>11032.476190476213</v>
      </c>
      <c r="AI13" s="62">
        <f t="shared" si="11"/>
        <v>11233.967619047617</v>
      </c>
      <c r="AJ13" s="63">
        <f t="shared" si="11"/>
        <v>11435.459047619079</v>
      </c>
      <c r="AL13" s="64">
        <f t="shared" si="1"/>
        <v>1.5005377083047056</v>
      </c>
    </row>
    <row r="14" spans="1:38" x14ac:dyDescent="0.25">
      <c r="A14" s="4" t="s">
        <v>54</v>
      </c>
      <c r="B14" s="4" t="s">
        <v>72</v>
      </c>
      <c r="C14" s="4">
        <f t="array" ref="C14">INDEX('OECD 2018'!AC:AC,MATCH($A14,'OECD 2018'!$A:$A,0))</f>
        <v>-3168213.4172619041</v>
      </c>
      <c r="D14" s="60">
        <f t="array" ref="D14">INDEX('OECD 2018'!AD:AD,MATCH($A14,'OECD 2018'!$A:$A,0))</f>
        <v>1585.9032142857141</v>
      </c>
      <c r="E14" s="4">
        <f>SUMIFS('OECD 2018'!$AA$9:$AA$65,'OECD 2018'!$A$9:$A$65,calcs!A14)</f>
        <v>29438.799999999999</v>
      </c>
      <c r="F14" s="61">
        <f t="shared" ref="F14:AJ14" si="12">F$2*$D14+$C14</f>
        <v>35311.075595238246</v>
      </c>
      <c r="G14" s="62">
        <f t="shared" si="12"/>
        <v>36896.978809523862</v>
      </c>
      <c r="H14" s="62">
        <f t="shared" si="12"/>
        <v>38482.882023809943</v>
      </c>
      <c r="I14" s="62">
        <f t="shared" si="12"/>
        <v>40068.785238095559</v>
      </c>
      <c r="J14" s="62">
        <f t="shared" si="12"/>
        <v>41654.688452381175</v>
      </c>
      <c r="K14" s="62">
        <f t="shared" si="12"/>
        <v>43240.591666666791</v>
      </c>
      <c r="L14" s="62">
        <f t="shared" si="12"/>
        <v>44826.494880952407</v>
      </c>
      <c r="M14" s="62">
        <f t="shared" si="12"/>
        <v>46412.398095238488</v>
      </c>
      <c r="N14" s="62">
        <f t="shared" si="12"/>
        <v>47998.301309524104</v>
      </c>
      <c r="O14" s="62">
        <f t="shared" si="12"/>
        <v>49584.20452380972</v>
      </c>
      <c r="P14" s="62">
        <f t="shared" si="12"/>
        <v>51170.107738095336</v>
      </c>
      <c r="Q14" s="62">
        <f t="shared" si="12"/>
        <v>52756.010952380951</v>
      </c>
      <c r="R14" s="62">
        <f t="shared" si="12"/>
        <v>54341.914166667033</v>
      </c>
      <c r="S14" s="62">
        <f t="shared" si="12"/>
        <v>55927.817380952649</v>
      </c>
      <c r="T14" s="62">
        <f t="shared" si="12"/>
        <v>57513.720595238265</v>
      </c>
      <c r="U14" s="62">
        <f t="shared" si="12"/>
        <v>59099.62380952388</v>
      </c>
      <c r="V14" s="62">
        <f t="shared" si="12"/>
        <v>60685.527023809496</v>
      </c>
      <c r="W14" s="62">
        <f t="shared" si="12"/>
        <v>62271.430238095578</v>
      </c>
      <c r="X14" s="62">
        <f t="shared" si="12"/>
        <v>63857.333452381194</v>
      </c>
      <c r="Y14" s="62">
        <f t="shared" si="12"/>
        <v>65443.236666666809</v>
      </c>
      <c r="Z14" s="62">
        <f t="shared" si="12"/>
        <v>67029.139880952425</v>
      </c>
      <c r="AA14" s="62">
        <f t="shared" si="12"/>
        <v>68615.043095238507</v>
      </c>
      <c r="AB14" s="62">
        <f t="shared" si="12"/>
        <v>70200.946309524123</v>
      </c>
      <c r="AC14" s="62">
        <f t="shared" si="12"/>
        <v>71786.849523809738</v>
      </c>
      <c r="AD14" s="62">
        <f t="shared" si="12"/>
        <v>73372.752738095354</v>
      </c>
      <c r="AE14" s="62">
        <f t="shared" si="12"/>
        <v>74958.65595238097</v>
      </c>
      <c r="AF14" s="62">
        <f t="shared" si="12"/>
        <v>76544.559166667052</v>
      </c>
      <c r="AG14" s="62">
        <f t="shared" si="12"/>
        <v>78130.462380952667</v>
      </c>
      <c r="AH14" s="62">
        <f t="shared" si="12"/>
        <v>79716.365595238283</v>
      </c>
      <c r="AI14" s="62">
        <f t="shared" si="12"/>
        <v>81302.268809523899</v>
      </c>
      <c r="AJ14" s="63">
        <f t="shared" si="12"/>
        <v>82888.172023809515</v>
      </c>
      <c r="AL14" s="64">
        <f t="shared" si="1"/>
        <v>1.8156097403362064</v>
      </c>
    </row>
    <row r="15" spans="1:38" x14ac:dyDescent="0.25">
      <c r="A15" s="41" t="s">
        <v>56</v>
      </c>
      <c r="B15" s="4" t="s">
        <v>56</v>
      </c>
      <c r="C15" s="4">
        <f t="array" ref="C15">INDEX('OECD 2018'!AC:AC,MATCH($A15,'OECD 2018'!$A:$A,0))</f>
        <v>-1767953.6035714292</v>
      </c>
      <c r="D15" s="60">
        <f t="array" ref="D15">INDEX('OECD 2018'!AD:AD,MATCH($A15,'OECD 2018'!$A:$A,0))</f>
        <v>884.97928571428599</v>
      </c>
      <c r="E15" s="4">
        <f>SUMIFS('OECD 2018'!$AA$9:$AA$65,'OECD 2018'!$A$9:$A$65,calcs!A15)</f>
        <v>16427.7</v>
      </c>
      <c r="F15" s="61">
        <f t="shared" ref="F15:AJ15" si="13">F$2*$D15+$C15</f>
        <v>19704.553571428638</v>
      </c>
      <c r="G15" s="62">
        <f t="shared" si="13"/>
        <v>20589.532857142854</v>
      </c>
      <c r="H15" s="62">
        <f t="shared" si="13"/>
        <v>21474.512142857071</v>
      </c>
      <c r="I15" s="62">
        <f t="shared" si="13"/>
        <v>22359.49142857152</v>
      </c>
      <c r="J15" s="62">
        <f t="shared" si="13"/>
        <v>23244.470714285737</v>
      </c>
      <c r="K15" s="62">
        <f t="shared" si="13"/>
        <v>24129.449999999953</v>
      </c>
      <c r="L15" s="62">
        <f t="shared" si="13"/>
        <v>25014.42928571417</v>
      </c>
      <c r="M15" s="62">
        <f t="shared" si="13"/>
        <v>25899.408571428619</v>
      </c>
      <c r="N15" s="62">
        <f t="shared" si="13"/>
        <v>26784.387857142836</v>
      </c>
      <c r="O15" s="62">
        <f t="shared" si="13"/>
        <v>27669.367142857052</v>
      </c>
      <c r="P15" s="62">
        <f t="shared" si="13"/>
        <v>28554.346428571502</v>
      </c>
      <c r="Q15" s="62">
        <f t="shared" si="13"/>
        <v>29439.325714285718</v>
      </c>
      <c r="R15" s="62">
        <f t="shared" si="13"/>
        <v>30324.304999999935</v>
      </c>
      <c r="S15" s="62">
        <f t="shared" si="13"/>
        <v>31209.284285714384</v>
      </c>
      <c r="T15" s="62">
        <f t="shared" si="13"/>
        <v>32094.263571428601</v>
      </c>
      <c r="U15" s="62">
        <f t="shared" si="13"/>
        <v>32979.242857142817</v>
      </c>
      <c r="V15" s="62">
        <f t="shared" si="13"/>
        <v>33864.222142857034</v>
      </c>
      <c r="W15" s="62">
        <f t="shared" si="13"/>
        <v>34749.201428571483</v>
      </c>
      <c r="X15" s="62">
        <f t="shared" si="13"/>
        <v>35634.1807142857</v>
      </c>
      <c r="Y15" s="62">
        <f t="shared" si="13"/>
        <v>36519.159999999916</v>
      </c>
      <c r="Z15" s="62">
        <f t="shared" si="13"/>
        <v>37404.139285714366</v>
      </c>
      <c r="AA15" s="62">
        <f t="shared" si="13"/>
        <v>38289.118571428582</v>
      </c>
      <c r="AB15" s="62">
        <f t="shared" si="13"/>
        <v>39174.097857142799</v>
      </c>
      <c r="AC15" s="62">
        <f t="shared" si="13"/>
        <v>40059.077142857248</v>
      </c>
      <c r="AD15" s="62">
        <f t="shared" si="13"/>
        <v>40944.056428571464</v>
      </c>
      <c r="AE15" s="62">
        <f t="shared" si="13"/>
        <v>41829.035714285681</v>
      </c>
      <c r="AF15" s="62">
        <f t="shared" si="13"/>
        <v>42714.014999999898</v>
      </c>
      <c r="AG15" s="62">
        <f t="shared" si="13"/>
        <v>43598.994285714347</v>
      </c>
      <c r="AH15" s="62">
        <f t="shared" si="13"/>
        <v>44483.973571428563</v>
      </c>
      <c r="AI15" s="62">
        <f t="shared" si="13"/>
        <v>45368.95285714278</v>
      </c>
      <c r="AJ15" s="63">
        <f t="shared" si="13"/>
        <v>46253.932142857229</v>
      </c>
      <c r="AL15" s="64">
        <f t="shared" si="1"/>
        <v>1.8156060886707954</v>
      </c>
    </row>
    <row r="16" spans="1:38" x14ac:dyDescent="0.25">
      <c r="A16" s="41" t="s">
        <v>58</v>
      </c>
      <c r="B16" s="4" t="s">
        <v>58</v>
      </c>
      <c r="C16" s="4">
        <f t="array" ref="C16">INDEX('OECD 2018'!AC:AC,MATCH($A16,'OECD 2018'!$A:$A,0))</f>
        <v>-2671878.3807142852</v>
      </c>
      <c r="D16" s="60">
        <f t="array" ref="D16">INDEX('OECD 2018'!AD:AD,MATCH($A16,'OECD 2018'!$A:$A,0))</f>
        <v>1337.4678571428569</v>
      </c>
      <c r="E16" s="4">
        <f>SUMIFS('OECD 2018'!$AA$9:$AA$65,'OECD 2018'!$A$9:$A$65,calcs!A16)</f>
        <v>24858.799999999999</v>
      </c>
      <c r="F16" s="61">
        <f t="shared" ref="F16:AJ16" si="14">F$2*$D16+$C16</f>
        <v>29806.690714285709</v>
      </c>
      <c r="G16" s="62">
        <f t="shared" si="14"/>
        <v>31144.158571428619</v>
      </c>
      <c r="H16" s="62">
        <f t="shared" si="14"/>
        <v>32481.62642857153</v>
      </c>
      <c r="I16" s="62">
        <f t="shared" si="14"/>
        <v>33819.09428571444</v>
      </c>
      <c r="J16" s="62">
        <f t="shared" si="14"/>
        <v>35156.56214285735</v>
      </c>
      <c r="K16" s="62">
        <f t="shared" si="14"/>
        <v>36494.030000000261</v>
      </c>
      <c r="L16" s="62">
        <f t="shared" si="14"/>
        <v>37831.497857143171</v>
      </c>
      <c r="M16" s="62">
        <f t="shared" si="14"/>
        <v>39168.965714285616</v>
      </c>
      <c r="N16" s="62">
        <f t="shared" si="14"/>
        <v>40506.433571428526</v>
      </c>
      <c r="O16" s="62">
        <f t="shared" si="14"/>
        <v>41843.901428571437</v>
      </c>
      <c r="P16" s="62">
        <f t="shared" si="14"/>
        <v>43181.369285714347</v>
      </c>
      <c r="Q16" s="62">
        <f t="shared" si="14"/>
        <v>44518.837142857257</v>
      </c>
      <c r="R16" s="62">
        <f t="shared" si="14"/>
        <v>45856.305000000168</v>
      </c>
      <c r="S16" s="62">
        <f t="shared" si="14"/>
        <v>47193.772857143078</v>
      </c>
      <c r="T16" s="62">
        <f t="shared" si="14"/>
        <v>48531.240714285988</v>
      </c>
      <c r="U16" s="62">
        <f t="shared" si="14"/>
        <v>49868.708571428433</v>
      </c>
      <c r="V16" s="62">
        <f t="shared" si="14"/>
        <v>51206.176428571343</v>
      </c>
      <c r="W16" s="62">
        <f t="shared" si="14"/>
        <v>52543.644285714254</v>
      </c>
      <c r="X16" s="62">
        <f t="shared" si="14"/>
        <v>53881.112142857164</v>
      </c>
      <c r="Y16" s="62">
        <f t="shared" si="14"/>
        <v>55218.580000000075</v>
      </c>
      <c r="Z16" s="62">
        <f t="shared" si="14"/>
        <v>56556.047857142985</v>
      </c>
      <c r="AA16" s="62">
        <f t="shared" si="14"/>
        <v>57893.515714285895</v>
      </c>
      <c r="AB16" s="62">
        <f t="shared" si="14"/>
        <v>59230.983571428806</v>
      </c>
      <c r="AC16" s="62">
        <f t="shared" si="14"/>
        <v>60568.451428571716</v>
      </c>
      <c r="AD16" s="62">
        <f t="shared" si="14"/>
        <v>61905.919285714161</v>
      </c>
      <c r="AE16" s="62">
        <f t="shared" si="14"/>
        <v>63243.387142857071</v>
      </c>
      <c r="AF16" s="62">
        <f t="shared" si="14"/>
        <v>64580.854999999981</v>
      </c>
      <c r="AG16" s="62">
        <f t="shared" si="14"/>
        <v>65918.322857142892</v>
      </c>
      <c r="AH16" s="62">
        <f t="shared" si="14"/>
        <v>67255.790714285802</v>
      </c>
      <c r="AI16" s="62">
        <f t="shared" si="14"/>
        <v>68593.258571428712</v>
      </c>
      <c r="AJ16" s="63">
        <f t="shared" si="14"/>
        <v>69930.726428571623</v>
      </c>
      <c r="AL16" s="64">
        <f t="shared" si="1"/>
        <v>1.8131175450372352</v>
      </c>
    </row>
    <row r="17" spans="1:38" x14ac:dyDescent="0.25">
      <c r="A17" s="4" t="s">
        <v>60</v>
      </c>
      <c r="B17" s="4" t="s">
        <v>60</v>
      </c>
      <c r="C17" s="4">
        <f t="array" ref="C17">INDEX('OECD 2018'!AC:AC,MATCH($A17,'OECD 2018'!$A:$A,0))</f>
        <v>-5521655.8253571447</v>
      </c>
      <c r="D17" s="60">
        <f t="array" ref="D17">INDEX('OECD 2018'!AD:AD,MATCH($A17,'OECD 2018'!$A:$A,0))</f>
        <v>2763.9589285714296</v>
      </c>
      <c r="E17" s="4">
        <f>SUMIFS('OECD 2018'!$AA$9:$AA$65,'OECD 2018'!$A$9:$A$65,calcs!A17)</f>
        <v>51306.9</v>
      </c>
      <c r="F17" s="61">
        <f t="shared" ref="F17:AJ17" si="15">F$2*$D17+$C17</f>
        <v>61541.210357143544</v>
      </c>
      <c r="G17" s="62">
        <f t="shared" si="15"/>
        <v>64305.169285714626</v>
      </c>
      <c r="H17" s="62">
        <f t="shared" si="15"/>
        <v>67069.128214285709</v>
      </c>
      <c r="I17" s="62">
        <f t="shared" si="15"/>
        <v>69833.087142857723</v>
      </c>
      <c r="J17" s="62">
        <f t="shared" si="15"/>
        <v>72597.046071428806</v>
      </c>
      <c r="K17" s="62">
        <f t="shared" si="15"/>
        <v>75361.004999999888</v>
      </c>
      <c r="L17" s="62">
        <f t="shared" si="15"/>
        <v>78124.963928571902</v>
      </c>
      <c r="M17" s="62">
        <f t="shared" si="15"/>
        <v>80888.922857142985</v>
      </c>
      <c r="N17" s="62">
        <f t="shared" si="15"/>
        <v>83652.881785714999</v>
      </c>
      <c r="O17" s="62">
        <f t="shared" si="15"/>
        <v>86416.840714286081</v>
      </c>
      <c r="P17" s="62">
        <f t="shared" si="15"/>
        <v>89180.799642857164</v>
      </c>
      <c r="Q17" s="62">
        <f t="shared" si="15"/>
        <v>91944.758571429178</v>
      </c>
      <c r="R17" s="62">
        <f t="shared" si="15"/>
        <v>94708.717500000261</v>
      </c>
      <c r="S17" s="62">
        <f t="shared" si="15"/>
        <v>97472.676428571343</v>
      </c>
      <c r="T17" s="62">
        <f t="shared" si="15"/>
        <v>100236.63535714336</v>
      </c>
      <c r="U17" s="62">
        <f t="shared" si="15"/>
        <v>103000.59428571444</v>
      </c>
      <c r="V17" s="62">
        <f t="shared" si="15"/>
        <v>105764.55321428645</v>
      </c>
      <c r="W17" s="62">
        <f t="shared" si="15"/>
        <v>108528.51214285754</v>
      </c>
      <c r="X17" s="62">
        <f t="shared" si="15"/>
        <v>111292.47107142862</v>
      </c>
      <c r="Y17" s="62">
        <f t="shared" si="15"/>
        <v>114056.43000000063</v>
      </c>
      <c r="Z17" s="62">
        <f t="shared" si="15"/>
        <v>116820.38892857172</v>
      </c>
      <c r="AA17" s="62">
        <f t="shared" si="15"/>
        <v>119584.3478571428</v>
      </c>
      <c r="AB17" s="62">
        <f t="shared" si="15"/>
        <v>122348.30678571481</v>
      </c>
      <c r="AC17" s="62">
        <f t="shared" si="15"/>
        <v>125112.2657142859</v>
      </c>
      <c r="AD17" s="62">
        <f t="shared" si="15"/>
        <v>127876.22464285791</v>
      </c>
      <c r="AE17" s="62">
        <f t="shared" si="15"/>
        <v>130640.18357142899</v>
      </c>
      <c r="AF17" s="62">
        <f t="shared" si="15"/>
        <v>133404.14250000007</v>
      </c>
      <c r="AG17" s="62">
        <f t="shared" si="15"/>
        <v>136168.10142857209</v>
      </c>
      <c r="AH17" s="62">
        <f t="shared" si="15"/>
        <v>138932.06035714317</v>
      </c>
      <c r="AI17" s="62">
        <f t="shared" si="15"/>
        <v>141696.01928571425</v>
      </c>
      <c r="AJ17" s="63">
        <f t="shared" si="15"/>
        <v>144459.97821428627</v>
      </c>
      <c r="AL17" s="64">
        <f t="shared" si="1"/>
        <v>1.8156052736432384</v>
      </c>
    </row>
    <row r="18" spans="1:38" x14ac:dyDescent="0.25">
      <c r="A18" s="4" t="s">
        <v>62</v>
      </c>
      <c r="B18" s="4" t="s">
        <v>60</v>
      </c>
      <c r="C18" s="4">
        <f t="array" ref="C18">INDEX('OECD 2018'!AC:AC,MATCH($A18,'OECD 2018'!$A:$A,0))</f>
        <v>-1806273.9642857143</v>
      </c>
      <c r="D18" s="60">
        <f t="array" ref="D18">INDEX('OECD 2018'!AD:AD,MATCH($A18,'OECD 2018'!$A:$A,0))</f>
        <v>905.04714285714294</v>
      </c>
      <c r="E18" s="4">
        <f>SUMIFS('OECD 2018'!$AA$9:$AA$65,'OECD 2018'!$A$9:$A$65,calcs!A18)</f>
        <v>18783.8</v>
      </c>
      <c r="F18" s="61">
        <f t="shared" ref="F18:AJ18" si="16">F$2*$D18+$C18</f>
        <v>21921.264285714366</v>
      </c>
      <c r="G18" s="62">
        <f t="shared" si="16"/>
        <v>22826.311428571586</v>
      </c>
      <c r="H18" s="62">
        <f t="shared" si="16"/>
        <v>23731.358571428806</v>
      </c>
      <c r="I18" s="62">
        <f t="shared" si="16"/>
        <v>24636.405714285793</v>
      </c>
      <c r="J18" s="62">
        <f t="shared" si="16"/>
        <v>25541.452857143013</v>
      </c>
      <c r="K18" s="62">
        <f t="shared" si="16"/>
        <v>26446.500000000233</v>
      </c>
      <c r="L18" s="62">
        <f t="shared" si="16"/>
        <v>27351.54714285722</v>
      </c>
      <c r="M18" s="62">
        <f t="shared" si="16"/>
        <v>28256.59428571444</v>
      </c>
      <c r="N18" s="62">
        <f t="shared" si="16"/>
        <v>29161.64142857166</v>
      </c>
      <c r="O18" s="62">
        <f t="shared" si="16"/>
        <v>30066.688571428647</v>
      </c>
      <c r="P18" s="62">
        <f t="shared" si="16"/>
        <v>30971.735714285867</v>
      </c>
      <c r="Q18" s="62">
        <f t="shared" si="16"/>
        <v>31876.782857143087</v>
      </c>
      <c r="R18" s="62">
        <f t="shared" si="16"/>
        <v>32781.830000000075</v>
      </c>
      <c r="S18" s="62">
        <f t="shared" si="16"/>
        <v>33686.877142857295</v>
      </c>
      <c r="T18" s="62">
        <f t="shared" si="16"/>
        <v>34591.924285714515</v>
      </c>
      <c r="U18" s="62">
        <f t="shared" si="16"/>
        <v>35496.971428571502</v>
      </c>
      <c r="V18" s="62">
        <f t="shared" si="16"/>
        <v>36402.018571428722</v>
      </c>
      <c r="W18" s="62">
        <f t="shared" si="16"/>
        <v>37307.065714285942</v>
      </c>
      <c r="X18" s="62">
        <f t="shared" si="16"/>
        <v>38212.112857142929</v>
      </c>
      <c r="Y18" s="62">
        <f t="shared" si="16"/>
        <v>39117.160000000149</v>
      </c>
      <c r="Z18" s="62">
        <f t="shared" si="16"/>
        <v>40022.207142857369</v>
      </c>
      <c r="AA18" s="62">
        <f t="shared" si="16"/>
        <v>40927.254285714356</v>
      </c>
      <c r="AB18" s="62">
        <f t="shared" si="16"/>
        <v>41832.301428571576</v>
      </c>
      <c r="AC18" s="62">
        <f t="shared" si="16"/>
        <v>42737.348571428796</v>
      </c>
      <c r="AD18" s="62">
        <f t="shared" si="16"/>
        <v>43642.395714285783</v>
      </c>
      <c r="AE18" s="62">
        <f t="shared" si="16"/>
        <v>44547.442857143003</v>
      </c>
      <c r="AF18" s="62">
        <f t="shared" si="16"/>
        <v>45452.490000000224</v>
      </c>
      <c r="AG18" s="62">
        <f t="shared" si="16"/>
        <v>46357.537142857211</v>
      </c>
      <c r="AH18" s="62">
        <f t="shared" si="16"/>
        <v>47262.584285714431</v>
      </c>
      <c r="AI18" s="62">
        <f t="shared" si="16"/>
        <v>48167.631428571651</v>
      </c>
      <c r="AJ18" s="63">
        <f t="shared" si="16"/>
        <v>49072.678571428638</v>
      </c>
      <c r="AL18" s="64">
        <f t="shared" si="1"/>
        <v>1.6125000570400365</v>
      </c>
    </row>
    <row r="19" spans="1:38" x14ac:dyDescent="0.25">
      <c r="A19" s="4" t="s">
        <v>64</v>
      </c>
      <c r="B19" s="4" t="s">
        <v>60</v>
      </c>
      <c r="C19" s="4">
        <f t="array" ref="C19">INDEX('OECD 2018'!AC:AC,MATCH($A19,'OECD 2018'!$A:$A,0))</f>
        <v>-1567570.5784523806</v>
      </c>
      <c r="D19" s="60">
        <f t="array" ref="D19">INDEX('OECD 2018'!AD:AD,MATCH($A19,'OECD 2018'!$A:$A,0))</f>
        <v>784.58964285714274</v>
      </c>
      <c r="E19" s="4">
        <f>SUMIFS('OECD 2018'!$AA$9:$AA$65,'OECD 2018'!$A$9:$A$65,calcs!A19)</f>
        <v>14527</v>
      </c>
      <c r="F19" s="61">
        <f t="shared" ref="F19:AJ19" si="17">F$2*$D19+$C19</f>
        <v>17300.500119047705</v>
      </c>
      <c r="G19" s="62">
        <f t="shared" si="17"/>
        <v>18085.089761904906</v>
      </c>
      <c r="H19" s="62">
        <f t="shared" si="17"/>
        <v>18869.679404762108</v>
      </c>
      <c r="I19" s="62">
        <f t="shared" si="17"/>
        <v>19654.269047619076</v>
      </c>
      <c r="J19" s="62">
        <f t="shared" si="17"/>
        <v>20438.858690476278</v>
      </c>
      <c r="K19" s="62">
        <f t="shared" si="17"/>
        <v>21223.448333333479</v>
      </c>
      <c r="L19" s="62">
        <f t="shared" si="17"/>
        <v>22008.037976190681</v>
      </c>
      <c r="M19" s="62">
        <f t="shared" si="17"/>
        <v>22792.627619047649</v>
      </c>
      <c r="N19" s="62">
        <f t="shared" si="17"/>
        <v>23577.217261904851</v>
      </c>
      <c r="O19" s="62">
        <f t="shared" si="17"/>
        <v>24361.806904762052</v>
      </c>
      <c r="P19" s="62">
        <f t="shared" si="17"/>
        <v>25146.396547619253</v>
      </c>
      <c r="Q19" s="62">
        <f t="shared" si="17"/>
        <v>25930.986190476222</v>
      </c>
      <c r="R19" s="62">
        <f t="shared" si="17"/>
        <v>26715.575833333423</v>
      </c>
      <c r="S19" s="62">
        <f t="shared" si="17"/>
        <v>27500.165476190625</v>
      </c>
      <c r="T19" s="62">
        <f t="shared" si="17"/>
        <v>28284.755119047826</v>
      </c>
      <c r="U19" s="62">
        <f t="shared" si="17"/>
        <v>29069.344761904795</v>
      </c>
      <c r="V19" s="62">
        <f t="shared" si="17"/>
        <v>29853.934404761996</v>
      </c>
      <c r="W19" s="62">
        <f t="shared" si="17"/>
        <v>30638.524047619198</v>
      </c>
      <c r="X19" s="62">
        <f t="shared" si="17"/>
        <v>31423.113690476399</v>
      </c>
      <c r="Y19" s="62">
        <f t="shared" si="17"/>
        <v>32207.703333333367</v>
      </c>
      <c r="Z19" s="62">
        <f t="shared" si="17"/>
        <v>32992.292976190569</v>
      </c>
      <c r="AA19" s="62">
        <f t="shared" si="17"/>
        <v>33776.88261904777</v>
      </c>
      <c r="AB19" s="62">
        <f t="shared" si="17"/>
        <v>34561.472261904972</v>
      </c>
      <c r="AC19" s="62">
        <f t="shared" si="17"/>
        <v>35346.06190476194</v>
      </c>
      <c r="AD19" s="62">
        <f t="shared" si="17"/>
        <v>36130.651547619142</v>
      </c>
      <c r="AE19" s="62">
        <f t="shared" si="17"/>
        <v>36915.241190476343</v>
      </c>
      <c r="AF19" s="62">
        <f t="shared" si="17"/>
        <v>37699.830833333544</v>
      </c>
      <c r="AG19" s="62">
        <f t="shared" si="17"/>
        <v>38484.420476190513</v>
      </c>
      <c r="AH19" s="62">
        <f t="shared" si="17"/>
        <v>39269.010119047714</v>
      </c>
      <c r="AI19" s="62">
        <f t="shared" si="17"/>
        <v>40053.599761904916</v>
      </c>
      <c r="AJ19" s="63">
        <f t="shared" si="17"/>
        <v>40838.189404761884</v>
      </c>
      <c r="AL19" s="64">
        <f t="shared" si="1"/>
        <v>1.8111922217086724</v>
      </c>
    </row>
    <row r="20" spans="1:38" x14ac:dyDescent="0.25">
      <c r="A20" s="4" t="s">
        <v>66</v>
      </c>
      <c r="B20" s="4" t="s">
        <v>60</v>
      </c>
      <c r="C20" s="4">
        <f t="array" ref="C20">INDEX('OECD 2018'!AC:AC,MATCH($A20,'OECD 2018'!$A:$A,0))</f>
        <v>-1245231.3977380954</v>
      </c>
      <c r="D20" s="60">
        <f t="array" ref="D20">INDEX('OECD 2018'!AD:AD,MATCH($A20,'OECD 2018'!$A:$A,0))</f>
        <v>623.32178571428585</v>
      </c>
      <c r="E20" s="4">
        <f>SUMIFS('OECD 2018'!$AA$9:$AA$65,'OECD 2018'!$A$9:$A$65,calcs!A20)</f>
        <v>11570.6</v>
      </c>
      <c r="F20" s="61">
        <f t="shared" ref="F20:AJ20" si="18">F$2*$D20+$C20</f>
        <v>13878.609404762043</v>
      </c>
      <c r="G20" s="62">
        <f t="shared" si="18"/>
        <v>14501.931190476287</v>
      </c>
      <c r="H20" s="62">
        <f t="shared" si="18"/>
        <v>15125.252976190532</v>
      </c>
      <c r="I20" s="62">
        <f t="shared" si="18"/>
        <v>15748.574761905009</v>
      </c>
      <c r="J20" s="62">
        <f t="shared" si="18"/>
        <v>16371.896547619253</v>
      </c>
      <c r="K20" s="62">
        <f t="shared" si="18"/>
        <v>16995.218333333498</v>
      </c>
      <c r="L20" s="62">
        <f t="shared" si="18"/>
        <v>17618.540119047742</v>
      </c>
      <c r="M20" s="62">
        <f t="shared" si="18"/>
        <v>18241.861904761987</v>
      </c>
      <c r="N20" s="62">
        <f t="shared" si="18"/>
        <v>18865.183690476231</v>
      </c>
      <c r="O20" s="62">
        <f t="shared" si="18"/>
        <v>19488.505476190709</v>
      </c>
      <c r="P20" s="62">
        <f t="shared" si="18"/>
        <v>20111.827261904953</v>
      </c>
      <c r="Q20" s="62">
        <f t="shared" si="18"/>
        <v>20735.149047619198</v>
      </c>
      <c r="R20" s="62">
        <f t="shared" si="18"/>
        <v>21358.470833333442</v>
      </c>
      <c r="S20" s="62">
        <f t="shared" si="18"/>
        <v>21981.792619047686</v>
      </c>
      <c r="T20" s="62">
        <f t="shared" si="18"/>
        <v>22605.114404762164</v>
      </c>
      <c r="U20" s="62">
        <f t="shared" si="18"/>
        <v>23228.436190476408</v>
      </c>
      <c r="V20" s="62">
        <f t="shared" si="18"/>
        <v>23851.757976190653</v>
      </c>
      <c r="W20" s="62">
        <f t="shared" si="18"/>
        <v>24475.079761904897</v>
      </c>
      <c r="X20" s="62">
        <f t="shared" si="18"/>
        <v>25098.401547619142</v>
      </c>
      <c r="Y20" s="62">
        <f t="shared" si="18"/>
        <v>25721.723333333386</v>
      </c>
      <c r="Z20" s="62">
        <f t="shared" si="18"/>
        <v>26345.045119047863</v>
      </c>
      <c r="AA20" s="62">
        <f t="shared" si="18"/>
        <v>26968.366904762108</v>
      </c>
      <c r="AB20" s="62">
        <f t="shared" si="18"/>
        <v>27591.688690476352</v>
      </c>
      <c r="AC20" s="62">
        <f t="shared" si="18"/>
        <v>28215.010476190597</v>
      </c>
      <c r="AD20" s="62">
        <f t="shared" si="18"/>
        <v>28838.332261904841</v>
      </c>
      <c r="AE20" s="62">
        <f t="shared" si="18"/>
        <v>29461.654047619086</v>
      </c>
      <c r="AF20" s="62">
        <f t="shared" si="18"/>
        <v>30084.975833333563</v>
      </c>
      <c r="AG20" s="62">
        <f t="shared" si="18"/>
        <v>30708.297619047808</v>
      </c>
      <c r="AH20" s="62">
        <f t="shared" si="18"/>
        <v>31331.619404762052</v>
      </c>
      <c r="AI20" s="62">
        <f t="shared" si="18"/>
        <v>31954.941190476296</v>
      </c>
      <c r="AJ20" s="63">
        <f t="shared" si="18"/>
        <v>32578.262976190541</v>
      </c>
      <c r="AL20" s="64">
        <f t="shared" si="1"/>
        <v>1.8156070537561182</v>
      </c>
    </row>
    <row r="21" spans="1:38" ht="15.75" customHeight="1" x14ac:dyDescent="0.25">
      <c r="A21" s="4" t="s">
        <v>68</v>
      </c>
      <c r="B21" s="4" t="s">
        <v>68</v>
      </c>
      <c r="C21" s="4">
        <f t="array" ref="C21">INDEX('OECD 2018'!AC:AC,MATCH($A21,'OECD 2018'!$A:$A,0))</f>
        <v>-3520927.6448809523</v>
      </c>
      <c r="D21" s="60">
        <f t="array" ref="D21">INDEX('OECD 2018'!AD:AD,MATCH($A21,'OECD 2018'!$A:$A,0))</f>
        <v>1762.460357142857</v>
      </c>
      <c r="E21" s="4">
        <f>SUMIFS('OECD 2018'!$AA$9:$AA$65,'OECD 2018'!$A$9:$A$65,calcs!A21)</f>
        <v>32716.3</v>
      </c>
      <c r="F21" s="61">
        <f t="shared" ref="F21:AJ21" si="19">F$2*$D21+$C21</f>
        <v>39242.276547618676</v>
      </c>
      <c r="G21" s="62">
        <f t="shared" si="19"/>
        <v>41004.736904761754</v>
      </c>
      <c r="H21" s="62">
        <f t="shared" si="19"/>
        <v>42767.197261904366</v>
      </c>
      <c r="I21" s="62">
        <f t="shared" si="19"/>
        <v>44529.657619047444</v>
      </c>
      <c r="J21" s="62">
        <f t="shared" si="19"/>
        <v>46292.117976190057</v>
      </c>
      <c r="K21" s="62">
        <f t="shared" si="19"/>
        <v>48054.578333333135</v>
      </c>
      <c r="L21" s="62">
        <f t="shared" si="19"/>
        <v>49817.038690475747</v>
      </c>
      <c r="M21" s="62">
        <f t="shared" si="19"/>
        <v>51579.499047618825</v>
      </c>
      <c r="N21" s="62">
        <f t="shared" si="19"/>
        <v>53341.959404761437</v>
      </c>
      <c r="O21" s="62">
        <f t="shared" si="19"/>
        <v>55104.419761904515</v>
      </c>
      <c r="P21" s="62">
        <f t="shared" si="19"/>
        <v>56866.880119047593</v>
      </c>
      <c r="Q21" s="62">
        <f t="shared" si="19"/>
        <v>58629.340476190206</v>
      </c>
      <c r="R21" s="62">
        <f t="shared" si="19"/>
        <v>60391.800833333284</v>
      </c>
      <c r="S21" s="62">
        <f t="shared" si="19"/>
        <v>62154.261190475896</v>
      </c>
      <c r="T21" s="62">
        <f t="shared" si="19"/>
        <v>63916.721547618974</v>
      </c>
      <c r="U21" s="62">
        <f t="shared" si="19"/>
        <v>65679.181904761586</v>
      </c>
      <c r="V21" s="62">
        <f t="shared" si="19"/>
        <v>67441.642261904664</v>
      </c>
      <c r="W21" s="62">
        <f t="shared" si="19"/>
        <v>69204.102619047277</v>
      </c>
      <c r="X21" s="62">
        <f t="shared" si="19"/>
        <v>70966.562976190355</v>
      </c>
      <c r="Y21" s="62">
        <f t="shared" si="19"/>
        <v>72729.023333332967</v>
      </c>
      <c r="Z21" s="62">
        <f t="shared" si="19"/>
        <v>74491.483690476045</v>
      </c>
      <c r="AA21" s="62">
        <f t="shared" si="19"/>
        <v>76253.944047618657</v>
      </c>
      <c r="AB21" s="62">
        <f t="shared" si="19"/>
        <v>78016.404404761735</v>
      </c>
      <c r="AC21" s="62">
        <f t="shared" si="19"/>
        <v>79778.864761904348</v>
      </c>
      <c r="AD21" s="62">
        <f t="shared" si="19"/>
        <v>81541.325119047426</v>
      </c>
      <c r="AE21" s="62">
        <f t="shared" si="19"/>
        <v>83303.785476190038</v>
      </c>
      <c r="AF21" s="62">
        <f t="shared" si="19"/>
        <v>85066.245833333116</v>
      </c>
      <c r="AG21" s="62">
        <f t="shared" si="19"/>
        <v>86828.706190475728</v>
      </c>
      <c r="AH21" s="62">
        <f t="shared" si="19"/>
        <v>88591.166547618806</v>
      </c>
      <c r="AI21" s="62">
        <f t="shared" si="19"/>
        <v>90353.626904761884</v>
      </c>
      <c r="AJ21" s="63">
        <f t="shared" si="19"/>
        <v>92116.087261904497</v>
      </c>
      <c r="AL21" s="64">
        <f t="shared" si="1"/>
        <v>1.8156022307505584</v>
      </c>
    </row>
    <row r="22" spans="1:38" ht="15.75" customHeight="1" x14ac:dyDescent="0.25">
      <c r="A22" s="4" t="s">
        <v>70</v>
      </c>
      <c r="B22" s="4" t="s">
        <v>68</v>
      </c>
      <c r="C22" s="4">
        <f t="array" ref="C22">INDEX('OECD 2018'!AC:AC,MATCH($A22,'OECD 2018'!$A:$A,0))</f>
        <v>-1438121.9798809523</v>
      </c>
      <c r="D22" s="60">
        <f t="array" ref="D22">INDEX('OECD 2018'!AD:AD,MATCH($A22,'OECD 2018'!$A:$A,0))</f>
        <v>720.30535714285702</v>
      </c>
      <c r="E22" s="4">
        <f>SUMIFS('OECD 2018'!$AA$9:$AA$65,'OECD 2018'!$A$9:$A$65,calcs!A22)</f>
        <v>14380.9</v>
      </c>
      <c r="F22" s="61">
        <f t="shared" ref="F22:AJ22" si="20">F$2*$D22+$C22</f>
        <v>16894.841547618853</v>
      </c>
      <c r="G22" s="62">
        <f t="shared" si="20"/>
        <v>17615.14690476167</v>
      </c>
      <c r="H22" s="62">
        <f t="shared" si="20"/>
        <v>18335.45226190472</v>
      </c>
      <c r="I22" s="62">
        <f t="shared" si="20"/>
        <v>19055.757619047537</v>
      </c>
      <c r="J22" s="62">
        <f t="shared" si="20"/>
        <v>19776.062976190355</v>
      </c>
      <c r="K22" s="62">
        <f t="shared" si="20"/>
        <v>20496.368333333172</v>
      </c>
      <c r="L22" s="62">
        <f t="shared" si="20"/>
        <v>21216.673690475989</v>
      </c>
      <c r="M22" s="62">
        <f t="shared" si="20"/>
        <v>21936.979047618806</v>
      </c>
      <c r="N22" s="62">
        <f t="shared" si="20"/>
        <v>22657.284404761856</v>
      </c>
      <c r="O22" s="62">
        <f t="shared" si="20"/>
        <v>23377.589761904674</v>
      </c>
      <c r="P22" s="62">
        <f t="shared" si="20"/>
        <v>24097.895119047491</v>
      </c>
      <c r="Q22" s="62">
        <f t="shared" si="20"/>
        <v>24818.200476190308</v>
      </c>
      <c r="R22" s="62">
        <f t="shared" si="20"/>
        <v>25538.505833333125</v>
      </c>
      <c r="S22" s="62">
        <f t="shared" si="20"/>
        <v>26258.811190475943</v>
      </c>
      <c r="T22" s="62">
        <f t="shared" si="20"/>
        <v>26979.116547618993</v>
      </c>
      <c r="U22" s="62">
        <f t="shared" si="20"/>
        <v>27699.42190476181</v>
      </c>
      <c r="V22" s="62">
        <f t="shared" si="20"/>
        <v>28419.727261904627</v>
      </c>
      <c r="W22" s="62">
        <f t="shared" si="20"/>
        <v>29140.032619047444</v>
      </c>
      <c r="X22" s="62">
        <f t="shared" si="20"/>
        <v>29860.337976190262</v>
      </c>
      <c r="Y22" s="62">
        <f t="shared" si="20"/>
        <v>30580.643333333079</v>
      </c>
      <c r="Z22" s="62">
        <f t="shared" si="20"/>
        <v>31300.948690476129</v>
      </c>
      <c r="AA22" s="62">
        <f t="shared" si="20"/>
        <v>32021.254047618946</v>
      </c>
      <c r="AB22" s="62">
        <f t="shared" si="20"/>
        <v>32741.559404761763</v>
      </c>
      <c r="AC22" s="62">
        <f t="shared" si="20"/>
        <v>33461.864761904581</v>
      </c>
      <c r="AD22" s="62">
        <f t="shared" si="20"/>
        <v>34182.170119047398</v>
      </c>
      <c r="AE22" s="62">
        <f t="shared" si="20"/>
        <v>34902.475476190215</v>
      </c>
      <c r="AF22" s="62">
        <f t="shared" si="20"/>
        <v>35622.780833333265</v>
      </c>
      <c r="AG22" s="62">
        <f t="shared" si="20"/>
        <v>36343.086190476082</v>
      </c>
      <c r="AH22" s="62">
        <f t="shared" si="20"/>
        <v>37063.391547618899</v>
      </c>
      <c r="AI22" s="62">
        <f t="shared" si="20"/>
        <v>37783.696904761717</v>
      </c>
      <c r="AJ22" s="63">
        <f t="shared" si="20"/>
        <v>38504.002261904534</v>
      </c>
      <c r="AL22" s="64">
        <f t="shared" si="1"/>
        <v>1.677440373127171</v>
      </c>
    </row>
    <row r="23" spans="1:38" ht="15.75" customHeight="1" x14ac:dyDescent="0.25">
      <c r="A23" s="4" t="s">
        <v>72</v>
      </c>
      <c r="B23" s="4" t="s">
        <v>72</v>
      </c>
      <c r="C23" s="4">
        <f t="array" ref="C23">INDEX('OECD 2018'!AC:AC,MATCH($A23,'OECD 2018'!$A:$A,0))</f>
        <v>-1310655.2396428573</v>
      </c>
      <c r="D23" s="60">
        <f t="array" ref="D23">INDEX('OECD 2018'!AD:AD,MATCH($A23,'OECD 2018'!$A:$A,0))</f>
        <v>655.95607142857148</v>
      </c>
      <c r="E23" s="4">
        <f>SUMIFS('OECD 2018'!$AA$9:$AA$65,'OECD 2018'!$A$9:$A$65,calcs!A23)</f>
        <v>11950.7</v>
      </c>
      <c r="F23" s="61">
        <f t="shared" ref="F23:AJ23" si="21">F$2*$D23+$C23</f>
        <v>14376.024642857024</v>
      </c>
      <c r="G23" s="62">
        <f t="shared" si="21"/>
        <v>15031.980714285513</v>
      </c>
      <c r="H23" s="62">
        <f t="shared" si="21"/>
        <v>15687.936785714235</v>
      </c>
      <c r="I23" s="62">
        <f t="shared" si="21"/>
        <v>16343.892857142724</v>
      </c>
      <c r="J23" s="62">
        <f t="shared" si="21"/>
        <v>16999.848928571213</v>
      </c>
      <c r="K23" s="62">
        <f t="shared" si="21"/>
        <v>17655.804999999935</v>
      </c>
      <c r="L23" s="62">
        <f t="shared" si="21"/>
        <v>18311.761071428424</v>
      </c>
      <c r="M23" s="62">
        <f t="shared" si="21"/>
        <v>18967.717142857146</v>
      </c>
      <c r="N23" s="62">
        <f t="shared" si="21"/>
        <v>19623.673214285634</v>
      </c>
      <c r="O23" s="62">
        <f t="shared" si="21"/>
        <v>20279.629285714123</v>
      </c>
      <c r="P23" s="62">
        <f t="shared" si="21"/>
        <v>20935.585357142845</v>
      </c>
      <c r="Q23" s="62">
        <f t="shared" si="21"/>
        <v>21591.541428571334</v>
      </c>
      <c r="R23" s="62">
        <f t="shared" si="21"/>
        <v>22247.497499999823</v>
      </c>
      <c r="S23" s="62">
        <f t="shared" si="21"/>
        <v>22903.453571428545</v>
      </c>
      <c r="T23" s="62">
        <f t="shared" si="21"/>
        <v>23559.409642857034</v>
      </c>
      <c r="U23" s="62">
        <f t="shared" si="21"/>
        <v>24215.365714285523</v>
      </c>
      <c r="V23" s="62">
        <f t="shared" si="21"/>
        <v>24871.321785714244</v>
      </c>
      <c r="W23" s="62">
        <f t="shared" si="21"/>
        <v>25527.277857142733</v>
      </c>
      <c r="X23" s="62">
        <f t="shared" si="21"/>
        <v>26183.233928571222</v>
      </c>
      <c r="Y23" s="62">
        <f t="shared" si="21"/>
        <v>26839.189999999944</v>
      </c>
      <c r="Z23" s="62">
        <f t="shared" si="21"/>
        <v>27495.146071428433</v>
      </c>
      <c r="AA23" s="62">
        <f t="shared" si="21"/>
        <v>28151.102142857155</v>
      </c>
      <c r="AB23" s="62">
        <f t="shared" si="21"/>
        <v>28807.058214285644</v>
      </c>
      <c r="AC23" s="62">
        <f t="shared" si="21"/>
        <v>29463.014285714133</v>
      </c>
      <c r="AD23" s="62">
        <f t="shared" si="21"/>
        <v>30118.970357142854</v>
      </c>
      <c r="AE23" s="62">
        <f t="shared" si="21"/>
        <v>30774.926428571343</v>
      </c>
      <c r="AF23" s="62">
        <f t="shared" si="21"/>
        <v>31430.882499999832</v>
      </c>
      <c r="AG23" s="62">
        <f t="shared" si="21"/>
        <v>32086.838571428554</v>
      </c>
      <c r="AH23" s="62">
        <f t="shared" si="21"/>
        <v>32742.794642857043</v>
      </c>
      <c r="AI23" s="62">
        <f t="shared" si="21"/>
        <v>33398.750714285532</v>
      </c>
      <c r="AJ23" s="63">
        <f t="shared" si="21"/>
        <v>34054.706785714254</v>
      </c>
      <c r="AL23" s="64">
        <f t="shared" si="1"/>
        <v>1.8495993360819243</v>
      </c>
    </row>
    <row r="24" spans="1:38" ht="15.75" customHeight="1" x14ac:dyDescent="0.25">
      <c r="A24" s="41" t="s">
        <v>74</v>
      </c>
      <c r="B24" s="4" t="s">
        <v>74</v>
      </c>
      <c r="C24" s="4">
        <f t="array" ref="C24">INDEX('OECD 2018'!AC:AC,MATCH($A24,'OECD 2018'!$A:$A,0))</f>
        <v>-4721353.4783333335</v>
      </c>
      <c r="D24" s="60">
        <f t="array" ref="D24">INDEX('OECD 2018'!AD:AD,MATCH($A24,'OECD 2018'!$A:$A,0))</f>
        <v>2363.4950000000003</v>
      </c>
      <c r="E24" s="4">
        <f>SUMIFS('OECD 2018'!$AA$9:$AA$65,'OECD 2018'!$A$9:$A$65,calcs!A24)</f>
        <v>44407.1</v>
      </c>
      <c r="F24" s="61">
        <f t="shared" ref="F24:AJ24" si="22">F$2*$D24+$C24</f>
        <v>52906.421666666865</v>
      </c>
      <c r="G24" s="62">
        <f t="shared" si="22"/>
        <v>55269.916666666977</v>
      </c>
      <c r="H24" s="62">
        <f t="shared" si="22"/>
        <v>57633.411666667089</v>
      </c>
      <c r="I24" s="62">
        <f t="shared" si="22"/>
        <v>59996.906666667201</v>
      </c>
      <c r="J24" s="62">
        <f t="shared" si="22"/>
        <v>62360.401666667312</v>
      </c>
      <c r="K24" s="62">
        <f t="shared" si="22"/>
        <v>64723.896666667424</v>
      </c>
      <c r="L24" s="62">
        <f t="shared" si="22"/>
        <v>67087.391666667536</v>
      </c>
      <c r="M24" s="62">
        <f t="shared" si="22"/>
        <v>69450.886666667648</v>
      </c>
      <c r="N24" s="62">
        <f t="shared" si="22"/>
        <v>71814.381666666828</v>
      </c>
      <c r="O24" s="62">
        <f t="shared" si="22"/>
        <v>74177.87666666694</v>
      </c>
      <c r="P24" s="62">
        <f t="shared" si="22"/>
        <v>76541.371666667052</v>
      </c>
      <c r="Q24" s="62">
        <f t="shared" si="22"/>
        <v>78904.866666667163</v>
      </c>
      <c r="R24" s="62">
        <f t="shared" si="22"/>
        <v>81268.361666667275</v>
      </c>
      <c r="S24" s="62">
        <f t="shared" si="22"/>
        <v>83631.856666667387</v>
      </c>
      <c r="T24" s="62">
        <f t="shared" si="22"/>
        <v>85995.351666667499</v>
      </c>
      <c r="U24" s="62">
        <f t="shared" si="22"/>
        <v>88358.84666666761</v>
      </c>
      <c r="V24" s="62">
        <f t="shared" si="22"/>
        <v>90722.341666666791</v>
      </c>
      <c r="W24" s="62">
        <f t="shared" si="22"/>
        <v>93085.836666666903</v>
      </c>
      <c r="X24" s="62">
        <f t="shared" si="22"/>
        <v>95449.331666667014</v>
      </c>
      <c r="Y24" s="62">
        <f t="shared" si="22"/>
        <v>97812.826666667126</v>
      </c>
      <c r="Z24" s="62">
        <f t="shared" si="22"/>
        <v>100176.32166666724</v>
      </c>
      <c r="AA24" s="62">
        <f t="shared" si="22"/>
        <v>102539.81666666735</v>
      </c>
      <c r="AB24" s="62">
        <f t="shared" si="22"/>
        <v>104903.31166666746</v>
      </c>
      <c r="AC24" s="62">
        <f t="shared" si="22"/>
        <v>107266.80666666757</v>
      </c>
      <c r="AD24" s="62">
        <f t="shared" si="22"/>
        <v>109630.30166666675</v>
      </c>
      <c r="AE24" s="62">
        <f t="shared" si="22"/>
        <v>111993.79666666687</v>
      </c>
      <c r="AF24" s="62">
        <f t="shared" si="22"/>
        <v>114357.29166666698</v>
      </c>
      <c r="AG24" s="62">
        <f t="shared" si="22"/>
        <v>116720.78666666709</v>
      </c>
      <c r="AH24" s="62">
        <f t="shared" si="22"/>
        <v>119084.2816666672</v>
      </c>
      <c r="AI24" s="62">
        <f t="shared" si="22"/>
        <v>121447.77666666731</v>
      </c>
      <c r="AJ24" s="63">
        <f t="shared" si="22"/>
        <v>123811.27166666742</v>
      </c>
      <c r="AL24" s="64">
        <f t="shared" si="1"/>
        <v>1.7880963104248515</v>
      </c>
    </row>
    <row r="25" spans="1:38" ht="15.75" customHeight="1" x14ac:dyDescent="0.25">
      <c r="A25" s="4" t="s">
        <v>76</v>
      </c>
      <c r="B25" s="4" t="s">
        <v>76</v>
      </c>
      <c r="C25" s="4">
        <f t="array" ref="C25">INDEX('OECD 2018'!AC:AC,MATCH($A25,'OECD 2018'!$A:$A,0))</f>
        <v>-152944.79654761904</v>
      </c>
      <c r="D25" s="60">
        <f t="array" ref="D25">INDEX('OECD 2018'!AD:AD,MATCH($A25,'OECD 2018'!$A:$A,0))</f>
        <v>76.575357142857143</v>
      </c>
      <c r="E25" s="4">
        <f>SUMIFS('OECD 2018'!$AA$9:$AA$65,'OECD 2018'!$A$9:$A$65,calcs!A25)</f>
        <v>1465.1</v>
      </c>
      <c r="F25" s="61">
        <f t="shared" ref="F25:AJ25" si="23">F$2*$D25+$C25</f>
        <v>1737.4248809523997</v>
      </c>
      <c r="G25" s="62">
        <f t="shared" si="23"/>
        <v>1814.0002380952355</v>
      </c>
      <c r="H25" s="62">
        <f t="shared" si="23"/>
        <v>1890.5755952381005</v>
      </c>
      <c r="I25" s="62">
        <f t="shared" si="23"/>
        <v>1967.1509523809655</v>
      </c>
      <c r="J25" s="62">
        <f t="shared" si="23"/>
        <v>2043.7263095238013</v>
      </c>
      <c r="K25" s="62">
        <f t="shared" si="23"/>
        <v>2120.3016666666663</v>
      </c>
      <c r="L25" s="62">
        <f t="shared" si="23"/>
        <v>2196.8770238095312</v>
      </c>
      <c r="M25" s="62">
        <f t="shared" si="23"/>
        <v>2273.4523809523962</v>
      </c>
      <c r="N25" s="62">
        <f t="shared" si="23"/>
        <v>2350.0277380952321</v>
      </c>
      <c r="O25" s="62">
        <f t="shared" si="23"/>
        <v>2426.603095238097</v>
      </c>
      <c r="P25" s="62">
        <f t="shared" si="23"/>
        <v>2503.178452380962</v>
      </c>
      <c r="Q25" s="62">
        <f t="shared" si="23"/>
        <v>2579.7538095238269</v>
      </c>
      <c r="R25" s="62">
        <f t="shared" si="23"/>
        <v>2656.3291666666628</v>
      </c>
      <c r="S25" s="62">
        <f t="shared" si="23"/>
        <v>2732.9045238095277</v>
      </c>
      <c r="T25" s="62">
        <f t="shared" si="23"/>
        <v>2809.4798809523927</v>
      </c>
      <c r="U25" s="62">
        <f t="shared" si="23"/>
        <v>2886.0552380952286</v>
      </c>
      <c r="V25" s="62">
        <f t="shared" si="23"/>
        <v>2962.6305952380935</v>
      </c>
      <c r="W25" s="62">
        <f t="shared" si="23"/>
        <v>3039.2059523809585</v>
      </c>
      <c r="X25" s="62">
        <f t="shared" si="23"/>
        <v>3115.7813095238234</v>
      </c>
      <c r="Y25" s="62">
        <f t="shared" si="23"/>
        <v>3192.3566666666593</v>
      </c>
      <c r="Z25" s="62">
        <f t="shared" si="23"/>
        <v>3268.9320238095243</v>
      </c>
      <c r="AA25" s="62">
        <f t="shared" si="23"/>
        <v>3345.5073809523892</v>
      </c>
      <c r="AB25" s="62">
        <f t="shared" si="23"/>
        <v>3422.0827380952542</v>
      </c>
      <c r="AC25" s="62">
        <f t="shared" si="23"/>
        <v>3498.65809523809</v>
      </c>
      <c r="AD25" s="62">
        <f t="shared" si="23"/>
        <v>3575.233452380955</v>
      </c>
      <c r="AE25" s="62">
        <f t="shared" si="23"/>
        <v>3651.8088095238199</v>
      </c>
      <c r="AF25" s="62">
        <f t="shared" si="23"/>
        <v>3728.3841666666849</v>
      </c>
      <c r="AG25" s="62">
        <f t="shared" si="23"/>
        <v>3804.9595238095208</v>
      </c>
      <c r="AH25" s="62">
        <f t="shared" si="23"/>
        <v>3881.5348809523857</v>
      </c>
      <c r="AI25" s="62">
        <f t="shared" si="23"/>
        <v>3958.1102380952507</v>
      </c>
      <c r="AJ25" s="63">
        <f t="shared" si="23"/>
        <v>4034.6855952380865</v>
      </c>
      <c r="AL25" s="64">
        <f t="shared" si="1"/>
        <v>1.7538636238059429</v>
      </c>
    </row>
    <row r="26" spans="1:38" ht="15.75" customHeight="1" x14ac:dyDescent="0.25">
      <c r="A26" s="4" t="s">
        <v>78</v>
      </c>
      <c r="B26" s="4" t="s">
        <v>78</v>
      </c>
      <c r="C26" s="4">
        <f t="array" ref="C26">INDEX('OECD 2018'!AC:AC,MATCH($A26,'OECD 2018'!$A:$A,0))</f>
        <v>-27463440.152142856</v>
      </c>
      <c r="D26" s="60">
        <f t="array" ref="D26">INDEX('OECD 2018'!AD:AD,MATCH($A26,'OECD 2018'!$A:$A,0))</f>
        <v>13748.11357142857</v>
      </c>
      <c r="E26" s="4">
        <f>SUMIFS('OECD 2018'!$AA$9:$AA$65,'OECD 2018'!$A$9:$A$65,calcs!A26)</f>
        <v>258309.8</v>
      </c>
      <c r="F26" s="61">
        <f t="shared" ref="F26:AJ26" si="24">F$2*$D26+$C26</f>
        <v>307749.26214285567</v>
      </c>
      <c r="G26" s="62">
        <f t="shared" si="24"/>
        <v>321497.37571428344</v>
      </c>
      <c r="H26" s="62">
        <f t="shared" si="24"/>
        <v>335245.4892857112</v>
      </c>
      <c r="I26" s="62">
        <f t="shared" si="24"/>
        <v>348993.60285714269</v>
      </c>
      <c r="J26" s="62">
        <f t="shared" si="24"/>
        <v>362741.71642857045</v>
      </c>
      <c r="K26" s="62">
        <f t="shared" si="24"/>
        <v>376489.82999999821</v>
      </c>
      <c r="L26" s="62">
        <f t="shared" si="24"/>
        <v>390237.94357142597</v>
      </c>
      <c r="M26" s="62">
        <f t="shared" si="24"/>
        <v>403986.05714285374</v>
      </c>
      <c r="N26" s="62">
        <f t="shared" si="24"/>
        <v>417734.17071428522</v>
      </c>
      <c r="O26" s="62">
        <f t="shared" si="24"/>
        <v>431482.28428571299</v>
      </c>
      <c r="P26" s="62">
        <f t="shared" si="24"/>
        <v>445230.39785714075</v>
      </c>
      <c r="Q26" s="62">
        <f t="shared" si="24"/>
        <v>458978.51142856851</v>
      </c>
      <c r="R26" s="62">
        <f t="shared" si="24"/>
        <v>472726.625</v>
      </c>
      <c r="S26" s="62">
        <f t="shared" si="24"/>
        <v>486474.73857142776</v>
      </c>
      <c r="T26" s="62">
        <f t="shared" si="24"/>
        <v>500222.85214285553</v>
      </c>
      <c r="U26" s="62">
        <f t="shared" si="24"/>
        <v>513970.96571428329</v>
      </c>
      <c r="V26" s="62">
        <f t="shared" si="24"/>
        <v>527719.07928571105</v>
      </c>
      <c r="W26" s="62">
        <f t="shared" si="24"/>
        <v>541467.19285714254</v>
      </c>
      <c r="X26" s="62">
        <f t="shared" si="24"/>
        <v>555215.3064285703</v>
      </c>
      <c r="Y26" s="62">
        <f t="shared" si="24"/>
        <v>568963.41999999806</v>
      </c>
      <c r="Z26" s="62">
        <f t="shared" si="24"/>
        <v>582711.53357142583</v>
      </c>
      <c r="AA26" s="62">
        <f t="shared" si="24"/>
        <v>596459.64714285359</v>
      </c>
      <c r="AB26" s="62">
        <f t="shared" si="24"/>
        <v>610207.76071428508</v>
      </c>
      <c r="AC26" s="62">
        <f t="shared" si="24"/>
        <v>623955.87428571284</v>
      </c>
      <c r="AD26" s="62">
        <f t="shared" si="24"/>
        <v>637703.9878571406</v>
      </c>
      <c r="AE26" s="62">
        <f t="shared" si="24"/>
        <v>651452.10142856836</v>
      </c>
      <c r="AF26" s="62">
        <f t="shared" si="24"/>
        <v>665200.21499999985</v>
      </c>
      <c r="AG26" s="62">
        <f t="shared" si="24"/>
        <v>678948.32857142761</v>
      </c>
      <c r="AH26" s="62">
        <f t="shared" si="24"/>
        <v>692696.44214285538</v>
      </c>
      <c r="AI26" s="62">
        <f t="shared" si="24"/>
        <v>706444.55571428314</v>
      </c>
      <c r="AJ26" s="63">
        <f t="shared" si="24"/>
        <v>720192.6692857109</v>
      </c>
      <c r="AL26" s="64">
        <f t="shared" si="1"/>
        <v>1.7880965773877373</v>
      </c>
    </row>
    <row r="27" spans="1:38" ht="15.75" customHeight="1" x14ac:dyDescent="0.25">
      <c r="A27" s="4" t="s">
        <v>80</v>
      </c>
      <c r="B27" s="4" t="s">
        <v>80</v>
      </c>
      <c r="C27" s="4">
        <f t="array" ref="C27">INDEX('OECD 2018'!AC:AC,MATCH($A27,'OECD 2018'!$A:$A,0))</f>
        <v>-20841684.770595238</v>
      </c>
      <c r="D27" s="60">
        <f t="array" ref="D27">INDEX('OECD 2018'!AD:AD,MATCH($A27,'OECD 2018'!$A:$A,0))</f>
        <v>10433.283214285713</v>
      </c>
      <c r="E27" s="4">
        <f>SUMIFS('OECD 2018'!$AA$9:$AA$65,'OECD 2018'!$A$9:$A$65,calcs!A27)</f>
        <v>196028.3</v>
      </c>
      <c r="F27" s="61">
        <f t="shared" ref="F27:AJ27" si="25">F$2*$D27+$C27</f>
        <v>233547.32226190343</v>
      </c>
      <c r="G27" s="62">
        <f t="shared" si="25"/>
        <v>243980.6054761894</v>
      </c>
      <c r="H27" s="62">
        <f t="shared" si="25"/>
        <v>254413.88869047537</v>
      </c>
      <c r="I27" s="62">
        <f t="shared" si="25"/>
        <v>264847.17190476134</v>
      </c>
      <c r="J27" s="62">
        <f t="shared" si="25"/>
        <v>275280.45511904731</v>
      </c>
      <c r="K27" s="62">
        <f t="shared" si="25"/>
        <v>285713.73833333328</v>
      </c>
      <c r="L27" s="62">
        <f t="shared" si="25"/>
        <v>296147.02154761925</v>
      </c>
      <c r="M27" s="62">
        <f t="shared" si="25"/>
        <v>306580.3047619015</v>
      </c>
      <c r="N27" s="62">
        <f t="shared" si="25"/>
        <v>317013.58797618747</v>
      </c>
      <c r="O27" s="62">
        <f t="shared" si="25"/>
        <v>327446.87119047344</v>
      </c>
      <c r="P27" s="62">
        <f t="shared" si="25"/>
        <v>337880.15440475941</v>
      </c>
      <c r="Q27" s="62">
        <f t="shared" si="25"/>
        <v>348313.43761904538</v>
      </c>
      <c r="R27" s="62">
        <f t="shared" si="25"/>
        <v>358746.72083333135</v>
      </c>
      <c r="S27" s="62">
        <f t="shared" si="25"/>
        <v>369180.00404761732</v>
      </c>
      <c r="T27" s="62">
        <f t="shared" si="25"/>
        <v>379613.28726190329</v>
      </c>
      <c r="U27" s="62">
        <f t="shared" si="25"/>
        <v>390046.57047618926</v>
      </c>
      <c r="V27" s="62">
        <f t="shared" si="25"/>
        <v>400479.85369047523</v>
      </c>
      <c r="W27" s="62">
        <f t="shared" si="25"/>
        <v>410913.1369047612</v>
      </c>
      <c r="X27" s="62">
        <f t="shared" si="25"/>
        <v>421346.42011904716</v>
      </c>
      <c r="Y27" s="62">
        <f t="shared" si="25"/>
        <v>431779.70333333313</v>
      </c>
      <c r="Z27" s="62">
        <f t="shared" si="25"/>
        <v>442212.9865476191</v>
      </c>
      <c r="AA27" s="62">
        <f t="shared" si="25"/>
        <v>452646.26976190135</v>
      </c>
      <c r="AB27" s="62">
        <f t="shared" si="25"/>
        <v>463079.55297618732</v>
      </c>
      <c r="AC27" s="62">
        <f t="shared" si="25"/>
        <v>473512.83619047329</v>
      </c>
      <c r="AD27" s="62">
        <f t="shared" si="25"/>
        <v>483946.11940475926</v>
      </c>
      <c r="AE27" s="62">
        <f t="shared" si="25"/>
        <v>494379.40261904523</v>
      </c>
      <c r="AF27" s="62">
        <f t="shared" si="25"/>
        <v>504812.6858333312</v>
      </c>
      <c r="AG27" s="62">
        <f t="shared" si="25"/>
        <v>515245.96904761717</v>
      </c>
      <c r="AH27" s="62">
        <f t="shared" si="25"/>
        <v>525679.25226190314</v>
      </c>
      <c r="AI27" s="62">
        <f t="shared" si="25"/>
        <v>536112.53547618911</v>
      </c>
      <c r="AJ27" s="63">
        <f t="shared" si="25"/>
        <v>546545.81869047508</v>
      </c>
      <c r="AL27" s="64">
        <f t="shared" si="1"/>
        <v>1.7880965079556121</v>
      </c>
    </row>
    <row r="28" spans="1:38" ht="15.75" customHeight="1" x14ac:dyDescent="0.25">
      <c r="A28" s="4" t="s">
        <v>82</v>
      </c>
      <c r="B28" s="4" t="s">
        <v>82</v>
      </c>
      <c r="C28" s="4">
        <f t="array" ref="C28">INDEX('OECD 2018'!AC:AC,MATCH($A28,'OECD 2018'!$A:$A,0))</f>
        <v>-10294556.952261902</v>
      </c>
      <c r="D28" s="60">
        <f t="array" ref="D28">INDEX('OECD 2018'!AD:AD,MATCH($A28,'OECD 2018'!$A:$A,0))</f>
        <v>5148.7082142857134</v>
      </c>
      <c r="E28" s="4">
        <f>SUMIFS('OECD 2018'!$AA$9:$AA$65,'OECD 2018'!$A$9:$A$65,calcs!A28)</f>
        <v>93728.7</v>
      </c>
      <c r="F28" s="61">
        <f t="shared" ref="F28:AJ28" si="26">F$2*$D28+$C28</f>
        <v>105833.64059523866</v>
      </c>
      <c r="G28" s="62">
        <f t="shared" si="26"/>
        <v>110982.34880952537</v>
      </c>
      <c r="H28" s="62">
        <f t="shared" si="26"/>
        <v>116131.05702381022</v>
      </c>
      <c r="I28" s="62">
        <f t="shared" si="26"/>
        <v>121279.76523809507</v>
      </c>
      <c r="J28" s="62">
        <f t="shared" si="26"/>
        <v>126428.47345238179</v>
      </c>
      <c r="K28" s="62">
        <f t="shared" si="26"/>
        <v>131577.18166666664</v>
      </c>
      <c r="L28" s="62">
        <f t="shared" si="26"/>
        <v>136725.88988095336</v>
      </c>
      <c r="M28" s="62">
        <f t="shared" si="26"/>
        <v>141874.59809523821</v>
      </c>
      <c r="N28" s="62">
        <f t="shared" si="26"/>
        <v>147023.30630952492</v>
      </c>
      <c r="O28" s="62">
        <f t="shared" si="26"/>
        <v>152172.01452380978</v>
      </c>
      <c r="P28" s="62">
        <f t="shared" si="26"/>
        <v>157320.72273809649</v>
      </c>
      <c r="Q28" s="62">
        <f t="shared" si="26"/>
        <v>162469.43095238134</v>
      </c>
      <c r="R28" s="62">
        <f t="shared" si="26"/>
        <v>167618.13916666806</v>
      </c>
      <c r="S28" s="62">
        <f t="shared" si="26"/>
        <v>172766.84738095291</v>
      </c>
      <c r="T28" s="62">
        <f t="shared" si="26"/>
        <v>177915.55559523962</v>
      </c>
      <c r="U28" s="62">
        <f t="shared" si="26"/>
        <v>183064.26380952448</v>
      </c>
      <c r="V28" s="62">
        <f t="shared" si="26"/>
        <v>188212.97202380933</v>
      </c>
      <c r="W28" s="62">
        <f t="shared" si="26"/>
        <v>193361.68023809604</v>
      </c>
      <c r="X28" s="62">
        <f t="shared" si="26"/>
        <v>198510.3884523809</v>
      </c>
      <c r="Y28" s="62">
        <f t="shared" si="26"/>
        <v>203659.09666666761</v>
      </c>
      <c r="Z28" s="62">
        <f t="shared" si="26"/>
        <v>208807.80488095246</v>
      </c>
      <c r="AA28" s="62">
        <f t="shared" si="26"/>
        <v>213956.51309523918</v>
      </c>
      <c r="AB28" s="62">
        <f t="shared" si="26"/>
        <v>219105.22130952403</v>
      </c>
      <c r="AC28" s="62">
        <f t="shared" si="26"/>
        <v>224253.92952381074</v>
      </c>
      <c r="AD28" s="62">
        <f t="shared" si="26"/>
        <v>229402.6377380956</v>
      </c>
      <c r="AE28" s="62">
        <f t="shared" si="26"/>
        <v>234551.34595238231</v>
      </c>
      <c r="AF28" s="62">
        <f t="shared" si="26"/>
        <v>239700.05416666716</v>
      </c>
      <c r="AG28" s="62">
        <f t="shared" si="26"/>
        <v>244848.76238095388</v>
      </c>
      <c r="AH28" s="62">
        <f t="shared" si="26"/>
        <v>249997.47059523873</v>
      </c>
      <c r="AI28" s="62">
        <f t="shared" si="26"/>
        <v>255146.17880952358</v>
      </c>
      <c r="AJ28" s="63">
        <f t="shared" si="26"/>
        <v>260294.8870238103</v>
      </c>
      <c r="AL28" s="64">
        <f t="shared" si="1"/>
        <v>1.7771097542568102</v>
      </c>
    </row>
    <row r="29" spans="1:38" ht="15.75" customHeight="1" x14ac:dyDescent="0.25">
      <c r="A29" s="4" t="s">
        <v>89</v>
      </c>
      <c r="B29" s="4" t="s">
        <v>89</v>
      </c>
      <c r="C29" s="4">
        <f t="array" ref="C29">INDEX('OECD 2018'!AC:AC,MATCH($A29,'OECD 2018'!$A:$A,0))</f>
        <v>-6716657.8289285721</v>
      </c>
      <c r="D29" s="60">
        <f t="array" ref="D29">INDEX('OECD 2018'!AD:AD,MATCH($A29,'OECD 2018'!$A:$A,0))</f>
        <v>3362.3382142857149</v>
      </c>
      <c r="E29" s="4">
        <f>SUMIFS('OECD 2018'!$AA$9:$AA$65,'OECD 2018'!$A$9:$A$65,calcs!A29)</f>
        <v>63174.1</v>
      </c>
      <c r="F29" s="61">
        <f t="shared" ref="F29:AJ29" si="27">F$2*$D29+$C29</f>
        <v>75265.363928572275</v>
      </c>
      <c r="G29" s="62">
        <f t="shared" si="27"/>
        <v>78627.702142857946</v>
      </c>
      <c r="H29" s="62">
        <f t="shared" si="27"/>
        <v>81990.040357143618</v>
      </c>
      <c r="I29" s="62">
        <f t="shared" si="27"/>
        <v>85352.37857142929</v>
      </c>
      <c r="J29" s="62">
        <f t="shared" si="27"/>
        <v>88714.716785714962</v>
      </c>
      <c r="K29" s="62">
        <f t="shared" si="27"/>
        <v>92077.055000000633</v>
      </c>
      <c r="L29" s="62">
        <f t="shared" si="27"/>
        <v>95439.393214286305</v>
      </c>
      <c r="M29" s="62">
        <f t="shared" si="27"/>
        <v>98801.731428571977</v>
      </c>
      <c r="N29" s="62">
        <f t="shared" si="27"/>
        <v>102164.06964285765</v>
      </c>
      <c r="O29" s="62">
        <f t="shared" si="27"/>
        <v>105526.40785714332</v>
      </c>
      <c r="P29" s="62">
        <f t="shared" si="27"/>
        <v>108888.74607142899</v>
      </c>
      <c r="Q29" s="62">
        <f t="shared" si="27"/>
        <v>112251.08428571466</v>
      </c>
      <c r="R29" s="62">
        <f t="shared" si="27"/>
        <v>115613.42250000034</v>
      </c>
      <c r="S29" s="62">
        <f t="shared" si="27"/>
        <v>118975.76071428601</v>
      </c>
      <c r="T29" s="62">
        <f t="shared" si="27"/>
        <v>122338.09892857168</v>
      </c>
      <c r="U29" s="62">
        <f t="shared" si="27"/>
        <v>125700.43714285735</v>
      </c>
      <c r="V29" s="62">
        <f t="shared" si="27"/>
        <v>129062.77535714302</v>
      </c>
      <c r="W29" s="62">
        <f t="shared" si="27"/>
        <v>132425.11357142869</v>
      </c>
      <c r="X29" s="62">
        <f t="shared" si="27"/>
        <v>135787.4517857153</v>
      </c>
      <c r="Y29" s="62">
        <f t="shared" si="27"/>
        <v>139149.79000000097</v>
      </c>
      <c r="Z29" s="62">
        <f t="shared" si="27"/>
        <v>142512.12821428664</v>
      </c>
      <c r="AA29" s="62">
        <f t="shared" si="27"/>
        <v>145874.46642857231</v>
      </c>
      <c r="AB29" s="62">
        <f t="shared" si="27"/>
        <v>149236.80464285798</v>
      </c>
      <c r="AC29" s="62">
        <f t="shared" si="27"/>
        <v>152599.14285714366</v>
      </c>
      <c r="AD29" s="62">
        <f t="shared" si="27"/>
        <v>155961.48107142933</v>
      </c>
      <c r="AE29" s="62">
        <f t="shared" si="27"/>
        <v>159323.819285715</v>
      </c>
      <c r="AF29" s="62">
        <f t="shared" si="27"/>
        <v>162686.15750000067</v>
      </c>
      <c r="AG29" s="62">
        <f t="shared" si="27"/>
        <v>166048.49571428634</v>
      </c>
      <c r="AH29" s="62">
        <f t="shared" si="27"/>
        <v>169410.83392857201</v>
      </c>
      <c r="AI29" s="62">
        <f t="shared" si="27"/>
        <v>172773.17214285769</v>
      </c>
      <c r="AJ29" s="63">
        <f t="shared" si="27"/>
        <v>176135.51035714336</v>
      </c>
      <c r="AL29" s="64">
        <f t="shared" si="1"/>
        <v>1.7880968681333547</v>
      </c>
    </row>
    <row r="30" spans="1:38" ht="15.75" customHeight="1" x14ac:dyDescent="0.25">
      <c r="A30" s="4" t="s">
        <v>91</v>
      </c>
      <c r="B30" s="4" t="s">
        <v>91</v>
      </c>
      <c r="C30" s="4">
        <f t="array" ref="C30">INDEX('OECD 2018'!AC:AC,MATCH($A30,'OECD 2018'!$A:$A,0))</f>
        <v>-1444418.1350000002</v>
      </c>
      <c r="D30" s="60">
        <f t="array" ref="D30">INDEX('OECD 2018'!AD:AD,MATCH($A30,'OECD 2018'!$A:$A,0))</f>
        <v>723.34500000000003</v>
      </c>
      <c r="E30" s="4">
        <f>SUMIFS('OECD 2018'!$AA$9:$AA$65,'OECD 2018'!$A$9:$A$65,calcs!A30)</f>
        <v>14179.9</v>
      </c>
      <c r="F30" s="61">
        <f t="shared" ref="F30:AJ30" si="28">F$2*$D30+$C30</f>
        <v>16738.764999999898</v>
      </c>
      <c r="G30" s="62">
        <f t="shared" si="28"/>
        <v>17462.10999999987</v>
      </c>
      <c r="H30" s="62">
        <f t="shared" si="28"/>
        <v>18185.454999999842</v>
      </c>
      <c r="I30" s="62">
        <f t="shared" si="28"/>
        <v>18908.799999999814</v>
      </c>
      <c r="J30" s="62">
        <f t="shared" si="28"/>
        <v>19632.144999999786</v>
      </c>
      <c r="K30" s="62">
        <f t="shared" si="28"/>
        <v>20355.489999999758</v>
      </c>
      <c r="L30" s="62">
        <f t="shared" si="28"/>
        <v>21078.83499999973</v>
      </c>
      <c r="M30" s="62">
        <f t="shared" si="28"/>
        <v>21802.179999999702</v>
      </c>
      <c r="N30" s="62">
        <f t="shared" si="28"/>
        <v>22525.524999999907</v>
      </c>
      <c r="O30" s="62">
        <f t="shared" si="28"/>
        <v>23248.869999999879</v>
      </c>
      <c r="P30" s="62">
        <f t="shared" si="28"/>
        <v>23972.214999999851</v>
      </c>
      <c r="Q30" s="62">
        <f t="shared" si="28"/>
        <v>24695.559999999823</v>
      </c>
      <c r="R30" s="62">
        <f t="shared" si="28"/>
        <v>25418.904999999795</v>
      </c>
      <c r="S30" s="62">
        <f t="shared" si="28"/>
        <v>26142.249999999767</v>
      </c>
      <c r="T30" s="62">
        <f t="shared" si="28"/>
        <v>26865.594999999739</v>
      </c>
      <c r="U30" s="62">
        <f t="shared" si="28"/>
        <v>27588.939999999711</v>
      </c>
      <c r="V30" s="62">
        <f t="shared" si="28"/>
        <v>28312.284999999916</v>
      </c>
      <c r="W30" s="62">
        <f t="shared" si="28"/>
        <v>29035.629999999888</v>
      </c>
      <c r="X30" s="62">
        <f t="shared" si="28"/>
        <v>29758.97499999986</v>
      </c>
      <c r="Y30" s="62">
        <f t="shared" si="28"/>
        <v>30482.319999999832</v>
      </c>
      <c r="Z30" s="62">
        <f t="shared" si="28"/>
        <v>31205.664999999804</v>
      </c>
      <c r="AA30" s="62">
        <f t="shared" si="28"/>
        <v>31929.009999999776</v>
      </c>
      <c r="AB30" s="62">
        <f t="shared" si="28"/>
        <v>32652.354999999749</v>
      </c>
      <c r="AC30" s="62">
        <f t="shared" si="28"/>
        <v>33375.699999999721</v>
      </c>
      <c r="AD30" s="62">
        <f t="shared" si="28"/>
        <v>34099.044999999925</v>
      </c>
      <c r="AE30" s="62">
        <f t="shared" si="28"/>
        <v>34822.389999999898</v>
      </c>
      <c r="AF30" s="62">
        <f t="shared" si="28"/>
        <v>35545.73499999987</v>
      </c>
      <c r="AG30" s="62">
        <f t="shared" si="28"/>
        <v>36269.079999999842</v>
      </c>
      <c r="AH30" s="62">
        <f t="shared" si="28"/>
        <v>36992.424999999814</v>
      </c>
      <c r="AI30" s="62">
        <f t="shared" si="28"/>
        <v>37715.769999999786</v>
      </c>
      <c r="AJ30" s="63">
        <f t="shared" si="28"/>
        <v>38439.114999999758</v>
      </c>
      <c r="AL30" s="64">
        <f t="shared" si="1"/>
        <v>1.7108170720526772</v>
      </c>
    </row>
    <row r="31" spans="1:38" ht="15.75" customHeight="1" x14ac:dyDescent="0.25">
      <c r="A31" s="4" t="s">
        <v>93</v>
      </c>
      <c r="B31" s="4" t="s">
        <v>93</v>
      </c>
      <c r="C31" s="4">
        <f t="array" ref="C31">INDEX('OECD 2018'!AC:AC,MATCH($A31,'OECD 2018'!$A:$A,0))</f>
        <v>-3654461.0028571431</v>
      </c>
      <c r="D31" s="60">
        <f t="array" ref="D31">INDEX('OECD 2018'!AD:AD,MATCH($A31,'OECD 2018'!$A:$A,0))</f>
        <v>1830.0714285714287</v>
      </c>
      <c r="E31" s="4">
        <f>SUMIFS('OECD 2018'!$AA$9:$AA$65,'OECD 2018'!$A$9:$A$65,calcs!A31)</f>
        <v>35693.599999999999</v>
      </c>
      <c r="F31" s="61">
        <f t="shared" ref="F31:AJ31" si="29">F$2*$D31+$C31</f>
        <v>42283.282857142854</v>
      </c>
      <c r="G31" s="62">
        <f t="shared" si="29"/>
        <v>44113.354285714217</v>
      </c>
      <c r="H31" s="62">
        <f t="shared" si="29"/>
        <v>45943.425714285579</v>
      </c>
      <c r="I31" s="62">
        <f t="shared" si="29"/>
        <v>47773.497142856941</v>
      </c>
      <c r="J31" s="62">
        <f t="shared" si="29"/>
        <v>49603.568571428768</v>
      </c>
      <c r="K31" s="62">
        <f t="shared" si="29"/>
        <v>51433.64000000013</v>
      </c>
      <c r="L31" s="62">
        <f t="shared" si="29"/>
        <v>53263.711428571492</v>
      </c>
      <c r="M31" s="62">
        <f t="shared" si="29"/>
        <v>55093.782857142854</v>
      </c>
      <c r="N31" s="62">
        <f t="shared" si="29"/>
        <v>56923.854285714217</v>
      </c>
      <c r="O31" s="62">
        <f t="shared" si="29"/>
        <v>58753.925714285579</v>
      </c>
      <c r="P31" s="62">
        <f t="shared" si="29"/>
        <v>60583.997142856941</v>
      </c>
      <c r="Q31" s="62">
        <f t="shared" si="29"/>
        <v>62414.068571428768</v>
      </c>
      <c r="R31" s="62">
        <f t="shared" si="29"/>
        <v>64244.14000000013</v>
      </c>
      <c r="S31" s="62">
        <f t="shared" si="29"/>
        <v>66074.211428571492</v>
      </c>
      <c r="T31" s="62">
        <f t="shared" si="29"/>
        <v>67904.282857142854</v>
      </c>
      <c r="U31" s="62">
        <f t="shared" si="29"/>
        <v>69734.354285714217</v>
      </c>
      <c r="V31" s="62">
        <f t="shared" si="29"/>
        <v>71564.425714285579</v>
      </c>
      <c r="W31" s="62">
        <f t="shared" si="29"/>
        <v>73394.497142856941</v>
      </c>
      <c r="X31" s="62">
        <f t="shared" si="29"/>
        <v>75224.568571428768</v>
      </c>
      <c r="Y31" s="62">
        <f t="shared" si="29"/>
        <v>77054.64000000013</v>
      </c>
      <c r="Z31" s="62">
        <f t="shared" si="29"/>
        <v>78884.711428571492</v>
      </c>
      <c r="AA31" s="62">
        <f t="shared" si="29"/>
        <v>80714.782857142854</v>
      </c>
      <c r="AB31" s="62">
        <f t="shared" si="29"/>
        <v>82544.854285714217</v>
      </c>
      <c r="AC31" s="62">
        <f t="shared" si="29"/>
        <v>84374.925714285579</v>
      </c>
      <c r="AD31" s="62">
        <f t="shared" si="29"/>
        <v>86204.997142856941</v>
      </c>
      <c r="AE31" s="62">
        <f t="shared" si="29"/>
        <v>88035.068571428768</v>
      </c>
      <c r="AF31" s="62">
        <f t="shared" si="29"/>
        <v>89865.14000000013</v>
      </c>
      <c r="AG31" s="62">
        <f t="shared" si="29"/>
        <v>91695.211428571492</v>
      </c>
      <c r="AH31" s="62">
        <f t="shared" si="29"/>
        <v>93525.282857142854</v>
      </c>
      <c r="AI31" s="62">
        <f t="shared" si="29"/>
        <v>95355.354285714217</v>
      </c>
      <c r="AJ31" s="63">
        <f t="shared" si="29"/>
        <v>97185.425714285579</v>
      </c>
      <c r="AL31" s="64">
        <f t="shared" si="1"/>
        <v>1.7227689477745474</v>
      </c>
    </row>
    <row r="32" spans="1:38" ht="15.75" customHeight="1" x14ac:dyDescent="0.25">
      <c r="A32" s="4" t="s">
        <v>95</v>
      </c>
      <c r="B32" s="4" t="s">
        <v>95</v>
      </c>
      <c r="C32" s="4">
        <f t="array" ref="C32">INDEX('OECD 2018'!AC:AC,MATCH($A32,'OECD 2018'!$A:$A,0))</f>
        <v>-1063403.8754761906</v>
      </c>
      <c r="D32" s="60">
        <f t="array" ref="D32">INDEX('OECD 2018'!AD:AD,MATCH($A32,'OECD 2018'!$A:$A,0))</f>
        <v>531.70357142857142</v>
      </c>
      <c r="E32" s="4">
        <f>SUMIFS('OECD 2018'!$AA$9:$AA$65,'OECD 2018'!$A$9:$A$65,calcs!A32)</f>
        <v>8789.2000000000007</v>
      </c>
      <c r="F32" s="61">
        <f t="shared" ref="F32:AJ32" si="30">F$2*$D32+$C32</f>
        <v>10637.338809523731</v>
      </c>
      <c r="G32" s="62">
        <f t="shared" si="30"/>
        <v>11169.042380952276</v>
      </c>
      <c r="H32" s="62">
        <f t="shared" si="30"/>
        <v>11700.745952380821</v>
      </c>
      <c r="I32" s="62">
        <f t="shared" si="30"/>
        <v>12232.449523809366</v>
      </c>
      <c r="J32" s="62">
        <f t="shared" si="30"/>
        <v>12764.153095237911</v>
      </c>
      <c r="K32" s="62">
        <f t="shared" si="30"/>
        <v>13295.856666666456</v>
      </c>
      <c r="L32" s="62">
        <f t="shared" si="30"/>
        <v>13827.560238095</v>
      </c>
      <c r="M32" s="62">
        <f t="shared" si="30"/>
        <v>14359.263809523778</v>
      </c>
      <c r="N32" s="62">
        <f t="shared" si="30"/>
        <v>14890.967380952323</v>
      </c>
      <c r="O32" s="62">
        <f t="shared" si="30"/>
        <v>15422.670952380868</v>
      </c>
      <c r="P32" s="62">
        <f t="shared" si="30"/>
        <v>15954.374523809412</v>
      </c>
      <c r="Q32" s="62">
        <f t="shared" si="30"/>
        <v>16486.078095237957</v>
      </c>
      <c r="R32" s="62">
        <f t="shared" si="30"/>
        <v>17017.781666666502</v>
      </c>
      <c r="S32" s="62">
        <f t="shared" si="30"/>
        <v>17549.485238095047</v>
      </c>
      <c r="T32" s="62">
        <f t="shared" si="30"/>
        <v>18081.188809523592</v>
      </c>
      <c r="U32" s="62">
        <f t="shared" si="30"/>
        <v>18612.892380952369</v>
      </c>
      <c r="V32" s="62">
        <f t="shared" si="30"/>
        <v>19144.595952380914</v>
      </c>
      <c r="W32" s="62">
        <f t="shared" si="30"/>
        <v>19676.299523809459</v>
      </c>
      <c r="X32" s="62">
        <f t="shared" si="30"/>
        <v>20208.003095238004</v>
      </c>
      <c r="Y32" s="62">
        <f t="shared" si="30"/>
        <v>20739.706666666549</v>
      </c>
      <c r="Z32" s="62">
        <f t="shared" si="30"/>
        <v>21271.410238095094</v>
      </c>
      <c r="AA32" s="62">
        <f t="shared" si="30"/>
        <v>21803.113809523638</v>
      </c>
      <c r="AB32" s="62">
        <f t="shared" si="30"/>
        <v>22334.817380952183</v>
      </c>
      <c r="AC32" s="62">
        <f t="shared" si="30"/>
        <v>22866.520952380728</v>
      </c>
      <c r="AD32" s="62">
        <f t="shared" si="30"/>
        <v>23398.224523809506</v>
      </c>
      <c r="AE32" s="62">
        <f t="shared" si="30"/>
        <v>23929.92809523805</v>
      </c>
      <c r="AF32" s="62">
        <f t="shared" si="30"/>
        <v>24461.631666666595</v>
      </c>
      <c r="AG32" s="62">
        <f t="shared" si="30"/>
        <v>24993.33523809514</v>
      </c>
      <c r="AH32" s="62">
        <f t="shared" si="30"/>
        <v>25525.038809523685</v>
      </c>
      <c r="AI32" s="62">
        <f t="shared" si="30"/>
        <v>26056.74238095223</v>
      </c>
      <c r="AJ32" s="63">
        <f t="shared" si="30"/>
        <v>26588.445952380775</v>
      </c>
      <c r="AL32" s="64">
        <f t="shared" si="1"/>
        <v>2.0251269685956368</v>
      </c>
    </row>
    <row r="33" spans="1:38" ht="15.75" customHeight="1" x14ac:dyDescent="0.25">
      <c r="A33" s="4" t="s">
        <v>97</v>
      </c>
      <c r="B33" s="4" t="s">
        <v>97</v>
      </c>
      <c r="C33" s="4">
        <f t="array" ref="C33">INDEX('OECD 2018'!AC:AC,MATCH($A33,'OECD 2018'!$A:$A,0))</f>
        <v>-5286494.424523809</v>
      </c>
      <c r="D33" s="60">
        <f t="array" ref="D33">INDEX('OECD 2018'!AD:AD,MATCH($A33,'OECD 2018'!$A:$A,0))</f>
        <v>2645.7964285714284</v>
      </c>
      <c r="E33" s="4">
        <f>SUMIFS('OECD 2018'!$AA$9:$AA$65,'OECD 2018'!$A$9:$A$65,calcs!A33)</f>
        <v>48486.400000000001</v>
      </c>
      <c r="F33" s="61">
        <f t="shared" ref="F33:AJ33" si="31">F$2*$D33+$C33</f>
        <v>58014.361190476455</v>
      </c>
      <c r="G33" s="62">
        <f t="shared" si="31"/>
        <v>60660.15761904791</v>
      </c>
      <c r="H33" s="62">
        <f t="shared" si="31"/>
        <v>63305.954047619365</v>
      </c>
      <c r="I33" s="62">
        <f t="shared" si="31"/>
        <v>65951.75047619082</v>
      </c>
      <c r="J33" s="62">
        <f t="shared" si="31"/>
        <v>68597.546904762276</v>
      </c>
      <c r="K33" s="62">
        <f t="shared" si="31"/>
        <v>71243.343333333731</v>
      </c>
      <c r="L33" s="62">
        <f t="shared" si="31"/>
        <v>73889.139761905186</v>
      </c>
      <c r="M33" s="62">
        <f t="shared" si="31"/>
        <v>76534.936190476641</v>
      </c>
      <c r="N33" s="62">
        <f t="shared" si="31"/>
        <v>79180.732619048096</v>
      </c>
      <c r="O33" s="62">
        <f t="shared" si="31"/>
        <v>81826.529047619551</v>
      </c>
      <c r="P33" s="62">
        <f t="shared" si="31"/>
        <v>84472.325476191007</v>
      </c>
      <c r="Q33" s="62">
        <f t="shared" si="31"/>
        <v>87118.12190476153</v>
      </c>
      <c r="R33" s="62">
        <f t="shared" si="31"/>
        <v>89763.918333332986</v>
      </c>
      <c r="S33" s="62">
        <f t="shared" si="31"/>
        <v>92409.714761904441</v>
      </c>
      <c r="T33" s="62">
        <f t="shared" si="31"/>
        <v>95055.511190475896</v>
      </c>
      <c r="U33" s="62">
        <f t="shared" si="31"/>
        <v>97701.307619047351</v>
      </c>
      <c r="V33" s="62">
        <f t="shared" si="31"/>
        <v>100347.10404761881</v>
      </c>
      <c r="W33" s="62">
        <f t="shared" si="31"/>
        <v>102992.90047619026</v>
      </c>
      <c r="X33" s="62">
        <f t="shared" si="31"/>
        <v>105638.69690476172</v>
      </c>
      <c r="Y33" s="62">
        <f t="shared" si="31"/>
        <v>108284.49333333317</v>
      </c>
      <c r="Z33" s="62">
        <f t="shared" si="31"/>
        <v>110930.28976190463</v>
      </c>
      <c r="AA33" s="62">
        <f t="shared" si="31"/>
        <v>113576.08619047608</v>
      </c>
      <c r="AB33" s="62">
        <f t="shared" si="31"/>
        <v>116221.88261904754</v>
      </c>
      <c r="AC33" s="62">
        <f t="shared" si="31"/>
        <v>118867.67904761899</v>
      </c>
      <c r="AD33" s="62">
        <f t="shared" si="31"/>
        <v>121513.47547619045</v>
      </c>
      <c r="AE33" s="62">
        <f t="shared" si="31"/>
        <v>124159.2719047619</v>
      </c>
      <c r="AF33" s="62">
        <f t="shared" si="31"/>
        <v>126805.06833333336</v>
      </c>
      <c r="AG33" s="62">
        <f t="shared" si="31"/>
        <v>129450.86476190481</v>
      </c>
      <c r="AH33" s="62">
        <f t="shared" si="31"/>
        <v>132096.66119047627</v>
      </c>
      <c r="AI33" s="62">
        <f t="shared" si="31"/>
        <v>134742.45761904772</v>
      </c>
      <c r="AJ33" s="63">
        <f t="shared" si="31"/>
        <v>137388.25404761918</v>
      </c>
      <c r="AL33" s="64">
        <f t="shared" si="1"/>
        <v>1.8335420663860214</v>
      </c>
    </row>
    <row r="34" spans="1:38" ht="15.75" customHeight="1" x14ac:dyDescent="0.25">
      <c r="A34" s="4" t="s">
        <v>99</v>
      </c>
      <c r="B34" s="4" t="s">
        <v>99</v>
      </c>
      <c r="C34" s="4">
        <f t="array" ref="C34">INDEX('OECD 2018'!AC:AC,MATCH($A34,'OECD 2018'!$A:$A,0))</f>
        <v>-3618981.7971428563</v>
      </c>
      <c r="D34" s="60">
        <f t="array" ref="D34">INDEX('OECD 2018'!AD:AD,MATCH($A34,'OECD 2018'!$A:$A,0))</f>
        <v>1811.8085714285712</v>
      </c>
      <c r="E34" s="4">
        <f>SUMIFS('OECD 2018'!$AA$9:$AA$65,'OECD 2018'!$A$9:$A$65,calcs!A34)</f>
        <v>34402.5</v>
      </c>
      <c r="F34" s="61">
        <f t="shared" ref="F34:AJ34" si="32">F$2*$D34+$C34</f>
        <v>40871.517142857425</v>
      </c>
      <c r="G34" s="62">
        <f t="shared" si="32"/>
        <v>42683.325714285951</v>
      </c>
      <c r="H34" s="62">
        <f t="shared" si="32"/>
        <v>44495.134285714477</v>
      </c>
      <c r="I34" s="62">
        <f t="shared" si="32"/>
        <v>46306.942857143469</v>
      </c>
      <c r="J34" s="62">
        <f t="shared" si="32"/>
        <v>48118.751428571995</v>
      </c>
      <c r="K34" s="62">
        <f t="shared" si="32"/>
        <v>49930.560000000522</v>
      </c>
      <c r="L34" s="62">
        <f t="shared" si="32"/>
        <v>51742.368571429048</v>
      </c>
      <c r="M34" s="62">
        <f t="shared" si="32"/>
        <v>53554.177142857574</v>
      </c>
      <c r="N34" s="62">
        <f t="shared" si="32"/>
        <v>55365.9857142861</v>
      </c>
      <c r="O34" s="62">
        <f t="shared" si="32"/>
        <v>57177.794285714626</v>
      </c>
      <c r="P34" s="62">
        <f t="shared" si="32"/>
        <v>58989.602857143153</v>
      </c>
      <c r="Q34" s="62">
        <f t="shared" si="32"/>
        <v>60801.411428571679</v>
      </c>
      <c r="R34" s="62">
        <f t="shared" si="32"/>
        <v>62613.220000000205</v>
      </c>
      <c r="S34" s="62">
        <f t="shared" si="32"/>
        <v>64425.028571429197</v>
      </c>
      <c r="T34" s="62">
        <f t="shared" si="32"/>
        <v>66236.837142857723</v>
      </c>
      <c r="U34" s="62">
        <f t="shared" si="32"/>
        <v>68048.645714286249</v>
      </c>
      <c r="V34" s="62">
        <f t="shared" si="32"/>
        <v>69860.454285714775</v>
      </c>
      <c r="W34" s="62">
        <f t="shared" si="32"/>
        <v>71672.262857143302</v>
      </c>
      <c r="X34" s="62">
        <f t="shared" si="32"/>
        <v>73484.071428571828</v>
      </c>
      <c r="Y34" s="62">
        <f t="shared" si="32"/>
        <v>75295.880000000354</v>
      </c>
      <c r="Z34" s="62">
        <f t="shared" si="32"/>
        <v>77107.68857142888</v>
      </c>
      <c r="AA34" s="62">
        <f t="shared" si="32"/>
        <v>78919.497142857406</v>
      </c>
      <c r="AB34" s="62">
        <f t="shared" si="32"/>
        <v>80731.305714285932</v>
      </c>
      <c r="AC34" s="62">
        <f t="shared" si="32"/>
        <v>82543.114285714924</v>
      </c>
      <c r="AD34" s="62">
        <f t="shared" si="32"/>
        <v>84354.922857143451</v>
      </c>
      <c r="AE34" s="62">
        <f t="shared" si="32"/>
        <v>86166.731428571977</v>
      </c>
      <c r="AF34" s="62">
        <f t="shared" si="32"/>
        <v>87978.540000000503</v>
      </c>
      <c r="AG34" s="62">
        <f t="shared" si="32"/>
        <v>89790.348571429029</v>
      </c>
      <c r="AH34" s="62">
        <f t="shared" si="32"/>
        <v>91602.157142857555</v>
      </c>
      <c r="AI34" s="62">
        <f t="shared" si="32"/>
        <v>93413.965714286081</v>
      </c>
      <c r="AJ34" s="63">
        <f t="shared" si="32"/>
        <v>95225.774285714608</v>
      </c>
      <c r="AL34" s="64">
        <f t="shared" si="1"/>
        <v>1.7679899508964352</v>
      </c>
    </row>
    <row r="35" spans="1:38" ht="15.75" customHeight="1" x14ac:dyDescent="0.25">
      <c r="A35" s="4" t="s">
        <v>101</v>
      </c>
      <c r="B35" s="4" t="s">
        <v>101</v>
      </c>
      <c r="C35" s="4">
        <f t="array" ref="C35">INDEX('OECD 2018'!AC:AC,MATCH($A35,'OECD 2018'!$A:$A,0))</f>
        <v>-2615636.7842857144</v>
      </c>
      <c r="D35" s="60">
        <f t="array" ref="D35">INDEX('OECD 2018'!AD:AD,MATCH($A35,'OECD 2018'!$A:$A,0))</f>
        <v>1309.247142857143</v>
      </c>
      <c r="E35" s="4">
        <f>SUMIFS('OECD 2018'!$AA$9:$AA$65,'OECD 2018'!$A$9:$A$65,calcs!A35)</f>
        <v>24467.5</v>
      </c>
      <c r="F35" s="61">
        <f t="shared" ref="F35:AJ35" si="33">F$2*$D35+$C35</f>
        <v>29042.444285714533</v>
      </c>
      <c r="G35" s="62">
        <f t="shared" si="33"/>
        <v>30351.691428571474</v>
      </c>
      <c r="H35" s="62">
        <f t="shared" si="33"/>
        <v>31660.93857142888</v>
      </c>
      <c r="I35" s="62">
        <f t="shared" si="33"/>
        <v>32970.185714285821</v>
      </c>
      <c r="J35" s="62">
        <f t="shared" si="33"/>
        <v>34279.432857143227</v>
      </c>
      <c r="K35" s="62">
        <f t="shared" si="33"/>
        <v>35588.680000000168</v>
      </c>
      <c r="L35" s="62">
        <f t="shared" si="33"/>
        <v>36897.927142857108</v>
      </c>
      <c r="M35" s="62">
        <f t="shared" si="33"/>
        <v>38207.174285714515</v>
      </c>
      <c r="N35" s="62">
        <f t="shared" si="33"/>
        <v>39516.421428571455</v>
      </c>
      <c r="O35" s="62">
        <f t="shared" si="33"/>
        <v>40825.668571428861</v>
      </c>
      <c r="P35" s="62">
        <f t="shared" si="33"/>
        <v>42134.915714285802</v>
      </c>
      <c r="Q35" s="62">
        <f t="shared" si="33"/>
        <v>43444.162857143208</v>
      </c>
      <c r="R35" s="62">
        <f t="shared" si="33"/>
        <v>44753.410000000149</v>
      </c>
      <c r="S35" s="62">
        <f t="shared" si="33"/>
        <v>46062.65714285709</v>
      </c>
      <c r="T35" s="62">
        <f t="shared" si="33"/>
        <v>47371.904285714496</v>
      </c>
      <c r="U35" s="62">
        <f t="shared" si="33"/>
        <v>48681.151428571437</v>
      </c>
      <c r="V35" s="62">
        <f t="shared" si="33"/>
        <v>49990.398571428843</v>
      </c>
      <c r="W35" s="62">
        <f t="shared" si="33"/>
        <v>51299.645714285783</v>
      </c>
      <c r="X35" s="62">
        <f t="shared" si="33"/>
        <v>52608.89285714319</v>
      </c>
      <c r="Y35" s="62">
        <f t="shared" si="33"/>
        <v>53918.14000000013</v>
      </c>
      <c r="Z35" s="62">
        <f t="shared" si="33"/>
        <v>55227.387142857537</v>
      </c>
      <c r="AA35" s="62">
        <f t="shared" si="33"/>
        <v>56536.634285714477</v>
      </c>
      <c r="AB35" s="62">
        <f t="shared" si="33"/>
        <v>57845.881428571418</v>
      </c>
      <c r="AC35" s="62">
        <f t="shared" si="33"/>
        <v>59155.128571428824</v>
      </c>
      <c r="AD35" s="62">
        <f t="shared" si="33"/>
        <v>60464.375714285765</v>
      </c>
      <c r="AE35" s="62">
        <f t="shared" si="33"/>
        <v>61773.622857143171</v>
      </c>
      <c r="AF35" s="62">
        <f t="shared" si="33"/>
        <v>63082.870000000112</v>
      </c>
      <c r="AG35" s="62">
        <f t="shared" si="33"/>
        <v>64392.117142857518</v>
      </c>
      <c r="AH35" s="62">
        <f t="shared" si="33"/>
        <v>65701.364285714459</v>
      </c>
      <c r="AI35" s="62">
        <f t="shared" si="33"/>
        <v>67010.611428571399</v>
      </c>
      <c r="AJ35" s="63">
        <f t="shared" si="33"/>
        <v>68319.858571428806</v>
      </c>
      <c r="AL35" s="64">
        <f t="shared" si="1"/>
        <v>1.7922696871943928</v>
      </c>
    </row>
    <row r="36" spans="1:38" ht="15.75" customHeight="1" x14ac:dyDescent="0.25">
      <c r="A36" s="4" t="s">
        <v>105</v>
      </c>
      <c r="B36" s="4" t="s">
        <v>105</v>
      </c>
      <c r="C36" s="4">
        <f t="array" ref="C36">INDEX('OECD 2018'!AC:AC,MATCH($A36,'OECD 2018'!$A:$A,0))</f>
        <v>-6384895.2920238106</v>
      </c>
      <c r="D36" s="60">
        <f t="array" ref="D36">INDEX('OECD 2018'!AD:AD,MATCH($A36,'OECD 2018'!$A:$A,0))</f>
        <v>3196.2589285714289</v>
      </c>
      <c r="E36" s="4">
        <f>SUMIFS('OECD 2018'!$AA$9:$AA$65,'OECD 2018'!$A$9:$A$65,calcs!A36)</f>
        <v>60053.7</v>
      </c>
      <c r="F36" s="61">
        <f t="shared" ref="F36:AJ36" si="34">F$2*$D36+$C36</f>
        <v>71547.743690475821</v>
      </c>
      <c r="G36" s="62">
        <f t="shared" si="34"/>
        <v>74744.002619047649</v>
      </c>
      <c r="H36" s="62">
        <f t="shared" si="34"/>
        <v>77940.261547618546</v>
      </c>
      <c r="I36" s="62">
        <f t="shared" si="34"/>
        <v>81136.520476190373</v>
      </c>
      <c r="J36" s="62">
        <f t="shared" si="34"/>
        <v>84332.77940476127</v>
      </c>
      <c r="K36" s="62">
        <f t="shared" si="34"/>
        <v>87529.038333333097</v>
      </c>
      <c r="L36" s="62">
        <f t="shared" si="34"/>
        <v>90725.297261903994</v>
      </c>
      <c r="M36" s="62">
        <f t="shared" si="34"/>
        <v>93921.556190475821</v>
      </c>
      <c r="N36" s="62">
        <f t="shared" si="34"/>
        <v>97117.815119047649</v>
      </c>
      <c r="O36" s="62">
        <f t="shared" si="34"/>
        <v>100314.07404761855</v>
      </c>
      <c r="P36" s="62">
        <f t="shared" si="34"/>
        <v>103510.33297619037</v>
      </c>
      <c r="Q36" s="62">
        <f t="shared" si="34"/>
        <v>106706.59190476127</v>
      </c>
      <c r="R36" s="62">
        <f t="shared" si="34"/>
        <v>109902.8508333331</v>
      </c>
      <c r="S36" s="62">
        <f t="shared" si="34"/>
        <v>113099.10976190399</v>
      </c>
      <c r="T36" s="62">
        <f t="shared" si="34"/>
        <v>116295.36869047582</v>
      </c>
      <c r="U36" s="62">
        <f t="shared" si="34"/>
        <v>119491.62761904765</v>
      </c>
      <c r="V36" s="62">
        <f t="shared" si="34"/>
        <v>122687.88654761855</v>
      </c>
      <c r="W36" s="62">
        <f t="shared" si="34"/>
        <v>125884.14547619037</v>
      </c>
      <c r="X36" s="62">
        <f t="shared" si="34"/>
        <v>129080.40440476127</v>
      </c>
      <c r="Y36" s="62">
        <f t="shared" si="34"/>
        <v>132276.6633333331</v>
      </c>
      <c r="Z36" s="62">
        <f t="shared" si="34"/>
        <v>135472.92226190399</v>
      </c>
      <c r="AA36" s="62">
        <f t="shared" si="34"/>
        <v>138669.18119047582</v>
      </c>
      <c r="AB36" s="62">
        <f t="shared" si="34"/>
        <v>141865.44011904765</v>
      </c>
      <c r="AC36" s="62">
        <f t="shared" si="34"/>
        <v>145061.69904761855</v>
      </c>
      <c r="AD36" s="62">
        <f t="shared" si="34"/>
        <v>148257.95797619037</v>
      </c>
      <c r="AE36" s="62">
        <f t="shared" si="34"/>
        <v>151454.21690476127</v>
      </c>
      <c r="AF36" s="62">
        <f t="shared" si="34"/>
        <v>154650.4758333331</v>
      </c>
      <c r="AG36" s="62">
        <f t="shared" si="34"/>
        <v>157846.73476190399</v>
      </c>
      <c r="AH36" s="62">
        <f t="shared" si="34"/>
        <v>161042.99369047582</v>
      </c>
      <c r="AI36" s="62">
        <f t="shared" si="34"/>
        <v>164239.25261904765</v>
      </c>
      <c r="AJ36" s="63">
        <f t="shared" si="34"/>
        <v>167435.51154761855</v>
      </c>
      <c r="AL36" s="64">
        <f t="shared" si="1"/>
        <v>1.7880965127480664</v>
      </c>
    </row>
    <row r="37" spans="1:38" ht="15.75" customHeight="1" x14ac:dyDescent="0.25">
      <c r="A37" s="4" t="s">
        <v>107</v>
      </c>
      <c r="B37" s="4" t="s">
        <v>107</v>
      </c>
      <c r="C37" s="4">
        <f t="array" ref="C37">INDEX('OECD 2018'!AC:AC,MATCH($A37,'OECD 2018'!$A:$A,0))</f>
        <v>-4748003.7796428585</v>
      </c>
      <c r="D37" s="60">
        <f t="array" ref="D37">INDEX('OECD 2018'!AD:AD,MATCH($A37,'OECD 2018'!$A:$A,0))</f>
        <v>2376.8360714285718</v>
      </c>
      <c r="E37" s="4">
        <f>SUMIFS('OECD 2018'!$AA$9:$AA$65,'OECD 2018'!$A$9:$A$65,calcs!A37)</f>
        <v>44657.8</v>
      </c>
      <c r="F37" s="61">
        <f t="shared" ref="F37:AJ37" si="35">F$2*$D37+$C37</f>
        <v>53205.084642856382</v>
      </c>
      <c r="G37" s="62">
        <f t="shared" si="35"/>
        <v>55581.920714285225</v>
      </c>
      <c r="H37" s="62">
        <f t="shared" si="35"/>
        <v>57958.756785714068</v>
      </c>
      <c r="I37" s="62">
        <f t="shared" si="35"/>
        <v>60335.592857141979</v>
      </c>
      <c r="J37" s="62">
        <f t="shared" si="35"/>
        <v>62712.428928570822</v>
      </c>
      <c r="K37" s="62">
        <f t="shared" si="35"/>
        <v>65089.264999999665</v>
      </c>
      <c r="L37" s="62">
        <f t="shared" si="35"/>
        <v>67466.101071427576</v>
      </c>
      <c r="M37" s="62">
        <f t="shared" si="35"/>
        <v>69842.937142856419</v>
      </c>
      <c r="N37" s="62">
        <f t="shared" si="35"/>
        <v>72219.773214285262</v>
      </c>
      <c r="O37" s="62">
        <f t="shared" si="35"/>
        <v>74596.609285714105</v>
      </c>
      <c r="P37" s="62">
        <f t="shared" si="35"/>
        <v>76973.445357142016</v>
      </c>
      <c r="Q37" s="62">
        <f t="shared" si="35"/>
        <v>79350.281428570859</v>
      </c>
      <c r="R37" s="62">
        <f t="shared" si="35"/>
        <v>81727.117499999702</v>
      </c>
      <c r="S37" s="62">
        <f t="shared" si="35"/>
        <v>84103.953571427613</v>
      </c>
      <c r="T37" s="62">
        <f t="shared" si="35"/>
        <v>86480.789642856456</v>
      </c>
      <c r="U37" s="62">
        <f t="shared" si="35"/>
        <v>88857.625714285299</v>
      </c>
      <c r="V37" s="62">
        <f t="shared" si="35"/>
        <v>91234.461785713211</v>
      </c>
      <c r="W37" s="62">
        <f t="shared" si="35"/>
        <v>93611.297857142054</v>
      </c>
      <c r="X37" s="62">
        <f t="shared" si="35"/>
        <v>95988.133928570896</v>
      </c>
      <c r="Y37" s="62">
        <f t="shared" si="35"/>
        <v>98364.969999999739</v>
      </c>
      <c r="Z37" s="62">
        <f t="shared" si="35"/>
        <v>100741.80607142765</v>
      </c>
      <c r="AA37" s="62">
        <f t="shared" si="35"/>
        <v>103118.64214285649</v>
      </c>
      <c r="AB37" s="62">
        <f t="shared" si="35"/>
        <v>105495.47821428534</v>
      </c>
      <c r="AC37" s="62">
        <f t="shared" si="35"/>
        <v>107872.31428571325</v>
      </c>
      <c r="AD37" s="62">
        <f t="shared" si="35"/>
        <v>110249.15035714209</v>
      </c>
      <c r="AE37" s="62">
        <f t="shared" si="35"/>
        <v>112625.98642857093</v>
      </c>
      <c r="AF37" s="62">
        <f t="shared" si="35"/>
        <v>115002.82249999978</v>
      </c>
      <c r="AG37" s="62">
        <f t="shared" si="35"/>
        <v>117379.65857142769</v>
      </c>
      <c r="AH37" s="62">
        <f t="shared" si="35"/>
        <v>119756.49464285653</v>
      </c>
      <c r="AI37" s="62">
        <f t="shared" si="35"/>
        <v>122133.33071428537</v>
      </c>
      <c r="AJ37" s="63">
        <f t="shared" si="35"/>
        <v>124510.16678571329</v>
      </c>
      <c r="AL37" s="64">
        <f t="shared" si="1"/>
        <v>1.7880945050072614</v>
      </c>
    </row>
    <row r="38" spans="1:38" ht="15.75" customHeight="1" x14ac:dyDescent="0.25">
      <c r="A38" s="4" t="s">
        <v>109</v>
      </c>
      <c r="B38" s="4" t="s">
        <v>109</v>
      </c>
      <c r="C38" s="4">
        <f t="array" ref="C38">INDEX('OECD 2018'!AC:AC,MATCH($A38,'OECD 2018'!$A:$A,0))</f>
        <v>-2276133.3132142858</v>
      </c>
      <c r="D38" s="60">
        <f t="array" ref="D38">INDEX('OECD 2018'!AD:AD,MATCH($A38,'OECD 2018'!$A:$A,0))</f>
        <v>1139.4253571428571</v>
      </c>
      <c r="E38" s="4">
        <f>SUMIFS('OECD 2018'!$AA$9:$AA$65,'OECD 2018'!$A$9:$A$65,calcs!A38)</f>
        <v>21408.400000000001</v>
      </c>
      <c r="F38" s="61">
        <f t="shared" ref="F38:AJ38" si="36">F$2*$D38+$C38</f>
        <v>25505.908214285504</v>
      </c>
      <c r="G38" s="62">
        <f t="shared" si="36"/>
        <v>26645.333571428433</v>
      </c>
      <c r="H38" s="62">
        <f t="shared" si="36"/>
        <v>27784.758928571362</v>
      </c>
      <c r="I38" s="62">
        <f t="shared" si="36"/>
        <v>28924.184285714291</v>
      </c>
      <c r="J38" s="62">
        <f t="shared" si="36"/>
        <v>30063.60964285722</v>
      </c>
      <c r="K38" s="62">
        <f t="shared" si="36"/>
        <v>31203.035000000149</v>
      </c>
      <c r="L38" s="62">
        <f t="shared" si="36"/>
        <v>32342.460357142612</v>
      </c>
      <c r="M38" s="62">
        <f t="shared" si="36"/>
        <v>33481.885714285541</v>
      </c>
      <c r="N38" s="62">
        <f t="shared" si="36"/>
        <v>34621.31107142847</v>
      </c>
      <c r="O38" s="62">
        <f t="shared" si="36"/>
        <v>35760.736428571399</v>
      </c>
      <c r="P38" s="62">
        <f t="shared" si="36"/>
        <v>36900.161785714328</v>
      </c>
      <c r="Q38" s="62">
        <f t="shared" si="36"/>
        <v>38039.587142857257</v>
      </c>
      <c r="R38" s="62">
        <f t="shared" si="36"/>
        <v>39179.012499999721</v>
      </c>
      <c r="S38" s="62">
        <f t="shared" si="36"/>
        <v>40318.43785714265</v>
      </c>
      <c r="T38" s="62">
        <f t="shared" si="36"/>
        <v>41457.863214285579</v>
      </c>
      <c r="U38" s="62">
        <f t="shared" si="36"/>
        <v>42597.288571428508</v>
      </c>
      <c r="V38" s="62">
        <f t="shared" si="36"/>
        <v>43736.713928571437</v>
      </c>
      <c r="W38" s="62">
        <f t="shared" si="36"/>
        <v>44876.139285714366</v>
      </c>
      <c r="X38" s="62">
        <f t="shared" si="36"/>
        <v>46015.564642857295</v>
      </c>
      <c r="Y38" s="62">
        <f t="shared" si="36"/>
        <v>47154.989999999758</v>
      </c>
      <c r="Z38" s="62">
        <f t="shared" si="36"/>
        <v>48294.415357142687</v>
      </c>
      <c r="AA38" s="62">
        <f t="shared" si="36"/>
        <v>49433.840714285616</v>
      </c>
      <c r="AB38" s="62">
        <f t="shared" si="36"/>
        <v>50573.266071428545</v>
      </c>
      <c r="AC38" s="62">
        <f t="shared" si="36"/>
        <v>51712.691428571474</v>
      </c>
      <c r="AD38" s="62">
        <f t="shared" si="36"/>
        <v>52852.116785714403</v>
      </c>
      <c r="AE38" s="62">
        <f t="shared" si="36"/>
        <v>53991.542142856866</v>
      </c>
      <c r="AF38" s="62">
        <f t="shared" si="36"/>
        <v>55130.967499999795</v>
      </c>
      <c r="AG38" s="62">
        <f t="shared" si="36"/>
        <v>56270.392857142724</v>
      </c>
      <c r="AH38" s="62">
        <f t="shared" si="36"/>
        <v>57409.818214285653</v>
      </c>
      <c r="AI38" s="62">
        <f t="shared" si="36"/>
        <v>58549.243571428582</v>
      </c>
      <c r="AJ38" s="63">
        <f t="shared" si="36"/>
        <v>59688.668928571511</v>
      </c>
      <c r="AL38" s="64">
        <f t="shared" si="1"/>
        <v>1.7880957441271421</v>
      </c>
    </row>
    <row r="39" spans="1:38" ht="15.75" customHeight="1" x14ac:dyDescent="0.25">
      <c r="A39" s="4" t="s">
        <v>111</v>
      </c>
      <c r="B39" s="4" t="s">
        <v>111</v>
      </c>
      <c r="C39" s="4">
        <f t="array" ref="C39">INDEX('OECD 2018'!AC:AC,MATCH($A39,'OECD 2018'!$A:$A,0))</f>
        <v>-2284620.1371428575</v>
      </c>
      <c r="D39" s="60">
        <f t="array" ref="D39">INDEX('OECD 2018'!AD:AD,MATCH($A39,'OECD 2018'!$A:$A,0))</f>
        <v>1143.4485714285715</v>
      </c>
      <c r="E39" s="4">
        <f>SUMIFS('OECD 2018'!$AA$9:$AA$65,'OECD 2018'!$A$9:$A$65,calcs!A39)</f>
        <v>21047.5</v>
      </c>
      <c r="F39" s="61">
        <f t="shared" ref="F39:AJ39" si="37">F$2*$D39+$C39</f>
        <v>25145.977142856922</v>
      </c>
      <c r="G39" s="62">
        <f t="shared" si="37"/>
        <v>26289.425714285579</v>
      </c>
      <c r="H39" s="62">
        <f t="shared" si="37"/>
        <v>27432.874285714235</v>
      </c>
      <c r="I39" s="62">
        <f t="shared" si="37"/>
        <v>28576.322857142892</v>
      </c>
      <c r="J39" s="62">
        <f t="shared" si="37"/>
        <v>29719.771428571083</v>
      </c>
      <c r="K39" s="62">
        <f t="shared" si="37"/>
        <v>30863.219999999739</v>
      </c>
      <c r="L39" s="62">
        <f t="shared" si="37"/>
        <v>32006.668571428396</v>
      </c>
      <c r="M39" s="62">
        <f t="shared" si="37"/>
        <v>33150.117142857052</v>
      </c>
      <c r="N39" s="62">
        <f t="shared" si="37"/>
        <v>34293.565714285709</v>
      </c>
      <c r="O39" s="62">
        <f t="shared" si="37"/>
        <v>35437.0142857139</v>
      </c>
      <c r="P39" s="62">
        <f t="shared" si="37"/>
        <v>36580.462857142556</v>
      </c>
      <c r="Q39" s="62">
        <f t="shared" si="37"/>
        <v>37723.911428571213</v>
      </c>
      <c r="R39" s="62">
        <f t="shared" si="37"/>
        <v>38867.35999999987</v>
      </c>
      <c r="S39" s="62">
        <f t="shared" si="37"/>
        <v>40010.808571428526</v>
      </c>
      <c r="T39" s="62">
        <f t="shared" si="37"/>
        <v>41154.257142857183</v>
      </c>
      <c r="U39" s="62">
        <f t="shared" si="37"/>
        <v>42297.705714285374</v>
      </c>
      <c r="V39" s="62">
        <f t="shared" si="37"/>
        <v>43441.15428571403</v>
      </c>
      <c r="W39" s="62">
        <f t="shared" si="37"/>
        <v>44584.602857142687</v>
      </c>
      <c r="X39" s="62">
        <f t="shared" si="37"/>
        <v>45728.051428571343</v>
      </c>
      <c r="Y39" s="62">
        <f t="shared" si="37"/>
        <v>46871.5</v>
      </c>
      <c r="Z39" s="62">
        <f t="shared" si="37"/>
        <v>48014.948571428191</v>
      </c>
      <c r="AA39" s="62">
        <f t="shared" si="37"/>
        <v>49158.397142856847</v>
      </c>
      <c r="AB39" s="62">
        <f t="shared" si="37"/>
        <v>50301.845714285504</v>
      </c>
      <c r="AC39" s="62">
        <f t="shared" si="37"/>
        <v>51445.294285714161</v>
      </c>
      <c r="AD39" s="62">
        <f t="shared" si="37"/>
        <v>52588.742857142817</v>
      </c>
      <c r="AE39" s="62">
        <f t="shared" si="37"/>
        <v>53732.191428571474</v>
      </c>
      <c r="AF39" s="62">
        <f t="shared" si="37"/>
        <v>54875.639999999665</v>
      </c>
      <c r="AG39" s="62">
        <f t="shared" si="37"/>
        <v>56019.088571428321</v>
      </c>
      <c r="AH39" s="62">
        <f t="shared" si="37"/>
        <v>57162.537142856978</v>
      </c>
      <c r="AI39" s="62">
        <f t="shared" si="37"/>
        <v>58305.985714285634</v>
      </c>
      <c r="AJ39" s="63">
        <f t="shared" si="37"/>
        <v>59449.434285714291</v>
      </c>
      <c r="AL39" s="64">
        <f t="shared" si="1"/>
        <v>1.8245366093699626</v>
      </c>
    </row>
    <row r="40" spans="1:38" ht="15.75" customHeight="1" x14ac:dyDescent="0.25">
      <c r="A40" s="4" t="s">
        <v>115</v>
      </c>
      <c r="B40" s="4" t="s">
        <v>115</v>
      </c>
      <c r="C40" s="4">
        <f t="array" ref="C40">INDEX('OECD 2018'!AC:AC,MATCH($A40,'OECD 2018'!$A:$A,0))</f>
        <v>-342234.33952380944</v>
      </c>
      <c r="D40" s="60">
        <f t="array" ref="D40">INDEX('OECD 2018'!AD:AD,MATCH($A40,'OECD 2018'!$A:$A,0))</f>
        <v>171.40142857142854</v>
      </c>
      <c r="E40" s="4">
        <f>SUMIFS('OECD 2018'!$AA$9:$AA$65,'OECD 2018'!$A$9:$A$65,calcs!A40)</f>
        <v>3763.2</v>
      </c>
      <c r="F40" s="65">
        <f t="shared" ref="F40:AJ40" si="38">F$2*$D40+$C40</f>
        <v>3996.5461904762196</v>
      </c>
      <c r="G40" s="66">
        <f t="shared" si="38"/>
        <v>4167.9476190476562</v>
      </c>
      <c r="H40" s="66">
        <f t="shared" si="38"/>
        <v>4339.3490476190927</v>
      </c>
      <c r="I40" s="66">
        <f t="shared" si="38"/>
        <v>4510.7504761904711</v>
      </c>
      <c r="J40" s="66">
        <f t="shared" si="38"/>
        <v>4682.1519047619076</v>
      </c>
      <c r="K40" s="66">
        <f t="shared" si="38"/>
        <v>4853.5533333333442</v>
      </c>
      <c r="L40" s="66">
        <f t="shared" si="38"/>
        <v>5024.9547619047808</v>
      </c>
      <c r="M40" s="66">
        <f t="shared" si="38"/>
        <v>5196.3561904762173</v>
      </c>
      <c r="N40" s="66">
        <f t="shared" si="38"/>
        <v>5367.7576190476539</v>
      </c>
      <c r="O40" s="66">
        <f t="shared" si="38"/>
        <v>5539.1590476190904</v>
      </c>
      <c r="P40" s="66">
        <f t="shared" si="38"/>
        <v>5710.5604761904688</v>
      </c>
      <c r="Q40" s="66">
        <f t="shared" si="38"/>
        <v>5881.9619047619053</v>
      </c>
      <c r="R40" s="66">
        <f t="shared" si="38"/>
        <v>6053.3633333333419</v>
      </c>
      <c r="S40" s="66">
        <f t="shared" si="38"/>
        <v>6224.7647619047784</v>
      </c>
      <c r="T40" s="66">
        <f t="shared" si="38"/>
        <v>6396.166190476215</v>
      </c>
      <c r="U40" s="66">
        <f t="shared" si="38"/>
        <v>6567.5676190476515</v>
      </c>
      <c r="V40" s="66">
        <f t="shared" si="38"/>
        <v>6738.9690476190881</v>
      </c>
      <c r="W40" s="66">
        <f t="shared" si="38"/>
        <v>6910.3704761905246</v>
      </c>
      <c r="X40" s="66">
        <f t="shared" si="38"/>
        <v>7081.771904761903</v>
      </c>
      <c r="Y40" s="66">
        <f t="shared" si="38"/>
        <v>7253.1733333333395</v>
      </c>
      <c r="Z40" s="66">
        <f t="shared" si="38"/>
        <v>7424.5747619047761</v>
      </c>
      <c r="AA40" s="66">
        <f t="shared" si="38"/>
        <v>7595.9761904762127</v>
      </c>
      <c r="AB40" s="66">
        <f t="shared" si="38"/>
        <v>7767.3776190476492</v>
      </c>
      <c r="AC40" s="66">
        <f t="shared" si="38"/>
        <v>7938.7790476190858</v>
      </c>
      <c r="AD40" s="66">
        <f t="shared" si="38"/>
        <v>8110.1804761905223</v>
      </c>
      <c r="AE40" s="66">
        <f t="shared" si="38"/>
        <v>8281.5819047619007</v>
      </c>
      <c r="AF40" s="66">
        <f t="shared" si="38"/>
        <v>8452.9833333333372</v>
      </c>
      <c r="AG40" s="66">
        <f t="shared" si="38"/>
        <v>8624.3847619047738</v>
      </c>
      <c r="AH40" s="66">
        <f t="shared" si="38"/>
        <v>8795.7861904762103</v>
      </c>
      <c r="AI40" s="66">
        <f t="shared" si="38"/>
        <v>8967.1876190476469</v>
      </c>
      <c r="AJ40" s="67">
        <f t="shared" si="38"/>
        <v>9138.5890476190834</v>
      </c>
      <c r="AL40" s="64">
        <f t="shared" si="1"/>
        <v>1.4284090794055815</v>
      </c>
    </row>
    <row r="41" spans="1:38" ht="15.75" customHeight="1" x14ac:dyDescent="0.25">
      <c r="A41" s="7"/>
      <c r="B41" s="7"/>
      <c r="G41" s="68"/>
    </row>
    <row r="42" spans="1:38" ht="15.75" customHeight="1" x14ac:dyDescent="0.25">
      <c r="A42" s="53" t="s">
        <v>165</v>
      </c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</row>
    <row r="43" spans="1:38" ht="15.75" customHeight="1" x14ac:dyDescent="0.25">
      <c r="A43" s="1" t="b">
        <f>SUM(F44:AJ81)=SUM(F3:AJ40)</f>
        <v>1</v>
      </c>
      <c r="B43" s="24"/>
      <c r="C43" s="1"/>
      <c r="D43" s="1"/>
      <c r="F43" s="56">
        <v>2020</v>
      </c>
      <c r="G43" s="57">
        <v>2021</v>
      </c>
      <c r="H43" s="57">
        <v>2022</v>
      </c>
      <c r="I43" s="57">
        <v>2023</v>
      </c>
      <c r="J43" s="57">
        <v>2024</v>
      </c>
      <c r="K43" s="57">
        <v>2025</v>
      </c>
      <c r="L43" s="57">
        <v>2026</v>
      </c>
      <c r="M43" s="57">
        <v>2027</v>
      </c>
      <c r="N43" s="57">
        <v>2028</v>
      </c>
      <c r="O43" s="57">
        <v>2029</v>
      </c>
      <c r="P43" s="57">
        <v>2030</v>
      </c>
      <c r="Q43" s="57">
        <v>2031</v>
      </c>
      <c r="R43" s="57">
        <v>2032</v>
      </c>
      <c r="S43" s="57">
        <v>2033</v>
      </c>
      <c r="T43" s="57">
        <v>2034</v>
      </c>
      <c r="U43" s="57">
        <v>2035</v>
      </c>
      <c r="V43" s="57">
        <v>2036</v>
      </c>
      <c r="W43" s="57">
        <v>2037</v>
      </c>
      <c r="X43" s="57">
        <v>2038</v>
      </c>
      <c r="Y43" s="57">
        <v>2039</v>
      </c>
      <c r="Z43" s="57">
        <v>2040</v>
      </c>
      <c r="AA43" s="57">
        <v>2041</v>
      </c>
      <c r="AB43" s="57">
        <v>2042</v>
      </c>
      <c r="AC43" s="57">
        <v>2043</v>
      </c>
      <c r="AD43" s="57">
        <v>2044</v>
      </c>
      <c r="AE43" s="57">
        <v>2045</v>
      </c>
      <c r="AF43" s="57">
        <v>2046</v>
      </c>
      <c r="AG43" s="57">
        <v>2047</v>
      </c>
      <c r="AH43" s="57">
        <v>2048</v>
      </c>
      <c r="AI43" s="57">
        <v>2049</v>
      </c>
      <c r="AJ43" s="58">
        <v>2050</v>
      </c>
      <c r="AK43" s="59"/>
      <c r="AL43" s="1" t="s">
        <v>164</v>
      </c>
    </row>
    <row r="44" spans="1:38" ht="15.75" customHeight="1" x14ac:dyDescent="0.25">
      <c r="A44" s="4" t="s">
        <v>31</v>
      </c>
      <c r="F44" s="61">
        <f t="shared" ref="F44:AJ44" si="39">SUMIFS(F$3:F$40,$B$3:$B$40,$A44)</f>
        <v>169940.37928571366</v>
      </c>
      <c r="G44" s="62">
        <f t="shared" si="39"/>
        <v>177473.68142857216</v>
      </c>
      <c r="H44" s="62">
        <f t="shared" si="39"/>
        <v>185006.98357142881</v>
      </c>
      <c r="I44" s="62">
        <f t="shared" si="39"/>
        <v>192540.28571428545</v>
      </c>
      <c r="J44" s="62">
        <f t="shared" si="39"/>
        <v>200073.58785714395</v>
      </c>
      <c r="K44" s="62">
        <f t="shared" si="39"/>
        <v>207606.8900000006</v>
      </c>
      <c r="L44" s="62">
        <f t="shared" si="39"/>
        <v>215140.19214285724</v>
      </c>
      <c r="M44" s="62">
        <f t="shared" si="39"/>
        <v>222673.49428571388</v>
      </c>
      <c r="N44" s="62">
        <f t="shared" si="39"/>
        <v>230206.79642857239</v>
      </c>
      <c r="O44" s="62">
        <f t="shared" si="39"/>
        <v>237740.09857142903</v>
      </c>
      <c r="P44" s="62">
        <f t="shared" si="39"/>
        <v>245273.40071428567</v>
      </c>
      <c r="Q44" s="62">
        <f t="shared" si="39"/>
        <v>252806.70285714231</v>
      </c>
      <c r="R44" s="62">
        <f t="shared" si="39"/>
        <v>260340.00500000082</v>
      </c>
      <c r="S44" s="62">
        <f t="shared" si="39"/>
        <v>267873.30714285746</v>
      </c>
      <c r="T44" s="62">
        <f t="shared" si="39"/>
        <v>275406.6092857141</v>
      </c>
      <c r="U44" s="62">
        <f t="shared" si="39"/>
        <v>282939.91142857261</v>
      </c>
      <c r="V44" s="62">
        <f t="shared" si="39"/>
        <v>290473.21357142925</v>
      </c>
      <c r="W44" s="62">
        <f t="shared" si="39"/>
        <v>298006.5157142859</v>
      </c>
      <c r="X44" s="62">
        <f t="shared" si="39"/>
        <v>305539.81785714254</v>
      </c>
      <c r="Y44" s="62">
        <f t="shared" si="39"/>
        <v>313073.12000000104</v>
      </c>
      <c r="Z44" s="62">
        <f t="shared" si="39"/>
        <v>320606.42214285769</v>
      </c>
      <c r="AA44" s="62">
        <f t="shared" si="39"/>
        <v>328139.72428571433</v>
      </c>
      <c r="AB44" s="62">
        <f t="shared" si="39"/>
        <v>335673.02642857097</v>
      </c>
      <c r="AC44" s="62">
        <f t="shared" si="39"/>
        <v>343206.32857142948</v>
      </c>
      <c r="AD44" s="62">
        <f t="shared" si="39"/>
        <v>350739.63071428612</v>
      </c>
      <c r="AE44" s="62">
        <f t="shared" si="39"/>
        <v>358272.93285714276</v>
      </c>
      <c r="AF44" s="62">
        <f t="shared" si="39"/>
        <v>365806.2349999994</v>
      </c>
      <c r="AG44" s="62">
        <f t="shared" si="39"/>
        <v>373339.53714285791</v>
      </c>
      <c r="AH44" s="62">
        <f t="shared" si="39"/>
        <v>380872.83928571455</v>
      </c>
      <c r="AI44" s="62">
        <f t="shared" si="39"/>
        <v>388406.14142857119</v>
      </c>
      <c r="AJ44" s="63">
        <f t="shared" si="39"/>
        <v>395939.4435714297</v>
      </c>
      <c r="AL44" s="64" t="e">
        <f t="shared" ref="AL44:AL81" si="40">(AJ44-E44)/E44</f>
        <v>#DIV/0!</v>
      </c>
    </row>
    <row r="45" spans="1:38" ht="15.75" customHeight="1" x14ac:dyDescent="0.25">
      <c r="A45" s="41" t="s">
        <v>34</v>
      </c>
      <c r="F45" s="61">
        <f t="shared" ref="F45:AJ45" si="41">SUMIFS(F$3:F$40,$B$3:$B$40,$A45)</f>
        <v>119760.55380952545</v>
      </c>
      <c r="G45" s="62">
        <f t="shared" si="41"/>
        <v>125086.21238095313</v>
      </c>
      <c r="H45" s="62">
        <f t="shared" si="41"/>
        <v>130411.87095238268</v>
      </c>
      <c r="I45" s="62">
        <f t="shared" si="41"/>
        <v>135737.52952381037</v>
      </c>
      <c r="J45" s="62">
        <f t="shared" si="41"/>
        <v>141063.18809523992</v>
      </c>
      <c r="K45" s="62">
        <f t="shared" si="41"/>
        <v>146388.84666666761</v>
      </c>
      <c r="L45" s="62">
        <f t="shared" si="41"/>
        <v>151714.50523809716</v>
      </c>
      <c r="M45" s="62">
        <f t="shared" si="41"/>
        <v>157040.16380952485</v>
      </c>
      <c r="N45" s="62">
        <f t="shared" si="41"/>
        <v>162365.8223809544</v>
      </c>
      <c r="O45" s="62">
        <f t="shared" si="41"/>
        <v>167691.48095238209</v>
      </c>
      <c r="P45" s="62">
        <f t="shared" si="41"/>
        <v>173017.13952380978</v>
      </c>
      <c r="Q45" s="62">
        <f t="shared" si="41"/>
        <v>178342.79809523933</v>
      </c>
      <c r="R45" s="62">
        <f t="shared" si="41"/>
        <v>183668.45666666701</v>
      </c>
      <c r="S45" s="62">
        <f t="shared" si="41"/>
        <v>188994.11523809657</v>
      </c>
      <c r="T45" s="62">
        <f t="shared" si="41"/>
        <v>194319.77380952425</v>
      </c>
      <c r="U45" s="62">
        <f t="shared" si="41"/>
        <v>199645.4323809538</v>
      </c>
      <c r="V45" s="62">
        <f t="shared" si="41"/>
        <v>204971.09095238149</v>
      </c>
      <c r="W45" s="62">
        <f t="shared" si="41"/>
        <v>210296.74952381104</v>
      </c>
      <c r="X45" s="62">
        <f t="shared" si="41"/>
        <v>215622.40809523873</v>
      </c>
      <c r="Y45" s="62">
        <f t="shared" si="41"/>
        <v>220948.06666666828</v>
      </c>
      <c r="Z45" s="62">
        <f t="shared" si="41"/>
        <v>226273.72523809597</v>
      </c>
      <c r="AA45" s="62">
        <f t="shared" si="41"/>
        <v>231599.38380952552</v>
      </c>
      <c r="AB45" s="62">
        <f t="shared" si="41"/>
        <v>236925.04238095321</v>
      </c>
      <c r="AC45" s="62">
        <f t="shared" si="41"/>
        <v>242250.70095238276</v>
      </c>
      <c r="AD45" s="62">
        <f t="shared" si="41"/>
        <v>247576.35952381045</v>
      </c>
      <c r="AE45" s="62">
        <f t="shared" si="41"/>
        <v>252902.01809524</v>
      </c>
      <c r="AF45" s="62">
        <f t="shared" si="41"/>
        <v>258227.67666666768</v>
      </c>
      <c r="AG45" s="62">
        <f t="shared" si="41"/>
        <v>263553.33523809724</v>
      </c>
      <c r="AH45" s="62">
        <f t="shared" si="41"/>
        <v>268878.99380952492</v>
      </c>
      <c r="AI45" s="62">
        <f t="shared" si="41"/>
        <v>274204.65238095261</v>
      </c>
      <c r="AJ45" s="63">
        <f t="shared" si="41"/>
        <v>279530.31095238216</v>
      </c>
      <c r="AL45" s="64" t="e">
        <f t="shared" si="40"/>
        <v>#DIV/0!</v>
      </c>
    </row>
    <row r="46" spans="1:38" ht="15.75" customHeight="1" x14ac:dyDescent="0.25">
      <c r="A46" s="4" t="s">
        <v>36</v>
      </c>
      <c r="F46" s="61">
        <f t="shared" ref="F46:AJ46" si="42">SUMIFS(F$3:F$40,$B$3:$B$40,$A46)</f>
        <v>46640.389999999665</v>
      </c>
      <c r="G46" s="62">
        <f t="shared" si="42"/>
        <v>48700.339999999851</v>
      </c>
      <c r="H46" s="62">
        <f t="shared" si="42"/>
        <v>50760.289999999572</v>
      </c>
      <c r="I46" s="62">
        <f t="shared" si="42"/>
        <v>52820.239999999758</v>
      </c>
      <c r="J46" s="62">
        <f t="shared" si="42"/>
        <v>54880.189999999944</v>
      </c>
      <c r="K46" s="62">
        <f t="shared" si="42"/>
        <v>56940.139999999665</v>
      </c>
      <c r="L46" s="62">
        <f t="shared" si="42"/>
        <v>59000.089999999851</v>
      </c>
      <c r="M46" s="62">
        <f t="shared" si="42"/>
        <v>61060.039999999572</v>
      </c>
      <c r="N46" s="62">
        <f t="shared" si="42"/>
        <v>63119.989999999758</v>
      </c>
      <c r="O46" s="62">
        <f t="shared" si="42"/>
        <v>65179.939999999944</v>
      </c>
      <c r="P46" s="62">
        <f t="shared" si="42"/>
        <v>67239.889999999665</v>
      </c>
      <c r="Q46" s="62">
        <f t="shared" si="42"/>
        <v>69299.839999999851</v>
      </c>
      <c r="R46" s="62">
        <f t="shared" si="42"/>
        <v>71359.789999999572</v>
      </c>
      <c r="S46" s="62">
        <f t="shared" si="42"/>
        <v>73419.739999999758</v>
      </c>
      <c r="T46" s="62">
        <f t="shared" si="42"/>
        <v>75479.689999999944</v>
      </c>
      <c r="U46" s="62">
        <f t="shared" si="42"/>
        <v>77539.639999999665</v>
      </c>
      <c r="V46" s="62">
        <f t="shared" si="42"/>
        <v>79599.589999999851</v>
      </c>
      <c r="W46" s="62">
        <f t="shared" si="42"/>
        <v>81659.539999999572</v>
      </c>
      <c r="X46" s="62">
        <f t="shared" si="42"/>
        <v>83719.489999999758</v>
      </c>
      <c r="Y46" s="62">
        <f t="shared" si="42"/>
        <v>85779.439999999944</v>
      </c>
      <c r="Z46" s="62">
        <f t="shared" si="42"/>
        <v>87839.39000000013</v>
      </c>
      <c r="AA46" s="62">
        <f t="shared" si="42"/>
        <v>89899.339999999385</v>
      </c>
      <c r="AB46" s="62">
        <f t="shared" si="42"/>
        <v>91959.289999999572</v>
      </c>
      <c r="AC46" s="62">
        <f t="shared" si="42"/>
        <v>94019.239999999758</v>
      </c>
      <c r="AD46" s="62">
        <f t="shared" si="42"/>
        <v>96079.189999999944</v>
      </c>
      <c r="AE46" s="62">
        <f t="shared" si="42"/>
        <v>98139.14000000013</v>
      </c>
      <c r="AF46" s="62">
        <f t="shared" si="42"/>
        <v>100199.08999999939</v>
      </c>
      <c r="AG46" s="62">
        <f t="shared" si="42"/>
        <v>102259.03999999957</v>
      </c>
      <c r="AH46" s="62">
        <f t="shared" si="42"/>
        <v>104318.98999999976</v>
      </c>
      <c r="AI46" s="62">
        <f t="shared" si="42"/>
        <v>106378.93999999994</v>
      </c>
      <c r="AJ46" s="63">
        <f t="shared" si="42"/>
        <v>108438.89000000013</v>
      </c>
      <c r="AL46" s="64" t="e">
        <f t="shared" si="40"/>
        <v>#DIV/0!</v>
      </c>
    </row>
    <row r="47" spans="1:38" ht="15.75" customHeight="1" x14ac:dyDescent="0.25">
      <c r="A47" s="4" t="s">
        <v>38</v>
      </c>
      <c r="F47" s="61">
        <f t="shared" ref="F47:AJ47" si="43">SUMIFS(F$3:F$40,$B$3:$B$40,$A47)</f>
        <v>7714.8070238095243</v>
      </c>
      <c r="G47" s="62">
        <f t="shared" si="43"/>
        <v>8075.9759523809189</v>
      </c>
      <c r="H47" s="62">
        <f t="shared" si="43"/>
        <v>8437.1448809523135</v>
      </c>
      <c r="I47" s="62">
        <f t="shared" si="43"/>
        <v>8798.3138095238246</v>
      </c>
      <c r="J47" s="62">
        <f t="shared" si="43"/>
        <v>9159.4827380952192</v>
      </c>
      <c r="K47" s="62">
        <f t="shared" si="43"/>
        <v>9520.6516666666139</v>
      </c>
      <c r="L47" s="62">
        <f t="shared" si="43"/>
        <v>9881.820595238125</v>
      </c>
      <c r="M47" s="62">
        <f t="shared" si="43"/>
        <v>10242.98952380952</v>
      </c>
      <c r="N47" s="62">
        <f t="shared" si="43"/>
        <v>10604.158452380914</v>
      </c>
      <c r="O47" s="62">
        <f t="shared" si="43"/>
        <v>10965.327380952309</v>
      </c>
      <c r="P47" s="62">
        <f t="shared" si="43"/>
        <v>11326.49630952382</v>
      </c>
      <c r="Q47" s="62">
        <f t="shared" si="43"/>
        <v>11687.665238095215</v>
      </c>
      <c r="R47" s="62">
        <f t="shared" si="43"/>
        <v>12048.834166666609</v>
      </c>
      <c r="S47" s="62">
        <f t="shared" si="43"/>
        <v>12410.00309523812</v>
      </c>
      <c r="T47" s="62">
        <f t="shared" si="43"/>
        <v>12771.172023809515</v>
      </c>
      <c r="U47" s="62">
        <f t="shared" si="43"/>
        <v>13132.34095238091</v>
      </c>
      <c r="V47" s="62">
        <f t="shared" si="43"/>
        <v>13493.509880952421</v>
      </c>
      <c r="W47" s="62">
        <f t="shared" si="43"/>
        <v>13854.678809523815</v>
      </c>
      <c r="X47" s="62">
        <f t="shared" si="43"/>
        <v>14215.84773809521</v>
      </c>
      <c r="Y47" s="62">
        <f t="shared" si="43"/>
        <v>14577.016666666605</v>
      </c>
      <c r="Z47" s="62">
        <f t="shared" si="43"/>
        <v>14938.185595238116</v>
      </c>
      <c r="AA47" s="62">
        <f t="shared" si="43"/>
        <v>15299.35452380951</v>
      </c>
      <c r="AB47" s="62">
        <f t="shared" si="43"/>
        <v>15660.523452380905</v>
      </c>
      <c r="AC47" s="62">
        <f t="shared" si="43"/>
        <v>16021.692380952416</v>
      </c>
      <c r="AD47" s="62">
        <f t="shared" si="43"/>
        <v>16382.861309523811</v>
      </c>
      <c r="AE47" s="62">
        <f t="shared" si="43"/>
        <v>16744.030238095205</v>
      </c>
      <c r="AF47" s="62">
        <f t="shared" si="43"/>
        <v>17105.1991666666</v>
      </c>
      <c r="AG47" s="62">
        <f t="shared" si="43"/>
        <v>17466.368095238111</v>
      </c>
      <c r="AH47" s="62">
        <f t="shared" si="43"/>
        <v>17827.537023809506</v>
      </c>
      <c r="AI47" s="62">
        <f t="shared" si="43"/>
        <v>18188.7059523809</v>
      </c>
      <c r="AJ47" s="63">
        <f t="shared" si="43"/>
        <v>18549.874880952411</v>
      </c>
      <c r="AL47" s="64" t="e">
        <f t="shared" si="40"/>
        <v>#DIV/0!</v>
      </c>
    </row>
    <row r="48" spans="1:38" ht="15.75" customHeight="1" x14ac:dyDescent="0.25">
      <c r="A48" s="4" t="s">
        <v>40</v>
      </c>
      <c r="F48" s="61">
        <f t="shared" ref="F48:AJ48" si="44">SUMIFS(F$3:F$40,$B$3:$B$40,$A48)</f>
        <v>192198.17357143015</v>
      </c>
      <c r="G48" s="62">
        <f t="shared" si="44"/>
        <v>200822.41285714507</v>
      </c>
      <c r="H48" s="62">
        <f t="shared" si="44"/>
        <v>209446.65214285627</v>
      </c>
      <c r="I48" s="62">
        <f t="shared" si="44"/>
        <v>218070.89142857119</v>
      </c>
      <c r="J48" s="62">
        <f t="shared" si="44"/>
        <v>226695.13071428612</v>
      </c>
      <c r="K48" s="62">
        <f t="shared" si="44"/>
        <v>235319.37000000104</v>
      </c>
      <c r="L48" s="62">
        <f t="shared" si="44"/>
        <v>243943.60928571597</v>
      </c>
      <c r="M48" s="62">
        <f t="shared" si="44"/>
        <v>252567.84857143089</v>
      </c>
      <c r="N48" s="62">
        <f t="shared" si="44"/>
        <v>261192.08785714209</v>
      </c>
      <c r="O48" s="62">
        <f t="shared" si="44"/>
        <v>269816.32714285702</v>
      </c>
      <c r="P48" s="62">
        <f t="shared" si="44"/>
        <v>278440.56642857194</v>
      </c>
      <c r="Q48" s="62">
        <f t="shared" si="44"/>
        <v>287064.80571428686</v>
      </c>
      <c r="R48" s="62">
        <f t="shared" si="44"/>
        <v>295689.04500000179</v>
      </c>
      <c r="S48" s="62">
        <f t="shared" si="44"/>
        <v>304313.28428571671</v>
      </c>
      <c r="T48" s="62">
        <f t="shared" si="44"/>
        <v>312937.52357142791</v>
      </c>
      <c r="U48" s="62">
        <f t="shared" si="44"/>
        <v>321561.76285714284</v>
      </c>
      <c r="V48" s="62">
        <f t="shared" si="44"/>
        <v>330186.00214285776</v>
      </c>
      <c r="W48" s="62">
        <f t="shared" si="44"/>
        <v>338810.24142857268</v>
      </c>
      <c r="X48" s="62">
        <f t="shared" si="44"/>
        <v>347434.48071428761</v>
      </c>
      <c r="Y48" s="62">
        <f t="shared" si="44"/>
        <v>356058.72000000253</v>
      </c>
      <c r="Z48" s="62">
        <f t="shared" si="44"/>
        <v>364682.95928571373</v>
      </c>
      <c r="AA48" s="62">
        <f t="shared" si="44"/>
        <v>373307.19857142866</v>
      </c>
      <c r="AB48" s="62">
        <f t="shared" si="44"/>
        <v>381931.43785714358</v>
      </c>
      <c r="AC48" s="62">
        <f t="shared" si="44"/>
        <v>390555.67714285851</v>
      </c>
      <c r="AD48" s="62">
        <f t="shared" si="44"/>
        <v>399179.91642857343</v>
      </c>
      <c r="AE48" s="62">
        <f t="shared" si="44"/>
        <v>407804.15571428835</v>
      </c>
      <c r="AF48" s="62">
        <f t="shared" si="44"/>
        <v>416428.39499999955</v>
      </c>
      <c r="AG48" s="62">
        <f t="shared" si="44"/>
        <v>425052.63428571448</v>
      </c>
      <c r="AH48" s="62">
        <f t="shared" si="44"/>
        <v>433676.8735714294</v>
      </c>
      <c r="AI48" s="62">
        <f t="shared" si="44"/>
        <v>442301.11285714433</v>
      </c>
      <c r="AJ48" s="63">
        <f t="shared" si="44"/>
        <v>450925.35214285925</v>
      </c>
      <c r="AL48" s="64" t="e">
        <f t="shared" si="40"/>
        <v>#DIV/0!</v>
      </c>
    </row>
    <row r="49" spans="1:38" ht="15.75" customHeight="1" x14ac:dyDescent="0.25">
      <c r="A49" s="4" t="s">
        <v>42</v>
      </c>
      <c r="F49" s="61">
        <f t="shared" ref="F49:AJ49" si="45">SUMIFS(F$3:F$40,$B$3:$B$40,$A49)</f>
        <v>61262.512857142836</v>
      </c>
      <c r="G49" s="62">
        <f t="shared" si="45"/>
        <v>63947.174285713583</v>
      </c>
      <c r="H49" s="62">
        <f t="shared" si="45"/>
        <v>66631.835714285262</v>
      </c>
      <c r="I49" s="62">
        <f t="shared" si="45"/>
        <v>69316.497142856941</v>
      </c>
      <c r="J49" s="62">
        <f t="shared" si="45"/>
        <v>72001.158571427688</v>
      </c>
      <c r="K49" s="62">
        <f t="shared" si="45"/>
        <v>74685.819999999367</v>
      </c>
      <c r="L49" s="62">
        <f t="shared" si="45"/>
        <v>77370.481428571045</v>
      </c>
      <c r="M49" s="62">
        <f t="shared" si="45"/>
        <v>80055.142857142724</v>
      </c>
      <c r="N49" s="62">
        <f t="shared" si="45"/>
        <v>82739.804285713471</v>
      </c>
      <c r="O49" s="62">
        <f t="shared" si="45"/>
        <v>85424.46571428515</v>
      </c>
      <c r="P49" s="62">
        <f t="shared" si="45"/>
        <v>88109.127142856829</v>
      </c>
      <c r="Q49" s="62">
        <f t="shared" si="45"/>
        <v>90793.788571428508</v>
      </c>
      <c r="R49" s="62">
        <f t="shared" si="45"/>
        <v>93478.449999999255</v>
      </c>
      <c r="S49" s="62">
        <f t="shared" si="45"/>
        <v>96163.111428570934</v>
      </c>
      <c r="T49" s="62">
        <f t="shared" si="45"/>
        <v>98847.772857142612</v>
      </c>
      <c r="U49" s="62">
        <f t="shared" si="45"/>
        <v>101532.43428571336</v>
      </c>
      <c r="V49" s="62">
        <f t="shared" si="45"/>
        <v>104217.09571428504</v>
      </c>
      <c r="W49" s="62">
        <f t="shared" si="45"/>
        <v>106901.75714285672</v>
      </c>
      <c r="X49" s="62">
        <f t="shared" si="45"/>
        <v>109586.4185714284</v>
      </c>
      <c r="Y49" s="62">
        <f t="shared" si="45"/>
        <v>112271.07999999914</v>
      </c>
      <c r="Z49" s="62">
        <f t="shared" si="45"/>
        <v>114955.74142857082</v>
      </c>
      <c r="AA49" s="62">
        <f t="shared" si="45"/>
        <v>117640.4028571425</v>
      </c>
      <c r="AB49" s="62">
        <f t="shared" si="45"/>
        <v>120325.06428571418</v>
      </c>
      <c r="AC49" s="62">
        <f t="shared" si="45"/>
        <v>123009.72571428493</v>
      </c>
      <c r="AD49" s="62">
        <f t="shared" si="45"/>
        <v>125694.38714285661</v>
      </c>
      <c r="AE49" s="62">
        <f t="shared" si="45"/>
        <v>128379.04857142828</v>
      </c>
      <c r="AF49" s="62">
        <f t="shared" si="45"/>
        <v>131063.70999999996</v>
      </c>
      <c r="AG49" s="62">
        <f t="shared" si="45"/>
        <v>133748.37142857071</v>
      </c>
      <c r="AH49" s="62">
        <f t="shared" si="45"/>
        <v>136433.03285714239</v>
      </c>
      <c r="AI49" s="62">
        <f t="shared" si="45"/>
        <v>139117.69428571407</v>
      </c>
      <c r="AJ49" s="63">
        <f t="shared" si="45"/>
        <v>141802.35571428481</v>
      </c>
      <c r="AL49" s="64" t="e">
        <f t="shared" si="40"/>
        <v>#DIV/0!</v>
      </c>
    </row>
    <row r="50" spans="1:38" ht="15.75" customHeight="1" x14ac:dyDescent="0.25">
      <c r="A50" s="4" t="s">
        <v>44</v>
      </c>
      <c r="F50" s="61">
        <f t="shared" ref="F50:AJ50" si="46">SUMIFS(F$3:F$40,$B$3:$B$40,$A50)</f>
        <v>19068.56904761889</v>
      </c>
      <c r="G50" s="62">
        <f t="shared" si="46"/>
        <v>19924.981904761866</v>
      </c>
      <c r="H50" s="62">
        <f t="shared" si="46"/>
        <v>20781.394761904608</v>
      </c>
      <c r="I50" s="62">
        <f t="shared" si="46"/>
        <v>21637.807619047584</v>
      </c>
      <c r="J50" s="62">
        <f t="shared" si="46"/>
        <v>22494.220476190327</v>
      </c>
      <c r="K50" s="62">
        <f t="shared" si="46"/>
        <v>23350.633333333302</v>
      </c>
      <c r="L50" s="62">
        <f t="shared" si="46"/>
        <v>24207.046190476045</v>
      </c>
      <c r="M50" s="62">
        <f t="shared" si="46"/>
        <v>25063.459047619021</v>
      </c>
      <c r="N50" s="62">
        <f t="shared" si="46"/>
        <v>25919.871904761763</v>
      </c>
      <c r="O50" s="62">
        <f t="shared" si="46"/>
        <v>26776.284761904739</v>
      </c>
      <c r="P50" s="62">
        <f t="shared" si="46"/>
        <v>27632.697619047482</v>
      </c>
      <c r="Q50" s="62">
        <f t="shared" si="46"/>
        <v>28489.110476190457</v>
      </c>
      <c r="R50" s="62">
        <f t="shared" si="46"/>
        <v>29345.5233333332</v>
      </c>
      <c r="S50" s="62">
        <f t="shared" si="46"/>
        <v>30201.936190476175</v>
      </c>
      <c r="T50" s="62">
        <f t="shared" si="46"/>
        <v>31058.349047618918</v>
      </c>
      <c r="U50" s="62">
        <f t="shared" si="46"/>
        <v>31914.761904761894</v>
      </c>
      <c r="V50" s="62">
        <f t="shared" si="46"/>
        <v>32771.174761904636</v>
      </c>
      <c r="W50" s="62">
        <f t="shared" si="46"/>
        <v>33627.587619047612</v>
      </c>
      <c r="X50" s="62">
        <f t="shared" si="46"/>
        <v>34484.000476190355</v>
      </c>
      <c r="Y50" s="62">
        <f t="shared" si="46"/>
        <v>35340.41333333333</v>
      </c>
      <c r="Z50" s="62">
        <f t="shared" si="46"/>
        <v>36196.826190476073</v>
      </c>
      <c r="AA50" s="62">
        <f t="shared" si="46"/>
        <v>37053.239047619049</v>
      </c>
      <c r="AB50" s="62">
        <f t="shared" si="46"/>
        <v>37909.651904761791</v>
      </c>
      <c r="AC50" s="62">
        <f t="shared" si="46"/>
        <v>38766.064761904767</v>
      </c>
      <c r="AD50" s="62">
        <f t="shared" si="46"/>
        <v>39622.47761904751</v>
      </c>
      <c r="AE50" s="62">
        <f t="shared" si="46"/>
        <v>40478.890476190485</v>
      </c>
      <c r="AF50" s="62">
        <f t="shared" si="46"/>
        <v>41335.303333333228</v>
      </c>
      <c r="AG50" s="62">
        <f t="shared" si="46"/>
        <v>42191.716190476203</v>
      </c>
      <c r="AH50" s="62">
        <f t="shared" si="46"/>
        <v>43048.129047618946</v>
      </c>
      <c r="AI50" s="62">
        <f t="shared" si="46"/>
        <v>43904.541904761689</v>
      </c>
      <c r="AJ50" s="63">
        <f t="shared" si="46"/>
        <v>44760.954761904664</v>
      </c>
      <c r="AL50" s="64" t="e">
        <f t="shared" si="40"/>
        <v>#DIV/0!</v>
      </c>
    </row>
    <row r="51" spans="1:38" ht="15.75" customHeight="1" x14ac:dyDescent="0.25">
      <c r="A51" s="4" t="s">
        <v>46</v>
      </c>
      <c r="F51" s="61">
        <f t="shared" ref="F51:AJ51" si="47">SUMIFS(F$3:F$40,$B$3:$B$40,$A51)</f>
        <v>30791.006547619123</v>
      </c>
      <c r="G51" s="62">
        <f t="shared" si="47"/>
        <v>32189.316904761828</v>
      </c>
      <c r="H51" s="62">
        <f t="shared" si="47"/>
        <v>33587.627261905</v>
      </c>
      <c r="I51" s="62">
        <f t="shared" si="47"/>
        <v>34985.937619047705</v>
      </c>
      <c r="J51" s="62">
        <f t="shared" si="47"/>
        <v>36384.247976190411</v>
      </c>
      <c r="K51" s="62">
        <f t="shared" si="47"/>
        <v>37782.558333333582</v>
      </c>
      <c r="L51" s="62">
        <f t="shared" si="47"/>
        <v>39180.868690476287</v>
      </c>
      <c r="M51" s="62">
        <f t="shared" si="47"/>
        <v>40579.179047618993</v>
      </c>
      <c r="N51" s="62">
        <f t="shared" si="47"/>
        <v>41977.489404761698</v>
      </c>
      <c r="O51" s="62">
        <f t="shared" si="47"/>
        <v>43375.799761904869</v>
      </c>
      <c r="P51" s="62">
        <f t="shared" si="47"/>
        <v>44774.110119047575</v>
      </c>
      <c r="Q51" s="62">
        <f t="shared" si="47"/>
        <v>46172.42047619028</v>
      </c>
      <c r="R51" s="62">
        <f t="shared" si="47"/>
        <v>47570.730833333451</v>
      </c>
      <c r="S51" s="62">
        <f t="shared" si="47"/>
        <v>48969.041190476157</v>
      </c>
      <c r="T51" s="62">
        <f t="shared" si="47"/>
        <v>50367.351547618862</v>
      </c>
      <c r="U51" s="62">
        <f t="shared" si="47"/>
        <v>51765.661904762033</v>
      </c>
      <c r="V51" s="62">
        <f t="shared" si="47"/>
        <v>53163.972261904739</v>
      </c>
      <c r="W51" s="62">
        <f t="shared" si="47"/>
        <v>54562.282619047444</v>
      </c>
      <c r="X51" s="62">
        <f t="shared" si="47"/>
        <v>55960.592976190615</v>
      </c>
      <c r="Y51" s="62">
        <f t="shared" si="47"/>
        <v>57358.903333333321</v>
      </c>
      <c r="Z51" s="62">
        <f t="shared" si="47"/>
        <v>58757.213690476026</v>
      </c>
      <c r="AA51" s="62">
        <f t="shared" si="47"/>
        <v>60155.524047619198</v>
      </c>
      <c r="AB51" s="62">
        <f t="shared" si="47"/>
        <v>61553.834404761903</v>
      </c>
      <c r="AC51" s="62">
        <f t="shared" si="47"/>
        <v>62952.144761904608</v>
      </c>
      <c r="AD51" s="62">
        <f t="shared" si="47"/>
        <v>64350.45511904778</v>
      </c>
      <c r="AE51" s="62">
        <f t="shared" si="47"/>
        <v>65748.765476190485</v>
      </c>
      <c r="AF51" s="62">
        <f t="shared" si="47"/>
        <v>67147.075833333191</v>
      </c>
      <c r="AG51" s="62">
        <f t="shared" si="47"/>
        <v>68545.386190476362</v>
      </c>
      <c r="AH51" s="62">
        <f t="shared" si="47"/>
        <v>69943.696547619067</v>
      </c>
      <c r="AI51" s="62">
        <f t="shared" si="47"/>
        <v>71342.006904761773</v>
      </c>
      <c r="AJ51" s="63">
        <f t="shared" si="47"/>
        <v>72740.317261904944</v>
      </c>
      <c r="AL51" s="64" t="e">
        <f t="shared" si="40"/>
        <v>#DIV/0!</v>
      </c>
    </row>
    <row r="52" spans="1:38" ht="15.75" customHeight="1" x14ac:dyDescent="0.25">
      <c r="A52" s="4" t="s">
        <v>48</v>
      </c>
      <c r="F52" s="61">
        <f t="shared" ref="F52:AJ52" si="48">SUMIFS(F$3:F$40,$B$3:$B$40,$A52)</f>
        <v>106961.5714285709</v>
      </c>
      <c r="G52" s="62">
        <f t="shared" si="48"/>
        <v>111780.0571428556</v>
      </c>
      <c r="H52" s="62">
        <f t="shared" si="48"/>
        <v>116598.54285714217</v>
      </c>
      <c r="I52" s="62">
        <f t="shared" si="48"/>
        <v>121417.02857142687</v>
      </c>
      <c r="J52" s="62">
        <f t="shared" si="48"/>
        <v>126235.51428571343</v>
      </c>
      <c r="K52" s="62">
        <f t="shared" si="48"/>
        <v>131054</v>
      </c>
      <c r="L52" s="62">
        <f t="shared" si="48"/>
        <v>135872.4857142847</v>
      </c>
      <c r="M52" s="62">
        <f t="shared" si="48"/>
        <v>140690.97142857127</v>
      </c>
      <c r="N52" s="62">
        <f t="shared" si="48"/>
        <v>145509.45714285597</v>
      </c>
      <c r="O52" s="62">
        <f t="shared" si="48"/>
        <v>150327.94285714254</v>
      </c>
      <c r="P52" s="62">
        <f t="shared" si="48"/>
        <v>155146.42857142724</v>
      </c>
      <c r="Q52" s="62">
        <f t="shared" si="48"/>
        <v>159964.91428571381</v>
      </c>
      <c r="R52" s="62">
        <f t="shared" si="48"/>
        <v>164783.39999999851</v>
      </c>
      <c r="S52" s="62">
        <f t="shared" si="48"/>
        <v>169601.88571428508</v>
      </c>
      <c r="T52" s="62">
        <f t="shared" si="48"/>
        <v>174420.37142856978</v>
      </c>
      <c r="U52" s="62">
        <f t="shared" si="48"/>
        <v>179238.85714285634</v>
      </c>
      <c r="V52" s="62">
        <f t="shared" si="48"/>
        <v>184057.34285714105</v>
      </c>
      <c r="W52" s="62">
        <f t="shared" si="48"/>
        <v>188875.82857142761</v>
      </c>
      <c r="X52" s="62">
        <f t="shared" si="48"/>
        <v>193694.31428571418</v>
      </c>
      <c r="Y52" s="62">
        <f t="shared" si="48"/>
        <v>198512.79999999888</v>
      </c>
      <c r="Z52" s="62">
        <f t="shared" si="48"/>
        <v>203331.28571428545</v>
      </c>
      <c r="AA52" s="62">
        <f t="shared" si="48"/>
        <v>208149.77142857015</v>
      </c>
      <c r="AB52" s="62">
        <f t="shared" si="48"/>
        <v>212968.25714285672</v>
      </c>
      <c r="AC52" s="62">
        <f t="shared" si="48"/>
        <v>217786.74285714142</v>
      </c>
      <c r="AD52" s="62">
        <f t="shared" si="48"/>
        <v>222605.22857142799</v>
      </c>
      <c r="AE52" s="62">
        <f t="shared" si="48"/>
        <v>227423.71428571269</v>
      </c>
      <c r="AF52" s="62">
        <f t="shared" si="48"/>
        <v>232242.19999999925</v>
      </c>
      <c r="AG52" s="62">
        <f t="shared" si="48"/>
        <v>237060.68571428396</v>
      </c>
      <c r="AH52" s="62">
        <f t="shared" si="48"/>
        <v>241879.17142857052</v>
      </c>
      <c r="AI52" s="62">
        <f t="shared" si="48"/>
        <v>246697.65714285709</v>
      </c>
      <c r="AJ52" s="63">
        <f t="shared" si="48"/>
        <v>251516.14285714179</v>
      </c>
      <c r="AL52" s="64" t="e">
        <f t="shared" si="40"/>
        <v>#DIV/0!</v>
      </c>
    </row>
    <row r="53" spans="1:38" ht="15.75" customHeight="1" x14ac:dyDescent="0.25">
      <c r="A53" s="4" t="s">
        <v>50</v>
      </c>
      <c r="F53" s="61">
        <f t="shared" ref="F53:AJ53" si="49">SUMIFS(F$3:F$40,$B$3:$B$40,$A53)</f>
        <v>47759.651785714552</v>
      </c>
      <c r="G53" s="62">
        <f t="shared" si="49"/>
        <v>49904.646428571083</v>
      </c>
      <c r="H53" s="62">
        <f t="shared" si="49"/>
        <v>52049.641071428545</v>
      </c>
      <c r="I53" s="62">
        <f t="shared" si="49"/>
        <v>54194.635714286007</v>
      </c>
      <c r="J53" s="62">
        <f t="shared" si="49"/>
        <v>56339.630357142538</v>
      </c>
      <c r="K53" s="62">
        <f t="shared" si="49"/>
        <v>58484.625</v>
      </c>
      <c r="L53" s="62">
        <f t="shared" si="49"/>
        <v>60629.619642857462</v>
      </c>
      <c r="M53" s="62">
        <f t="shared" si="49"/>
        <v>62774.614285713993</v>
      </c>
      <c r="N53" s="62">
        <f t="shared" si="49"/>
        <v>64919.608928571455</v>
      </c>
      <c r="O53" s="62">
        <f t="shared" si="49"/>
        <v>67064.603571428917</v>
      </c>
      <c r="P53" s="62">
        <f t="shared" si="49"/>
        <v>69209.598214285448</v>
      </c>
      <c r="Q53" s="62">
        <f t="shared" si="49"/>
        <v>71354.59285714291</v>
      </c>
      <c r="R53" s="62">
        <f t="shared" si="49"/>
        <v>73499.587499999441</v>
      </c>
      <c r="S53" s="62">
        <f t="shared" si="49"/>
        <v>75644.582142856903</v>
      </c>
      <c r="T53" s="62">
        <f t="shared" si="49"/>
        <v>77789.576785714366</v>
      </c>
      <c r="U53" s="62">
        <f t="shared" si="49"/>
        <v>79934.571428570896</v>
      </c>
      <c r="V53" s="62">
        <f t="shared" si="49"/>
        <v>82079.566071428359</v>
      </c>
      <c r="W53" s="62">
        <f t="shared" si="49"/>
        <v>84224.560714285821</v>
      </c>
      <c r="X53" s="62">
        <f t="shared" si="49"/>
        <v>86369.555357142352</v>
      </c>
      <c r="Y53" s="62">
        <f t="shared" si="49"/>
        <v>88514.549999999814</v>
      </c>
      <c r="Z53" s="62">
        <f t="shared" si="49"/>
        <v>90659.544642857276</v>
      </c>
      <c r="AA53" s="62">
        <f t="shared" si="49"/>
        <v>92804.539285713807</v>
      </c>
      <c r="AB53" s="62">
        <f t="shared" si="49"/>
        <v>94949.533928571269</v>
      </c>
      <c r="AC53" s="62">
        <f t="shared" si="49"/>
        <v>97094.528571428731</v>
      </c>
      <c r="AD53" s="62">
        <f t="shared" si="49"/>
        <v>99239.523214285262</v>
      </c>
      <c r="AE53" s="62">
        <f t="shared" si="49"/>
        <v>101384.51785714272</v>
      </c>
      <c r="AF53" s="62">
        <f t="shared" si="49"/>
        <v>103529.51250000019</v>
      </c>
      <c r="AG53" s="62">
        <f t="shared" si="49"/>
        <v>105674.50714285672</v>
      </c>
      <c r="AH53" s="62">
        <f t="shared" si="49"/>
        <v>107819.50178571418</v>
      </c>
      <c r="AI53" s="62">
        <f t="shared" si="49"/>
        <v>109964.49642857164</v>
      </c>
      <c r="AJ53" s="63">
        <f t="shared" si="49"/>
        <v>112109.49107142817</v>
      </c>
      <c r="AL53" s="64" t="e">
        <f t="shared" si="40"/>
        <v>#DIV/0!</v>
      </c>
    </row>
    <row r="54" spans="1:38" ht="15.75" customHeight="1" x14ac:dyDescent="0.25">
      <c r="A54" s="4" t="s">
        <v>52</v>
      </c>
      <c r="F54" s="61">
        <f t="shared" ref="F54:AJ54" si="50">SUMIFS(F$3:F$40,$B$3:$B$40,$A54)</f>
        <v>5390.7161904762033</v>
      </c>
      <c r="G54" s="62">
        <f t="shared" si="50"/>
        <v>5592.2076190476655</v>
      </c>
      <c r="H54" s="62">
        <f t="shared" si="50"/>
        <v>5793.6990476190695</v>
      </c>
      <c r="I54" s="62">
        <f t="shared" si="50"/>
        <v>5995.1904761904734</v>
      </c>
      <c r="J54" s="62">
        <f t="shared" si="50"/>
        <v>6196.6819047619356</v>
      </c>
      <c r="K54" s="62">
        <f t="shared" si="50"/>
        <v>6398.1733333333395</v>
      </c>
      <c r="L54" s="62">
        <f t="shared" si="50"/>
        <v>6599.6647619048017</v>
      </c>
      <c r="M54" s="62">
        <f t="shared" si="50"/>
        <v>6801.1561904762057</v>
      </c>
      <c r="N54" s="62">
        <f t="shared" si="50"/>
        <v>7002.6476190476678</v>
      </c>
      <c r="O54" s="62">
        <f t="shared" si="50"/>
        <v>7204.1390476190718</v>
      </c>
      <c r="P54" s="62">
        <f t="shared" si="50"/>
        <v>7405.6304761904757</v>
      </c>
      <c r="Q54" s="62">
        <f t="shared" si="50"/>
        <v>7607.1219047619379</v>
      </c>
      <c r="R54" s="62">
        <f t="shared" si="50"/>
        <v>7808.6133333333419</v>
      </c>
      <c r="S54" s="62">
        <f t="shared" si="50"/>
        <v>8010.104761904804</v>
      </c>
      <c r="T54" s="62">
        <f t="shared" si="50"/>
        <v>8211.596190476208</v>
      </c>
      <c r="U54" s="62">
        <f t="shared" si="50"/>
        <v>8413.087619047612</v>
      </c>
      <c r="V54" s="62">
        <f t="shared" si="50"/>
        <v>8614.5790476190741</v>
      </c>
      <c r="W54" s="62">
        <f t="shared" si="50"/>
        <v>8816.0704761904781</v>
      </c>
      <c r="X54" s="62">
        <f t="shared" si="50"/>
        <v>9017.5619047619402</v>
      </c>
      <c r="Y54" s="62">
        <f t="shared" si="50"/>
        <v>9219.0533333333442</v>
      </c>
      <c r="Z54" s="62">
        <f t="shared" si="50"/>
        <v>9420.5447619048064</v>
      </c>
      <c r="AA54" s="62">
        <f t="shared" si="50"/>
        <v>9622.0361904762103</v>
      </c>
      <c r="AB54" s="62">
        <f t="shared" si="50"/>
        <v>9823.5276190476143</v>
      </c>
      <c r="AC54" s="62">
        <f t="shared" si="50"/>
        <v>10025.019047619076</v>
      </c>
      <c r="AD54" s="62">
        <f t="shared" si="50"/>
        <v>10226.51047619048</v>
      </c>
      <c r="AE54" s="62">
        <f t="shared" si="50"/>
        <v>10428.001904761943</v>
      </c>
      <c r="AF54" s="62">
        <f t="shared" si="50"/>
        <v>10629.493333333347</v>
      </c>
      <c r="AG54" s="62">
        <f t="shared" si="50"/>
        <v>10830.984761904809</v>
      </c>
      <c r="AH54" s="62">
        <f t="shared" si="50"/>
        <v>11032.476190476213</v>
      </c>
      <c r="AI54" s="62">
        <f t="shared" si="50"/>
        <v>11233.967619047617</v>
      </c>
      <c r="AJ54" s="63">
        <f t="shared" si="50"/>
        <v>11435.459047619079</v>
      </c>
      <c r="AL54" s="64" t="e">
        <f t="shared" si="40"/>
        <v>#DIV/0!</v>
      </c>
    </row>
    <row r="55" spans="1:38" ht="15.75" customHeight="1" x14ac:dyDescent="0.25">
      <c r="A55" s="4" t="s">
        <v>54</v>
      </c>
      <c r="F55" s="61">
        <f t="shared" ref="F55:AJ55" si="51">SUMIFS(F$3:F$40,$B$3:$B$40,$A55)</f>
        <v>0</v>
      </c>
      <c r="G55" s="62">
        <f t="shared" si="51"/>
        <v>0</v>
      </c>
      <c r="H55" s="62">
        <f t="shared" si="51"/>
        <v>0</v>
      </c>
      <c r="I55" s="62">
        <f t="shared" si="51"/>
        <v>0</v>
      </c>
      <c r="J55" s="62">
        <f t="shared" si="51"/>
        <v>0</v>
      </c>
      <c r="K55" s="62">
        <f t="shared" si="51"/>
        <v>0</v>
      </c>
      <c r="L55" s="62">
        <f t="shared" si="51"/>
        <v>0</v>
      </c>
      <c r="M55" s="62">
        <f t="shared" si="51"/>
        <v>0</v>
      </c>
      <c r="N55" s="62">
        <f t="shared" si="51"/>
        <v>0</v>
      </c>
      <c r="O55" s="62">
        <f t="shared" si="51"/>
        <v>0</v>
      </c>
      <c r="P55" s="62">
        <f t="shared" si="51"/>
        <v>0</v>
      </c>
      <c r="Q55" s="62">
        <f t="shared" si="51"/>
        <v>0</v>
      </c>
      <c r="R55" s="62">
        <f t="shared" si="51"/>
        <v>0</v>
      </c>
      <c r="S55" s="62">
        <f t="shared" si="51"/>
        <v>0</v>
      </c>
      <c r="T55" s="62">
        <f t="shared" si="51"/>
        <v>0</v>
      </c>
      <c r="U55" s="62">
        <f t="shared" si="51"/>
        <v>0</v>
      </c>
      <c r="V55" s="62">
        <f t="shared" si="51"/>
        <v>0</v>
      </c>
      <c r="W55" s="62">
        <f t="shared" si="51"/>
        <v>0</v>
      </c>
      <c r="X55" s="62">
        <f t="shared" si="51"/>
        <v>0</v>
      </c>
      <c r="Y55" s="62">
        <f t="shared" si="51"/>
        <v>0</v>
      </c>
      <c r="Z55" s="62">
        <f t="shared" si="51"/>
        <v>0</v>
      </c>
      <c r="AA55" s="62">
        <f t="shared" si="51"/>
        <v>0</v>
      </c>
      <c r="AB55" s="62">
        <f t="shared" si="51"/>
        <v>0</v>
      </c>
      <c r="AC55" s="62">
        <f t="shared" si="51"/>
        <v>0</v>
      </c>
      <c r="AD55" s="62">
        <f t="shared" si="51"/>
        <v>0</v>
      </c>
      <c r="AE55" s="62">
        <f t="shared" si="51"/>
        <v>0</v>
      </c>
      <c r="AF55" s="62">
        <f t="shared" si="51"/>
        <v>0</v>
      </c>
      <c r="AG55" s="62">
        <f t="shared" si="51"/>
        <v>0</v>
      </c>
      <c r="AH55" s="62">
        <f t="shared" si="51"/>
        <v>0</v>
      </c>
      <c r="AI55" s="62">
        <f t="shared" si="51"/>
        <v>0</v>
      </c>
      <c r="AJ55" s="63">
        <f t="shared" si="51"/>
        <v>0</v>
      </c>
      <c r="AL55" s="64" t="e">
        <f t="shared" si="40"/>
        <v>#DIV/0!</v>
      </c>
    </row>
    <row r="56" spans="1:38" ht="15.75" customHeight="1" x14ac:dyDescent="0.25">
      <c r="A56" s="41" t="s">
        <v>56</v>
      </c>
      <c r="F56" s="61">
        <f t="shared" ref="F56:AJ56" si="52">SUMIFS(F$3:F$40,$B$3:$B$40,$A56)</f>
        <v>19704.553571428638</v>
      </c>
      <c r="G56" s="62">
        <f t="shared" si="52"/>
        <v>20589.532857142854</v>
      </c>
      <c r="H56" s="62">
        <f t="shared" si="52"/>
        <v>21474.512142857071</v>
      </c>
      <c r="I56" s="62">
        <f t="shared" si="52"/>
        <v>22359.49142857152</v>
      </c>
      <c r="J56" s="62">
        <f t="shared" si="52"/>
        <v>23244.470714285737</v>
      </c>
      <c r="K56" s="62">
        <f t="shared" si="52"/>
        <v>24129.449999999953</v>
      </c>
      <c r="L56" s="62">
        <f t="shared" si="52"/>
        <v>25014.42928571417</v>
      </c>
      <c r="M56" s="62">
        <f t="shared" si="52"/>
        <v>25899.408571428619</v>
      </c>
      <c r="N56" s="62">
        <f t="shared" si="52"/>
        <v>26784.387857142836</v>
      </c>
      <c r="O56" s="62">
        <f t="shared" si="52"/>
        <v>27669.367142857052</v>
      </c>
      <c r="P56" s="62">
        <f t="shared" si="52"/>
        <v>28554.346428571502</v>
      </c>
      <c r="Q56" s="62">
        <f t="shared" si="52"/>
        <v>29439.325714285718</v>
      </c>
      <c r="R56" s="62">
        <f t="shared" si="52"/>
        <v>30324.304999999935</v>
      </c>
      <c r="S56" s="62">
        <f t="shared" si="52"/>
        <v>31209.284285714384</v>
      </c>
      <c r="T56" s="62">
        <f t="shared" si="52"/>
        <v>32094.263571428601</v>
      </c>
      <c r="U56" s="62">
        <f t="shared" si="52"/>
        <v>32979.242857142817</v>
      </c>
      <c r="V56" s="62">
        <f t="shared" si="52"/>
        <v>33864.222142857034</v>
      </c>
      <c r="W56" s="62">
        <f t="shared" si="52"/>
        <v>34749.201428571483</v>
      </c>
      <c r="X56" s="62">
        <f t="shared" si="52"/>
        <v>35634.1807142857</v>
      </c>
      <c r="Y56" s="62">
        <f t="shared" si="52"/>
        <v>36519.159999999916</v>
      </c>
      <c r="Z56" s="62">
        <f t="shared" si="52"/>
        <v>37404.139285714366</v>
      </c>
      <c r="AA56" s="62">
        <f t="shared" si="52"/>
        <v>38289.118571428582</v>
      </c>
      <c r="AB56" s="62">
        <f t="shared" si="52"/>
        <v>39174.097857142799</v>
      </c>
      <c r="AC56" s="62">
        <f t="shared" si="52"/>
        <v>40059.077142857248</v>
      </c>
      <c r="AD56" s="62">
        <f t="shared" si="52"/>
        <v>40944.056428571464</v>
      </c>
      <c r="AE56" s="62">
        <f t="shared" si="52"/>
        <v>41829.035714285681</v>
      </c>
      <c r="AF56" s="62">
        <f t="shared" si="52"/>
        <v>42714.014999999898</v>
      </c>
      <c r="AG56" s="62">
        <f t="shared" si="52"/>
        <v>43598.994285714347</v>
      </c>
      <c r="AH56" s="62">
        <f t="shared" si="52"/>
        <v>44483.973571428563</v>
      </c>
      <c r="AI56" s="62">
        <f t="shared" si="52"/>
        <v>45368.95285714278</v>
      </c>
      <c r="AJ56" s="63">
        <f t="shared" si="52"/>
        <v>46253.932142857229</v>
      </c>
      <c r="AL56" s="64" t="e">
        <f t="shared" si="40"/>
        <v>#DIV/0!</v>
      </c>
    </row>
    <row r="57" spans="1:38" ht="15.75" customHeight="1" x14ac:dyDescent="0.25">
      <c r="A57" s="41" t="s">
        <v>58</v>
      </c>
      <c r="F57" s="61">
        <f t="shared" ref="F57:AJ57" si="53">SUMIFS(F$3:F$40,$B$3:$B$40,$A57)</f>
        <v>29806.690714285709</v>
      </c>
      <c r="G57" s="62">
        <f t="shared" si="53"/>
        <v>31144.158571428619</v>
      </c>
      <c r="H57" s="62">
        <f t="shared" si="53"/>
        <v>32481.62642857153</v>
      </c>
      <c r="I57" s="62">
        <f t="shared" si="53"/>
        <v>33819.09428571444</v>
      </c>
      <c r="J57" s="62">
        <f t="shared" si="53"/>
        <v>35156.56214285735</v>
      </c>
      <c r="K57" s="62">
        <f t="shared" si="53"/>
        <v>36494.030000000261</v>
      </c>
      <c r="L57" s="62">
        <f t="shared" si="53"/>
        <v>37831.497857143171</v>
      </c>
      <c r="M57" s="62">
        <f t="shared" si="53"/>
        <v>39168.965714285616</v>
      </c>
      <c r="N57" s="62">
        <f t="shared" si="53"/>
        <v>40506.433571428526</v>
      </c>
      <c r="O57" s="62">
        <f t="shared" si="53"/>
        <v>41843.901428571437</v>
      </c>
      <c r="P57" s="62">
        <f t="shared" si="53"/>
        <v>43181.369285714347</v>
      </c>
      <c r="Q57" s="62">
        <f t="shared" si="53"/>
        <v>44518.837142857257</v>
      </c>
      <c r="R57" s="62">
        <f t="shared" si="53"/>
        <v>45856.305000000168</v>
      </c>
      <c r="S57" s="62">
        <f t="shared" si="53"/>
        <v>47193.772857143078</v>
      </c>
      <c r="T57" s="62">
        <f t="shared" si="53"/>
        <v>48531.240714285988</v>
      </c>
      <c r="U57" s="62">
        <f t="shared" si="53"/>
        <v>49868.708571428433</v>
      </c>
      <c r="V57" s="62">
        <f t="shared" si="53"/>
        <v>51206.176428571343</v>
      </c>
      <c r="W57" s="62">
        <f t="shared" si="53"/>
        <v>52543.644285714254</v>
      </c>
      <c r="X57" s="62">
        <f t="shared" si="53"/>
        <v>53881.112142857164</v>
      </c>
      <c r="Y57" s="62">
        <f t="shared" si="53"/>
        <v>55218.580000000075</v>
      </c>
      <c r="Z57" s="62">
        <f t="shared" si="53"/>
        <v>56556.047857142985</v>
      </c>
      <c r="AA57" s="62">
        <f t="shared" si="53"/>
        <v>57893.515714285895</v>
      </c>
      <c r="AB57" s="62">
        <f t="shared" si="53"/>
        <v>59230.983571428806</v>
      </c>
      <c r="AC57" s="62">
        <f t="shared" si="53"/>
        <v>60568.451428571716</v>
      </c>
      <c r="AD57" s="62">
        <f t="shared" si="53"/>
        <v>61905.919285714161</v>
      </c>
      <c r="AE57" s="62">
        <f t="shared" si="53"/>
        <v>63243.387142857071</v>
      </c>
      <c r="AF57" s="62">
        <f t="shared" si="53"/>
        <v>64580.854999999981</v>
      </c>
      <c r="AG57" s="62">
        <f t="shared" si="53"/>
        <v>65918.322857142892</v>
      </c>
      <c r="AH57" s="62">
        <f t="shared" si="53"/>
        <v>67255.790714285802</v>
      </c>
      <c r="AI57" s="62">
        <f t="shared" si="53"/>
        <v>68593.258571428712</v>
      </c>
      <c r="AJ57" s="63">
        <f t="shared" si="53"/>
        <v>69930.726428571623</v>
      </c>
      <c r="AL57" s="64" t="e">
        <f t="shared" si="40"/>
        <v>#DIV/0!</v>
      </c>
    </row>
    <row r="58" spans="1:38" ht="15.75" customHeight="1" x14ac:dyDescent="0.25">
      <c r="A58" s="4" t="s">
        <v>60</v>
      </c>
      <c r="F58" s="61">
        <f t="shared" ref="F58:AJ58" si="54">SUMIFS(F$3:F$40,$B$3:$B$40,$A58)</f>
        <v>114641.58416666766</v>
      </c>
      <c r="G58" s="62">
        <f t="shared" si="54"/>
        <v>119718.50166666741</v>
      </c>
      <c r="H58" s="62">
        <f t="shared" si="54"/>
        <v>124795.41916666715</v>
      </c>
      <c r="I58" s="62">
        <f t="shared" si="54"/>
        <v>129872.3366666676</v>
      </c>
      <c r="J58" s="62">
        <f t="shared" si="54"/>
        <v>134949.25416666735</v>
      </c>
      <c r="K58" s="62">
        <f t="shared" si="54"/>
        <v>140026.1716666671</v>
      </c>
      <c r="L58" s="62">
        <f t="shared" si="54"/>
        <v>145103.08916666755</v>
      </c>
      <c r="M58" s="62">
        <f t="shared" si="54"/>
        <v>150180.00666666706</v>
      </c>
      <c r="N58" s="62">
        <f t="shared" si="54"/>
        <v>155256.92416666774</v>
      </c>
      <c r="O58" s="62">
        <f t="shared" si="54"/>
        <v>160333.84166666749</v>
      </c>
      <c r="P58" s="62">
        <f t="shared" si="54"/>
        <v>165410.75916666724</v>
      </c>
      <c r="Q58" s="62">
        <f t="shared" si="54"/>
        <v>170487.67666666768</v>
      </c>
      <c r="R58" s="62">
        <f t="shared" si="54"/>
        <v>175564.5941666672</v>
      </c>
      <c r="S58" s="62">
        <f t="shared" si="54"/>
        <v>180641.51166666695</v>
      </c>
      <c r="T58" s="62">
        <f t="shared" si="54"/>
        <v>185718.42916666786</v>
      </c>
      <c r="U58" s="62">
        <f t="shared" si="54"/>
        <v>190795.34666666714</v>
      </c>
      <c r="V58" s="62">
        <f t="shared" si="54"/>
        <v>195872.26416666782</v>
      </c>
      <c r="W58" s="62">
        <f t="shared" si="54"/>
        <v>200949.18166666757</v>
      </c>
      <c r="X58" s="62">
        <f t="shared" si="54"/>
        <v>206026.09916666709</v>
      </c>
      <c r="Y58" s="62">
        <f t="shared" si="54"/>
        <v>211103.01666666754</v>
      </c>
      <c r="Z58" s="62">
        <f t="shared" si="54"/>
        <v>216179.93416666752</v>
      </c>
      <c r="AA58" s="62">
        <f t="shared" si="54"/>
        <v>221256.85166666703</v>
      </c>
      <c r="AB58" s="62">
        <f t="shared" si="54"/>
        <v>226333.76916666771</v>
      </c>
      <c r="AC58" s="62">
        <f t="shared" si="54"/>
        <v>231410.68666666723</v>
      </c>
      <c r="AD58" s="62">
        <f t="shared" si="54"/>
        <v>236487.60416666768</v>
      </c>
      <c r="AE58" s="62">
        <f t="shared" si="54"/>
        <v>241564.52166666742</v>
      </c>
      <c r="AF58" s="62">
        <f t="shared" si="54"/>
        <v>246641.43916666741</v>
      </c>
      <c r="AG58" s="62">
        <f t="shared" si="54"/>
        <v>251718.35666666762</v>
      </c>
      <c r="AH58" s="62">
        <f t="shared" si="54"/>
        <v>256795.27416666737</v>
      </c>
      <c r="AI58" s="62">
        <f t="shared" si="54"/>
        <v>261872.19166666712</v>
      </c>
      <c r="AJ58" s="63">
        <f t="shared" si="54"/>
        <v>266949.10916666733</v>
      </c>
      <c r="AL58" s="64" t="e">
        <f t="shared" si="40"/>
        <v>#DIV/0!</v>
      </c>
    </row>
    <row r="59" spans="1:38" ht="15.75" customHeight="1" x14ac:dyDescent="0.25">
      <c r="A59" s="4" t="s">
        <v>62</v>
      </c>
      <c r="F59" s="61">
        <f t="shared" ref="F59:AJ59" si="55">SUMIFS(F$3:F$40,$B$3:$B$40,$A59)</f>
        <v>0</v>
      </c>
      <c r="G59" s="62">
        <f t="shared" si="55"/>
        <v>0</v>
      </c>
      <c r="H59" s="62">
        <f t="shared" si="55"/>
        <v>0</v>
      </c>
      <c r="I59" s="62">
        <f t="shared" si="55"/>
        <v>0</v>
      </c>
      <c r="J59" s="62">
        <f t="shared" si="55"/>
        <v>0</v>
      </c>
      <c r="K59" s="62">
        <f t="shared" si="55"/>
        <v>0</v>
      </c>
      <c r="L59" s="62">
        <f t="shared" si="55"/>
        <v>0</v>
      </c>
      <c r="M59" s="62">
        <f t="shared" si="55"/>
        <v>0</v>
      </c>
      <c r="N59" s="62">
        <f t="shared" si="55"/>
        <v>0</v>
      </c>
      <c r="O59" s="62">
        <f t="shared" si="55"/>
        <v>0</v>
      </c>
      <c r="P59" s="62">
        <f t="shared" si="55"/>
        <v>0</v>
      </c>
      <c r="Q59" s="62">
        <f t="shared" si="55"/>
        <v>0</v>
      </c>
      <c r="R59" s="62">
        <f t="shared" si="55"/>
        <v>0</v>
      </c>
      <c r="S59" s="62">
        <f t="shared" si="55"/>
        <v>0</v>
      </c>
      <c r="T59" s="62">
        <f t="shared" si="55"/>
        <v>0</v>
      </c>
      <c r="U59" s="62">
        <f t="shared" si="55"/>
        <v>0</v>
      </c>
      <c r="V59" s="62">
        <f t="shared" si="55"/>
        <v>0</v>
      </c>
      <c r="W59" s="62">
        <f t="shared" si="55"/>
        <v>0</v>
      </c>
      <c r="X59" s="62">
        <f t="shared" si="55"/>
        <v>0</v>
      </c>
      <c r="Y59" s="62">
        <f t="shared" si="55"/>
        <v>0</v>
      </c>
      <c r="Z59" s="62">
        <f t="shared" si="55"/>
        <v>0</v>
      </c>
      <c r="AA59" s="62">
        <f t="shared" si="55"/>
        <v>0</v>
      </c>
      <c r="AB59" s="62">
        <f t="shared" si="55"/>
        <v>0</v>
      </c>
      <c r="AC59" s="62">
        <f t="shared" si="55"/>
        <v>0</v>
      </c>
      <c r="AD59" s="62">
        <f t="shared" si="55"/>
        <v>0</v>
      </c>
      <c r="AE59" s="62">
        <f t="shared" si="55"/>
        <v>0</v>
      </c>
      <c r="AF59" s="62">
        <f t="shared" si="55"/>
        <v>0</v>
      </c>
      <c r="AG59" s="62">
        <f t="shared" si="55"/>
        <v>0</v>
      </c>
      <c r="AH59" s="62">
        <f t="shared" si="55"/>
        <v>0</v>
      </c>
      <c r="AI59" s="62">
        <f t="shared" si="55"/>
        <v>0</v>
      </c>
      <c r="AJ59" s="63">
        <f t="shared" si="55"/>
        <v>0</v>
      </c>
      <c r="AL59" s="64" t="e">
        <f t="shared" si="40"/>
        <v>#DIV/0!</v>
      </c>
    </row>
    <row r="60" spans="1:38" ht="15.75" customHeight="1" x14ac:dyDescent="0.25">
      <c r="A60" s="4" t="s">
        <v>64</v>
      </c>
      <c r="F60" s="61">
        <f t="shared" ref="F60:AJ60" si="56">SUMIFS(F$3:F$40,$B$3:$B$40,$A60)</f>
        <v>0</v>
      </c>
      <c r="G60" s="62">
        <f t="shared" si="56"/>
        <v>0</v>
      </c>
      <c r="H60" s="62">
        <f t="shared" si="56"/>
        <v>0</v>
      </c>
      <c r="I60" s="62">
        <f t="shared" si="56"/>
        <v>0</v>
      </c>
      <c r="J60" s="62">
        <f t="shared" si="56"/>
        <v>0</v>
      </c>
      <c r="K60" s="62">
        <f t="shared" si="56"/>
        <v>0</v>
      </c>
      <c r="L60" s="62">
        <f t="shared" si="56"/>
        <v>0</v>
      </c>
      <c r="M60" s="62">
        <f t="shared" si="56"/>
        <v>0</v>
      </c>
      <c r="N60" s="62">
        <f t="shared" si="56"/>
        <v>0</v>
      </c>
      <c r="O60" s="62">
        <f t="shared" si="56"/>
        <v>0</v>
      </c>
      <c r="P60" s="62">
        <f t="shared" si="56"/>
        <v>0</v>
      </c>
      <c r="Q60" s="62">
        <f t="shared" si="56"/>
        <v>0</v>
      </c>
      <c r="R60" s="62">
        <f t="shared" si="56"/>
        <v>0</v>
      </c>
      <c r="S60" s="62">
        <f t="shared" si="56"/>
        <v>0</v>
      </c>
      <c r="T60" s="62">
        <f t="shared" si="56"/>
        <v>0</v>
      </c>
      <c r="U60" s="62">
        <f t="shared" si="56"/>
        <v>0</v>
      </c>
      <c r="V60" s="62">
        <f t="shared" si="56"/>
        <v>0</v>
      </c>
      <c r="W60" s="62">
        <f t="shared" si="56"/>
        <v>0</v>
      </c>
      <c r="X60" s="62">
        <f t="shared" si="56"/>
        <v>0</v>
      </c>
      <c r="Y60" s="62">
        <f t="shared" si="56"/>
        <v>0</v>
      </c>
      <c r="Z60" s="62">
        <f t="shared" si="56"/>
        <v>0</v>
      </c>
      <c r="AA60" s="62">
        <f t="shared" si="56"/>
        <v>0</v>
      </c>
      <c r="AB60" s="62">
        <f t="shared" si="56"/>
        <v>0</v>
      </c>
      <c r="AC60" s="62">
        <f t="shared" si="56"/>
        <v>0</v>
      </c>
      <c r="AD60" s="62">
        <f t="shared" si="56"/>
        <v>0</v>
      </c>
      <c r="AE60" s="62">
        <f t="shared" si="56"/>
        <v>0</v>
      </c>
      <c r="AF60" s="62">
        <f t="shared" si="56"/>
        <v>0</v>
      </c>
      <c r="AG60" s="62">
        <f t="shared" si="56"/>
        <v>0</v>
      </c>
      <c r="AH60" s="62">
        <f t="shared" si="56"/>
        <v>0</v>
      </c>
      <c r="AI60" s="62">
        <f t="shared" si="56"/>
        <v>0</v>
      </c>
      <c r="AJ60" s="63">
        <f t="shared" si="56"/>
        <v>0</v>
      </c>
      <c r="AL60" s="64" t="e">
        <f t="shared" si="40"/>
        <v>#DIV/0!</v>
      </c>
    </row>
    <row r="61" spans="1:38" ht="15.75" customHeight="1" x14ac:dyDescent="0.25">
      <c r="A61" s="4" t="s">
        <v>66</v>
      </c>
      <c r="F61" s="61">
        <f t="shared" ref="F61:AJ61" si="57">SUMIFS(F$3:F$40,$B$3:$B$40,$A61)</f>
        <v>0</v>
      </c>
      <c r="G61" s="62">
        <f t="shared" si="57"/>
        <v>0</v>
      </c>
      <c r="H61" s="62">
        <f t="shared" si="57"/>
        <v>0</v>
      </c>
      <c r="I61" s="62">
        <f t="shared" si="57"/>
        <v>0</v>
      </c>
      <c r="J61" s="62">
        <f t="shared" si="57"/>
        <v>0</v>
      </c>
      <c r="K61" s="62">
        <f t="shared" si="57"/>
        <v>0</v>
      </c>
      <c r="L61" s="62">
        <f t="shared" si="57"/>
        <v>0</v>
      </c>
      <c r="M61" s="62">
        <f t="shared" si="57"/>
        <v>0</v>
      </c>
      <c r="N61" s="62">
        <f t="shared" si="57"/>
        <v>0</v>
      </c>
      <c r="O61" s="62">
        <f t="shared" si="57"/>
        <v>0</v>
      </c>
      <c r="P61" s="62">
        <f t="shared" si="57"/>
        <v>0</v>
      </c>
      <c r="Q61" s="62">
        <f t="shared" si="57"/>
        <v>0</v>
      </c>
      <c r="R61" s="62">
        <f t="shared" si="57"/>
        <v>0</v>
      </c>
      <c r="S61" s="62">
        <f t="shared" si="57"/>
        <v>0</v>
      </c>
      <c r="T61" s="62">
        <f t="shared" si="57"/>
        <v>0</v>
      </c>
      <c r="U61" s="62">
        <f t="shared" si="57"/>
        <v>0</v>
      </c>
      <c r="V61" s="62">
        <f t="shared" si="57"/>
        <v>0</v>
      </c>
      <c r="W61" s="62">
        <f t="shared" si="57"/>
        <v>0</v>
      </c>
      <c r="X61" s="62">
        <f t="shared" si="57"/>
        <v>0</v>
      </c>
      <c r="Y61" s="62">
        <f t="shared" si="57"/>
        <v>0</v>
      </c>
      <c r="Z61" s="62">
        <f t="shared" si="57"/>
        <v>0</v>
      </c>
      <c r="AA61" s="62">
        <f t="shared" si="57"/>
        <v>0</v>
      </c>
      <c r="AB61" s="62">
        <f t="shared" si="57"/>
        <v>0</v>
      </c>
      <c r="AC61" s="62">
        <f t="shared" si="57"/>
        <v>0</v>
      </c>
      <c r="AD61" s="62">
        <f t="shared" si="57"/>
        <v>0</v>
      </c>
      <c r="AE61" s="62">
        <f t="shared" si="57"/>
        <v>0</v>
      </c>
      <c r="AF61" s="62">
        <f t="shared" si="57"/>
        <v>0</v>
      </c>
      <c r="AG61" s="62">
        <f t="shared" si="57"/>
        <v>0</v>
      </c>
      <c r="AH61" s="62">
        <f t="shared" si="57"/>
        <v>0</v>
      </c>
      <c r="AI61" s="62">
        <f t="shared" si="57"/>
        <v>0</v>
      </c>
      <c r="AJ61" s="63">
        <f t="shared" si="57"/>
        <v>0</v>
      </c>
      <c r="AL61" s="64" t="e">
        <f t="shared" si="40"/>
        <v>#DIV/0!</v>
      </c>
    </row>
    <row r="62" spans="1:38" ht="15.75" customHeight="1" x14ac:dyDescent="0.25">
      <c r="A62" s="4" t="s">
        <v>68</v>
      </c>
      <c r="F62" s="61">
        <f t="shared" ref="F62:AJ62" si="58">SUMIFS(F$3:F$40,$B$3:$B$40,$A62)</f>
        <v>56137.118095237529</v>
      </c>
      <c r="G62" s="62">
        <f t="shared" si="58"/>
        <v>58619.883809523424</v>
      </c>
      <c r="H62" s="62">
        <f t="shared" si="58"/>
        <v>61102.649523809087</v>
      </c>
      <c r="I62" s="62">
        <f t="shared" si="58"/>
        <v>63585.415238094982</v>
      </c>
      <c r="J62" s="62">
        <f t="shared" si="58"/>
        <v>66068.180952380411</v>
      </c>
      <c r="K62" s="62">
        <f t="shared" si="58"/>
        <v>68550.946666666307</v>
      </c>
      <c r="L62" s="62">
        <f t="shared" si="58"/>
        <v>71033.712380951736</v>
      </c>
      <c r="M62" s="62">
        <f t="shared" si="58"/>
        <v>73516.478095237631</v>
      </c>
      <c r="N62" s="62">
        <f t="shared" si="58"/>
        <v>75999.243809523294</v>
      </c>
      <c r="O62" s="62">
        <f t="shared" si="58"/>
        <v>78482.009523809189</v>
      </c>
      <c r="P62" s="62">
        <f t="shared" si="58"/>
        <v>80964.775238095084</v>
      </c>
      <c r="Q62" s="62">
        <f t="shared" si="58"/>
        <v>83447.540952380514</v>
      </c>
      <c r="R62" s="62">
        <f t="shared" si="58"/>
        <v>85930.306666666409</v>
      </c>
      <c r="S62" s="62">
        <f t="shared" si="58"/>
        <v>88413.072380951839</v>
      </c>
      <c r="T62" s="62">
        <f t="shared" si="58"/>
        <v>90895.838095237967</v>
      </c>
      <c r="U62" s="62">
        <f t="shared" si="58"/>
        <v>93378.603809523396</v>
      </c>
      <c r="V62" s="62">
        <f t="shared" si="58"/>
        <v>95861.369523809291</v>
      </c>
      <c r="W62" s="62">
        <f t="shared" si="58"/>
        <v>98344.135238094721</v>
      </c>
      <c r="X62" s="62">
        <f t="shared" si="58"/>
        <v>100826.90095238062</v>
      </c>
      <c r="Y62" s="62">
        <f t="shared" si="58"/>
        <v>103309.66666666605</v>
      </c>
      <c r="Z62" s="62">
        <f t="shared" si="58"/>
        <v>105792.43238095217</v>
      </c>
      <c r="AA62" s="62">
        <f t="shared" si="58"/>
        <v>108275.1980952376</v>
      </c>
      <c r="AB62" s="62">
        <f t="shared" si="58"/>
        <v>110757.9638095235</v>
      </c>
      <c r="AC62" s="62">
        <f t="shared" si="58"/>
        <v>113240.72952380893</v>
      </c>
      <c r="AD62" s="62">
        <f t="shared" si="58"/>
        <v>115723.49523809482</v>
      </c>
      <c r="AE62" s="62">
        <f t="shared" si="58"/>
        <v>118206.26095238025</v>
      </c>
      <c r="AF62" s="62">
        <f t="shared" si="58"/>
        <v>120689.02666666638</v>
      </c>
      <c r="AG62" s="62">
        <f t="shared" si="58"/>
        <v>123171.79238095181</v>
      </c>
      <c r="AH62" s="62">
        <f t="shared" si="58"/>
        <v>125654.55809523771</v>
      </c>
      <c r="AI62" s="62">
        <f t="shared" si="58"/>
        <v>128137.3238095236</v>
      </c>
      <c r="AJ62" s="63">
        <f t="shared" si="58"/>
        <v>130620.08952380903</v>
      </c>
      <c r="AL62" s="64" t="e">
        <f t="shared" si="40"/>
        <v>#DIV/0!</v>
      </c>
    </row>
    <row r="63" spans="1:38" ht="15.75" customHeight="1" x14ac:dyDescent="0.25">
      <c r="A63" s="4" t="s">
        <v>70</v>
      </c>
      <c r="F63" s="61">
        <f t="shared" ref="F63:AJ63" si="59">SUMIFS(F$3:F$40,$B$3:$B$40,$A63)</f>
        <v>0</v>
      </c>
      <c r="G63" s="62">
        <f t="shared" si="59"/>
        <v>0</v>
      </c>
      <c r="H63" s="62">
        <f t="shared" si="59"/>
        <v>0</v>
      </c>
      <c r="I63" s="62">
        <f t="shared" si="59"/>
        <v>0</v>
      </c>
      <c r="J63" s="62">
        <f t="shared" si="59"/>
        <v>0</v>
      </c>
      <c r="K63" s="62">
        <f t="shared" si="59"/>
        <v>0</v>
      </c>
      <c r="L63" s="62">
        <f t="shared" si="59"/>
        <v>0</v>
      </c>
      <c r="M63" s="62">
        <f t="shared" si="59"/>
        <v>0</v>
      </c>
      <c r="N63" s="62">
        <f t="shared" si="59"/>
        <v>0</v>
      </c>
      <c r="O63" s="62">
        <f t="shared" si="59"/>
        <v>0</v>
      </c>
      <c r="P63" s="62">
        <f t="shared" si="59"/>
        <v>0</v>
      </c>
      <c r="Q63" s="62">
        <f t="shared" si="59"/>
        <v>0</v>
      </c>
      <c r="R63" s="62">
        <f t="shared" si="59"/>
        <v>0</v>
      </c>
      <c r="S63" s="62">
        <f t="shared" si="59"/>
        <v>0</v>
      </c>
      <c r="T63" s="62">
        <f t="shared" si="59"/>
        <v>0</v>
      </c>
      <c r="U63" s="62">
        <f t="shared" si="59"/>
        <v>0</v>
      </c>
      <c r="V63" s="62">
        <f t="shared" si="59"/>
        <v>0</v>
      </c>
      <c r="W63" s="62">
        <f t="shared" si="59"/>
        <v>0</v>
      </c>
      <c r="X63" s="62">
        <f t="shared" si="59"/>
        <v>0</v>
      </c>
      <c r="Y63" s="62">
        <f t="shared" si="59"/>
        <v>0</v>
      </c>
      <c r="Z63" s="62">
        <f t="shared" si="59"/>
        <v>0</v>
      </c>
      <c r="AA63" s="62">
        <f t="shared" si="59"/>
        <v>0</v>
      </c>
      <c r="AB63" s="62">
        <f t="shared" si="59"/>
        <v>0</v>
      </c>
      <c r="AC63" s="62">
        <f t="shared" si="59"/>
        <v>0</v>
      </c>
      <c r="AD63" s="62">
        <f t="shared" si="59"/>
        <v>0</v>
      </c>
      <c r="AE63" s="62">
        <f t="shared" si="59"/>
        <v>0</v>
      </c>
      <c r="AF63" s="62">
        <f t="shared" si="59"/>
        <v>0</v>
      </c>
      <c r="AG63" s="62">
        <f t="shared" si="59"/>
        <v>0</v>
      </c>
      <c r="AH63" s="62">
        <f t="shared" si="59"/>
        <v>0</v>
      </c>
      <c r="AI63" s="62">
        <f t="shared" si="59"/>
        <v>0</v>
      </c>
      <c r="AJ63" s="63">
        <f t="shared" si="59"/>
        <v>0</v>
      </c>
      <c r="AL63" s="64" t="e">
        <f t="shared" si="40"/>
        <v>#DIV/0!</v>
      </c>
    </row>
    <row r="64" spans="1:38" ht="15.75" customHeight="1" x14ac:dyDescent="0.25">
      <c r="A64" s="4" t="s">
        <v>72</v>
      </c>
      <c r="F64" s="61">
        <f t="shared" ref="F64:AJ64" si="60">SUMIFS(F$3:F$40,$B$3:$B$40,$A64)</f>
        <v>49687.10023809527</v>
      </c>
      <c r="G64" s="62">
        <f t="shared" si="60"/>
        <v>51928.959523809375</v>
      </c>
      <c r="H64" s="62">
        <f t="shared" si="60"/>
        <v>54170.818809524179</v>
      </c>
      <c r="I64" s="62">
        <f t="shared" si="60"/>
        <v>56412.678095238283</v>
      </c>
      <c r="J64" s="62">
        <f t="shared" si="60"/>
        <v>58654.537380952388</v>
      </c>
      <c r="K64" s="62">
        <f t="shared" si="60"/>
        <v>60896.396666666726</v>
      </c>
      <c r="L64" s="62">
        <f t="shared" si="60"/>
        <v>63138.25595238083</v>
      </c>
      <c r="M64" s="62">
        <f t="shared" si="60"/>
        <v>65380.115238095634</v>
      </c>
      <c r="N64" s="62">
        <f t="shared" si="60"/>
        <v>67621.974523809738</v>
      </c>
      <c r="O64" s="62">
        <f t="shared" si="60"/>
        <v>69863.833809523843</v>
      </c>
      <c r="P64" s="62">
        <f t="shared" si="60"/>
        <v>72105.693095238181</v>
      </c>
      <c r="Q64" s="62">
        <f t="shared" si="60"/>
        <v>74347.552380952286</v>
      </c>
      <c r="R64" s="62">
        <f t="shared" si="60"/>
        <v>76589.411666666856</v>
      </c>
      <c r="S64" s="62">
        <f t="shared" si="60"/>
        <v>78831.270952381194</v>
      </c>
      <c r="T64" s="62">
        <f t="shared" si="60"/>
        <v>81073.130238095298</v>
      </c>
      <c r="U64" s="62">
        <f t="shared" si="60"/>
        <v>83314.989523809403</v>
      </c>
      <c r="V64" s="62">
        <f t="shared" si="60"/>
        <v>85556.848809523741</v>
      </c>
      <c r="W64" s="62">
        <f t="shared" si="60"/>
        <v>87798.708095238311</v>
      </c>
      <c r="X64" s="62">
        <f t="shared" si="60"/>
        <v>90040.567380952416</v>
      </c>
      <c r="Y64" s="62">
        <f t="shared" si="60"/>
        <v>92282.426666666754</v>
      </c>
      <c r="Z64" s="62">
        <f t="shared" si="60"/>
        <v>94524.285952380858</v>
      </c>
      <c r="AA64" s="62">
        <f t="shared" si="60"/>
        <v>96766.145238095662</v>
      </c>
      <c r="AB64" s="62">
        <f t="shared" si="60"/>
        <v>99008.004523809766</v>
      </c>
      <c r="AC64" s="62">
        <f t="shared" si="60"/>
        <v>101249.86380952387</v>
      </c>
      <c r="AD64" s="62">
        <f t="shared" si="60"/>
        <v>103491.72309523821</v>
      </c>
      <c r="AE64" s="62">
        <f t="shared" si="60"/>
        <v>105733.58238095231</v>
      </c>
      <c r="AF64" s="62">
        <f t="shared" si="60"/>
        <v>107975.44166666688</v>
      </c>
      <c r="AG64" s="62">
        <f t="shared" si="60"/>
        <v>110217.30095238122</v>
      </c>
      <c r="AH64" s="62">
        <f t="shared" si="60"/>
        <v>112459.16023809533</v>
      </c>
      <c r="AI64" s="62">
        <f t="shared" si="60"/>
        <v>114701.01952380943</v>
      </c>
      <c r="AJ64" s="63">
        <f t="shared" si="60"/>
        <v>116942.87880952377</v>
      </c>
      <c r="AL64" s="64" t="e">
        <f t="shared" si="40"/>
        <v>#DIV/0!</v>
      </c>
    </row>
    <row r="65" spans="1:38" ht="15.75" customHeight="1" x14ac:dyDescent="0.25">
      <c r="A65" s="41" t="s">
        <v>74</v>
      </c>
      <c r="F65" s="61">
        <f t="shared" ref="F65:AJ65" si="61">SUMIFS(F$3:F$40,$B$3:$B$40,$A65)</f>
        <v>52906.421666666865</v>
      </c>
      <c r="G65" s="62">
        <f t="shared" si="61"/>
        <v>55269.916666666977</v>
      </c>
      <c r="H65" s="62">
        <f t="shared" si="61"/>
        <v>57633.411666667089</v>
      </c>
      <c r="I65" s="62">
        <f t="shared" si="61"/>
        <v>59996.906666667201</v>
      </c>
      <c r="J65" s="62">
        <f t="shared" si="61"/>
        <v>62360.401666667312</v>
      </c>
      <c r="K65" s="62">
        <f t="shared" si="61"/>
        <v>64723.896666667424</v>
      </c>
      <c r="L65" s="62">
        <f t="shared" si="61"/>
        <v>67087.391666667536</v>
      </c>
      <c r="M65" s="62">
        <f t="shared" si="61"/>
        <v>69450.886666667648</v>
      </c>
      <c r="N65" s="62">
        <f t="shared" si="61"/>
        <v>71814.381666666828</v>
      </c>
      <c r="O65" s="62">
        <f t="shared" si="61"/>
        <v>74177.87666666694</v>
      </c>
      <c r="P65" s="62">
        <f t="shared" si="61"/>
        <v>76541.371666667052</v>
      </c>
      <c r="Q65" s="62">
        <f t="shared" si="61"/>
        <v>78904.866666667163</v>
      </c>
      <c r="R65" s="62">
        <f t="shared" si="61"/>
        <v>81268.361666667275</v>
      </c>
      <c r="S65" s="62">
        <f t="shared" si="61"/>
        <v>83631.856666667387</v>
      </c>
      <c r="T65" s="62">
        <f t="shared" si="61"/>
        <v>85995.351666667499</v>
      </c>
      <c r="U65" s="62">
        <f t="shared" si="61"/>
        <v>88358.84666666761</v>
      </c>
      <c r="V65" s="62">
        <f t="shared" si="61"/>
        <v>90722.341666666791</v>
      </c>
      <c r="W65" s="62">
        <f t="shared" si="61"/>
        <v>93085.836666666903</v>
      </c>
      <c r="X65" s="62">
        <f t="shared" si="61"/>
        <v>95449.331666667014</v>
      </c>
      <c r="Y65" s="62">
        <f t="shared" si="61"/>
        <v>97812.826666667126</v>
      </c>
      <c r="Z65" s="62">
        <f t="shared" si="61"/>
        <v>100176.32166666724</v>
      </c>
      <c r="AA65" s="62">
        <f t="shared" si="61"/>
        <v>102539.81666666735</v>
      </c>
      <c r="AB65" s="62">
        <f t="shared" si="61"/>
        <v>104903.31166666746</v>
      </c>
      <c r="AC65" s="62">
        <f t="shared" si="61"/>
        <v>107266.80666666757</v>
      </c>
      <c r="AD65" s="62">
        <f t="shared" si="61"/>
        <v>109630.30166666675</v>
      </c>
      <c r="AE65" s="62">
        <f t="shared" si="61"/>
        <v>111993.79666666687</v>
      </c>
      <c r="AF65" s="62">
        <f t="shared" si="61"/>
        <v>114357.29166666698</v>
      </c>
      <c r="AG65" s="62">
        <f t="shared" si="61"/>
        <v>116720.78666666709</v>
      </c>
      <c r="AH65" s="62">
        <f t="shared" si="61"/>
        <v>119084.2816666672</v>
      </c>
      <c r="AI65" s="62">
        <f t="shared" si="61"/>
        <v>121447.77666666731</v>
      </c>
      <c r="AJ65" s="63">
        <f t="shared" si="61"/>
        <v>123811.27166666742</v>
      </c>
      <c r="AL65" s="64" t="e">
        <f t="shared" si="40"/>
        <v>#DIV/0!</v>
      </c>
    </row>
    <row r="66" spans="1:38" ht="15.75" customHeight="1" x14ac:dyDescent="0.25">
      <c r="A66" s="4" t="s">
        <v>76</v>
      </c>
      <c r="F66" s="61">
        <f t="shared" ref="F66:AJ66" si="62">SUMIFS(F$3:F$40,$B$3:$B$40,$A66)</f>
        <v>1737.4248809523997</v>
      </c>
      <c r="G66" s="62">
        <f t="shared" si="62"/>
        <v>1814.0002380952355</v>
      </c>
      <c r="H66" s="62">
        <f t="shared" si="62"/>
        <v>1890.5755952381005</v>
      </c>
      <c r="I66" s="62">
        <f t="shared" si="62"/>
        <v>1967.1509523809655</v>
      </c>
      <c r="J66" s="62">
        <f t="shared" si="62"/>
        <v>2043.7263095238013</v>
      </c>
      <c r="K66" s="62">
        <f t="shared" si="62"/>
        <v>2120.3016666666663</v>
      </c>
      <c r="L66" s="62">
        <f t="shared" si="62"/>
        <v>2196.8770238095312</v>
      </c>
      <c r="M66" s="62">
        <f t="shared" si="62"/>
        <v>2273.4523809523962</v>
      </c>
      <c r="N66" s="62">
        <f t="shared" si="62"/>
        <v>2350.0277380952321</v>
      </c>
      <c r="O66" s="62">
        <f t="shared" si="62"/>
        <v>2426.603095238097</v>
      </c>
      <c r="P66" s="62">
        <f t="shared" si="62"/>
        <v>2503.178452380962</v>
      </c>
      <c r="Q66" s="62">
        <f t="shared" si="62"/>
        <v>2579.7538095238269</v>
      </c>
      <c r="R66" s="62">
        <f t="shared" si="62"/>
        <v>2656.3291666666628</v>
      </c>
      <c r="S66" s="62">
        <f t="shared" si="62"/>
        <v>2732.9045238095277</v>
      </c>
      <c r="T66" s="62">
        <f t="shared" si="62"/>
        <v>2809.4798809523927</v>
      </c>
      <c r="U66" s="62">
        <f t="shared" si="62"/>
        <v>2886.0552380952286</v>
      </c>
      <c r="V66" s="62">
        <f t="shared" si="62"/>
        <v>2962.6305952380935</v>
      </c>
      <c r="W66" s="62">
        <f t="shared" si="62"/>
        <v>3039.2059523809585</v>
      </c>
      <c r="X66" s="62">
        <f t="shared" si="62"/>
        <v>3115.7813095238234</v>
      </c>
      <c r="Y66" s="62">
        <f t="shared" si="62"/>
        <v>3192.3566666666593</v>
      </c>
      <c r="Z66" s="62">
        <f t="shared" si="62"/>
        <v>3268.9320238095243</v>
      </c>
      <c r="AA66" s="62">
        <f t="shared" si="62"/>
        <v>3345.5073809523892</v>
      </c>
      <c r="AB66" s="62">
        <f t="shared" si="62"/>
        <v>3422.0827380952542</v>
      </c>
      <c r="AC66" s="62">
        <f t="shared" si="62"/>
        <v>3498.65809523809</v>
      </c>
      <c r="AD66" s="62">
        <f t="shared" si="62"/>
        <v>3575.233452380955</v>
      </c>
      <c r="AE66" s="62">
        <f t="shared" si="62"/>
        <v>3651.8088095238199</v>
      </c>
      <c r="AF66" s="62">
        <f t="shared" si="62"/>
        <v>3728.3841666666849</v>
      </c>
      <c r="AG66" s="62">
        <f t="shared" si="62"/>
        <v>3804.9595238095208</v>
      </c>
      <c r="AH66" s="62">
        <f t="shared" si="62"/>
        <v>3881.5348809523857</v>
      </c>
      <c r="AI66" s="62">
        <f t="shared" si="62"/>
        <v>3958.1102380952507</v>
      </c>
      <c r="AJ66" s="63">
        <f t="shared" si="62"/>
        <v>4034.6855952380865</v>
      </c>
      <c r="AL66" s="64" t="e">
        <f t="shared" si="40"/>
        <v>#DIV/0!</v>
      </c>
    </row>
    <row r="67" spans="1:38" ht="15.75" customHeight="1" x14ac:dyDescent="0.25">
      <c r="A67" s="4" t="s">
        <v>78</v>
      </c>
      <c r="F67" s="61">
        <f t="shared" ref="F67:AJ67" si="63">SUMIFS(F$3:F$40,$B$3:$B$40,$A67)</f>
        <v>307749.26214285567</v>
      </c>
      <c r="G67" s="62">
        <f t="shared" si="63"/>
        <v>321497.37571428344</v>
      </c>
      <c r="H67" s="62">
        <f t="shared" si="63"/>
        <v>335245.4892857112</v>
      </c>
      <c r="I67" s="62">
        <f t="shared" si="63"/>
        <v>348993.60285714269</v>
      </c>
      <c r="J67" s="62">
        <f t="shared" si="63"/>
        <v>362741.71642857045</v>
      </c>
      <c r="K67" s="62">
        <f t="shared" si="63"/>
        <v>376489.82999999821</v>
      </c>
      <c r="L67" s="62">
        <f t="shared" si="63"/>
        <v>390237.94357142597</v>
      </c>
      <c r="M67" s="62">
        <f t="shared" si="63"/>
        <v>403986.05714285374</v>
      </c>
      <c r="N67" s="62">
        <f t="shared" si="63"/>
        <v>417734.17071428522</v>
      </c>
      <c r="O67" s="62">
        <f t="shared" si="63"/>
        <v>431482.28428571299</v>
      </c>
      <c r="P67" s="62">
        <f t="shared" si="63"/>
        <v>445230.39785714075</v>
      </c>
      <c r="Q67" s="62">
        <f t="shared" si="63"/>
        <v>458978.51142856851</v>
      </c>
      <c r="R67" s="62">
        <f t="shared" si="63"/>
        <v>472726.625</v>
      </c>
      <c r="S67" s="62">
        <f t="shared" si="63"/>
        <v>486474.73857142776</v>
      </c>
      <c r="T67" s="62">
        <f t="shared" si="63"/>
        <v>500222.85214285553</v>
      </c>
      <c r="U67" s="62">
        <f t="shared" si="63"/>
        <v>513970.96571428329</v>
      </c>
      <c r="V67" s="62">
        <f t="shared" si="63"/>
        <v>527719.07928571105</v>
      </c>
      <c r="W67" s="62">
        <f t="shared" si="63"/>
        <v>541467.19285714254</v>
      </c>
      <c r="X67" s="62">
        <f t="shared" si="63"/>
        <v>555215.3064285703</v>
      </c>
      <c r="Y67" s="62">
        <f t="shared" si="63"/>
        <v>568963.41999999806</v>
      </c>
      <c r="Z67" s="62">
        <f t="shared" si="63"/>
        <v>582711.53357142583</v>
      </c>
      <c r="AA67" s="62">
        <f t="shared" si="63"/>
        <v>596459.64714285359</v>
      </c>
      <c r="AB67" s="62">
        <f t="shared" si="63"/>
        <v>610207.76071428508</v>
      </c>
      <c r="AC67" s="62">
        <f t="shared" si="63"/>
        <v>623955.87428571284</v>
      </c>
      <c r="AD67" s="62">
        <f t="shared" si="63"/>
        <v>637703.9878571406</v>
      </c>
      <c r="AE67" s="62">
        <f t="shared" si="63"/>
        <v>651452.10142856836</v>
      </c>
      <c r="AF67" s="62">
        <f t="shared" si="63"/>
        <v>665200.21499999985</v>
      </c>
      <c r="AG67" s="62">
        <f t="shared" si="63"/>
        <v>678948.32857142761</v>
      </c>
      <c r="AH67" s="62">
        <f t="shared" si="63"/>
        <v>692696.44214285538</v>
      </c>
      <c r="AI67" s="62">
        <f t="shared" si="63"/>
        <v>706444.55571428314</v>
      </c>
      <c r="AJ67" s="63">
        <f t="shared" si="63"/>
        <v>720192.6692857109</v>
      </c>
      <c r="AL67" s="64" t="e">
        <f t="shared" si="40"/>
        <v>#DIV/0!</v>
      </c>
    </row>
    <row r="68" spans="1:38" ht="15.75" customHeight="1" x14ac:dyDescent="0.25">
      <c r="A68" s="4" t="s">
        <v>80</v>
      </c>
      <c r="F68" s="61">
        <f t="shared" ref="F68:AJ68" si="64">SUMIFS(F$3:F$40,$B$3:$B$40,$A68)</f>
        <v>233547.32226190343</v>
      </c>
      <c r="G68" s="62">
        <f t="shared" si="64"/>
        <v>243980.6054761894</v>
      </c>
      <c r="H68" s="62">
        <f t="shared" si="64"/>
        <v>254413.88869047537</v>
      </c>
      <c r="I68" s="62">
        <f t="shared" si="64"/>
        <v>264847.17190476134</v>
      </c>
      <c r="J68" s="62">
        <f t="shared" si="64"/>
        <v>275280.45511904731</v>
      </c>
      <c r="K68" s="62">
        <f t="shared" si="64"/>
        <v>285713.73833333328</v>
      </c>
      <c r="L68" s="62">
        <f t="shared" si="64"/>
        <v>296147.02154761925</v>
      </c>
      <c r="M68" s="62">
        <f t="shared" si="64"/>
        <v>306580.3047619015</v>
      </c>
      <c r="N68" s="62">
        <f t="shared" si="64"/>
        <v>317013.58797618747</v>
      </c>
      <c r="O68" s="62">
        <f t="shared" si="64"/>
        <v>327446.87119047344</v>
      </c>
      <c r="P68" s="62">
        <f t="shared" si="64"/>
        <v>337880.15440475941</v>
      </c>
      <c r="Q68" s="62">
        <f t="shared" si="64"/>
        <v>348313.43761904538</v>
      </c>
      <c r="R68" s="62">
        <f t="shared" si="64"/>
        <v>358746.72083333135</v>
      </c>
      <c r="S68" s="62">
        <f t="shared" si="64"/>
        <v>369180.00404761732</v>
      </c>
      <c r="T68" s="62">
        <f t="shared" si="64"/>
        <v>379613.28726190329</v>
      </c>
      <c r="U68" s="62">
        <f t="shared" si="64"/>
        <v>390046.57047618926</v>
      </c>
      <c r="V68" s="62">
        <f t="shared" si="64"/>
        <v>400479.85369047523</v>
      </c>
      <c r="W68" s="62">
        <f t="shared" si="64"/>
        <v>410913.1369047612</v>
      </c>
      <c r="X68" s="62">
        <f t="shared" si="64"/>
        <v>421346.42011904716</v>
      </c>
      <c r="Y68" s="62">
        <f t="shared" si="64"/>
        <v>431779.70333333313</v>
      </c>
      <c r="Z68" s="62">
        <f t="shared" si="64"/>
        <v>442212.9865476191</v>
      </c>
      <c r="AA68" s="62">
        <f t="shared" si="64"/>
        <v>452646.26976190135</v>
      </c>
      <c r="AB68" s="62">
        <f t="shared" si="64"/>
        <v>463079.55297618732</v>
      </c>
      <c r="AC68" s="62">
        <f t="shared" si="64"/>
        <v>473512.83619047329</v>
      </c>
      <c r="AD68" s="62">
        <f t="shared" si="64"/>
        <v>483946.11940475926</v>
      </c>
      <c r="AE68" s="62">
        <f t="shared" si="64"/>
        <v>494379.40261904523</v>
      </c>
      <c r="AF68" s="62">
        <f t="shared" si="64"/>
        <v>504812.6858333312</v>
      </c>
      <c r="AG68" s="62">
        <f t="shared" si="64"/>
        <v>515245.96904761717</v>
      </c>
      <c r="AH68" s="62">
        <f t="shared" si="64"/>
        <v>525679.25226190314</v>
      </c>
      <c r="AI68" s="62">
        <f t="shared" si="64"/>
        <v>536112.53547618911</v>
      </c>
      <c r="AJ68" s="63">
        <f t="shared" si="64"/>
        <v>546545.81869047508</v>
      </c>
      <c r="AL68" s="64" t="e">
        <f t="shared" si="40"/>
        <v>#DIV/0!</v>
      </c>
    </row>
    <row r="69" spans="1:38" ht="15.75" customHeight="1" x14ac:dyDescent="0.25">
      <c r="A69" s="4" t="s">
        <v>82</v>
      </c>
      <c r="F69" s="61">
        <f t="shared" ref="F69:AJ69" si="65">SUMIFS(F$3:F$40,$B$3:$B$40,$A69)</f>
        <v>105833.64059523866</v>
      </c>
      <c r="G69" s="62">
        <f t="shared" si="65"/>
        <v>110982.34880952537</v>
      </c>
      <c r="H69" s="62">
        <f t="shared" si="65"/>
        <v>116131.05702381022</v>
      </c>
      <c r="I69" s="62">
        <f t="shared" si="65"/>
        <v>121279.76523809507</v>
      </c>
      <c r="J69" s="62">
        <f t="shared" si="65"/>
        <v>126428.47345238179</v>
      </c>
      <c r="K69" s="62">
        <f t="shared" si="65"/>
        <v>131577.18166666664</v>
      </c>
      <c r="L69" s="62">
        <f t="shared" si="65"/>
        <v>136725.88988095336</v>
      </c>
      <c r="M69" s="62">
        <f t="shared" si="65"/>
        <v>141874.59809523821</v>
      </c>
      <c r="N69" s="62">
        <f t="shared" si="65"/>
        <v>147023.30630952492</v>
      </c>
      <c r="O69" s="62">
        <f t="shared" si="65"/>
        <v>152172.01452380978</v>
      </c>
      <c r="P69" s="62">
        <f t="shared" si="65"/>
        <v>157320.72273809649</v>
      </c>
      <c r="Q69" s="62">
        <f t="shared" si="65"/>
        <v>162469.43095238134</v>
      </c>
      <c r="R69" s="62">
        <f t="shared" si="65"/>
        <v>167618.13916666806</v>
      </c>
      <c r="S69" s="62">
        <f t="shared" si="65"/>
        <v>172766.84738095291</v>
      </c>
      <c r="T69" s="62">
        <f t="shared" si="65"/>
        <v>177915.55559523962</v>
      </c>
      <c r="U69" s="62">
        <f t="shared" si="65"/>
        <v>183064.26380952448</v>
      </c>
      <c r="V69" s="62">
        <f t="shared" si="65"/>
        <v>188212.97202380933</v>
      </c>
      <c r="W69" s="62">
        <f t="shared" si="65"/>
        <v>193361.68023809604</v>
      </c>
      <c r="X69" s="62">
        <f t="shared" si="65"/>
        <v>198510.3884523809</v>
      </c>
      <c r="Y69" s="62">
        <f t="shared" si="65"/>
        <v>203659.09666666761</v>
      </c>
      <c r="Z69" s="62">
        <f t="shared" si="65"/>
        <v>208807.80488095246</v>
      </c>
      <c r="AA69" s="62">
        <f t="shared" si="65"/>
        <v>213956.51309523918</v>
      </c>
      <c r="AB69" s="62">
        <f t="shared" si="65"/>
        <v>219105.22130952403</v>
      </c>
      <c r="AC69" s="62">
        <f t="shared" si="65"/>
        <v>224253.92952381074</v>
      </c>
      <c r="AD69" s="62">
        <f t="shared" si="65"/>
        <v>229402.6377380956</v>
      </c>
      <c r="AE69" s="62">
        <f t="shared" si="65"/>
        <v>234551.34595238231</v>
      </c>
      <c r="AF69" s="62">
        <f t="shared" si="65"/>
        <v>239700.05416666716</v>
      </c>
      <c r="AG69" s="62">
        <f t="shared" si="65"/>
        <v>244848.76238095388</v>
      </c>
      <c r="AH69" s="62">
        <f t="shared" si="65"/>
        <v>249997.47059523873</v>
      </c>
      <c r="AI69" s="62">
        <f t="shared" si="65"/>
        <v>255146.17880952358</v>
      </c>
      <c r="AJ69" s="63">
        <f t="shared" si="65"/>
        <v>260294.8870238103</v>
      </c>
      <c r="AL69" s="64" t="e">
        <f t="shared" si="40"/>
        <v>#DIV/0!</v>
      </c>
    </row>
    <row r="70" spans="1:38" ht="15.75" customHeight="1" x14ac:dyDescent="0.25">
      <c r="A70" s="4" t="s">
        <v>89</v>
      </c>
      <c r="F70" s="61">
        <f t="shared" ref="F70:AJ70" si="66">SUMIFS(F$3:F$40,$B$3:$B$40,$A70)</f>
        <v>75265.363928572275</v>
      </c>
      <c r="G70" s="62">
        <f t="shared" si="66"/>
        <v>78627.702142857946</v>
      </c>
      <c r="H70" s="62">
        <f t="shared" si="66"/>
        <v>81990.040357143618</v>
      </c>
      <c r="I70" s="62">
        <f t="shared" si="66"/>
        <v>85352.37857142929</v>
      </c>
      <c r="J70" s="62">
        <f t="shared" si="66"/>
        <v>88714.716785714962</v>
      </c>
      <c r="K70" s="62">
        <f t="shared" si="66"/>
        <v>92077.055000000633</v>
      </c>
      <c r="L70" s="62">
        <f t="shared" si="66"/>
        <v>95439.393214286305</v>
      </c>
      <c r="M70" s="62">
        <f t="shared" si="66"/>
        <v>98801.731428571977</v>
      </c>
      <c r="N70" s="62">
        <f t="shared" si="66"/>
        <v>102164.06964285765</v>
      </c>
      <c r="O70" s="62">
        <f t="shared" si="66"/>
        <v>105526.40785714332</v>
      </c>
      <c r="P70" s="62">
        <f t="shared" si="66"/>
        <v>108888.74607142899</v>
      </c>
      <c r="Q70" s="62">
        <f t="shared" si="66"/>
        <v>112251.08428571466</v>
      </c>
      <c r="R70" s="62">
        <f t="shared" si="66"/>
        <v>115613.42250000034</v>
      </c>
      <c r="S70" s="62">
        <f t="shared" si="66"/>
        <v>118975.76071428601</v>
      </c>
      <c r="T70" s="62">
        <f t="shared" si="66"/>
        <v>122338.09892857168</v>
      </c>
      <c r="U70" s="62">
        <f t="shared" si="66"/>
        <v>125700.43714285735</v>
      </c>
      <c r="V70" s="62">
        <f t="shared" si="66"/>
        <v>129062.77535714302</v>
      </c>
      <c r="W70" s="62">
        <f t="shared" si="66"/>
        <v>132425.11357142869</v>
      </c>
      <c r="X70" s="62">
        <f t="shared" si="66"/>
        <v>135787.4517857153</v>
      </c>
      <c r="Y70" s="62">
        <f t="shared" si="66"/>
        <v>139149.79000000097</v>
      </c>
      <c r="Z70" s="62">
        <f t="shared" si="66"/>
        <v>142512.12821428664</v>
      </c>
      <c r="AA70" s="62">
        <f t="shared" si="66"/>
        <v>145874.46642857231</v>
      </c>
      <c r="AB70" s="62">
        <f t="shared" si="66"/>
        <v>149236.80464285798</v>
      </c>
      <c r="AC70" s="62">
        <f t="shared" si="66"/>
        <v>152599.14285714366</v>
      </c>
      <c r="AD70" s="62">
        <f t="shared" si="66"/>
        <v>155961.48107142933</v>
      </c>
      <c r="AE70" s="62">
        <f t="shared" si="66"/>
        <v>159323.819285715</v>
      </c>
      <c r="AF70" s="62">
        <f t="shared" si="66"/>
        <v>162686.15750000067</v>
      </c>
      <c r="AG70" s="62">
        <f t="shared" si="66"/>
        <v>166048.49571428634</v>
      </c>
      <c r="AH70" s="62">
        <f t="shared" si="66"/>
        <v>169410.83392857201</v>
      </c>
      <c r="AI70" s="62">
        <f t="shared" si="66"/>
        <v>172773.17214285769</v>
      </c>
      <c r="AJ70" s="63">
        <f t="shared" si="66"/>
        <v>176135.51035714336</v>
      </c>
      <c r="AL70" s="64" t="e">
        <f t="shared" si="40"/>
        <v>#DIV/0!</v>
      </c>
    </row>
    <row r="71" spans="1:38" ht="15.75" customHeight="1" x14ac:dyDescent="0.25">
      <c r="A71" s="4" t="s">
        <v>91</v>
      </c>
      <c r="F71" s="61">
        <f t="shared" ref="F71:AJ71" si="67">SUMIFS(F$3:F$40,$B$3:$B$40,$A71)</f>
        <v>16738.764999999898</v>
      </c>
      <c r="G71" s="62">
        <f t="shared" si="67"/>
        <v>17462.10999999987</v>
      </c>
      <c r="H71" s="62">
        <f t="shared" si="67"/>
        <v>18185.454999999842</v>
      </c>
      <c r="I71" s="62">
        <f t="shared" si="67"/>
        <v>18908.799999999814</v>
      </c>
      <c r="J71" s="62">
        <f t="shared" si="67"/>
        <v>19632.144999999786</v>
      </c>
      <c r="K71" s="62">
        <f t="shared" si="67"/>
        <v>20355.489999999758</v>
      </c>
      <c r="L71" s="62">
        <f t="shared" si="67"/>
        <v>21078.83499999973</v>
      </c>
      <c r="M71" s="62">
        <f t="shared" si="67"/>
        <v>21802.179999999702</v>
      </c>
      <c r="N71" s="62">
        <f t="shared" si="67"/>
        <v>22525.524999999907</v>
      </c>
      <c r="O71" s="62">
        <f t="shared" si="67"/>
        <v>23248.869999999879</v>
      </c>
      <c r="P71" s="62">
        <f t="shared" si="67"/>
        <v>23972.214999999851</v>
      </c>
      <c r="Q71" s="62">
        <f t="shared" si="67"/>
        <v>24695.559999999823</v>
      </c>
      <c r="R71" s="62">
        <f t="shared" si="67"/>
        <v>25418.904999999795</v>
      </c>
      <c r="S71" s="62">
        <f t="shared" si="67"/>
        <v>26142.249999999767</v>
      </c>
      <c r="T71" s="62">
        <f t="shared" si="67"/>
        <v>26865.594999999739</v>
      </c>
      <c r="U71" s="62">
        <f t="shared" si="67"/>
        <v>27588.939999999711</v>
      </c>
      <c r="V71" s="62">
        <f t="shared" si="67"/>
        <v>28312.284999999916</v>
      </c>
      <c r="W71" s="62">
        <f t="shared" si="67"/>
        <v>29035.629999999888</v>
      </c>
      <c r="X71" s="62">
        <f t="shared" si="67"/>
        <v>29758.97499999986</v>
      </c>
      <c r="Y71" s="62">
        <f t="shared" si="67"/>
        <v>30482.319999999832</v>
      </c>
      <c r="Z71" s="62">
        <f t="shared" si="67"/>
        <v>31205.664999999804</v>
      </c>
      <c r="AA71" s="62">
        <f t="shared" si="67"/>
        <v>31929.009999999776</v>
      </c>
      <c r="AB71" s="62">
        <f t="shared" si="67"/>
        <v>32652.354999999749</v>
      </c>
      <c r="AC71" s="62">
        <f t="shared" si="67"/>
        <v>33375.699999999721</v>
      </c>
      <c r="AD71" s="62">
        <f t="shared" si="67"/>
        <v>34099.044999999925</v>
      </c>
      <c r="AE71" s="62">
        <f t="shared" si="67"/>
        <v>34822.389999999898</v>
      </c>
      <c r="AF71" s="62">
        <f t="shared" si="67"/>
        <v>35545.73499999987</v>
      </c>
      <c r="AG71" s="62">
        <f t="shared" si="67"/>
        <v>36269.079999999842</v>
      </c>
      <c r="AH71" s="62">
        <f t="shared" si="67"/>
        <v>36992.424999999814</v>
      </c>
      <c r="AI71" s="62">
        <f t="shared" si="67"/>
        <v>37715.769999999786</v>
      </c>
      <c r="AJ71" s="63">
        <f t="shared" si="67"/>
        <v>38439.114999999758</v>
      </c>
      <c r="AL71" s="64" t="e">
        <f t="shared" si="40"/>
        <v>#DIV/0!</v>
      </c>
    </row>
    <row r="72" spans="1:38" ht="15.75" customHeight="1" x14ac:dyDescent="0.25">
      <c r="A72" s="4" t="s">
        <v>93</v>
      </c>
      <c r="F72" s="61">
        <f t="shared" ref="F72:AJ72" si="68">SUMIFS(F$3:F$40,$B$3:$B$40,$A72)</f>
        <v>42283.282857142854</v>
      </c>
      <c r="G72" s="62">
        <f t="shared" si="68"/>
        <v>44113.354285714217</v>
      </c>
      <c r="H72" s="62">
        <f t="shared" si="68"/>
        <v>45943.425714285579</v>
      </c>
      <c r="I72" s="62">
        <f t="shared" si="68"/>
        <v>47773.497142856941</v>
      </c>
      <c r="J72" s="62">
        <f t="shared" si="68"/>
        <v>49603.568571428768</v>
      </c>
      <c r="K72" s="62">
        <f t="shared" si="68"/>
        <v>51433.64000000013</v>
      </c>
      <c r="L72" s="62">
        <f t="shared" si="68"/>
        <v>53263.711428571492</v>
      </c>
      <c r="M72" s="62">
        <f t="shared" si="68"/>
        <v>55093.782857142854</v>
      </c>
      <c r="N72" s="62">
        <f t="shared" si="68"/>
        <v>56923.854285714217</v>
      </c>
      <c r="O72" s="62">
        <f t="shared" si="68"/>
        <v>58753.925714285579</v>
      </c>
      <c r="P72" s="62">
        <f t="shared" si="68"/>
        <v>60583.997142856941</v>
      </c>
      <c r="Q72" s="62">
        <f t="shared" si="68"/>
        <v>62414.068571428768</v>
      </c>
      <c r="R72" s="62">
        <f t="shared" si="68"/>
        <v>64244.14000000013</v>
      </c>
      <c r="S72" s="62">
        <f t="shared" si="68"/>
        <v>66074.211428571492</v>
      </c>
      <c r="T72" s="62">
        <f t="shared" si="68"/>
        <v>67904.282857142854</v>
      </c>
      <c r="U72" s="62">
        <f t="shared" si="68"/>
        <v>69734.354285714217</v>
      </c>
      <c r="V72" s="62">
        <f t="shared" si="68"/>
        <v>71564.425714285579</v>
      </c>
      <c r="W72" s="62">
        <f t="shared" si="68"/>
        <v>73394.497142856941</v>
      </c>
      <c r="X72" s="62">
        <f t="shared" si="68"/>
        <v>75224.568571428768</v>
      </c>
      <c r="Y72" s="62">
        <f t="shared" si="68"/>
        <v>77054.64000000013</v>
      </c>
      <c r="Z72" s="62">
        <f t="shared" si="68"/>
        <v>78884.711428571492</v>
      </c>
      <c r="AA72" s="62">
        <f t="shared" si="68"/>
        <v>80714.782857142854</v>
      </c>
      <c r="AB72" s="62">
        <f t="shared" si="68"/>
        <v>82544.854285714217</v>
      </c>
      <c r="AC72" s="62">
        <f t="shared" si="68"/>
        <v>84374.925714285579</v>
      </c>
      <c r="AD72" s="62">
        <f t="shared" si="68"/>
        <v>86204.997142856941</v>
      </c>
      <c r="AE72" s="62">
        <f t="shared" si="68"/>
        <v>88035.068571428768</v>
      </c>
      <c r="AF72" s="62">
        <f t="shared" si="68"/>
        <v>89865.14000000013</v>
      </c>
      <c r="AG72" s="62">
        <f t="shared" si="68"/>
        <v>91695.211428571492</v>
      </c>
      <c r="AH72" s="62">
        <f t="shared" si="68"/>
        <v>93525.282857142854</v>
      </c>
      <c r="AI72" s="62">
        <f t="shared" si="68"/>
        <v>95355.354285714217</v>
      </c>
      <c r="AJ72" s="63">
        <f t="shared" si="68"/>
        <v>97185.425714285579</v>
      </c>
      <c r="AL72" s="64" t="e">
        <f t="shared" si="40"/>
        <v>#DIV/0!</v>
      </c>
    </row>
    <row r="73" spans="1:38" ht="15.75" customHeight="1" x14ac:dyDescent="0.25">
      <c r="A73" s="4" t="s">
        <v>95</v>
      </c>
      <c r="F73" s="61">
        <f t="shared" ref="F73:AJ73" si="69">SUMIFS(F$3:F$40,$B$3:$B$40,$A73)</f>
        <v>10637.338809523731</v>
      </c>
      <c r="G73" s="62">
        <f t="shared" si="69"/>
        <v>11169.042380952276</v>
      </c>
      <c r="H73" s="62">
        <f t="shared" si="69"/>
        <v>11700.745952380821</v>
      </c>
      <c r="I73" s="62">
        <f t="shared" si="69"/>
        <v>12232.449523809366</v>
      </c>
      <c r="J73" s="62">
        <f t="shared" si="69"/>
        <v>12764.153095237911</v>
      </c>
      <c r="K73" s="62">
        <f t="shared" si="69"/>
        <v>13295.856666666456</v>
      </c>
      <c r="L73" s="62">
        <f t="shared" si="69"/>
        <v>13827.560238095</v>
      </c>
      <c r="M73" s="62">
        <f t="shared" si="69"/>
        <v>14359.263809523778</v>
      </c>
      <c r="N73" s="62">
        <f t="shared" si="69"/>
        <v>14890.967380952323</v>
      </c>
      <c r="O73" s="62">
        <f t="shared" si="69"/>
        <v>15422.670952380868</v>
      </c>
      <c r="P73" s="62">
        <f t="shared" si="69"/>
        <v>15954.374523809412</v>
      </c>
      <c r="Q73" s="62">
        <f t="shared" si="69"/>
        <v>16486.078095237957</v>
      </c>
      <c r="R73" s="62">
        <f t="shared" si="69"/>
        <v>17017.781666666502</v>
      </c>
      <c r="S73" s="62">
        <f t="shared" si="69"/>
        <v>17549.485238095047</v>
      </c>
      <c r="T73" s="62">
        <f t="shared" si="69"/>
        <v>18081.188809523592</v>
      </c>
      <c r="U73" s="62">
        <f t="shared" si="69"/>
        <v>18612.892380952369</v>
      </c>
      <c r="V73" s="62">
        <f t="shared" si="69"/>
        <v>19144.595952380914</v>
      </c>
      <c r="W73" s="62">
        <f t="shared" si="69"/>
        <v>19676.299523809459</v>
      </c>
      <c r="X73" s="62">
        <f t="shared" si="69"/>
        <v>20208.003095238004</v>
      </c>
      <c r="Y73" s="62">
        <f t="shared" si="69"/>
        <v>20739.706666666549</v>
      </c>
      <c r="Z73" s="62">
        <f t="shared" si="69"/>
        <v>21271.410238095094</v>
      </c>
      <c r="AA73" s="62">
        <f t="shared" si="69"/>
        <v>21803.113809523638</v>
      </c>
      <c r="AB73" s="62">
        <f t="shared" si="69"/>
        <v>22334.817380952183</v>
      </c>
      <c r="AC73" s="62">
        <f t="shared" si="69"/>
        <v>22866.520952380728</v>
      </c>
      <c r="AD73" s="62">
        <f t="shared" si="69"/>
        <v>23398.224523809506</v>
      </c>
      <c r="AE73" s="62">
        <f t="shared" si="69"/>
        <v>23929.92809523805</v>
      </c>
      <c r="AF73" s="62">
        <f t="shared" si="69"/>
        <v>24461.631666666595</v>
      </c>
      <c r="AG73" s="62">
        <f t="shared" si="69"/>
        <v>24993.33523809514</v>
      </c>
      <c r="AH73" s="62">
        <f t="shared" si="69"/>
        <v>25525.038809523685</v>
      </c>
      <c r="AI73" s="62">
        <f t="shared" si="69"/>
        <v>26056.74238095223</v>
      </c>
      <c r="AJ73" s="63">
        <f t="shared" si="69"/>
        <v>26588.445952380775</v>
      </c>
      <c r="AL73" s="64" t="e">
        <f t="shared" si="40"/>
        <v>#DIV/0!</v>
      </c>
    </row>
    <row r="74" spans="1:38" ht="15.75" customHeight="1" x14ac:dyDescent="0.25">
      <c r="A74" s="4" t="s">
        <v>97</v>
      </c>
      <c r="F74" s="61">
        <f t="shared" ref="F74:AJ74" si="70">SUMIFS(F$3:F$40,$B$3:$B$40,$A74)</f>
        <v>58014.361190476455</v>
      </c>
      <c r="G74" s="62">
        <f t="shared" si="70"/>
        <v>60660.15761904791</v>
      </c>
      <c r="H74" s="62">
        <f t="shared" si="70"/>
        <v>63305.954047619365</v>
      </c>
      <c r="I74" s="62">
        <f t="shared" si="70"/>
        <v>65951.75047619082</v>
      </c>
      <c r="J74" s="62">
        <f t="shared" si="70"/>
        <v>68597.546904762276</v>
      </c>
      <c r="K74" s="62">
        <f t="shared" si="70"/>
        <v>71243.343333333731</v>
      </c>
      <c r="L74" s="62">
        <f t="shared" si="70"/>
        <v>73889.139761905186</v>
      </c>
      <c r="M74" s="62">
        <f t="shared" si="70"/>
        <v>76534.936190476641</v>
      </c>
      <c r="N74" s="62">
        <f t="shared" si="70"/>
        <v>79180.732619048096</v>
      </c>
      <c r="O74" s="62">
        <f t="shared" si="70"/>
        <v>81826.529047619551</v>
      </c>
      <c r="P74" s="62">
        <f t="shared" si="70"/>
        <v>84472.325476191007</v>
      </c>
      <c r="Q74" s="62">
        <f t="shared" si="70"/>
        <v>87118.12190476153</v>
      </c>
      <c r="R74" s="62">
        <f t="shared" si="70"/>
        <v>89763.918333332986</v>
      </c>
      <c r="S74" s="62">
        <f t="shared" si="70"/>
        <v>92409.714761904441</v>
      </c>
      <c r="T74" s="62">
        <f t="shared" si="70"/>
        <v>95055.511190475896</v>
      </c>
      <c r="U74" s="62">
        <f t="shared" si="70"/>
        <v>97701.307619047351</v>
      </c>
      <c r="V74" s="62">
        <f t="shared" si="70"/>
        <v>100347.10404761881</v>
      </c>
      <c r="W74" s="62">
        <f t="shared" si="70"/>
        <v>102992.90047619026</v>
      </c>
      <c r="X74" s="62">
        <f t="shared" si="70"/>
        <v>105638.69690476172</v>
      </c>
      <c r="Y74" s="62">
        <f t="shared" si="70"/>
        <v>108284.49333333317</v>
      </c>
      <c r="Z74" s="62">
        <f t="shared" si="70"/>
        <v>110930.28976190463</v>
      </c>
      <c r="AA74" s="62">
        <f t="shared" si="70"/>
        <v>113576.08619047608</v>
      </c>
      <c r="AB74" s="62">
        <f t="shared" si="70"/>
        <v>116221.88261904754</v>
      </c>
      <c r="AC74" s="62">
        <f t="shared" si="70"/>
        <v>118867.67904761899</v>
      </c>
      <c r="AD74" s="62">
        <f t="shared" si="70"/>
        <v>121513.47547619045</v>
      </c>
      <c r="AE74" s="62">
        <f t="shared" si="70"/>
        <v>124159.2719047619</v>
      </c>
      <c r="AF74" s="62">
        <f t="shared" si="70"/>
        <v>126805.06833333336</v>
      </c>
      <c r="AG74" s="62">
        <f t="shared" si="70"/>
        <v>129450.86476190481</v>
      </c>
      <c r="AH74" s="62">
        <f t="shared" si="70"/>
        <v>132096.66119047627</v>
      </c>
      <c r="AI74" s="62">
        <f t="shared" si="70"/>
        <v>134742.45761904772</v>
      </c>
      <c r="AJ74" s="63">
        <f t="shared" si="70"/>
        <v>137388.25404761918</v>
      </c>
      <c r="AL74" s="64" t="e">
        <f t="shared" si="40"/>
        <v>#DIV/0!</v>
      </c>
    </row>
    <row r="75" spans="1:38" ht="15.75" customHeight="1" x14ac:dyDescent="0.25">
      <c r="A75" s="4" t="s">
        <v>99</v>
      </c>
      <c r="F75" s="61">
        <f t="shared" ref="F75:AJ75" si="71">SUMIFS(F$3:F$40,$B$3:$B$40,$A75)</f>
        <v>40871.517142857425</v>
      </c>
      <c r="G75" s="62">
        <f t="shared" si="71"/>
        <v>42683.325714285951</v>
      </c>
      <c r="H75" s="62">
        <f t="shared" si="71"/>
        <v>44495.134285714477</v>
      </c>
      <c r="I75" s="62">
        <f t="shared" si="71"/>
        <v>46306.942857143469</v>
      </c>
      <c r="J75" s="62">
        <f t="shared" si="71"/>
        <v>48118.751428571995</v>
      </c>
      <c r="K75" s="62">
        <f t="shared" si="71"/>
        <v>49930.560000000522</v>
      </c>
      <c r="L75" s="62">
        <f t="shared" si="71"/>
        <v>51742.368571429048</v>
      </c>
      <c r="M75" s="62">
        <f t="shared" si="71"/>
        <v>53554.177142857574</v>
      </c>
      <c r="N75" s="62">
        <f t="shared" si="71"/>
        <v>55365.9857142861</v>
      </c>
      <c r="O75" s="62">
        <f t="shared" si="71"/>
        <v>57177.794285714626</v>
      </c>
      <c r="P75" s="62">
        <f t="shared" si="71"/>
        <v>58989.602857143153</v>
      </c>
      <c r="Q75" s="62">
        <f t="shared" si="71"/>
        <v>60801.411428571679</v>
      </c>
      <c r="R75" s="62">
        <f t="shared" si="71"/>
        <v>62613.220000000205</v>
      </c>
      <c r="S75" s="62">
        <f t="shared" si="71"/>
        <v>64425.028571429197</v>
      </c>
      <c r="T75" s="62">
        <f t="shared" si="71"/>
        <v>66236.837142857723</v>
      </c>
      <c r="U75" s="62">
        <f t="shared" si="71"/>
        <v>68048.645714286249</v>
      </c>
      <c r="V75" s="62">
        <f t="shared" si="71"/>
        <v>69860.454285714775</v>
      </c>
      <c r="W75" s="62">
        <f t="shared" si="71"/>
        <v>71672.262857143302</v>
      </c>
      <c r="X75" s="62">
        <f t="shared" si="71"/>
        <v>73484.071428571828</v>
      </c>
      <c r="Y75" s="62">
        <f t="shared" si="71"/>
        <v>75295.880000000354</v>
      </c>
      <c r="Z75" s="62">
        <f t="shared" si="71"/>
        <v>77107.68857142888</v>
      </c>
      <c r="AA75" s="62">
        <f t="shared" si="71"/>
        <v>78919.497142857406</v>
      </c>
      <c r="AB75" s="62">
        <f t="shared" si="71"/>
        <v>80731.305714285932</v>
      </c>
      <c r="AC75" s="62">
        <f t="shared" si="71"/>
        <v>82543.114285714924</v>
      </c>
      <c r="AD75" s="62">
        <f t="shared" si="71"/>
        <v>84354.922857143451</v>
      </c>
      <c r="AE75" s="62">
        <f t="shared" si="71"/>
        <v>86166.731428571977</v>
      </c>
      <c r="AF75" s="62">
        <f t="shared" si="71"/>
        <v>87978.540000000503</v>
      </c>
      <c r="AG75" s="62">
        <f t="shared" si="71"/>
        <v>89790.348571429029</v>
      </c>
      <c r="AH75" s="62">
        <f t="shared" si="71"/>
        <v>91602.157142857555</v>
      </c>
      <c r="AI75" s="62">
        <f t="shared" si="71"/>
        <v>93413.965714286081</v>
      </c>
      <c r="AJ75" s="63">
        <f t="shared" si="71"/>
        <v>95225.774285714608</v>
      </c>
      <c r="AL75" s="64" t="e">
        <f t="shared" si="40"/>
        <v>#DIV/0!</v>
      </c>
    </row>
    <row r="76" spans="1:38" ht="15.75" customHeight="1" x14ac:dyDescent="0.25">
      <c r="A76" s="4" t="s">
        <v>101</v>
      </c>
      <c r="F76" s="61">
        <f t="shared" ref="F76:AJ76" si="72">SUMIFS(F$3:F$40,$B$3:$B$40,$A76)</f>
        <v>29042.444285714533</v>
      </c>
      <c r="G76" s="62">
        <f t="shared" si="72"/>
        <v>30351.691428571474</v>
      </c>
      <c r="H76" s="62">
        <f t="shared" si="72"/>
        <v>31660.93857142888</v>
      </c>
      <c r="I76" s="62">
        <f t="shared" si="72"/>
        <v>32970.185714285821</v>
      </c>
      <c r="J76" s="62">
        <f t="shared" si="72"/>
        <v>34279.432857143227</v>
      </c>
      <c r="K76" s="62">
        <f t="shared" si="72"/>
        <v>35588.680000000168</v>
      </c>
      <c r="L76" s="62">
        <f t="shared" si="72"/>
        <v>36897.927142857108</v>
      </c>
      <c r="M76" s="62">
        <f t="shared" si="72"/>
        <v>38207.174285714515</v>
      </c>
      <c r="N76" s="62">
        <f t="shared" si="72"/>
        <v>39516.421428571455</v>
      </c>
      <c r="O76" s="62">
        <f t="shared" si="72"/>
        <v>40825.668571428861</v>
      </c>
      <c r="P76" s="62">
        <f t="shared" si="72"/>
        <v>42134.915714285802</v>
      </c>
      <c r="Q76" s="62">
        <f t="shared" si="72"/>
        <v>43444.162857143208</v>
      </c>
      <c r="R76" s="62">
        <f t="shared" si="72"/>
        <v>44753.410000000149</v>
      </c>
      <c r="S76" s="62">
        <f t="shared" si="72"/>
        <v>46062.65714285709</v>
      </c>
      <c r="T76" s="62">
        <f t="shared" si="72"/>
        <v>47371.904285714496</v>
      </c>
      <c r="U76" s="62">
        <f t="shared" si="72"/>
        <v>48681.151428571437</v>
      </c>
      <c r="V76" s="62">
        <f t="shared" si="72"/>
        <v>49990.398571428843</v>
      </c>
      <c r="W76" s="62">
        <f t="shared" si="72"/>
        <v>51299.645714285783</v>
      </c>
      <c r="X76" s="62">
        <f t="shared" si="72"/>
        <v>52608.89285714319</v>
      </c>
      <c r="Y76" s="62">
        <f t="shared" si="72"/>
        <v>53918.14000000013</v>
      </c>
      <c r="Z76" s="62">
        <f t="shared" si="72"/>
        <v>55227.387142857537</v>
      </c>
      <c r="AA76" s="62">
        <f t="shared" si="72"/>
        <v>56536.634285714477</v>
      </c>
      <c r="AB76" s="62">
        <f t="shared" si="72"/>
        <v>57845.881428571418</v>
      </c>
      <c r="AC76" s="62">
        <f t="shared" si="72"/>
        <v>59155.128571428824</v>
      </c>
      <c r="AD76" s="62">
        <f t="shared" si="72"/>
        <v>60464.375714285765</v>
      </c>
      <c r="AE76" s="62">
        <f t="shared" si="72"/>
        <v>61773.622857143171</v>
      </c>
      <c r="AF76" s="62">
        <f t="shared" si="72"/>
        <v>63082.870000000112</v>
      </c>
      <c r="AG76" s="62">
        <f t="shared" si="72"/>
        <v>64392.117142857518</v>
      </c>
      <c r="AH76" s="62">
        <f t="shared" si="72"/>
        <v>65701.364285714459</v>
      </c>
      <c r="AI76" s="62">
        <f t="shared" si="72"/>
        <v>67010.611428571399</v>
      </c>
      <c r="AJ76" s="63">
        <f t="shared" si="72"/>
        <v>68319.858571428806</v>
      </c>
      <c r="AL76" s="64" t="e">
        <f t="shared" si="40"/>
        <v>#DIV/0!</v>
      </c>
    </row>
    <row r="77" spans="1:38" ht="15.75" customHeight="1" x14ac:dyDescent="0.25">
      <c r="A77" s="4" t="s">
        <v>105</v>
      </c>
      <c r="F77" s="61">
        <f t="shared" ref="F77:AJ77" si="73">SUMIFS(F$3:F$40,$B$3:$B$40,$A77)</f>
        <v>71547.743690475821</v>
      </c>
      <c r="G77" s="62">
        <f t="shared" si="73"/>
        <v>74744.002619047649</v>
      </c>
      <c r="H77" s="62">
        <f t="shared" si="73"/>
        <v>77940.261547618546</v>
      </c>
      <c r="I77" s="62">
        <f t="shared" si="73"/>
        <v>81136.520476190373</v>
      </c>
      <c r="J77" s="62">
        <f t="shared" si="73"/>
        <v>84332.77940476127</v>
      </c>
      <c r="K77" s="62">
        <f t="shared" si="73"/>
        <v>87529.038333333097</v>
      </c>
      <c r="L77" s="62">
        <f t="shared" si="73"/>
        <v>90725.297261903994</v>
      </c>
      <c r="M77" s="62">
        <f t="shared" si="73"/>
        <v>93921.556190475821</v>
      </c>
      <c r="N77" s="62">
        <f t="shared" si="73"/>
        <v>97117.815119047649</v>
      </c>
      <c r="O77" s="62">
        <f t="shared" si="73"/>
        <v>100314.07404761855</v>
      </c>
      <c r="P77" s="62">
        <f t="shared" si="73"/>
        <v>103510.33297619037</v>
      </c>
      <c r="Q77" s="62">
        <f t="shared" si="73"/>
        <v>106706.59190476127</v>
      </c>
      <c r="R77" s="62">
        <f t="shared" si="73"/>
        <v>109902.8508333331</v>
      </c>
      <c r="S77" s="62">
        <f t="shared" si="73"/>
        <v>113099.10976190399</v>
      </c>
      <c r="T77" s="62">
        <f t="shared" si="73"/>
        <v>116295.36869047582</v>
      </c>
      <c r="U77" s="62">
        <f t="shared" si="73"/>
        <v>119491.62761904765</v>
      </c>
      <c r="V77" s="62">
        <f t="shared" si="73"/>
        <v>122687.88654761855</v>
      </c>
      <c r="W77" s="62">
        <f t="shared" si="73"/>
        <v>125884.14547619037</v>
      </c>
      <c r="X77" s="62">
        <f t="shared" si="73"/>
        <v>129080.40440476127</v>
      </c>
      <c r="Y77" s="62">
        <f t="shared" si="73"/>
        <v>132276.6633333331</v>
      </c>
      <c r="Z77" s="62">
        <f t="shared" si="73"/>
        <v>135472.92226190399</v>
      </c>
      <c r="AA77" s="62">
        <f t="shared" si="73"/>
        <v>138669.18119047582</v>
      </c>
      <c r="AB77" s="62">
        <f t="shared" si="73"/>
        <v>141865.44011904765</v>
      </c>
      <c r="AC77" s="62">
        <f t="shared" si="73"/>
        <v>145061.69904761855</v>
      </c>
      <c r="AD77" s="62">
        <f t="shared" si="73"/>
        <v>148257.95797619037</v>
      </c>
      <c r="AE77" s="62">
        <f t="shared" si="73"/>
        <v>151454.21690476127</v>
      </c>
      <c r="AF77" s="62">
        <f t="shared" si="73"/>
        <v>154650.4758333331</v>
      </c>
      <c r="AG77" s="62">
        <f t="shared" si="73"/>
        <v>157846.73476190399</v>
      </c>
      <c r="AH77" s="62">
        <f t="shared" si="73"/>
        <v>161042.99369047582</v>
      </c>
      <c r="AI77" s="62">
        <f t="shared" si="73"/>
        <v>164239.25261904765</v>
      </c>
      <c r="AJ77" s="63">
        <f t="shared" si="73"/>
        <v>167435.51154761855</v>
      </c>
      <c r="AL77" s="64" t="e">
        <f t="shared" si="40"/>
        <v>#DIV/0!</v>
      </c>
    </row>
    <row r="78" spans="1:38" ht="15.75" customHeight="1" x14ac:dyDescent="0.25">
      <c r="A78" s="4" t="s">
        <v>107</v>
      </c>
      <c r="F78" s="61">
        <f t="shared" ref="F78:AJ78" si="74">SUMIFS(F$3:F$40,$B$3:$B$40,$A78)</f>
        <v>53205.084642856382</v>
      </c>
      <c r="G78" s="62">
        <f t="shared" si="74"/>
        <v>55581.920714285225</v>
      </c>
      <c r="H78" s="62">
        <f t="shared" si="74"/>
        <v>57958.756785714068</v>
      </c>
      <c r="I78" s="62">
        <f t="shared" si="74"/>
        <v>60335.592857141979</v>
      </c>
      <c r="J78" s="62">
        <f t="shared" si="74"/>
        <v>62712.428928570822</v>
      </c>
      <c r="K78" s="62">
        <f t="shared" si="74"/>
        <v>65089.264999999665</v>
      </c>
      <c r="L78" s="62">
        <f t="shared" si="74"/>
        <v>67466.101071427576</v>
      </c>
      <c r="M78" s="62">
        <f t="shared" si="74"/>
        <v>69842.937142856419</v>
      </c>
      <c r="N78" s="62">
        <f t="shared" si="74"/>
        <v>72219.773214285262</v>
      </c>
      <c r="O78" s="62">
        <f t="shared" si="74"/>
        <v>74596.609285714105</v>
      </c>
      <c r="P78" s="62">
        <f t="shared" si="74"/>
        <v>76973.445357142016</v>
      </c>
      <c r="Q78" s="62">
        <f t="shared" si="74"/>
        <v>79350.281428570859</v>
      </c>
      <c r="R78" s="62">
        <f t="shared" si="74"/>
        <v>81727.117499999702</v>
      </c>
      <c r="S78" s="62">
        <f t="shared" si="74"/>
        <v>84103.953571427613</v>
      </c>
      <c r="T78" s="62">
        <f t="shared" si="74"/>
        <v>86480.789642856456</v>
      </c>
      <c r="U78" s="62">
        <f t="shared" si="74"/>
        <v>88857.625714285299</v>
      </c>
      <c r="V78" s="62">
        <f t="shared" si="74"/>
        <v>91234.461785713211</v>
      </c>
      <c r="W78" s="62">
        <f t="shared" si="74"/>
        <v>93611.297857142054</v>
      </c>
      <c r="X78" s="62">
        <f t="shared" si="74"/>
        <v>95988.133928570896</v>
      </c>
      <c r="Y78" s="62">
        <f t="shared" si="74"/>
        <v>98364.969999999739</v>
      </c>
      <c r="Z78" s="62">
        <f t="shared" si="74"/>
        <v>100741.80607142765</v>
      </c>
      <c r="AA78" s="62">
        <f t="shared" si="74"/>
        <v>103118.64214285649</v>
      </c>
      <c r="AB78" s="62">
        <f t="shared" si="74"/>
        <v>105495.47821428534</v>
      </c>
      <c r="AC78" s="62">
        <f t="shared" si="74"/>
        <v>107872.31428571325</v>
      </c>
      <c r="AD78" s="62">
        <f t="shared" si="74"/>
        <v>110249.15035714209</v>
      </c>
      <c r="AE78" s="62">
        <f t="shared" si="74"/>
        <v>112625.98642857093</v>
      </c>
      <c r="AF78" s="62">
        <f t="shared" si="74"/>
        <v>115002.82249999978</v>
      </c>
      <c r="AG78" s="62">
        <f t="shared" si="74"/>
        <v>117379.65857142769</v>
      </c>
      <c r="AH78" s="62">
        <f t="shared" si="74"/>
        <v>119756.49464285653</v>
      </c>
      <c r="AI78" s="62">
        <f t="shared" si="74"/>
        <v>122133.33071428537</v>
      </c>
      <c r="AJ78" s="63">
        <f t="shared" si="74"/>
        <v>124510.16678571329</v>
      </c>
      <c r="AL78" s="64" t="e">
        <f t="shared" si="40"/>
        <v>#DIV/0!</v>
      </c>
    </row>
    <row r="79" spans="1:38" ht="15.75" customHeight="1" x14ac:dyDescent="0.25">
      <c r="A79" s="4" t="s">
        <v>109</v>
      </c>
      <c r="F79" s="61">
        <f t="shared" ref="F79:AJ79" si="75">SUMIFS(F$3:F$40,$B$3:$B$40,$A79)</f>
        <v>25505.908214285504</v>
      </c>
      <c r="G79" s="62">
        <f t="shared" si="75"/>
        <v>26645.333571428433</v>
      </c>
      <c r="H79" s="62">
        <f t="shared" si="75"/>
        <v>27784.758928571362</v>
      </c>
      <c r="I79" s="62">
        <f t="shared" si="75"/>
        <v>28924.184285714291</v>
      </c>
      <c r="J79" s="62">
        <f t="shared" si="75"/>
        <v>30063.60964285722</v>
      </c>
      <c r="K79" s="62">
        <f t="shared" si="75"/>
        <v>31203.035000000149</v>
      </c>
      <c r="L79" s="62">
        <f t="shared" si="75"/>
        <v>32342.460357142612</v>
      </c>
      <c r="M79" s="62">
        <f t="shared" si="75"/>
        <v>33481.885714285541</v>
      </c>
      <c r="N79" s="62">
        <f t="shared" si="75"/>
        <v>34621.31107142847</v>
      </c>
      <c r="O79" s="62">
        <f t="shared" si="75"/>
        <v>35760.736428571399</v>
      </c>
      <c r="P79" s="62">
        <f t="shared" si="75"/>
        <v>36900.161785714328</v>
      </c>
      <c r="Q79" s="62">
        <f t="shared" si="75"/>
        <v>38039.587142857257</v>
      </c>
      <c r="R79" s="62">
        <f t="shared" si="75"/>
        <v>39179.012499999721</v>
      </c>
      <c r="S79" s="62">
        <f t="shared" si="75"/>
        <v>40318.43785714265</v>
      </c>
      <c r="T79" s="62">
        <f t="shared" si="75"/>
        <v>41457.863214285579</v>
      </c>
      <c r="U79" s="62">
        <f t="shared" si="75"/>
        <v>42597.288571428508</v>
      </c>
      <c r="V79" s="62">
        <f t="shared" si="75"/>
        <v>43736.713928571437</v>
      </c>
      <c r="W79" s="62">
        <f t="shared" si="75"/>
        <v>44876.139285714366</v>
      </c>
      <c r="X79" s="62">
        <f t="shared" si="75"/>
        <v>46015.564642857295</v>
      </c>
      <c r="Y79" s="62">
        <f t="shared" si="75"/>
        <v>47154.989999999758</v>
      </c>
      <c r="Z79" s="62">
        <f t="shared" si="75"/>
        <v>48294.415357142687</v>
      </c>
      <c r="AA79" s="62">
        <f t="shared" si="75"/>
        <v>49433.840714285616</v>
      </c>
      <c r="AB79" s="62">
        <f t="shared" si="75"/>
        <v>50573.266071428545</v>
      </c>
      <c r="AC79" s="62">
        <f t="shared" si="75"/>
        <v>51712.691428571474</v>
      </c>
      <c r="AD79" s="62">
        <f t="shared" si="75"/>
        <v>52852.116785714403</v>
      </c>
      <c r="AE79" s="62">
        <f t="shared" si="75"/>
        <v>53991.542142856866</v>
      </c>
      <c r="AF79" s="62">
        <f t="shared" si="75"/>
        <v>55130.967499999795</v>
      </c>
      <c r="AG79" s="62">
        <f t="shared" si="75"/>
        <v>56270.392857142724</v>
      </c>
      <c r="AH79" s="62">
        <f t="shared" si="75"/>
        <v>57409.818214285653</v>
      </c>
      <c r="AI79" s="62">
        <f t="shared" si="75"/>
        <v>58549.243571428582</v>
      </c>
      <c r="AJ79" s="63">
        <f t="shared" si="75"/>
        <v>59688.668928571511</v>
      </c>
      <c r="AL79" s="64" t="e">
        <f t="shared" si="40"/>
        <v>#DIV/0!</v>
      </c>
    </row>
    <row r="80" spans="1:38" ht="15.75" customHeight="1" x14ac:dyDescent="0.25">
      <c r="A80" s="4" t="s">
        <v>111</v>
      </c>
      <c r="F80" s="61">
        <f t="shared" ref="F80:AJ80" si="76">SUMIFS(F$3:F$40,$B$3:$B$40,$A80)</f>
        <v>25145.977142856922</v>
      </c>
      <c r="G80" s="62">
        <f t="shared" si="76"/>
        <v>26289.425714285579</v>
      </c>
      <c r="H80" s="62">
        <f t="shared" si="76"/>
        <v>27432.874285714235</v>
      </c>
      <c r="I80" s="62">
        <f t="shared" si="76"/>
        <v>28576.322857142892</v>
      </c>
      <c r="J80" s="62">
        <f t="shared" si="76"/>
        <v>29719.771428571083</v>
      </c>
      <c r="K80" s="62">
        <f t="shared" si="76"/>
        <v>30863.219999999739</v>
      </c>
      <c r="L80" s="62">
        <f t="shared" si="76"/>
        <v>32006.668571428396</v>
      </c>
      <c r="M80" s="62">
        <f t="shared" si="76"/>
        <v>33150.117142857052</v>
      </c>
      <c r="N80" s="62">
        <f t="shared" si="76"/>
        <v>34293.565714285709</v>
      </c>
      <c r="O80" s="62">
        <f t="shared" si="76"/>
        <v>35437.0142857139</v>
      </c>
      <c r="P80" s="62">
        <f t="shared" si="76"/>
        <v>36580.462857142556</v>
      </c>
      <c r="Q80" s="62">
        <f t="shared" si="76"/>
        <v>37723.911428571213</v>
      </c>
      <c r="R80" s="62">
        <f t="shared" si="76"/>
        <v>38867.35999999987</v>
      </c>
      <c r="S80" s="62">
        <f t="shared" si="76"/>
        <v>40010.808571428526</v>
      </c>
      <c r="T80" s="62">
        <f t="shared" si="76"/>
        <v>41154.257142857183</v>
      </c>
      <c r="U80" s="62">
        <f t="shared" si="76"/>
        <v>42297.705714285374</v>
      </c>
      <c r="V80" s="62">
        <f t="shared" si="76"/>
        <v>43441.15428571403</v>
      </c>
      <c r="W80" s="62">
        <f t="shared" si="76"/>
        <v>44584.602857142687</v>
      </c>
      <c r="X80" s="62">
        <f t="shared" si="76"/>
        <v>45728.051428571343</v>
      </c>
      <c r="Y80" s="62">
        <f t="shared" si="76"/>
        <v>46871.5</v>
      </c>
      <c r="Z80" s="62">
        <f t="shared" si="76"/>
        <v>48014.948571428191</v>
      </c>
      <c r="AA80" s="62">
        <f t="shared" si="76"/>
        <v>49158.397142856847</v>
      </c>
      <c r="AB80" s="62">
        <f t="shared" si="76"/>
        <v>50301.845714285504</v>
      </c>
      <c r="AC80" s="62">
        <f t="shared" si="76"/>
        <v>51445.294285714161</v>
      </c>
      <c r="AD80" s="62">
        <f t="shared" si="76"/>
        <v>52588.742857142817</v>
      </c>
      <c r="AE80" s="62">
        <f t="shared" si="76"/>
        <v>53732.191428571474</v>
      </c>
      <c r="AF80" s="62">
        <f t="shared" si="76"/>
        <v>54875.639999999665</v>
      </c>
      <c r="AG80" s="62">
        <f t="shared" si="76"/>
        <v>56019.088571428321</v>
      </c>
      <c r="AH80" s="62">
        <f t="shared" si="76"/>
        <v>57162.537142856978</v>
      </c>
      <c r="AI80" s="62">
        <f t="shared" si="76"/>
        <v>58305.985714285634</v>
      </c>
      <c r="AJ80" s="63">
        <f t="shared" si="76"/>
        <v>59449.434285714291</v>
      </c>
      <c r="AL80" s="64" t="e">
        <f t="shared" si="40"/>
        <v>#DIV/0!</v>
      </c>
    </row>
    <row r="81" spans="1:38" ht="15.75" customHeight="1" x14ac:dyDescent="0.25">
      <c r="A81" s="4" t="s">
        <v>115</v>
      </c>
      <c r="F81" s="65">
        <f t="shared" ref="F81:AJ81" si="77">SUMIFS(F$3:F$40,$B$3:$B$40,$A81)</f>
        <v>3996.5461904762196</v>
      </c>
      <c r="G81" s="66">
        <f t="shared" si="77"/>
        <v>4167.9476190476562</v>
      </c>
      <c r="H81" s="66">
        <f t="shared" si="77"/>
        <v>4339.3490476190927</v>
      </c>
      <c r="I81" s="66">
        <f t="shared" si="77"/>
        <v>4510.7504761904711</v>
      </c>
      <c r="J81" s="66">
        <f t="shared" si="77"/>
        <v>4682.1519047619076</v>
      </c>
      <c r="K81" s="66">
        <f t="shared" si="77"/>
        <v>4853.5533333333442</v>
      </c>
      <c r="L81" s="66">
        <f t="shared" si="77"/>
        <v>5024.9547619047808</v>
      </c>
      <c r="M81" s="66">
        <f t="shared" si="77"/>
        <v>5196.3561904762173</v>
      </c>
      <c r="N81" s="66">
        <f t="shared" si="77"/>
        <v>5367.7576190476539</v>
      </c>
      <c r="O81" s="66">
        <f t="shared" si="77"/>
        <v>5539.1590476190904</v>
      </c>
      <c r="P81" s="66">
        <f t="shared" si="77"/>
        <v>5710.5604761904688</v>
      </c>
      <c r="Q81" s="66">
        <f t="shared" si="77"/>
        <v>5881.9619047619053</v>
      </c>
      <c r="R81" s="66">
        <f t="shared" si="77"/>
        <v>6053.3633333333419</v>
      </c>
      <c r="S81" s="66">
        <f t="shared" si="77"/>
        <v>6224.7647619047784</v>
      </c>
      <c r="T81" s="66">
        <f t="shared" si="77"/>
        <v>6396.166190476215</v>
      </c>
      <c r="U81" s="66">
        <f t="shared" si="77"/>
        <v>6567.5676190476515</v>
      </c>
      <c r="V81" s="66">
        <f t="shared" si="77"/>
        <v>6738.9690476190881</v>
      </c>
      <c r="W81" s="66">
        <f t="shared" si="77"/>
        <v>6910.3704761905246</v>
      </c>
      <c r="X81" s="66">
        <f t="shared" si="77"/>
        <v>7081.771904761903</v>
      </c>
      <c r="Y81" s="66">
        <f t="shared" si="77"/>
        <v>7253.1733333333395</v>
      </c>
      <c r="Z81" s="66">
        <f t="shared" si="77"/>
        <v>7424.5747619047761</v>
      </c>
      <c r="AA81" s="66">
        <f t="shared" si="77"/>
        <v>7595.9761904762127</v>
      </c>
      <c r="AB81" s="66">
        <f t="shared" si="77"/>
        <v>7767.3776190476492</v>
      </c>
      <c r="AC81" s="66">
        <f t="shared" si="77"/>
        <v>7938.7790476190858</v>
      </c>
      <c r="AD81" s="66">
        <f t="shared" si="77"/>
        <v>8110.1804761905223</v>
      </c>
      <c r="AE81" s="66">
        <f t="shared" si="77"/>
        <v>8281.5819047619007</v>
      </c>
      <c r="AF81" s="66">
        <f t="shared" si="77"/>
        <v>8452.9833333333372</v>
      </c>
      <c r="AG81" s="66">
        <f t="shared" si="77"/>
        <v>8624.3847619047738</v>
      </c>
      <c r="AH81" s="66">
        <f t="shared" si="77"/>
        <v>8795.7861904762103</v>
      </c>
      <c r="AI81" s="66">
        <f t="shared" si="77"/>
        <v>8967.1876190476469</v>
      </c>
      <c r="AJ81" s="67">
        <f t="shared" si="77"/>
        <v>9138.5890476190834</v>
      </c>
      <c r="AL81" s="64" t="e">
        <f t="shared" si="40"/>
        <v>#DIV/0!</v>
      </c>
    </row>
    <row r="82" spans="1:38" ht="15.75" customHeight="1" x14ac:dyDescent="0.25">
      <c r="A82" s="7"/>
      <c r="B82" s="7"/>
      <c r="G82" s="68"/>
    </row>
    <row r="83" spans="1:38" ht="15.75" customHeight="1" x14ac:dyDescent="0.25">
      <c r="A83" s="7"/>
      <c r="B83" s="7"/>
      <c r="G83" s="68"/>
    </row>
    <row r="84" spans="1:38" ht="15.75" customHeight="1" x14ac:dyDescent="0.25">
      <c r="A84" s="7"/>
      <c r="B84" s="7"/>
      <c r="C84" s="1"/>
      <c r="D84" s="24" t="s">
        <v>166</v>
      </c>
      <c r="E84" s="24"/>
      <c r="F84" s="56">
        <v>2020</v>
      </c>
      <c r="G84" s="57">
        <v>2021</v>
      </c>
      <c r="H84" s="57">
        <v>2022</v>
      </c>
      <c r="I84" s="57">
        <v>2023</v>
      </c>
      <c r="J84" s="57">
        <v>2024</v>
      </c>
      <c r="K84" s="57">
        <v>2025</v>
      </c>
      <c r="L84" s="57">
        <v>2026</v>
      </c>
      <c r="M84" s="57">
        <v>2027</v>
      </c>
      <c r="N84" s="57">
        <v>2028</v>
      </c>
      <c r="O84" s="57">
        <v>2029</v>
      </c>
      <c r="P84" s="57">
        <v>2030</v>
      </c>
      <c r="Q84" s="57">
        <v>2031</v>
      </c>
      <c r="R84" s="57">
        <v>2032</v>
      </c>
      <c r="S84" s="57">
        <v>2033</v>
      </c>
      <c r="T84" s="57">
        <v>2034</v>
      </c>
      <c r="U84" s="57">
        <v>2035</v>
      </c>
      <c r="V84" s="57">
        <v>2036</v>
      </c>
      <c r="W84" s="57">
        <v>2037</v>
      </c>
      <c r="X84" s="57">
        <v>2038</v>
      </c>
      <c r="Y84" s="57">
        <v>2039</v>
      </c>
      <c r="Z84" s="57">
        <v>2040</v>
      </c>
      <c r="AA84" s="57">
        <v>2041</v>
      </c>
      <c r="AB84" s="57">
        <v>2042</v>
      </c>
      <c r="AC84" s="57">
        <v>2043</v>
      </c>
      <c r="AD84" s="57">
        <v>2044</v>
      </c>
      <c r="AE84" s="57">
        <v>2045</v>
      </c>
      <c r="AF84" s="57">
        <v>2046</v>
      </c>
      <c r="AG84" s="57">
        <v>2047</v>
      </c>
      <c r="AH84" s="57">
        <v>2048</v>
      </c>
      <c r="AI84" s="57">
        <v>2049</v>
      </c>
      <c r="AJ84" s="58">
        <v>2050</v>
      </c>
      <c r="AK84" s="59"/>
    </row>
    <row r="85" spans="1:38" ht="15.75" customHeight="1" x14ac:dyDescent="0.25">
      <c r="A85" s="7"/>
      <c r="B85" s="7"/>
      <c r="D85" s="4" t="s">
        <v>31</v>
      </c>
      <c r="F85" s="61">
        <v>0</v>
      </c>
      <c r="G85" s="62">
        <f t="shared" ref="G85:AJ85" si="78">IFERROR((SUMIFS(G$44:G$81,$A$44:$A$81,$D85)-SUMIFS(F$44:F$81,$A$44:$A$81,$D85))/SUMIFS(F$44:F$81,$A$44:$A$81,$D85),0)</f>
        <v>4.4329088675229326E-2</v>
      </c>
      <c r="H85" s="62">
        <f t="shared" si="78"/>
        <v>4.2447432668423969E-2</v>
      </c>
      <c r="I85" s="62">
        <f t="shared" si="78"/>
        <v>4.0719015020036428E-2</v>
      </c>
      <c r="J85" s="62">
        <f t="shared" si="78"/>
        <v>3.9125848987454658E-2</v>
      </c>
      <c r="K85" s="62">
        <f t="shared" si="78"/>
        <v>3.7652656822626446E-2</v>
      </c>
      <c r="L85" s="62">
        <f t="shared" si="78"/>
        <v>3.6286378274134452E-2</v>
      </c>
      <c r="M85" s="62">
        <f t="shared" si="78"/>
        <v>3.5015782350209974E-2</v>
      </c>
      <c r="N85" s="62">
        <f t="shared" si="78"/>
        <v>3.3831157888924462E-2</v>
      </c>
      <c r="O85" s="62">
        <f t="shared" si="78"/>
        <v>3.2724064883088905E-2</v>
      </c>
      <c r="P85" s="62">
        <f t="shared" si="78"/>
        <v>3.1687133084086196E-2</v>
      </c>
      <c r="Q85" s="62">
        <f t="shared" si="78"/>
        <v>3.0713897719516856E-2</v>
      </c>
      <c r="R85" s="62">
        <f t="shared" si="78"/>
        <v>2.9798664583333748E-2</v>
      </c>
      <c r="S85" s="62">
        <f t="shared" si="78"/>
        <v>2.8936398548723308E-2</v>
      </c>
      <c r="T85" s="62">
        <f t="shared" si="78"/>
        <v>2.8122630892965812E-2</v>
      </c>
      <c r="U85" s="62">
        <f t="shared" si="78"/>
        <v>2.7353381832036058E-2</v>
      </c>
      <c r="V85" s="62">
        <f t="shared" si="78"/>
        <v>2.6625095430406975E-2</v>
      </c>
      <c r="W85" s="62">
        <f t="shared" si="78"/>
        <v>2.5934584639434075E-2</v>
      </c>
      <c r="X85" s="62">
        <f t="shared" si="78"/>
        <v>2.5278984671862695E-2</v>
      </c>
      <c r="Y85" s="62">
        <f t="shared" si="78"/>
        <v>2.4655713273943097E-2</v>
      </c>
      <c r="Z85" s="62">
        <f t="shared" si="78"/>
        <v>2.4062436733171527E-2</v>
      </c>
      <c r="AA85" s="62">
        <f t="shared" si="78"/>
        <v>2.3497040678430045E-2</v>
      </c>
      <c r="AB85" s="62">
        <f t="shared" si="78"/>
        <v>2.2957604902164561E-2</v>
      </c>
      <c r="AC85" s="62">
        <f t="shared" si="78"/>
        <v>2.2442381572954723E-2</v>
      </c>
      <c r="AD85" s="62">
        <f t="shared" si="78"/>
        <v>2.194977631739323E-2</v>
      </c>
      <c r="AE85" s="62">
        <f t="shared" si="78"/>
        <v>2.147833174002883E-2</v>
      </c>
      <c r="AF85" s="62">
        <f t="shared" si="78"/>
        <v>2.1026713022332784E-2</v>
      </c>
      <c r="AG85" s="62">
        <f t="shared" si="78"/>
        <v>2.0593695301170899E-2</v>
      </c>
      <c r="AH85" s="62">
        <f t="shared" si="78"/>
        <v>2.0178152575289751E-2</v>
      </c>
      <c r="AI85" s="62">
        <f t="shared" si="78"/>
        <v>1.9779047928396597E-2</v>
      </c>
      <c r="AJ85" s="63">
        <f t="shared" si="78"/>
        <v>1.9395424889912298E-2</v>
      </c>
    </row>
    <row r="86" spans="1:38" ht="15.75" customHeight="1" x14ac:dyDescent="0.25">
      <c r="A86" s="7"/>
      <c r="B86" s="7"/>
      <c r="D86" s="41" t="s">
        <v>34</v>
      </c>
      <c r="E86" s="41"/>
      <c r="F86" s="61">
        <v>0</v>
      </c>
      <c r="G86" s="62">
        <f t="shared" ref="G86:AJ86" si="79">IFERROR((SUMIFS(G$44:G$81,$A$44:$A$81,$D86)-SUMIFS(F$44:F$81,$A$44:$A$81,$D86))/SUMIFS(F$44:F$81,$A$44:$A$81,$D86),0)</f>
        <v>4.446922130886221E-2</v>
      </c>
      <c r="H86" s="62">
        <f t="shared" si="79"/>
        <v>4.257590401098825E-2</v>
      </c>
      <c r="I86" s="62">
        <f t="shared" si="79"/>
        <v>4.0837222352037621E-2</v>
      </c>
      <c r="J86" s="62">
        <f t="shared" si="79"/>
        <v>3.9234974955805066E-2</v>
      </c>
      <c r="K86" s="62">
        <f t="shared" si="79"/>
        <v>3.7753709123829159E-2</v>
      </c>
      <c r="L86" s="62">
        <f t="shared" si="79"/>
        <v>3.6380220848083164E-2</v>
      </c>
      <c r="M86" s="62">
        <f t="shared" si="79"/>
        <v>3.5103160130072766E-2</v>
      </c>
      <c r="N86" s="62">
        <f t="shared" si="79"/>
        <v>3.3912716608530034E-2</v>
      </c>
      <c r="O86" s="62">
        <f t="shared" si="79"/>
        <v>3.2800367055895813E-2</v>
      </c>
      <c r="P86" s="62">
        <f t="shared" si="79"/>
        <v>3.1758670990209514E-2</v>
      </c>
      <c r="Q86" s="62">
        <f t="shared" si="79"/>
        <v>3.078110403447434E-2</v>
      </c>
      <c r="R86" s="62">
        <f t="shared" si="79"/>
        <v>2.9861921133387506E-2</v>
      </c>
      <c r="S86" s="62">
        <f t="shared" si="79"/>
        <v>2.899604356721355E-2</v>
      </c>
      <c r="T86" s="62">
        <f t="shared" si="79"/>
        <v>2.8178965068401063E-2</v>
      </c>
      <c r="U86" s="62">
        <f t="shared" si="79"/>
        <v>2.7406673376688145E-2</v>
      </c>
      <c r="V86" s="62">
        <f t="shared" si="79"/>
        <v>2.6675584349285401E-2</v>
      </c>
      <c r="W86" s="62">
        <f t="shared" si="79"/>
        <v>2.5982486343241438E-2</v>
      </c>
      <c r="X86" s="62">
        <f t="shared" si="79"/>
        <v>2.5324493048451448E-2</v>
      </c>
      <c r="Y86" s="62">
        <f t="shared" si="79"/>
        <v>2.4699003310811967E-2</v>
      </c>
      <c r="Z86" s="62">
        <f t="shared" si="79"/>
        <v>2.4103666765558102E-2</v>
      </c>
      <c r="AA86" s="62">
        <f t="shared" si="79"/>
        <v>2.3536354324063209E-2</v>
      </c>
      <c r="AB86" s="62">
        <f t="shared" si="79"/>
        <v>2.299513273233781E-2</v>
      </c>
      <c r="AC86" s="62">
        <f t="shared" si="79"/>
        <v>2.2478242561064492E-2</v>
      </c>
      <c r="AD86" s="62">
        <f t="shared" si="79"/>
        <v>2.1984079098596742E-2</v>
      </c>
      <c r="AE86" s="62">
        <f t="shared" si="79"/>
        <v>2.1511175710285699E-2</v>
      </c>
      <c r="AF86" s="62">
        <f t="shared" si="79"/>
        <v>2.1058189300103197E-2</v>
      </c>
      <c r="AG86" s="62">
        <f t="shared" si="79"/>
        <v>2.0623887571525334E-2</v>
      </c>
      <c r="AH86" s="62">
        <f t="shared" si="79"/>
        <v>2.0207137832713915E-2</v>
      </c>
      <c r="AI86" s="62">
        <f t="shared" si="79"/>
        <v>1.9806897132322684E-2</v>
      </c>
      <c r="AJ86" s="63">
        <f t="shared" si="79"/>
        <v>1.9422203544637934E-2</v>
      </c>
    </row>
    <row r="87" spans="1:38" ht="15.75" customHeight="1" x14ac:dyDescent="0.25">
      <c r="A87" s="7"/>
      <c r="B87" s="7"/>
      <c r="D87" s="41" t="s">
        <v>148</v>
      </c>
      <c r="E87" s="41"/>
      <c r="F87" s="69">
        <f>F86</f>
        <v>0</v>
      </c>
      <c r="G87" s="62">
        <f t="shared" ref="G87:AJ87" si="80">IFERROR((SUMIFS(G$44:G$81,$A$44:$A$81,$D87)-SUMIFS(F$44:F$81,$A$44:$A$81,$D87))/SUMIFS(F$44:F$81,$A$44:$A$81,$D87),0)</f>
        <v>0</v>
      </c>
      <c r="H87" s="62">
        <f t="shared" si="80"/>
        <v>0</v>
      </c>
      <c r="I87" s="62">
        <f t="shared" si="80"/>
        <v>0</v>
      </c>
      <c r="J87" s="62">
        <f t="shared" si="80"/>
        <v>0</v>
      </c>
      <c r="K87" s="62">
        <f t="shared" si="80"/>
        <v>0</v>
      </c>
      <c r="L87" s="62">
        <f t="shared" si="80"/>
        <v>0</v>
      </c>
      <c r="M87" s="62">
        <f t="shared" si="80"/>
        <v>0</v>
      </c>
      <c r="N87" s="62">
        <f t="shared" si="80"/>
        <v>0</v>
      </c>
      <c r="O87" s="62">
        <f t="shared" si="80"/>
        <v>0</v>
      </c>
      <c r="P87" s="62">
        <f t="shared" si="80"/>
        <v>0</v>
      </c>
      <c r="Q87" s="62">
        <f t="shared" si="80"/>
        <v>0</v>
      </c>
      <c r="R87" s="62">
        <f t="shared" si="80"/>
        <v>0</v>
      </c>
      <c r="S87" s="62">
        <f t="shared" si="80"/>
        <v>0</v>
      </c>
      <c r="T87" s="62">
        <f t="shared" si="80"/>
        <v>0</v>
      </c>
      <c r="U87" s="62">
        <f t="shared" si="80"/>
        <v>0</v>
      </c>
      <c r="V87" s="62">
        <f t="shared" si="80"/>
        <v>0</v>
      </c>
      <c r="W87" s="62">
        <f t="shared" si="80"/>
        <v>0</v>
      </c>
      <c r="X87" s="62">
        <f t="shared" si="80"/>
        <v>0</v>
      </c>
      <c r="Y87" s="62">
        <f t="shared" si="80"/>
        <v>0</v>
      </c>
      <c r="Z87" s="62">
        <f t="shared" si="80"/>
        <v>0</v>
      </c>
      <c r="AA87" s="62">
        <f t="shared" si="80"/>
        <v>0</v>
      </c>
      <c r="AB87" s="62">
        <f t="shared" si="80"/>
        <v>0</v>
      </c>
      <c r="AC87" s="62">
        <f t="shared" si="80"/>
        <v>0</v>
      </c>
      <c r="AD87" s="62">
        <f t="shared" si="80"/>
        <v>0</v>
      </c>
      <c r="AE87" s="62">
        <f t="shared" si="80"/>
        <v>0</v>
      </c>
      <c r="AF87" s="62">
        <f t="shared" si="80"/>
        <v>0</v>
      </c>
      <c r="AG87" s="62">
        <f t="shared" si="80"/>
        <v>0</v>
      </c>
      <c r="AH87" s="62">
        <f t="shared" si="80"/>
        <v>0</v>
      </c>
      <c r="AI87" s="62">
        <f t="shared" si="80"/>
        <v>0</v>
      </c>
      <c r="AJ87" s="63">
        <f t="shared" si="80"/>
        <v>0</v>
      </c>
    </row>
    <row r="88" spans="1:38" ht="15.75" customHeight="1" x14ac:dyDescent="0.25">
      <c r="A88" s="7"/>
      <c r="B88" s="7"/>
      <c r="D88" s="4" t="s">
        <v>36</v>
      </c>
      <c r="F88" s="61">
        <v>0</v>
      </c>
      <c r="G88" s="62">
        <f t="shared" ref="G88:AJ88" si="81">IFERROR((SUMIFS(G$44:G$81,$A$44:$A$81,$D88)-SUMIFS(F$44:F$81,$A$44:$A$81,$D88))/SUMIFS(F$44:F$81,$A$44:$A$81,$D88),0)</f>
        <v>4.4166654695644722E-2</v>
      </c>
      <c r="H88" s="62">
        <f t="shared" si="81"/>
        <v>4.2298472659528186E-2</v>
      </c>
      <c r="I88" s="62">
        <f t="shared" si="81"/>
        <v>4.0581919449242776E-2</v>
      </c>
      <c r="J88" s="62">
        <f t="shared" si="81"/>
        <v>3.8999254831106327E-2</v>
      </c>
      <c r="K88" s="62">
        <f t="shared" si="81"/>
        <v>3.7535402118682948E-2</v>
      </c>
      <c r="L88" s="62">
        <f t="shared" si="81"/>
        <v>3.6177466370827298E-2</v>
      </c>
      <c r="M88" s="62">
        <f t="shared" si="81"/>
        <v>3.4914353520473035E-2</v>
      </c>
      <c r="N88" s="62">
        <f t="shared" si="81"/>
        <v>3.3736466599108041E-2</v>
      </c>
      <c r="O88" s="62">
        <f t="shared" si="81"/>
        <v>3.2635461444150964E-2</v>
      </c>
      <c r="P88" s="62">
        <f t="shared" si="81"/>
        <v>3.1604048730325962E-2</v>
      </c>
      <c r="Q88" s="62">
        <f t="shared" si="81"/>
        <v>3.0635832390567511E-2</v>
      </c>
      <c r="R88" s="62">
        <f t="shared" si="81"/>
        <v>2.9725176854661209E-2</v>
      </c>
      <c r="S88" s="62">
        <f t="shared" si="81"/>
        <v>2.8867097282660147E-2</v>
      </c>
      <c r="T88" s="62">
        <f t="shared" si="81"/>
        <v>2.8057168276545152E-2</v>
      </c>
      <c r="U88" s="62">
        <f t="shared" si="81"/>
        <v>2.7291447540387648E-2</v>
      </c>
      <c r="V88" s="62">
        <f t="shared" si="81"/>
        <v>2.6566411708903927E-2</v>
      </c>
      <c r="W88" s="62">
        <f t="shared" si="81"/>
        <v>2.5878902140070374E-2</v>
      </c>
      <c r="X88" s="62">
        <f t="shared" si="81"/>
        <v>2.5226078912521391E-2</v>
      </c>
      <c r="Y88" s="62">
        <f t="shared" si="81"/>
        <v>2.4605381614247676E-2</v>
      </c>
      <c r="Z88" s="62">
        <f t="shared" si="81"/>
        <v>2.4014495781275649E-2</v>
      </c>
      <c r="AA88" s="62">
        <f t="shared" si="81"/>
        <v>2.3451324058594351E-2</v>
      </c>
      <c r="AB88" s="62">
        <f t="shared" si="81"/>
        <v>2.291396132608093E-2</v>
      </c>
      <c r="AC88" s="62">
        <f t="shared" si="81"/>
        <v>2.240067316744394E-2</v>
      </c>
      <c r="AD88" s="62">
        <f t="shared" si="81"/>
        <v>2.1909877169823875E-2</v>
      </c>
      <c r="AE88" s="62">
        <f t="shared" si="81"/>
        <v>2.144012662887965E-2</v>
      </c>
      <c r="AF88" s="62">
        <f t="shared" si="81"/>
        <v>2.0990096306114484E-2</v>
      </c>
      <c r="AG88" s="62">
        <f t="shared" si="81"/>
        <v>2.0558569943102265E-2</v>
      </c>
      <c r="AH88" s="62">
        <f t="shared" si="81"/>
        <v>2.0144429284689108E-2</v>
      </c>
      <c r="AI88" s="62">
        <f t="shared" si="81"/>
        <v>1.9746644402904887E-2</v>
      </c>
      <c r="AJ88" s="63">
        <f t="shared" si="81"/>
        <v>1.9364265144963724E-2</v>
      </c>
    </row>
    <row r="89" spans="1:38" ht="15.75" customHeight="1" x14ac:dyDescent="0.25">
      <c r="A89" s="7"/>
      <c r="B89" s="7"/>
      <c r="D89" s="4" t="s">
        <v>38</v>
      </c>
      <c r="F89" s="61">
        <v>0</v>
      </c>
      <c r="G89" s="62">
        <f t="shared" ref="G89:AJ89" si="82">IFERROR((SUMIFS(G$44:G$81,$A$44:$A$81,$D89)-SUMIFS(F$44:F$81,$A$44:$A$81,$D89))/SUMIFS(F$44:F$81,$A$44:$A$81,$D89),0)</f>
        <v>4.6815030817588962E-2</v>
      </c>
      <c r="H89" s="62">
        <f t="shared" si="82"/>
        <v>4.4721397228147594E-2</v>
      </c>
      <c r="I89" s="62">
        <f t="shared" si="82"/>
        <v>4.2807008018421674E-2</v>
      </c>
      <c r="J89" s="62">
        <f t="shared" si="82"/>
        <v>4.1049789356279114E-2</v>
      </c>
      <c r="K89" s="62">
        <f t="shared" si="82"/>
        <v>3.9431148995920519E-2</v>
      </c>
      <c r="L89" s="62">
        <f t="shared" si="82"/>
        <v>3.7935315902379203E-2</v>
      </c>
      <c r="M89" s="62">
        <f t="shared" si="82"/>
        <v>3.6548824691822031E-2</v>
      </c>
      <c r="N89" s="62">
        <f t="shared" si="82"/>
        <v>3.5260109144099813E-2</v>
      </c>
      <c r="O89" s="62">
        <f t="shared" si="82"/>
        <v>3.4059178782857837E-2</v>
      </c>
      <c r="P89" s="62">
        <f t="shared" si="82"/>
        <v>3.2937359371402963E-2</v>
      </c>
      <c r="Q89" s="62">
        <f t="shared" si="82"/>
        <v>3.1887083057424194E-2</v>
      </c>
      <c r="R89" s="62">
        <f t="shared" si="82"/>
        <v>3.0901717427205828E-2</v>
      </c>
      <c r="S89" s="62">
        <f t="shared" si="82"/>
        <v>2.9975425304689943E-2</v>
      </c>
      <c r="T89" s="62">
        <f t="shared" si="82"/>
        <v>2.9103049032274605E-2</v>
      </c>
      <c r="U89" s="62">
        <f t="shared" si="82"/>
        <v>2.8280014386938116E-2</v>
      </c>
      <c r="V89" s="62">
        <f t="shared" si="82"/>
        <v>2.7502250351338211E-2</v>
      </c>
      <c r="W89" s="62">
        <f t="shared" si="82"/>
        <v>2.676612176949042E-2</v>
      </c>
      <c r="X89" s="62">
        <f t="shared" si="82"/>
        <v>2.6068372535863069E-2</v>
      </c>
      <c r="Y89" s="62">
        <f t="shared" si="82"/>
        <v>2.5406077444368288E-2</v>
      </c>
      <c r="Z89" s="62">
        <f t="shared" si="82"/>
        <v>2.4776601195593013E-2</v>
      </c>
      <c r="AA89" s="62">
        <f t="shared" si="82"/>
        <v>2.4177563350566846E-2</v>
      </c>
      <c r="AB89" s="62">
        <f t="shared" si="82"/>
        <v>2.3606808248630887E-2</v>
      </c>
      <c r="AC89" s="62">
        <f t="shared" si="82"/>
        <v>2.3062379087756591E-2</v>
      </c>
      <c r="AD89" s="62">
        <f t="shared" si="82"/>
        <v>2.2542495510697404E-2</v>
      </c>
      <c r="AE89" s="62">
        <f t="shared" si="82"/>
        <v>2.2045534155955844E-2</v>
      </c>
      <c r="AF89" s="62">
        <f t="shared" si="82"/>
        <v>2.1570011725712285E-2</v>
      </c>
      <c r="AG89" s="62">
        <f t="shared" si="82"/>
        <v>2.1114570198944627E-2</v>
      </c>
      <c r="AH89" s="62">
        <f t="shared" si="82"/>
        <v>2.0677963879042537E-2</v>
      </c>
      <c r="AI89" s="62">
        <f t="shared" si="82"/>
        <v>2.0259048015945035E-2</v>
      </c>
      <c r="AJ89" s="63">
        <f t="shared" si="82"/>
        <v>1.9856768783720651E-2</v>
      </c>
    </row>
    <row r="90" spans="1:38" ht="15.75" customHeight="1" x14ac:dyDescent="0.25">
      <c r="A90" s="7"/>
      <c r="B90" s="7"/>
      <c r="D90" s="4" t="s">
        <v>40</v>
      </c>
      <c r="F90" s="61">
        <v>0</v>
      </c>
      <c r="G90" s="62">
        <f t="shared" ref="G90:AJ90" si="83">IFERROR((SUMIFS(G$44:G$81,$A$44:$A$81,$D90)-SUMIFS(F$44:F$81,$A$44:$A$81,$D90))/SUMIFS(F$44:F$81,$A$44:$A$81,$D90),0)</f>
        <v>4.487159854570491E-2</v>
      </c>
      <c r="H90" s="62">
        <f t="shared" si="83"/>
        <v>4.2944605450219581E-2</v>
      </c>
      <c r="I90" s="62">
        <f t="shared" si="83"/>
        <v>4.1176305266663472E-2</v>
      </c>
      <c r="J90" s="62">
        <f t="shared" si="83"/>
        <v>3.9547870094985976E-2</v>
      </c>
      <c r="K90" s="62">
        <f t="shared" si="83"/>
        <v>3.8043337139801355E-2</v>
      </c>
      <c r="L90" s="62">
        <f t="shared" si="83"/>
        <v>3.6649083693003626E-2</v>
      </c>
      <c r="M90" s="62">
        <f t="shared" si="83"/>
        <v>3.5353413483416529E-2</v>
      </c>
      <c r="N90" s="62">
        <f t="shared" si="83"/>
        <v>3.4146227774007838E-2</v>
      </c>
      <c r="O90" s="62">
        <f t="shared" si="83"/>
        <v>3.3018761618965713E-2</v>
      </c>
      <c r="P90" s="62">
        <f t="shared" si="83"/>
        <v>3.1963370701242749E-2</v>
      </c>
      <c r="Q90" s="62">
        <f t="shared" si="83"/>
        <v>3.0973357784514099E-2</v>
      </c>
      <c r="R90" s="62">
        <f t="shared" si="83"/>
        <v>3.0042830448183035E-2</v>
      </c>
      <c r="S90" s="62">
        <f t="shared" si="83"/>
        <v>2.9166583718767371E-2</v>
      </c>
      <c r="T90" s="62">
        <f t="shared" si="83"/>
        <v>2.8340002658621983E-2</v>
      </c>
      <c r="U90" s="62">
        <f t="shared" si="83"/>
        <v>2.7558981062066352E-2</v>
      </c>
      <c r="V90" s="62">
        <f t="shared" si="83"/>
        <v>2.6819853234684287E-2</v>
      </c>
      <c r="W90" s="62">
        <f t="shared" si="83"/>
        <v>2.6119336464129009E-2</v>
      </c>
      <c r="X90" s="62">
        <f t="shared" si="83"/>
        <v>2.5454482277015435E-2</v>
      </c>
      <c r="Y90" s="62">
        <f t="shared" si="83"/>
        <v>2.4822634955472538E-2</v>
      </c>
      <c r="Z90" s="62">
        <f t="shared" si="83"/>
        <v>2.4221396082396571E-2</v>
      </c>
      <c r="AA90" s="62">
        <f t="shared" si="83"/>
        <v>2.3648594117495345E-2</v>
      </c>
      <c r="AB90" s="62">
        <f t="shared" si="83"/>
        <v>2.310225819035408E-2</v>
      </c>
      <c r="AC90" s="62">
        <f t="shared" si="83"/>
        <v>2.2580595444307749E-2</v>
      </c>
      <c r="AD90" s="62">
        <f t="shared" si="83"/>
        <v>2.2081971381919835E-2</v>
      </c>
      <c r="AE90" s="62">
        <f t="shared" si="83"/>
        <v>2.1604892758321143E-2</v>
      </c>
      <c r="AF90" s="62">
        <f t="shared" si="83"/>
        <v>2.1147992645159375E-2</v>
      </c>
      <c r="AG90" s="62">
        <f t="shared" si="83"/>
        <v>2.0710017350557792E-2</v>
      </c>
      <c r="AH90" s="62">
        <f t="shared" si="83"/>
        <v>2.0289814931291145E-2</v>
      </c>
      <c r="AI90" s="62">
        <f t="shared" si="83"/>
        <v>1.988632507583888E-2</v>
      </c>
      <c r="AJ90" s="63">
        <f t="shared" si="83"/>
        <v>1.9498570170906185E-2</v>
      </c>
    </row>
    <row r="91" spans="1:38" ht="15.75" customHeight="1" x14ac:dyDescent="0.25">
      <c r="A91" s="7"/>
      <c r="B91" s="7"/>
      <c r="D91" s="4" t="s">
        <v>42</v>
      </c>
      <c r="F91" s="61">
        <v>0</v>
      </c>
      <c r="G91" s="62">
        <f t="shared" ref="G91:AJ91" si="84">IFERROR((SUMIFS(G$44:G$81,$A$44:$A$81,$D91)-SUMIFS(F$44:F$81,$A$44:$A$81,$D91))/SUMIFS(F$44:F$81,$A$44:$A$81,$D91),0)</f>
        <v>4.3822254480991835E-2</v>
      </c>
      <c r="H91" s="62">
        <f t="shared" si="84"/>
        <v>4.1982487241370693E-2</v>
      </c>
      <c r="I91" s="62">
        <f t="shared" si="84"/>
        <v>4.0290972022493918E-2</v>
      </c>
      <c r="J91" s="62">
        <f t="shared" si="84"/>
        <v>3.8730483207162492E-2</v>
      </c>
      <c r="K91" s="62">
        <f t="shared" si="84"/>
        <v>3.7286364300768857E-2</v>
      </c>
      <c r="L91" s="62">
        <f t="shared" si="84"/>
        <v>3.5946066181929866E-2</v>
      </c>
      <c r="M91" s="62">
        <f t="shared" si="84"/>
        <v>3.4698781486194791E-2</v>
      </c>
      <c r="N91" s="62">
        <f t="shared" si="84"/>
        <v>3.3535152555551465E-2</v>
      </c>
      <c r="O91" s="62">
        <f t="shared" si="84"/>
        <v>3.2447036245107898E-2</v>
      </c>
      <c r="P91" s="62">
        <f t="shared" si="84"/>
        <v>3.1427313078561461E-2</v>
      </c>
      <c r="Q91" s="62">
        <f t="shared" si="84"/>
        <v>3.0469731293772433E-2</v>
      </c>
      <c r="R91" s="62">
        <f t="shared" si="84"/>
        <v>2.9568778556461423E-2</v>
      </c>
      <c r="S91" s="62">
        <f t="shared" si="84"/>
        <v>2.8719575779997421E-2</v>
      </c>
      <c r="T91" s="62">
        <f t="shared" si="84"/>
        <v>2.7917788730929535E-2</v>
      </c>
      <c r="U91" s="62">
        <f t="shared" si="84"/>
        <v>2.7159554039226461E-2</v>
      </c>
      <c r="V91" s="62">
        <f t="shared" si="84"/>
        <v>2.6441416946795668E-2</v>
      </c>
      <c r="W91" s="62">
        <f t="shared" si="84"/>
        <v>2.5760278677615194E-2</v>
      </c>
      <c r="X91" s="62">
        <f t="shared" si="84"/>
        <v>2.5113351738307421E-2</v>
      </c>
      <c r="Y91" s="62">
        <f t="shared" si="84"/>
        <v>2.4498121788886509E-2</v>
      </c>
      <c r="Z91" s="62">
        <f t="shared" si="84"/>
        <v>2.3912314984158869E-2</v>
      </c>
      <c r="AA91" s="62">
        <f t="shared" si="84"/>
        <v>2.335386989122093E-2</v>
      </c>
      <c r="AB91" s="62">
        <f t="shared" si="84"/>
        <v>2.2820913252327241E-2</v>
      </c>
      <c r="AC91" s="62">
        <f t="shared" si="84"/>
        <v>2.2311738992268203E-2</v>
      </c>
      <c r="AD91" s="62">
        <f t="shared" si="84"/>
        <v>2.1824789974797199E-2</v>
      </c>
      <c r="AE91" s="62">
        <f t="shared" si="84"/>
        <v>2.1358642096885802E-2</v>
      </c>
      <c r="AF91" s="62">
        <f t="shared" si="84"/>
        <v>2.0911990378850418E-2</v>
      </c>
      <c r="AG91" s="62">
        <f t="shared" si="84"/>
        <v>2.048363676391236E-2</v>
      </c>
      <c r="AH91" s="62">
        <f t="shared" si="84"/>
        <v>2.0072479387200925E-2</v>
      </c>
      <c r="AI91" s="62">
        <f t="shared" si="84"/>
        <v>1.9677503111601716E-2</v>
      </c>
      <c r="AJ91" s="63">
        <f t="shared" si="84"/>
        <v>1.9297771159555756E-2</v>
      </c>
    </row>
    <row r="92" spans="1:38" ht="15.75" customHeight="1" x14ac:dyDescent="0.25">
      <c r="A92" s="7"/>
      <c r="B92" s="7"/>
      <c r="D92" s="4" t="s">
        <v>44</v>
      </c>
      <c r="F92" s="61">
        <v>0</v>
      </c>
      <c r="G92" s="62">
        <f t="shared" ref="G92:AJ92" si="85">IFERROR((SUMIFS(G$44:G$81,$A$44:$A$81,$D92)-SUMIFS(F$44:F$81,$A$44:$A$81,$D92))/SUMIFS(F$44:F$81,$A$44:$A$81,$D92),0)</f>
        <v>4.4912277109221084E-2</v>
      </c>
      <c r="H92" s="62">
        <f t="shared" si="85"/>
        <v>4.2981863734494474E-2</v>
      </c>
      <c r="I92" s="62">
        <f t="shared" si="85"/>
        <v>4.1210557181316235E-2</v>
      </c>
      <c r="J92" s="62">
        <f t="shared" si="85"/>
        <v>3.9579465360845965E-2</v>
      </c>
      <c r="K92" s="62">
        <f t="shared" si="85"/>
        <v>3.8072573266073884E-2</v>
      </c>
      <c r="L92" s="62">
        <f t="shared" si="85"/>
        <v>3.6676215369293788E-2</v>
      </c>
      <c r="M92" s="62">
        <f t="shared" si="85"/>
        <v>3.5378660015112473E-2</v>
      </c>
      <c r="N92" s="62">
        <f t="shared" si="85"/>
        <v>3.4169779020350358E-2</v>
      </c>
      <c r="O92" s="62">
        <f t="shared" si="85"/>
        <v>3.3040782774302335E-2</v>
      </c>
      <c r="P92" s="62">
        <f t="shared" si="85"/>
        <v>3.1984006174044795E-2</v>
      </c>
      <c r="Q92" s="62">
        <f t="shared" si="85"/>
        <v>3.0992734366717855E-2</v>
      </c>
      <c r="R92" s="62">
        <f t="shared" si="85"/>
        <v>3.0061059921771962E-2</v>
      </c>
      <c r="S92" s="62">
        <f t="shared" si="85"/>
        <v>2.9183765012981974E-2</v>
      </c>
      <c r="T92" s="62">
        <f t="shared" si="85"/>
        <v>2.8356223645449673E-2</v>
      </c>
      <c r="U92" s="62">
        <f t="shared" si="85"/>
        <v>2.7574320058993358E-2</v>
      </c>
      <c r="V92" s="62">
        <f t="shared" si="85"/>
        <v>2.6834380268867374E-2</v>
      </c>
      <c r="W92" s="62">
        <f t="shared" si="85"/>
        <v>2.6133114341037478E-2</v>
      </c>
      <c r="X92" s="62">
        <f t="shared" si="85"/>
        <v>2.5467567487881478E-2</v>
      </c>
      <c r="Y92" s="62">
        <f t="shared" si="85"/>
        <v>2.4835078451361521E-2</v>
      </c>
      <c r="Z92" s="62">
        <f t="shared" si="85"/>
        <v>2.4233243937047223E-2</v>
      </c>
      <c r="AA92" s="62">
        <f t="shared" si="85"/>
        <v>2.3659888097269439E-2</v>
      </c>
      <c r="AB92" s="62">
        <f t="shared" si="85"/>
        <v>2.3113036246092331E-2</v>
      </c>
      <c r="AC92" s="62">
        <f t="shared" si="85"/>
        <v>2.2590892137297692E-2</v>
      </c>
      <c r="AD92" s="62">
        <f t="shared" si="85"/>
        <v>2.2091818253998679E-2</v>
      </c>
      <c r="AE92" s="62">
        <f t="shared" si="85"/>
        <v>2.1614318654603181E-2</v>
      </c>
      <c r="AF92" s="62">
        <f t="shared" si="85"/>
        <v>2.1157023996161189E-2</v>
      </c>
      <c r="AG92" s="62">
        <f t="shared" si="85"/>
        <v>2.0718678419673169E-2</v>
      </c>
      <c r="AH92" s="62">
        <f t="shared" si="85"/>
        <v>2.0298128032442016E-2</v>
      </c>
      <c r="AI92" s="62">
        <f t="shared" si="85"/>
        <v>1.9894310765408565E-2</v>
      </c>
      <c r="AJ92" s="63">
        <f t="shared" si="85"/>
        <v>1.9506247417424776E-2</v>
      </c>
    </row>
    <row r="93" spans="1:38" ht="15.75" customHeight="1" x14ac:dyDescent="0.25">
      <c r="A93" s="7"/>
      <c r="B93" s="7"/>
      <c r="D93" s="4" t="s">
        <v>46</v>
      </c>
      <c r="F93" s="61">
        <v>0</v>
      </c>
      <c r="G93" s="62">
        <f t="shared" ref="G93:AJ93" si="86">IFERROR((SUMIFS(G$44:G$81,$A$44:$A$81,$D93)-SUMIFS(F$44:F$81,$A$44:$A$81,$D93))/SUMIFS(F$44:F$81,$A$44:$A$81,$D93),0)</f>
        <v>4.5412947283167922E-2</v>
      </c>
      <c r="H93" s="62">
        <f t="shared" si="86"/>
        <v>4.34401997805774E-2</v>
      </c>
      <c r="I93" s="62">
        <f t="shared" si="86"/>
        <v>4.1631709981748713E-2</v>
      </c>
      <c r="J93" s="62">
        <f t="shared" si="86"/>
        <v>3.9967782838022638E-2</v>
      </c>
      <c r="K93" s="62">
        <f t="shared" si="86"/>
        <v>3.8431750961520912E-2</v>
      </c>
      <c r="L93" s="62">
        <f t="shared" si="86"/>
        <v>3.7009414365385872E-2</v>
      </c>
      <c r="M93" s="62">
        <f t="shared" si="86"/>
        <v>3.5688600173446217E-2</v>
      </c>
      <c r="N93" s="62">
        <f t="shared" si="86"/>
        <v>3.4458813360955666E-2</v>
      </c>
      <c r="O93" s="62">
        <f t="shared" si="86"/>
        <v>3.33109573004753E-2</v>
      </c>
      <c r="P93" s="62">
        <f t="shared" si="86"/>
        <v>3.2237108360380767E-2</v>
      </c>
      <c r="Q93" s="62">
        <f t="shared" si="86"/>
        <v>3.1230332739719674E-2</v>
      </c>
      <c r="R93" s="62">
        <f t="shared" si="86"/>
        <v>3.0284536585302852E-2</v>
      </c>
      <c r="S93" s="62">
        <f t="shared" si="86"/>
        <v>2.9394342543143999E-2</v>
      </c>
      <c r="T93" s="62">
        <f t="shared" si="86"/>
        <v>2.8554987460417312E-2</v>
      </c>
      <c r="U93" s="62">
        <f t="shared" si="86"/>
        <v>2.7762237127381316E-2</v>
      </c>
      <c r="V93" s="62">
        <f t="shared" si="86"/>
        <v>2.701231483749408E-2</v>
      </c>
      <c r="W93" s="62">
        <f t="shared" si="86"/>
        <v>2.6301841221610164E-2</v>
      </c>
      <c r="X93" s="62">
        <f t="shared" si="86"/>
        <v>2.5627783333518884E-2</v>
      </c>
      <c r="Y93" s="62">
        <f t="shared" si="86"/>
        <v>2.4987411368883106E-2</v>
      </c>
      <c r="Z93" s="62">
        <f t="shared" si="86"/>
        <v>2.4378261714953275E-2</v>
      </c>
      <c r="AA93" s="62">
        <f t="shared" si="86"/>
        <v>2.3798105276217747E-2</v>
      </c>
      <c r="AB93" s="62">
        <f t="shared" si="86"/>
        <v>2.3244920217730978E-2</v>
      </c>
      <c r="AC93" s="62">
        <f t="shared" si="86"/>
        <v>2.2716868423627072E-2</v>
      </c>
      <c r="AD93" s="62">
        <f t="shared" si="86"/>
        <v>2.2212275092958492E-2</v>
      </c>
      <c r="AE93" s="62">
        <f t="shared" si="86"/>
        <v>2.1729610995848334E-2</v>
      </c>
      <c r="AF93" s="62">
        <f t="shared" si="86"/>
        <v>2.1267476993907571E-2</v>
      </c>
      <c r="AG93" s="62">
        <f t="shared" si="86"/>
        <v>2.0824590494661885E-2</v>
      </c>
      <c r="AH93" s="62">
        <f t="shared" si="86"/>
        <v>2.0399773564000804E-2</v>
      </c>
      <c r="AI93" s="62">
        <f t="shared" si="86"/>
        <v>1.9991942464618065E-2</v>
      </c>
      <c r="AJ93" s="63">
        <f t="shared" si="86"/>
        <v>1.9600098424618888E-2</v>
      </c>
    </row>
    <row r="94" spans="1:38" ht="15.75" customHeight="1" x14ac:dyDescent="0.25">
      <c r="A94" s="7"/>
      <c r="B94" s="7"/>
      <c r="D94" s="4" t="s">
        <v>48</v>
      </c>
      <c r="F94" s="61">
        <v>0</v>
      </c>
      <c r="G94" s="62">
        <f t="shared" ref="G94:AJ94" si="87">IFERROR((SUMIFS(G$44:G$81,$A$44:$A$81,$D94)-SUMIFS(F$44:F$81,$A$44:$A$81,$D94))/SUMIFS(F$44:F$81,$A$44:$A$81,$D94),0)</f>
        <v>4.5048755828185412E-2</v>
      </c>
      <c r="H94" s="62">
        <f t="shared" si="87"/>
        <v>4.3106846046146778E-2</v>
      </c>
      <c r="I94" s="62">
        <f t="shared" si="87"/>
        <v>4.1325436804029066E-2</v>
      </c>
      <c r="J94" s="62">
        <f t="shared" si="87"/>
        <v>3.9685419508120809E-2</v>
      </c>
      <c r="K94" s="62">
        <f t="shared" si="87"/>
        <v>3.8170603110791089E-2</v>
      </c>
      <c r="L94" s="62">
        <f t="shared" si="87"/>
        <v>3.6767177760958863E-2</v>
      </c>
      <c r="M94" s="62">
        <f t="shared" si="87"/>
        <v>3.546329257874159E-2</v>
      </c>
      <c r="N94" s="62">
        <f t="shared" si="87"/>
        <v>3.4248720194039219E-2</v>
      </c>
      <c r="O94" s="62">
        <f t="shared" si="87"/>
        <v>3.3114587937442097E-2</v>
      </c>
      <c r="P94" s="62">
        <f t="shared" si="87"/>
        <v>3.2053160727834457E-2</v>
      </c>
      <c r="Q94" s="62">
        <f t="shared" si="87"/>
        <v>3.1057664418412328E-2</v>
      </c>
      <c r="R94" s="62">
        <f t="shared" si="87"/>
        <v>3.0122141069499724E-2</v>
      </c>
      <c r="S94" s="62">
        <f t="shared" si="87"/>
        <v>2.9241329613824023E-2</v>
      </c>
      <c r="T94" s="62">
        <f t="shared" si="87"/>
        <v>2.8410566863637507E-2</v>
      </c>
      <c r="U94" s="62">
        <f t="shared" si="87"/>
        <v>2.7625704926674096E-2</v>
      </c>
      <c r="V94" s="62">
        <f t="shared" si="87"/>
        <v>2.6883041942430429E-2</v>
      </c>
      <c r="W94" s="62">
        <f t="shared" si="87"/>
        <v>2.61792636984144E-2</v>
      </c>
      <c r="X94" s="62">
        <f t="shared" si="87"/>
        <v>2.5511394182788975E-2</v>
      </c>
      <c r="Y94" s="62">
        <f t="shared" si="87"/>
        <v>2.4876753517798472E-2</v>
      </c>
      <c r="Z94" s="62">
        <f t="shared" si="87"/>
        <v>2.427292201957049E-2</v>
      </c>
      <c r="AA94" s="62">
        <f t="shared" si="87"/>
        <v>2.3697709368028508E-2</v>
      </c>
      <c r="AB94" s="62">
        <f t="shared" si="87"/>
        <v>2.3149128059168224E-2</v>
      </c>
      <c r="AC94" s="62">
        <f t="shared" si="87"/>
        <v>2.262537046097211E-2</v>
      </c>
      <c r="AD94" s="62">
        <f t="shared" si="87"/>
        <v>2.2124788915399141E-2</v>
      </c>
      <c r="AE94" s="62">
        <f t="shared" si="87"/>
        <v>2.1645878424363163E-2</v>
      </c>
      <c r="AF94" s="62">
        <f t="shared" si="87"/>
        <v>2.1187261536996516E-2</v>
      </c>
      <c r="AG94" s="62">
        <f t="shared" si="87"/>
        <v>2.0747675117979068E-2</v>
      </c>
      <c r="AH94" s="62">
        <f t="shared" si="87"/>
        <v>2.0325958729799753E-2</v>
      </c>
      <c r="AI94" s="62">
        <f t="shared" si="87"/>
        <v>1.9921044403401703E-2</v>
      </c>
      <c r="AJ94" s="63">
        <f t="shared" si="87"/>
        <v>1.9531947607813828E-2</v>
      </c>
    </row>
    <row r="95" spans="1:38" ht="15.75" customHeight="1" x14ac:dyDescent="0.25">
      <c r="A95" s="7"/>
      <c r="B95" s="7"/>
      <c r="D95" s="4" t="s">
        <v>50</v>
      </c>
      <c r="F95" s="61">
        <v>0</v>
      </c>
      <c r="G95" s="62">
        <f t="shared" ref="G95:AJ95" si="88">IFERROR((SUMIFS(G$44:G$81,$A$44:$A$81,$D95)-SUMIFS(F$44:F$81,$A$44:$A$81,$D95))/SUMIFS(F$44:F$81,$A$44:$A$81,$D95),0)</f>
        <v>4.4912275585269716E-2</v>
      </c>
      <c r="H95" s="62">
        <f t="shared" si="88"/>
        <v>4.2981862338762583E-2</v>
      </c>
      <c r="I95" s="62">
        <f t="shared" si="88"/>
        <v>4.1210555898240533E-2</v>
      </c>
      <c r="J95" s="62">
        <f t="shared" si="88"/>
        <v>3.957946417732075E-2</v>
      </c>
      <c r="K95" s="62">
        <f t="shared" si="88"/>
        <v>3.8072572170959003E-2</v>
      </c>
      <c r="L95" s="62">
        <f t="shared" si="88"/>
        <v>3.6676214353045133E-2</v>
      </c>
      <c r="M95" s="62">
        <f t="shared" si="88"/>
        <v>3.5378659069473878E-2</v>
      </c>
      <c r="N95" s="62">
        <f t="shared" si="88"/>
        <v>3.4169778138256307E-2</v>
      </c>
      <c r="O95" s="62">
        <f t="shared" si="88"/>
        <v>3.3040781949526483E-2</v>
      </c>
      <c r="P95" s="62">
        <f t="shared" si="88"/>
        <v>3.1984005401179294E-2</v>
      </c>
      <c r="Q95" s="62">
        <f t="shared" si="88"/>
        <v>3.0992733641021442E-2</v>
      </c>
      <c r="R95" s="62">
        <f t="shared" si="88"/>
        <v>3.0061059239045288E-2</v>
      </c>
      <c r="S95" s="62">
        <f t="shared" si="88"/>
        <v>2.9183764369527632E-2</v>
      </c>
      <c r="T95" s="62">
        <f t="shared" si="88"/>
        <v>2.8356223037977524E-2</v>
      </c>
      <c r="U95" s="62">
        <f t="shared" si="88"/>
        <v>2.7574319484541115E-2</v>
      </c>
      <c r="V95" s="62">
        <f t="shared" si="88"/>
        <v>2.6834379724850567E-2</v>
      </c>
      <c r="W95" s="62">
        <f t="shared" si="88"/>
        <v>2.613311382507574E-2</v>
      </c>
      <c r="X95" s="62">
        <f t="shared" si="88"/>
        <v>2.5467566997861537E-2</v>
      </c>
      <c r="Y95" s="62">
        <f t="shared" si="88"/>
        <v>2.4835077985382745E-2</v>
      </c>
      <c r="Z95" s="62">
        <f t="shared" si="88"/>
        <v>2.423324349338574E-2</v>
      </c>
      <c r="AA95" s="62">
        <f t="shared" si="88"/>
        <v>2.3659887674336858E-2</v>
      </c>
      <c r="AB95" s="62">
        <f t="shared" si="88"/>
        <v>2.3113035842500643E-2</v>
      </c>
      <c r="AC95" s="62">
        <f t="shared" si="88"/>
        <v>2.2590891751728879E-2</v>
      </c>
      <c r="AD95" s="62">
        <f t="shared" si="88"/>
        <v>2.2091817885273941E-2</v>
      </c>
      <c r="AE95" s="62">
        <f t="shared" si="88"/>
        <v>2.1614318301649154E-2</v>
      </c>
      <c r="AF95" s="62">
        <f t="shared" si="88"/>
        <v>2.115702365798984E-2</v>
      </c>
      <c r="AG95" s="62">
        <f t="shared" si="88"/>
        <v>2.0718678095354954E-2</v>
      </c>
      <c r="AH95" s="62">
        <f t="shared" si="88"/>
        <v>2.0298127721170615E-2</v>
      </c>
      <c r="AI95" s="62">
        <f t="shared" si="88"/>
        <v>1.9894310466399025E-2</v>
      </c>
      <c r="AJ95" s="63">
        <f t="shared" si="88"/>
        <v>1.9506247129952803E-2</v>
      </c>
    </row>
    <row r="96" spans="1:38" ht="15.75" customHeight="1" x14ac:dyDescent="0.25">
      <c r="A96" s="7"/>
      <c r="B96" s="7"/>
      <c r="D96" s="4" t="s">
        <v>52</v>
      </c>
      <c r="F96" s="61">
        <v>0</v>
      </c>
      <c r="G96" s="62">
        <f t="shared" ref="G96:AJ96" si="89">IFERROR((SUMIFS(G$44:G$81,$A$44:$A$81,$D96)-SUMIFS(F$44:F$81,$A$44:$A$81,$D96))/SUMIFS(F$44:F$81,$A$44:$A$81,$D96),0)</f>
        <v>3.7377487786768991E-2</v>
      </c>
      <c r="H96" s="62">
        <f t="shared" si="89"/>
        <v>3.6030748909447192E-2</v>
      </c>
      <c r="I96" s="62">
        <f t="shared" si="89"/>
        <v>3.4777682947512989E-2</v>
      </c>
      <c r="J96" s="62">
        <f t="shared" si="89"/>
        <v>3.3608845185432029E-2</v>
      </c>
      <c r="K96" s="62">
        <f t="shared" si="89"/>
        <v>3.2516019325853206E-2</v>
      </c>
      <c r="L96" s="62">
        <f t="shared" si="89"/>
        <v>3.149202406282553E-2</v>
      </c>
      <c r="M96" s="62">
        <f t="shared" si="89"/>
        <v>3.0530555087354059E-2</v>
      </c>
      <c r="N96" s="62">
        <f t="shared" si="89"/>
        <v>2.9626055177737958E-2</v>
      </c>
      <c r="O96" s="62">
        <f t="shared" si="89"/>
        <v>2.8773606717455533E-2</v>
      </c>
      <c r="P96" s="62">
        <f t="shared" si="89"/>
        <v>2.7968842250205562E-2</v>
      </c>
      <c r="Q96" s="62">
        <f t="shared" si="89"/>
        <v>2.7207869636389312E-2</v>
      </c>
      <c r="R96" s="62">
        <f t="shared" si="89"/>
        <v>2.6487209104046762E-2</v>
      </c>
      <c r="S96" s="62">
        <f t="shared" si="89"/>
        <v>2.5803740045794978E-2</v>
      </c>
      <c r="T96" s="62">
        <f t="shared" si="89"/>
        <v>2.51546558454111E-2</v>
      </c>
      <c r="U96" s="62">
        <f t="shared" si="89"/>
        <v>2.4537425355266897E-2</v>
      </c>
      <c r="V96" s="62">
        <f t="shared" si="89"/>
        <v>2.3949759909224818E-2</v>
      </c>
      <c r="W96" s="62">
        <f t="shared" si="89"/>
        <v>2.3389584964931376E-2</v>
      </c>
      <c r="X96" s="62">
        <f t="shared" si="89"/>
        <v>2.2855015634871474E-2</v>
      </c>
      <c r="Y96" s="62">
        <f t="shared" si="89"/>
        <v>2.2344335497713808E-2</v>
      </c>
      <c r="Z96" s="62">
        <f t="shared" si="89"/>
        <v>2.1855978188446888E-2</v>
      </c>
      <c r="AA96" s="62">
        <f t="shared" si="89"/>
        <v>2.1388511350872556E-2</v>
      </c>
      <c r="AB96" s="62">
        <f t="shared" si="89"/>
        <v>2.0940622606557855E-2</v>
      </c>
      <c r="AC96" s="62">
        <f t="shared" si="89"/>
        <v>2.0511107250390837E-2</v>
      </c>
      <c r="AD96" s="62">
        <f t="shared" si="89"/>
        <v>2.0098857430027307E-2</v>
      </c>
      <c r="AE96" s="62">
        <f t="shared" si="89"/>
        <v>1.9702852604569037E-2</v>
      </c>
      <c r="AF96" s="62">
        <f t="shared" si="89"/>
        <v>1.9322151109254494E-2</v>
      </c>
      <c r="AG96" s="62">
        <f t="shared" si="89"/>
        <v>1.8955882679713355E-2</v>
      </c>
      <c r="AH96" s="62">
        <f t="shared" si="89"/>
        <v>1.860324181048597E-2</v>
      </c>
      <c r="AI96" s="62">
        <f t="shared" si="89"/>
        <v>1.8263481841487361E-2</v>
      </c>
      <c r="AJ96" s="63">
        <f t="shared" si="89"/>
        <v>1.7935909680728102E-2</v>
      </c>
    </row>
    <row r="97" spans="1:36" ht="15.75" customHeight="1" x14ac:dyDescent="0.25">
      <c r="A97" s="7"/>
      <c r="B97" s="7"/>
      <c r="D97" s="4" t="s">
        <v>54</v>
      </c>
      <c r="F97" s="61">
        <v>0</v>
      </c>
      <c r="G97" s="62">
        <f t="shared" ref="G97:AJ97" si="90">IFERROR((SUMIFS(G$44:G$81,$A$44:$A$81,$D97)-SUMIFS(F$44:F$81,$A$44:$A$81,$D97))/SUMIFS(F$44:F$81,$A$44:$A$81,$D97),0)</f>
        <v>0</v>
      </c>
      <c r="H97" s="62">
        <f t="shared" si="90"/>
        <v>0</v>
      </c>
      <c r="I97" s="62">
        <f t="shared" si="90"/>
        <v>0</v>
      </c>
      <c r="J97" s="62">
        <f t="shared" si="90"/>
        <v>0</v>
      </c>
      <c r="K97" s="62">
        <f t="shared" si="90"/>
        <v>0</v>
      </c>
      <c r="L97" s="62">
        <f t="shared" si="90"/>
        <v>0</v>
      </c>
      <c r="M97" s="62">
        <f t="shared" si="90"/>
        <v>0</v>
      </c>
      <c r="N97" s="62">
        <f t="shared" si="90"/>
        <v>0</v>
      </c>
      <c r="O97" s="62">
        <f t="shared" si="90"/>
        <v>0</v>
      </c>
      <c r="P97" s="62">
        <f t="shared" si="90"/>
        <v>0</v>
      </c>
      <c r="Q97" s="62">
        <f t="shared" si="90"/>
        <v>0</v>
      </c>
      <c r="R97" s="62">
        <f t="shared" si="90"/>
        <v>0</v>
      </c>
      <c r="S97" s="62">
        <f t="shared" si="90"/>
        <v>0</v>
      </c>
      <c r="T97" s="62">
        <f t="shared" si="90"/>
        <v>0</v>
      </c>
      <c r="U97" s="62">
        <f t="shared" si="90"/>
        <v>0</v>
      </c>
      <c r="V97" s="62">
        <f t="shared" si="90"/>
        <v>0</v>
      </c>
      <c r="W97" s="62">
        <f t="shared" si="90"/>
        <v>0</v>
      </c>
      <c r="X97" s="62">
        <f t="shared" si="90"/>
        <v>0</v>
      </c>
      <c r="Y97" s="62">
        <f t="shared" si="90"/>
        <v>0</v>
      </c>
      <c r="Z97" s="62">
        <f t="shared" si="90"/>
        <v>0</v>
      </c>
      <c r="AA97" s="62">
        <f t="shared" si="90"/>
        <v>0</v>
      </c>
      <c r="AB97" s="62">
        <f t="shared" si="90"/>
        <v>0</v>
      </c>
      <c r="AC97" s="62">
        <f t="shared" si="90"/>
        <v>0</v>
      </c>
      <c r="AD97" s="62">
        <f t="shared" si="90"/>
        <v>0</v>
      </c>
      <c r="AE97" s="62">
        <f t="shared" si="90"/>
        <v>0</v>
      </c>
      <c r="AF97" s="62">
        <f t="shared" si="90"/>
        <v>0</v>
      </c>
      <c r="AG97" s="62">
        <f t="shared" si="90"/>
        <v>0</v>
      </c>
      <c r="AH97" s="62">
        <f t="shared" si="90"/>
        <v>0</v>
      </c>
      <c r="AI97" s="62">
        <f t="shared" si="90"/>
        <v>0</v>
      </c>
      <c r="AJ97" s="63">
        <f t="shared" si="90"/>
        <v>0</v>
      </c>
    </row>
    <row r="98" spans="1:36" ht="15.75" customHeight="1" x14ac:dyDescent="0.25">
      <c r="A98" s="7"/>
      <c r="B98" s="7"/>
      <c r="D98" s="41" t="s">
        <v>133</v>
      </c>
      <c r="E98" s="41"/>
      <c r="F98" s="61">
        <v>0</v>
      </c>
      <c r="G98" s="62">
        <f t="shared" ref="G98:AJ98" si="91">IFERROR((SUMIFS(G$44:G$81,$A$44:$A$81,$D98)-SUMIFS(F$44:F$81,$A$44:$A$81,$D98))/SUMIFS(F$44:F$81,$A$44:$A$81,$D98),0)</f>
        <v>0</v>
      </c>
      <c r="H98" s="62">
        <f t="shared" si="91"/>
        <v>0</v>
      </c>
      <c r="I98" s="62">
        <f t="shared" si="91"/>
        <v>0</v>
      </c>
      <c r="J98" s="62">
        <f t="shared" si="91"/>
        <v>0</v>
      </c>
      <c r="K98" s="62">
        <f t="shared" si="91"/>
        <v>0</v>
      </c>
      <c r="L98" s="62">
        <f t="shared" si="91"/>
        <v>0</v>
      </c>
      <c r="M98" s="62">
        <f t="shared" si="91"/>
        <v>0</v>
      </c>
      <c r="N98" s="62">
        <f t="shared" si="91"/>
        <v>0</v>
      </c>
      <c r="O98" s="62">
        <f t="shared" si="91"/>
        <v>0</v>
      </c>
      <c r="P98" s="62">
        <f t="shared" si="91"/>
        <v>0</v>
      </c>
      <c r="Q98" s="62">
        <f t="shared" si="91"/>
        <v>0</v>
      </c>
      <c r="R98" s="62">
        <f t="shared" si="91"/>
        <v>0</v>
      </c>
      <c r="S98" s="62">
        <f t="shared" si="91"/>
        <v>0</v>
      </c>
      <c r="T98" s="62">
        <f t="shared" si="91"/>
        <v>0</v>
      </c>
      <c r="U98" s="62">
        <f t="shared" si="91"/>
        <v>0</v>
      </c>
      <c r="V98" s="62">
        <f t="shared" si="91"/>
        <v>0</v>
      </c>
      <c r="W98" s="62">
        <f t="shared" si="91"/>
        <v>0</v>
      </c>
      <c r="X98" s="62">
        <f t="shared" si="91"/>
        <v>0</v>
      </c>
      <c r="Y98" s="62">
        <f t="shared" si="91"/>
        <v>0</v>
      </c>
      <c r="Z98" s="62">
        <f t="shared" si="91"/>
        <v>0</v>
      </c>
      <c r="AA98" s="62">
        <f t="shared" si="91"/>
        <v>0</v>
      </c>
      <c r="AB98" s="62">
        <f t="shared" si="91"/>
        <v>0</v>
      </c>
      <c r="AC98" s="62">
        <f t="shared" si="91"/>
        <v>0</v>
      </c>
      <c r="AD98" s="62">
        <f t="shared" si="91"/>
        <v>0</v>
      </c>
      <c r="AE98" s="62">
        <f t="shared" si="91"/>
        <v>0</v>
      </c>
      <c r="AF98" s="62">
        <f t="shared" si="91"/>
        <v>0</v>
      </c>
      <c r="AG98" s="62">
        <f t="shared" si="91"/>
        <v>0</v>
      </c>
      <c r="AH98" s="62">
        <f t="shared" si="91"/>
        <v>0</v>
      </c>
      <c r="AI98" s="62">
        <f t="shared" si="91"/>
        <v>0</v>
      </c>
      <c r="AJ98" s="63">
        <f t="shared" si="91"/>
        <v>0</v>
      </c>
    </row>
    <row r="99" spans="1:36" ht="15.75" customHeight="1" x14ac:dyDescent="0.25">
      <c r="A99" s="7"/>
      <c r="B99" s="7"/>
      <c r="D99" s="41" t="s">
        <v>132</v>
      </c>
      <c r="E99" s="41"/>
      <c r="F99" s="69">
        <f>F98</f>
        <v>0</v>
      </c>
      <c r="G99" s="62">
        <f t="shared" ref="G99:AJ99" si="92">IFERROR((SUMIFS(G$44:G$81,$A$44:$A$81,$D99)-SUMIFS(F$44:F$81,$A$44:$A$81,$D99))/SUMIFS(F$44:F$81,$A$44:$A$81,$D99),0)</f>
        <v>0</v>
      </c>
      <c r="H99" s="62">
        <f t="shared" si="92"/>
        <v>0</v>
      </c>
      <c r="I99" s="62">
        <f t="shared" si="92"/>
        <v>0</v>
      </c>
      <c r="J99" s="62">
        <f t="shared" si="92"/>
        <v>0</v>
      </c>
      <c r="K99" s="62">
        <f t="shared" si="92"/>
        <v>0</v>
      </c>
      <c r="L99" s="62">
        <f t="shared" si="92"/>
        <v>0</v>
      </c>
      <c r="M99" s="62">
        <f t="shared" si="92"/>
        <v>0</v>
      </c>
      <c r="N99" s="62">
        <f t="shared" si="92"/>
        <v>0</v>
      </c>
      <c r="O99" s="62">
        <f t="shared" si="92"/>
        <v>0</v>
      </c>
      <c r="P99" s="62">
        <f t="shared" si="92"/>
        <v>0</v>
      </c>
      <c r="Q99" s="62">
        <f t="shared" si="92"/>
        <v>0</v>
      </c>
      <c r="R99" s="62">
        <f t="shared" si="92"/>
        <v>0</v>
      </c>
      <c r="S99" s="62">
        <f t="shared" si="92"/>
        <v>0</v>
      </c>
      <c r="T99" s="62">
        <f t="shared" si="92"/>
        <v>0</v>
      </c>
      <c r="U99" s="62">
        <f t="shared" si="92"/>
        <v>0</v>
      </c>
      <c r="V99" s="62">
        <f t="shared" si="92"/>
        <v>0</v>
      </c>
      <c r="W99" s="62">
        <f t="shared" si="92"/>
        <v>0</v>
      </c>
      <c r="X99" s="62">
        <f t="shared" si="92"/>
        <v>0</v>
      </c>
      <c r="Y99" s="62">
        <f t="shared" si="92"/>
        <v>0</v>
      </c>
      <c r="Z99" s="62">
        <f t="shared" si="92"/>
        <v>0</v>
      </c>
      <c r="AA99" s="62">
        <f t="shared" si="92"/>
        <v>0</v>
      </c>
      <c r="AB99" s="62">
        <f t="shared" si="92"/>
        <v>0</v>
      </c>
      <c r="AC99" s="62">
        <f t="shared" si="92"/>
        <v>0</v>
      </c>
      <c r="AD99" s="62">
        <f t="shared" si="92"/>
        <v>0</v>
      </c>
      <c r="AE99" s="62">
        <f t="shared" si="92"/>
        <v>0</v>
      </c>
      <c r="AF99" s="62">
        <f t="shared" si="92"/>
        <v>0</v>
      </c>
      <c r="AG99" s="62">
        <f t="shared" si="92"/>
        <v>0</v>
      </c>
      <c r="AH99" s="62">
        <f t="shared" si="92"/>
        <v>0</v>
      </c>
      <c r="AI99" s="62">
        <f t="shared" si="92"/>
        <v>0</v>
      </c>
      <c r="AJ99" s="63">
        <f t="shared" si="92"/>
        <v>0</v>
      </c>
    </row>
    <row r="100" spans="1:36" ht="15.75" customHeight="1" x14ac:dyDescent="0.25">
      <c r="A100" s="7"/>
      <c r="B100" s="7"/>
      <c r="D100" s="41" t="s">
        <v>142</v>
      </c>
      <c r="E100" s="41"/>
      <c r="F100" s="61">
        <v>0</v>
      </c>
      <c r="G100" s="62">
        <f t="shared" ref="G100:AJ100" si="93">IFERROR((SUMIFS(G$44:G$81,$A$44:$A$81,$D100)-SUMIFS(F$44:F$81,$A$44:$A$81,$D100))/SUMIFS(F$44:F$81,$A$44:$A$81,$D100),0)</f>
        <v>0</v>
      </c>
      <c r="H100" s="62">
        <f t="shared" si="93"/>
        <v>0</v>
      </c>
      <c r="I100" s="62">
        <f t="shared" si="93"/>
        <v>0</v>
      </c>
      <c r="J100" s="62">
        <f t="shared" si="93"/>
        <v>0</v>
      </c>
      <c r="K100" s="62">
        <f t="shared" si="93"/>
        <v>0</v>
      </c>
      <c r="L100" s="62">
        <f t="shared" si="93"/>
        <v>0</v>
      </c>
      <c r="M100" s="62">
        <f t="shared" si="93"/>
        <v>0</v>
      </c>
      <c r="N100" s="62">
        <f t="shared" si="93"/>
        <v>0</v>
      </c>
      <c r="O100" s="62">
        <f t="shared" si="93"/>
        <v>0</v>
      </c>
      <c r="P100" s="62">
        <f t="shared" si="93"/>
        <v>0</v>
      </c>
      <c r="Q100" s="62">
        <f t="shared" si="93"/>
        <v>0</v>
      </c>
      <c r="R100" s="62">
        <f t="shared" si="93"/>
        <v>0</v>
      </c>
      <c r="S100" s="62">
        <f t="shared" si="93"/>
        <v>0</v>
      </c>
      <c r="T100" s="62">
        <f t="shared" si="93"/>
        <v>0</v>
      </c>
      <c r="U100" s="62">
        <f t="shared" si="93"/>
        <v>0</v>
      </c>
      <c r="V100" s="62">
        <f t="shared" si="93"/>
        <v>0</v>
      </c>
      <c r="W100" s="62">
        <f t="shared" si="93"/>
        <v>0</v>
      </c>
      <c r="X100" s="62">
        <f t="shared" si="93"/>
        <v>0</v>
      </c>
      <c r="Y100" s="62">
        <f t="shared" si="93"/>
        <v>0</v>
      </c>
      <c r="Z100" s="62">
        <f t="shared" si="93"/>
        <v>0</v>
      </c>
      <c r="AA100" s="62">
        <f t="shared" si="93"/>
        <v>0</v>
      </c>
      <c r="AB100" s="62">
        <f t="shared" si="93"/>
        <v>0</v>
      </c>
      <c r="AC100" s="62">
        <f t="shared" si="93"/>
        <v>0</v>
      </c>
      <c r="AD100" s="62">
        <f t="shared" si="93"/>
        <v>0</v>
      </c>
      <c r="AE100" s="62">
        <f t="shared" si="93"/>
        <v>0</v>
      </c>
      <c r="AF100" s="62">
        <f t="shared" si="93"/>
        <v>0</v>
      </c>
      <c r="AG100" s="62">
        <f t="shared" si="93"/>
        <v>0</v>
      </c>
      <c r="AH100" s="62">
        <f t="shared" si="93"/>
        <v>0</v>
      </c>
      <c r="AI100" s="62">
        <f t="shared" si="93"/>
        <v>0</v>
      </c>
      <c r="AJ100" s="63">
        <f t="shared" si="93"/>
        <v>0</v>
      </c>
    </row>
    <row r="101" spans="1:36" ht="15.75" customHeight="1" x14ac:dyDescent="0.25">
      <c r="A101" s="7"/>
      <c r="B101" s="7"/>
      <c r="D101" s="41" t="s">
        <v>152</v>
      </c>
      <c r="E101" s="41"/>
      <c r="F101" s="69">
        <f>F100</f>
        <v>0</v>
      </c>
      <c r="G101" s="62">
        <f t="shared" ref="G101:AJ101" si="94">IFERROR((SUMIFS(G$44:G$81,$A$44:$A$81,$D101)-SUMIFS(F$44:F$81,$A$44:$A$81,$D101))/SUMIFS(F$44:F$81,$A$44:$A$81,$D101),0)</f>
        <v>0</v>
      </c>
      <c r="H101" s="62">
        <f t="shared" si="94"/>
        <v>0</v>
      </c>
      <c r="I101" s="62">
        <f t="shared" si="94"/>
        <v>0</v>
      </c>
      <c r="J101" s="62">
        <f t="shared" si="94"/>
        <v>0</v>
      </c>
      <c r="K101" s="62">
        <f t="shared" si="94"/>
        <v>0</v>
      </c>
      <c r="L101" s="62">
        <f t="shared" si="94"/>
        <v>0</v>
      </c>
      <c r="M101" s="62">
        <f t="shared" si="94"/>
        <v>0</v>
      </c>
      <c r="N101" s="62">
        <f t="shared" si="94"/>
        <v>0</v>
      </c>
      <c r="O101" s="62">
        <f t="shared" si="94"/>
        <v>0</v>
      </c>
      <c r="P101" s="62">
        <f t="shared" si="94"/>
        <v>0</v>
      </c>
      <c r="Q101" s="62">
        <f t="shared" si="94"/>
        <v>0</v>
      </c>
      <c r="R101" s="62">
        <f t="shared" si="94"/>
        <v>0</v>
      </c>
      <c r="S101" s="62">
        <f t="shared" si="94"/>
        <v>0</v>
      </c>
      <c r="T101" s="62">
        <f t="shared" si="94"/>
        <v>0</v>
      </c>
      <c r="U101" s="62">
        <f t="shared" si="94"/>
        <v>0</v>
      </c>
      <c r="V101" s="62">
        <f t="shared" si="94"/>
        <v>0</v>
      </c>
      <c r="W101" s="62">
        <f t="shared" si="94"/>
        <v>0</v>
      </c>
      <c r="X101" s="62">
        <f t="shared" si="94"/>
        <v>0</v>
      </c>
      <c r="Y101" s="62">
        <f t="shared" si="94"/>
        <v>0</v>
      </c>
      <c r="Z101" s="62">
        <f t="shared" si="94"/>
        <v>0</v>
      </c>
      <c r="AA101" s="62">
        <f t="shared" si="94"/>
        <v>0</v>
      </c>
      <c r="AB101" s="62">
        <f t="shared" si="94"/>
        <v>0</v>
      </c>
      <c r="AC101" s="62">
        <f t="shared" si="94"/>
        <v>0</v>
      </c>
      <c r="AD101" s="62">
        <f t="shared" si="94"/>
        <v>0</v>
      </c>
      <c r="AE101" s="62">
        <f t="shared" si="94"/>
        <v>0</v>
      </c>
      <c r="AF101" s="62">
        <f t="shared" si="94"/>
        <v>0</v>
      </c>
      <c r="AG101" s="62">
        <f t="shared" si="94"/>
        <v>0</v>
      </c>
      <c r="AH101" s="62">
        <f t="shared" si="94"/>
        <v>0</v>
      </c>
      <c r="AI101" s="62">
        <f t="shared" si="94"/>
        <v>0</v>
      </c>
      <c r="AJ101" s="63">
        <f t="shared" si="94"/>
        <v>0</v>
      </c>
    </row>
    <row r="102" spans="1:36" ht="15.75" customHeight="1" x14ac:dyDescent="0.25">
      <c r="A102" s="7"/>
      <c r="B102" s="7"/>
      <c r="D102" s="4" t="s">
        <v>60</v>
      </c>
      <c r="F102" s="61">
        <v>0</v>
      </c>
      <c r="G102" s="62">
        <f t="shared" ref="G102:AJ102" si="95">IFERROR((SUMIFS(G$44:G$81,$A$44:$A$81,$D102)-SUMIFS(F$44:F$81,$A$44:$A$81,$D102))/SUMIFS(F$44:F$81,$A$44:$A$81,$D102),0)</f>
        <v>4.4285130364378512E-2</v>
      </c>
      <c r="H102" s="62">
        <f t="shared" si="95"/>
        <v>4.2407125292424942E-2</v>
      </c>
      <c r="I102" s="62">
        <f t="shared" si="95"/>
        <v>4.06819219319269E-2</v>
      </c>
      <c r="J102" s="62">
        <f t="shared" si="95"/>
        <v>3.9091600492491684E-2</v>
      </c>
      <c r="K102" s="62">
        <f t="shared" si="95"/>
        <v>3.7620937821038765E-2</v>
      </c>
      <c r="L102" s="62">
        <f t="shared" si="95"/>
        <v>3.6256918542956887E-2</v>
      </c>
      <c r="M102" s="62">
        <f t="shared" si="95"/>
        <v>3.4988348829486968E-2</v>
      </c>
      <c r="N102" s="62">
        <f t="shared" si="95"/>
        <v>3.3805548505995091E-2</v>
      </c>
      <c r="O102" s="62">
        <f t="shared" si="95"/>
        <v>3.2700103568647901E-2</v>
      </c>
      <c r="P102" s="62">
        <f t="shared" si="95"/>
        <v>3.1664665720132941E-2</v>
      </c>
      <c r="Q102" s="62">
        <f t="shared" si="95"/>
        <v>3.0692788822067885E-2</v>
      </c>
      <c r="R102" s="62">
        <f t="shared" si="95"/>
        <v>2.9778794568980783E-2</v>
      </c>
      <c r="S102" s="62">
        <f t="shared" si="95"/>
        <v>2.8917661468690681E-2</v>
      </c>
      <c r="T102" s="62">
        <f t="shared" si="95"/>
        <v>2.8104932543795445E-2</v>
      </c>
      <c r="U102" s="62">
        <f t="shared" si="95"/>
        <v>2.7336638171988541E-2</v>
      </c>
      <c r="V102" s="62">
        <f t="shared" si="95"/>
        <v>2.6609231245405637E-2</v>
      </c>
      <c r="W102" s="62">
        <f t="shared" si="95"/>
        <v>2.5919532413633595E-2</v>
      </c>
      <c r="X102" s="62">
        <f t="shared" si="95"/>
        <v>2.526468362743101E-2</v>
      </c>
      <c r="Y102" s="62">
        <f t="shared" si="95"/>
        <v>2.4642108550982263E-2</v>
      </c>
      <c r="Z102" s="62">
        <f t="shared" si="95"/>
        <v>2.4049478686590506E-2</v>
      </c>
      <c r="AA102" s="62">
        <f t="shared" si="95"/>
        <v>2.3484684272710443E-2</v>
      </c>
      <c r="AB102" s="62">
        <f t="shared" si="95"/>
        <v>2.2945809188541083E-2</v>
      </c>
      <c r="AC102" s="62">
        <f t="shared" si="95"/>
        <v>2.2431109236116568E-2</v>
      </c>
      <c r="AD102" s="62">
        <f t="shared" si="95"/>
        <v>2.1938993281297472E-2</v>
      </c>
      <c r="AE102" s="62">
        <f t="shared" si="95"/>
        <v>2.1468006823823736E-2</v>
      </c>
      <c r="AF102" s="62">
        <f t="shared" si="95"/>
        <v>2.1016817639328559E-2</v>
      </c>
      <c r="AG102" s="62">
        <f t="shared" si="95"/>
        <v>2.0584203194539009E-2</v>
      </c>
      <c r="AH102" s="62">
        <f t="shared" si="95"/>
        <v>2.0169039585471085E-2</v>
      </c>
      <c r="AI102" s="62">
        <f t="shared" si="95"/>
        <v>1.9770291787786897E-2</v>
      </c>
      <c r="AJ102" s="63">
        <f t="shared" si="95"/>
        <v>1.9387005041232253E-2</v>
      </c>
    </row>
    <row r="103" spans="1:36" ht="15.75" customHeight="1" x14ac:dyDescent="0.25">
      <c r="A103" s="7"/>
      <c r="B103" s="7"/>
      <c r="D103" s="4" t="s">
        <v>62</v>
      </c>
      <c r="F103" s="61">
        <v>0</v>
      </c>
      <c r="G103" s="62">
        <f t="shared" ref="G103:AJ103" si="96">IFERROR((SUMIFS(G$44:G$81,$A$44:$A$81,$D103)-SUMIFS(F$44:F$81,$A$44:$A$81,$D103))/SUMIFS(F$44:F$81,$A$44:$A$81,$D103),0)</f>
        <v>0</v>
      </c>
      <c r="H103" s="62">
        <f t="shared" si="96"/>
        <v>0</v>
      </c>
      <c r="I103" s="62">
        <f t="shared" si="96"/>
        <v>0</v>
      </c>
      <c r="J103" s="62">
        <f t="shared" si="96"/>
        <v>0</v>
      </c>
      <c r="K103" s="62">
        <f t="shared" si="96"/>
        <v>0</v>
      </c>
      <c r="L103" s="62">
        <f t="shared" si="96"/>
        <v>0</v>
      </c>
      <c r="M103" s="62">
        <f t="shared" si="96"/>
        <v>0</v>
      </c>
      <c r="N103" s="62">
        <f t="shared" si="96"/>
        <v>0</v>
      </c>
      <c r="O103" s="62">
        <f t="shared" si="96"/>
        <v>0</v>
      </c>
      <c r="P103" s="62">
        <f t="shared" si="96"/>
        <v>0</v>
      </c>
      <c r="Q103" s="62">
        <f t="shared" si="96"/>
        <v>0</v>
      </c>
      <c r="R103" s="62">
        <f t="shared" si="96"/>
        <v>0</v>
      </c>
      <c r="S103" s="62">
        <f t="shared" si="96"/>
        <v>0</v>
      </c>
      <c r="T103" s="62">
        <f t="shared" si="96"/>
        <v>0</v>
      </c>
      <c r="U103" s="62">
        <f t="shared" si="96"/>
        <v>0</v>
      </c>
      <c r="V103" s="62">
        <f t="shared" si="96"/>
        <v>0</v>
      </c>
      <c r="W103" s="62">
        <f t="shared" si="96"/>
        <v>0</v>
      </c>
      <c r="X103" s="62">
        <f t="shared" si="96"/>
        <v>0</v>
      </c>
      <c r="Y103" s="62">
        <f t="shared" si="96"/>
        <v>0</v>
      </c>
      <c r="Z103" s="62">
        <f t="shared" si="96"/>
        <v>0</v>
      </c>
      <c r="AA103" s="62">
        <f t="shared" si="96"/>
        <v>0</v>
      </c>
      <c r="AB103" s="62">
        <f t="shared" si="96"/>
        <v>0</v>
      </c>
      <c r="AC103" s="62">
        <f t="shared" si="96"/>
        <v>0</v>
      </c>
      <c r="AD103" s="62">
        <f t="shared" si="96"/>
        <v>0</v>
      </c>
      <c r="AE103" s="62">
        <f t="shared" si="96"/>
        <v>0</v>
      </c>
      <c r="AF103" s="62">
        <f t="shared" si="96"/>
        <v>0</v>
      </c>
      <c r="AG103" s="62">
        <f t="shared" si="96"/>
        <v>0</v>
      </c>
      <c r="AH103" s="62">
        <f t="shared" si="96"/>
        <v>0</v>
      </c>
      <c r="AI103" s="62">
        <f t="shared" si="96"/>
        <v>0</v>
      </c>
      <c r="AJ103" s="63">
        <f t="shared" si="96"/>
        <v>0</v>
      </c>
    </row>
    <row r="104" spans="1:36" ht="15.75" customHeight="1" x14ac:dyDescent="0.25">
      <c r="A104" s="2"/>
      <c r="B104" s="2"/>
      <c r="D104" s="4" t="s">
        <v>64</v>
      </c>
      <c r="F104" s="61">
        <v>0</v>
      </c>
      <c r="G104" s="62">
        <f t="shared" ref="G104:AJ104" si="97">IFERROR((SUMIFS(G$44:G$81,$A$44:$A$81,$D104)-SUMIFS(F$44:F$81,$A$44:$A$81,$D104))/SUMIFS(F$44:F$81,$A$44:$A$81,$D104),0)</f>
        <v>0</v>
      </c>
      <c r="H104" s="62">
        <f t="shared" si="97"/>
        <v>0</v>
      </c>
      <c r="I104" s="62">
        <f t="shared" si="97"/>
        <v>0</v>
      </c>
      <c r="J104" s="62">
        <f t="shared" si="97"/>
        <v>0</v>
      </c>
      <c r="K104" s="62">
        <f t="shared" si="97"/>
        <v>0</v>
      </c>
      <c r="L104" s="62">
        <f t="shared" si="97"/>
        <v>0</v>
      </c>
      <c r="M104" s="62">
        <f t="shared" si="97"/>
        <v>0</v>
      </c>
      <c r="N104" s="62">
        <f t="shared" si="97"/>
        <v>0</v>
      </c>
      <c r="O104" s="62">
        <f t="shared" si="97"/>
        <v>0</v>
      </c>
      <c r="P104" s="62">
        <f t="shared" si="97"/>
        <v>0</v>
      </c>
      <c r="Q104" s="62">
        <f t="shared" si="97"/>
        <v>0</v>
      </c>
      <c r="R104" s="62">
        <f t="shared" si="97"/>
        <v>0</v>
      </c>
      <c r="S104" s="62">
        <f t="shared" si="97"/>
        <v>0</v>
      </c>
      <c r="T104" s="62">
        <f t="shared" si="97"/>
        <v>0</v>
      </c>
      <c r="U104" s="62">
        <f t="shared" si="97"/>
        <v>0</v>
      </c>
      <c r="V104" s="62">
        <f t="shared" si="97"/>
        <v>0</v>
      </c>
      <c r="W104" s="62">
        <f t="shared" si="97"/>
        <v>0</v>
      </c>
      <c r="X104" s="62">
        <f t="shared" si="97"/>
        <v>0</v>
      </c>
      <c r="Y104" s="62">
        <f t="shared" si="97"/>
        <v>0</v>
      </c>
      <c r="Z104" s="62">
        <f t="shared" si="97"/>
        <v>0</v>
      </c>
      <c r="AA104" s="62">
        <f t="shared" si="97"/>
        <v>0</v>
      </c>
      <c r="AB104" s="62">
        <f t="shared" si="97"/>
        <v>0</v>
      </c>
      <c r="AC104" s="62">
        <f t="shared" si="97"/>
        <v>0</v>
      </c>
      <c r="AD104" s="62">
        <f t="shared" si="97"/>
        <v>0</v>
      </c>
      <c r="AE104" s="62">
        <f t="shared" si="97"/>
        <v>0</v>
      </c>
      <c r="AF104" s="62">
        <f t="shared" si="97"/>
        <v>0</v>
      </c>
      <c r="AG104" s="62">
        <f t="shared" si="97"/>
        <v>0</v>
      </c>
      <c r="AH104" s="62">
        <f t="shared" si="97"/>
        <v>0</v>
      </c>
      <c r="AI104" s="62">
        <f t="shared" si="97"/>
        <v>0</v>
      </c>
      <c r="AJ104" s="63">
        <f t="shared" si="97"/>
        <v>0</v>
      </c>
    </row>
    <row r="105" spans="1:36" ht="15.75" customHeight="1" x14ac:dyDescent="0.25">
      <c r="A105" s="2"/>
      <c r="B105" s="2"/>
      <c r="D105" s="4" t="s">
        <v>66</v>
      </c>
      <c r="F105" s="61">
        <v>0</v>
      </c>
      <c r="G105" s="62">
        <f t="shared" ref="G105:AJ105" si="98">IFERROR((SUMIFS(G$44:G$81,$A$44:$A$81,$D105)-SUMIFS(F$44:F$81,$A$44:$A$81,$D105))/SUMIFS(F$44:F$81,$A$44:$A$81,$D105),0)</f>
        <v>0</v>
      </c>
      <c r="H105" s="62">
        <f t="shared" si="98"/>
        <v>0</v>
      </c>
      <c r="I105" s="62">
        <f t="shared" si="98"/>
        <v>0</v>
      </c>
      <c r="J105" s="62">
        <f t="shared" si="98"/>
        <v>0</v>
      </c>
      <c r="K105" s="62">
        <f t="shared" si="98"/>
        <v>0</v>
      </c>
      <c r="L105" s="62">
        <f t="shared" si="98"/>
        <v>0</v>
      </c>
      <c r="M105" s="62">
        <f t="shared" si="98"/>
        <v>0</v>
      </c>
      <c r="N105" s="62">
        <f t="shared" si="98"/>
        <v>0</v>
      </c>
      <c r="O105" s="62">
        <f t="shared" si="98"/>
        <v>0</v>
      </c>
      <c r="P105" s="62">
        <f t="shared" si="98"/>
        <v>0</v>
      </c>
      <c r="Q105" s="62">
        <f t="shared" si="98"/>
        <v>0</v>
      </c>
      <c r="R105" s="62">
        <f t="shared" si="98"/>
        <v>0</v>
      </c>
      <c r="S105" s="62">
        <f t="shared" si="98"/>
        <v>0</v>
      </c>
      <c r="T105" s="62">
        <f t="shared" si="98"/>
        <v>0</v>
      </c>
      <c r="U105" s="62">
        <f t="shared" si="98"/>
        <v>0</v>
      </c>
      <c r="V105" s="62">
        <f t="shared" si="98"/>
        <v>0</v>
      </c>
      <c r="W105" s="62">
        <f t="shared" si="98"/>
        <v>0</v>
      </c>
      <c r="X105" s="62">
        <f t="shared" si="98"/>
        <v>0</v>
      </c>
      <c r="Y105" s="62">
        <f t="shared" si="98"/>
        <v>0</v>
      </c>
      <c r="Z105" s="62">
        <f t="shared" si="98"/>
        <v>0</v>
      </c>
      <c r="AA105" s="62">
        <f t="shared" si="98"/>
        <v>0</v>
      </c>
      <c r="AB105" s="62">
        <f t="shared" si="98"/>
        <v>0</v>
      </c>
      <c r="AC105" s="62">
        <f t="shared" si="98"/>
        <v>0</v>
      </c>
      <c r="AD105" s="62">
        <f t="shared" si="98"/>
        <v>0</v>
      </c>
      <c r="AE105" s="62">
        <f t="shared" si="98"/>
        <v>0</v>
      </c>
      <c r="AF105" s="62">
        <f t="shared" si="98"/>
        <v>0</v>
      </c>
      <c r="AG105" s="62">
        <f t="shared" si="98"/>
        <v>0</v>
      </c>
      <c r="AH105" s="62">
        <f t="shared" si="98"/>
        <v>0</v>
      </c>
      <c r="AI105" s="62">
        <f t="shared" si="98"/>
        <v>0</v>
      </c>
      <c r="AJ105" s="63">
        <f t="shared" si="98"/>
        <v>0</v>
      </c>
    </row>
    <row r="106" spans="1:36" ht="15.75" customHeight="1" x14ac:dyDescent="0.25">
      <c r="A106" s="2"/>
      <c r="B106" s="2"/>
      <c r="D106" s="4" t="s">
        <v>68</v>
      </c>
      <c r="F106" s="61">
        <v>0</v>
      </c>
      <c r="G106" s="62">
        <f t="shared" ref="G106:AJ106" si="99">IFERROR((SUMIFS(G$44:G$81,$A$44:$A$81,$D106)-SUMIFS(F$44:F$81,$A$44:$A$81,$D106))/SUMIFS(F$44:F$81,$A$44:$A$81,$D106),0)</f>
        <v>4.4226811039245778E-2</v>
      </c>
      <c r="H106" s="62">
        <f t="shared" si="99"/>
        <v>4.2353644411050689E-2</v>
      </c>
      <c r="I106" s="62">
        <f t="shared" si="99"/>
        <v>4.0632701423503212E-2</v>
      </c>
      <c r="J106" s="62">
        <f t="shared" si="99"/>
        <v>3.9046150834884649E-2</v>
      </c>
      <c r="K106" s="62">
        <f t="shared" si="99"/>
        <v>3.7578841713159686E-2</v>
      </c>
      <c r="L106" s="62">
        <f t="shared" si="99"/>
        <v>3.6217818061040769E-2</v>
      </c>
      <c r="M106" s="62">
        <f t="shared" si="99"/>
        <v>3.4951935230005927E-2</v>
      </c>
      <c r="N106" s="62">
        <f t="shared" si="99"/>
        <v>3.3771554059884912E-2</v>
      </c>
      <c r="O106" s="62">
        <f t="shared" si="99"/>
        <v>3.2668294970255814E-2</v>
      </c>
      <c r="P106" s="62">
        <f t="shared" si="99"/>
        <v>3.1634838727373507E-2</v>
      </c>
      <c r="Q106" s="62">
        <f t="shared" si="99"/>
        <v>3.0664763867796829E-2</v>
      </c>
      <c r="R106" s="62">
        <f t="shared" si="99"/>
        <v>2.9752413144237405E-2</v>
      </c>
      <c r="S106" s="62">
        <f t="shared" si="99"/>
        <v>2.8892783123844357E-2</v>
      </c>
      <c r="T106" s="62">
        <f t="shared" si="99"/>
        <v>2.8081432388057444E-2</v>
      </c>
      <c r="U106" s="62">
        <f t="shared" si="99"/>
        <v>2.7314404777081885E-2</v>
      </c>
      <c r="V106" s="62">
        <f t="shared" si="99"/>
        <v>2.6588164879294177E-2</v>
      </c>
      <c r="W106" s="62">
        <f t="shared" si="99"/>
        <v>2.5899543545210669E-2</v>
      </c>
      <c r="X106" s="62">
        <f t="shared" si="99"/>
        <v>2.5245691654871227E-2</v>
      </c>
      <c r="Y106" s="62">
        <f t="shared" si="99"/>
        <v>2.4624040715661898E-2</v>
      </c>
      <c r="Z106" s="62">
        <f t="shared" si="99"/>
        <v>2.4032269141830643E-2</v>
      </c>
      <c r="AA106" s="62">
        <f t="shared" si="99"/>
        <v>2.3468273282016429E-2</v>
      </c>
      <c r="AB106" s="62">
        <f t="shared" si="99"/>
        <v>2.293014243300745E-2</v>
      </c>
      <c r="AC106" s="62">
        <f t="shared" si="99"/>
        <v>2.2416137213890793E-2</v>
      </c>
      <c r="AD106" s="62">
        <f t="shared" si="99"/>
        <v>2.1924670785204471E-2</v>
      </c>
      <c r="AE106" s="62">
        <f t="shared" si="99"/>
        <v>2.1454292485525724E-2</v>
      </c>
      <c r="AF106" s="62">
        <f t="shared" si="99"/>
        <v>2.100367353034132E-2</v>
      </c>
      <c r="AG106" s="62">
        <f t="shared" si="99"/>
        <v>2.0571594475963698E-2</v>
      </c>
      <c r="AH106" s="62">
        <f t="shared" si="99"/>
        <v>2.0156934199731986E-2</v>
      </c>
      <c r="AI106" s="62">
        <f t="shared" si="99"/>
        <v>1.9758660186478278E-2</v>
      </c>
      <c r="AJ106" s="63">
        <f t="shared" si="99"/>
        <v>1.9375819944359583E-2</v>
      </c>
    </row>
    <row r="107" spans="1:36" ht="15.75" customHeight="1" x14ac:dyDescent="0.25">
      <c r="A107" s="2"/>
      <c r="B107" s="2"/>
      <c r="D107" s="4" t="s">
        <v>70</v>
      </c>
      <c r="F107" s="61">
        <v>0</v>
      </c>
      <c r="G107" s="62">
        <f t="shared" ref="G107:AJ107" si="100">IFERROR((SUMIFS(G$44:G$81,$A$44:$A$81,$D107)-SUMIFS(F$44:F$81,$A$44:$A$81,$D107))/SUMIFS(F$44:F$81,$A$44:$A$81,$D107),0)</f>
        <v>0</v>
      </c>
      <c r="H107" s="62">
        <f t="shared" si="100"/>
        <v>0</v>
      </c>
      <c r="I107" s="62">
        <f t="shared" si="100"/>
        <v>0</v>
      </c>
      <c r="J107" s="62">
        <f t="shared" si="100"/>
        <v>0</v>
      </c>
      <c r="K107" s="62">
        <f t="shared" si="100"/>
        <v>0</v>
      </c>
      <c r="L107" s="62">
        <f t="shared" si="100"/>
        <v>0</v>
      </c>
      <c r="M107" s="62">
        <f t="shared" si="100"/>
        <v>0</v>
      </c>
      <c r="N107" s="62">
        <f t="shared" si="100"/>
        <v>0</v>
      </c>
      <c r="O107" s="62">
        <f t="shared" si="100"/>
        <v>0</v>
      </c>
      <c r="P107" s="62">
        <f t="shared" si="100"/>
        <v>0</v>
      </c>
      <c r="Q107" s="62">
        <f t="shared" si="100"/>
        <v>0</v>
      </c>
      <c r="R107" s="62">
        <f t="shared" si="100"/>
        <v>0</v>
      </c>
      <c r="S107" s="62">
        <f t="shared" si="100"/>
        <v>0</v>
      </c>
      <c r="T107" s="62">
        <f t="shared" si="100"/>
        <v>0</v>
      </c>
      <c r="U107" s="62">
        <f t="shared" si="100"/>
        <v>0</v>
      </c>
      <c r="V107" s="62">
        <f t="shared" si="100"/>
        <v>0</v>
      </c>
      <c r="W107" s="62">
        <f t="shared" si="100"/>
        <v>0</v>
      </c>
      <c r="X107" s="62">
        <f t="shared" si="100"/>
        <v>0</v>
      </c>
      <c r="Y107" s="62">
        <f t="shared" si="100"/>
        <v>0</v>
      </c>
      <c r="Z107" s="62">
        <f t="shared" si="100"/>
        <v>0</v>
      </c>
      <c r="AA107" s="62">
        <f t="shared" si="100"/>
        <v>0</v>
      </c>
      <c r="AB107" s="62">
        <f t="shared" si="100"/>
        <v>0</v>
      </c>
      <c r="AC107" s="62">
        <f t="shared" si="100"/>
        <v>0</v>
      </c>
      <c r="AD107" s="62">
        <f t="shared" si="100"/>
        <v>0</v>
      </c>
      <c r="AE107" s="62">
        <f t="shared" si="100"/>
        <v>0</v>
      </c>
      <c r="AF107" s="62">
        <f t="shared" si="100"/>
        <v>0</v>
      </c>
      <c r="AG107" s="62">
        <f t="shared" si="100"/>
        <v>0</v>
      </c>
      <c r="AH107" s="62">
        <f t="shared" si="100"/>
        <v>0</v>
      </c>
      <c r="AI107" s="62">
        <f t="shared" si="100"/>
        <v>0</v>
      </c>
      <c r="AJ107" s="63">
        <f t="shared" si="100"/>
        <v>0</v>
      </c>
    </row>
    <row r="108" spans="1:36" ht="15.75" customHeight="1" x14ac:dyDescent="0.25">
      <c r="A108" s="7"/>
      <c r="B108" s="7"/>
      <c r="D108" s="4" t="s">
        <v>72</v>
      </c>
      <c r="F108" s="61">
        <v>0</v>
      </c>
      <c r="G108" s="62">
        <f t="shared" ref="G108:AJ108" si="101">IFERROR((SUMIFS(G$44:G$81,$A$44:$A$81,$D108)-SUMIFS(F$44:F$81,$A$44:$A$81,$D108))/SUMIFS(F$44:F$81,$A$44:$A$81,$D108),0)</f>
        <v>4.5119543603296529E-2</v>
      </c>
      <c r="H108" s="62">
        <f t="shared" si="101"/>
        <v>4.3171658093532822E-2</v>
      </c>
      <c r="I108" s="62">
        <f t="shared" si="101"/>
        <v>4.1384999063738478E-2</v>
      </c>
      <c r="J108" s="62">
        <f t="shared" si="101"/>
        <v>3.9740344926176036E-2</v>
      </c>
      <c r="K108" s="62">
        <f t="shared" si="101"/>
        <v>3.8221412798021048E-2</v>
      </c>
      <c r="L108" s="62">
        <f t="shared" si="101"/>
        <v>3.681431756932256E-2</v>
      </c>
      <c r="M108" s="62">
        <f t="shared" si="101"/>
        <v>3.5507146212680057E-2</v>
      </c>
      <c r="N108" s="62">
        <f t="shared" si="101"/>
        <v>3.4289619673350161E-2</v>
      </c>
      <c r="O108" s="62">
        <f t="shared" si="101"/>
        <v>3.3152822015345688E-2</v>
      </c>
      <c r="P108" s="62">
        <f t="shared" si="101"/>
        <v>3.2088981715869234E-2</v>
      </c>
      <c r="Q108" s="62">
        <f t="shared" si="101"/>
        <v>3.1091293758913414E-2</v>
      </c>
      <c r="R108" s="62">
        <f t="shared" si="101"/>
        <v>3.0153773916152898E-2</v>
      </c>
      <c r="S108" s="62">
        <f t="shared" si="101"/>
        <v>2.9271138619935851E-2</v>
      </c>
      <c r="T108" s="62">
        <f t="shared" si="101"/>
        <v>2.8438705333931783E-2</v>
      </c>
      <c r="U108" s="62">
        <f t="shared" si="101"/>
        <v>2.7652309453578761E-2</v>
      </c>
      <c r="V108" s="62">
        <f t="shared" si="101"/>
        <v>2.6908234622938631E-2</v>
      </c>
      <c r="W108" s="62">
        <f t="shared" si="101"/>
        <v>2.6203154007058502E-2</v>
      </c>
      <c r="X108" s="62">
        <f t="shared" si="101"/>
        <v>2.5534080561667057E-2</v>
      </c>
      <c r="Y108" s="62">
        <f t="shared" si="101"/>
        <v>2.489832473210948E-2</v>
      </c>
      <c r="Z108" s="62">
        <f t="shared" si="101"/>
        <v>2.4293458318038409E-2</v>
      </c>
      <c r="AA108" s="62">
        <f t="shared" si="101"/>
        <v>2.3717283480397831E-2</v>
      </c>
      <c r="AB108" s="62">
        <f t="shared" si="101"/>
        <v>2.3167806056528868E-2</v>
      </c>
      <c r="AC108" s="62">
        <f t="shared" si="101"/>
        <v>2.2643212500813258E-2</v>
      </c>
      <c r="AD108" s="62">
        <f t="shared" si="101"/>
        <v>2.2141849888626334E-2</v>
      </c>
      <c r="AE108" s="62">
        <f t="shared" si="101"/>
        <v>2.1662208519332843E-2</v>
      </c>
      <c r="AF108" s="62">
        <f t="shared" si="101"/>
        <v>2.1202906732482346E-2</v>
      </c>
      <c r="AG108" s="62">
        <f t="shared" si="101"/>
        <v>2.0762677615482467E-2</v>
      </c>
      <c r="AH108" s="62">
        <f t="shared" si="101"/>
        <v>2.0340357333579487E-2</v>
      </c>
      <c r="AI108" s="62">
        <f t="shared" si="101"/>
        <v>1.9934874855616066E-2</v>
      </c>
      <c r="AJ108" s="63">
        <f t="shared" si="101"/>
        <v>1.9545242884689236E-2</v>
      </c>
    </row>
    <row r="109" spans="1:36" ht="15.75" customHeight="1" x14ac:dyDescent="0.25">
      <c r="A109" s="7"/>
      <c r="B109" s="7"/>
      <c r="D109" s="41" t="s">
        <v>74</v>
      </c>
      <c r="E109" s="41"/>
      <c r="F109" s="61">
        <v>0</v>
      </c>
      <c r="G109" s="62">
        <f t="shared" ref="G109:AJ109" si="102">IFERROR((SUMIFS(G$44:G$81,$A$44:$A$81,$D109)-SUMIFS(F$44:F$81,$A$44:$A$81,$D109))/SUMIFS(F$44:F$81,$A$44:$A$81,$D109),0)</f>
        <v>4.4673121438662838E-2</v>
      </c>
      <c r="H109" s="62">
        <f t="shared" si="102"/>
        <v>4.2762774806670269E-2</v>
      </c>
      <c r="I109" s="62">
        <f t="shared" si="102"/>
        <v>4.1009111410405447E-2</v>
      </c>
      <c r="J109" s="62">
        <f t="shared" si="102"/>
        <v>3.9393614293005065E-2</v>
      </c>
      <c r="K109" s="62">
        <f t="shared" si="102"/>
        <v>3.7900573710759784E-2</v>
      </c>
      <c r="L109" s="62">
        <f t="shared" si="102"/>
        <v>3.6516574584071718E-2</v>
      </c>
      <c r="M109" s="62">
        <f t="shared" si="102"/>
        <v>3.5230092291312284E-2</v>
      </c>
      <c r="N109" s="62">
        <f t="shared" si="102"/>
        <v>3.403117099631673E-2</v>
      </c>
      <c r="O109" s="62">
        <f t="shared" si="102"/>
        <v>3.2911165495659284E-2</v>
      </c>
      <c r="P109" s="62">
        <f t="shared" si="102"/>
        <v>3.1862532418135227E-2</v>
      </c>
      <c r="Q109" s="62">
        <f t="shared" si="102"/>
        <v>3.0878660109371785E-2</v>
      </c>
      <c r="R109" s="62">
        <f t="shared" si="102"/>
        <v>2.9953729089799659E-2</v>
      </c>
      <c r="S109" s="62">
        <f t="shared" si="102"/>
        <v>2.9082596862162583E-2</v>
      </c>
      <c r="T109" s="62">
        <f t="shared" si="102"/>
        <v>2.8260702251539451E-2</v>
      </c>
      <c r="U109" s="62">
        <f t="shared" si="102"/>
        <v>2.74839855200711E-2</v>
      </c>
      <c r="V109" s="62">
        <f t="shared" si="102"/>
        <v>2.6748821302697953E-2</v>
      </c>
      <c r="W109" s="62">
        <f t="shared" si="102"/>
        <v>2.6051962025893202E-2</v>
      </c>
      <c r="X109" s="62">
        <f t="shared" si="102"/>
        <v>2.5390489946001155E-2</v>
      </c>
      <c r="Y109" s="62">
        <f t="shared" si="102"/>
        <v>2.4761776313468896E-2</v>
      </c>
      <c r="Z109" s="62">
        <f t="shared" si="102"/>
        <v>2.4163446457330005E-2</v>
      </c>
      <c r="AA109" s="62">
        <f t="shared" si="102"/>
        <v>2.359334981238928E-2</v>
      </c>
      <c r="AB109" s="62">
        <f t="shared" si="102"/>
        <v>2.3049534091554639E-2</v>
      </c>
      <c r="AC109" s="62">
        <f t="shared" si="102"/>
        <v>2.2530222949587789E-2</v>
      </c>
      <c r="AD109" s="62">
        <f t="shared" si="102"/>
        <v>2.2033796599760441E-2</v>
      </c>
      <c r="AE109" s="62">
        <f t="shared" si="102"/>
        <v>2.1558774937848555E-2</v>
      </c>
      <c r="AF109" s="62">
        <f t="shared" si="102"/>
        <v>2.1103802802888347E-2</v>
      </c>
      <c r="AG109" s="62">
        <f t="shared" si="102"/>
        <v>2.0667637065849002E-2</v>
      </c>
      <c r="AH109" s="62">
        <f t="shared" si="102"/>
        <v>2.0249135286843252E-2</v>
      </c>
      <c r="AI109" s="62">
        <f t="shared" si="102"/>
        <v>1.9847245723124483E-2</v>
      </c>
      <c r="AJ109" s="63">
        <f t="shared" si="102"/>
        <v>1.9460998503802163E-2</v>
      </c>
    </row>
    <row r="110" spans="1:36" ht="15.75" customHeight="1" x14ac:dyDescent="0.25">
      <c r="A110" s="7"/>
      <c r="B110" s="7"/>
      <c r="D110" s="41" t="s">
        <v>139</v>
      </c>
      <c r="E110" s="41"/>
      <c r="F110" s="69">
        <f>F109</f>
        <v>0</v>
      </c>
      <c r="G110" s="62">
        <f t="shared" ref="G110:AJ110" si="103">IFERROR((SUMIFS(G$44:G$81,$A$44:$A$81,$D110)-SUMIFS(F$44:F$81,$A$44:$A$81,$D110))/SUMIFS(F$44:F$81,$A$44:$A$81,$D110),0)</f>
        <v>0</v>
      </c>
      <c r="H110" s="62">
        <f t="shared" si="103"/>
        <v>0</v>
      </c>
      <c r="I110" s="62">
        <f t="shared" si="103"/>
        <v>0</v>
      </c>
      <c r="J110" s="62">
        <f t="shared" si="103"/>
        <v>0</v>
      </c>
      <c r="K110" s="62">
        <f t="shared" si="103"/>
        <v>0</v>
      </c>
      <c r="L110" s="62">
        <f t="shared" si="103"/>
        <v>0</v>
      </c>
      <c r="M110" s="62">
        <f t="shared" si="103"/>
        <v>0</v>
      </c>
      <c r="N110" s="62">
        <f t="shared" si="103"/>
        <v>0</v>
      </c>
      <c r="O110" s="62">
        <f t="shared" si="103"/>
        <v>0</v>
      </c>
      <c r="P110" s="62">
        <f t="shared" si="103"/>
        <v>0</v>
      </c>
      <c r="Q110" s="62">
        <f t="shared" si="103"/>
        <v>0</v>
      </c>
      <c r="R110" s="62">
        <f t="shared" si="103"/>
        <v>0</v>
      </c>
      <c r="S110" s="62">
        <f t="shared" si="103"/>
        <v>0</v>
      </c>
      <c r="T110" s="62">
        <f t="shared" si="103"/>
        <v>0</v>
      </c>
      <c r="U110" s="62">
        <f t="shared" si="103"/>
        <v>0</v>
      </c>
      <c r="V110" s="62">
        <f t="shared" si="103"/>
        <v>0</v>
      </c>
      <c r="W110" s="62">
        <f t="shared" si="103"/>
        <v>0</v>
      </c>
      <c r="X110" s="62">
        <f t="shared" si="103"/>
        <v>0</v>
      </c>
      <c r="Y110" s="62">
        <f t="shared" si="103"/>
        <v>0</v>
      </c>
      <c r="Z110" s="62">
        <f t="shared" si="103"/>
        <v>0</v>
      </c>
      <c r="AA110" s="62">
        <f t="shared" si="103"/>
        <v>0</v>
      </c>
      <c r="AB110" s="62">
        <f t="shared" si="103"/>
        <v>0</v>
      </c>
      <c r="AC110" s="62">
        <f t="shared" si="103"/>
        <v>0</v>
      </c>
      <c r="AD110" s="62">
        <f t="shared" si="103"/>
        <v>0</v>
      </c>
      <c r="AE110" s="62">
        <f t="shared" si="103"/>
        <v>0</v>
      </c>
      <c r="AF110" s="62">
        <f t="shared" si="103"/>
        <v>0</v>
      </c>
      <c r="AG110" s="62">
        <f t="shared" si="103"/>
        <v>0</v>
      </c>
      <c r="AH110" s="62">
        <f t="shared" si="103"/>
        <v>0</v>
      </c>
      <c r="AI110" s="62">
        <f t="shared" si="103"/>
        <v>0</v>
      </c>
      <c r="AJ110" s="63">
        <f t="shared" si="103"/>
        <v>0</v>
      </c>
    </row>
    <row r="111" spans="1:36" ht="15.75" customHeight="1" x14ac:dyDescent="0.25">
      <c r="A111" s="7"/>
      <c r="B111" s="7"/>
      <c r="C111" s="2"/>
      <c r="D111" s="4" t="s">
        <v>76</v>
      </c>
      <c r="F111" s="61">
        <v>0</v>
      </c>
      <c r="G111" s="62">
        <f t="shared" ref="G111:AJ111" si="104">IFERROR((SUMIFS(G$44:G$81,$A$44:$A$81,$D111)-SUMIFS(F$44:F$81,$A$44:$A$81,$D111))/SUMIFS(F$44:F$81,$A$44:$A$81,$D111),0)</f>
        <v>4.4074053492810426E-2</v>
      </c>
      <c r="H111" s="62">
        <f t="shared" si="104"/>
        <v>4.2213532024269078E-2</v>
      </c>
      <c r="I111" s="62">
        <f t="shared" si="104"/>
        <v>4.0503726661731819E-2</v>
      </c>
      <c r="J111" s="62">
        <f t="shared" si="104"/>
        <v>3.8927036611070401E-2</v>
      </c>
      <c r="K111" s="62">
        <f t="shared" si="104"/>
        <v>3.7468498979546537E-2</v>
      </c>
      <c r="L111" s="62">
        <f t="shared" si="104"/>
        <v>3.6115312432522563E-2</v>
      </c>
      <c r="M111" s="62">
        <f t="shared" si="104"/>
        <v>3.4856460472274496E-2</v>
      </c>
      <c r="N111" s="62">
        <f t="shared" si="104"/>
        <v>3.3682410849862121E-2</v>
      </c>
      <c r="O111" s="62">
        <f t="shared" si="104"/>
        <v>3.2584873744908045E-2</v>
      </c>
      <c r="P111" s="62">
        <f t="shared" si="104"/>
        <v>3.1556605731334661E-2</v>
      </c>
      <c r="Q111" s="62">
        <f t="shared" si="104"/>
        <v>3.0591249724936053E-2</v>
      </c>
      <c r="R111" s="62">
        <f t="shared" si="104"/>
        <v>2.9683203435978335E-2</v>
      </c>
      <c r="S111" s="62">
        <f t="shared" si="104"/>
        <v>2.8827510575037948E-2</v>
      </c>
      <c r="T111" s="62">
        <f t="shared" si="104"/>
        <v>2.8019770348992237E-2</v>
      </c>
      <c r="U111" s="62">
        <f t="shared" si="104"/>
        <v>2.7256061757907082E-2</v>
      </c>
      <c r="V111" s="62">
        <f t="shared" si="104"/>
        <v>2.6532879943560621E-2</v>
      </c>
      <c r="W111" s="62">
        <f t="shared" si="104"/>
        <v>2.5847082409108428E-2</v>
      </c>
      <c r="X111" s="62">
        <f t="shared" si="104"/>
        <v>2.5195843369178288E-2</v>
      </c>
      <c r="Y111" s="62">
        <f t="shared" si="104"/>
        <v>2.4576614831333804E-2</v>
      </c>
      <c r="Z111" s="62">
        <f t="shared" si="104"/>
        <v>2.3987093278904238E-2</v>
      </c>
      <c r="AA111" s="62">
        <f t="shared" si="104"/>
        <v>2.342519103643707E-2</v>
      </c>
      <c r="AB111" s="62">
        <f t="shared" si="104"/>
        <v>2.2889011567825541E-2</v>
      </c>
      <c r="AC111" s="62">
        <f t="shared" si="104"/>
        <v>2.237682809079538E-2</v>
      </c>
      <c r="AD111" s="62">
        <f t="shared" si="104"/>
        <v>2.1887064999889298E-2</v>
      </c>
      <c r="AE111" s="62">
        <f t="shared" si="104"/>
        <v>2.1418281676646597E-2</v>
      </c>
      <c r="AF111" s="62">
        <f t="shared" si="104"/>
        <v>2.0969158336865412E-2</v>
      </c>
      <c r="AG111" s="62">
        <f t="shared" si="104"/>
        <v>2.0538483621792947E-2</v>
      </c>
      <c r="AH111" s="62">
        <f t="shared" si="104"/>
        <v>2.0125143687782992E-2</v>
      </c>
      <c r="AI111" s="62">
        <f t="shared" si="104"/>
        <v>1.9728112587275318E-2</v>
      </c>
      <c r="AJ111" s="63">
        <f t="shared" si="104"/>
        <v>1.9346443766479322E-2</v>
      </c>
    </row>
    <row r="112" spans="1:36" ht="15.75" customHeight="1" x14ac:dyDescent="0.25">
      <c r="A112" s="7"/>
      <c r="B112" s="7"/>
      <c r="D112" s="4" t="s">
        <v>78</v>
      </c>
      <c r="F112" s="61">
        <v>0</v>
      </c>
      <c r="G112" s="62">
        <f t="shared" ref="G112:AJ112" si="105">IFERROR((SUMIFS(G$44:G$81,$A$44:$A$81,$D112)-SUMIFS(F$44:F$81,$A$44:$A$81,$D112))/SUMIFS(F$44:F$81,$A$44:$A$81,$D112),0)</f>
        <v>4.4673100028574421E-2</v>
      </c>
      <c r="H112" s="62">
        <f t="shared" si="105"/>
        <v>4.2762755188539364E-2</v>
      </c>
      <c r="I112" s="62">
        <f t="shared" si="105"/>
        <v>4.1009093368336809E-2</v>
      </c>
      <c r="J112" s="62">
        <f t="shared" si="105"/>
        <v>3.9393597644411339E-2</v>
      </c>
      <c r="K112" s="62">
        <f t="shared" si="105"/>
        <v>3.7900558300233388E-2</v>
      </c>
      <c r="L112" s="62">
        <f t="shared" si="105"/>
        <v>3.6516560278475059E-2</v>
      </c>
      <c r="M112" s="62">
        <f t="shared" si="105"/>
        <v>3.5230078975934893E-2</v>
      </c>
      <c r="N112" s="62">
        <f t="shared" si="105"/>
        <v>3.4031158571816773E-2</v>
      </c>
      <c r="O112" s="62">
        <f t="shared" si="105"/>
        <v>3.2911153875489312E-2</v>
      </c>
      <c r="P112" s="62">
        <f t="shared" si="105"/>
        <v>3.1862521526664175E-2</v>
      </c>
      <c r="Q112" s="62">
        <f t="shared" si="105"/>
        <v>3.0878649880143771E-2</v>
      </c>
      <c r="R112" s="62">
        <f t="shared" si="105"/>
        <v>2.9953719464208786E-2</v>
      </c>
      <c r="S112" s="62">
        <f t="shared" si="105"/>
        <v>2.9082587788296803E-2</v>
      </c>
      <c r="T112" s="62">
        <f t="shared" si="105"/>
        <v>2.8260693683294234E-2</v>
      </c>
      <c r="U112" s="62">
        <f t="shared" si="105"/>
        <v>2.748397741633268E-2</v>
      </c>
      <c r="V112" s="62">
        <f t="shared" si="105"/>
        <v>2.6748813626702689E-2</v>
      </c>
      <c r="W112" s="62">
        <f t="shared" si="105"/>
        <v>2.6051954744634419E-2</v>
      </c>
      <c r="X112" s="62">
        <f t="shared" si="105"/>
        <v>2.5390483029790842E-2</v>
      </c>
      <c r="Y112" s="62">
        <f t="shared" si="105"/>
        <v>2.4761769735533196E-2</v>
      </c>
      <c r="Z112" s="62">
        <f t="shared" si="105"/>
        <v>2.4163440193444789E-2</v>
      </c>
      <c r="AA112" s="62">
        <f t="shared" si="105"/>
        <v>2.359334384058933E-2</v>
      </c>
      <c r="AB112" s="62">
        <f t="shared" si="105"/>
        <v>2.3049528391882613E-2</v>
      </c>
      <c r="AC112" s="62">
        <f t="shared" si="105"/>
        <v>2.2530217503846171E-2</v>
      </c>
      <c r="AD112" s="62">
        <f t="shared" si="105"/>
        <v>2.2033791391364362E-2</v>
      </c>
      <c r="AE112" s="62">
        <f t="shared" si="105"/>
        <v>2.155876995159647E-2</v>
      </c>
      <c r="AF112" s="62">
        <f t="shared" si="105"/>
        <v>2.1103798024878988E-2</v>
      </c>
      <c r="AG112" s="62">
        <f t="shared" si="105"/>
        <v>2.0667632483293417E-2</v>
      </c>
      <c r="AH112" s="62">
        <f t="shared" si="105"/>
        <v>2.0249130887994248E-2</v>
      </c>
      <c r="AI112" s="62">
        <f t="shared" si="105"/>
        <v>1.9847241497152772E-2</v>
      </c>
      <c r="AJ112" s="63">
        <f t="shared" si="105"/>
        <v>1.9460994440713187E-2</v>
      </c>
    </row>
    <row r="113" spans="1:36" ht="15.75" customHeight="1" x14ac:dyDescent="0.25">
      <c r="A113" s="7"/>
      <c r="B113" s="7"/>
      <c r="D113" s="4" t="s">
        <v>80</v>
      </c>
      <c r="F113" s="61">
        <v>0</v>
      </c>
      <c r="G113" s="62">
        <f t="shared" ref="G113:AJ113" si="106">IFERROR((SUMIFS(G$44:G$81,$A$44:$A$81,$D113)-SUMIFS(F$44:F$81,$A$44:$A$81,$D113))/SUMIFS(F$44:F$81,$A$44:$A$81,$D113),0)</f>
        <v>4.4673101422185994E-2</v>
      </c>
      <c r="H113" s="62">
        <f t="shared" si="106"/>
        <v>4.2762756465510025E-2</v>
      </c>
      <c r="I113" s="62">
        <f t="shared" si="106"/>
        <v>4.1009094542709082E-2</v>
      </c>
      <c r="J113" s="62">
        <f t="shared" si="106"/>
        <v>3.9393598728091242E-2</v>
      </c>
      <c r="K113" s="62">
        <f t="shared" si="106"/>
        <v>3.7900559303325802E-2</v>
      </c>
      <c r="L113" s="62">
        <f t="shared" si="106"/>
        <v>3.6516561209646081E-2</v>
      </c>
      <c r="M113" s="62">
        <f t="shared" si="106"/>
        <v>3.5230079842638616E-2</v>
      </c>
      <c r="N113" s="62">
        <f t="shared" si="106"/>
        <v>3.4031159380537301E-2</v>
      </c>
      <c r="O113" s="62">
        <f t="shared" si="106"/>
        <v>3.2911154631862873E-2</v>
      </c>
      <c r="P113" s="62">
        <f t="shared" si="106"/>
        <v>3.1862522235605685E-2</v>
      </c>
      <c r="Q113" s="62">
        <f t="shared" si="106"/>
        <v>3.0878650545978933E-2</v>
      </c>
      <c r="R113" s="62">
        <f t="shared" si="106"/>
        <v>2.9953720090744755E-2</v>
      </c>
      <c r="S113" s="62">
        <f t="shared" si="106"/>
        <v>2.9082588378928E-2</v>
      </c>
      <c r="T113" s="62">
        <f t="shared" si="106"/>
        <v>2.8260694241013854E-2</v>
      </c>
      <c r="U113" s="62">
        <f t="shared" si="106"/>
        <v>2.7483977943816875E-2</v>
      </c>
      <c r="V113" s="62">
        <f t="shared" si="106"/>
        <v>2.6748814126345149E-2</v>
      </c>
      <c r="W113" s="62">
        <f t="shared" si="106"/>
        <v>2.6051955218575604E-2</v>
      </c>
      <c r="X113" s="62">
        <f t="shared" si="106"/>
        <v>2.5390483479977251E-2</v>
      </c>
      <c r="Y113" s="62">
        <f t="shared" si="106"/>
        <v>2.4761770163700812E-2</v>
      </c>
      <c r="Z113" s="62">
        <f t="shared" si="106"/>
        <v>2.4163440601170396E-2</v>
      </c>
      <c r="AA113" s="62">
        <f t="shared" si="106"/>
        <v>2.3593344229294249E-2</v>
      </c>
      <c r="AB113" s="62">
        <f t="shared" si="106"/>
        <v>2.3049528762877095E-2</v>
      </c>
      <c r="AC113" s="62">
        <f t="shared" si="106"/>
        <v>2.2530217858317908E-2</v>
      </c>
      <c r="AD113" s="62">
        <f t="shared" si="106"/>
        <v>2.2033791730387477E-2</v>
      </c>
      <c r="AE113" s="62">
        <f t="shared" si="106"/>
        <v>2.1558770276159312E-2</v>
      </c>
      <c r="AF113" s="62">
        <f t="shared" si="106"/>
        <v>2.1103798335881649E-2</v>
      </c>
      <c r="AG113" s="62">
        <f t="shared" si="106"/>
        <v>2.0667632781579143E-2</v>
      </c>
      <c r="AH113" s="62">
        <f t="shared" si="106"/>
        <v>2.0249131174322227E-2</v>
      </c>
      <c r="AI113" s="62">
        <f t="shared" si="106"/>
        <v>1.9847241772227898E-2</v>
      </c>
      <c r="AJ113" s="63">
        <f t="shared" si="106"/>
        <v>1.9460994705186023E-2</v>
      </c>
    </row>
    <row r="114" spans="1:36" ht="15.75" customHeight="1" x14ac:dyDescent="0.25">
      <c r="A114" s="7"/>
      <c r="B114" s="7"/>
      <c r="D114" s="4" t="s">
        <v>82</v>
      </c>
      <c r="F114" s="61">
        <v>0</v>
      </c>
      <c r="G114" s="62">
        <f t="shared" ref="G114:AJ114" si="107">IFERROR((SUMIFS(G$44:G$81,$A$44:$A$81,$D114)-SUMIFS(F$44:F$81,$A$44:$A$81,$D114))/SUMIFS(F$44:F$81,$A$44:$A$81,$D114),0)</f>
        <v>4.8649070232573574E-2</v>
      </c>
      <c r="H114" s="62">
        <f t="shared" si="107"/>
        <v>4.6392135952370024E-2</v>
      </c>
      <c r="I114" s="62">
        <f t="shared" si="107"/>
        <v>4.4335325504091624E-2</v>
      </c>
      <c r="J114" s="62">
        <f t="shared" si="107"/>
        <v>4.245315122583581E-2</v>
      </c>
      <c r="K114" s="62">
        <f t="shared" si="107"/>
        <v>4.0724277322102362E-2</v>
      </c>
      <c r="L114" s="62">
        <f t="shared" si="107"/>
        <v>3.9130707536587039E-2</v>
      </c>
      <c r="M114" s="62">
        <f t="shared" si="107"/>
        <v>3.7657156364224877E-2</v>
      </c>
      <c r="N114" s="62">
        <f t="shared" si="107"/>
        <v>3.6290557178040195E-2</v>
      </c>
      <c r="O114" s="62">
        <f t="shared" si="107"/>
        <v>3.5019673707006628E-2</v>
      </c>
      <c r="P114" s="62">
        <f t="shared" si="107"/>
        <v>3.3834790387697183E-2</v>
      </c>
      <c r="Q114" s="62">
        <f t="shared" si="107"/>
        <v>3.2727463519578982E-2</v>
      </c>
      <c r="R114" s="62">
        <f t="shared" si="107"/>
        <v>3.1690319736491016E-2</v>
      </c>
      <c r="S114" s="62">
        <f t="shared" si="107"/>
        <v>3.0716891619738885E-2</v>
      </c>
      <c r="T114" s="62">
        <f t="shared" si="107"/>
        <v>2.9801482705381278E-2</v>
      </c>
      <c r="U114" s="62">
        <f t="shared" si="107"/>
        <v>2.893905593054626E-2</v>
      </c>
      <c r="V114" s="62">
        <f t="shared" si="107"/>
        <v>2.8125140904846416E-2</v>
      </c>
      <c r="W114" s="62">
        <f t="shared" si="107"/>
        <v>2.7355756401505591E-2</v>
      </c>
      <c r="X114" s="62">
        <f t="shared" si="107"/>
        <v>2.6627345231718023E-2</v>
      </c>
      <c r="Y114" s="62">
        <f t="shared" si="107"/>
        <v>2.5936719253973946E-2</v>
      </c>
      <c r="Z114" s="62">
        <f t="shared" si="107"/>
        <v>2.5281012724473743E-2</v>
      </c>
      <c r="AA114" s="62">
        <f t="shared" si="107"/>
        <v>2.4657642549435095E-2</v>
      </c>
      <c r="AB114" s="62">
        <f t="shared" si="107"/>
        <v>2.4064274276114187E-2</v>
      </c>
      <c r="AC114" s="62">
        <f t="shared" si="107"/>
        <v>2.3498792879122099E-2</v>
      </c>
      <c r="AD114" s="62">
        <f t="shared" si="107"/>
        <v>2.2959277570822563E-2</v>
      </c>
      <c r="AE114" s="62">
        <f t="shared" si="107"/>
        <v>2.2443980004122236E-2</v>
      </c>
      <c r="AF114" s="62">
        <f t="shared" si="107"/>
        <v>2.1951305345867096E-2</v>
      </c>
      <c r="AG114" s="62">
        <f t="shared" si="107"/>
        <v>2.1479795789727849E-2</v>
      </c>
      <c r="AH114" s="62">
        <f t="shared" si="107"/>
        <v>2.1028116148996946E-2</v>
      </c>
      <c r="AI114" s="62">
        <f t="shared" si="107"/>
        <v>2.0595041229920792E-2</v>
      </c>
      <c r="AJ114" s="63">
        <f t="shared" si="107"/>
        <v>2.0179444733641978E-2</v>
      </c>
    </row>
    <row r="115" spans="1:36" ht="15.75" customHeight="1" x14ac:dyDescent="0.25">
      <c r="A115" s="7"/>
      <c r="B115" s="7"/>
      <c r="D115" s="4" t="s">
        <v>89</v>
      </c>
      <c r="F115" s="61">
        <v>0</v>
      </c>
      <c r="G115" s="62">
        <f t="shared" ref="G115:AJ115" si="108">IFERROR((SUMIFS(G$44:G$81,$A$44:$A$81,$D115)-SUMIFS(F$44:F$81,$A$44:$A$81,$D115))/SUMIFS(F$44:F$81,$A$44:$A$81,$D115),0)</f>
        <v>4.4673114415238468E-2</v>
      </c>
      <c r="H115" s="62">
        <f t="shared" si="108"/>
        <v>4.2762768371084663E-2</v>
      </c>
      <c r="I115" s="62">
        <f t="shared" si="108"/>
        <v>4.1009105491832072E-2</v>
      </c>
      <c r="J115" s="62">
        <f t="shared" si="108"/>
        <v>3.939360883155487E-2</v>
      </c>
      <c r="K115" s="62">
        <f t="shared" si="108"/>
        <v>3.7900568655448642E-2</v>
      </c>
      <c r="L115" s="62">
        <f t="shared" si="108"/>
        <v>3.6516569891224787E-2</v>
      </c>
      <c r="M115" s="62">
        <f t="shared" si="108"/>
        <v>3.5230087923299618E-2</v>
      </c>
      <c r="N115" s="62">
        <f t="shared" si="108"/>
        <v>3.4031166920555946E-2</v>
      </c>
      <c r="O115" s="62">
        <f t="shared" si="108"/>
        <v>3.2911161683746949E-2</v>
      </c>
      <c r="P115" s="62">
        <f t="shared" si="108"/>
        <v>3.1862528845267309E-2</v>
      </c>
      <c r="Q115" s="62">
        <f t="shared" si="108"/>
        <v>3.0878656753747909E-2</v>
      </c>
      <c r="R115" s="62">
        <f t="shared" si="108"/>
        <v>2.9953725932191914E-2</v>
      </c>
      <c r="S115" s="62">
        <f t="shared" si="108"/>
        <v>2.9082593885547001E-2</v>
      </c>
      <c r="T115" s="62">
        <f t="shared" si="108"/>
        <v>2.8260699440789027E-2</v>
      </c>
      <c r="U115" s="62">
        <f t="shared" si="108"/>
        <v>2.7483982861698762E-2</v>
      </c>
      <c r="V115" s="62">
        <f t="shared" si="108"/>
        <v>2.6748818784650734E-2</v>
      </c>
      <c r="W115" s="62">
        <f t="shared" si="108"/>
        <v>2.6051959637326844E-2</v>
      </c>
      <c r="X115" s="62">
        <f t="shared" si="108"/>
        <v>2.5390487677195712E-2</v>
      </c>
      <c r="Y115" s="62">
        <f t="shared" si="108"/>
        <v>2.4761774155624784E-2</v>
      </c>
      <c r="Z115" s="62">
        <f t="shared" si="108"/>
        <v>2.4163444402507891E-2</v>
      </c>
      <c r="AA115" s="62">
        <f t="shared" si="108"/>
        <v>2.3593347853383625E-2</v>
      </c>
      <c r="AB115" s="62">
        <f t="shared" si="108"/>
        <v>2.3049532221816535E-2</v>
      </c>
      <c r="AC115" s="62">
        <f t="shared" si="108"/>
        <v>2.2530221163151815E-2</v>
      </c>
      <c r="AD115" s="62">
        <f t="shared" si="108"/>
        <v>2.2033794891189784E-2</v>
      </c>
      <c r="AE115" s="62">
        <f t="shared" si="108"/>
        <v>2.155877330214467E-2</v>
      </c>
      <c r="AF115" s="62">
        <f t="shared" si="108"/>
        <v>2.1103801235495108E-2</v>
      </c>
      <c r="AG115" s="62">
        <f t="shared" si="108"/>
        <v>2.0667635562574879E-2</v>
      </c>
      <c r="AH115" s="62">
        <f t="shared" si="108"/>
        <v>2.0249133843832742E-2</v>
      </c>
      <c r="AI115" s="62">
        <f t="shared" si="108"/>
        <v>1.984724433682512E-2</v>
      </c>
      <c r="AJ115" s="63">
        <f t="shared" si="108"/>
        <v>1.9460997170935305E-2</v>
      </c>
    </row>
    <row r="116" spans="1:36" ht="15.75" customHeight="1" x14ac:dyDescent="0.25">
      <c r="A116" s="7"/>
      <c r="B116" s="7"/>
      <c r="D116" s="4" t="s">
        <v>91</v>
      </c>
      <c r="F116" s="61">
        <v>0</v>
      </c>
      <c r="G116" s="62">
        <f t="shared" ref="G116:AJ116" si="109">IFERROR((SUMIFS(G$44:G$81,$A$44:$A$81,$D116)-SUMIFS(F$44:F$81,$A$44:$A$81,$D116))/SUMIFS(F$44:F$81,$A$44:$A$81,$D116),0)</f>
        <v>4.321376158874185E-2</v>
      </c>
      <c r="H116" s="62">
        <f t="shared" si="109"/>
        <v>4.1423688202627144E-2</v>
      </c>
      <c r="I116" s="62">
        <f t="shared" si="109"/>
        <v>3.9776018801837974E-2</v>
      </c>
      <c r="J116" s="62">
        <f t="shared" si="109"/>
        <v>3.8254410644778053E-2</v>
      </c>
      <c r="K116" s="62">
        <f t="shared" si="109"/>
        <v>3.6844929578504028E-2</v>
      </c>
      <c r="L116" s="62">
        <f t="shared" si="109"/>
        <v>3.5535622085244849E-2</v>
      </c>
      <c r="M116" s="62">
        <f t="shared" si="109"/>
        <v>3.4316175443281437E-2</v>
      </c>
      <c r="N116" s="62">
        <f t="shared" si="109"/>
        <v>3.3177645538208324E-2</v>
      </c>
      <c r="O116" s="62">
        <f t="shared" si="109"/>
        <v>3.2112237117668738E-2</v>
      </c>
      <c r="P116" s="62">
        <f t="shared" si="109"/>
        <v>3.1113125068013017E-2</v>
      </c>
      <c r="Q116" s="62">
        <f t="shared" si="109"/>
        <v>3.0174308047878618E-2</v>
      </c>
      <c r="R116" s="62">
        <f t="shared" si="109"/>
        <v>2.9290487844777655E-2</v>
      </c>
      <c r="S116" s="62">
        <f t="shared" si="109"/>
        <v>2.8456969330503335E-2</v>
      </c>
      <c r="T116" s="62">
        <f t="shared" si="109"/>
        <v>2.7669577025695131E-2</v>
      </c>
      <c r="U116" s="62">
        <f t="shared" si="109"/>
        <v>2.6924585143190728E-2</v>
      </c>
      <c r="V116" s="62">
        <f t="shared" si="109"/>
        <v>2.62186586364033E-2</v>
      </c>
      <c r="W116" s="62">
        <f t="shared" si="109"/>
        <v>2.5548803284509682E-2</v>
      </c>
      <c r="X116" s="62">
        <f t="shared" si="109"/>
        <v>2.491232323872342E-2</v>
      </c>
      <c r="Y116" s="62">
        <f t="shared" si="109"/>
        <v>2.430678475989094E-2</v>
      </c>
      <c r="Z116" s="62">
        <f t="shared" si="109"/>
        <v>2.3729985119242108E-2</v>
      </c>
      <c r="AA116" s="62">
        <f t="shared" si="109"/>
        <v>2.3179925824364792E-2</v>
      </c>
      <c r="AB116" s="62">
        <f t="shared" si="109"/>
        <v>2.2654789484546408E-2</v>
      </c>
      <c r="AC116" s="62">
        <f t="shared" si="109"/>
        <v>2.2152919751116808E-2</v>
      </c>
      <c r="AD116" s="62">
        <f t="shared" si="109"/>
        <v>2.1672803866292271E-2</v>
      </c>
      <c r="AE116" s="62">
        <f t="shared" si="109"/>
        <v>2.1213057433132617E-2</v>
      </c>
      <c r="AF116" s="62">
        <f t="shared" si="109"/>
        <v>2.0772411083787592E-2</v>
      </c>
      <c r="AG116" s="62">
        <f t="shared" si="109"/>
        <v>2.034969877539386E-2</v>
      </c>
      <c r="AH116" s="62">
        <f t="shared" si="109"/>
        <v>1.9943847486618774E-2</v>
      </c>
      <c r="AI116" s="62">
        <f t="shared" si="109"/>
        <v>1.9553868123000202E-2</v>
      </c>
      <c r="AJ116" s="63">
        <f t="shared" si="109"/>
        <v>1.9178847468843303E-2</v>
      </c>
    </row>
    <row r="117" spans="1:36" ht="15.75" customHeight="1" x14ac:dyDescent="0.25">
      <c r="A117" s="7"/>
      <c r="B117" s="7"/>
      <c r="D117" s="4" t="s">
        <v>93</v>
      </c>
      <c r="F117" s="61">
        <v>0</v>
      </c>
      <c r="G117" s="62">
        <f t="shared" ref="G117:AJ117" si="110">IFERROR((SUMIFS(G$44:G$81,$A$44:$A$81,$D117)-SUMIFS(F$44:F$81,$A$44:$A$81,$D117))/SUMIFS(F$44:F$81,$A$44:$A$81,$D117),0)</f>
        <v>4.3281204885495562E-2</v>
      </c>
      <c r="H117" s="62">
        <f t="shared" si="110"/>
        <v>4.1485655720449648E-2</v>
      </c>
      <c r="I117" s="62">
        <f t="shared" si="110"/>
        <v>3.983315131858621E-2</v>
      </c>
      <c r="J117" s="62">
        <f t="shared" si="110"/>
        <v>3.830725272423266E-2</v>
      </c>
      <c r="K117" s="62">
        <f t="shared" si="110"/>
        <v>3.6893946973514072E-2</v>
      </c>
      <c r="L117" s="62">
        <f t="shared" si="110"/>
        <v>3.5581215495760314E-2</v>
      </c>
      <c r="M117" s="62">
        <f t="shared" si="110"/>
        <v>3.4358691489712503E-2</v>
      </c>
      <c r="N117" s="62">
        <f t="shared" si="110"/>
        <v>3.3217385586259397E-2</v>
      </c>
      <c r="O117" s="62">
        <f t="shared" si="110"/>
        <v>3.2149464429899688E-2</v>
      </c>
      <c r="P117" s="62">
        <f t="shared" si="110"/>
        <v>3.1148070640774118E-2</v>
      </c>
      <c r="Q117" s="62">
        <f t="shared" si="110"/>
        <v>3.0207175407336084E-2</v>
      </c>
      <c r="R117" s="62">
        <f t="shared" si="110"/>
        <v>2.9321457012163314E-2</v>
      </c>
      <c r="S117" s="62">
        <f t="shared" si="110"/>
        <v>2.8486200119907563E-2</v>
      </c>
      <c r="T117" s="62">
        <f t="shared" si="110"/>
        <v>2.7697211801759186E-2</v>
      </c>
      <c r="U117" s="62">
        <f t="shared" si="110"/>
        <v>2.6950751139239178E-2</v>
      </c>
      <c r="V117" s="62">
        <f t="shared" si="110"/>
        <v>2.6243469912594724E-2</v>
      </c>
      <c r="W117" s="62">
        <f t="shared" si="110"/>
        <v>2.5572362389628539E-2</v>
      </c>
      <c r="X117" s="62">
        <f t="shared" si="110"/>
        <v>2.4934722626544188E-2</v>
      </c>
      <c r="Y117" s="62">
        <f t="shared" si="110"/>
        <v>2.432810800149203E-2</v>
      </c>
      <c r="Z117" s="62">
        <f t="shared" si="110"/>
        <v>2.3750307944743611E-2</v>
      </c>
      <c r="AA117" s="62">
        <f t="shared" si="110"/>
        <v>2.319931702137815E-2</v>
      </c>
      <c r="AB117" s="62">
        <f t="shared" si="110"/>
        <v>2.2673311675884784E-2</v>
      </c>
      <c r="AC117" s="62">
        <f t="shared" si="110"/>
        <v>2.2170630070251236E-2</v>
      </c>
      <c r="AD117" s="62">
        <f t="shared" si="110"/>
        <v>2.1689754545899546E-2</v>
      </c>
      <c r="AE117" s="62">
        <f t="shared" si="110"/>
        <v>2.1229296319551817E-2</v>
      </c>
      <c r="AF117" s="62">
        <f t="shared" si="110"/>
        <v>2.07879820879165E-2</v>
      </c>
      <c r="AG117" s="62">
        <f t="shared" si="110"/>
        <v>2.0364642269197594E-2</v>
      </c>
      <c r="AH117" s="62">
        <f t="shared" si="110"/>
        <v>1.9958200652571118E-2</v>
      </c>
      <c r="AI117" s="62">
        <f t="shared" si="110"/>
        <v>1.9567665262950798E-2</v>
      </c>
      <c r="AJ117" s="63">
        <f t="shared" si="110"/>
        <v>1.9192120277671042E-2</v>
      </c>
    </row>
    <row r="118" spans="1:36" ht="15.75" customHeight="1" x14ac:dyDescent="0.25">
      <c r="A118" s="7"/>
      <c r="B118" s="7"/>
      <c r="D118" s="4" t="s">
        <v>95</v>
      </c>
      <c r="F118" s="61">
        <v>0</v>
      </c>
      <c r="G118" s="62">
        <f t="shared" ref="G118:AJ118" si="111">IFERROR((SUMIFS(G$44:G$81,$A$44:$A$81,$D118)-SUMIFS(F$44:F$81,$A$44:$A$81,$D118))/SUMIFS(F$44:F$81,$A$44:$A$81,$D118),0)</f>
        <v>4.9984641924961958E-2</v>
      </c>
      <c r="H118" s="62">
        <f t="shared" si="111"/>
        <v>4.7605117188498983E-2</v>
      </c>
      <c r="I118" s="62">
        <f t="shared" si="111"/>
        <v>4.5441852476111225E-2</v>
      </c>
      <c r="J118" s="62">
        <f t="shared" si="111"/>
        <v>4.3466647493098705E-2</v>
      </c>
      <c r="K118" s="62">
        <f t="shared" si="111"/>
        <v>4.1656000790754731E-2</v>
      </c>
      <c r="L118" s="62">
        <f t="shared" si="111"/>
        <v>3.9990170228110154E-2</v>
      </c>
      <c r="M118" s="62">
        <f t="shared" si="111"/>
        <v>3.8452450198982434E-2</v>
      </c>
      <c r="N118" s="62">
        <f t="shared" si="111"/>
        <v>3.7028609438590619E-2</v>
      </c>
      <c r="O118" s="62">
        <f t="shared" si="111"/>
        <v>3.5706449273985363E-2</v>
      </c>
      <c r="P118" s="62">
        <f t="shared" si="111"/>
        <v>3.4475453251271194E-2</v>
      </c>
      <c r="Q118" s="62">
        <f t="shared" si="111"/>
        <v>3.3326506823257801E-2</v>
      </c>
      <c r="R118" s="62">
        <f t="shared" si="111"/>
        <v>3.2251671280274272E-2</v>
      </c>
      <c r="S118" s="62">
        <f t="shared" si="111"/>
        <v>3.1244000060831466E-2</v>
      </c>
      <c r="T118" s="62">
        <f t="shared" si="111"/>
        <v>3.0297388454127668E-2</v>
      </c>
      <c r="U118" s="62">
        <f t="shared" si="111"/>
        <v>2.9406449820861481E-2</v>
      </c>
      <c r="V118" s="62">
        <f t="shared" si="111"/>
        <v>2.8566413029533621E-2</v>
      </c>
      <c r="W118" s="62">
        <f t="shared" si="111"/>
        <v>2.777303698396516E-2</v>
      </c>
      <c r="X118" s="62">
        <f t="shared" si="111"/>
        <v>2.7022539008676544E-2</v>
      </c>
      <c r="Y118" s="62">
        <f t="shared" si="111"/>
        <v>2.6311534540186223E-2</v>
      </c>
      <c r="Z118" s="62">
        <f t="shared" si="111"/>
        <v>2.5636986095040296E-2</v>
      </c>
      <c r="AA118" s="62">
        <f t="shared" si="111"/>
        <v>2.4996159891473194E-2</v>
      </c>
      <c r="AB118" s="62">
        <f t="shared" si="111"/>
        <v>2.4386588818166688E-2</v>
      </c>
      <c r="AC118" s="62">
        <f t="shared" si="111"/>
        <v>2.3806040692412284E-2</v>
      </c>
      <c r="AD118" s="62">
        <f t="shared" si="111"/>
        <v>2.3252490946744558E-2</v>
      </c>
      <c r="AE118" s="62">
        <f t="shared" si="111"/>
        <v>2.2724099039544442E-2</v>
      </c>
      <c r="AF118" s="62">
        <f t="shared" si="111"/>
        <v>2.2219188010613015E-2</v>
      </c>
      <c r="AG118" s="62">
        <f t="shared" si="111"/>
        <v>2.1736226702860843E-2</v>
      </c>
      <c r="AH118" s="62">
        <f t="shared" si="111"/>
        <v>2.127381425341408E-2</v>
      </c>
      <c r="AI118" s="62">
        <f t="shared" si="111"/>
        <v>2.0830666523028365E-2</v>
      </c>
      <c r="AJ118" s="63">
        <f t="shared" si="111"/>
        <v>2.0405604187007893E-2</v>
      </c>
    </row>
    <row r="119" spans="1:36" ht="15.75" customHeight="1" x14ac:dyDescent="0.25">
      <c r="A119" s="7"/>
      <c r="B119" s="7"/>
      <c r="D119" s="4" t="s">
        <v>97</v>
      </c>
      <c r="F119" s="61">
        <v>0</v>
      </c>
      <c r="G119" s="62">
        <f t="shared" ref="G119:AJ119" si="112">IFERROR((SUMIFS(G$44:G$81,$A$44:$A$81,$D119)-SUMIFS(F$44:F$81,$A$44:$A$81,$D119))/SUMIFS(F$44:F$81,$A$44:$A$81,$D119),0)</f>
        <v>4.560588747818161E-2</v>
      </c>
      <c r="H119" s="62">
        <f t="shared" si="112"/>
        <v>4.3616708766029452E-2</v>
      </c>
      <c r="I119" s="62">
        <f t="shared" si="112"/>
        <v>4.1793800731306584E-2</v>
      </c>
      <c r="J119" s="62">
        <f t="shared" si="112"/>
        <v>4.0117152455666993E-2</v>
      </c>
      <c r="K119" s="62">
        <f t="shared" si="112"/>
        <v>3.8569840292463506E-2</v>
      </c>
      <c r="L119" s="62">
        <f t="shared" si="112"/>
        <v>3.7137454599685038E-2</v>
      </c>
      <c r="M119" s="62">
        <f t="shared" si="112"/>
        <v>3.5807649636970612E-2</v>
      </c>
      <c r="N119" s="62">
        <f t="shared" si="112"/>
        <v>3.4569786822409028E-2</v>
      </c>
      <c r="O119" s="62">
        <f t="shared" si="112"/>
        <v>3.3414649512032546E-2</v>
      </c>
      <c r="P119" s="62">
        <f t="shared" si="112"/>
        <v>3.2334213113594426E-2</v>
      </c>
      <c r="Q119" s="62">
        <f t="shared" si="112"/>
        <v>3.1321458402565894E-2</v>
      </c>
      <c r="R119" s="62">
        <f t="shared" si="112"/>
        <v>3.0370218856001836E-2</v>
      </c>
      <c r="S119" s="62">
        <f t="shared" si="112"/>
        <v>2.9475054985305421E-2</v>
      </c>
      <c r="T119" s="62">
        <f t="shared" si="112"/>
        <v>2.8631150257182429E-2</v>
      </c>
      <c r="U119" s="62">
        <f t="shared" si="112"/>
        <v>2.7834224396202617E-2</v>
      </c>
      <c r="V119" s="62">
        <f t="shared" si="112"/>
        <v>2.708046077425932E-2</v>
      </c>
      <c r="W119" s="62">
        <f t="shared" si="112"/>
        <v>2.6366445286910487E-2</v>
      </c>
      <c r="X119" s="62">
        <f t="shared" si="112"/>
        <v>2.5689114650995836E-2</v>
      </c>
      <c r="Y119" s="62">
        <f t="shared" si="112"/>
        <v>2.5045712471792093E-2</v>
      </c>
      <c r="Z119" s="62">
        <f t="shared" si="112"/>
        <v>2.4433751750833569E-2</v>
      </c>
      <c r="AA119" s="62">
        <f t="shared" si="112"/>
        <v>2.385098275908468E-2</v>
      </c>
      <c r="AB119" s="62">
        <f t="shared" si="112"/>
        <v>2.3295365400549595E-2</v>
      </c>
      <c r="AC119" s="62">
        <f t="shared" si="112"/>
        <v>2.2765045350743932E-2</v>
      </c>
      <c r="AD119" s="62">
        <f t="shared" si="112"/>
        <v>2.2258333381873604E-2</v>
      </c>
      <c r="AE119" s="62">
        <f t="shared" si="112"/>
        <v>2.1773687389016184E-2</v>
      </c>
      <c r="AF119" s="62">
        <f t="shared" si="112"/>
        <v>2.1309696714402047E-2</v>
      </c>
      <c r="AG119" s="62">
        <f t="shared" si="112"/>
        <v>2.0865068434145172E-2</v>
      </c>
      <c r="AH119" s="62">
        <f t="shared" si="112"/>
        <v>2.0438615326655338E-2</v>
      </c>
      <c r="AI119" s="62">
        <f t="shared" si="112"/>
        <v>2.0029245286952099E-2</v>
      </c>
      <c r="AJ119" s="63">
        <f t="shared" si="112"/>
        <v>1.9635951988138851E-2</v>
      </c>
    </row>
    <row r="120" spans="1:36" ht="15.75" customHeight="1" x14ac:dyDescent="0.25">
      <c r="A120" s="7"/>
      <c r="B120" s="7"/>
      <c r="D120" s="4" t="s">
        <v>99</v>
      </c>
      <c r="F120" s="61">
        <v>0</v>
      </c>
      <c r="G120" s="62">
        <f t="shared" ref="G120:AJ120" si="113">IFERROR((SUMIFS(G$44:G$81,$A$44:$A$81,$D120)-SUMIFS(F$44:F$81,$A$44:$A$81,$D120))/SUMIFS(F$44:F$81,$A$44:$A$81,$D120),0)</f>
        <v>4.432936915690569E-2</v>
      </c>
      <c r="H120" s="62">
        <f t="shared" si="113"/>
        <v>4.2447689843955166E-2</v>
      </c>
      <c r="I120" s="62">
        <f t="shared" si="113"/>
        <v>4.071925167805792E-2</v>
      </c>
      <c r="J120" s="62">
        <f t="shared" si="113"/>
        <v>3.9126067488798398E-2</v>
      </c>
      <c r="K120" s="62">
        <f t="shared" si="113"/>
        <v>3.7652859179399006E-2</v>
      </c>
      <c r="L120" s="62">
        <f t="shared" si="113"/>
        <v>3.6286566211724991E-2</v>
      </c>
      <c r="M120" s="62">
        <f t="shared" si="113"/>
        <v>3.5015957356636464E-2</v>
      </c>
      <c r="N120" s="62">
        <f t="shared" si="113"/>
        <v>3.3831321254277992E-2</v>
      </c>
      <c r="O120" s="62">
        <f t="shared" si="113"/>
        <v>3.2724217731411667E-2</v>
      </c>
      <c r="P120" s="62">
        <f t="shared" si="113"/>
        <v>3.1687276399208542E-2</v>
      </c>
      <c r="Q120" s="62">
        <f t="shared" si="113"/>
        <v>3.071403236628387E-2</v>
      </c>
      <c r="R120" s="62">
        <f t="shared" si="113"/>
        <v>2.9798791325050141E-2</v>
      </c>
      <c r="S120" s="62">
        <f t="shared" si="113"/>
        <v>2.8936518061664709E-2</v>
      </c>
      <c r="T120" s="62">
        <f t="shared" si="113"/>
        <v>2.8122743778370873E-2</v>
      </c>
      <c r="U120" s="62">
        <f t="shared" si="113"/>
        <v>2.7353488626289162E-2</v>
      </c>
      <c r="V120" s="62">
        <f t="shared" si="113"/>
        <v>2.6625196613547768E-2</v>
      </c>
      <c r="W120" s="62">
        <f t="shared" si="113"/>
        <v>2.5934680642336002E-2</v>
      </c>
      <c r="X120" s="62">
        <f t="shared" si="113"/>
        <v>2.5279075882392768E-2</v>
      </c>
      <c r="Y120" s="62">
        <f t="shared" si="113"/>
        <v>2.4655800042185264E-2</v>
      </c>
      <c r="Z120" s="62">
        <f t="shared" si="113"/>
        <v>2.4062519375940856E-2</v>
      </c>
      <c r="AA120" s="62">
        <f t="shared" si="113"/>
        <v>2.3497119483099967E-2</v>
      </c>
      <c r="AB120" s="62">
        <f t="shared" si="113"/>
        <v>2.2957680130029866E-2</v>
      </c>
      <c r="AC120" s="62">
        <f t="shared" si="113"/>
        <v>2.2442453462119347E-2</v>
      </c>
      <c r="AD120" s="62">
        <f t="shared" si="113"/>
        <v>2.1949845085286312E-2</v>
      </c>
      <c r="AE120" s="62">
        <f t="shared" si="113"/>
        <v>2.1478397585602157E-2</v>
      </c>
      <c r="AF120" s="62">
        <f t="shared" si="113"/>
        <v>2.1026776127981914E-2</v>
      </c>
      <c r="AG120" s="62">
        <f t="shared" si="113"/>
        <v>2.0593755834417301E-2</v>
      </c>
      <c r="AH120" s="62">
        <f t="shared" si="113"/>
        <v>2.0178210690286118E-2</v>
      </c>
      <c r="AI120" s="62">
        <f t="shared" si="113"/>
        <v>1.9779103767206395E-2</v>
      </c>
      <c r="AJ120" s="63">
        <f t="shared" si="113"/>
        <v>1.9395478583685059E-2</v>
      </c>
    </row>
    <row r="121" spans="1:36" ht="15.75" customHeight="1" x14ac:dyDescent="0.25">
      <c r="A121" s="7"/>
      <c r="B121" s="7"/>
      <c r="D121" s="4" t="s">
        <v>101</v>
      </c>
      <c r="F121" s="61">
        <v>0</v>
      </c>
      <c r="G121" s="62">
        <f t="shared" ref="G121:AJ121" si="114">IFERROR((SUMIFS(G$44:G$81,$A$44:$A$81,$D121)-SUMIFS(F$44:F$81,$A$44:$A$81,$D121))/SUMIFS(F$44:F$81,$A$44:$A$81,$D121),0)</f>
        <v>4.5080473598461415E-2</v>
      </c>
      <c r="H121" s="62">
        <f t="shared" si="114"/>
        <v>4.313588736688824E-2</v>
      </c>
      <c r="I121" s="62">
        <f t="shared" si="114"/>
        <v>4.1352126687691351E-2</v>
      </c>
      <c r="J121" s="62">
        <f t="shared" si="114"/>
        <v>3.9710032397242939E-2</v>
      </c>
      <c r="K121" s="62">
        <f t="shared" si="114"/>
        <v>3.8193372344085229E-2</v>
      </c>
      <c r="L121" s="62">
        <f t="shared" si="114"/>
        <v>3.6788302990078153E-2</v>
      </c>
      <c r="M121" s="62">
        <f t="shared" si="114"/>
        <v>3.5482945635087179E-2</v>
      </c>
      <c r="N121" s="62">
        <f t="shared" si="114"/>
        <v>3.426704977097618E-2</v>
      </c>
      <c r="O121" s="62">
        <f t="shared" si="114"/>
        <v>3.3131723357692121E-2</v>
      </c>
      <c r="P121" s="62">
        <f t="shared" si="114"/>
        <v>3.2069214998066059E-2</v>
      </c>
      <c r="Q121" s="62">
        <f t="shared" si="114"/>
        <v>3.107273672351283E-2</v>
      </c>
      <c r="R121" s="62">
        <f t="shared" si="114"/>
        <v>3.0136318822901905E-2</v>
      </c>
      <c r="S121" s="62">
        <f t="shared" si="114"/>
        <v>2.9254690153374598E-2</v>
      </c>
      <c r="T121" s="62">
        <f t="shared" si="114"/>
        <v>2.84231788625861E-2</v>
      </c>
      <c r="U121" s="62">
        <f t="shared" si="114"/>
        <v>2.7637629573860262E-2</v>
      </c>
      <c r="V121" s="62">
        <f t="shared" si="114"/>
        <v>2.6894333934940506E-2</v>
      </c>
      <c r="W121" s="62">
        <f t="shared" si="114"/>
        <v>2.6189972080062959E-2</v>
      </c>
      <c r="X121" s="62">
        <f t="shared" si="114"/>
        <v>2.5521563056191063E-2</v>
      </c>
      <c r="Y121" s="62">
        <f t="shared" si="114"/>
        <v>2.4886422651245209E-2</v>
      </c>
      <c r="Z121" s="62">
        <f t="shared" si="114"/>
        <v>2.4282127366734147E-2</v>
      </c>
      <c r="AA121" s="62">
        <f t="shared" si="114"/>
        <v>2.3706483514606455E-2</v>
      </c>
      <c r="AB121" s="62">
        <f t="shared" si="114"/>
        <v>2.3157500608198704E-2</v>
      </c>
      <c r="AC121" s="62">
        <f t="shared" si="114"/>
        <v>2.2633368366494263E-2</v>
      </c>
      <c r="AD121" s="62">
        <f t="shared" si="114"/>
        <v>2.2132436772173466E-2</v>
      </c>
      <c r="AE121" s="62">
        <f t="shared" si="114"/>
        <v>2.1653198720582734E-2</v>
      </c>
      <c r="AF121" s="62">
        <f t="shared" si="114"/>
        <v>2.1194274874968683E-2</v>
      </c>
      <c r="AG121" s="62">
        <f t="shared" si="114"/>
        <v>2.0754400407866733E-2</v>
      </c>
      <c r="AH121" s="62">
        <f t="shared" si="114"/>
        <v>2.0332413359733188E-2</v>
      </c>
      <c r="AI121" s="62">
        <f t="shared" si="114"/>
        <v>1.9927244389681756E-2</v>
      </c>
      <c r="AJ121" s="63">
        <f t="shared" si="114"/>
        <v>1.9537907727539119E-2</v>
      </c>
    </row>
    <row r="122" spans="1:36" ht="15.75" customHeight="1" x14ac:dyDescent="0.25">
      <c r="A122" s="7"/>
      <c r="B122" s="7"/>
      <c r="D122" s="4" t="s">
        <v>105</v>
      </c>
      <c r="F122" s="61">
        <v>0</v>
      </c>
      <c r="G122" s="62">
        <f t="shared" ref="G122:AJ122" si="115">IFERROR((SUMIFS(G$44:G$81,$A$44:$A$81,$D122)-SUMIFS(F$44:F$81,$A$44:$A$81,$D122))/SUMIFS(F$44:F$81,$A$44:$A$81,$D122),0)</f>
        <v>4.4673091892306623E-2</v>
      </c>
      <c r="H122" s="62">
        <f t="shared" si="115"/>
        <v>4.2762747733239091E-2</v>
      </c>
      <c r="I122" s="62">
        <f t="shared" si="115"/>
        <v>4.1009086511969613E-2</v>
      </c>
      <c r="J122" s="62">
        <f t="shared" si="115"/>
        <v>3.9393591317597149E-2</v>
      </c>
      <c r="K122" s="62">
        <f t="shared" si="115"/>
        <v>3.7900552443921619E-2</v>
      </c>
      <c r="L122" s="62">
        <f t="shared" si="115"/>
        <v>3.6516554842048188E-2</v>
      </c>
      <c r="M122" s="62">
        <f t="shared" si="115"/>
        <v>3.5230073915822294E-2</v>
      </c>
      <c r="N122" s="62">
        <f t="shared" si="115"/>
        <v>3.4031153850237701E-2</v>
      </c>
      <c r="O122" s="62">
        <f t="shared" si="115"/>
        <v>3.2911149459580631E-2</v>
      </c>
      <c r="P122" s="62">
        <f t="shared" si="115"/>
        <v>3.1862517387685613E-2</v>
      </c>
      <c r="Q122" s="62">
        <f t="shared" si="115"/>
        <v>3.0878645992821852E-2</v>
      </c>
      <c r="R122" s="62">
        <f t="shared" si="115"/>
        <v>2.995371580627916E-2</v>
      </c>
      <c r="S122" s="62">
        <f t="shared" si="115"/>
        <v>2.9082584340036827E-2</v>
      </c>
      <c r="T122" s="62">
        <f t="shared" si="115"/>
        <v>2.8260690427188907E-2</v>
      </c>
      <c r="U122" s="62">
        <f t="shared" si="115"/>
        <v>2.7483974336749234E-2</v>
      </c>
      <c r="V122" s="62">
        <f t="shared" si="115"/>
        <v>2.674881070965841E-2</v>
      </c>
      <c r="W122" s="62">
        <f t="shared" si="115"/>
        <v>2.6051951977600265E-2</v>
      </c>
      <c r="X122" s="62">
        <f t="shared" si="115"/>
        <v>2.5390480401484984E-2</v>
      </c>
      <c r="Y122" s="62">
        <f t="shared" si="115"/>
        <v>2.4761767235786027E-2</v>
      </c>
      <c r="Z122" s="62">
        <f t="shared" si="115"/>
        <v>2.416343781303602E-2</v>
      </c>
      <c r="AA122" s="62">
        <f t="shared" si="115"/>
        <v>2.3593341571185991E-2</v>
      </c>
      <c r="AB122" s="62">
        <f t="shared" si="115"/>
        <v>2.3049526225884687E-2</v>
      </c>
      <c r="AC122" s="62">
        <f t="shared" si="115"/>
        <v>2.2530215434349108E-2</v>
      </c>
      <c r="AD122" s="62">
        <f t="shared" si="115"/>
        <v>2.203378941206673E-2</v>
      </c>
      <c r="AE122" s="62">
        <f t="shared" si="115"/>
        <v>2.1558768056715059E-2</v>
      </c>
      <c r="AF122" s="62">
        <f t="shared" si="115"/>
        <v>2.1103796209132469E-2</v>
      </c>
      <c r="AG122" s="62">
        <f t="shared" si="115"/>
        <v>2.0667630741825239E-2</v>
      </c>
      <c r="AH122" s="62">
        <f t="shared" si="115"/>
        <v>2.024912921634435E-2</v>
      </c>
      <c r="AI122" s="62">
        <f t="shared" si="115"/>
        <v>1.9847239891199665E-2</v>
      </c>
      <c r="AJ122" s="63">
        <f t="shared" si="115"/>
        <v>1.9460992896653075E-2</v>
      </c>
    </row>
    <row r="123" spans="1:36" ht="15.75" customHeight="1" x14ac:dyDescent="0.25">
      <c r="A123" s="7"/>
      <c r="B123" s="7"/>
      <c r="D123" s="4" t="s">
        <v>107</v>
      </c>
      <c r="F123" s="61">
        <v>0</v>
      </c>
      <c r="G123" s="62">
        <f t="shared" ref="G123:AJ123" si="116">IFERROR((SUMIFS(G$44:G$81,$A$44:$A$81,$D123)-SUMIFS(F$44:F$81,$A$44:$A$81,$D123))/SUMIFS(F$44:F$81,$A$44:$A$81,$D123),0)</f>
        <v>4.4673100087774607E-2</v>
      </c>
      <c r="H123" s="62">
        <f t="shared" si="116"/>
        <v>4.2762755242784681E-2</v>
      </c>
      <c r="I123" s="62">
        <f t="shared" si="116"/>
        <v>4.1009093418197071E-2</v>
      </c>
      <c r="J123" s="62">
        <f t="shared" si="116"/>
        <v>3.9393597690446737E-2</v>
      </c>
      <c r="K123" s="62">
        <f t="shared" si="116"/>
        <v>3.7900558342845378E-2</v>
      </c>
      <c r="L123" s="62">
        <f t="shared" si="116"/>
        <v>3.6516560318017477E-2</v>
      </c>
      <c r="M123" s="62">
        <f t="shared" si="116"/>
        <v>3.5230079012754031E-2</v>
      </c>
      <c r="N123" s="62">
        <f t="shared" si="116"/>
        <v>3.4031158606163334E-2</v>
      </c>
      <c r="O123" s="62">
        <f t="shared" si="116"/>
        <v>3.291115390762122E-2</v>
      </c>
      <c r="P123" s="62">
        <f t="shared" si="116"/>
        <v>3.1862521556768615E-2</v>
      </c>
      <c r="Q123" s="62">
        <f t="shared" si="116"/>
        <v>3.0878649908429843E-2</v>
      </c>
      <c r="R123" s="62">
        <f t="shared" si="116"/>
        <v>2.9953719490817574E-2</v>
      </c>
      <c r="S123" s="62">
        <f t="shared" si="116"/>
        <v>2.908258781337688E-2</v>
      </c>
      <c r="T123" s="62">
        <f t="shared" si="116"/>
        <v>2.8260693706987854E-2</v>
      </c>
      <c r="U123" s="62">
        <f t="shared" si="116"/>
        <v>2.7483977438741806E-2</v>
      </c>
      <c r="V123" s="62">
        <f t="shared" si="116"/>
        <v>2.6748813647918535E-2</v>
      </c>
      <c r="W123" s="62">
        <f t="shared" si="116"/>
        <v>2.6051954764762384E-2</v>
      </c>
      <c r="X123" s="62">
        <f t="shared" si="116"/>
        <v>2.5390483048916543E-2</v>
      </c>
      <c r="Y123" s="62">
        <f t="shared" si="116"/>
        <v>2.4761769753723455E-2</v>
      </c>
      <c r="Z123" s="62">
        <f t="shared" si="116"/>
        <v>2.4163440210757121E-2</v>
      </c>
      <c r="AA123" s="62">
        <f t="shared" si="116"/>
        <v>2.359334385710363E-2</v>
      </c>
      <c r="AB123" s="62">
        <f t="shared" si="116"/>
        <v>2.3049528407638145E-2</v>
      </c>
      <c r="AC123" s="62">
        <f t="shared" si="116"/>
        <v>2.2530217518897031E-2</v>
      </c>
      <c r="AD123" s="62">
        <f t="shared" si="116"/>
        <v>2.2033791405767902E-2</v>
      </c>
      <c r="AE123" s="62">
        <f t="shared" si="116"/>
        <v>2.1558769965385662E-2</v>
      </c>
      <c r="AF123" s="62">
        <f t="shared" si="116"/>
        <v>2.1103798038086596E-2</v>
      </c>
      <c r="AG123" s="62">
        <f t="shared" si="116"/>
        <v>2.0667632495958228E-2</v>
      </c>
      <c r="AH123" s="62">
        <f t="shared" si="116"/>
        <v>2.0249130900159285E-2</v>
      </c>
      <c r="AI123" s="62">
        <f t="shared" si="116"/>
        <v>1.9847241508839712E-2</v>
      </c>
      <c r="AJ123" s="63">
        <f t="shared" si="116"/>
        <v>1.9460994451942052E-2</v>
      </c>
    </row>
    <row r="124" spans="1:36" ht="15.75" customHeight="1" x14ac:dyDescent="0.25">
      <c r="A124" s="7"/>
      <c r="B124" s="7"/>
      <c r="D124" s="4" t="s">
        <v>109</v>
      </c>
      <c r="F124" s="61">
        <v>0</v>
      </c>
      <c r="G124" s="62">
        <f t="shared" ref="G124:AJ124" si="117">IFERROR((SUMIFS(G$44:G$81,$A$44:$A$81,$D124)-SUMIFS(F$44:F$81,$A$44:$A$81,$D124))/SUMIFS(F$44:F$81,$A$44:$A$81,$D124),0)</f>
        <v>4.4672996843325603E-2</v>
      </c>
      <c r="H124" s="62">
        <f t="shared" si="117"/>
        <v>4.2762660639562237E-2</v>
      </c>
      <c r="I124" s="62">
        <f t="shared" si="117"/>
        <v>4.1009006415069015E-2</v>
      </c>
      <c r="J124" s="62">
        <f t="shared" si="117"/>
        <v>3.9393517407012697E-2</v>
      </c>
      <c r="K124" s="62">
        <f t="shared" si="117"/>
        <v>3.7900484029656227E-2</v>
      </c>
      <c r="L124" s="62">
        <f t="shared" si="117"/>
        <v>3.6516491333053271E-2</v>
      </c>
      <c r="M124" s="62">
        <f t="shared" si="117"/>
        <v>3.5230014802856355E-2</v>
      </c>
      <c r="N124" s="62">
        <f t="shared" si="117"/>
        <v>3.4031098692173613E-2</v>
      </c>
      <c r="O124" s="62">
        <f t="shared" si="117"/>
        <v>3.2911097872409846E-2</v>
      </c>
      <c r="P124" s="62">
        <f t="shared" si="117"/>
        <v>3.1862469035525053E-2</v>
      </c>
      <c r="Q124" s="62">
        <f t="shared" si="117"/>
        <v>3.0878600580663322E-2</v>
      </c>
      <c r="R124" s="62">
        <f t="shared" si="117"/>
        <v>2.9953673073878636E-2</v>
      </c>
      <c r="S124" s="62">
        <f t="shared" si="117"/>
        <v>2.9082544057049346E-2</v>
      </c>
      <c r="T124" s="62">
        <f t="shared" si="117"/>
        <v>2.8260652388869104E-2</v>
      </c>
      <c r="U124" s="62">
        <f t="shared" si="117"/>
        <v>2.7483938360583549E-2</v>
      </c>
      <c r="V124" s="62">
        <f t="shared" si="117"/>
        <v>2.6748776632397712E-2</v>
      </c>
      <c r="W124" s="62">
        <f t="shared" si="117"/>
        <v>2.6051919652760842E-2</v>
      </c>
      <c r="X124" s="62">
        <f t="shared" si="117"/>
        <v>2.5390449697299332E-2</v>
      </c>
      <c r="Y124" s="62">
        <f t="shared" si="117"/>
        <v>2.4761738033335839E-2</v>
      </c>
      <c r="Z124" s="62">
        <f t="shared" si="117"/>
        <v>2.4163410004814652E-2</v>
      </c>
      <c r="AA124" s="62">
        <f t="shared" si="117"/>
        <v>2.359331505965543E-2</v>
      </c>
      <c r="AB124" s="62">
        <f t="shared" si="117"/>
        <v>2.3049500922424842E-2</v>
      </c>
      <c r="AC124" s="62">
        <f t="shared" si="117"/>
        <v>2.2530191258235729E-2</v>
      </c>
      <c r="AD124" s="62">
        <f t="shared" si="117"/>
        <v>2.2033766289591954E-2</v>
      </c>
      <c r="AE124" s="62">
        <f t="shared" si="117"/>
        <v>2.155874592047452E-2</v>
      </c>
      <c r="AF124" s="62">
        <f t="shared" si="117"/>
        <v>2.1103774997352547E-2</v>
      </c>
      <c r="AG124" s="62">
        <f t="shared" si="117"/>
        <v>2.0667610397784753E-2</v>
      </c>
      <c r="AH124" s="62">
        <f t="shared" si="117"/>
        <v>2.0249109687854174E-2</v>
      </c>
      <c r="AI124" s="62">
        <f t="shared" si="117"/>
        <v>1.9847221130189861E-2</v>
      </c>
      <c r="AJ124" s="63">
        <f t="shared" si="117"/>
        <v>1.9460974858759007E-2</v>
      </c>
    </row>
    <row r="125" spans="1:36" ht="15.75" customHeight="1" x14ac:dyDescent="0.25">
      <c r="A125" s="7"/>
      <c r="B125" s="7"/>
      <c r="D125" s="4" t="s">
        <v>111</v>
      </c>
      <c r="F125" s="61">
        <v>0</v>
      </c>
      <c r="G125" s="62">
        <f t="shared" ref="G125:AJ125" si="118">IFERROR((SUMIFS(G$44:G$81,$A$44:$A$81,$D125)-SUMIFS(F$44:F$81,$A$44:$A$81,$D125))/SUMIFS(F$44:F$81,$A$44:$A$81,$D125),0)</f>
        <v>4.5472425467207173E-2</v>
      </c>
      <c r="H125" s="62">
        <f t="shared" si="118"/>
        <v>4.3494619618385605E-2</v>
      </c>
      <c r="I125" s="62">
        <f t="shared" si="118"/>
        <v>4.1681690351495958E-2</v>
      </c>
      <c r="J125" s="62">
        <f t="shared" si="118"/>
        <v>4.0013845628230515E-2</v>
      </c>
      <c r="K125" s="62">
        <f t="shared" si="118"/>
        <v>3.8474339352738196E-2</v>
      </c>
      <c r="L125" s="62">
        <f t="shared" si="118"/>
        <v>3.7048907127275321E-2</v>
      </c>
      <c r="M125" s="62">
        <f t="shared" si="118"/>
        <v>3.5725322955022766E-2</v>
      </c>
      <c r="N125" s="62">
        <f t="shared" si="118"/>
        <v>3.4493047686711978E-2</v>
      </c>
      <c r="O125" s="62">
        <f t="shared" si="118"/>
        <v>3.3342947798276436E-2</v>
      </c>
      <c r="P125" s="62">
        <f t="shared" si="118"/>
        <v>3.2267068613893557E-2</v>
      </c>
      <c r="Q125" s="62">
        <f t="shared" si="118"/>
        <v>3.1258450061010953E-2</v>
      </c>
      <c r="R125" s="62">
        <f t="shared" si="118"/>
        <v>3.0310975933493346E-2</v>
      </c>
      <c r="S125" s="62">
        <f t="shared" si="118"/>
        <v>2.941924976197664E-2</v>
      </c>
      <c r="T125" s="62">
        <f t="shared" si="118"/>
        <v>2.8578491968922273E-2</v>
      </c>
      <c r="U125" s="62">
        <f t="shared" si="118"/>
        <v>2.7784454168592623E-2</v>
      </c>
      <c r="V125" s="62">
        <f t="shared" si="118"/>
        <v>2.7033347367643987E-2</v>
      </c>
      <c r="W125" s="62">
        <f t="shared" si="118"/>
        <v>2.6321781504887148E-2</v>
      </c>
      <c r="X125" s="62">
        <f t="shared" si="118"/>
        <v>2.5646714294898561E-2</v>
      </c>
      <c r="Y125" s="62">
        <f t="shared" si="118"/>
        <v>2.5005407746594217E-2</v>
      </c>
      <c r="Z125" s="62">
        <f t="shared" si="118"/>
        <v>2.4395391046332867E-2</v>
      </c>
      <c r="AA125" s="62">
        <f t="shared" si="118"/>
        <v>2.3814428744573891E-2</v>
      </c>
      <c r="AB125" s="62">
        <f t="shared" si="118"/>
        <v>2.3260493382356136E-2</v>
      </c>
      <c r="AC125" s="62">
        <f t="shared" si="118"/>
        <v>2.2731741851451034E-2</v>
      </c>
      <c r="AD125" s="62">
        <f t="shared" si="118"/>
        <v>2.2226494906963351E-2</v>
      </c>
      <c r="AE125" s="62">
        <f t="shared" si="118"/>
        <v>2.1743219352758282E-2</v>
      </c>
      <c r="AF125" s="62">
        <f t="shared" si="118"/>
        <v>2.1280512501490406E-2</v>
      </c>
      <c r="AG125" s="62">
        <f t="shared" si="118"/>
        <v>2.0837088577530277E-2</v>
      </c>
      <c r="AH125" s="62">
        <f t="shared" si="118"/>
        <v>2.0411766785007193E-2</v>
      </c>
      <c r="AI125" s="62">
        <f t="shared" si="118"/>
        <v>2.0003460808099238E-2</v>
      </c>
      <c r="AJ125" s="63">
        <f t="shared" si="118"/>
        <v>1.9611169546671407E-2</v>
      </c>
    </row>
    <row r="126" spans="1:36" ht="15.75" customHeight="1" x14ac:dyDescent="0.25">
      <c r="A126" s="7"/>
      <c r="B126" s="7"/>
      <c r="D126" s="4" t="s">
        <v>115</v>
      </c>
      <c r="F126" s="65">
        <v>0</v>
      </c>
      <c r="G126" s="66">
        <f t="shared" ref="G126:AJ126" si="119">IFERROR((SUMIFS(G$44:G$81,$A$44:$A$81,$D126)-SUMIFS(F$44:F$81,$A$44:$A$81,$D126))/SUMIFS(F$44:F$81,$A$44:$A$81,$D126),0)</f>
        <v>4.2887388360451487E-2</v>
      </c>
      <c r="H126" s="66">
        <f t="shared" si="119"/>
        <v>4.1123700256722628E-2</v>
      </c>
      <c r="I126" s="66">
        <f t="shared" si="119"/>
        <v>3.9499341189301797E-2</v>
      </c>
      <c r="J126" s="66">
        <f t="shared" si="119"/>
        <v>3.7998428305037316E-2</v>
      </c>
      <c r="K126" s="66">
        <f t="shared" si="119"/>
        <v>3.6607404470819387E-2</v>
      </c>
      <c r="L126" s="66">
        <f t="shared" si="119"/>
        <v>3.5314627614016707E-2</v>
      </c>
      <c r="M126" s="66">
        <f t="shared" si="119"/>
        <v>3.4110044108429827E-2</v>
      </c>
      <c r="N126" s="66">
        <f t="shared" si="119"/>
        <v>3.2984926800356341E-2</v>
      </c>
      <c r="O126" s="66">
        <f t="shared" si="119"/>
        <v>3.1931663226225655E-2</v>
      </c>
      <c r="P126" s="66">
        <f t="shared" si="119"/>
        <v>3.0943583150054559E-2</v>
      </c>
      <c r="Q126" s="66">
        <f t="shared" si="119"/>
        <v>3.0014817159554702E-2</v>
      </c>
      <c r="R126" s="66">
        <f t="shared" si="119"/>
        <v>2.9140179985299424E-2</v>
      </c>
      <c r="S126" s="66">
        <f t="shared" si="119"/>
        <v>2.8315073643044111E-2</v>
      </c>
      <c r="T126" s="66">
        <f t="shared" si="119"/>
        <v>2.7535406577996965E-2</v>
      </c>
      <c r="U126" s="66">
        <f t="shared" si="119"/>
        <v>2.6797525809546731E-2</v>
      </c>
      <c r="V126" s="66">
        <f t="shared" si="119"/>
        <v>2.6098159701367658E-2</v>
      </c>
      <c r="W126" s="66">
        <f t="shared" si="119"/>
        <v>2.5434369465162265E-2</v>
      </c>
      <c r="X126" s="66">
        <f t="shared" si="119"/>
        <v>2.4803507881659435E-2</v>
      </c>
      <c r="Y126" s="66">
        <f t="shared" si="119"/>
        <v>2.4203184016161738E-2</v>
      </c>
      <c r="Z126" s="66">
        <f t="shared" si="119"/>
        <v>2.3631232936862083E-2</v>
      </c>
      <c r="AA126" s="66">
        <f t="shared" si="119"/>
        <v>2.3085689627760378E-2</v>
      </c>
      <c r="AB126" s="66">
        <f t="shared" si="119"/>
        <v>2.2564766433356993E-2</v>
      </c>
      <c r="AC126" s="66">
        <f t="shared" si="119"/>
        <v>2.206683348973729E-2</v>
      </c>
      <c r="AD126" s="66">
        <f t="shared" si="119"/>
        <v>2.1590401690653106E-2</v>
      </c>
      <c r="AE126" s="66">
        <f t="shared" si="119"/>
        <v>2.1134107813577073E-2</v>
      </c>
      <c r="AF126" s="66">
        <f t="shared" si="119"/>
        <v>2.0696701492848957E-2</v>
      </c>
      <c r="AG126" s="66">
        <f t="shared" si="119"/>
        <v>2.0277033777593687E-2</v>
      </c>
      <c r="AH126" s="66">
        <f t="shared" si="119"/>
        <v>1.9874047054178622E-2</v>
      </c>
      <c r="AI126" s="66">
        <f t="shared" si="119"/>
        <v>1.9486766146842499E-2</v>
      </c>
      <c r="AJ126" s="67">
        <f t="shared" si="119"/>
        <v>1.9114290438994975E-2</v>
      </c>
    </row>
    <row r="127" spans="1:36" ht="15.75" customHeight="1" x14ac:dyDescent="0.25">
      <c r="A127" s="7"/>
      <c r="B127" s="7"/>
    </row>
    <row r="128" spans="1:36" ht="15.75" customHeight="1" x14ac:dyDescent="0.25">
      <c r="A128" s="7"/>
      <c r="B128" s="7"/>
    </row>
    <row r="129" spans="1:2" ht="15.75" customHeight="1" x14ac:dyDescent="0.25">
      <c r="A129" s="7"/>
      <c r="B129" s="7"/>
    </row>
    <row r="130" spans="1:2" ht="15.75" customHeight="1" x14ac:dyDescent="0.25">
      <c r="A130" s="7"/>
      <c r="B130" s="7"/>
    </row>
    <row r="131" spans="1:2" ht="15.75" customHeight="1" x14ac:dyDescent="0.25">
      <c r="A131" s="7"/>
      <c r="B131" s="7"/>
    </row>
    <row r="132" spans="1:2" ht="15.75" customHeight="1" x14ac:dyDescent="0.25">
      <c r="A132" s="7"/>
      <c r="B132" s="7"/>
    </row>
    <row r="133" spans="1:2" ht="15.75" customHeight="1" x14ac:dyDescent="0.25">
      <c r="A133" s="7"/>
      <c r="B133" s="7"/>
    </row>
    <row r="134" spans="1:2" ht="15.75" customHeight="1" x14ac:dyDescent="0.25">
      <c r="A134" s="7"/>
      <c r="B134" s="7"/>
    </row>
    <row r="135" spans="1:2" ht="15.75" customHeight="1" x14ac:dyDescent="0.25">
      <c r="A135" s="7"/>
      <c r="B135" s="7"/>
    </row>
    <row r="136" spans="1:2" ht="15.75" customHeight="1" x14ac:dyDescent="0.25">
      <c r="A136" s="7"/>
      <c r="B136" s="7"/>
    </row>
    <row r="137" spans="1:2" ht="15.75" customHeight="1" x14ac:dyDescent="0.25">
      <c r="A137" s="7"/>
      <c r="B137" s="7"/>
    </row>
    <row r="138" spans="1:2" ht="15.75" customHeight="1" x14ac:dyDescent="0.25">
      <c r="A138" s="7"/>
      <c r="B138" s="7"/>
    </row>
    <row r="139" spans="1:2" ht="15.75" customHeight="1" x14ac:dyDescent="0.25">
      <c r="A139" s="7"/>
      <c r="B139" s="7"/>
    </row>
    <row r="140" spans="1:2" ht="15.75" customHeight="1" x14ac:dyDescent="0.25">
      <c r="A140" s="7"/>
      <c r="B140" s="7"/>
    </row>
    <row r="141" spans="1:2" ht="15.75" customHeight="1" x14ac:dyDescent="0.25">
      <c r="A141" s="7"/>
      <c r="B141" s="7"/>
    </row>
    <row r="142" spans="1:2" ht="15.75" customHeight="1" x14ac:dyDescent="0.25">
      <c r="A142" s="7"/>
      <c r="B142" s="7"/>
    </row>
    <row r="143" spans="1:2" ht="15.75" customHeight="1" x14ac:dyDescent="0.25">
      <c r="A143" s="7"/>
      <c r="B143" s="7"/>
    </row>
    <row r="144" spans="1:2" ht="15.75" customHeight="1" x14ac:dyDescent="0.25">
      <c r="A144" s="7"/>
      <c r="B144" s="7"/>
    </row>
    <row r="145" spans="1:2" ht="15.75" customHeight="1" x14ac:dyDescent="0.25">
      <c r="A145" s="7"/>
      <c r="B145" s="7"/>
    </row>
    <row r="146" spans="1:2" ht="15.75" customHeight="1" x14ac:dyDescent="0.25">
      <c r="A146" s="7"/>
      <c r="B146" s="7"/>
    </row>
    <row r="147" spans="1:2" ht="15.75" customHeight="1" x14ac:dyDescent="0.25">
      <c r="A147" s="7"/>
      <c r="B147" s="7"/>
    </row>
    <row r="148" spans="1:2" ht="15.75" customHeight="1" x14ac:dyDescent="0.25">
      <c r="A148" s="7"/>
      <c r="B148" s="7"/>
    </row>
    <row r="149" spans="1:2" ht="15.75" customHeight="1" x14ac:dyDescent="0.25">
      <c r="A149" s="7"/>
      <c r="B149" s="7"/>
    </row>
    <row r="150" spans="1:2" ht="15.75" customHeight="1" x14ac:dyDescent="0.25">
      <c r="A150" s="7"/>
      <c r="B150" s="7"/>
    </row>
    <row r="151" spans="1:2" ht="15.75" customHeight="1" x14ac:dyDescent="0.25">
      <c r="A151" s="7"/>
      <c r="B151" s="7"/>
    </row>
    <row r="152" spans="1:2" ht="15.75" customHeight="1" x14ac:dyDescent="0.25">
      <c r="A152" s="7"/>
      <c r="B152" s="7"/>
    </row>
    <row r="153" spans="1:2" ht="15.75" customHeight="1" x14ac:dyDescent="0.25">
      <c r="A153" s="7"/>
      <c r="B153" s="7"/>
    </row>
    <row r="154" spans="1:2" ht="15.75" customHeight="1" x14ac:dyDescent="0.25">
      <c r="A154" s="7"/>
      <c r="B154" s="7"/>
    </row>
    <row r="155" spans="1:2" ht="15.75" customHeight="1" x14ac:dyDescent="0.25">
      <c r="A155" s="7"/>
      <c r="B155" s="7"/>
    </row>
    <row r="156" spans="1:2" ht="15.75" customHeight="1" x14ac:dyDescent="0.25">
      <c r="A156" s="7"/>
      <c r="B156" s="7"/>
    </row>
    <row r="157" spans="1:2" ht="15.75" customHeight="1" x14ac:dyDescent="0.25">
      <c r="A157" s="7"/>
      <c r="B157" s="7"/>
    </row>
    <row r="158" spans="1:2" ht="15.75" customHeight="1" x14ac:dyDescent="0.25">
      <c r="A158" s="7"/>
      <c r="B158" s="7"/>
    </row>
    <row r="159" spans="1:2" ht="15.75" customHeight="1" x14ac:dyDescent="0.25">
      <c r="A159" s="7"/>
      <c r="B159" s="7"/>
    </row>
    <row r="160" spans="1:2" ht="15.75" customHeight="1" x14ac:dyDescent="0.25">
      <c r="A160" s="7"/>
      <c r="B160" s="7"/>
    </row>
    <row r="161" spans="1:2" ht="15.75" customHeight="1" x14ac:dyDescent="0.25">
      <c r="A161" s="7"/>
      <c r="B161" s="7"/>
    </row>
    <row r="162" spans="1:2" ht="15.75" customHeight="1" x14ac:dyDescent="0.25">
      <c r="A162" s="7"/>
      <c r="B162" s="7"/>
    </row>
    <row r="163" spans="1:2" ht="15.75" customHeight="1" x14ac:dyDescent="0.25">
      <c r="A163" s="7"/>
      <c r="B163" s="7"/>
    </row>
    <row r="164" spans="1:2" ht="15.75" customHeight="1" x14ac:dyDescent="0.25">
      <c r="A164" s="7"/>
      <c r="B164" s="7"/>
    </row>
    <row r="165" spans="1:2" ht="15.75" customHeight="1" x14ac:dyDescent="0.25">
      <c r="A165" s="7"/>
      <c r="B165" s="7"/>
    </row>
    <row r="166" spans="1:2" ht="15.75" customHeight="1" x14ac:dyDescent="0.25">
      <c r="A166" s="7"/>
      <c r="B166" s="7"/>
    </row>
    <row r="167" spans="1:2" ht="15.75" customHeight="1" x14ac:dyDescent="0.25">
      <c r="A167" s="7"/>
      <c r="B167" s="7"/>
    </row>
    <row r="168" spans="1:2" ht="15.75" customHeight="1" x14ac:dyDescent="0.25">
      <c r="A168" s="7"/>
      <c r="B168" s="7"/>
    </row>
    <row r="169" spans="1:2" ht="15.75" customHeight="1" x14ac:dyDescent="0.25">
      <c r="A169" s="7"/>
      <c r="B169" s="7"/>
    </row>
    <row r="170" spans="1:2" ht="15.75" customHeight="1" x14ac:dyDescent="0.25">
      <c r="A170" s="7"/>
      <c r="B170" s="7"/>
    </row>
    <row r="171" spans="1:2" ht="15.75" customHeight="1" x14ac:dyDescent="0.25">
      <c r="A171" s="7"/>
      <c r="B171" s="7"/>
    </row>
    <row r="172" spans="1:2" ht="15.75" customHeight="1" x14ac:dyDescent="0.25">
      <c r="A172" s="7"/>
      <c r="B172" s="7"/>
    </row>
    <row r="173" spans="1:2" ht="15.75" customHeight="1" x14ac:dyDescent="0.25">
      <c r="A173" s="7"/>
      <c r="B173" s="7"/>
    </row>
    <row r="174" spans="1:2" ht="15.75" customHeight="1" x14ac:dyDescent="0.25">
      <c r="A174" s="7"/>
      <c r="B174" s="7"/>
    </row>
    <row r="175" spans="1:2" ht="15.75" customHeight="1" x14ac:dyDescent="0.25">
      <c r="A175" s="7"/>
      <c r="B175" s="7"/>
    </row>
    <row r="176" spans="1:2" ht="15.75" customHeight="1" x14ac:dyDescent="0.25">
      <c r="A176" s="7"/>
      <c r="B176" s="7"/>
    </row>
    <row r="177" spans="1:2" ht="15.75" customHeight="1" x14ac:dyDescent="0.25">
      <c r="A177" s="7"/>
      <c r="B177" s="7"/>
    </row>
    <row r="178" spans="1:2" ht="15.75" customHeight="1" x14ac:dyDescent="0.25">
      <c r="A178" s="7"/>
      <c r="B178" s="7"/>
    </row>
    <row r="179" spans="1:2" ht="15.75" customHeight="1" x14ac:dyDescent="0.25">
      <c r="A179" s="7"/>
      <c r="B179" s="7"/>
    </row>
    <row r="180" spans="1:2" ht="15.75" customHeight="1" x14ac:dyDescent="0.25">
      <c r="A180" s="7"/>
      <c r="B180" s="7"/>
    </row>
    <row r="181" spans="1:2" ht="15.75" customHeight="1" x14ac:dyDescent="0.25">
      <c r="A181" s="7"/>
      <c r="B181" s="7"/>
    </row>
    <row r="182" spans="1:2" ht="15.75" customHeight="1" x14ac:dyDescent="0.25">
      <c r="A182" s="7"/>
      <c r="B182" s="7"/>
    </row>
    <row r="183" spans="1:2" ht="15.75" customHeight="1" x14ac:dyDescent="0.25">
      <c r="A183" s="7"/>
      <c r="B183" s="7"/>
    </row>
    <row r="184" spans="1:2" ht="15.75" customHeight="1" x14ac:dyDescent="0.25">
      <c r="A184" s="7"/>
      <c r="B184" s="7"/>
    </row>
    <row r="185" spans="1:2" ht="15.75" customHeight="1" x14ac:dyDescent="0.25">
      <c r="A185" s="7"/>
      <c r="B185" s="7"/>
    </row>
    <row r="186" spans="1:2" ht="15.75" customHeight="1" x14ac:dyDescent="0.25">
      <c r="A186" s="7"/>
      <c r="B186" s="7"/>
    </row>
    <row r="187" spans="1:2" ht="15.75" customHeight="1" x14ac:dyDescent="0.25">
      <c r="A187" s="7"/>
      <c r="B187" s="7"/>
    </row>
    <row r="188" spans="1:2" ht="15.75" customHeight="1" x14ac:dyDescent="0.25">
      <c r="A188" s="7"/>
      <c r="B188" s="7"/>
    </row>
    <row r="189" spans="1:2" ht="15.75" customHeight="1" x14ac:dyDescent="0.25">
      <c r="A189" s="7"/>
      <c r="B189" s="7"/>
    </row>
    <row r="190" spans="1:2" ht="15.75" customHeight="1" x14ac:dyDescent="0.25">
      <c r="A190" s="7"/>
      <c r="B190" s="7"/>
    </row>
    <row r="191" spans="1:2" ht="15.75" customHeight="1" x14ac:dyDescent="0.25">
      <c r="A191" s="7"/>
      <c r="B191" s="7"/>
    </row>
    <row r="192" spans="1:2" ht="15.75" customHeight="1" x14ac:dyDescent="0.25">
      <c r="A192" s="7"/>
      <c r="B192" s="7"/>
    </row>
    <row r="193" spans="1:2" ht="15.75" customHeight="1" x14ac:dyDescent="0.25">
      <c r="A193" s="7"/>
      <c r="B193" s="7"/>
    </row>
    <row r="194" spans="1:2" ht="15.75" customHeight="1" x14ac:dyDescent="0.25">
      <c r="A194" s="7"/>
      <c r="B194" s="7"/>
    </row>
    <row r="195" spans="1:2" ht="15.75" customHeight="1" x14ac:dyDescent="0.25">
      <c r="A195" s="7"/>
      <c r="B195" s="7"/>
    </row>
    <row r="196" spans="1:2" ht="15.75" customHeight="1" x14ac:dyDescent="0.25">
      <c r="A196" s="7"/>
      <c r="B196" s="7"/>
    </row>
    <row r="197" spans="1:2" ht="15.75" customHeight="1" x14ac:dyDescent="0.25">
      <c r="A197" s="7"/>
      <c r="B197" s="7"/>
    </row>
    <row r="198" spans="1:2" ht="15.75" customHeight="1" x14ac:dyDescent="0.25">
      <c r="A198" s="7"/>
      <c r="B198" s="7"/>
    </row>
    <row r="199" spans="1:2" ht="15.75" customHeight="1" x14ac:dyDescent="0.25">
      <c r="A199" s="7"/>
      <c r="B199" s="7"/>
    </row>
    <row r="200" spans="1:2" ht="15.75" customHeight="1" x14ac:dyDescent="0.25">
      <c r="A200" s="7"/>
      <c r="B200" s="7"/>
    </row>
    <row r="201" spans="1:2" ht="15.75" customHeight="1" x14ac:dyDescent="0.25">
      <c r="A201" s="7"/>
      <c r="B201" s="7"/>
    </row>
    <row r="202" spans="1:2" ht="15.75" customHeight="1" x14ac:dyDescent="0.25">
      <c r="A202" s="7"/>
      <c r="B202" s="7"/>
    </row>
    <row r="203" spans="1:2" ht="15.75" customHeight="1" x14ac:dyDescent="0.25">
      <c r="A203" s="7"/>
      <c r="B203" s="7"/>
    </row>
    <row r="204" spans="1:2" ht="15.75" customHeight="1" x14ac:dyDescent="0.25">
      <c r="A204" s="7"/>
      <c r="B204" s="7"/>
    </row>
    <row r="205" spans="1:2" ht="15.75" customHeight="1" x14ac:dyDescent="0.25">
      <c r="A205" s="7"/>
      <c r="B205" s="7"/>
    </row>
    <row r="206" spans="1:2" ht="15.75" customHeight="1" x14ac:dyDescent="0.25">
      <c r="A206" s="7"/>
      <c r="B206" s="7"/>
    </row>
    <row r="207" spans="1:2" ht="15.75" customHeight="1" x14ac:dyDescent="0.25">
      <c r="A207" s="7"/>
      <c r="B207" s="7"/>
    </row>
    <row r="208" spans="1:2" ht="15.75" customHeight="1" x14ac:dyDescent="0.25">
      <c r="A208" s="7"/>
      <c r="B208" s="7"/>
    </row>
    <row r="209" spans="1:2" ht="15.75" customHeight="1" x14ac:dyDescent="0.25">
      <c r="A209" s="7"/>
      <c r="B209" s="7"/>
    </row>
    <row r="210" spans="1:2" ht="15.75" customHeight="1" x14ac:dyDescent="0.25">
      <c r="A210" s="7"/>
      <c r="B210" s="7"/>
    </row>
    <row r="211" spans="1:2" ht="15.75" customHeight="1" x14ac:dyDescent="0.25">
      <c r="A211" s="7"/>
      <c r="B211" s="7"/>
    </row>
    <row r="212" spans="1:2" ht="15.75" customHeight="1" x14ac:dyDescent="0.25">
      <c r="A212" s="7"/>
      <c r="B212" s="7"/>
    </row>
    <row r="213" spans="1:2" ht="15.75" customHeight="1" x14ac:dyDescent="0.25">
      <c r="A213" s="7"/>
      <c r="B213" s="7"/>
    </row>
    <row r="214" spans="1:2" ht="15.75" customHeight="1" x14ac:dyDescent="0.25">
      <c r="A214" s="7"/>
      <c r="B214" s="7"/>
    </row>
    <row r="215" spans="1:2" ht="15.75" customHeight="1" x14ac:dyDescent="0.25">
      <c r="A215" s="7"/>
      <c r="B215" s="7"/>
    </row>
    <row r="216" spans="1:2" ht="15.75" customHeight="1" x14ac:dyDescent="0.25">
      <c r="A216" s="7"/>
      <c r="B216" s="7"/>
    </row>
    <row r="217" spans="1:2" ht="15.75" customHeight="1" x14ac:dyDescent="0.25">
      <c r="A217" s="7"/>
      <c r="B217" s="7"/>
    </row>
    <row r="218" spans="1:2" ht="15.75" customHeight="1" x14ac:dyDescent="0.25">
      <c r="A218" s="7"/>
      <c r="B218" s="7"/>
    </row>
    <row r="219" spans="1:2" ht="15.75" customHeight="1" x14ac:dyDescent="0.25">
      <c r="A219" s="7"/>
      <c r="B219" s="7"/>
    </row>
    <row r="220" spans="1:2" ht="15.75" customHeight="1" x14ac:dyDescent="0.25">
      <c r="A220" s="7"/>
      <c r="B220" s="7"/>
    </row>
    <row r="221" spans="1:2" ht="15.75" customHeight="1" x14ac:dyDescent="0.25">
      <c r="A221" s="7"/>
      <c r="B221" s="7"/>
    </row>
    <row r="222" spans="1:2" ht="15.75" customHeight="1" x14ac:dyDescent="0.25">
      <c r="A222" s="7"/>
      <c r="B222" s="7"/>
    </row>
    <row r="223" spans="1:2" ht="15.75" customHeight="1" x14ac:dyDescent="0.25">
      <c r="A223" s="7"/>
      <c r="B223" s="7"/>
    </row>
    <row r="224" spans="1:2" ht="15.75" customHeight="1" x14ac:dyDescent="0.25">
      <c r="A224" s="7"/>
      <c r="B224" s="7"/>
    </row>
    <row r="225" spans="1:2" ht="15.75" customHeight="1" x14ac:dyDescent="0.25">
      <c r="A225" s="7"/>
      <c r="B225" s="7"/>
    </row>
    <row r="226" spans="1:2" ht="15.75" customHeight="1" x14ac:dyDescent="0.25">
      <c r="A226" s="7"/>
      <c r="B226" s="7"/>
    </row>
    <row r="227" spans="1:2" ht="15.75" customHeight="1" x14ac:dyDescent="0.25">
      <c r="A227" s="7"/>
      <c r="B227" s="7"/>
    </row>
    <row r="228" spans="1:2" ht="15.75" customHeight="1" x14ac:dyDescent="0.25">
      <c r="A228" s="7"/>
      <c r="B228" s="7"/>
    </row>
    <row r="229" spans="1:2" ht="15.75" customHeight="1" x14ac:dyDescent="0.25">
      <c r="A229" s="7"/>
      <c r="B229" s="7"/>
    </row>
    <row r="230" spans="1:2" ht="15.75" customHeight="1" x14ac:dyDescent="0.25">
      <c r="A230" s="7"/>
      <c r="B230" s="7"/>
    </row>
    <row r="231" spans="1:2" ht="15.75" customHeight="1" x14ac:dyDescent="0.25">
      <c r="A231" s="7"/>
      <c r="B231" s="7"/>
    </row>
    <row r="232" spans="1:2" ht="15.75" customHeight="1" x14ac:dyDescent="0.25">
      <c r="A232" s="7"/>
      <c r="B232" s="7"/>
    </row>
    <row r="233" spans="1:2" ht="15.75" customHeight="1" x14ac:dyDescent="0.25">
      <c r="A233" s="7"/>
      <c r="B233" s="7"/>
    </row>
    <row r="234" spans="1:2" ht="15.75" customHeight="1" x14ac:dyDescent="0.25">
      <c r="A234" s="7"/>
      <c r="B234" s="7"/>
    </row>
    <row r="235" spans="1:2" ht="15.75" customHeight="1" x14ac:dyDescent="0.25">
      <c r="A235" s="7"/>
      <c r="B235" s="7"/>
    </row>
    <row r="236" spans="1:2" ht="15.75" customHeight="1" x14ac:dyDescent="0.25">
      <c r="A236" s="7"/>
      <c r="B236" s="7"/>
    </row>
    <row r="237" spans="1:2" ht="15.75" customHeight="1" x14ac:dyDescent="0.25">
      <c r="A237" s="7"/>
      <c r="B237" s="7"/>
    </row>
    <row r="238" spans="1:2" ht="15.75" customHeight="1" x14ac:dyDescent="0.25">
      <c r="A238" s="7"/>
      <c r="B238" s="7"/>
    </row>
    <row r="239" spans="1:2" ht="15.75" customHeight="1" x14ac:dyDescent="0.25">
      <c r="A239" s="7"/>
      <c r="B239" s="7"/>
    </row>
    <row r="240" spans="1:2" ht="15.75" customHeight="1" x14ac:dyDescent="0.25">
      <c r="A240" s="7"/>
      <c r="B240" s="7"/>
    </row>
    <row r="241" spans="1:2" ht="15.75" customHeight="1" x14ac:dyDescent="0.25">
      <c r="A241" s="7"/>
      <c r="B241" s="7"/>
    </row>
    <row r="242" spans="1:2" ht="15.75" customHeight="1" x14ac:dyDescent="0.25">
      <c r="A242" s="7"/>
      <c r="B242" s="7"/>
    </row>
    <row r="243" spans="1:2" ht="15.75" customHeight="1" x14ac:dyDescent="0.25">
      <c r="A243" s="7"/>
      <c r="B243" s="7"/>
    </row>
    <row r="244" spans="1:2" ht="15.75" customHeight="1" x14ac:dyDescent="0.25">
      <c r="A244" s="7"/>
      <c r="B244" s="7"/>
    </row>
    <row r="245" spans="1:2" ht="15.75" customHeight="1" x14ac:dyDescent="0.25">
      <c r="A245" s="7"/>
      <c r="B245" s="7"/>
    </row>
    <row r="246" spans="1:2" ht="15.75" customHeight="1" x14ac:dyDescent="0.25">
      <c r="A246" s="7"/>
      <c r="B246" s="7"/>
    </row>
    <row r="247" spans="1:2" ht="15.75" customHeight="1" x14ac:dyDescent="0.25">
      <c r="A247" s="7"/>
      <c r="B247" s="7"/>
    </row>
    <row r="248" spans="1:2" ht="15.75" customHeight="1" x14ac:dyDescent="0.25">
      <c r="A248" s="7"/>
      <c r="B248" s="7"/>
    </row>
    <row r="249" spans="1:2" ht="15.75" customHeight="1" x14ac:dyDescent="0.25">
      <c r="A249" s="7"/>
      <c r="B249" s="7"/>
    </row>
    <row r="250" spans="1:2" ht="15.75" customHeight="1" x14ac:dyDescent="0.25">
      <c r="A250" s="7"/>
      <c r="B250" s="7"/>
    </row>
    <row r="251" spans="1:2" ht="15.75" customHeight="1" x14ac:dyDescent="0.25">
      <c r="A251" s="7"/>
      <c r="B251" s="7"/>
    </row>
    <row r="252" spans="1:2" ht="15.75" customHeight="1" x14ac:dyDescent="0.25">
      <c r="A252" s="7"/>
      <c r="B252" s="7"/>
    </row>
    <row r="253" spans="1:2" ht="15.75" customHeight="1" x14ac:dyDescent="0.25">
      <c r="A253" s="7"/>
      <c r="B253" s="7"/>
    </row>
    <row r="254" spans="1:2" ht="15.75" customHeight="1" x14ac:dyDescent="0.25">
      <c r="A254" s="7"/>
      <c r="B254" s="7"/>
    </row>
    <row r="255" spans="1:2" ht="15.75" customHeight="1" x14ac:dyDescent="0.25">
      <c r="A255" s="7"/>
      <c r="B255" s="7"/>
    </row>
    <row r="256" spans="1:2" ht="15.75" customHeight="1" x14ac:dyDescent="0.25">
      <c r="A256" s="7"/>
      <c r="B256" s="7"/>
    </row>
    <row r="257" spans="1:2" ht="15.75" customHeight="1" x14ac:dyDescent="0.25">
      <c r="A257" s="7"/>
      <c r="B257" s="7"/>
    </row>
    <row r="258" spans="1:2" ht="15.75" customHeight="1" x14ac:dyDescent="0.25">
      <c r="A258" s="7"/>
      <c r="B258" s="7"/>
    </row>
    <row r="259" spans="1:2" ht="15.75" customHeight="1" x14ac:dyDescent="0.25">
      <c r="A259" s="7"/>
      <c r="B259" s="7"/>
    </row>
    <row r="260" spans="1:2" ht="15.75" customHeight="1" x14ac:dyDescent="0.25">
      <c r="A260" s="7"/>
      <c r="B260" s="7"/>
    </row>
    <row r="261" spans="1:2" ht="15.75" customHeight="1" x14ac:dyDescent="0.25">
      <c r="A261" s="7"/>
      <c r="B261" s="7"/>
    </row>
    <row r="262" spans="1:2" ht="15.75" customHeight="1" x14ac:dyDescent="0.25">
      <c r="A262" s="7"/>
      <c r="B262" s="7"/>
    </row>
    <row r="263" spans="1:2" ht="15.75" customHeight="1" x14ac:dyDescent="0.25">
      <c r="A263" s="7"/>
      <c r="B263" s="7"/>
    </row>
    <row r="264" spans="1:2" ht="15.75" customHeight="1" x14ac:dyDescent="0.25">
      <c r="A264" s="7"/>
      <c r="B264" s="7"/>
    </row>
    <row r="265" spans="1:2" ht="15.75" customHeight="1" x14ac:dyDescent="0.25">
      <c r="A265" s="7"/>
      <c r="B265" s="7"/>
    </row>
    <row r="266" spans="1:2" ht="15.75" customHeight="1" x14ac:dyDescent="0.25">
      <c r="A266" s="7"/>
      <c r="B266" s="7"/>
    </row>
    <row r="267" spans="1:2" ht="15.75" customHeight="1" x14ac:dyDescent="0.25">
      <c r="A267" s="7"/>
      <c r="B267" s="7"/>
    </row>
    <row r="268" spans="1:2" ht="15.75" customHeight="1" x14ac:dyDescent="0.25">
      <c r="A268" s="7"/>
      <c r="B268" s="7"/>
    </row>
    <row r="269" spans="1:2" ht="15.75" customHeight="1" x14ac:dyDescent="0.25">
      <c r="A269" s="7"/>
      <c r="B269" s="7"/>
    </row>
    <row r="270" spans="1:2" ht="15.75" customHeight="1" x14ac:dyDescent="0.25">
      <c r="A270" s="7"/>
      <c r="B270" s="7"/>
    </row>
    <row r="271" spans="1:2" ht="15.75" customHeight="1" x14ac:dyDescent="0.25">
      <c r="A271" s="7"/>
      <c r="B271" s="7"/>
    </row>
    <row r="272" spans="1:2" ht="15.75" customHeight="1" x14ac:dyDescent="0.25">
      <c r="A272" s="7"/>
      <c r="B272" s="7"/>
    </row>
    <row r="273" spans="1:2" ht="15.75" customHeight="1" x14ac:dyDescent="0.25">
      <c r="A273" s="7"/>
      <c r="B273" s="7"/>
    </row>
    <row r="274" spans="1:2" ht="15.75" customHeight="1" x14ac:dyDescent="0.25">
      <c r="A274" s="7"/>
      <c r="B274" s="7"/>
    </row>
    <row r="275" spans="1:2" ht="15.75" customHeight="1" x14ac:dyDescent="0.25">
      <c r="A275" s="7"/>
      <c r="B275" s="7"/>
    </row>
    <row r="276" spans="1:2" ht="15.75" customHeight="1" x14ac:dyDescent="0.25">
      <c r="A276" s="7"/>
      <c r="B276" s="7"/>
    </row>
    <row r="277" spans="1:2" ht="15.75" customHeight="1" x14ac:dyDescent="0.25">
      <c r="A277" s="7"/>
      <c r="B277" s="7"/>
    </row>
    <row r="278" spans="1:2" ht="15.75" customHeight="1" x14ac:dyDescent="0.25">
      <c r="A278" s="7"/>
      <c r="B278" s="7"/>
    </row>
    <row r="279" spans="1:2" ht="15.75" customHeight="1" x14ac:dyDescent="0.25">
      <c r="A279" s="7"/>
      <c r="B279" s="7"/>
    </row>
    <row r="280" spans="1:2" ht="15.75" customHeight="1" x14ac:dyDescent="0.25">
      <c r="A280" s="7"/>
      <c r="B280" s="7"/>
    </row>
    <row r="281" spans="1:2" ht="15.75" customHeight="1" x14ac:dyDescent="0.25">
      <c r="A281" s="7"/>
      <c r="B281" s="7"/>
    </row>
    <row r="282" spans="1:2" ht="15.75" customHeight="1" x14ac:dyDescent="0.25">
      <c r="A282" s="7"/>
      <c r="B282" s="7"/>
    </row>
    <row r="283" spans="1:2" ht="15.75" customHeight="1" x14ac:dyDescent="0.25">
      <c r="A283" s="7"/>
      <c r="B283" s="7"/>
    </row>
    <row r="284" spans="1:2" ht="15.75" customHeight="1" x14ac:dyDescent="0.25">
      <c r="A284" s="7"/>
      <c r="B284" s="7"/>
    </row>
    <row r="285" spans="1:2" ht="15.75" customHeight="1" x14ac:dyDescent="0.25">
      <c r="A285" s="7"/>
      <c r="B285" s="7"/>
    </row>
    <row r="286" spans="1:2" ht="15.75" customHeight="1" x14ac:dyDescent="0.25">
      <c r="A286" s="7"/>
      <c r="B286" s="7"/>
    </row>
    <row r="287" spans="1:2" ht="15.75" customHeight="1" x14ac:dyDescent="0.25">
      <c r="A287" s="7"/>
      <c r="B287" s="7"/>
    </row>
    <row r="288" spans="1:2" ht="15.75" customHeight="1" x14ac:dyDescent="0.25">
      <c r="A288" s="7"/>
      <c r="B288" s="7"/>
    </row>
    <row r="289" spans="1:2" ht="15.75" customHeight="1" x14ac:dyDescent="0.25">
      <c r="A289" s="7"/>
      <c r="B289" s="7"/>
    </row>
    <row r="290" spans="1:2" ht="15.75" customHeight="1" x14ac:dyDescent="0.25">
      <c r="A290" s="7"/>
      <c r="B290" s="7"/>
    </row>
    <row r="291" spans="1:2" ht="15.75" customHeight="1" x14ac:dyDescent="0.25">
      <c r="A291" s="7"/>
      <c r="B291" s="7"/>
    </row>
    <row r="292" spans="1:2" ht="15.75" customHeight="1" x14ac:dyDescent="0.25">
      <c r="A292" s="7"/>
      <c r="B292" s="7"/>
    </row>
    <row r="293" spans="1:2" ht="15.75" customHeight="1" x14ac:dyDescent="0.25">
      <c r="A293" s="7"/>
      <c r="B293" s="7"/>
    </row>
    <row r="294" spans="1:2" ht="15.75" customHeight="1" x14ac:dyDescent="0.25">
      <c r="A294" s="7"/>
      <c r="B294" s="7"/>
    </row>
    <row r="295" spans="1:2" ht="15.75" customHeight="1" x14ac:dyDescent="0.25">
      <c r="A295" s="7"/>
      <c r="B295" s="7"/>
    </row>
    <row r="296" spans="1:2" ht="15.75" customHeight="1" x14ac:dyDescent="0.25">
      <c r="A296" s="7"/>
      <c r="B296" s="7"/>
    </row>
    <row r="297" spans="1:2" ht="15.75" customHeight="1" x14ac:dyDescent="0.25">
      <c r="A297" s="7"/>
      <c r="B297" s="7"/>
    </row>
    <row r="298" spans="1:2" ht="15.75" customHeight="1" x14ac:dyDescent="0.25">
      <c r="A298" s="7"/>
      <c r="B298" s="7"/>
    </row>
    <row r="299" spans="1:2" ht="15.75" customHeight="1" x14ac:dyDescent="0.25">
      <c r="A299" s="7"/>
      <c r="B299" s="7"/>
    </row>
    <row r="300" spans="1:2" ht="15.75" customHeight="1" x14ac:dyDescent="0.25">
      <c r="A300" s="7"/>
      <c r="B300" s="7"/>
    </row>
    <row r="301" spans="1:2" ht="15.75" customHeight="1" x14ac:dyDescent="0.25">
      <c r="A301" s="7"/>
      <c r="B301" s="7"/>
    </row>
    <row r="302" spans="1:2" ht="15.75" customHeight="1" x14ac:dyDescent="0.25">
      <c r="A302" s="7"/>
      <c r="B302" s="7"/>
    </row>
    <row r="303" spans="1:2" ht="15.75" customHeight="1" x14ac:dyDescent="0.25">
      <c r="A303" s="7"/>
      <c r="B303" s="7"/>
    </row>
    <row r="304" spans="1:2" ht="15.75" customHeight="1" x14ac:dyDescent="0.25">
      <c r="A304" s="7"/>
      <c r="B304" s="7"/>
    </row>
    <row r="305" spans="1:2" ht="15.75" customHeight="1" x14ac:dyDescent="0.25">
      <c r="A305" s="7"/>
      <c r="B305" s="7"/>
    </row>
    <row r="306" spans="1:2" ht="15.75" customHeight="1" x14ac:dyDescent="0.25">
      <c r="A306" s="7"/>
      <c r="B306" s="7"/>
    </row>
    <row r="307" spans="1:2" ht="15.75" customHeight="1" x14ac:dyDescent="0.25">
      <c r="A307" s="7"/>
      <c r="B307" s="7"/>
    </row>
    <row r="308" spans="1:2" ht="15.75" customHeight="1" x14ac:dyDescent="0.25">
      <c r="A308" s="7"/>
      <c r="B308" s="7"/>
    </row>
    <row r="309" spans="1:2" ht="15.75" customHeight="1" x14ac:dyDescent="0.25">
      <c r="A309" s="7"/>
      <c r="B309" s="7"/>
    </row>
    <row r="310" spans="1:2" ht="15.75" customHeight="1" x14ac:dyDescent="0.25">
      <c r="A310" s="7"/>
      <c r="B310" s="7"/>
    </row>
    <row r="311" spans="1:2" ht="15.75" customHeight="1" x14ac:dyDescent="0.25">
      <c r="A311" s="7"/>
      <c r="B311" s="7"/>
    </row>
    <row r="312" spans="1:2" ht="15.75" customHeight="1" x14ac:dyDescent="0.25">
      <c r="A312" s="7"/>
      <c r="B312" s="7"/>
    </row>
    <row r="313" spans="1:2" ht="15.75" customHeight="1" x14ac:dyDescent="0.25">
      <c r="A313" s="7"/>
      <c r="B313" s="7"/>
    </row>
    <row r="314" spans="1:2" ht="15.75" customHeight="1" x14ac:dyDescent="0.25">
      <c r="A314" s="7"/>
      <c r="B314" s="7"/>
    </row>
    <row r="315" spans="1:2" ht="15.75" customHeight="1" x14ac:dyDescent="0.25">
      <c r="A315" s="7"/>
      <c r="B315" s="7"/>
    </row>
    <row r="316" spans="1:2" ht="15.75" customHeight="1" x14ac:dyDescent="0.25">
      <c r="A316" s="7"/>
      <c r="B316" s="7"/>
    </row>
    <row r="317" spans="1:2" ht="15.75" customHeight="1" x14ac:dyDescent="0.25">
      <c r="A317" s="7"/>
      <c r="B317" s="7"/>
    </row>
    <row r="318" spans="1:2" ht="15.75" customHeight="1" x14ac:dyDescent="0.25">
      <c r="A318" s="7"/>
      <c r="B318" s="7"/>
    </row>
    <row r="319" spans="1:2" ht="15.75" customHeight="1" x14ac:dyDescent="0.25">
      <c r="A319" s="7"/>
      <c r="B319" s="7"/>
    </row>
    <row r="320" spans="1:2" ht="15.75" customHeight="1" x14ac:dyDescent="0.25">
      <c r="A320" s="7"/>
      <c r="B320" s="7"/>
    </row>
    <row r="321" spans="1:2" ht="15.75" customHeight="1" x14ac:dyDescent="0.25">
      <c r="A321" s="7"/>
      <c r="B321" s="7"/>
    </row>
    <row r="322" spans="1:2" ht="15.75" customHeight="1" x14ac:dyDescent="0.25">
      <c r="A322" s="7"/>
      <c r="B322" s="7"/>
    </row>
    <row r="323" spans="1:2" ht="15.75" customHeight="1" x14ac:dyDescent="0.25">
      <c r="A323" s="7"/>
      <c r="B323" s="7"/>
    </row>
    <row r="324" spans="1:2" ht="15.75" customHeight="1" x14ac:dyDescent="0.25">
      <c r="A324" s="7"/>
      <c r="B324" s="7"/>
    </row>
    <row r="325" spans="1:2" ht="15.75" customHeight="1" x14ac:dyDescent="0.25">
      <c r="A325" s="7"/>
      <c r="B325" s="7"/>
    </row>
    <row r="326" spans="1:2" ht="15.75" customHeight="1" x14ac:dyDescent="0.25">
      <c r="A326" s="7"/>
      <c r="B326" s="7"/>
    </row>
    <row r="327" spans="1:2" ht="15.75" customHeight="1" x14ac:dyDescent="0.25">
      <c r="A327" s="7"/>
      <c r="B327" s="7"/>
    </row>
    <row r="328" spans="1:2" ht="15.75" customHeight="1" x14ac:dyDescent="0.25">
      <c r="A328" s="7"/>
      <c r="B328" s="7"/>
    </row>
    <row r="329" spans="1:2" ht="15.75" customHeight="1" x14ac:dyDescent="0.25">
      <c r="A329" s="7"/>
      <c r="B329" s="7"/>
    </row>
    <row r="330" spans="1:2" ht="15.75" customHeight="1" x14ac:dyDescent="0.25">
      <c r="A330" s="7"/>
      <c r="B330" s="7"/>
    </row>
    <row r="331" spans="1:2" ht="15.75" customHeight="1" x14ac:dyDescent="0.25">
      <c r="A331" s="7"/>
      <c r="B331" s="7"/>
    </row>
    <row r="332" spans="1:2" ht="15.75" customHeight="1" x14ac:dyDescent="0.25">
      <c r="A332" s="7"/>
      <c r="B332" s="7"/>
    </row>
    <row r="333" spans="1:2" ht="15.75" customHeight="1" x14ac:dyDescent="0.25">
      <c r="A333" s="7"/>
      <c r="B333" s="7"/>
    </row>
    <row r="334" spans="1:2" ht="15.75" customHeight="1" x14ac:dyDescent="0.25">
      <c r="A334" s="7"/>
      <c r="B334" s="7"/>
    </row>
    <row r="335" spans="1:2" ht="15.75" customHeight="1" x14ac:dyDescent="0.25">
      <c r="A335" s="7"/>
      <c r="B335" s="7"/>
    </row>
    <row r="336" spans="1:2" ht="15.75" customHeight="1" x14ac:dyDescent="0.25">
      <c r="A336" s="7"/>
      <c r="B336" s="7"/>
    </row>
    <row r="337" spans="1:2" ht="15.75" customHeight="1" x14ac:dyDescent="0.25">
      <c r="A337" s="7"/>
      <c r="B337" s="7"/>
    </row>
    <row r="338" spans="1:2" ht="15.75" customHeight="1" x14ac:dyDescent="0.25">
      <c r="A338" s="7"/>
      <c r="B338" s="7"/>
    </row>
    <row r="339" spans="1:2" ht="15.75" customHeight="1" x14ac:dyDescent="0.25">
      <c r="A339" s="7"/>
      <c r="B339" s="7"/>
    </row>
    <row r="340" spans="1:2" ht="15.75" customHeight="1" x14ac:dyDescent="0.25">
      <c r="A340" s="7"/>
      <c r="B340" s="7"/>
    </row>
    <row r="341" spans="1:2" ht="15.75" customHeight="1" x14ac:dyDescent="0.25">
      <c r="A341" s="7"/>
      <c r="B341" s="7"/>
    </row>
    <row r="342" spans="1:2" ht="15.75" customHeight="1" x14ac:dyDescent="0.25">
      <c r="A342" s="7"/>
      <c r="B342" s="7"/>
    </row>
    <row r="343" spans="1:2" ht="15.75" customHeight="1" x14ac:dyDescent="0.25">
      <c r="A343" s="7"/>
      <c r="B343" s="7"/>
    </row>
    <row r="344" spans="1:2" ht="15.75" customHeight="1" x14ac:dyDescent="0.25">
      <c r="A344" s="7"/>
      <c r="B344" s="7"/>
    </row>
    <row r="345" spans="1:2" ht="15.75" customHeight="1" x14ac:dyDescent="0.25">
      <c r="A345" s="7"/>
      <c r="B345" s="7"/>
    </row>
    <row r="346" spans="1:2" ht="15.75" customHeight="1" x14ac:dyDescent="0.25">
      <c r="A346" s="7"/>
      <c r="B346" s="7"/>
    </row>
    <row r="347" spans="1:2" ht="15.75" customHeight="1" x14ac:dyDescent="0.25">
      <c r="A347" s="7"/>
      <c r="B347" s="7"/>
    </row>
    <row r="348" spans="1:2" ht="15.75" customHeight="1" x14ac:dyDescent="0.25">
      <c r="A348" s="7"/>
      <c r="B348" s="7"/>
    </row>
    <row r="349" spans="1:2" ht="15.75" customHeight="1" x14ac:dyDescent="0.25">
      <c r="A349" s="7"/>
      <c r="B349" s="7"/>
    </row>
    <row r="350" spans="1:2" ht="15.75" customHeight="1" x14ac:dyDescent="0.25">
      <c r="A350" s="7"/>
      <c r="B350" s="7"/>
    </row>
    <row r="351" spans="1:2" ht="15.75" customHeight="1" x14ac:dyDescent="0.25">
      <c r="A351" s="7"/>
      <c r="B351" s="7"/>
    </row>
    <row r="352" spans="1:2" ht="15.75" customHeight="1" x14ac:dyDescent="0.25">
      <c r="A352" s="7"/>
      <c r="B352" s="7"/>
    </row>
    <row r="353" spans="1:2" ht="15.75" customHeight="1" x14ac:dyDescent="0.25">
      <c r="A353" s="7"/>
      <c r="B353" s="7"/>
    </row>
    <row r="354" spans="1:2" ht="15.75" customHeight="1" x14ac:dyDescent="0.25">
      <c r="A354" s="7"/>
      <c r="B354" s="7"/>
    </row>
    <row r="355" spans="1:2" ht="15.75" customHeight="1" x14ac:dyDescent="0.25">
      <c r="A355" s="7"/>
      <c r="B355" s="7"/>
    </row>
    <row r="356" spans="1:2" ht="15.75" customHeight="1" x14ac:dyDescent="0.25">
      <c r="A356" s="7"/>
      <c r="B356" s="7"/>
    </row>
    <row r="357" spans="1:2" ht="15.75" customHeight="1" x14ac:dyDescent="0.25">
      <c r="A357" s="7"/>
      <c r="B357" s="7"/>
    </row>
    <row r="358" spans="1:2" ht="15.75" customHeight="1" x14ac:dyDescent="0.25">
      <c r="A358" s="7"/>
      <c r="B358" s="7"/>
    </row>
    <row r="359" spans="1:2" ht="15.75" customHeight="1" x14ac:dyDescent="0.25">
      <c r="A359" s="7"/>
      <c r="B359" s="7"/>
    </row>
    <row r="360" spans="1:2" ht="15.75" customHeight="1" x14ac:dyDescent="0.25">
      <c r="A360" s="7"/>
      <c r="B360" s="7"/>
    </row>
    <row r="361" spans="1:2" ht="15.75" customHeight="1" x14ac:dyDescent="0.25">
      <c r="A361" s="7"/>
      <c r="B361" s="7"/>
    </row>
    <row r="362" spans="1:2" ht="15.75" customHeight="1" x14ac:dyDescent="0.25">
      <c r="A362" s="7"/>
      <c r="B362" s="7"/>
    </row>
    <row r="363" spans="1:2" ht="15.75" customHeight="1" x14ac:dyDescent="0.25">
      <c r="A363" s="7"/>
      <c r="B363" s="7"/>
    </row>
    <row r="364" spans="1:2" ht="15.75" customHeight="1" x14ac:dyDescent="0.25">
      <c r="A364" s="7"/>
      <c r="B364" s="7"/>
    </row>
    <row r="365" spans="1:2" ht="15.75" customHeight="1" x14ac:dyDescent="0.25">
      <c r="A365" s="7"/>
      <c r="B365" s="7"/>
    </row>
    <row r="366" spans="1:2" ht="15.75" customHeight="1" x14ac:dyDescent="0.25">
      <c r="A366" s="7"/>
      <c r="B366" s="7"/>
    </row>
    <row r="367" spans="1:2" ht="15.75" customHeight="1" x14ac:dyDescent="0.25">
      <c r="A367" s="7"/>
      <c r="B367" s="7"/>
    </row>
    <row r="368" spans="1:2" ht="15.75" customHeight="1" x14ac:dyDescent="0.25">
      <c r="A368" s="7"/>
      <c r="B368" s="7"/>
    </row>
    <row r="369" spans="1:2" ht="15.75" customHeight="1" x14ac:dyDescent="0.25">
      <c r="A369" s="7"/>
      <c r="B369" s="7"/>
    </row>
    <row r="370" spans="1:2" ht="15.75" customHeight="1" x14ac:dyDescent="0.25">
      <c r="A370" s="7"/>
      <c r="B370" s="7"/>
    </row>
    <row r="371" spans="1:2" ht="15.75" customHeight="1" x14ac:dyDescent="0.25">
      <c r="A371" s="7"/>
      <c r="B371" s="7"/>
    </row>
    <row r="372" spans="1:2" ht="15.75" customHeight="1" x14ac:dyDescent="0.25">
      <c r="A372" s="7"/>
      <c r="B372" s="7"/>
    </row>
    <row r="373" spans="1:2" ht="15.75" customHeight="1" x14ac:dyDescent="0.25">
      <c r="A373" s="7"/>
      <c r="B373" s="7"/>
    </row>
    <row r="374" spans="1:2" ht="15.75" customHeight="1" x14ac:dyDescent="0.25">
      <c r="A374" s="7"/>
      <c r="B374" s="7"/>
    </row>
    <row r="375" spans="1:2" ht="15.75" customHeight="1" x14ac:dyDescent="0.25">
      <c r="A375" s="7"/>
      <c r="B375" s="7"/>
    </row>
    <row r="376" spans="1:2" ht="15.75" customHeight="1" x14ac:dyDescent="0.25">
      <c r="A376" s="7"/>
      <c r="B376" s="7"/>
    </row>
    <row r="377" spans="1:2" ht="15.75" customHeight="1" x14ac:dyDescent="0.25">
      <c r="A377" s="7"/>
      <c r="B377" s="7"/>
    </row>
    <row r="378" spans="1:2" ht="15.75" customHeight="1" x14ac:dyDescent="0.25">
      <c r="A378" s="7"/>
      <c r="B378" s="7"/>
    </row>
    <row r="379" spans="1:2" ht="15.75" customHeight="1" x14ac:dyDescent="0.25">
      <c r="A379" s="7"/>
      <c r="B379" s="7"/>
    </row>
    <row r="380" spans="1:2" ht="15.75" customHeight="1" x14ac:dyDescent="0.25">
      <c r="A380" s="7"/>
      <c r="B380" s="7"/>
    </row>
    <row r="381" spans="1:2" ht="15.75" customHeight="1" x14ac:dyDescent="0.25">
      <c r="A381" s="7"/>
      <c r="B381" s="7"/>
    </row>
    <row r="382" spans="1:2" ht="15.75" customHeight="1" x14ac:dyDescent="0.25">
      <c r="A382" s="7"/>
      <c r="B382" s="7"/>
    </row>
    <row r="383" spans="1:2" ht="15.75" customHeight="1" x14ac:dyDescent="0.25">
      <c r="A383" s="7"/>
      <c r="B383" s="7"/>
    </row>
    <row r="384" spans="1:2" ht="15.75" customHeight="1" x14ac:dyDescent="0.25">
      <c r="A384" s="7"/>
      <c r="B384" s="7"/>
    </row>
    <row r="385" spans="1:2" ht="15.75" customHeight="1" x14ac:dyDescent="0.25">
      <c r="A385" s="7"/>
      <c r="B385" s="7"/>
    </row>
    <row r="386" spans="1:2" ht="15.75" customHeight="1" x14ac:dyDescent="0.25">
      <c r="A386" s="7"/>
      <c r="B386" s="7"/>
    </row>
    <row r="387" spans="1:2" ht="15.75" customHeight="1" x14ac:dyDescent="0.25">
      <c r="A387" s="7"/>
      <c r="B387" s="7"/>
    </row>
    <row r="388" spans="1:2" ht="15.75" customHeight="1" x14ac:dyDescent="0.25">
      <c r="A388" s="7"/>
      <c r="B388" s="7"/>
    </row>
    <row r="389" spans="1:2" ht="15.75" customHeight="1" x14ac:dyDescent="0.25">
      <c r="A389" s="7"/>
      <c r="B389" s="7"/>
    </row>
    <row r="390" spans="1:2" ht="15.75" customHeight="1" x14ac:dyDescent="0.25">
      <c r="A390" s="7"/>
      <c r="B390" s="7"/>
    </row>
    <row r="391" spans="1:2" ht="15.75" customHeight="1" x14ac:dyDescent="0.25">
      <c r="A391" s="7"/>
      <c r="B391" s="7"/>
    </row>
    <row r="392" spans="1:2" ht="15.75" customHeight="1" x14ac:dyDescent="0.25">
      <c r="A392" s="7"/>
      <c r="B392" s="7"/>
    </row>
    <row r="393" spans="1:2" ht="15.75" customHeight="1" x14ac:dyDescent="0.25">
      <c r="A393" s="7"/>
      <c r="B393" s="7"/>
    </row>
    <row r="394" spans="1:2" ht="15.75" customHeight="1" x14ac:dyDescent="0.25">
      <c r="A394" s="7"/>
      <c r="B394" s="7"/>
    </row>
    <row r="395" spans="1:2" ht="15.75" customHeight="1" x14ac:dyDescent="0.25">
      <c r="A395" s="7"/>
      <c r="B395" s="7"/>
    </row>
    <row r="396" spans="1:2" ht="15.75" customHeight="1" x14ac:dyDescent="0.25">
      <c r="A396" s="7"/>
      <c r="B396" s="7"/>
    </row>
    <row r="397" spans="1:2" ht="15.75" customHeight="1" x14ac:dyDescent="0.25">
      <c r="A397" s="7"/>
      <c r="B397" s="7"/>
    </row>
    <row r="398" spans="1:2" ht="15.75" customHeight="1" x14ac:dyDescent="0.25">
      <c r="A398" s="7"/>
      <c r="B398" s="7"/>
    </row>
    <row r="399" spans="1:2" ht="15.75" customHeight="1" x14ac:dyDescent="0.25">
      <c r="A399" s="7"/>
      <c r="B399" s="7"/>
    </row>
    <row r="400" spans="1:2" ht="15.75" customHeight="1" x14ac:dyDescent="0.25">
      <c r="A400" s="7"/>
      <c r="B400" s="7"/>
    </row>
    <row r="401" spans="1:2" ht="15.75" customHeight="1" x14ac:dyDescent="0.25">
      <c r="A401" s="7"/>
      <c r="B401" s="7"/>
    </row>
    <row r="402" spans="1:2" ht="15.75" customHeight="1" x14ac:dyDescent="0.25">
      <c r="A402" s="7"/>
      <c r="B402" s="7"/>
    </row>
    <row r="403" spans="1:2" ht="15.75" customHeight="1" x14ac:dyDescent="0.25">
      <c r="A403" s="7"/>
      <c r="B403" s="7"/>
    </row>
    <row r="404" spans="1:2" ht="15.75" customHeight="1" x14ac:dyDescent="0.25">
      <c r="A404" s="7"/>
      <c r="B404" s="7"/>
    </row>
    <row r="405" spans="1:2" ht="15.75" customHeight="1" x14ac:dyDescent="0.25">
      <c r="A405" s="7"/>
      <c r="B405" s="7"/>
    </row>
    <row r="406" spans="1:2" ht="15.75" customHeight="1" x14ac:dyDescent="0.25">
      <c r="A406" s="7"/>
      <c r="B406" s="7"/>
    </row>
    <row r="407" spans="1:2" ht="15.75" customHeight="1" x14ac:dyDescent="0.25">
      <c r="A407" s="7"/>
      <c r="B407" s="7"/>
    </row>
    <row r="408" spans="1:2" ht="15.75" customHeight="1" x14ac:dyDescent="0.25">
      <c r="A408" s="7"/>
      <c r="B408" s="7"/>
    </row>
    <row r="409" spans="1:2" ht="15.75" customHeight="1" x14ac:dyDescent="0.25">
      <c r="A409" s="7"/>
      <c r="B409" s="7"/>
    </row>
    <row r="410" spans="1:2" ht="15.75" customHeight="1" x14ac:dyDescent="0.25">
      <c r="A410" s="7"/>
      <c r="B410" s="7"/>
    </row>
    <row r="411" spans="1:2" ht="15.75" customHeight="1" x14ac:dyDescent="0.25">
      <c r="A411" s="7"/>
      <c r="B411" s="7"/>
    </row>
    <row r="412" spans="1:2" ht="15.75" customHeight="1" x14ac:dyDescent="0.25">
      <c r="A412" s="7"/>
      <c r="B412" s="7"/>
    </row>
    <row r="413" spans="1:2" ht="15.75" customHeight="1" x14ac:dyDescent="0.25">
      <c r="A413" s="7"/>
      <c r="B413" s="7"/>
    </row>
    <row r="414" spans="1:2" ht="15.75" customHeight="1" x14ac:dyDescent="0.25">
      <c r="A414" s="7"/>
      <c r="B414" s="7"/>
    </row>
    <row r="415" spans="1:2" ht="15.75" customHeight="1" x14ac:dyDescent="0.25">
      <c r="A415" s="7"/>
      <c r="B415" s="7"/>
    </row>
    <row r="416" spans="1:2" ht="15.75" customHeight="1" x14ac:dyDescent="0.25">
      <c r="A416" s="7"/>
      <c r="B416" s="7"/>
    </row>
    <row r="417" spans="1:2" ht="15.75" customHeight="1" x14ac:dyDescent="0.25">
      <c r="A417" s="7"/>
      <c r="B417" s="7"/>
    </row>
    <row r="418" spans="1:2" ht="15.75" customHeight="1" x14ac:dyDescent="0.25">
      <c r="A418" s="7"/>
      <c r="B418" s="7"/>
    </row>
    <row r="419" spans="1:2" ht="15.75" customHeight="1" x14ac:dyDescent="0.25">
      <c r="A419" s="7"/>
      <c r="B419" s="7"/>
    </row>
    <row r="420" spans="1:2" ht="15.75" customHeight="1" x14ac:dyDescent="0.25">
      <c r="A420" s="7"/>
      <c r="B420" s="7"/>
    </row>
    <row r="421" spans="1:2" ht="15.75" customHeight="1" x14ac:dyDescent="0.25">
      <c r="A421" s="7"/>
      <c r="B421" s="7"/>
    </row>
    <row r="422" spans="1:2" ht="15.75" customHeight="1" x14ac:dyDescent="0.25">
      <c r="A422" s="7"/>
      <c r="B422" s="7"/>
    </row>
    <row r="423" spans="1:2" ht="15.75" customHeight="1" x14ac:dyDescent="0.25">
      <c r="A423" s="7"/>
      <c r="B423" s="7"/>
    </row>
    <row r="424" spans="1:2" ht="15.75" customHeight="1" x14ac:dyDescent="0.25">
      <c r="A424" s="7"/>
      <c r="B424" s="7"/>
    </row>
    <row r="425" spans="1:2" ht="15.75" customHeight="1" x14ac:dyDescent="0.25">
      <c r="A425" s="7"/>
      <c r="B425" s="7"/>
    </row>
    <row r="426" spans="1:2" ht="15.75" customHeight="1" x14ac:dyDescent="0.25">
      <c r="A426" s="7"/>
      <c r="B426" s="7"/>
    </row>
    <row r="427" spans="1:2" ht="15.75" customHeight="1" x14ac:dyDescent="0.25">
      <c r="A427" s="7"/>
      <c r="B427" s="7"/>
    </row>
    <row r="428" spans="1:2" ht="15.75" customHeight="1" x14ac:dyDescent="0.25">
      <c r="A428" s="7"/>
      <c r="B428" s="7"/>
    </row>
    <row r="429" spans="1:2" ht="15.75" customHeight="1" x14ac:dyDescent="0.25">
      <c r="A429" s="7"/>
      <c r="B429" s="7"/>
    </row>
    <row r="430" spans="1:2" ht="15.75" customHeight="1" x14ac:dyDescent="0.25">
      <c r="A430" s="7"/>
      <c r="B430" s="7"/>
    </row>
    <row r="431" spans="1:2" ht="15.75" customHeight="1" x14ac:dyDescent="0.25">
      <c r="A431" s="7"/>
      <c r="B431" s="7"/>
    </row>
    <row r="432" spans="1:2" ht="15.75" customHeight="1" x14ac:dyDescent="0.25">
      <c r="A432" s="7"/>
      <c r="B432" s="7"/>
    </row>
    <row r="433" spans="1:2" ht="15.75" customHeight="1" x14ac:dyDescent="0.25">
      <c r="A433" s="7"/>
      <c r="B433" s="7"/>
    </row>
    <row r="434" spans="1:2" ht="15.75" customHeight="1" x14ac:dyDescent="0.25">
      <c r="A434" s="7"/>
      <c r="B434" s="7"/>
    </row>
    <row r="435" spans="1:2" ht="15.75" customHeight="1" x14ac:dyDescent="0.25">
      <c r="A435" s="7"/>
      <c r="B435" s="7"/>
    </row>
    <row r="436" spans="1:2" ht="15.75" customHeight="1" x14ac:dyDescent="0.25">
      <c r="A436" s="7"/>
      <c r="B436" s="7"/>
    </row>
    <row r="437" spans="1:2" ht="15.75" customHeight="1" x14ac:dyDescent="0.25">
      <c r="A437" s="7"/>
      <c r="B437" s="7"/>
    </row>
    <row r="438" spans="1:2" ht="15.75" customHeight="1" x14ac:dyDescent="0.25">
      <c r="A438" s="7"/>
      <c r="B438" s="7"/>
    </row>
    <row r="439" spans="1:2" ht="15.75" customHeight="1" x14ac:dyDescent="0.25">
      <c r="A439" s="7"/>
      <c r="B439" s="7"/>
    </row>
    <row r="440" spans="1:2" ht="15.75" customHeight="1" x14ac:dyDescent="0.25">
      <c r="A440" s="7"/>
      <c r="B440" s="7"/>
    </row>
    <row r="441" spans="1:2" ht="15.75" customHeight="1" x14ac:dyDescent="0.25">
      <c r="A441" s="7"/>
      <c r="B441" s="7"/>
    </row>
    <row r="442" spans="1:2" ht="15.75" customHeight="1" x14ac:dyDescent="0.25">
      <c r="A442" s="7"/>
      <c r="B442" s="7"/>
    </row>
    <row r="443" spans="1:2" ht="15.75" customHeight="1" x14ac:dyDescent="0.25">
      <c r="A443" s="7"/>
      <c r="B443" s="7"/>
    </row>
    <row r="444" spans="1:2" ht="15.75" customHeight="1" x14ac:dyDescent="0.25">
      <c r="A444" s="7"/>
      <c r="B444" s="7"/>
    </row>
    <row r="445" spans="1:2" ht="15.75" customHeight="1" x14ac:dyDescent="0.25">
      <c r="A445" s="7"/>
      <c r="B445" s="7"/>
    </row>
    <row r="446" spans="1:2" ht="15.75" customHeight="1" x14ac:dyDescent="0.25">
      <c r="A446" s="7"/>
      <c r="B446" s="7"/>
    </row>
    <row r="447" spans="1:2" ht="15.75" customHeight="1" x14ac:dyDescent="0.25">
      <c r="A447" s="7"/>
      <c r="B447" s="7"/>
    </row>
    <row r="448" spans="1:2" ht="15.75" customHeight="1" x14ac:dyDescent="0.25">
      <c r="A448" s="7"/>
      <c r="B448" s="7"/>
    </row>
    <row r="449" spans="1:2" ht="15.75" customHeight="1" x14ac:dyDescent="0.25">
      <c r="A449" s="7"/>
      <c r="B449" s="7"/>
    </row>
    <row r="450" spans="1:2" ht="15.75" customHeight="1" x14ac:dyDescent="0.25">
      <c r="A450" s="7"/>
      <c r="B450" s="7"/>
    </row>
    <row r="451" spans="1:2" ht="15.75" customHeight="1" x14ac:dyDescent="0.25">
      <c r="A451" s="7"/>
      <c r="B451" s="7"/>
    </row>
    <row r="452" spans="1:2" ht="15.75" customHeight="1" x14ac:dyDescent="0.25">
      <c r="A452" s="7"/>
      <c r="B452" s="7"/>
    </row>
    <row r="453" spans="1:2" ht="15.75" customHeight="1" x14ac:dyDescent="0.25">
      <c r="A453" s="7"/>
      <c r="B453" s="7"/>
    </row>
    <row r="454" spans="1:2" ht="15.75" customHeight="1" x14ac:dyDescent="0.25">
      <c r="A454" s="7"/>
      <c r="B454" s="7"/>
    </row>
    <row r="455" spans="1:2" ht="15.75" customHeight="1" x14ac:dyDescent="0.25">
      <c r="A455" s="7"/>
      <c r="B455" s="7"/>
    </row>
    <row r="456" spans="1:2" ht="15.75" customHeight="1" x14ac:dyDescent="0.25">
      <c r="A456" s="7"/>
      <c r="B456" s="7"/>
    </row>
    <row r="457" spans="1:2" ht="15.75" customHeight="1" x14ac:dyDescent="0.25">
      <c r="A457" s="7"/>
      <c r="B457" s="7"/>
    </row>
    <row r="458" spans="1:2" ht="15.75" customHeight="1" x14ac:dyDescent="0.25">
      <c r="A458" s="7"/>
      <c r="B458" s="7"/>
    </row>
    <row r="459" spans="1:2" ht="15.75" customHeight="1" x14ac:dyDescent="0.25">
      <c r="A459" s="7"/>
      <c r="B459" s="7"/>
    </row>
    <row r="460" spans="1:2" ht="15.75" customHeight="1" x14ac:dyDescent="0.25">
      <c r="A460" s="7"/>
      <c r="B460" s="7"/>
    </row>
    <row r="461" spans="1:2" ht="15.75" customHeight="1" x14ac:dyDescent="0.25">
      <c r="A461" s="7"/>
      <c r="B461" s="7"/>
    </row>
    <row r="462" spans="1:2" ht="15.75" customHeight="1" x14ac:dyDescent="0.25">
      <c r="A462" s="7"/>
      <c r="B462" s="7"/>
    </row>
    <row r="463" spans="1:2" ht="15.75" customHeight="1" x14ac:dyDescent="0.25">
      <c r="A463" s="7"/>
      <c r="B463" s="7"/>
    </row>
    <row r="464" spans="1:2" ht="15.75" customHeight="1" x14ac:dyDescent="0.25">
      <c r="A464" s="7"/>
      <c r="B464" s="7"/>
    </row>
    <row r="465" spans="1:2" ht="15.75" customHeight="1" x14ac:dyDescent="0.25">
      <c r="A465" s="7"/>
      <c r="B465" s="7"/>
    </row>
    <row r="466" spans="1:2" ht="15.75" customHeight="1" x14ac:dyDescent="0.25">
      <c r="A466" s="7"/>
      <c r="B466" s="7"/>
    </row>
    <row r="467" spans="1:2" ht="15.75" customHeight="1" x14ac:dyDescent="0.25">
      <c r="A467" s="7"/>
      <c r="B467" s="7"/>
    </row>
    <row r="468" spans="1:2" ht="15.75" customHeight="1" x14ac:dyDescent="0.25">
      <c r="A468" s="7"/>
      <c r="B468" s="7"/>
    </row>
    <row r="469" spans="1:2" ht="15.75" customHeight="1" x14ac:dyDescent="0.25">
      <c r="A469" s="7"/>
      <c r="B469" s="7"/>
    </row>
    <row r="470" spans="1:2" ht="15.75" customHeight="1" x14ac:dyDescent="0.25">
      <c r="A470" s="7"/>
      <c r="B470" s="7"/>
    </row>
    <row r="471" spans="1:2" ht="15.75" customHeight="1" x14ac:dyDescent="0.25">
      <c r="A471" s="7"/>
      <c r="B471" s="7"/>
    </row>
    <row r="472" spans="1:2" ht="15.75" customHeight="1" x14ac:dyDescent="0.25">
      <c r="A472" s="7"/>
      <c r="B472" s="7"/>
    </row>
    <row r="473" spans="1:2" ht="15.75" customHeight="1" x14ac:dyDescent="0.25">
      <c r="A473" s="7"/>
      <c r="B473" s="7"/>
    </row>
    <row r="474" spans="1:2" ht="15.75" customHeight="1" x14ac:dyDescent="0.25">
      <c r="A474" s="7"/>
      <c r="B474" s="7"/>
    </row>
    <row r="475" spans="1:2" ht="15.75" customHeight="1" x14ac:dyDescent="0.25">
      <c r="A475" s="7"/>
      <c r="B475" s="7"/>
    </row>
    <row r="476" spans="1:2" ht="15.75" customHeight="1" x14ac:dyDescent="0.25">
      <c r="A476" s="7"/>
      <c r="B476" s="7"/>
    </row>
    <row r="477" spans="1:2" ht="15.75" customHeight="1" x14ac:dyDescent="0.25">
      <c r="A477" s="7"/>
      <c r="B477" s="7"/>
    </row>
    <row r="478" spans="1:2" ht="15.75" customHeight="1" x14ac:dyDescent="0.25">
      <c r="A478" s="7"/>
      <c r="B478" s="7"/>
    </row>
    <row r="479" spans="1:2" ht="15.75" customHeight="1" x14ac:dyDescent="0.25">
      <c r="A479" s="7"/>
      <c r="B479" s="7"/>
    </row>
    <row r="480" spans="1:2" ht="15.75" customHeight="1" x14ac:dyDescent="0.25">
      <c r="A480" s="7"/>
      <c r="B480" s="7"/>
    </row>
    <row r="481" spans="1:2" ht="15.75" customHeight="1" x14ac:dyDescent="0.25">
      <c r="A481" s="7"/>
      <c r="B481" s="7"/>
    </row>
    <row r="482" spans="1:2" ht="15.75" customHeight="1" x14ac:dyDescent="0.25">
      <c r="A482" s="7"/>
      <c r="B482" s="7"/>
    </row>
    <row r="483" spans="1:2" ht="15.75" customHeight="1" x14ac:dyDescent="0.25">
      <c r="A483" s="7"/>
      <c r="B483" s="7"/>
    </row>
    <row r="484" spans="1:2" ht="15.75" customHeight="1" x14ac:dyDescent="0.25">
      <c r="A484" s="7"/>
      <c r="B484" s="7"/>
    </row>
    <row r="485" spans="1:2" ht="15.75" customHeight="1" x14ac:dyDescent="0.25">
      <c r="A485" s="7"/>
      <c r="B485" s="7"/>
    </row>
    <row r="486" spans="1:2" ht="15.75" customHeight="1" x14ac:dyDescent="0.25">
      <c r="A486" s="7"/>
      <c r="B486" s="7"/>
    </row>
    <row r="487" spans="1:2" ht="15.75" customHeight="1" x14ac:dyDescent="0.25">
      <c r="A487" s="7"/>
      <c r="B487" s="7"/>
    </row>
    <row r="488" spans="1:2" ht="15.75" customHeight="1" x14ac:dyDescent="0.25">
      <c r="A488" s="7"/>
      <c r="B488" s="7"/>
    </row>
    <row r="489" spans="1:2" ht="15.75" customHeight="1" x14ac:dyDescent="0.25">
      <c r="A489" s="7"/>
      <c r="B489" s="7"/>
    </row>
    <row r="490" spans="1:2" ht="15.75" customHeight="1" x14ac:dyDescent="0.25">
      <c r="A490" s="7"/>
      <c r="B490" s="7"/>
    </row>
    <row r="491" spans="1:2" ht="15.75" customHeight="1" x14ac:dyDescent="0.25">
      <c r="A491" s="7"/>
      <c r="B491" s="7"/>
    </row>
    <row r="492" spans="1:2" ht="15.75" customHeight="1" x14ac:dyDescent="0.25">
      <c r="A492" s="7"/>
      <c r="B492" s="7"/>
    </row>
    <row r="493" spans="1:2" ht="15.75" customHeight="1" x14ac:dyDescent="0.25">
      <c r="A493" s="7"/>
      <c r="B493" s="7"/>
    </row>
    <row r="494" spans="1:2" ht="15.75" customHeight="1" x14ac:dyDescent="0.25">
      <c r="A494" s="7"/>
      <c r="B494" s="7"/>
    </row>
    <row r="495" spans="1:2" ht="15.75" customHeight="1" x14ac:dyDescent="0.25">
      <c r="A495" s="7"/>
      <c r="B495" s="7"/>
    </row>
    <row r="496" spans="1:2" ht="15.75" customHeight="1" x14ac:dyDescent="0.25">
      <c r="A496" s="7"/>
      <c r="B496" s="7"/>
    </row>
    <row r="497" spans="1:2" ht="15.75" customHeight="1" x14ac:dyDescent="0.25">
      <c r="A497" s="7"/>
      <c r="B497" s="7"/>
    </row>
    <row r="498" spans="1:2" ht="15.75" customHeight="1" x14ac:dyDescent="0.25">
      <c r="A498" s="7"/>
      <c r="B498" s="7"/>
    </row>
    <row r="499" spans="1:2" ht="15.75" customHeight="1" x14ac:dyDescent="0.25">
      <c r="A499" s="7"/>
      <c r="B499" s="7"/>
    </row>
    <row r="500" spans="1:2" ht="15.75" customHeight="1" x14ac:dyDescent="0.25">
      <c r="A500" s="7"/>
      <c r="B500" s="7"/>
    </row>
    <row r="501" spans="1:2" ht="15.75" customHeight="1" x14ac:dyDescent="0.25">
      <c r="A501" s="7"/>
      <c r="B501" s="7"/>
    </row>
    <row r="502" spans="1:2" ht="15.75" customHeight="1" x14ac:dyDescent="0.25">
      <c r="A502" s="7"/>
      <c r="B502" s="7"/>
    </row>
    <row r="503" spans="1:2" ht="15.75" customHeight="1" x14ac:dyDescent="0.25">
      <c r="A503" s="7"/>
      <c r="B503" s="7"/>
    </row>
    <row r="504" spans="1:2" ht="15.75" customHeight="1" x14ac:dyDescent="0.25">
      <c r="A504" s="7"/>
      <c r="B504" s="7"/>
    </row>
    <row r="505" spans="1:2" ht="15.75" customHeight="1" x14ac:dyDescent="0.25">
      <c r="A505" s="7"/>
      <c r="B505" s="7"/>
    </row>
    <row r="506" spans="1:2" ht="15.75" customHeight="1" x14ac:dyDescent="0.25">
      <c r="A506" s="7"/>
      <c r="B506" s="7"/>
    </row>
    <row r="507" spans="1:2" ht="15.75" customHeight="1" x14ac:dyDescent="0.25">
      <c r="A507" s="7"/>
      <c r="B507" s="7"/>
    </row>
    <row r="508" spans="1:2" ht="15.75" customHeight="1" x14ac:dyDescent="0.25">
      <c r="A508" s="7"/>
      <c r="B508" s="7"/>
    </row>
    <row r="509" spans="1:2" ht="15.75" customHeight="1" x14ac:dyDescent="0.25">
      <c r="A509" s="7"/>
      <c r="B509" s="7"/>
    </row>
    <row r="510" spans="1:2" ht="15.75" customHeight="1" x14ac:dyDescent="0.25">
      <c r="A510" s="7"/>
      <c r="B510" s="7"/>
    </row>
    <row r="511" spans="1:2" ht="15.75" customHeight="1" x14ac:dyDescent="0.25">
      <c r="A511" s="7"/>
      <c r="B511" s="7"/>
    </row>
    <row r="512" spans="1:2" ht="15.75" customHeight="1" x14ac:dyDescent="0.25">
      <c r="A512" s="7"/>
      <c r="B512" s="7"/>
    </row>
    <row r="513" spans="1:2" ht="15.75" customHeight="1" x14ac:dyDescent="0.25">
      <c r="A513" s="7"/>
      <c r="B513" s="7"/>
    </row>
    <row r="514" spans="1:2" ht="15.75" customHeight="1" x14ac:dyDescent="0.25">
      <c r="A514" s="7"/>
      <c r="B514" s="7"/>
    </row>
    <row r="515" spans="1:2" ht="15.75" customHeight="1" x14ac:dyDescent="0.25">
      <c r="A515" s="7"/>
      <c r="B515" s="7"/>
    </row>
    <row r="516" spans="1:2" ht="15.75" customHeight="1" x14ac:dyDescent="0.25">
      <c r="A516" s="7"/>
      <c r="B516" s="7"/>
    </row>
    <row r="517" spans="1:2" ht="15.75" customHeight="1" x14ac:dyDescent="0.25">
      <c r="A517" s="7"/>
      <c r="B517" s="7"/>
    </row>
    <row r="518" spans="1:2" ht="15.75" customHeight="1" x14ac:dyDescent="0.25">
      <c r="A518" s="7"/>
      <c r="B518" s="7"/>
    </row>
    <row r="519" spans="1:2" ht="15.75" customHeight="1" x14ac:dyDescent="0.25">
      <c r="A519" s="7"/>
      <c r="B519" s="7"/>
    </row>
    <row r="520" spans="1:2" ht="15.75" customHeight="1" x14ac:dyDescent="0.25">
      <c r="A520" s="7"/>
      <c r="B520" s="7"/>
    </row>
    <row r="521" spans="1:2" ht="15.75" customHeight="1" x14ac:dyDescent="0.25">
      <c r="A521" s="7"/>
      <c r="B521" s="7"/>
    </row>
    <row r="522" spans="1:2" ht="15.75" customHeight="1" x14ac:dyDescent="0.25">
      <c r="A522" s="7"/>
      <c r="B522" s="7"/>
    </row>
    <row r="523" spans="1:2" ht="15.75" customHeight="1" x14ac:dyDescent="0.25">
      <c r="A523" s="7"/>
      <c r="B523" s="7"/>
    </row>
    <row r="524" spans="1:2" ht="15.75" customHeight="1" x14ac:dyDescent="0.25">
      <c r="A524" s="7"/>
      <c r="B524" s="7"/>
    </row>
    <row r="525" spans="1:2" ht="15.75" customHeight="1" x14ac:dyDescent="0.25">
      <c r="A525" s="7"/>
      <c r="B525" s="7"/>
    </row>
    <row r="526" spans="1:2" ht="15.75" customHeight="1" x14ac:dyDescent="0.25">
      <c r="A526" s="7"/>
      <c r="B526" s="7"/>
    </row>
    <row r="527" spans="1:2" ht="15.75" customHeight="1" x14ac:dyDescent="0.25">
      <c r="A527" s="7"/>
      <c r="B527" s="7"/>
    </row>
    <row r="528" spans="1:2" ht="15.75" customHeight="1" x14ac:dyDescent="0.25">
      <c r="A528" s="7"/>
      <c r="B528" s="7"/>
    </row>
    <row r="529" spans="1:2" ht="15.75" customHeight="1" x14ac:dyDescent="0.25">
      <c r="A529" s="7"/>
      <c r="B529" s="7"/>
    </row>
    <row r="530" spans="1:2" ht="15.75" customHeight="1" x14ac:dyDescent="0.25">
      <c r="A530" s="7"/>
      <c r="B530" s="7"/>
    </row>
    <row r="531" spans="1:2" ht="15.75" customHeight="1" x14ac:dyDescent="0.25">
      <c r="A531" s="7"/>
      <c r="B531" s="7"/>
    </row>
    <row r="532" spans="1:2" ht="15.75" customHeight="1" x14ac:dyDescent="0.25">
      <c r="A532" s="7"/>
      <c r="B532" s="7"/>
    </row>
    <row r="533" spans="1:2" ht="15.75" customHeight="1" x14ac:dyDescent="0.25">
      <c r="A533" s="7"/>
      <c r="B533" s="7"/>
    </row>
    <row r="534" spans="1:2" ht="15.75" customHeight="1" x14ac:dyDescent="0.25">
      <c r="A534" s="7"/>
      <c r="B534" s="7"/>
    </row>
    <row r="535" spans="1:2" ht="15.75" customHeight="1" x14ac:dyDescent="0.25">
      <c r="A535" s="7"/>
      <c r="B535" s="7"/>
    </row>
    <row r="536" spans="1:2" ht="15.75" customHeight="1" x14ac:dyDescent="0.25">
      <c r="A536" s="7"/>
      <c r="B536" s="7"/>
    </row>
    <row r="537" spans="1:2" ht="15.75" customHeight="1" x14ac:dyDescent="0.25">
      <c r="A537" s="7"/>
      <c r="B537" s="7"/>
    </row>
    <row r="538" spans="1:2" ht="15.75" customHeight="1" x14ac:dyDescent="0.25">
      <c r="A538" s="7"/>
      <c r="B538" s="7"/>
    </row>
    <row r="539" spans="1:2" ht="15.75" customHeight="1" x14ac:dyDescent="0.25">
      <c r="A539" s="7"/>
      <c r="B539" s="7"/>
    </row>
    <row r="540" spans="1:2" ht="15.75" customHeight="1" x14ac:dyDescent="0.25">
      <c r="A540" s="7"/>
      <c r="B540" s="7"/>
    </row>
    <row r="541" spans="1:2" ht="15.75" customHeight="1" x14ac:dyDescent="0.25">
      <c r="A541" s="7"/>
      <c r="B541" s="7"/>
    </row>
    <row r="542" spans="1:2" ht="15.75" customHeight="1" x14ac:dyDescent="0.25">
      <c r="A542" s="7"/>
      <c r="B542" s="7"/>
    </row>
    <row r="543" spans="1:2" ht="15.75" customHeight="1" x14ac:dyDescent="0.25">
      <c r="A543" s="7"/>
      <c r="B543" s="7"/>
    </row>
    <row r="544" spans="1:2" ht="15.75" customHeight="1" x14ac:dyDescent="0.25">
      <c r="A544" s="7"/>
      <c r="B544" s="7"/>
    </row>
    <row r="545" spans="1:2" ht="15.75" customHeight="1" x14ac:dyDescent="0.25">
      <c r="A545" s="7"/>
      <c r="B545" s="7"/>
    </row>
    <row r="546" spans="1:2" ht="15.75" customHeight="1" x14ac:dyDescent="0.25">
      <c r="A546" s="7"/>
      <c r="B546" s="7"/>
    </row>
    <row r="547" spans="1:2" ht="15.75" customHeight="1" x14ac:dyDescent="0.25">
      <c r="A547" s="7"/>
      <c r="B547" s="7"/>
    </row>
    <row r="548" spans="1:2" ht="15.75" customHeight="1" x14ac:dyDescent="0.25">
      <c r="A548" s="7"/>
      <c r="B548" s="7"/>
    </row>
    <row r="549" spans="1:2" ht="15.75" customHeight="1" x14ac:dyDescent="0.25">
      <c r="A549" s="7"/>
      <c r="B549" s="7"/>
    </row>
    <row r="550" spans="1:2" ht="15.75" customHeight="1" x14ac:dyDescent="0.25">
      <c r="A550" s="7"/>
      <c r="B550" s="7"/>
    </row>
    <row r="551" spans="1:2" ht="15.75" customHeight="1" x14ac:dyDescent="0.25">
      <c r="A551" s="7"/>
      <c r="B551" s="7"/>
    </row>
    <row r="552" spans="1:2" ht="15.75" customHeight="1" x14ac:dyDescent="0.25">
      <c r="A552" s="7"/>
      <c r="B552" s="7"/>
    </row>
    <row r="553" spans="1:2" ht="15.75" customHeight="1" x14ac:dyDescent="0.25">
      <c r="A553" s="7"/>
      <c r="B553" s="7"/>
    </row>
    <row r="554" spans="1:2" ht="15.75" customHeight="1" x14ac:dyDescent="0.25">
      <c r="A554" s="7"/>
      <c r="B554" s="7"/>
    </row>
    <row r="555" spans="1:2" ht="15.75" customHeight="1" x14ac:dyDescent="0.25">
      <c r="A555" s="7"/>
      <c r="B555" s="7"/>
    </row>
    <row r="556" spans="1:2" ht="15.75" customHeight="1" x14ac:dyDescent="0.25">
      <c r="A556" s="7"/>
      <c r="B556" s="7"/>
    </row>
    <row r="557" spans="1:2" ht="15.75" customHeight="1" x14ac:dyDescent="0.25">
      <c r="A557" s="7"/>
      <c r="B557" s="7"/>
    </row>
    <row r="558" spans="1:2" ht="15.75" customHeight="1" x14ac:dyDescent="0.25">
      <c r="A558" s="7"/>
      <c r="B558" s="7"/>
    </row>
    <row r="559" spans="1:2" ht="15.75" customHeight="1" x14ac:dyDescent="0.25">
      <c r="A559" s="7"/>
      <c r="B559" s="7"/>
    </row>
    <row r="560" spans="1:2" ht="15.75" customHeight="1" x14ac:dyDescent="0.25">
      <c r="A560" s="7"/>
      <c r="B560" s="7"/>
    </row>
    <row r="561" spans="1:2" ht="15.75" customHeight="1" x14ac:dyDescent="0.25">
      <c r="A561" s="7"/>
      <c r="B561" s="7"/>
    </row>
    <row r="562" spans="1:2" ht="15.75" customHeight="1" x14ac:dyDescent="0.25">
      <c r="A562" s="7"/>
      <c r="B562" s="7"/>
    </row>
    <row r="563" spans="1:2" ht="15.75" customHeight="1" x14ac:dyDescent="0.25">
      <c r="A563" s="7"/>
      <c r="B563" s="7"/>
    </row>
    <row r="564" spans="1:2" ht="15.75" customHeight="1" x14ac:dyDescent="0.25">
      <c r="A564" s="7"/>
      <c r="B564" s="7"/>
    </row>
    <row r="565" spans="1:2" ht="15.75" customHeight="1" x14ac:dyDescent="0.25">
      <c r="A565" s="7"/>
      <c r="B565" s="7"/>
    </row>
    <row r="566" spans="1:2" ht="15.75" customHeight="1" x14ac:dyDescent="0.25">
      <c r="A566" s="7"/>
      <c r="B566" s="7"/>
    </row>
    <row r="567" spans="1:2" ht="15.75" customHeight="1" x14ac:dyDescent="0.25">
      <c r="A567" s="7"/>
      <c r="B567" s="7"/>
    </row>
    <row r="568" spans="1:2" ht="15.75" customHeight="1" x14ac:dyDescent="0.25">
      <c r="A568" s="7"/>
      <c r="B568" s="7"/>
    </row>
    <row r="569" spans="1:2" ht="15.75" customHeight="1" x14ac:dyDescent="0.25">
      <c r="A569" s="7"/>
      <c r="B569" s="7"/>
    </row>
    <row r="570" spans="1:2" ht="15.75" customHeight="1" x14ac:dyDescent="0.25">
      <c r="A570" s="7"/>
      <c r="B570" s="7"/>
    </row>
    <row r="571" spans="1:2" ht="15.75" customHeight="1" x14ac:dyDescent="0.25">
      <c r="A571" s="7"/>
      <c r="B571" s="7"/>
    </row>
    <row r="572" spans="1:2" ht="15.75" customHeight="1" x14ac:dyDescent="0.25">
      <c r="A572" s="7"/>
      <c r="B572" s="7"/>
    </row>
    <row r="573" spans="1:2" ht="15.75" customHeight="1" x14ac:dyDescent="0.25">
      <c r="A573" s="7"/>
      <c r="B573" s="7"/>
    </row>
    <row r="574" spans="1:2" ht="15.75" customHeight="1" x14ac:dyDescent="0.25">
      <c r="A574" s="7"/>
      <c r="B574" s="7"/>
    </row>
    <row r="575" spans="1:2" ht="15.75" customHeight="1" x14ac:dyDescent="0.25">
      <c r="A575" s="7"/>
      <c r="B575" s="7"/>
    </row>
    <row r="576" spans="1:2" ht="15.75" customHeight="1" x14ac:dyDescent="0.25">
      <c r="A576" s="7"/>
      <c r="B576" s="7"/>
    </row>
    <row r="577" spans="1:2" ht="15.75" customHeight="1" x14ac:dyDescent="0.25">
      <c r="A577" s="7"/>
      <c r="B577" s="7"/>
    </row>
    <row r="578" spans="1:2" ht="15.75" customHeight="1" x14ac:dyDescent="0.25">
      <c r="A578" s="7"/>
      <c r="B578" s="7"/>
    </row>
    <row r="579" spans="1:2" ht="15.75" customHeight="1" x14ac:dyDescent="0.25">
      <c r="A579" s="7"/>
      <c r="B579" s="7"/>
    </row>
    <row r="580" spans="1:2" ht="15.75" customHeight="1" x14ac:dyDescent="0.25">
      <c r="A580" s="7"/>
      <c r="B580" s="7"/>
    </row>
    <row r="581" spans="1:2" ht="15.75" customHeight="1" x14ac:dyDescent="0.25">
      <c r="A581" s="7"/>
      <c r="B581" s="7"/>
    </row>
    <row r="582" spans="1:2" ht="15.75" customHeight="1" x14ac:dyDescent="0.25">
      <c r="A582" s="7"/>
      <c r="B582" s="7"/>
    </row>
    <row r="583" spans="1:2" ht="15.75" customHeight="1" x14ac:dyDescent="0.25">
      <c r="A583" s="7"/>
      <c r="B583" s="7"/>
    </row>
    <row r="584" spans="1:2" ht="15.75" customHeight="1" x14ac:dyDescent="0.25">
      <c r="A584" s="7"/>
      <c r="B584" s="7"/>
    </row>
    <row r="585" spans="1:2" ht="15.75" customHeight="1" x14ac:dyDescent="0.25">
      <c r="A585" s="7"/>
      <c r="B585" s="7"/>
    </row>
    <row r="586" spans="1:2" ht="15.75" customHeight="1" x14ac:dyDescent="0.25">
      <c r="A586" s="7"/>
      <c r="B586" s="7"/>
    </row>
    <row r="587" spans="1:2" ht="15.75" customHeight="1" x14ac:dyDescent="0.25">
      <c r="A587" s="7"/>
      <c r="B587" s="7"/>
    </row>
    <row r="588" spans="1:2" ht="15.75" customHeight="1" x14ac:dyDescent="0.25">
      <c r="A588" s="7"/>
      <c r="B588" s="7"/>
    </row>
    <row r="589" spans="1:2" ht="15.75" customHeight="1" x14ac:dyDescent="0.25">
      <c r="A589" s="7"/>
      <c r="B589" s="7"/>
    </row>
    <row r="590" spans="1:2" ht="15.75" customHeight="1" x14ac:dyDescent="0.25">
      <c r="A590" s="7"/>
      <c r="B590" s="7"/>
    </row>
    <row r="591" spans="1:2" ht="15.75" customHeight="1" x14ac:dyDescent="0.25">
      <c r="A591" s="7"/>
      <c r="B591" s="7"/>
    </row>
    <row r="592" spans="1:2" ht="15.75" customHeight="1" x14ac:dyDescent="0.25">
      <c r="A592" s="7"/>
      <c r="B592" s="7"/>
    </row>
    <row r="593" spans="1:2" ht="15.75" customHeight="1" x14ac:dyDescent="0.25">
      <c r="A593" s="7"/>
      <c r="B593" s="7"/>
    </row>
    <row r="594" spans="1:2" ht="15.75" customHeight="1" x14ac:dyDescent="0.25">
      <c r="A594" s="7"/>
      <c r="B594" s="7"/>
    </row>
    <row r="595" spans="1:2" ht="15.75" customHeight="1" x14ac:dyDescent="0.25">
      <c r="A595" s="7"/>
      <c r="B595" s="7"/>
    </row>
    <row r="596" spans="1:2" ht="15.75" customHeight="1" x14ac:dyDescent="0.25">
      <c r="A596" s="7"/>
      <c r="B596" s="7"/>
    </row>
    <row r="597" spans="1:2" ht="15.75" customHeight="1" x14ac:dyDescent="0.25">
      <c r="A597" s="7"/>
      <c r="B597" s="7"/>
    </row>
    <row r="598" spans="1:2" ht="15.75" customHeight="1" x14ac:dyDescent="0.25">
      <c r="A598" s="7"/>
      <c r="B598" s="7"/>
    </row>
    <row r="599" spans="1:2" ht="15.75" customHeight="1" x14ac:dyDescent="0.25">
      <c r="A599" s="7"/>
      <c r="B599" s="7"/>
    </row>
    <row r="600" spans="1:2" ht="15.75" customHeight="1" x14ac:dyDescent="0.25">
      <c r="A600" s="7"/>
      <c r="B600" s="7"/>
    </row>
    <row r="601" spans="1:2" ht="15.75" customHeight="1" x14ac:dyDescent="0.25">
      <c r="A601" s="7"/>
      <c r="B601" s="7"/>
    </row>
    <row r="602" spans="1:2" ht="15.75" customHeight="1" x14ac:dyDescent="0.25">
      <c r="A602" s="7"/>
      <c r="B602" s="7"/>
    </row>
    <row r="603" spans="1:2" ht="15.75" customHeight="1" x14ac:dyDescent="0.25">
      <c r="A603" s="7"/>
      <c r="B603" s="7"/>
    </row>
    <row r="604" spans="1:2" ht="15.75" customHeight="1" x14ac:dyDescent="0.25">
      <c r="A604" s="7"/>
      <c r="B604" s="7"/>
    </row>
    <row r="605" spans="1:2" ht="15.75" customHeight="1" x14ac:dyDescent="0.25">
      <c r="A605" s="7"/>
      <c r="B605" s="7"/>
    </row>
    <row r="606" spans="1:2" ht="15.75" customHeight="1" x14ac:dyDescent="0.25">
      <c r="A606" s="7"/>
      <c r="B606" s="7"/>
    </row>
    <row r="607" spans="1:2" ht="15.75" customHeight="1" x14ac:dyDescent="0.25">
      <c r="A607" s="7"/>
      <c r="B607" s="7"/>
    </row>
    <row r="608" spans="1:2" ht="15.75" customHeight="1" x14ac:dyDescent="0.25">
      <c r="A608" s="7"/>
      <c r="B608" s="7"/>
    </row>
    <row r="609" spans="1:2" ht="15.75" customHeight="1" x14ac:dyDescent="0.25">
      <c r="A609" s="7"/>
      <c r="B609" s="7"/>
    </row>
    <row r="610" spans="1:2" ht="15.75" customHeight="1" x14ac:dyDescent="0.25">
      <c r="A610" s="7"/>
      <c r="B610" s="7"/>
    </row>
    <row r="611" spans="1:2" ht="15.75" customHeight="1" x14ac:dyDescent="0.25">
      <c r="A611" s="7"/>
      <c r="B611" s="7"/>
    </row>
    <row r="612" spans="1:2" ht="15.75" customHeight="1" x14ac:dyDescent="0.25">
      <c r="A612" s="7"/>
      <c r="B612" s="7"/>
    </row>
    <row r="613" spans="1:2" ht="15.75" customHeight="1" x14ac:dyDescent="0.25">
      <c r="A613" s="7"/>
      <c r="B613" s="7"/>
    </row>
    <row r="614" spans="1:2" ht="15.75" customHeight="1" x14ac:dyDescent="0.25">
      <c r="A614" s="7"/>
      <c r="B614" s="7"/>
    </row>
    <row r="615" spans="1:2" ht="15.75" customHeight="1" x14ac:dyDescent="0.25">
      <c r="A615" s="7"/>
      <c r="B615" s="7"/>
    </row>
    <row r="616" spans="1:2" ht="15.75" customHeight="1" x14ac:dyDescent="0.25">
      <c r="A616" s="7"/>
      <c r="B616" s="7"/>
    </row>
    <row r="617" spans="1:2" ht="15.75" customHeight="1" x14ac:dyDescent="0.25">
      <c r="A617" s="7"/>
      <c r="B617" s="7"/>
    </row>
    <row r="618" spans="1:2" ht="15.75" customHeight="1" x14ac:dyDescent="0.25">
      <c r="A618" s="7"/>
      <c r="B618" s="7"/>
    </row>
    <row r="619" spans="1:2" ht="15.75" customHeight="1" x14ac:dyDescent="0.25">
      <c r="A619" s="7"/>
      <c r="B619" s="7"/>
    </row>
    <row r="620" spans="1:2" ht="15.75" customHeight="1" x14ac:dyDescent="0.25">
      <c r="A620" s="7"/>
      <c r="B620" s="7"/>
    </row>
    <row r="621" spans="1:2" ht="15.75" customHeight="1" x14ac:dyDescent="0.25">
      <c r="A621" s="7"/>
      <c r="B621" s="7"/>
    </row>
    <row r="622" spans="1:2" ht="15.75" customHeight="1" x14ac:dyDescent="0.25">
      <c r="A622" s="7"/>
      <c r="B622" s="7"/>
    </row>
    <row r="623" spans="1:2" ht="15.75" customHeight="1" x14ac:dyDescent="0.25">
      <c r="A623" s="7"/>
      <c r="B623" s="7"/>
    </row>
    <row r="624" spans="1:2" ht="15.75" customHeight="1" x14ac:dyDescent="0.25">
      <c r="A624" s="7"/>
      <c r="B624" s="7"/>
    </row>
    <row r="625" spans="1:2" ht="15.75" customHeight="1" x14ac:dyDescent="0.25">
      <c r="A625" s="7"/>
      <c r="B625" s="7"/>
    </row>
    <row r="626" spans="1:2" ht="15.75" customHeight="1" x14ac:dyDescent="0.25">
      <c r="A626" s="7"/>
      <c r="B626" s="7"/>
    </row>
    <row r="627" spans="1:2" ht="15.75" customHeight="1" x14ac:dyDescent="0.25">
      <c r="A627" s="7"/>
      <c r="B627" s="7"/>
    </row>
    <row r="628" spans="1:2" ht="15.75" customHeight="1" x14ac:dyDescent="0.25">
      <c r="A628" s="7"/>
      <c r="B628" s="7"/>
    </row>
    <row r="629" spans="1:2" ht="15.75" customHeight="1" x14ac:dyDescent="0.25">
      <c r="A629" s="7"/>
      <c r="B629" s="7"/>
    </row>
    <row r="630" spans="1:2" ht="15.75" customHeight="1" x14ac:dyDescent="0.25">
      <c r="A630" s="7"/>
      <c r="B630" s="7"/>
    </row>
    <row r="631" spans="1:2" ht="15.75" customHeight="1" x14ac:dyDescent="0.25">
      <c r="A631" s="7"/>
      <c r="B631" s="7"/>
    </row>
    <row r="632" spans="1:2" ht="15.75" customHeight="1" x14ac:dyDescent="0.25">
      <c r="A632" s="7"/>
      <c r="B632" s="7"/>
    </row>
    <row r="633" spans="1:2" ht="15.75" customHeight="1" x14ac:dyDescent="0.25">
      <c r="A633" s="7"/>
      <c r="B633" s="7"/>
    </row>
    <row r="634" spans="1:2" ht="15.75" customHeight="1" x14ac:dyDescent="0.25">
      <c r="A634" s="7"/>
      <c r="B634" s="7"/>
    </row>
    <row r="635" spans="1:2" ht="15.75" customHeight="1" x14ac:dyDescent="0.25">
      <c r="A635" s="7"/>
      <c r="B635" s="7"/>
    </row>
    <row r="636" spans="1:2" ht="15.75" customHeight="1" x14ac:dyDescent="0.25">
      <c r="A636" s="7"/>
      <c r="B636" s="7"/>
    </row>
    <row r="637" spans="1:2" ht="15.75" customHeight="1" x14ac:dyDescent="0.25">
      <c r="A637" s="7"/>
      <c r="B637" s="7"/>
    </row>
    <row r="638" spans="1:2" ht="15.75" customHeight="1" x14ac:dyDescent="0.25">
      <c r="A638" s="7"/>
      <c r="B638" s="7"/>
    </row>
    <row r="639" spans="1:2" ht="15.75" customHeight="1" x14ac:dyDescent="0.25">
      <c r="A639" s="7"/>
      <c r="B639" s="7"/>
    </row>
    <row r="640" spans="1:2" ht="15.75" customHeight="1" x14ac:dyDescent="0.25">
      <c r="A640" s="7"/>
      <c r="B640" s="7"/>
    </row>
    <row r="641" spans="1:2" ht="15.75" customHeight="1" x14ac:dyDescent="0.25">
      <c r="A641" s="7"/>
      <c r="B641" s="7"/>
    </row>
    <row r="642" spans="1:2" ht="15.75" customHeight="1" x14ac:dyDescent="0.25">
      <c r="A642" s="7"/>
      <c r="B642" s="7"/>
    </row>
    <row r="643" spans="1:2" ht="15.75" customHeight="1" x14ac:dyDescent="0.25">
      <c r="A643" s="7"/>
      <c r="B643" s="7"/>
    </row>
    <row r="644" spans="1:2" ht="15.75" customHeight="1" x14ac:dyDescent="0.25">
      <c r="A644" s="7"/>
      <c r="B644" s="7"/>
    </row>
    <row r="645" spans="1:2" ht="15.75" customHeight="1" x14ac:dyDescent="0.25">
      <c r="A645" s="7"/>
      <c r="B645" s="7"/>
    </row>
    <row r="646" spans="1:2" ht="15.75" customHeight="1" x14ac:dyDescent="0.25">
      <c r="A646" s="7"/>
      <c r="B646" s="7"/>
    </row>
    <row r="647" spans="1:2" ht="15.75" customHeight="1" x14ac:dyDescent="0.25">
      <c r="A647" s="7"/>
      <c r="B647" s="7"/>
    </row>
    <row r="648" spans="1:2" ht="15.75" customHeight="1" x14ac:dyDescent="0.25">
      <c r="A648" s="7"/>
      <c r="B648" s="7"/>
    </row>
    <row r="649" spans="1:2" ht="15.75" customHeight="1" x14ac:dyDescent="0.25">
      <c r="A649" s="7"/>
      <c r="B649" s="7"/>
    </row>
    <row r="650" spans="1:2" ht="15.75" customHeight="1" x14ac:dyDescent="0.25">
      <c r="A650" s="7"/>
      <c r="B650" s="7"/>
    </row>
    <row r="651" spans="1:2" ht="15.75" customHeight="1" x14ac:dyDescent="0.25">
      <c r="A651" s="7"/>
      <c r="B651" s="7"/>
    </row>
    <row r="652" spans="1:2" ht="15.75" customHeight="1" x14ac:dyDescent="0.25">
      <c r="A652" s="7"/>
      <c r="B652" s="7"/>
    </row>
    <row r="653" spans="1:2" ht="15.75" customHeight="1" x14ac:dyDescent="0.25">
      <c r="A653" s="7"/>
      <c r="B653" s="7"/>
    </row>
    <row r="654" spans="1:2" ht="15.75" customHeight="1" x14ac:dyDescent="0.25">
      <c r="A654" s="7"/>
      <c r="B654" s="7"/>
    </row>
    <row r="655" spans="1:2" ht="15.75" customHeight="1" x14ac:dyDescent="0.25">
      <c r="A655" s="7"/>
      <c r="B655" s="7"/>
    </row>
    <row r="656" spans="1:2" ht="15.75" customHeight="1" x14ac:dyDescent="0.25">
      <c r="A656" s="7"/>
      <c r="B656" s="7"/>
    </row>
    <row r="657" spans="1:2" ht="15.75" customHeight="1" x14ac:dyDescent="0.25">
      <c r="A657" s="7"/>
      <c r="B657" s="7"/>
    </row>
    <row r="658" spans="1:2" ht="15.75" customHeight="1" x14ac:dyDescent="0.25">
      <c r="A658" s="7"/>
      <c r="B658" s="7"/>
    </row>
    <row r="659" spans="1:2" ht="15.75" customHeight="1" x14ac:dyDescent="0.25">
      <c r="A659" s="7"/>
      <c r="B659" s="7"/>
    </row>
    <row r="660" spans="1:2" ht="15.75" customHeight="1" x14ac:dyDescent="0.25">
      <c r="A660" s="7"/>
      <c r="B660" s="7"/>
    </row>
    <row r="661" spans="1:2" ht="15.75" customHeight="1" x14ac:dyDescent="0.25">
      <c r="A661" s="7"/>
      <c r="B661" s="7"/>
    </row>
    <row r="662" spans="1:2" ht="15.75" customHeight="1" x14ac:dyDescent="0.25">
      <c r="A662" s="7"/>
      <c r="B662" s="7"/>
    </row>
    <row r="663" spans="1:2" ht="15.75" customHeight="1" x14ac:dyDescent="0.25">
      <c r="A663" s="7"/>
      <c r="B663" s="7"/>
    </row>
    <row r="664" spans="1:2" ht="15.75" customHeight="1" x14ac:dyDescent="0.25">
      <c r="A664" s="7"/>
      <c r="B664" s="7"/>
    </row>
    <row r="665" spans="1:2" ht="15.75" customHeight="1" x14ac:dyDescent="0.25">
      <c r="A665" s="7"/>
      <c r="B665" s="7"/>
    </row>
    <row r="666" spans="1:2" ht="15.75" customHeight="1" x14ac:dyDescent="0.25">
      <c r="A666" s="7"/>
      <c r="B666" s="7"/>
    </row>
    <row r="667" spans="1:2" ht="15.75" customHeight="1" x14ac:dyDescent="0.25">
      <c r="A667" s="7"/>
      <c r="B667" s="7"/>
    </row>
    <row r="668" spans="1:2" ht="15.75" customHeight="1" x14ac:dyDescent="0.25">
      <c r="A668" s="7"/>
      <c r="B668" s="7"/>
    </row>
    <row r="669" spans="1:2" ht="15.75" customHeight="1" x14ac:dyDescent="0.25">
      <c r="A669" s="7"/>
      <c r="B669" s="7"/>
    </row>
    <row r="670" spans="1:2" ht="15.75" customHeight="1" x14ac:dyDescent="0.25">
      <c r="A670" s="7"/>
      <c r="B670" s="7"/>
    </row>
    <row r="671" spans="1:2" ht="15.75" customHeight="1" x14ac:dyDescent="0.25">
      <c r="A671" s="7"/>
      <c r="B671" s="7"/>
    </row>
    <row r="672" spans="1:2" ht="15.75" customHeight="1" x14ac:dyDescent="0.25">
      <c r="A672" s="7"/>
      <c r="B672" s="7"/>
    </row>
    <row r="673" spans="1:2" ht="15.75" customHeight="1" x14ac:dyDescent="0.25">
      <c r="A673" s="7"/>
      <c r="B673" s="7"/>
    </row>
    <row r="674" spans="1:2" ht="15.75" customHeight="1" x14ac:dyDescent="0.25">
      <c r="A674" s="7"/>
      <c r="B674" s="7"/>
    </row>
    <row r="675" spans="1:2" ht="15.75" customHeight="1" x14ac:dyDescent="0.25">
      <c r="A675" s="7"/>
      <c r="B675" s="7"/>
    </row>
    <row r="676" spans="1:2" ht="15.75" customHeight="1" x14ac:dyDescent="0.25">
      <c r="A676" s="7"/>
      <c r="B676" s="7"/>
    </row>
    <row r="677" spans="1:2" ht="15.75" customHeight="1" x14ac:dyDescent="0.25">
      <c r="A677" s="7"/>
      <c r="B677" s="7"/>
    </row>
    <row r="678" spans="1:2" ht="15.75" customHeight="1" x14ac:dyDescent="0.25">
      <c r="A678" s="7"/>
      <c r="B678" s="7"/>
    </row>
    <row r="679" spans="1:2" ht="15.75" customHeight="1" x14ac:dyDescent="0.25">
      <c r="A679" s="7"/>
      <c r="B679" s="7"/>
    </row>
    <row r="680" spans="1:2" ht="15.75" customHeight="1" x14ac:dyDescent="0.25">
      <c r="A680" s="7"/>
      <c r="B680" s="7"/>
    </row>
    <row r="681" spans="1:2" ht="15.75" customHeight="1" x14ac:dyDescent="0.25">
      <c r="A681" s="7"/>
      <c r="B681" s="7"/>
    </row>
    <row r="682" spans="1:2" ht="15.75" customHeight="1" x14ac:dyDescent="0.25">
      <c r="A682" s="7"/>
      <c r="B682" s="7"/>
    </row>
    <row r="683" spans="1:2" ht="15.75" customHeight="1" x14ac:dyDescent="0.25">
      <c r="A683" s="7"/>
      <c r="B683" s="7"/>
    </row>
    <row r="684" spans="1:2" ht="15.75" customHeight="1" x14ac:dyDescent="0.25">
      <c r="A684" s="7"/>
      <c r="B684" s="7"/>
    </row>
    <row r="685" spans="1:2" ht="15.75" customHeight="1" x14ac:dyDescent="0.25">
      <c r="A685" s="7"/>
      <c r="B685" s="7"/>
    </row>
    <row r="686" spans="1:2" ht="15.75" customHeight="1" x14ac:dyDescent="0.25">
      <c r="A686" s="7"/>
      <c r="B686" s="7"/>
    </row>
    <row r="687" spans="1:2" ht="15.75" customHeight="1" x14ac:dyDescent="0.25">
      <c r="A687" s="7"/>
      <c r="B687" s="7"/>
    </row>
    <row r="688" spans="1:2" ht="15.75" customHeight="1" x14ac:dyDescent="0.25">
      <c r="A688" s="7"/>
      <c r="B688" s="7"/>
    </row>
    <row r="689" spans="1:2" ht="15.75" customHeight="1" x14ac:dyDescent="0.25">
      <c r="A689" s="7"/>
      <c r="B689" s="7"/>
    </row>
    <row r="690" spans="1:2" ht="15.75" customHeight="1" x14ac:dyDescent="0.25">
      <c r="A690" s="7"/>
      <c r="B690" s="7"/>
    </row>
    <row r="691" spans="1:2" ht="15.75" customHeight="1" x14ac:dyDescent="0.25">
      <c r="A691" s="7"/>
      <c r="B691" s="7"/>
    </row>
    <row r="692" spans="1:2" ht="15.75" customHeight="1" x14ac:dyDescent="0.25">
      <c r="A692" s="7"/>
      <c r="B692" s="7"/>
    </row>
    <row r="693" spans="1:2" ht="15.75" customHeight="1" x14ac:dyDescent="0.25">
      <c r="A693" s="7"/>
      <c r="B693" s="7"/>
    </row>
    <row r="694" spans="1:2" ht="15.75" customHeight="1" x14ac:dyDescent="0.25">
      <c r="A694" s="7"/>
      <c r="B694" s="7"/>
    </row>
    <row r="695" spans="1:2" ht="15.75" customHeight="1" x14ac:dyDescent="0.25">
      <c r="A695" s="7"/>
      <c r="B695" s="7"/>
    </row>
    <row r="696" spans="1:2" ht="15.75" customHeight="1" x14ac:dyDescent="0.25">
      <c r="A696" s="7"/>
      <c r="B696" s="7"/>
    </row>
    <row r="697" spans="1:2" ht="15.75" customHeight="1" x14ac:dyDescent="0.25">
      <c r="A697" s="7"/>
      <c r="B697" s="7"/>
    </row>
    <row r="698" spans="1:2" ht="15.75" customHeight="1" x14ac:dyDescent="0.25">
      <c r="A698" s="7"/>
      <c r="B698" s="7"/>
    </row>
    <row r="699" spans="1:2" ht="15.75" customHeight="1" x14ac:dyDescent="0.25">
      <c r="A699" s="7"/>
      <c r="B699" s="7"/>
    </row>
    <row r="700" spans="1:2" ht="15.75" customHeight="1" x14ac:dyDescent="0.25">
      <c r="A700" s="7"/>
      <c r="B700" s="7"/>
    </row>
    <row r="701" spans="1:2" ht="15.75" customHeight="1" x14ac:dyDescent="0.25">
      <c r="A701" s="7"/>
      <c r="B701" s="7"/>
    </row>
    <row r="702" spans="1:2" ht="15.75" customHeight="1" x14ac:dyDescent="0.25">
      <c r="A702" s="7"/>
      <c r="B702" s="7"/>
    </row>
    <row r="703" spans="1:2" ht="15.75" customHeight="1" x14ac:dyDescent="0.25">
      <c r="A703" s="7"/>
      <c r="B703" s="7"/>
    </row>
    <row r="704" spans="1:2" ht="15.75" customHeight="1" x14ac:dyDescent="0.25">
      <c r="A704" s="7"/>
      <c r="B704" s="7"/>
    </row>
    <row r="705" spans="1:2" ht="15.75" customHeight="1" x14ac:dyDescent="0.25">
      <c r="A705" s="7"/>
      <c r="B705" s="7"/>
    </row>
    <row r="706" spans="1:2" ht="15.75" customHeight="1" x14ac:dyDescent="0.25">
      <c r="A706" s="7"/>
      <c r="B706" s="7"/>
    </row>
    <row r="707" spans="1:2" ht="15.75" customHeight="1" x14ac:dyDescent="0.25">
      <c r="A707" s="7"/>
      <c r="B707" s="7"/>
    </row>
    <row r="708" spans="1:2" ht="15.75" customHeight="1" x14ac:dyDescent="0.25">
      <c r="A708" s="7"/>
      <c r="B708" s="7"/>
    </row>
    <row r="709" spans="1:2" ht="15.75" customHeight="1" x14ac:dyDescent="0.25">
      <c r="A709" s="7"/>
      <c r="B709" s="7"/>
    </row>
    <row r="710" spans="1:2" ht="15.75" customHeight="1" x14ac:dyDescent="0.25">
      <c r="A710" s="7"/>
      <c r="B710" s="7"/>
    </row>
    <row r="711" spans="1:2" ht="15.75" customHeight="1" x14ac:dyDescent="0.25">
      <c r="A711" s="7"/>
      <c r="B711" s="7"/>
    </row>
    <row r="712" spans="1:2" ht="15.75" customHeight="1" x14ac:dyDescent="0.25">
      <c r="A712" s="7"/>
      <c r="B712" s="7"/>
    </row>
    <row r="713" spans="1:2" ht="15.75" customHeight="1" x14ac:dyDescent="0.25">
      <c r="A713" s="7"/>
      <c r="B713" s="7"/>
    </row>
    <row r="714" spans="1:2" ht="15.75" customHeight="1" x14ac:dyDescent="0.25">
      <c r="A714" s="7"/>
      <c r="B714" s="7"/>
    </row>
    <row r="715" spans="1:2" ht="15.75" customHeight="1" x14ac:dyDescent="0.25">
      <c r="A715" s="7"/>
      <c r="B715" s="7"/>
    </row>
    <row r="716" spans="1:2" ht="15.75" customHeight="1" x14ac:dyDescent="0.25">
      <c r="A716" s="7"/>
      <c r="B716" s="7"/>
    </row>
    <row r="717" spans="1:2" ht="15.75" customHeight="1" x14ac:dyDescent="0.25">
      <c r="A717" s="7"/>
      <c r="B717" s="7"/>
    </row>
    <row r="718" spans="1:2" ht="15.75" customHeight="1" x14ac:dyDescent="0.25">
      <c r="A718" s="7"/>
      <c r="B718" s="7"/>
    </row>
    <row r="719" spans="1:2" ht="15.75" customHeight="1" x14ac:dyDescent="0.25">
      <c r="A719" s="7"/>
      <c r="B719" s="7"/>
    </row>
    <row r="720" spans="1:2" ht="15.75" customHeight="1" x14ac:dyDescent="0.25">
      <c r="A720" s="7"/>
      <c r="B720" s="7"/>
    </row>
    <row r="721" spans="1:2" ht="15.75" customHeight="1" x14ac:dyDescent="0.25">
      <c r="A721" s="7"/>
      <c r="B721" s="7"/>
    </row>
    <row r="722" spans="1:2" ht="15.75" customHeight="1" x14ac:dyDescent="0.25">
      <c r="A722" s="7"/>
      <c r="B722" s="7"/>
    </row>
    <row r="723" spans="1:2" ht="15.75" customHeight="1" x14ac:dyDescent="0.25">
      <c r="A723" s="7"/>
      <c r="B723" s="7"/>
    </row>
    <row r="724" spans="1:2" ht="15.75" customHeight="1" x14ac:dyDescent="0.25">
      <c r="A724" s="7"/>
      <c r="B724" s="7"/>
    </row>
    <row r="725" spans="1:2" ht="15.75" customHeight="1" x14ac:dyDescent="0.25">
      <c r="A725" s="7"/>
      <c r="B725" s="7"/>
    </row>
    <row r="726" spans="1:2" ht="15.75" customHeight="1" x14ac:dyDescent="0.25">
      <c r="A726" s="7"/>
      <c r="B726" s="7"/>
    </row>
    <row r="727" spans="1:2" ht="15.75" customHeight="1" x14ac:dyDescent="0.25">
      <c r="A727" s="7"/>
      <c r="B727" s="7"/>
    </row>
    <row r="728" spans="1:2" ht="15.75" customHeight="1" x14ac:dyDescent="0.25">
      <c r="A728" s="7"/>
      <c r="B728" s="7"/>
    </row>
    <row r="729" spans="1:2" ht="15.75" customHeight="1" x14ac:dyDescent="0.25">
      <c r="A729" s="7"/>
      <c r="B729" s="7"/>
    </row>
    <row r="730" spans="1:2" ht="15.75" customHeight="1" x14ac:dyDescent="0.25">
      <c r="A730" s="7"/>
      <c r="B730" s="7"/>
    </row>
    <row r="731" spans="1:2" ht="15.75" customHeight="1" x14ac:dyDescent="0.25">
      <c r="A731" s="7"/>
      <c r="B731" s="7"/>
    </row>
    <row r="732" spans="1:2" ht="15.75" customHeight="1" x14ac:dyDescent="0.25">
      <c r="A732" s="7"/>
      <c r="B732" s="7"/>
    </row>
    <row r="733" spans="1:2" ht="15.75" customHeight="1" x14ac:dyDescent="0.25">
      <c r="A733" s="7"/>
      <c r="B733" s="7"/>
    </row>
    <row r="734" spans="1:2" ht="15.75" customHeight="1" x14ac:dyDescent="0.25">
      <c r="A734" s="7"/>
      <c r="B734" s="7"/>
    </row>
    <row r="735" spans="1:2" ht="15.75" customHeight="1" x14ac:dyDescent="0.25">
      <c r="A735" s="7"/>
      <c r="B735" s="7"/>
    </row>
    <row r="736" spans="1:2" ht="15.75" customHeight="1" x14ac:dyDescent="0.25">
      <c r="A736" s="7"/>
      <c r="B736" s="7"/>
    </row>
    <row r="737" spans="1:2" ht="15.75" customHeight="1" x14ac:dyDescent="0.25">
      <c r="A737" s="7"/>
      <c r="B737" s="7"/>
    </row>
    <row r="738" spans="1:2" ht="15.75" customHeight="1" x14ac:dyDescent="0.25">
      <c r="A738" s="7"/>
      <c r="B738" s="7"/>
    </row>
    <row r="739" spans="1:2" ht="15.75" customHeight="1" x14ac:dyDescent="0.25">
      <c r="A739" s="7"/>
      <c r="B739" s="7"/>
    </row>
    <row r="740" spans="1:2" ht="15.75" customHeight="1" x14ac:dyDescent="0.25">
      <c r="A740" s="7"/>
      <c r="B740" s="7"/>
    </row>
    <row r="741" spans="1:2" ht="15.75" customHeight="1" x14ac:dyDescent="0.25">
      <c r="A741" s="7"/>
      <c r="B741" s="7"/>
    </row>
    <row r="742" spans="1:2" ht="15.75" customHeight="1" x14ac:dyDescent="0.25">
      <c r="A742" s="7"/>
      <c r="B742" s="7"/>
    </row>
    <row r="743" spans="1:2" ht="15.75" customHeight="1" x14ac:dyDescent="0.25">
      <c r="A743" s="7"/>
      <c r="B743" s="7"/>
    </row>
    <row r="744" spans="1:2" ht="15.75" customHeight="1" x14ac:dyDescent="0.25">
      <c r="A744" s="7"/>
      <c r="B744" s="7"/>
    </row>
    <row r="745" spans="1:2" ht="15.75" customHeight="1" x14ac:dyDescent="0.25">
      <c r="A745" s="7"/>
      <c r="B745" s="7"/>
    </row>
    <row r="746" spans="1:2" ht="15.75" customHeight="1" x14ac:dyDescent="0.25">
      <c r="A746" s="7"/>
      <c r="B746" s="7"/>
    </row>
    <row r="747" spans="1:2" ht="15.75" customHeight="1" x14ac:dyDescent="0.25">
      <c r="A747" s="7"/>
      <c r="B747" s="7"/>
    </row>
    <row r="748" spans="1:2" ht="15.75" customHeight="1" x14ac:dyDescent="0.25">
      <c r="A748" s="7"/>
      <c r="B748" s="7"/>
    </row>
    <row r="749" spans="1:2" ht="15.75" customHeight="1" x14ac:dyDescent="0.25">
      <c r="A749" s="7"/>
      <c r="B749" s="7"/>
    </row>
    <row r="750" spans="1:2" ht="15.75" customHeight="1" x14ac:dyDescent="0.25">
      <c r="A750" s="7"/>
      <c r="B750" s="7"/>
    </row>
    <row r="751" spans="1:2" ht="15.75" customHeight="1" x14ac:dyDescent="0.25">
      <c r="A751" s="7"/>
      <c r="B751" s="7"/>
    </row>
    <row r="752" spans="1:2" ht="15.75" customHeight="1" x14ac:dyDescent="0.25">
      <c r="A752" s="7"/>
      <c r="B752" s="7"/>
    </row>
    <row r="753" spans="1:2" ht="15.75" customHeight="1" x14ac:dyDescent="0.25">
      <c r="A753" s="7"/>
      <c r="B753" s="7"/>
    </row>
    <row r="754" spans="1:2" ht="15.75" customHeight="1" x14ac:dyDescent="0.25">
      <c r="A754" s="7"/>
      <c r="B754" s="7"/>
    </row>
    <row r="755" spans="1:2" ht="15.75" customHeight="1" x14ac:dyDescent="0.25">
      <c r="A755" s="7"/>
      <c r="B755" s="7"/>
    </row>
    <row r="756" spans="1:2" ht="15.75" customHeight="1" x14ac:dyDescent="0.25">
      <c r="A756" s="7"/>
      <c r="B756" s="7"/>
    </row>
    <row r="757" spans="1:2" ht="15.75" customHeight="1" x14ac:dyDescent="0.25">
      <c r="A757" s="7"/>
      <c r="B757" s="7"/>
    </row>
    <row r="758" spans="1:2" ht="15.75" customHeight="1" x14ac:dyDescent="0.25">
      <c r="A758" s="7"/>
      <c r="B758" s="7"/>
    </row>
    <row r="759" spans="1:2" ht="15.75" customHeight="1" x14ac:dyDescent="0.25">
      <c r="A759" s="7"/>
      <c r="B759" s="7"/>
    </row>
    <row r="760" spans="1:2" ht="15.75" customHeight="1" x14ac:dyDescent="0.25">
      <c r="A760" s="7"/>
      <c r="B760" s="7"/>
    </row>
    <row r="761" spans="1:2" ht="15.75" customHeight="1" x14ac:dyDescent="0.25">
      <c r="A761" s="7"/>
      <c r="B761" s="7"/>
    </row>
    <row r="762" spans="1:2" ht="15.75" customHeight="1" x14ac:dyDescent="0.25">
      <c r="A762" s="7"/>
      <c r="B762" s="7"/>
    </row>
    <row r="763" spans="1:2" ht="15.75" customHeight="1" x14ac:dyDescent="0.25">
      <c r="A763" s="7"/>
      <c r="B763" s="7"/>
    </row>
    <row r="764" spans="1:2" ht="15.75" customHeight="1" x14ac:dyDescent="0.25">
      <c r="A764" s="7"/>
      <c r="B764" s="7"/>
    </row>
    <row r="765" spans="1:2" ht="15.75" customHeight="1" x14ac:dyDescent="0.25">
      <c r="A765" s="7"/>
      <c r="B765" s="7"/>
    </row>
    <row r="766" spans="1:2" ht="15.75" customHeight="1" x14ac:dyDescent="0.25">
      <c r="A766" s="7"/>
      <c r="B766" s="7"/>
    </row>
    <row r="767" spans="1:2" ht="15.75" customHeight="1" x14ac:dyDescent="0.25">
      <c r="A767" s="7"/>
      <c r="B767" s="7"/>
    </row>
    <row r="768" spans="1:2" ht="15.75" customHeight="1" x14ac:dyDescent="0.25">
      <c r="A768" s="7"/>
      <c r="B768" s="7"/>
    </row>
    <row r="769" spans="1:2" ht="15.75" customHeight="1" x14ac:dyDescent="0.25">
      <c r="A769" s="7"/>
      <c r="B769" s="7"/>
    </row>
    <row r="770" spans="1:2" ht="15.75" customHeight="1" x14ac:dyDescent="0.25">
      <c r="A770" s="7"/>
      <c r="B770" s="7"/>
    </row>
    <row r="771" spans="1:2" ht="15.75" customHeight="1" x14ac:dyDescent="0.25">
      <c r="A771" s="7"/>
      <c r="B771" s="7"/>
    </row>
    <row r="772" spans="1:2" ht="15.75" customHeight="1" x14ac:dyDescent="0.25">
      <c r="A772" s="7"/>
      <c r="B772" s="7"/>
    </row>
    <row r="773" spans="1:2" ht="15.75" customHeight="1" x14ac:dyDescent="0.25">
      <c r="A773" s="7"/>
      <c r="B773" s="7"/>
    </row>
    <row r="774" spans="1:2" ht="15.75" customHeight="1" x14ac:dyDescent="0.25">
      <c r="A774" s="7"/>
      <c r="B774" s="7"/>
    </row>
    <row r="775" spans="1:2" ht="15.75" customHeight="1" x14ac:dyDescent="0.25">
      <c r="A775" s="7"/>
      <c r="B775" s="7"/>
    </row>
    <row r="776" spans="1:2" ht="15.75" customHeight="1" x14ac:dyDescent="0.25">
      <c r="A776" s="7"/>
      <c r="B776" s="7"/>
    </row>
    <row r="777" spans="1:2" ht="15.75" customHeight="1" x14ac:dyDescent="0.25">
      <c r="A777" s="7"/>
      <c r="B777" s="7"/>
    </row>
    <row r="778" spans="1:2" ht="15.75" customHeight="1" x14ac:dyDescent="0.25">
      <c r="A778" s="7"/>
      <c r="B778" s="7"/>
    </row>
    <row r="779" spans="1:2" ht="15.75" customHeight="1" x14ac:dyDescent="0.25">
      <c r="A779" s="7"/>
      <c r="B779" s="7"/>
    </row>
    <row r="780" spans="1:2" ht="15.75" customHeight="1" x14ac:dyDescent="0.25">
      <c r="A780" s="7"/>
      <c r="B780" s="7"/>
    </row>
    <row r="781" spans="1:2" ht="15.75" customHeight="1" x14ac:dyDescent="0.25">
      <c r="A781" s="7"/>
      <c r="B781" s="7"/>
    </row>
    <row r="782" spans="1:2" ht="15.75" customHeight="1" x14ac:dyDescent="0.25">
      <c r="A782" s="7"/>
      <c r="B782" s="7"/>
    </row>
    <row r="783" spans="1:2" ht="15.75" customHeight="1" x14ac:dyDescent="0.25">
      <c r="A783" s="7"/>
      <c r="B783" s="7"/>
    </row>
    <row r="784" spans="1:2" ht="15.75" customHeight="1" x14ac:dyDescent="0.25">
      <c r="A784" s="7"/>
      <c r="B784" s="7"/>
    </row>
    <row r="785" spans="1:2" ht="15.75" customHeight="1" x14ac:dyDescent="0.25">
      <c r="A785" s="7"/>
      <c r="B785" s="7"/>
    </row>
    <row r="786" spans="1:2" ht="15.75" customHeight="1" x14ac:dyDescent="0.25">
      <c r="A786" s="7"/>
      <c r="B786" s="7"/>
    </row>
    <row r="787" spans="1:2" ht="15.75" customHeight="1" x14ac:dyDescent="0.25">
      <c r="A787" s="7"/>
      <c r="B787" s="7"/>
    </row>
    <row r="788" spans="1:2" ht="15.75" customHeight="1" x14ac:dyDescent="0.25">
      <c r="A788" s="7"/>
      <c r="B788" s="7"/>
    </row>
    <row r="789" spans="1:2" ht="15.75" customHeight="1" x14ac:dyDescent="0.25">
      <c r="A789" s="7"/>
      <c r="B789" s="7"/>
    </row>
    <row r="790" spans="1:2" ht="15.75" customHeight="1" x14ac:dyDescent="0.25">
      <c r="A790" s="7"/>
      <c r="B790" s="7"/>
    </row>
    <row r="791" spans="1:2" ht="15.75" customHeight="1" x14ac:dyDescent="0.25">
      <c r="A791" s="7"/>
      <c r="B791" s="7"/>
    </row>
    <row r="792" spans="1:2" ht="15.75" customHeight="1" x14ac:dyDescent="0.25">
      <c r="A792" s="7"/>
      <c r="B792" s="7"/>
    </row>
    <row r="793" spans="1:2" ht="15.75" customHeight="1" x14ac:dyDescent="0.25">
      <c r="A793" s="7"/>
      <c r="B793" s="7"/>
    </row>
    <row r="794" spans="1:2" ht="15.75" customHeight="1" x14ac:dyDescent="0.25">
      <c r="A794" s="7"/>
      <c r="B794" s="7"/>
    </row>
    <row r="795" spans="1:2" ht="15.75" customHeight="1" x14ac:dyDescent="0.25">
      <c r="A795" s="7"/>
      <c r="B795" s="7"/>
    </row>
    <row r="796" spans="1:2" ht="15.75" customHeight="1" x14ac:dyDescent="0.25">
      <c r="A796" s="7"/>
      <c r="B796" s="7"/>
    </row>
    <row r="797" spans="1:2" ht="15.75" customHeight="1" x14ac:dyDescent="0.25">
      <c r="A797" s="7"/>
      <c r="B797" s="7"/>
    </row>
    <row r="798" spans="1:2" ht="15.75" customHeight="1" x14ac:dyDescent="0.25">
      <c r="A798" s="7"/>
      <c r="B798" s="7"/>
    </row>
    <row r="799" spans="1:2" ht="15.75" customHeight="1" x14ac:dyDescent="0.25">
      <c r="A799" s="7"/>
      <c r="B799" s="7"/>
    </row>
    <row r="800" spans="1:2" ht="15.75" customHeight="1" x14ac:dyDescent="0.25">
      <c r="A800" s="7"/>
      <c r="B800" s="7"/>
    </row>
    <row r="801" spans="1:2" ht="15.75" customHeight="1" x14ac:dyDescent="0.25">
      <c r="A801" s="7"/>
      <c r="B801" s="7"/>
    </row>
    <row r="802" spans="1:2" ht="15.75" customHeight="1" x14ac:dyDescent="0.25">
      <c r="A802" s="7"/>
      <c r="B802" s="7"/>
    </row>
    <row r="803" spans="1:2" ht="15.75" customHeight="1" x14ac:dyDescent="0.25">
      <c r="A803" s="7"/>
      <c r="B803" s="7"/>
    </row>
    <row r="804" spans="1:2" ht="15.75" customHeight="1" x14ac:dyDescent="0.25">
      <c r="A804" s="7"/>
      <c r="B804" s="7"/>
    </row>
    <row r="805" spans="1:2" ht="15.75" customHeight="1" x14ac:dyDescent="0.25">
      <c r="A805" s="7"/>
      <c r="B805" s="7"/>
    </row>
    <row r="806" spans="1:2" ht="15.75" customHeight="1" x14ac:dyDescent="0.25">
      <c r="A806" s="7"/>
      <c r="B806" s="7"/>
    </row>
    <row r="807" spans="1:2" ht="15.75" customHeight="1" x14ac:dyDescent="0.25">
      <c r="A807" s="7"/>
      <c r="B807" s="7"/>
    </row>
    <row r="808" spans="1:2" ht="15.75" customHeight="1" x14ac:dyDescent="0.25">
      <c r="A808" s="7"/>
      <c r="B808" s="7"/>
    </row>
    <row r="809" spans="1:2" ht="15.75" customHeight="1" x14ac:dyDescent="0.25">
      <c r="A809" s="7"/>
      <c r="B809" s="7"/>
    </row>
    <row r="810" spans="1:2" ht="15.75" customHeight="1" x14ac:dyDescent="0.25">
      <c r="A810" s="7"/>
      <c r="B810" s="7"/>
    </row>
    <row r="811" spans="1:2" ht="15.75" customHeight="1" x14ac:dyDescent="0.25">
      <c r="A811" s="7"/>
      <c r="B811" s="7"/>
    </row>
    <row r="812" spans="1:2" ht="15.75" customHeight="1" x14ac:dyDescent="0.25">
      <c r="A812" s="7"/>
      <c r="B812" s="7"/>
    </row>
    <row r="813" spans="1:2" ht="15.75" customHeight="1" x14ac:dyDescent="0.25">
      <c r="A813" s="7"/>
      <c r="B813" s="7"/>
    </row>
    <row r="814" spans="1:2" ht="15.75" customHeight="1" x14ac:dyDescent="0.25">
      <c r="A814" s="7"/>
      <c r="B814" s="7"/>
    </row>
    <row r="815" spans="1:2" ht="15.75" customHeight="1" x14ac:dyDescent="0.25">
      <c r="A815" s="7"/>
      <c r="B815" s="7"/>
    </row>
    <row r="816" spans="1:2" ht="15.75" customHeight="1" x14ac:dyDescent="0.25">
      <c r="A816" s="7"/>
      <c r="B816" s="7"/>
    </row>
    <row r="817" spans="1:2" ht="15.75" customHeight="1" x14ac:dyDescent="0.25">
      <c r="A817" s="7"/>
      <c r="B817" s="7"/>
    </row>
    <row r="818" spans="1:2" ht="15.75" customHeight="1" x14ac:dyDescent="0.25">
      <c r="A818" s="7"/>
      <c r="B818" s="7"/>
    </row>
    <row r="819" spans="1:2" ht="15.75" customHeight="1" x14ac:dyDescent="0.25">
      <c r="A819" s="7"/>
      <c r="B819" s="7"/>
    </row>
    <row r="820" spans="1:2" ht="15.75" customHeight="1" x14ac:dyDescent="0.25">
      <c r="A820" s="7"/>
      <c r="B820" s="7"/>
    </row>
    <row r="821" spans="1:2" ht="15.75" customHeight="1" x14ac:dyDescent="0.25">
      <c r="A821" s="7"/>
      <c r="B821" s="7"/>
    </row>
    <row r="822" spans="1:2" ht="15.75" customHeight="1" x14ac:dyDescent="0.25">
      <c r="A822" s="7"/>
      <c r="B822" s="7"/>
    </row>
    <row r="823" spans="1:2" ht="15.75" customHeight="1" x14ac:dyDescent="0.25">
      <c r="A823" s="7"/>
      <c r="B823" s="7"/>
    </row>
    <row r="824" spans="1:2" ht="15.75" customHeight="1" x14ac:dyDescent="0.25">
      <c r="A824" s="7"/>
      <c r="B824" s="7"/>
    </row>
    <row r="825" spans="1:2" ht="15.75" customHeight="1" x14ac:dyDescent="0.25">
      <c r="A825" s="7"/>
      <c r="B825" s="7"/>
    </row>
    <row r="826" spans="1:2" ht="15.75" customHeight="1" x14ac:dyDescent="0.25">
      <c r="A826" s="7"/>
      <c r="B826" s="7"/>
    </row>
    <row r="827" spans="1:2" ht="15.75" customHeight="1" x14ac:dyDescent="0.25">
      <c r="A827" s="7"/>
      <c r="B827" s="7"/>
    </row>
    <row r="828" spans="1:2" ht="15.75" customHeight="1" x14ac:dyDescent="0.25">
      <c r="A828" s="7"/>
      <c r="B828" s="7"/>
    </row>
    <row r="829" spans="1:2" ht="15.75" customHeight="1" x14ac:dyDescent="0.25">
      <c r="A829" s="7"/>
      <c r="B829" s="7"/>
    </row>
    <row r="830" spans="1:2" ht="15.75" customHeight="1" x14ac:dyDescent="0.25">
      <c r="A830" s="7"/>
      <c r="B830" s="7"/>
    </row>
    <row r="831" spans="1:2" ht="15.75" customHeight="1" x14ac:dyDescent="0.25">
      <c r="A831" s="7"/>
      <c r="B831" s="7"/>
    </row>
    <row r="832" spans="1:2" ht="15.75" customHeight="1" x14ac:dyDescent="0.25">
      <c r="A832" s="7"/>
      <c r="B832" s="7"/>
    </row>
    <row r="833" spans="1:2" ht="15.75" customHeight="1" x14ac:dyDescent="0.25">
      <c r="A833" s="7"/>
      <c r="B833" s="7"/>
    </row>
    <row r="834" spans="1:2" ht="15.75" customHeight="1" x14ac:dyDescent="0.25">
      <c r="A834" s="7"/>
      <c r="B834" s="7"/>
    </row>
    <row r="835" spans="1:2" ht="15.75" customHeight="1" x14ac:dyDescent="0.25">
      <c r="A835" s="7"/>
      <c r="B835" s="7"/>
    </row>
    <row r="836" spans="1:2" ht="15.75" customHeight="1" x14ac:dyDescent="0.25">
      <c r="A836" s="7"/>
      <c r="B836" s="7"/>
    </row>
    <row r="837" spans="1:2" ht="15.75" customHeight="1" x14ac:dyDescent="0.25">
      <c r="A837" s="7"/>
      <c r="B837" s="7"/>
    </row>
    <row r="838" spans="1:2" ht="15.75" customHeight="1" x14ac:dyDescent="0.25">
      <c r="A838" s="7"/>
      <c r="B838" s="7"/>
    </row>
    <row r="839" spans="1:2" ht="15.75" customHeight="1" x14ac:dyDescent="0.25">
      <c r="A839" s="7"/>
      <c r="B839" s="7"/>
    </row>
    <row r="840" spans="1:2" ht="15.75" customHeight="1" x14ac:dyDescent="0.25">
      <c r="A840" s="7"/>
      <c r="B840" s="7"/>
    </row>
    <row r="841" spans="1:2" ht="15.75" customHeight="1" x14ac:dyDescent="0.25">
      <c r="A841" s="7"/>
      <c r="B841" s="7"/>
    </row>
    <row r="842" spans="1:2" ht="15.75" customHeight="1" x14ac:dyDescent="0.25">
      <c r="A842" s="7"/>
      <c r="B842" s="7"/>
    </row>
    <row r="843" spans="1:2" ht="15.75" customHeight="1" x14ac:dyDescent="0.25">
      <c r="A843" s="7"/>
      <c r="B843" s="7"/>
    </row>
    <row r="844" spans="1:2" ht="15.75" customHeight="1" x14ac:dyDescent="0.25">
      <c r="A844" s="7"/>
      <c r="B844" s="7"/>
    </row>
    <row r="845" spans="1:2" ht="15.75" customHeight="1" x14ac:dyDescent="0.25">
      <c r="A845" s="7"/>
      <c r="B845" s="7"/>
    </row>
    <row r="846" spans="1:2" ht="15.75" customHeight="1" x14ac:dyDescent="0.25">
      <c r="A846" s="7"/>
      <c r="B846" s="7"/>
    </row>
    <row r="847" spans="1:2" ht="15.75" customHeight="1" x14ac:dyDescent="0.25">
      <c r="A847" s="7"/>
      <c r="B847" s="7"/>
    </row>
    <row r="848" spans="1:2" ht="15.75" customHeight="1" x14ac:dyDescent="0.25">
      <c r="A848" s="7"/>
      <c r="B848" s="7"/>
    </row>
    <row r="849" spans="1:2" ht="15.75" customHeight="1" x14ac:dyDescent="0.25">
      <c r="A849" s="7"/>
      <c r="B849" s="7"/>
    </row>
    <row r="850" spans="1:2" ht="15.75" customHeight="1" x14ac:dyDescent="0.25">
      <c r="A850" s="7"/>
      <c r="B850" s="7"/>
    </row>
    <row r="851" spans="1:2" ht="15.75" customHeight="1" x14ac:dyDescent="0.25">
      <c r="A851" s="7"/>
      <c r="B851" s="7"/>
    </row>
    <row r="852" spans="1:2" ht="15.75" customHeight="1" x14ac:dyDescent="0.25">
      <c r="A852" s="7"/>
      <c r="B852" s="7"/>
    </row>
    <row r="853" spans="1:2" ht="15.75" customHeight="1" x14ac:dyDescent="0.25">
      <c r="A853" s="7"/>
      <c r="B853" s="7"/>
    </row>
    <row r="854" spans="1:2" ht="15.75" customHeight="1" x14ac:dyDescent="0.25">
      <c r="A854" s="7"/>
      <c r="B854" s="7"/>
    </row>
    <row r="855" spans="1:2" ht="15.75" customHeight="1" x14ac:dyDescent="0.25">
      <c r="A855" s="7"/>
      <c r="B855" s="7"/>
    </row>
    <row r="856" spans="1:2" ht="15.75" customHeight="1" x14ac:dyDescent="0.25">
      <c r="A856" s="7"/>
      <c r="B856" s="7"/>
    </row>
    <row r="857" spans="1:2" ht="15.75" customHeight="1" x14ac:dyDescent="0.25">
      <c r="A857" s="7"/>
      <c r="B857" s="7"/>
    </row>
    <row r="858" spans="1:2" ht="15.75" customHeight="1" x14ac:dyDescent="0.25">
      <c r="A858" s="7"/>
      <c r="B858" s="7"/>
    </row>
    <row r="859" spans="1:2" ht="15.75" customHeight="1" x14ac:dyDescent="0.25">
      <c r="A859" s="7"/>
      <c r="B859" s="7"/>
    </row>
    <row r="860" spans="1:2" ht="15.75" customHeight="1" x14ac:dyDescent="0.25">
      <c r="A860" s="7"/>
      <c r="B860" s="7"/>
    </row>
    <row r="861" spans="1:2" ht="15.75" customHeight="1" x14ac:dyDescent="0.25">
      <c r="A861" s="7"/>
      <c r="B861" s="7"/>
    </row>
    <row r="862" spans="1:2" ht="15.75" customHeight="1" x14ac:dyDescent="0.25">
      <c r="A862" s="7"/>
      <c r="B862" s="7"/>
    </row>
    <row r="863" spans="1:2" ht="15.75" customHeight="1" x14ac:dyDescent="0.25">
      <c r="A863" s="7"/>
      <c r="B863" s="7"/>
    </row>
    <row r="864" spans="1:2" ht="15.75" customHeight="1" x14ac:dyDescent="0.25">
      <c r="A864" s="7"/>
      <c r="B864" s="7"/>
    </row>
    <row r="865" spans="1:2" ht="15.75" customHeight="1" x14ac:dyDescent="0.25">
      <c r="A865" s="7"/>
      <c r="B865" s="7"/>
    </row>
    <row r="866" spans="1:2" ht="15.75" customHeight="1" x14ac:dyDescent="0.25">
      <c r="A866" s="7"/>
      <c r="B866" s="7"/>
    </row>
    <row r="867" spans="1:2" ht="15.75" customHeight="1" x14ac:dyDescent="0.25">
      <c r="A867" s="7"/>
      <c r="B867" s="7"/>
    </row>
    <row r="868" spans="1:2" ht="15.75" customHeight="1" x14ac:dyDescent="0.25">
      <c r="A868" s="7"/>
      <c r="B868" s="7"/>
    </row>
    <row r="869" spans="1:2" ht="15.75" customHeight="1" x14ac:dyDescent="0.25">
      <c r="A869" s="7"/>
      <c r="B869" s="7"/>
    </row>
    <row r="870" spans="1:2" ht="15.75" customHeight="1" x14ac:dyDescent="0.25">
      <c r="A870" s="7"/>
      <c r="B870" s="7"/>
    </row>
    <row r="871" spans="1:2" ht="15.75" customHeight="1" x14ac:dyDescent="0.25">
      <c r="A871" s="7"/>
      <c r="B871" s="7"/>
    </row>
    <row r="872" spans="1:2" ht="15.75" customHeight="1" x14ac:dyDescent="0.25">
      <c r="A872" s="7"/>
      <c r="B872" s="7"/>
    </row>
    <row r="873" spans="1:2" ht="15.75" customHeight="1" x14ac:dyDescent="0.25">
      <c r="A873" s="7"/>
      <c r="B873" s="7"/>
    </row>
    <row r="874" spans="1:2" ht="15.75" customHeight="1" x14ac:dyDescent="0.25">
      <c r="A874" s="7"/>
      <c r="B874" s="7"/>
    </row>
    <row r="875" spans="1:2" ht="15.75" customHeight="1" x14ac:dyDescent="0.25">
      <c r="A875" s="7"/>
      <c r="B875" s="7"/>
    </row>
    <row r="876" spans="1:2" ht="15.75" customHeight="1" x14ac:dyDescent="0.25">
      <c r="A876" s="7"/>
      <c r="B876" s="7"/>
    </row>
    <row r="877" spans="1:2" ht="15.75" customHeight="1" x14ac:dyDescent="0.25">
      <c r="A877" s="7"/>
      <c r="B877" s="7"/>
    </row>
    <row r="878" spans="1:2" ht="15.75" customHeight="1" x14ac:dyDescent="0.25">
      <c r="A878" s="7"/>
      <c r="B878" s="7"/>
    </row>
    <row r="879" spans="1:2" ht="15.75" customHeight="1" x14ac:dyDescent="0.25">
      <c r="A879" s="7"/>
      <c r="B879" s="7"/>
    </row>
    <row r="880" spans="1:2" ht="15.75" customHeight="1" x14ac:dyDescent="0.25">
      <c r="A880" s="7"/>
      <c r="B880" s="7"/>
    </row>
    <row r="881" spans="1:2" ht="15.75" customHeight="1" x14ac:dyDescent="0.25">
      <c r="A881" s="7"/>
      <c r="B881" s="7"/>
    </row>
    <row r="882" spans="1:2" ht="15.75" customHeight="1" x14ac:dyDescent="0.25">
      <c r="A882" s="7"/>
      <c r="B882" s="7"/>
    </row>
    <row r="883" spans="1:2" ht="15.75" customHeight="1" x14ac:dyDescent="0.25">
      <c r="A883" s="7"/>
      <c r="B883" s="7"/>
    </row>
    <row r="884" spans="1:2" ht="15.75" customHeight="1" x14ac:dyDescent="0.25">
      <c r="A884" s="7"/>
      <c r="B884" s="7"/>
    </row>
    <row r="885" spans="1:2" ht="15.75" customHeight="1" x14ac:dyDescent="0.25">
      <c r="A885" s="7"/>
      <c r="B885" s="7"/>
    </row>
    <row r="886" spans="1:2" ht="15.75" customHeight="1" x14ac:dyDescent="0.25">
      <c r="A886" s="7"/>
      <c r="B886" s="7"/>
    </row>
    <row r="887" spans="1:2" ht="15.75" customHeight="1" x14ac:dyDescent="0.25">
      <c r="A887" s="7"/>
      <c r="B887" s="7"/>
    </row>
    <row r="888" spans="1:2" ht="15.75" customHeight="1" x14ac:dyDescent="0.25">
      <c r="A888" s="7"/>
      <c r="B888" s="7"/>
    </row>
    <row r="889" spans="1:2" ht="15.75" customHeight="1" x14ac:dyDescent="0.25">
      <c r="A889" s="7"/>
      <c r="B889" s="7"/>
    </row>
    <row r="890" spans="1:2" ht="15.75" customHeight="1" x14ac:dyDescent="0.25">
      <c r="A890" s="7"/>
      <c r="B890" s="7"/>
    </row>
    <row r="891" spans="1:2" ht="15.75" customHeight="1" x14ac:dyDescent="0.25">
      <c r="A891" s="7"/>
      <c r="B891" s="7"/>
    </row>
    <row r="892" spans="1:2" ht="15.75" customHeight="1" x14ac:dyDescent="0.25">
      <c r="A892" s="7"/>
      <c r="B892" s="7"/>
    </row>
    <row r="893" spans="1:2" ht="15.75" customHeight="1" x14ac:dyDescent="0.25">
      <c r="A893" s="7"/>
      <c r="B893" s="7"/>
    </row>
    <row r="894" spans="1:2" ht="15.75" customHeight="1" x14ac:dyDescent="0.25">
      <c r="A894" s="7"/>
      <c r="B894" s="7"/>
    </row>
    <row r="895" spans="1:2" ht="15.75" customHeight="1" x14ac:dyDescent="0.25">
      <c r="A895" s="7"/>
      <c r="B895" s="7"/>
    </row>
    <row r="896" spans="1:2" ht="15.75" customHeight="1" x14ac:dyDescent="0.25">
      <c r="A896" s="7"/>
      <c r="B896" s="7"/>
    </row>
    <row r="897" spans="1:2" ht="15.75" customHeight="1" x14ac:dyDescent="0.25">
      <c r="A897" s="7"/>
      <c r="B897" s="7"/>
    </row>
    <row r="898" spans="1:2" ht="15.75" customHeight="1" x14ac:dyDescent="0.25">
      <c r="A898" s="7"/>
      <c r="B898" s="7"/>
    </row>
    <row r="899" spans="1:2" ht="15.75" customHeight="1" x14ac:dyDescent="0.25">
      <c r="A899" s="7"/>
      <c r="B899" s="7"/>
    </row>
    <row r="900" spans="1:2" ht="15.75" customHeight="1" x14ac:dyDescent="0.25">
      <c r="A900" s="7"/>
      <c r="B900" s="7"/>
    </row>
    <row r="901" spans="1:2" ht="15.75" customHeight="1" x14ac:dyDescent="0.25">
      <c r="A901" s="7"/>
      <c r="B901" s="7"/>
    </row>
    <row r="902" spans="1:2" ht="15.75" customHeight="1" x14ac:dyDescent="0.25">
      <c r="A902" s="7"/>
      <c r="B902" s="7"/>
    </row>
    <row r="903" spans="1:2" ht="15.75" customHeight="1" x14ac:dyDescent="0.25">
      <c r="A903" s="7"/>
      <c r="B903" s="7"/>
    </row>
    <row r="904" spans="1:2" ht="15.75" customHeight="1" x14ac:dyDescent="0.25">
      <c r="A904" s="7"/>
      <c r="B904" s="7"/>
    </row>
    <row r="905" spans="1:2" ht="15.75" customHeight="1" x14ac:dyDescent="0.25">
      <c r="A905" s="7"/>
      <c r="B905" s="7"/>
    </row>
    <row r="906" spans="1:2" ht="15.75" customHeight="1" x14ac:dyDescent="0.25">
      <c r="A906" s="7"/>
      <c r="B906" s="7"/>
    </row>
    <row r="907" spans="1:2" ht="15.75" customHeight="1" x14ac:dyDescent="0.25">
      <c r="A907" s="7"/>
      <c r="B907" s="7"/>
    </row>
    <row r="908" spans="1:2" ht="15.75" customHeight="1" x14ac:dyDescent="0.25">
      <c r="A908" s="7"/>
      <c r="B908" s="7"/>
    </row>
    <row r="909" spans="1:2" ht="15.75" customHeight="1" x14ac:dyDescent="0.25">
      <c r="A909" s="7"/>
      <c r="B909" s="7"/>
    </row>
    <row r="910" spans="1:2" ht="15.75" customHeight="1" x14ac:dyDescent="0.25">
      <c r="A910" s="7"/>
      <c r="B910" s="7"/>
    </row>
    <row r="911" spans="1:2" ht="15.75" customHeight="1" x14ac:dyDescent="0.25">
      <c r="A911" s="7"/>
      <c r="B911" s="7"/>
    </row>
    <row r="912" spans="1:2" ht="15.75" customHeight="1" x14ac:dyDescent="0.25">
      <c r="A912" s="7"/>
      <c r="B912" s="7"/>
    </row>
    <row r="913" spans="1:2" ht="15.75" customHeight="1" x14ac:dyDescent="0.25">
      <c r="A913" s="7"/>
      <c r="B913" s="7"/>
    </row>
    <row r="914" spans="1:2" ht="15.75" customHeight="1" x14ac:dyDescent="0.25">
      <c r="A914" s="7"/>
      <c r="B914" s="7"/>
    </row>
    <row r="915" spans="1:2" ht="15.75" customHeight="1" x14ac:dyDescent="0.25">
      <c r="A915" s="7"/>
      <c r="B915" s="7"/>
    </row>
    <row r="916" spans="1:2" ht="15.75" customHeight="1" x14ac:dyDescent="0.25">
      <c r="A916" s="7"/>
      <c r="B916" s="7"/>
    </row>
    <row r="917" spans="1:2" ht="15.75" customHeight="1" x14ac:dyDescent="0.25">
      <c r="A917" s="7"/>
      <c r="B917" s="7"/>
    </row>
    <row r="918" spans="1:2" ht="15.75" customHeight="1" x14ac:dyDescent="0.25">
      <c r="A918" s="7"/>
      <c r="B918" s="7"/>
    </row>
    <row r="919" spans="1:2" ht="15.75" customHeight="1" x14ac:dyDescent="0.25">
      <c r="A919" s="7"/>
      <c r="B919" s="7"/>
    </row>
    <row r="920" spans="1:2" ht="15.75" customHeight="1" x14ac:dyDescent="0.25">
      <c r="A920" s="7"/>
      <c r="B920" s="7"/>
    </row>
    <row r="921" spans="1:2" ht="15.75" customHeight="1" x14ac:dyDescent="0.25">
      <c r="A921" s="7"/>
      <c r="B921" s="7"/>
    </row>
    <row r="922" spans="1:2" ht="15.75" customHeight="1" x14ac:dyDescent="0.25">
      <c r="A922" s="7"/>
      <c r="B922" s="7"/>
    </row>
    <row r="923" spans="1:2" ht="15.75" customHeight="1" x14ac:dyDescent="0.25">
      <c r="A923" s="7"/>
      <c r="B923" s="7"/>
    </row>
    <row r="924" spans="1:2" ht="15.75" customHeight="1" x14ac:dyDescent="0.25">
      <c r="A924" s="7"/>
      <c r="B924" s="7"/>
    </row>
    <row r="925" spans="1:2" ht="15.75" customHeight="1" x14ac:dyDescent="0.25">
      <c r="A925" s="7"/>
      <c r="B925" s="7"/>
    </row>
    <row r="926" spans="1:2" ht="15.75" customHeight="1" x14ac:dyDescent="0.25">
      <c r="A926" s="7"/>
      <c r="B926" s="7"/>
    </row>
    <row r="927" spans="1:2" ht="15.75" customHeight="1" x14ac:dyDescent="0.25">
      <c r="A927" s="7"/>
      <c r="B927" s="7"/>
    </row>
    <row r="928" spans="1:2" ht="15.75" customHeight="1" x14ac:dyDescent="0.25">
      <c r="A928" s="7"/>
      <c r="B928" s="7"/>
    </row>
    <row r="929" spans="1:2" ht="15.75" customHeight="1" x14ac:dyDescent="0.25">
      <c r="A929" s="7"/>
      <c r="B929" s="7"/>
    </row>
    <row r="930" spans="1:2" ht="15.75" customHeight="1" x14ac:dyDescent="0.25">
      <c r="A930" s="7"/>
      <c r="B930" s="7"/>
    </row>
    <row r="931" spans="1:2" ht="15.75" customHeight="1" x14ac:dyDescent="0.25">
      <c r="A931" s="7"/>
      <c r="B931" s="7"/>
    </row>
    <row r="932" spans="1:2" ht="15.75" customHeight="1" x14ac:dyDescent="0.25">
      <c r="A932" s="7"/>
      <c r="B932" s="7"/>
    </row>
    <row r="933" spans="1:2" ht="15.75" customHeight="1" x14ac:dyDescent="0.25">
      <c r="A933" s="7"/>
      <c r="B933" s="7"/>
    </row>
    <row r="934" spans="1:2" ht="15.75" customHeight="1" x14ac:dyDescent="0.25">
      <c r="A934" s="7"/>
      <c r="B934" s="7"/>
    </row>
    <row r="935" spans="1:2" ht="15.75" customHeight="1" x14ac:dyDescent="0.25">
      <c r="A935" s="7"/>
      <c r="B935" s="7"/>
    </row>
    <row r="936" spans="1:2" ht="15.75" customHeight="1" x14ac:dyDescent="0.25">
      <c r="A936" s="7"/>
      <c r="B936" s="7"/>
    </row>
    <row r="937" spans="1:2" ht="15.75" customHeight="1" x14ac:dyDescent="0.25">
      <c r="A937" s="7"/>
      <c r="B937" s="7"/>
    </row>
    <row r="938" spans="1:2" ht="15.75" customHeight="1" x14ac:dyDescent="0.25">
      <c r="A938" s="7"/>
      <c r="B938" s="7"/>
    </row>
    <row r="939" spans="1:2" ht="15.75" customHeight="1" x14ac:dyDescent="0.25">
      <c r="A939" s="7"/>
      <c r="B939" s="7"/>
    </row>
    <row r="940" spans="1:2" ht="15.75" customHeight="1" x14ac:dyDescent="0.25">
      <c r="A940" s="7"/>
      <c r="B940" s="7"/>
    </row>
    <row r="941" spans="1:2" ht="15.75" customHeight="1" x14ac:dyDescent="0.25">
      <c r="A941" s="7"/>
      <c r="B941" s="7"/>
    </row>
    <row r="942" spans="1:2" ht="15.75" customHeight="1" x14ac:dyDescent="0.25">
      <c r="A942" s="7"/>
      <c r="B942" s="7"/>
    </row>
    <row r="943" spans="1:2" ht="15.75" customHeight="1" x14ac:dyDescent="0.25">
      <c r="A943" s="7"/>
      <c r="B943" s="7"/>
    </row>
    <row r="944" spans="1:2" ht="15.75" customHeight="1" x14ac:dyDescent="0.25">
      <c r="A944" s="7"/>
      <c r="B944" s="7"/>
    </row>
    <row r="945" spans="1:2" ht="15.75" customHeight="1" x14ac:dyDescent="0.25">
      <c r="A945" s="7"/>
      <c r="B945" s="7"/>
    </row>
    <row r="946" spans="1:2" ht="15.75" customHeight="1" x14ac:dyDescent="0.25">
      <c r="A946" s="7"/>
      <c r="B946" s="7"/>
    </row>
    <row r="947" spans="1:2" ht="15.75" customHeight="1" x14ac:dyDescent="0.25">
      <c r="A947" s="7"/>
      <c r="B947" s="7"/>
    </row>
    <row r="948" spans="1:2" ht="15.75" customHeight="1" x14ac:dyDescent="0.25">
      <c r="A948" s="7"/>
      <c r="B948" s="7"/>
    </row>
    <row r="949" spans="1:2" ht="15.75" customHeight="1" x14ac:dyDescent="0.25">
      <c r="A949" s="7"/>
      <c r="B949" s="7"/>
    </row>
    <row r="950" spans="1:2" ht="15.75" customHeight="1" x14ac:dyDescent="0.25">
      <c r="A950" s="7"/>
      <c r="B950" s="7"/>
    </row>
    <row r="951" spans="1:2" ht="15.75" customHeight="1" x14ac:dyDescent="0.25">
      <c r="A951" s="7"/>
      <c r="B951" s="7"/>
    </row>
    <row r="952" spans="1:2" ht="15.75" customHeight="1" x14ac:dyDescent="0.25">
      <c r="A952" s="7"/>
      <c r="B952" s="7"/>
    </row>
    <row r="953" spans="1:2" ht="15.75" customHeight="1" x14ac:dyDescent="0.25">
      <c r="A953" s="7"/>
      <c r="B953" s="7"/>
    </row>
    <row r="954" spans="1:2" ht="15.75" customHeight="1" x14ac:dyDescent="0.25">
      <c r="A954" s="7"/>
      <c r="B954" s="7"/>
    </row>
    <row r="955" spans="1:2" ht="15.75" customHeight="1" x14ac:dyDescent="0.25">
      <c r="A955" s="7"/>
      <c r="B955" s="7"/>
    </row>
    <row r="956" spans="1:2" ht="15.75" customHeight="1" x14ac:dyDescent="0.25">
      <c r="A956" s="7"/>
      <c r="B956" s="7"/>
    </row>
    <row r="957" spans="1:2" ht="15.75" customHeight="1" x14ac:dyDescent="0.25">
      <c r="A957" s="7"/>
      <c r="B957" s="7"/>
    </row>
    <row r="958" spans="1:2" ht="15.75" customHeight="1" x14ac:dyDescent="0.25">
      <c r="A958" s="7"/>
      <c r="B958" s="7"/>
    </row>
    <row r="959" spans="1:2" ht="15.75" customHeight="1" x14ac:dyDescent="0.25">
      <c r="A959" s="7"/>
      <c r="B959" s="7"/>
    </row>
    <row r="960" spans="1:2" ht="15.75" customHeight="1" x14ac:dyDescent="0.25">
      <c r="A960" s="7"/>
      <c r="B960" s="7"/>
    </row>
    <row r="961" spans="1:2" ht="15.75" customHeight="1" x14ac:dyDescent="0.25">
      <c r="A961" s="7"/>
      <c r="B961" s="7"/>
    </row>
    <row r="962" spans="1:2" ht="15.75" customHeight="1" x14ac:dyDescent="0.25">
      <c r="A962" s="7"/>
      <c r="B962" s="7"/>
    </row>
    <row r="963" spans="1:2" ht="15.75" customHeight="1" x14ac:dyDescent="0.25">
      <c r="A963" s="7"/>
      <c r="B963" s="7"/>
    </row>
    <row r="964" spans="1:2" ht="15.75" customHeight="1" x14ac:dyDescent="0.25">
      <c r="A964" s="7"/>
      <c r="B964" s="7"/>
    </row>
    <row r="965" spans="1:2" ht="15.75" customHeight="1" x14ac:dyDescent="0.25">
      <c r="A965" s="7"/>
      <c r="B965" s="7"/>
    </row>
    <row r="966" spans="1:2" ht="15.75" customHeight="1" x14ac:dyDescent="0.25">
      <c r="A966" s="7"/>
      <c r="B966" s="7"/>
    </row>
    <row r="967" spans="1:2" ht="15.75" customHeight="1" x14ac:dyDescent="0.25">
      <c r="A967" s="7"/>
      <c r="B967" s="7"/>
    </row>
    <row r="968" spans="1:2" ht="15.75" customHeight="1" x14ac:dyDescent="0.25">
      <c r="A968" s="7"/>
      <c r="B968" s="7"/>
    </row>
    <row r="969" spans="1:2" ht="15.75" customHeight="1" x14ac:dyDescent="0.25">
      <c r="A969" s="7"/>
      <c r="B969" s="7"/>
    </row>
    <row r="970" spans="1:2" ht="15.75" customHeight="1" x14ac:dyDescent="0.25">
      <c r="A970" s="7"/>
      <c r="B970" s="7"/>
    </row>
    <row r="971" spans="1:2" ht="15.75" customHeight="1" x14ac:dyDescent="0.25">
      <c r="A971" s="7"/>
      <c r="B971" s="7"/>
    </row>
    <row r="972" spans="1:2" ht="15.75" customHeight="1" x14ac:dyDescent="0.25">
      <c r="A972" s="7"/>
      <c r="B972" s="7"/>
    </row>
    <row r="973" spans="1:2" ht="15.75" customHeight="1" x14ac:dyDescent="0.25">
      <c r="A973" s="7"/>
      <c r="B973" s="7"/>
    </row>
    <row r="974" spans="1:2" ht="15.75" customHeight="1" x14ac:dyDescent="0.25">
      <c r="A974" s="7"/>
      <c r="B974" s="7"/>
    </row>
    <row r="975" spans="1:2" ht="15.75" customHeight="1" x14ac:dyDescent="0.25">
      <c r="A975" s="7"/>
      <c r="B975" s="7"/>
    </row>
    <row r="976" spans="1:2" ht="15.75" customHeight="1" x14ac:dyDescent="0.25">
      <c r="A976" s="7"/>
      <c r="B976" s="7"/>
    </row>
    <row r="977" spans="1:2" ht="15.75" customHeight="1" x14ac:dyDescent="0.25">
      <c r="A977" s="7"/>
      <c r="B977" s="7"/>
    </row>
    <row r="978" spans="1:2" ht="15.75" customHeight="1" x14ac:dyDescent="0.25">
      <c r="A978" s="7"/>
      <c r="B978" s="7"/>
    </row>
    <row r="979" spans="1:2" ht="15.75" customHeight="1" x14ac:dyDescent="0.25">
      <c r="A979" s="7"/>
      <c r="B979" s="7"/>
    </row>
    <row r="980" spans="1:2" ht="15.75" customHeight="1" x14ac:dyDescent="0.25">
      <c r="A980" s="7"/>
      <c r="B980" s="7"/>
    </row>
    <row r="981" spans="1:2" ht="15.75" customHeight="1" x14ac:dyDescent="0.25">
      <c r="A981" s="7"/>
      <c r="B981" s="7"/>
    </row>
    <row r="982" spans="1:2" ht="15.75" customHeight="1" x14ac:dyDescent="0.25">
      <c r="A982" s="7"/>
      <c r="B982" s="7"/>
    </row>
    <row r="983" spans="1:2" ht="15.75" customHeight="1" x14ac:dyDescent="0.25">
      <c r="A983" s="7"/>
      <c r="B983" s="7"/>
    </row>
    <row r="984" spans="1:2" ht="15.75" customHeight="1" x14ac:dyDescent="0.25">
      <c r="A984" s="7"/>
      <c r="B984" s="7"/>
    </row>
    <row r="985" spans="1:2" ht="15.75" customHeight="1" x14ac:dyDescent="0.25">
      <c r="A985" s="7"/>
      <c r="B985" s="7"/>
    </row>
    <row r="986" spans="1:2" ht="15.75" customHeight="1" x14ac:dyDescent="0.25">
      <c r="A986" s="7"/>
      <c r="B986" s="7"/>
    </row>
    <row r="987" spans="1:2" ht="15.75" customHeight="1" x14ac:dyDescent="0.25">
      <c r="A987" s="7"/>
      <c r="B987" s="7"/>
    </row>
    <row r="988" spans="1:2" ht="15.75" customHeight="1" x14ac:dyDescent="0.25">
      <c r="A988" s="7"/>
      <c r="B988" s="7"/>
    </row>
    <row r="989" spans="1:2" ht="15.75" customHeight="1" x14ac:dyDescent="0.25">
      <c r="A989" s="7"/>
      <c r="B989" s="7"/>
    </row>
    <row r="990" spans="1:2" ht="15.75" customHeight="1" x14ac:dyDescent="0.25">
      <c r="A990" s="7"/>
      <c r="B990" s="7"/>
    </row>
    <row r="991" spans="1:2" ht="15.75" customHeight="1" x14ac:dyDescent="0.25">
      <c r="A991" s="7"/>
      <c r="B991" s="7"/>
    </row>
    <row r="992" spans="1:2" ht="15.75" customHeight="1" x14ac:dyDescent="0.25">
      <c r="A992" s="7"/>
      <c r="B992" s="7"/>
    </row>
    <row r="993" spans="1:2" ht="15.75" customHeight="1" x14ac:dyDescent="0.25">
      <c r="A993" s="7"/>
      <c r="B993" s="7"/>
    </row>
    <row r="994" spans="1:2" ht="15.75" customHeight="1" x14ac:dyDescent="0.25">
      <c r="A994" s="7"/>
      <c r="B994" s="7"/>
    </row>
    <row r="995" spans="1:2" ht="15.75" customHeight="1" x14ac:dyDescent="0.25">
      <c r="A995" s="7"/>
      <c r="B995" s="7"/>
    </row>
    <row r="996" spans="1:2" ht="15.75" customHeight="1" x14ac:dyDescent="0.25">
      <c r="A996" s="7"/>
      <c r="B996" s="7"/>
    </row>
    <row r="997" spans="1:2" ht="15.75" customHeight="1" x14ac:dyDescent="0.25">
      <c r="A997" s="7"/>
      <c r="B997" s="7"/>
    </row>
    <row r="998" spans="1:2" ht="15.75" customHeight="1" x14ac:dyDescent="0.25">
      <c r="A998" s="7"/>
      <c r="B998" s="7"/>
    </row>
    <row r="999" spans="1:2" ht="15.75" customHeight="1" x14ac:dyDescent="0.25">
      <c r="A999" s="7"/>
      <c r="B999" s="7"/>
    </row>
    <row r="1000" spans="1:2" ht="15.75" customHeight="1" x14ac:dyDescent="0.25">
      <c r="A1000" s="7"/>
      <c r="B1000" s="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01"/>
  <sheetViews>
    <sheetView topLeftCell="A18" workbookViewId="0">
      <selection activeCell="B2" sqref="B2"/>
    </sheetView>
  </sheetViews>
  <sheetFormatPr baseColWidth="10" defaultColWidth="14.42578125" defaultRowHeight="15" customHeight="1" x14ac:dyDescent="0.25"/>
  <cols>
    <col min="1" max="1" width="48.42578125" customWidth="1"/>
    <col min="2" max="53" width="10.7109375" customWidth="1"/>
  </cols>
  <sheetData>
    <row r="1" spans="1:53" x14ac:dyDescent="0.25">
      <c r="A1" s="70" t="s">
        <v>167</v>
      </c>
      <c r="B1" s="70">
        <v>2019</v>
      </c>
      <c r="C1" s="70">
        <v>2020</v>
      </c>
      <c r="D1" s="70">
        <v>2021</v>
      </c>
      <c r="E1" s="70">
        <v>2022</v>
      </c>
      <c r="F1" s="70">
        <v>2023</v>
      </c>
      <c r="G1" s="70">
        <v>2024</v>
      </c>
      <c r="H1" s="4">
        <v>2025</v>
      </c>
      <c r="I1" s="4">
        <v>2026</v>
      </c>
      <c r="J1" s="4">
        <v>2027</v>
      </c>
      <c r="K1" s="4">
        <v>2028</v>
      </c>
      <c r="L1" s="4">
        <v>2029</v>
      </c>
      <c r="M1" s="4">
        <v>2030</v>
      </c>
      <c r="N1" s="4">
        <v>2031</v>
      </c>
      <c r="O1" s="4">
        <v>2032</v>
      </c>
      <c r="P1" s="4">
        <v>2033</v>
      </c>
      <c r="Q1" s="4">
        <v>2034</v>
      </c>
      <c r="R1" s="4">
        <v>2035</v>
      </c>
      <c r="S1" s="4">
        <v>2036</v>
      </c>
      <c r="T1" s="4">
        <v>2037</v>
      </c>
      <c r="U1" s="4">
        <v>2038</v>
      </c>
      <c r="V1" s="4">
        <v>2039</v>
      </c>
      <c r="W1" s="4">
        <v>2040</v>
      </c>
      <c r="X1" s="4">
        <v>2041</v>
      </c>
      <c r="Y1" s="4">
        <v>2042</v>
      </c>
      <c r="Z1" s="4">
        <v>2043</v>
      </c>
      <c r="AA1" s="4">
        <v>2044</v>
      </c>
      <c r="AB1" s="4">
        <v>2045</v>
      </c>
      <c r="AC1" s="4">
        <v>2046</v>
      </c>
      <c r="AD1" s="4">
        <v>2047</v>
      </c>
      <c r="AE1" s="4">
        <v>2048</v>
      </c>
      <c r="AF1" s="4">
        <v>2049</v>
      </c>
      <c r="AG1" s="4">
        <v>2050</v>
      </c>
      <c r="AH1" s="4">
        <v>2051</v>
      </c>
      <c r="AI1" s="4">
        <v>2052</v>
      </c>
      <c r="AJ1" s="4">
        <v>2053</v>
      </c>
      <c r="AK1" s="4">
        <v>2054</v>
      </c>
      <c r="AL1" s="4">
        <v>2055</v>
      </c>
      <c r="AM1" s="4">
        <v>2056</v>
      </c>
      <c r="AN1" s="4">
        <v>2057</v>
      </c>
      <c r="AO1" s="4">
        <v>2058</v>
      </c>
      <c r="AP1" s="4">
        <v>2059</v>
      </c>
      <c r="AQ1" s="4">
        <v>2060</v>
      </c>
      <c r="AR1" s="4">
        <v>2061</v>
      </c>
      <c r="AS1" s="4">
        <v>2062</v>
      </c>
      <c r="AT1" s="4">
        <v>2063</v>
      </c>
      <c r="AU1" s="4">
        <v>2064</v>
      </c>
      <c r="AV1" s="4">
        <v>2065</v>
      </c>
      <c r="AW1" s="4">
        <v>2066</v>
      </c>
      <c r="AX1" s="4">
        <v>2067</v>
      </c>
      <c r="AY1" s="4">
        <v>2068</v>
      </c>
      <c r="AZ1" s="4">
        <v>2069</v>
      </c>
      <c r="BA1" s="4">
        <v>2070</v>
      </c>
    </row>
    <row r="2" spans="1:53" x14ac:dyDescent="0.25">
      <c r="A2" s="70" t="s">
        <v>31</v>
      </c>
      <c r="B2" s="70">
        <f t="shared" ref="B2:BA2" si="0">B47</f>
        <v>2.8500000000000001E-2</v>
      </c>
      <c r="C2" s="70">
        <f t="shared" si="0"/>
        <v>4.3700000000000003E-2</v>
      </c>
      <c r="D2" s="70">
        <f t="shared" si="0"/>
        <v>3.2099999999999997E-2</v>
      </c>
      <c r="E2" s="70">
        <f t="shared" si="0"/>
        <v>4.6300000000000001E-2</v>
      </c>
      <c r="F2" s="70">
        <f t="shared" si="0"/>
        <v>4.1799999999999997E-2</v>
      </c>
      <c r="G2" s="70">
        <f t="shared" si="0"/>
        <v>8.2500000000000004E-2</v>
      </c>
      <c r="H2" s="70">
        <f t="shared" si="0"/>
        <v>7.3666666666667879E-2</v>
      </c>
      <c r="I2" s="70">
        <f t="shared" si="0"/>
        <v>8.1623809523811985E-2</v>
      </c>
      <c r="J2" s="70">
        <f t="shared" si="0"/>
        <v>8.9580952380952539E-2</v>
      </c>
      <c r="K2" s="70">
        <f t="shared" si="0"/>
        <v>9.7538095238096645E-2</v>
      </c>
      <c r="L2" s="70">
        <f t="shared" si="0"/>
        <v>0.10549523809524075</v>
      </c>
      <c r="M2" s="70">
        <f t="shared" si="0"/>
        <v>0.1134523809523813</v>
      </c>
      <c r="N2" s="70">
        <f t="shared" si="0"/>
        <v>0.12140952380952541</v>
      </c>
      <c r="O2" s="70">
        <f t="shared" si="0"/>
        <v>0.12936666666666952</v>
      </c>
      <c r="P2" s="70">
        <f t="shared" si="0"/>
        <v>0.13732380952381007</v>
      </c>
      <c r="Q2" s="70">
        <f t="shared" si="0"/>
        <v>0.14528095238095418</v>
      </c>
      <c r="R2" s="70">
        <f t="shared" si="0"/>
        <v>0.15323809523809828</v>
      </c>
      <c r="S2" s="70">
        <f t="shared" si="0"/>
        <v>0.16119523809523884</v>
      </c>
      <c r="T2" s="70">
        <f t="shared" si="0"/>
        <v>0.16915238095238294</v>
      </c>
      <c r="U2" s="70">
        <f t="shared" si="0"/>
        <v>0.17710952380952705</v>
      </c>
      <c r="V2" s="70">
        <f t="shared" si="0"/>
        <v>0.1850666666666676</v>
      </c>
      <c r="W2" s="70">
        <f t="shared" si="0"/>
        <v>0.19302380952381171</v>
      </c>
      <c r="X2" s="70">
        <f t="shared" si="0"/>
        <v>0.20098095238095226</v>
      </c>
      <c r="Y2" s="70">
        <f t="shared" si="0"/>
        <v>0.20893809523809637</v>
      </c>
      <c r="Z2" s="70">
        <f t="shared" si="0"/>
        <v>0.21689523809524047</v>
      </c>
      <c r="AA2" s="70">
        <f t="shared" si="0"/>
        <v>0.22485238095238103</v>
      </c>
      <c r="AB2" s="70">
        <f t="shared" si="0"/>
        <v>0.23280952380952513</v>
      </c>
      <c r="AC2" s="70">
        <f t="shared" si="0"/>
        <v>0.24076666666666924</v>
      </c>
      <c r="AD2" s="70">
        <f t="shared" si="0"/>
        <v>0.24872380952380979</v>
      </c>
      <c r="AE2" s="70">
        <f t="shared" si="0"/>
        <v>0.2566809523809539</v>
      </c>
      <c r="AF2" s="70">
        <f t="shared" si="0"/>
        <v>0.264638095238098</v>
      </c>
      <c r="AG2" s="70">
        <f t="shared" si="0"/>
        <v>0.27259523809523856</v>
      </c>
      <c r="AH2" s="70">
        <f t="shared" si="0"/>
        <v>0.28055238095238266</v>
      </c>
      <c r="AI2" s="70">
        <f t="shared" si="0"/>
        <v>0.28850952380952677</v>
      </c>
      <c r="AJ2" s="70">
        <f t="shared" si="0"/>
        <v>0.29646666666666732</v>
      </c>
      <c r="AK2" s="70">
        <f t="shared" si="0"/>
        <v>0.30442380952381143</v>
      </c>
      <c r="AL2" s="70">
        <f t="shared" si="0"/>
        <v>0.31238095238095553</v>
      </c>
      <c r="AM2" s="70">
        <f t="shared" si="0"/>
        <v>0.32033809523809609</v>
      </c>
      <c r="AN2" s="70">
        <f t="shared" si="0"/>
        <v>0.32829523809524019</v>
      </c>
      <c r="AO2" s="70">
        <f t="shared" si="0"/>
        <v>0.33625238095238075</v>
      </c>
      <c r="AP2" s="70">
        <f t="shared" si="0"/>
        <v>0.34420952380952485</v>
      </c>
      <c r="AQ2" s="70">
        <f t="shared" si="0"/>
        <v>0.35216666666666896</v>
      </c>
      <c r="AR2" s="70">
        <f t="shared" si="0"/>
        <v>0.36012380952380951</v>
      </c>
      <c r="AS2" s="70">
        <f t="shared" si="0"/>
        <v>0.36808095238095362</v>
      </c>
      <c r="AT2" s="70">
        <f t="shared" si="0"/>
        <v>0.37603809523809772</v>
      </c>
      <c r="AU2" s="70">
        <f t="shared" si="0"/>
        <v>0.38399523809523828</v>
      </c>
      <c r="AV2" s="70">
        <f t="shared" si="0"/>
        <v>0.39195238095238238</v>
      </c>
      <c r="AW2" s="70">
        <f t="shared" si="0"/>
        <v>0.39990952380952649</v>
      </c>
      <c r="AX2" s="70">
        <f t="shared" si="0"/>
        <v>0.40786666666666704</v>
      </c>
      <c r="AY2" s="70">
        <f t="shared" si="0"/>
        <v>0.41582380952381115</v>
      </c>
      <c r="AZ2" s="70">
        <f t="shared" si="0"/>
        <v>0.42378095238095526</v>
      </c>
      <c r="BA2" s="70">
        <f t="shared" si="0"/>
        <v>0.43173809523809581</v>
      </c>
    </row>
    <row r="3" spans="1:53" x14ac:dyDescent="0.25">
      <c r="A3" s="70" t="s">
        <v>34</v>
      </c>
      <c r="B3" s="70">
        <f t="shared" ref="B3:BA3" si="1">B48</f>
        <v>2.5099999999999997E-2</v>
      </c>
      <c r="C3" s="70">
        <f t="shared" si="1"/>
        <v>0.12470000000000001</v>
      </c>
      <c r="D3" s="70">
        <f t="shared" si="1"/>
        <v>0.27179999999999999</v>
      </c>
      <c r="E3" s="70">
        <f t="shared" si="1"/>
        <v>0.33710000000000001</v>
      </c>
      <c r="F3" s="70">
        <f t="shared" si="1"/>
        <v>3.2899999999999999E-2</v>
      </c>
      <c r="G3" s="70">
        <f t="shared" si="1"/>
        <v>1.77E-2</v>
      </c>
      <c r="H3" s="70">
        <f t="shared" si="1"/>
        <v>1.77E-2</v>
      </c>
      <c r="I3" s="70">
        <f t="shared" si="1"/>
        <v>0.22316571428571663</v>
      </c>
      <c r="J3" s="70">
        <f t="shared" si="1"/>
        <v>0.2372914285714316</v>
      </c>
      <c r="K3" s="70">
        <f t="shared" si="1"/>
        <v>0.25141714285714656</v>
      </c>
      <c r="L3" s="70">
        <f t="shared" si="1"/>
        <v>0.26554285714286152</v>
      </c>
      <c r="M3" s="70">
        <f t="shared" si="1"/>
        <v>0.27966857142857293</v>
      </c>
      <c r="N3" s="70">
        <f t="shared" si="1"/>
        <v>0.29379428571428789</v>
      </c>
      <c r="O3" s="70">
        <f t="shared" si="1"/>
        <v>0.30792000000000286</v>
      </c>
      <c r="P3" s="70">
        <f t="shared" si="1"/>
        <v>0.32204571428571782</v>
      </c>
      <c r="Q3" s="70">
        <f t="shared" si="1"/>
        <v>0.33617142857143278</v>
      </c>
      <c r="R3" s="70">
        <f t="shared" si="1"/>
        <v>0.35029714285714419</v>
      </c>
      <c r="S3" s="70">
        <f t="shared" si="1"/>
        <v>0.36442285714285916</v>
      </c>
      <c r="T3" s="70">
        <f t="shared" si="1"/>
        <v>0.37854857142857412</v>
      </c>
      <c r="U3" s="70">
        <f t="shared" si="1"/>
        <v>0.39267428571428908</v>
      </c>
      <c r="V3" s="70">
        <f t="shared" si="1"/>
        <v>0.40680000000000405</v>
      </c>
      <c r="W3" s="70">
        <f t="shared" si="1"/>
        <v>0.42092571428571901</v>
      </c>
      <c r="X3" s="70">
        <f t="shared" si="1"/>
        <v>0.43505142857143042</v>
      </c>
      <c r="Y3" s="70">
        <f t="shared" si="1"/>
        <v>0.44917714285714538</v>
      </c>
      <c r="Z3" s="70">
        <f t="shared" si="1"/>
        <v>0.46330285714286035</v>
      </c>
      <c r="AA3" s="70">
        <f t="shared" si="1"/>
        <v>0.47742857142857531</v>
      </c>
      <c r="AB3" s="70">
        <f t="shared" si="1"/>
        <v>0.49155428571429027</v>
      </c>
      <c r="AC3" s="70">
        <f t="shared" si="1"/>
        <v>0.50568000000000168</v>
      </c>
      <c r="AD3" s="70">
        <f t="shared" si="1"/>
        <v>0.51980571428571665</v>
      </c>
      <c r="AE3" s="70">
        <f t="shared" si="1"/>
        <v>0.53393142857143161</v>
      </c>
      <c r="AF3" s="70">
        <f t="shared" si="1"/>
        <v>0.54805714285714657</v>
      </c>
      <c r="AG3" s="70">
        <f t="shared" si="1"/>
        <v>0.56218285714286154</v>
      </c>
      <c r="AH3" s="70">
        <f t="shared" si="1"/>
        <v>0.57630857142857295</v>
      </c>
      <c r="AI3" s="70">
        <f t="shared" si="1"/>
        <v>0.59043428571428791</v>
      </c>
      <c r="AJ3" s="70">
        <f t="shared" si="1"/>
        <v>0.60456000000000287</v>
      </c>
      <c r="AK3" s="70">
        <f t="shared" si="1"/>
        <v>0.61868571428571784</v>
      </c>
      <c r="AL3" s="70">
        <f t="shared" si="1"/>
        <v>0.6328114285714328</v>
      </c>
      <c r="AM3" s="70">
        <f t="shared" si="1"/>
        <v>0.64693714285714421</v>
      </c>
      <c r="AN3" s="70">
        <f t="shared" si="1"/>
        <v>0.66106285714285917</v>
      </c>
      <c r="AO3" s="70">
        <f t="shared" si="1"/>
        <v>0.67518857142857414</v>
      </c>
      <c r="AP3" s="70">
        <f t="shared" si="1"/>
        <v>0.6893142857142891</v>
      </c>
      <c r="AQ3" s="70">
        <f t="shared" si="1"/>
        <v>0.70344000000000406</v>
      </c>
      <c r="AR3" s="70">
        <f t="shared" si="1"/>
        <v>0.71756571428571903</v>
      </c>
      <c r="AS3" s="70">
        <f t="shared" si="1"/>
        <v>0.73169142857143044</v>
      </c>
      <c r="AT3" s="70">
        <f t="shared" si="1"/>
        <v>0.7458171428571454</v>
      </c>
      <c r="AU3" s="70">
        <f t="shared" si="1"/>
        <v>0.75994285714286036</v>
      </c>
      <c r="AV3" s="70">
        <f t="shared" si="1"/>
        <v>0.77406857142857532</v>
      </c>
      <c r="AW3" s="70">
        <f t="shared" si="1"/>
        <v>0.78819428571429029</v>
      </c>
      <c r="AX3" s="70">
        <f t="shared" si="1"/>
        <v>0.8023200000000017</v>
      </c>
      <c r="AY3" s="70">
        <f t="shared" si="1"/>
        <v>0.81644571428571666</v>
      </c>
      <c r="AZ3" s="70">
        <f t="shared" si="1"/>
        <v>0.83057142857143162</v>
      </c>
      <c r="BA3" s="70">
        <f t="shared" si="1"/>
        <v>0.84469714285714659</v>
      </c>
    </row>
    <row r="4" spans="1:53" x14ac:dyDescent="0.25">
      <c r="A4" s="70" t="s">
        <v>148</v>
      </c>
      <c r="B4" s="70">
        <f t="shared" ref="B4:BA4" si="2">B48</f>
        <v>2.5099999999999997E-2</v>
      </c>
      <c r="C4" s="70">
        <f t="shared" si="2"/>
        <v>0.12470000000000001</v>
      </c>
      <c r="D4" s="70">
        <f t="shared" si="2"/>
        <v>0.27179999999999999</v>
      </c>
      <c r="E4" s="70">
        <f t="shared" si="2"/>
        <v>0.33710000000000001</v>
      </c>
      <c r="F4" s="70">
        <f t="shared" si="2"/>
        <v>3.2899999999999999E-2</v>
      </c>
      <c r="G4" s="70">
        <f t="shared" si="2"/>
        <v>1.77E-2</v>
      </c>
      <c r="H4" s="70">
        <f t="shared" si="2"/>
        <v>1.77E-2</v>
      </c>
      <c r="I4" s="70">
        <f t="shared" si="2"/>
        <v>0.22316571428571663</v>
      </c>
      <c r="J4" s="70">
        <f t="shared" si="2"/>
        <v>0.2372914285714316</v>
      </c>
      <c r="K4" s="70">
        <f t="shared" si="2"/>
        <v>0.25141714285714656</v>
      </c>
      <c r="L4" s="70">
        <f t="shared" si="2"/>
        <v>0.26554285714286152</v>
      </c>
      <c r="M4" s="70">
        <f t="shared" si="2"/>
        <v>0.27966857142857293</v>
      </c>
      <c r="N4" s="70">
        <f t="shared" si="2"/>
        <v>0.29379428571428789</v>
      </c>
      <c r="O4" s="70">
        <f t="shared" si="2"/>
        <v>0.30792000000000286</v>
      </c>
      <c r="P4" s="70">
        <f t="shared" si="2"/>
        <v>0.32204571428571782</v>
      </c>
      <c r="Q4" s="70">
        <f t="shared" si="2"/>
        <v>0.33617142857143278</v>
      </c>
      <c r="R4" s="70">
        <f t="shared" si="2"/>
        <v>0.35029714285714419</v>
      </c>
      <c r="S4" s="70">
        <f t="shared" si="2"/>
        <v>0.36442285714285916</v>
      </c>
      <c r="T4" s="70">
        <f t="shared" si="2"/>
        <v>0.37854857142857412</v>
      </c>
      <c r="U4" s="70">
        <f t="shared" si="2"/>
        <v>0.39267428571428908</v>
      </c>
      <c r="V4" s="70">
        <f t="shared" si="2"/>
        <v>0.40680000000000405</v>
      </c>
      <c r="W4" s="70">
        <f t="shared" si="2"/>
        <v>0.42092571428571901</v>
      </c>
      <c r="X4" s="70">
        <f t="shared" si="2"/>
        <v>0.43505142857143042</v>
      </c>
      <c r="Y4" s="70">
        <f t="shared" si="2"/>
        <v>0.44917714285714538</v>
      </c>
      <c r="Z4" s="70">
        <f t="shared" si="2"/>
        <v>0.46330285714286035</v>
      </c>
      <c r="AA4" s="70">
        <f t="shared" si="2"/>
        <v>0.47742857142857531</v>
      </c>
      <c r="AB4" s="70">
        <f t="shared" si="2"/>
        <v>0.49155428571429027</v>
      </c>
      <c r="AC4" s="70">
        <f t="shared" si="2"/>
        <v>0.50568000000000168</v>
      </c>
      <c r="AD4" s="70">
        <f t="shared" si="2"/>
        <v>0.51980571428571665</v>
      </c>
      <c r="AE4" s="70">
        <f t="shared" si="2"/>
        <v>0.53393142857143161</v>
      </c>
      <c r="AF4" s="70">
        <f t="shared" si="2"/>
        <v>0.54805714285714657</v>
      </c>
      <c r="AG4" s="70">
        <f t="shared" si="2"/>
        <v>0.56218285714286154</v>
      </c>
      <c r="AH4" s="70">
        <f t="shared" si="2"/>
        <v>0.57630857142857295</v>
      </c>
      <c r="AI4" s="70">
        <f t="shared" si="2"/>
        <v>0.59043428571428791</v>
      </c>
      <c r="AJ4" s="70">
        <f t="shared" si="2"/>
        <v>0.60456000000000287</v>
      </c>
      <c r="AK4" s="70">
        <f t="shared" si="2"/>
        <v>0.61868571428571784</v>
      </c>
      <c r="AL4" s="70">
        <f t="shared" si="2"/>
        <v>0.6328114285714328</v>
      </c>
      <c r="AM4" s="70">
        <f t="shared" si="2"/>
        <v>0.64693714285714421</v>
      </c>
      <c r="AN4" s="70">
        <f t="shared" si="2"/>
        <v>0.66106285714285917</v>
      </c>
      <c r="AO4" s="70">
        <f t="shared" si="2"/>
        <v>0.67518857142857414</v>
      </c>
      <c r="AP4" s="70">
        <f t="shared" si="2"/>
        <v>0.6893142857142891</v>
      </c>
      <c r="AQ4" s="70">
        <f t="shared" si="2"/>
        <v>0.70344000000000406</v>
      </c>
      <c r="AR4" s="70">
        <f t="shared" si="2"/>
        <v>0.71756571428571903</v>
      </c>
      <c r="AS4" s="70">
        <f t="shared" si="2"/>
        <v>0.73169142857143044</v>
      </c>
      <c r="AT4" s="70">
        <f t="shared" si="2"/>
        <v>0.7458171428571454</v>
      </c>
      <c r="AU4" s="70">
        <f t="shared" si="2"/>
        <v>0.75994285714286036</v>
      </c>
      <c r="AV4" s="70">
        <f t="shared" si="2"/>
        <v>0.77406857142857532</v>
      </c>
      <c r="AW4" s="70">
        <f t="shared" si="2"/>
        <v>0.78819428571429029</v>
      </c>
      <c r="AX4" s="70">
        <f t="shared" si="2"/>
        <v>0.8023200000000017</v>
      </c>
      <c r="AY4" s="70">
        <f t="shared" si="2"/>
        <v>0.81644571428571666</v>
      </c>
      <c r="AZ4" s="70">
        <f t="shared" si="2"/>
        <v>0.83057142857143162</v>
      </c>
      <c r="BA4" s="70">
        <f t="shared" si="2"/>
        <v>0.84469714285714659</v>
      </c>
    </row>
    <row r="5" spans="1:53" x14ac:dyDescent="0.25">
      <c r="A5" s="70" t="s">
        <v>36</v>
      </c>
      <c r="B5" s="70">
        <f t="shared" ref="B5:BA5" si="3">B4</f>
        <v>2.5099999999999997E-2</v>
      </c>
      <c r="C5" s="70">
        <f t="shared" si="3"/>
        <v>0.12470000000000001</v>
      </c>
      <c r="D5" s="70">
        <f t="shared" si="3"/>
        <v>0.27179999999999999</v>
      </c>
      <c r="E5" s="70">
        <f t="shared" si="3"/>
        <v>0.33710000000000001</v>
      </c>
      <c r="F5" s="70">
        <f t="shared" si="3"/>
        <v>3.2899999999999999E-2</v>
      </c>
      <c r="G5" s="70">
        <f t="shared" si="3"/>
        <v>1.77E-2</v>
      </c>
      <c r="H5" s="70">
        <f t="shared" si="3"/>
        <v>1.77E-2</v>
      </c>
      <c r="I5" s="70">
        <f t="shared" si="3"/>
        <v>0.22316571428571663</v>
      </c>
      <c r="J5" s="70">
        <f t="shared" si="3"/>
        <v>0.2372914285714316</v>
      </c>
      <c r="K5" s="70">
        <f t="shared" si="3"/>
        <v>0.25141714285714656</v>
      </c>
      <c r="L5" s="70">
        <f t="shared" si="3"/>
        <v>0.26554285714286152</v>
      </c>
      <c r="M5" s="70">
        <f t="shared" si="3"/>
        <v>0.27966857142857293</v>
      </c>
      <c r="N5" s="70">
        <f t="shared" si="3"/>
        <v>0.29379428571428789</v>
      </c>
      <c r="O5" s="70">
        <f t="shared" si="3"/>
        <v>0.30792000000000286</v>
      </c>
      <c r="P5" s="70">
        <f t="shared" si="3"/>
        <v>0.32204571428571782</v>
      </c>
      <c r="Q5" s="70">
        <f t="shared" si="3"/>
        <v>0.33617142857143278</v>
      </c>
      <c r="R5" s="70">
        <f t="shared" si="3"/>
        <v>0.35029714285714419</v>
      </c>
      <c r="S5" s="70">
        <f t="shared" si="3"/>
        <v>0.36442285714285916</v>
      </c>
      <c r="T5" s="70">
        <f t="shared" si="3"/>
        <v>0.37854857142857412</v>
      </c>
      <c r="U5" s="70">
        <f t="shared" si="3"/>
        <v>0.39267428571428908</v>
      </c>
      <c r="V5" s="70">
        <f t="shared" si="3"/>
        <v>0.40680000000000405</v>
      </c>
      <c r="W5" s="70">
        <f t="shared" si="3"/>
        <v>0.42092571428571901</v>
      </c>
      <c r="X5" s="70">
        <f t="shared" si="3"/>
        <v>0.43505142857143042</v>
      </c>
      <c r="Y5" s="70">
        <f t="shared" si="3"/>
        <v>0.44917714285714538</v>
      </c>
      <c r="Z5" s="70">
        <f t="shared" si="3"/>
        <v>0.46330285714286035</v>
      </c>
      <c r="AA5" s="70">
        <f t="shared" si="3"/>
        <v>0.47742857142857531</v>
      </c>
      <c r="AB5" s="70">
        <f t="shared" si="3"/>
        <v>0.49155428571429027</v>
      </c>
      <c r="AC5" s="70">
        <f t="shared" si="3"/>
        <v>0.50568000000000168</v>
      </c>
      <c r="AD5" s="70">
        <f t="shared" si="3"/>
        <v>0.51980571428571665</v>
      </c>
      <c r="AE5" s="70">
        <f t="shared" si="3"/>
        <v>0.53393142857143161</v>
      </c>
      <c r="AF5" s="70">
        <f t="shared" si="3"/>
        <v>0.54805714285714657</v>
      </c>
      <c r="AG5" s="70">
        <f t="shared" si="3"/>
        <v>0.56218285714286154</v>
      </c>
      <c r="AH5" s="70">
        <f t="shared" si="3"/>
        <v>0.57630857142857295</v>
      </c>
      <c r="AI5" s="70">
        <f t="shared" si="3"/>
        <v>0.59043428571428791</v>
      </c>
      <c r="AJ5" s="70">
        <f t="shared" si="3"/>
        <v>0.60456000000000287</v>
      </c>
      <c r="AK5" s="70">
        <f t="shared" si="3"/>
        <v>0.61868571428571784</v>
      </c>
      <c r="AL5" s="70">
        <f t="shared" si="3"/>
        <v>0.6328114285714328</v>
      </c>
      <c r="AM5" s="70">
        <f t="shared" si="3"/>
        <v>0.64693714285714421</v>
      </c>
      <c r="AN5" s="70">
        <f t="shared" si="3"/>
        <v>0.66106285714285917</v>
      </c>
      <c r="AO5" s="70">
        <f t="shared" si="3"/>
        <v>0.67518857142857414</v>
      </c>
      <c r="AP5" s="70">
        <f t="shared" si="3"/>
        <v>0.6893142857142891</v>
      </c>
      <c r="AQ5" s="70">
        <f t="shared" si="3"/>
        <v>0.70344000000000406</v>
      </c>
      <c r="AR5" s="70">
        <f t="shared" si="3"/>
        <v>0.71756571428571903</v>
      </c>
      <c r="AS5" s="70">
        <f t="shared" si="3"/>
        <v>0.73169142857143044</v>
      </c>
      <c r="AT5" s="70">
        <f t="shared" si="3"/>
        <v>0.7458171428571454</v>
      </c>
      <c r="AU5" s="70">
        <f t="shared" si="3"/>
        <v>0.75994285714286036</v>
      </c>
      <c r="AV5" s="70">
        <f t="shared" si="3"/>
        <v>0.77406857142857532</v>
      </c>
      <c r="AW5" s="70">
        <f t="shared" si="3"/>
        <v>0.78819428571429029</v>
      </c>
      <c r="AX5" s="70">
        <f t="shared" si="3"/>
        <v>0.8023200000000017</v>
      </c>
      <c r="AY5" s="70">
        <f t="shared" si="3"/>
        <v>0.81644571428571666</v>
      </c>
      <c r="AZ5" s="70">
        <f t="shared" si="3"/>
        <v>0.83057142857143162</v>
      </c>
      <c r="BA5" s="70">
        <f t="shared" si="3"/>
        <v>0.84469714285714659</v>
      </c>
    </row>
    <row r="6" spans="1:53" x14ac:dyDescent="0.25">
      <c r="A6" s="70" t="s">
        <v>38</v>
      </c>
      <c r="B6" s="70">
        <f t="shared" ref="B6:BA6" si="4">B5</f>
        <v>2.5099999999999997E-2</v>
      </c>
      <c r="C6" s="70">
        <f t="shared" si="4"/>
        <v>0.12470000000000001</v>
      </c>
      <c r="D6" s="70">
        <f t="shared" si="4"/>
        <v>0.27179999999999999</v>
      </c>
      <c r="E6" s="70">
        <f t="shared" si="4"/>
        <v>0.33710000000000001</v>
      </c>
      <c r="F6" s="70">
        <f t="shared" si="4"/>
        <v>3.2899999999999999E-2</v>
      </c>
      <c r="G6" s="70">
        <f t="shared" si="4"/>
        <v>1.77E-2</v>
      </c>
      <c r="H6" s="70">
        <f t="shared" si="4"/>
        <v>1.77E-2</v>
      </c>
      <c r="I6" s="70">
        <f t="shared" si="4"/>
        <v>0.22316571428571663</v>
      </c>
      <c r="J6" s="70">
        <f t="shared" si="4"/>
        <v>0.2372914285714316</v>
      </c>
      <c r="K6" s="70">
        <f t="shared" si="4"/>
        <v>0.25141714285714656</v>
      </c>
      <c r="L6" s="70">
        <f t="shared" si="4"/>
        <v>0.26554285714286152</v>
      </c>
      <c r="M6" s="70">
        <f t="shared" si="4"/>
        <v>0.27966857142857293</v>
      </c>
      <c r="N6" s="70">
        <f t="shared" si="4"/>
        <v>0.29379428571428789</v>
      </c>
      <c r="O6" s="70">
        <f t="shared" si="4"/>
        <v>0.30792000000000286</v>
      </c>
      <c r="P6" s="70">
        <f t="shared" si="4"/>
        <v>0.32204571428571782</v>
      </c>
      <c r="Q6" s="70">
        <f t="shared" si="4"/>
        <v>0.33617142857143278</v>
      </c>
      <c r="R6" s="70">
        <f t="shared" si="4"/>
        <v>0.35029714285714419</v>
      </c>
      <c r="S6" s="70">
        <f t="shared" si="4"/>
        <v>0.36442285714285916</v>
      </c>
      <c r="T6" s="70">
        <f t="shared" si="4"/>
        <v>0.37854857142857412</v>
      </c>
      <c r="U6" s="70">
        <f t="shared" si="4"/>
        <v>0.39267428571428908</v>
      </c>
      <c r="V6" s="70">
        <f t="shared" si="4"/>
        <v>0.40680000000000405</v>
      </c>
      <c r="W6" s="70">
        <f t="shared" si="4"/>
        <v>0.42092571428571901</v>
      </c>
      <c r="X6" s="70">
        <f t="shared" si="4"/>
        <v>0.43505142857143042</v>
      </c>
      <c r="Y6" s="70">
        <f t="shared" si="4"/>
        <v>0.44917714285714538</v>
      </c>
      <c r="Z6" s="70">
        <f t="shared" si="4"/>
        <v>0.46330285714286035</v>
      </c>
      <c r="AA6" s="70">
        <f t="shared" si="4"/>
        <v>0.47742857142857531</v>
      </c>
      <c r="AB6" s="70">
        <f t="shared" si="4"/>
        <v>0.49155428571429027</v>
      </c>
      <c r="AC6" s="70">
        <f t="shared" si="4"/>
        <v>0.50568000000000168</v>
      </c>
      <c r="AD6" s="70">
        <f t="shared" si="4"/>
        <v>0.51980571428571665</v>
      </c>
      <c r="AE6" s="70">
        <f t="shared" si="4"/>
        <v>0.53393142857143161</v>
      </c>
      <c r="AF6" s="70">
        <f t="shared" si="4"/>
        <v>0.54805714285714657</v>
      </c>
      <c r="AG6" s="70">
        <f t="shared" si="4"/>
        <v>0.56218285714286154</v>
      </c>
      <c r="AH6" s="70">
        <f t="shared" si="4"/>
        <v>0.57630857142857295</v>
      </c>
      <c r="AI6" s="70">
        <f t="shared" si="4"/>
        <v>0.59043428571428791</v>
      </c>
      <c r="AJ6" s="70">
        <f t="shared" si="4"/>
        <v>0.60456000000000287</v>
      </c>
      <c r="AK6" s="70">
        <f t="shared" si="4"/>
        <v>0.61868571428571784</v>
      </c>
      <c r="AL6" s="70">
        <f t="shared" si="4"/>
        <v>0.6328114285714328</v>
      </c>
      <c r="AM6" s="70">
        <f t="shared" si="4"/>
        <v>0.64693714285714421</v>
      </c>
      <c r="AN6" s="70">
        <f t="shared" si="4"/>
        <v>0.66106285714285917</v>
      </c>
      <c r="AO6" s="70">
        <f t="shared" si="4"/>
        <v>0.67518857142857414</v>
      </c>
      <c r="AP6" s="70">
        <f t="shared" si="4"/>
        <v>0.6893142857142891</v>
      </c>
      <c r="AQ6" s="70">
        <f t="shared" si="4"/>
        <v>0.70344000000000406</v>
      </c>
      <c r="AR6" s="70">
        <f t="shared" si="4"/>
        <v>0.71756571428571903</v>
      </c>
      <c r="AS6" s="70">
        <f t="shared" si="4"/>
        <v>0.73169142857143044</v>
      </c>
      <c r="AT6" s="70">
        <f t="shared" si="4"/>
        <v>0.7458171428571454</v>
      </c>
      <c r="AU6" s="70">
        <f t="shared" si="4"/>
        <v>0.75994285714286036</v>
      </c>
      <c r="AV6" s="70">
        <f t="shared" si="4"/>
        <v>0.77406857142857532</v>
      </c>
      <c r="AW6" s="70">
        <f t="shared" si="4"/>
        <v>0.78819428571429029</v>
      </c>
      <c r="AX6" s="70">
        <f t="shared" si="4"/>
        <v>0.8023200000000017</v>
      </c>
      <c r="AY6" s="70">
        <f t="shared" si="4"/>
        <v>0.81644571428571666</v>
      </c>
      <c r="AZ6" s="70">
        <f t="shared" si="4"/>
        <v>0.83057142857143162</v>
      </c>
      <c r="BA6" s="70">
        <f t="shared" si="4"/>
        <v>0.84469714285714659</v>
      </c>
    </row>
    <row r="7" spans="1:53" x14ac:dyDescent="0.25">
      <c r="A7" s="70" t="s">
        <v>40</v>
      </c>
      <c r="B7" s="70">
        <f t="shared" ref="B7:BA7" si="5">B49</f>
        <v>3.5699999999999996E-2</v>
      </c>
      <c r="C7" s="70">
        <f t="shared" si="5"/>
        <v>1.24E-2</v>
      </c>
      <c r="D7" s="70">
        <f t="shared" si="5"/>
        <v>1.29E-2</v>
      </c>
      <c r="E7" s="70">
        <f t="shared" si="5"/>
        <v>1.29E-2</v>
      </c>
      <c r="F7" s="70">
        <f t="shared" si="5"/>
        <v>2.1099999999999997E-2</v>
      </c>
      <c r="G7" s="70">
        <f t="shared" si="5"/>
        <v>7.6E-3</v>
      </c>
      <c r="H7" s="70">
        <f t="shared" si="5"/>
        <v>5.6600000000006645E-3</v>
      </c>
      <c r="I7" s="70">
        <f t="shared" si="5"/>
        <v>2.391428571429266E-3</v>
      </c>
      <c r="J7" s="70">
        <f t="shared" si="5"/>
        <v>2.391428571429266E-3</v>
      </c>
      <c r="K7" s="70">
        <f t="shared" si="5"/>
        <v>2.391428571429266E-3</v>
      </c>
      <c r="L7" s="70">
        <f t="shared" si="5"/>
        <v>2.391428571429266E-3</v>
      </c>
      <c r="M7" s="70">
        <f t="shared" si="5"/>
        <v>2.391428571429266E-3</v>
      </c>
      <c r="N7" s="70">
        <f t="shared" si="5"/>
        <v>2.391428571429266E-3</v>
      </c>
      <c r="O7" s="70">
        <f t="shared" si="5"/>
        <v>2.391428571429266E-3</v>
      </c>
      <c r="P7" s="70">
        <f t="shared" si="5"/>
        <v>2.391428571429266E-3</v>
      </c>
      <c r="Q7" s="70">
        <f t="shared" si="5"/>
        <v>2.391428571429266E-3</v>
      </c>
      <c r="R7" s="70">
        <f t="shared" si="5"/>
        <v>2.391428571429266E-3</v>
      </c>
      <c r="S7" s="70">
        <f t="shared" si="5"/>
        <v>2.391428571429266E-3</v>
      </c>
      <c r="T7" s="70">
        <f t="shared" si="5"/>
        <v>2.391428571429266E-3</v>
      </c>
      <c r="U7" s="70">
        <f t="shared" si="5"/>
        <v>2.391428571429266E-3</v>
      </c>
      <c r="V7" s="70">
        <f t="shared" si="5"/>
        <v>2.391428571429266E-3</v>
      </c>
      <c r="W7" s="70">
        <f t="shared" si="5"/>
        <v>2.391428571429266E-3</v>
      </c>
      <c r="X7" s="70">
        <f t="shared" si="5"/>
        <v>2.391428571429266E-3</v>
      </c>
      <c r="Y7" s="70">
        <f t="shared" si="5"/>
        <v>2.391428571429266E-3</v>
      </c>
      <c r="Z7" s="70">
        <f t="shared" si="5"/>
        <v>2.391428571429266E-3</v>
      </c>
      <c r="AA7" s="70">
        <f t="shared" si="5"/>
        <v>2.391428571429266E-3</v>
      </c>
      <c r="AB7" s="70">
        <f t="shared" si="5"/>
        <v>2.391428571429266E-3</v>
      </c>
      <c r="AC7" s="70">
        <f t="shared" si="5"/>
        <v>2.391428571429266E-3</v>
      </c>
      <c r="AD7" s="70">
        <f t="shared" si="5"/>
        <v>2.391428571429266E-3</v>
      </c>
      <c r="AE7" s="70">
        <f t="shared" si="5"/>
        <v>2.391428571429266E-3</v>
      </c>
      <c r="AF7" s="70">
        <f t="shared" si="5"/>
        <v>2.391428571429266E-3</v>
      </c>
      <c r="AG7" s="70">
        <f t="shared" si="5"/>
        <v>2.391428571429266E-3</v>
      </c>
      <c r="AH7" s="70">
        <f t="shared" si="5"/>
        <v>2.391428571429266E-3</v>
      </c>
      <c r="AI7" s="70">
        <f t="shared" si="5"/>
        <v>2.391428571429266E-3</v>
      </c>
      <c r="AJ7" s="70">
        <f t="shared" si="5"/>
        <v>2.391428571429266E-3</v>
      </c>
      <c r="AK7" s="70">
        <f t="shared" si="5"/>
        <v>2.391428571429266E-3</v>
      </c>
      <c r="AL7" s="70">
        <f t="shared" si="5"/>
        <v>2.391428571429266E-3</v>
      </c>
      <c r="AM7" s="70">
        <f t="shared" si="5"/>
        <v>2.391428571429266E-3</v>
      </c>
      <c r="AN7" s="70">
        <f t="shared" si="5"/>
        <v>2.391428571429266E-3</v>
      </c>
      <c r="AO7" s="70">
        <f t="shared" si="5"/>
        <v>2.391428571429266E-3</v>
      </c>
      <c r="AP7" s="70">
        <f t="shared" si="5"/>
        <v>2.391428571429266E-3</v>
      </c>
      <c r="AQ7" s="70">
        <f t="shared" si="5"/>
        <v>2.391428571429266E-3</v>
      </c>
      <c r="AR7" s="70">
        <f t="shared" si="5"/>
        <v>2.391428571429266E-3</v>
      </c>
      <c r="AS7" s="70">
        <f t="shared" si="5"/>
        <v>2.391428571429266E-3</v>
      </c>
      <c r="AT7" s="70">
        <f t="shared" si="5"/>
        <v>2.391428571429266E-3</v>
      </c>
      <c r="AU7" s="70">
        <f t="shared" si="5"/>
        <v>2.391428571429266E-3</v>
      </c>
      <c r="AV7" s="70">
        <f t="shared" si="5"/>
        <v>2.391428571429266E-3</v>
      </c>
      <c r="AW7" s="70">
        <f t="shared" si="5"/>
        <v>2.391428571429266E-3</v>
      </c>
      <c r="AX7" s="70">
        <f t="shared" si="5"/>
        <v>2.391428571429266E-3</v>
      </c>
      <c r="AY7" s="70">
        <f t="shared" si="5"/>
        <v>2.391428571429266E-3</v>
      </c>
      <c r="AZ7" s="70">
        <f t="shared" si="5"/>
        <v>2.391428571429266E-3</v>
      </c>
      <c r="BA7" s="70">
        <f t="shared" si="5"/>
        <v>2.391428571429266E-3</v>
      </c>
    </row>
    <row r="8" spans="1:53" x14ac:dyDescent="0.25">
      <c r="A8" s="70" t="s">
        <v>42</v>
      </c>
      <c r="B8" s="70">
        <f t="shared" ref="B8:BA8" si="6">B7</f>
        <v>3.5699999999999996E-2</v>
      </c>
      <c r="C8" s="70">
        <f t="shared" si="6"/>
        <v>1.24E-2</v>
      </c>
      <c r="D8" s="70">
        <f t="shared" si="6"/>
        <v>1.29E-2</v>
      </c>
      <c r="E8" s="70">
        <f t="shared" si="6"/>
        <v>1.29E-2</v>
      </c>
      <c r="F8" s="70">
        <f t="shared" si="6"/>
        <v>2.1099999999999997E-2</v>
      </c>
      <c r="G8" s="70">
        <f t="shared" si="6"/>
        <v>7.6E-3</v>
      </c>
      <c r="H8" s="70">
        <f t="shared" si="6"/>
        <v>5.6600000000006645E-3</v>
      </c>
      <c r="I8" s="70">
        <f t="shared" si="6"/>
        <v>2.391428571429266E-3</v>
      </c>
      <c r="J8" s="70">
        <f t="shared" si="6"/>
        <v>2.391428571429266E-3</v>
      </c>
      <c r="K8" s="70">
        <f t="shared" si="6"/>
        <v>2.391428571429266E-3</v>
      </c>
      <c r="L8" s="70">
        <f t="shared" si="6"/>
        <v>2.391428571429266E-3</v>
      </c>
      <c r="M8" s="70">
        <f t="shared" si="6"/>
        <v>2.391428571429266E-3</v>
      </c>
      <c r="N8" s="70">
        <f t="shared" si="6"/>
        <v>2.391428571429266E-3</v>
      </c>
      <c r="O8" s="70">
        <f t="shared" si="6"/>
        <v>2.391428571429266E-3</v>
      </c>
      <c r="P8" s="70">
        <f t="shared" si="6"/>
        <v>2.391428571429266E-3</v>
      </c>
      <c r="Q8" s="70">
        <f t="shared" si="6"/>
        <v>2.391428571429266E-3</v>
      </c>
      <c r="R8" s="70">
        <f t="shared" si="6"/>
        <v>2.391428571429266E-3</v>
      </c>
      <c r="S8" s="70">
        <f t="shared" si="6"/>
        <v>2.391428571429266E-3</v>
      </c>
      <c r="T8" s="70">
        <f t="shared" si="6"/>
        <v>2.391428571429266E-3</v>
      </c>
      <c r="U8" s="70">
        <f t="shared" si="6"/>
        <v>2.391428571429266E-3</v>
      </c>
      <c r="V8" s="70">
        <f t="shared" si="6"/>
        <v>2.391428571429266E-3</v>
      </c>
      <c r="W8" s="70">
        <f t="shared" si="6"/>
        <v>2.391428571429266E-3</v>
      </c>
      <c r="X8" s="70">
        <f t="shared" si="6"/>
        <v>2.391428571429266E-3</v>
      </c>
      <c r="Y8" s="70">
        <f t="shared" si="6"/>
        <v>2.391428571429266E-3</v>
      </c>
      <c r="Z8" s="70">
        <f t="shared" si="6"/>
        <v>2.391428571429266E-3</v>
      </c>
      <c r="AA8" s="70">
        <f t="shared" si="6"/>
        <v>2.391428571429266E-3</v>
      </c>
      <c r="AB8" s="70">
        <f t="shared" si="6"/>
        <v>2.391428571429266E-3</v>
      </c>
      <c r="AC8" s="70">
        <f t="shared" si="6"/>
        <v>2.391428571429266E-3</v>
      </c>
      <c r="AD8" s="70">
        <f t="shared" si="6"/>
        <v>2.391428571429266E-3</v>
      </c>
      <c r="AE8" s="70">
        <f t="shared" si="6"/>
        <v>2.391428571429266E-3</v>
      </c>
      <c r="AF8" s="70">
        <f t="shared" si="6"/>
        <v>2.391428571429266E-3</v>
      </c>
      <c r="AG8" s="70">
        <f t="shared" si="6"/>
        <v>2.391428571429266E-3</v>
      </c>
      <c r="AH8" s="70">
        <f t="shared" si="6"/>
        <v>2.391428571429266E-3</v>
      </c>
      <c r="AI8" s="70">
        <f t="shared" si="6"/>
        <v>2.391428571429266E-3</v>
      </c>
      <c r="AJ8" s="70">
        <f t="shared" si="6"/>
        <v>2.391428571429266E-3</v>
      </c>
      <c r="AK8" s="70">
        <f t="shared" si="6"/>
        <v>2.391428571429266E-3</v>
      </c>
      <c r="AL8" s="70">
        <f t="shared" si="6"/>
        <v>2.391428571429266E-3</v>
      </c>
      <c r="AM8" s="70">
        <f t="shared" si="6"/>
        <v>2.391428571429266E-3</v>
      </c>
      <c r="AN8" s="70">
        <f t="shared" si="6"/>
        <v>2.391428571429266E-3</v>
      </c>
      <c r="AO8" s="70">
        <f t="shared" si="6"/>
        <v>2.391428571429266E-3</v>
      </c>
      <c r="AP8" s="70">
        <f t="shared" si="6"/>
        <v>2.391428571429266E-3</v>
      </c>
      <c r="AQ8" s="70">
        <f t="shared" si="6"/>
        <v>2.391428571429266E-3</v>
      </c>
      <c r="AR8" s="70">
        <f t="shared" si="6"/>
        <v>2.391428571429266E-3</v>
      </c>
      <c r="AS8" s="70">
        <f t="shared" si="6"/>
        <v>2.391428571429266E-3</v>
      </c>
      <c r="AT8" s="70">
        <f t="shared" si="6"/>
        <v>2.391428571429266E-3</v>
      </c>
      <c r="AU8" s="70">
        <f t="shared" si="6"/>
        <v>2.391428571429266E-3</v>
      </c>
      <c r="AV8" s="70">
        <f t="shared" si="6"/>
        <v>2.391428571429266E-3</v>
      </c>
      <c r="AW8" s="70">
        <f t="shared" si="6"/>
        <v>2.391428571429266E-3</v>
      </c>
      <c r="AX8" s="70">
        <f t="shared" si="6"/>
        <v>2.391428571429266E-3</v>
      </c>
      <c r="AY8" s="70">
        <f t="shared" si="6"/>
        <v>2.391428571429266E-3</v>
      </c>
      <c r="AZ8" s="70">
        <f t="shared" si="6"/>
        <v>2.391428571429266E-3</v>
      </c>
      <c r="BA8" s="70">
        <f t="shared" si="6"/>
        <v>2.391428571429266E-3</v>
      </c>
    </row>
    <row r="9" spans="1:53" x14ac:dyDescent="0.25">
      <c r="A9" s="70" t="s">
        <v>44</v>
      </c>
      <c r="B9" s="70">
        <f t="shared" ref="B9:BA9" si="7">B49</f>
        <v>3.5699999999999996E-2</v>
      </c>
      <c r="C9" s="70">
        <f t="shared" si="7"/>
        <v>1.24E-2</v>
      </c>
      <c r="D9" s="70">
        <f t="shared" si="7"/>
        <v>1.29E-2</v>
      </c>
      <c r="E9" s="70">
        <f t="shared" si="7"/>
        <v>1.29E-2</v>
      </c>
      <c r="F9" s="70">
        <f t="shared" si="7"/>
        <v>2.1099999999999997E-2</v>
      </c>
      <c r="G9" s="70">
        <f t="shared" si="7"/>
        <v>7.6E-3</v>
      </c>
      <c r="H9" s="70">
        <f t="shared" si="7"/>
        <v>5.6600000000006645E-3</v>
      </c>
      <c r="I9" s="70">
        <f t="shared" si="7"/>
        <v>2.391428571429266E-3</v>
      </c>
      <c r="J9" s="70">
        <f t="shared" si="7"/>
        <v>2.391428571429266E-3</v>
      </c>
      <c r="K9" s="70">
        <f t="shared" si="7"/>
        <v>2.391428571429266E-3</v>
      </c>
      <c r="L9" s="70">
        <f t="shared" si="7"/>
        <v>2.391428571429266E-3</v>
      </c>
      <c r="M9" s="70">
        <f t="shared" si="7"/>
        <v>2.391428571429266E-3</v>
      </c>
      <c r="N9" s="70">
        <f t="shared" si="7"/>
        <v>2.391428571429266E-3</v>
      </c>
      <c r="O9" s="70">
        <f t="shared" si="7"/>
        <v>2.391428571429266E-3</v>
      </c>
      <c r="P9" s="70">
        <f t="shared" si="7"/>
        <v>2.391428571429266E-3</v>
      </c>
      <c r="Q9" s="70">
        <f t="shared" si="7"/>
        <v>2.391428571429266E-3</v>
      </c>
      <c r="R9" s="70">
        <f t="shared" si="7"/>
        <v>2.391428571429266E-3</v>
      </c>
      <c r="S9" s="70">
        <f t="shared" si="7"/>
        <v>2.391428571429266E-3</v>
      </c>
      <c r="T9" s="70">
        <f t="shared" si="7"/>
        <v>2.391428571429266E-3</v>
      </c>
      <c r="U9" s="70">
        <f t="shared" si="7"/>
        <v>2.391428571429266E-3</v>
      </c>
      <c r="V9" s="70">
        <f t="shared" si="7"/>
        <v>2.391428571429266E-3</v>
      </c>
      <c r="W9" s="70">
        <f t="shared" si="7"/>
        <v>2.391428571429266E-3</v>
      </c>
      <c r="X9" s="70">
        <f t="shared" si="7"/>
        <v>2.391428571429266E-3</v>
      </c>
      <c r="Y9" s="70">
        <f t="shared" si="7"/>
        <v>2.391428571429266E-3</v>
      </c>
      <c r="Z9" s="70">
        <f t="shared" si="7"/>
        <v>2.391428571429266E-3</v>
      </c>
      <c r="AA9" s="70">
        <f t="shared" si="7"/>
        <v>2.391428571429266E-3</v>
      </c>
      <c r="AB9" s="70">
        <f t="shared" si="7"/>
        <v>2.391428571429266E-3</v>
      </c>
      <c r="AC9" s="70">
        <f t="shared" si="7"/>
        <v>2.391428571429266E-3</v>
      </c>
      <c r="AD9" s="70">
        <f t="shared" si="7"/>
        <v>2.391428571429266E-3</v>
      </c>
      <c r="AE9" s="70">
        <f t="shared" si="7"/>
        <v>2.391428571429266E-3</v>
      </c>
      <c r="AF9" s="70">
        <f t="shared" si="7"/>
        <v>2.391428571429266E-3</v>
      </c>
      <c r="AG9" s="70">
        <f t="shared" si="7"/>
        <v>2.391428571429266E-3</v>
      </c>
      <c r="AH9" s="70">
        <f t="shared" si="7"/>
        <v>2.391428571429266E-3</v>
      </c>
      <c r="AI9" s="70">
        <f t="shared" si="7"/>
        <v>2.391428571429266E-3</v>
      </c>
      <c r="AJ9" s="70">
        <f t="shared" si="7"/>
        <v>2.391428571429266E-3</v>
      </c>
      <c r="AK9" s="70">
        <f t="shared" si="7"/>
        <v>2.391428571429266E-3</v>
      </c>
      <c r="AL9" s="70">
        <f t="shared" si="7"/>
        <v>2.391428571429266E-3</v>
      </c>
      <c r="AM9" s="70">
        <f t="shared" si="7"/>
        <v>2.391428571429266E-3</v>
      </c>
      <c r="AN9" s="70">
        <f t="shared" si="7"/>
        <v>2.391428571429266E-3</v>
      </c>
      <c r="AO9" s="70">
        <f t="shared" si="7"/>
        <v>2.391428571429266E-3</v>
      </c>
      <c r="AP9" s="70">
        <f t="shared" si="7"/>
        <v>2.391428571429266E-3</v>
      </c>
      <c r="AQ9" s="70">
        <f t="shared" si="7"/>
        <v>2.391428571429266E-3</v>
      </c>
      <c r="AR9" s="70">
        <f t="shared" si="7"/>
        <v>2.391428571429266E-3</v>
      </c>
      <c r="AS9" s="70">
        <f t="shared" si="7"/>
        <v>2.391428571429266E-3</v>
      </c>
      <c r="AT9" s="70">
        <f t="shared" si="7"/>
        <v>2.391428571429266E-3</v>
      </c>
      <c r="AU9" s="70">
        <f t="shared" si="7"/>
        <v>2.391428571429266E-3</v>
      </c>
      <c r="AV9" s="70">
        <f t="shared" si="7"/>
        <v>2.391428571429266E-3</v>
      </c>
      <c r="AW9" s="70">
        <f t="shared" si="7"/>
        <v>2.391428571429266E-3</v>
      </c>
      <c r="AX9" s="70">
        <f t="shared" si="7"/>
        <v>2.391428571429266E-3</v>
      </c>
      <c r="AY9" s="70">
        <f t="shared" si="7"/>
        <v>2.391428571429266E-3</v>
      </c>
      <c r="AZ9" s="70">
        <f t="shared" si="7"/>
        <v>2.391428571429266E-3</v>
      </c>
      <c r="BA9" s="70">
        <f t="shared" si="7"/>
        <v>2.391428571429266E-3</v>
      </c>
    </row>
    <row r="10" spans="1:53" x14ac:dyDescent="0.25">
      <c r="A10" s="70" t="s">
        <v>46</v>
      </c>
      <c r="B10" s="70">
        <f t="shared" ref="B10:BA10" si="8">B9</f>
        <v>3.5699999999999996E-2</v>
      </c>
      <c r="C10" s="70">
        <f t="shared" si="8"/>
        <v>1.24E-2</v>
      </c>
      <c r="D10" s="70">
        <f t="shared" si="8"/>
        <v>1.29E-2</v>
      </c>
      <c r="E10" s="70">
        <f t="shared" si="8"/>
        <v>1.29E-2</v>
      </c>
      <c r="F10" s="70">
        <f t="shared" si="8"/>
        <v>2.1099999999999997E-2</v>
      </c>
      <c r="G10" s="70">
        <f t="shared" si="8"/>
        <v>7.6E-3</v>
      </c>
      <c r="H10" s="70">
        <f t="shared" si="8"/>
        <v>5.6600000000006645E-3</v>
      </c>
      <c r="I10" s="70">
        <f t="shared" si="8"/>
        <v>2.391428571429266E-3</v>
      </c>
      <c r="J10" s="70">
        <f t="shared" si="8"/>
        <v>2.391428571429266E-3</v>
      </c>
      <c r="K10" s="70">
        <f t="shared" si="8"/>
        <v>2.391428571429266E-3</v>
      </c>
      <c r="L10" s="70">
        <f t="shared" si="8"/>
        <v>2.391428571429266E-3</v>
      </c>
      <c r="M10" s="70">
        <f t="shared" si="8"/>
        <v>2.391428571429266E-3</v>
      </c>
      <c r="N10" s="70">
        <f t="shared" si="8"/>
        <v>2.391428571429266E-3</v>
      </c>
      <c r="O10" s="70">
        <f t="shared" si="8"/>
        <v>2.391428571429266E-3</v>
      </c>
      <c r="P10" s="70">
        <f t="shared" si="8"/>
        <v>2.391428571429266E-3</v>
      </c>
      <c r="Q10" s="70">
        <f t="shared" si="8"/>
        <v>2.391428571429266E-3</v>
      </c>
      <c r="R10" s="70">
        <f t="shared" si="8"/>
        <v>2.391428571429266E-3</v>
      </c>
      <c r="S10" s="70">
        <f t="shared" si="8"/>
        <v>2.391428571429266E-3</v>
      </c>
      <c r="T10" s="70">
        <f t="shared" si="8"/>
        <v>2.391428571429266E-3</v>
      </c>
      <c r="U10" s="70">
        <f t="shared" si="8"/>
        <v>2.391428571429266E-3</v>
      </c>
      <c r="V10" s="70">
        <f t="shared" si="8"/>
        <v>2.391428571429266E-3</v>
      </c>
      <c r="W10" s="70">
        <f t="shared" si="8"/>
        <v>2.391428571429266E-3</v>
      </c>
      <c r="X10" s="70">
        <f t="shared" si="8"/>
        <v>2.391428571429266E-3</v>
      </c>
      <c r="Y10" s="70">
        <f t="shared" si="8"/>
        <v>2.391428571429266E-3</v>
      </c>
      <c r="Z10" s="70">
        <f t="shared" si="8"/>
        <v>2.391428571429266E-3</v>
      </c>
      <c r="AA10" s="70">
        <f t="shared" si="8"/>
        <v>2.391428571429266E-3</v>
      </c>
      <c r="AB10" s="70">
        <f t="shared" si="8"/>
        <v>2.391428571429266E-3</v>
      </c>
      <c r="AC10" s="70">
        <f t="shared" si="8"/>
        <v>2.391428571429266E-3</v>
      </c>
      <c r="AD10" s="70">
        <f t="shared" si="8"/>
        <v>2.391428571429266E-3</v>
      </c>
      <c r="AE10" s="70">
        <f t="shared" si="8"/>
        <v>2.391428571429266E-3</v>
      </c>
      <c r="AF10" s="70">
        <f t="shared" si="8"/>
        <v>2.391428571429266E-3</v>
      </c>
      <c r="AG10" s="70">
        <f t="shared" si="8"/>
        <v>2.391428571429266E-3</v>
      </c>
      <c r="AH10" s="70">
        <f t="shared" si="8"/>
        <v>2.391428571429266E-3</v>
      </c>
      <c r="AI10" s="70">
        <f t="shared" si="8"/>
        <v>2.391428571429266E-3</v>
      </c>
      <c r="AJ10" s="70">
        <f t="shared" si="8"/>
        <v>2.391428571429266E-3</v>
      </c>
      <c r="AK10" s="70">
        <f t="shared" si="8"/>
        <v>2.391428571429266E-3</v>
      </c>
      <c r="AL10" s="70">
        <f t="shared" si="8"/>
        <v>2.391428571429266E-3</v>
      </c>
      <c r="AM10" s="70">
        <f t="shared" si="8"/>
        <v>2.391428571429266E-3</v>
      </c>
      <c r="AN10" s="70">
        <f t="shared" si="8"/>
        <v>2.391428571429266E-3</v>
      </c>
      <c r="AO10" s="70">
        <f t="shared" si="8"/>
        <v>2.391428571429266E-3</v>
      </c>
      <c r="AP10" s="70">
        <f t="shared" si="8"/>
        <v>2.391428571429266E-3</v>
      </c>
      <c r="AQ10" s="70">
        <f t="shared" si="8"/>
        <v>2.391428571429266E-3</v>
      </c>
      <c r="AR10" s="70">
        <f t="shared" si="8"/>
        <v>2.391428571429266E-3</v>
      </c>
      <c r="AS10" s="70">
        <f t="shared" si="8"/>
        <v>2.391428571429266E-3</v>
      </c>
      <c r="AT10" s="70">
        <f t="shared" si="8"/>
        <v>2.391428571429266E-3</v>
      </c>
      <c r="AU10" s="70">
        <f t="shared" si="8"/>
        <v>2.391428571429266E-3</v>
      </c>
      <c r="AV10" s="70">
        <f t="shared" si="8"/>
        <v>2.391428571429266E-3</v>
      </c>
      <c r="AW10" s="70">
        <f t="shared" si="8"/>
        <v>2.391428571429266E-3</v>
      </c>
      <c r="AX10" s="70">
        <f t="shared" si="8"/>
        <v>2.391428571429266E-3</v>
      </c>
      <c r="AY10" s="70">
        <f t="shared" si="8"/>
        <v>2.391428571429266E-3</v>
      </c>
      <c r="AZ10" s="70">
        <f t="shared" si="8"/>
        <v>2.391428571429266E-3</v>
      </c>
      <c r="BA10" s="70">
        <f t="shared" si="8"/>
        <v>2.391428571429266E-3</v>
      </c>
    </row>
    <row r="11" spans="1:53" x14ac:dyDescent="0.25">
      <c r="A11" s="70" t="s">
        <v>48</v>
      </c>
      <c r="B11" s="70">
        <f t="shared" ref="B11:BA11" si="9">B9</f>
        <v>3.5699999999999996E-2</v>
      </c>
      <c r="C11" s="70">
        <f t="shared" si="9"/>
        <v>1.24E-2</v>
      </c>
      <c r="D11" s="70">
        <f t="shared" si="9"/>
        <v>1.29E-2</v>
      </c>
      <c r="E11" s="70">
        <f t="shared" si="9"/>
        <v>1.29E-2</v>
      </c>
      <c r="F11" s="70">
        <f t="shared" si="9"/>
        <v>2.1099999999999997E-2</v>
      </c>
      <c r="G11" s="70">
        <f t="shared" si="9"/>
        <v>7.6E-3</v>
      </c>
      <c r="H11" s="70">
        <f t="shared" si="9"/>
        <v>5.6600000000006645E-3</v>
      </c>
      <c r="I11" s="70">
        <f t="shared" si="9"/>
        <v>2.391428571429266E-3</v>
      </c>
      <c r="J11" s="70">
        <f t="shared" si="9"/>
        <v>2.391428571429266E-3</v>
      </c>
      <c r="K11" s="70">
        <f t="shared" si="9"/>
        <v>2.391428571429266E-3</v>
      </c>
      <c r="L11" s="70">
        <f t="shared" si="9"/>
        <v>2.391428571429266E-3</v>
      </c>
      <c r="M11" s="70">
        <f t="shared" si="9"/>
        <v>2.391428571429266E-3</v>
      </c>
      <c r="N11" s="70">
        <f t="shared" si="9"/>
        <v>2.391428571429266E-3</v>
      </c>
      <c r="O11" s="70">
        <f t="shared" si="9"/>
        <v>2.391428571429266E-3</v>
      </c>
      <c r="P11" s="70">
        <f t="shared" si="9"/>
        <v>2.391428571429266E-3</v>
      </c>
      <c r="Q11" s="70">
        <f t="shared" si="9"/>
        <v>2.391428571429266E-3</v>
      </c>
      <c r="R11" s="70">
        <f t="shared" si="9"/>
        <v>2.391428571429266E-3</v>
      </c>
      <c r="S11" s="70">
        <f t="shared" si="9"/>
        <v>2.391428571429266E-3</v>
      </c>
      <c r="T11" s="70">
        <f t="shared" si="9"/>
        <v>2.391428571429266E-3</v>
      </c>
      <c r="U11" s="70">
        <f t="shared" si="9"/>
        <v>2.391428571429266E-3</v>
      </c>
      <c r="V11" s="70">
        <f t="shared" si="9"/>
        <v>2.391428571429266E-3</v>
      </c>
      <c r="W11" s="70">
        <f t="shared" si="9"/>
        <v>2.391428571429266E-3</v>
      </c>
      <c r="X11" s="70">
        <f t="shared" si="9"/>
        <v>2.391428571429266E-3</v>
      </c>
      <c r="Y11" s="70">
        <f t="shared" si="9"/>
        <v>2.391428571429266E-3</v>
      </c>
      <c r="Z11" s="70">
        <f t="shared" si="9"/>
        <v>2.391428571429266E-3</v>
      </c>
      <c r="AA11" s="70">
        <f t="shared" si="9"/>
        <v>2.391428571429266E-3</v>
      </c>
      <c r="AB11" s="70">
        <f t="shared" si="9"/>
        <v>2.391428571429266E-3</v>
      </c>
      <c r="AC11" s="70">
        <f t="shared" si="9"/>
        <v>2.391428571429266E-3</v>
      </c>
      <c r="AD11" s="70">
        <f t="shared" si="9"/>
        <v>2.391428571429266E-3</v>
      </c>
      <c r="AE11" s="70">
        <f t="shared" si="9"/>
        <v>2.391428571429266E-3</v>
      </c>
      <c r="AF11" s="70">
        <f t="shared" si="9"/>
        <v>2.391428571429266E-3</v>
      </c>
      <c r="AG11" s="70">
        <f t="shared" si="9"/>
        <v>2.391428571429266E-3</v>
      </c>
      <c r="AH11" s="70">
        <f t="shared" si="9"/>
        <v>2.391428571429266E-3</v>
      </c>
      <c r="AI11" s="70">
        <f t="shared" si="9"/>
        <v>2.391428571429266E-3</v>
      </c>
      <c r="AJ11" s="70">
        <f t="shared" si="9"/>
        <v>2.391428571429266E-3</v>
      </c>
      <c r="AK11" s="70">
        <f t="shared" si="9"/>
        <v>2.391428571429266E-3</v>
      </c>
      <c r="AL11" s="70">
        <f t="shared" si="9"/>
        <v>2.391428571429266E-3</v>
      </c>
      <c r="AM11" s="70">
        <f t="shared" si="9"/>
        <v>2.391428571429266E-3</v>
      </c>
      <c r="AN11" s="70">
        <f t="shared" si="9"/>
        <v>2.391428571429266E-3</v>
      </c>
      <c r="AO11" s="70">
        <f t="shared" si="9"/>
        <v>2.391428571429266E-3</v>
      </c>
      <c r="AP11" s="70">
        <f t="shared" si="9"/>
        <v>2.391428571429266E-3</v>
      </c>
      <c r="AQ11" s="70">
        <f t="shared" si="9"/>
        <v>2.391428571429266E-3</v>
      </c>
      <c r="AR11" s="70">
        <f t="shared" si="9"/>
        <v>2.391428571429266E-3</v>
      </c>
      <c r="AS11" s="70">
        <f t="shared" si="9"/>
        <v>2.391428571429266E-3</v>
      </c>
      <c r="AT11" s="70">
        <f t="shared" si="9"/>
        <v>2.391428571429266E-3</v>
      </c>
      <c r="AU11" s="70">
        <f t="shared" si="9"/>
        <v>2.391428571429266E-3</v>
      </c>
      <c r="AV11" s="70">
        <f t="shared" si="9"/>
        <v>2.391428571429266E-3</v>
      </c>
      <c r="AW11" s="70">
        <f t="shared" si="9"/>
        <v>2.391428571429266E-3</v>
      </c>
      <c r="AX11" s="70">
        <f t="shared" si="9"/>
        <v>2.391428571429266E-3</v>
      </c>
      <c r="AY11" s="70">
        <f t="shared" si="9"/>
        <v>2.391428571429266E-3</v>
      </c>
      <c r="AZ11" s="70">
        <f t="shared" si="9"/>
        <v>2.391428571429266E-3</v>
      </c>
      <c r="BA11" s="70">
        <f t="shared" si="9"/>
        <v>2.391428571429266E-3</v>
      </c>
    </row>
    <row r="12" spans="1:53" x14ac:dyDescent="0.25">
      <c r="A12" s="70" t="s">
        <v>50</v>
      </c>
      <c r="B12" s="70">
        <f t="shared" ref="B12:BA12" si="10">B9</f>
        <v>3.5699999999999996E-2</v>
      </c>
      <c r="C12" s="70">
        <f t="shared" si="10"/>
        <v>1.24E-2</v>
      </c>
      <c r="D12" s="70">
        <f t="shared" si="10"/>
        <v>1.29E-2</v>
      </c>
      <c r="E12" s="70">
        <f t="shared" si="10"/>
        <v>1.29E-2</v>
      </c>
      <c r="F12" s="70">
        <f t="shared" si="10"/>
        <v>2.1099999999999997E-2</v>
      </c>
      <c r="G12" s="70">
        <f t="shared" si="10"/>
        <v>7.6E-3</v>
      </c>
      <c r="H12" s="70">
        <f t="shared" si="10"/>
        <v>5.6600000000006645E-3</v>
      </c>
      <c r="I12" s="70">
        <f t="shared" si="10"/>
        <v>2.391428571429266E-3</v>
      </c>
      <c r="J12" s="70">
        <f t="shared" si="10"/>
        <v>2.391428571429266E-3</v>
      </c>
      <c r="K12" s="70">
        <f t="shared" si="10"/>
        <v>2.391428571429266E-3</v>
      </c>
      <c r="L12" s="70">
        <f t="shared" si="10"/>
        <v>2.391428571429266E-3</v>
      </c>
      <c r="M12" s="70">
        <f t="shared" si="10"/>
        <v>2.391428571429266E-3</v>
      </c>
      <c r="N12" s="70">
        <f t="shared" si="10"/>
        <v>2.391428571429266E-3</v>
      </c>
      <c r="O12" s="70">
        <f t="shared" si="10"/>
        <v>2.391428571429266E-3</v>
      </c>
      <c r="P12" s="70">
        <f t="shared" si="10"/>
        <v>2.391428571429266E-3</v>
      </c>
      <c r="Q12" s="70">
        <f t="shared" si="10"/>
        <v>2.391428571429266E-3</v>
      </c>
      <c r="R12" s="70">
        <f t="shared" si="10"/>
        <v>2.391428571429266E-3</v>
      </c>
      <c r="S12" s="70">
        <f t="shared" si="10"/>
        <v>2.391428571429266E-3</v>
      </c>
      <c r="T12" s="70">
        <f t="shared" si="10"/>
        <v>2.391428571429266E-3</v>
      </c>
      <c r="U12" s="70">
        <f t="shared" si="10"/>
        <v>2.391428571429266E-3</v>
      </c>
      <c r="V12" s="70">
        <f t="shared" si="10"/>
        <v>2.391428571429266E-3</v>
      </c>
      <c r="W12" s="70">
        <f t="shared" si="10"/>
        <v>2.391428571429266E-3</v>
      </c>
      <c r="X12" s="70">
        <f t="shared" si="10"/>
        <v>2.391428571429266E-3</v>
      </c>
      <c r="Y12" s="70">
        <f t="shared" si="10"/>
        <v>2.391428571429266E-3</v>
      </c>
      <c r="Z12" s="70">
        <f t="shared" si="10"/>
        <v>2.391428571429266E-3</v>
      </c>
      <c r="AA12" s="70">
        <f t="shared" si="10"/>
        <v>2.391428571429266E-3</v>
      </c>
      <c r="AB12" s="70">
        <f t="shared" si="10"/>
        <v>2.391428571429266E-3</v>
      </c>
      <c r="AC12" s="70">
        <f t="shared" si="10"/>
        <v>2.391428571429266E-3</v>
      </c>
      <c r="AD12" s="70">
        <f t="shared" si="10"/>
        <v>2.391428571429266E-3</v>
      </c>
      <c r="AE12" s="70">
        <f t="shared" si="10"/>
        <v>2.391428571429266E-3</v>
      </c>
      <c r="AF12" s="70">
        <f t="shared" si="10"/>
        <v>2.391428571429266E-3</v>
      </c>
      <c r="AG12" s="70">
        <f t="shared" si="10"/>
        <v>2.391428571429266E-3</v>
      </c>
      <c r="AH12" s="70">
        <f t="shared" si="10"/>
        <v>2.391428571429266E-3</v>
      </c>
      <c r="AI12" s="70">
        <f t="shared" si="10"/>
        <v>2.391428571429266E-3</v>
      </c>
      <c r="AJ12" s="70">
        <f t="shared" si="10"/>
        <v>2.391428571429266E-3</v>
      </c>
      <c r="AK12" s="70">
        <f t="shared" si="10"/>
        <v>2.391428571429266E-3</v>
      </c>
      <c r="AL12" s="70">
        <f t="shared" si="10"/>
        <v>2.391428571429266E-3</v>
      </c>
      <c r="AM12" s="70">
        <f t="shared" si="10"/>
        <v>2.391428571429266E-3</v>
      </c>
      <c r="AN12" s="70">
        <f t="shared" si="10"/>
        <v>2.391428571429266E-3</v>
      </c>
      <c r="AO12" s="70">
        <f t="shared" si="10"/>
        <v>2.391428571429266E-3</v>
      </c>
      <c r="AP12" s="70">
        <f t="shared" si="10"/>
        <v>2.391428571429266E-3</v>
      </c>
      <c r="AQ12" s="70">
        <f t="shared" si="10"/>
        <v>2.391428571429266E-3</v>
      </c>
      <c r="AR12" s="70">
        <f t="shared" si="10"/>
        <v>2.391428571429266E-3</v>
      </c>
      <c r="AS12" s="70">
        <f t="shared" si="10"/>
        <v>2.391428571429266E-3</v>
      </c>
      <c r="AT12" s="70">
        <f t="shared" si="10"/>
        <v>2.391428571429266E-3</v>
      </c>
      <c r="AU12" s="70">
        <f t="shared" si="10"/>
        <v>2.391428571429266E-3</v>
      </c>
      <c r="AV12" s="70">
        <f t="shared" si="10"/>
        <v>2.391428571429266E-3</v>
      </c>
      <c r="AW12" s="70">
        <f t="shared" si="10"/>
        <v>2.391428571429266E-3</v>
      </c>
      <c r="AX12" s="70">
        <f t="shared" si="10"/>
        <v>2.391428571429266E-3</v>
      </c>
      <c r="AY12" s="70">
        <f t="shared" si="10"/>
        <v>2.391428571429266E-3</v>
      </c>
      <c r="AZ12" s="70">
        <f t="shared" si="10"/>
        <v>2.391428571429266E-3</v>
      </c>
      <c r="BA12" s="70">
        <f t="shared" si="10"/>
        <v>2.391428571429266E-3</v>
      </c>
    </row>
    <row r="13" spans="1:53" x14ac:dyDescent="0.25">
      <c r="A13" s="70" t="s">
        <v>52</v>
      </c>
      <c r="B13" s="70">
        <f t="shared" ref="B13:BA13" si="11">B9</f>
        <v>3.5699999999999996E-2</v>
      </c>
      <c r="C13" s="70">
        <f t="shared" si="11"/>
        <v>1.24E-2</v>
      </c>
      <c r="D13" s="70">
        <f t="shared" si="11"/>
        <v>1.29E-2</v>
      </c>
      <c r="E13" s="70">
        <f t="shared" si="11"/>
        <v>1.29E-2</v>
      </c>
      <c r="F13" s="70">
        <f t="shared" si="11"/>
        <v>2.1099999999999997E-2</v>
      </c>
      <c r="G13" s="70">
        <f t="shared" si="11"/>
        <v>7.6E-3</v>
      </c>
      <c r="H13" s="70">
        <f t="shared" si="11"/>
        <v>5.6600000000006645E-3</v>
      </c>
      <c r="I13" s="70">
        <f t="shared" si="11"/>
        <v>2.391428571429266E-3</v>
      </c>
      <c r="J13" s="70">
        <f t="shared" si="11"/>
        <v>2.391428571429266E-3</v>
      </c>
      <c r="K13" s="70">
        <f t="shared" si="11"/>
        <v>2.391428571429266E-3</v>
      </c>
      <c r="L13" s="70">
        <f t="shared" si="11"/>
        <v>2.391428571429266E-3</v>
      </c>
      <c r="M13" s="70">
        <f t="shared" si="11"/>
        <v>2.391428571429266E-3</v>
      </c>
      <c r="N13" s="70">
        <f t="shared" si="11"/>
        <v>2.391428571429266E-3</v>
      </c>
      <c r="O13" s="70">
        <f t="shared" si="11"/>
        <v>2.391428571429266E-3</v>
      </c>
      <c r="P13" s="70">
        <f t="shared" si="11"/>
        <v>2.391428571429266E-3</v>
      </c>
      <c r="Q13" s="70">
        <f t="shared" si="11"/>
        <v>2.391428571429266E-3</v>
      </c>
      <c r="R13" s="70">
        <f t="shared" si="11"/>
        <v>2.391428571429266E-3</v>
      </c>
      <c r="S13" s="70">
        <f t="shared" si="11"/>
        <v>2.391428571429266E-3</v>
      </c>
      <c r="T13" s="70">
        <f t="shared" si="11"/>
        <v>2.391428571429266E-3</v>
      </c>
      <c r="U13" s="70">
        <f t="shared" si="11"/>
        <v>2.391428571429266E-3</v>
      </c>
      <c r="V13" s="70">
        <f t="shared" si="11"/>
        <v>2.391428571429266E-3</v>
      </c>
      <c r="W13" s="70">
        <f t="shared" si="11"/>
        <v>2.391428571429266E-3</v>
      </c>
      <c r="X13" s="70">
        <f t="shared" si="11"/>
        <v>2.391428571429266E-3</v>
      </c>
      <c r="Y13" s="70">
        <f t="shared" si="11"/>
        <v>2.391428571429266E-3</v>
      </c>
      <c r="Z13" s="70">
        <f t="shared" si="11"/>
        <v>2.391428571429266E-3</v>
      </c>
      <c r="AA13" s="70">
        <f t="shared" si="11"/>
        <v>2.391428571429266E-3</v>
      </c>
      <c r="AB13" s="70">
        <f t="shared" si="11"/>
        <v>2.391428571429266E-3</v>
      </c>
      <c r="AC13" s="70">
        <f t="shared" si="11"/>
        <v>2.391428571429266E-3</v>
      </c>
      <c r="AD13" s="70">
        <f t="shared" si="11"/>
        <v>2.391428571429266E-3</v>
      </c>
      <c r="AE13" s="70">
        <f t="shared" si="11"/>
        <v>2.391428571429266E-3</v>
      </c>
      <c r="AF13" s="70">
        <f t="shared" si="11"/>
        <v>2.391428571429266E-3</v>
      </c>
      <c r="AG13" s="70">
        <f t="shared" si="11"/>
        <v>2.391428571429266E-3</v>
      </c>
      <c r="AH13" s="70">
        <f t="shared" si="11"/>
        <v>2.391428571429266E-3</v>
      </c>
      <c r="AI13" s="70">
        <f t="shared" si="11"/>
        <v>2.391428571429266E-3</v>
      </c>
      <c r="AJ13" s="70">
        <f t="shared" si="11"/>
        <v>2.391428571429266E-3</v>
      </c>
      <c r="AK13" s="70">
        <f t="shared" si="11"/>
        <v>2.391428571429266E-3</v>
      </c>
      <c r="AL13" s="70">
        <f t="shared" si="11"/>
        <v>2.391428571429266E-3</v>
      </c>
      <c r="AM13" s="70">
        <f t="shared" si="11"/>
        <v>2.391428571429266E-3</v>
      </c>
      <c r="AN13" s="70">
        <f t="shared" si="11"/>
        <v>2.391428571429266E-3</v>
      </c>
      <c r="AO13" s="70">
        <f t="shared" si="11"/>
        <v>2.391428571429266E-3</v>
      </c>
      <c r="AP13" s="70">
        <f t="shared" si="11"/>
        <v>2.391428571429266E-3</v>
      </c>
      <c r="AQ13" s="70">
        <f t="shared" si="11"/>
        <v>2.391428571429266E-3</v>
      </c>
      <c r="AR13" s="70">
        <f t="shared" si="11"/>
        <v>2.391428571429266E-3</v>
      </c>
      <c r="AS13" s="70">
        <f t="shared" si="11"/>
        <v>2.391428571429266E-3</v>
      </c>
      <c r="AT13" s="70">
        <f t="shared" si="11"/>
        <v>2.391428571429266E-3</v>
      </c>
      <c r="AU13" s="70">
        <f t="shared" si="11"/>
        <v>2.391428571429266E-3</v>
      </c>
      <c r="AV13" s="70">
        <f t="shared" si="11"/>
        <v>2.391428571429266E-3</v>
      </c>
      <c r="AW13" s="70">
        <f t="shared" si="11"/>
        <v>2.391428571429266E-3</v>
      </c>
      <c r="AX13" s="70">
        <f t="shared" si="11"/>
        <v>2.391428571429266E-3</v>
      </c>
      <c r="AY13" s="70">
        <f t="shared" si="11"/>
        <v>2.391428571429266E-3</v>
      </c>
      <c r="AZ13" s="70">
        <f t="shared" si="11"/>
        <v>2.391428571429266E-3</v>
      </c>
      <c r="BA13" s="70">
        <f t="shared" si="11"/>
        <v>2.391428571429266E-3</v>
      </c>
    </row>
    <row r="14" spans="1:53" x14ac:dyDescent="0.25">
      <c r="A14" s="70" t="s">
        <v>54</v>
      </c>
      <c r="B14" s="70">
        <f t="shared" ref="B14:BA14" si="12">B9</f>
        <v>3.5699999999999996E-2</v>
      </c>
      <c r="C14" s="70">
        <f t="shared" si="12"/>
        <v>1.24E-2</v>
      </c>
      <c r="D14" s="70">
        <f t="shared" si="12"/>
        <v>1.29E-2</v>
      </c>
      <c r="E14" s="70">
        <f t="shared" si="12"/>
        <v>1.29E-2</v>
      </c>
      <c r="F14" s="70">
        <f t="shared" si="12"/>
        <v>2.1099999999999997E-2</v>
      </c>
      <c r="G14" s="70">
        <f t="shared" si="12"/>
        <v>7.6E-3</v>
      </c>
      <c r="H14" s="70">
        <f t="shared" si="12"/>
        <v>5.6600000000006645E-3</v>
      </c>
      <c r="I14" s="70">
        <f t="shared" si="12"/>
        <v>2.391428571429266E-3</v>
      </c>
      <c r="J14" s="70">
        <f t="shared" si="12"/>
        <v>2.391428571429266E-3</v>
      </c>
      <c r="K14" s="70">
        <f t="shared" si="12"/>
        <v>2.391428571429266E-3</v>
      </c>
      <c r="L14" s="70">
        <f t="shared" si="12"/>
        <v>2.391428571429266E-3</v>
      </c>
      <c r="M14" s="70">
        <f t="shared" si="12"/>
        <v>2.391428571429266E-3</v>
      </c>
      <c r="N14" s="70">
        <f t="shared" si="12"/>
        <v>2.391428571429266E-3</v>
      </c>
      <c r="O14" s="70">
        <f t="shared" si="12"/>
        <v>2.391428571429266E-3</v>
      </c>
      <c r="P14" s="70">
        <f t="shared" si="12"/>
        <v>2.391428571429266E-3</v>
      </c>
      <c r="Q14" s="70">
        <f t="shared" si="12"/>
        <v>2.391428571429266E-3</v>
      </c>
      <c r="R14" s="70">
        <f t="shared" si="12"/>
        <v>2.391428571429266E-3</v>
      </c>
      <c r="S14" s="70">
        <f t="shared" si="12"/>
        <v>2.391428571429266E-3</v>
      </c>
      <c r="T14" s="70">
        <f t="shared" si="12"/>
        <v>2.391428571429266E-3</v>
      </c>
      <c r="U14" s="70">
        <f t="shared" si="12"/>
        <v>2.391428571429266E-3</v>
      </c>
      <c r="V14" s="70">
        <f t="shared" si="12"/>
        <v>2.391428571429266E-3</v>
      </c>
      <c r="W14" s="70">
        <f t="shared" si="12"/>
        <v>2.391428571429266E-3</v>
      </c>
      <c r="X14" s="70">
        <f t="shared" si="12"/>
        <v>2.391428571429266E-3</v>
      </c>
      <c r="Y14" s="70">
        <f t="shared" si="12"/>
        <v>2.391428571429266E-3</v>
      </c>
      <c r="Z14" s="70">
        <f t="shared" si="12"/>
        <v>2.391428571429266E-3</v>
      </c>
      <c r="AA14" s="70">
        <f t="shared" si="12"/>
        <v>2.391428571429266E-3</v>
      </c>
      <c r="AB14" s="70">
        <f t="shared" si="12"/>
        <v>2.391428571429266E-3</v>
      </c>
      <c r="AC14" s="70">
        <f t="shared" si="12"/>
        <v>2.391428571429266E-3</v>
      </c>
      <c r="AD14" s="70">
        <f t="shared" si="12"/>
        <v>2.391428571429266E-3</v>
      </c>
      <c r="AE14" s="70">
        <f t="shared" si="12"/>
        <v>2.391428571429266E-3</v>
      </c>
      <c r="AF14" s="70">
        <f t="shared" si="12"/>
        <v>2.391428571429266E-3</v>
      </c>
      <c r="AG14" s="70">
        <f t="shared" si="12"/>
        <v>2.391428571429266E-3</v>
      </c>
      <c r="AH14" s="70">
        <f t="shared" si="12"/>
        <v>2.391428571429266E-3</v>
      </c>
      <c r="AI14" s="70">
        <f t="shared" si="12"/>
        <v>2.391428571429266E-3</v>
      </c>
      <c r="AJ14" s="70">
        <f t="shared" si="12"/>
        <v>2.391428571429266E-3</v>
      </c>
      <c r="AK14" s="70">
        <f t="shared" si="12"/>
        <v>2.391428571429266E-3</v>
      </c>
      <c r="AL14" s="70">
        <f t="shared" si="12"/>
        <v>2.391428571429266E-3</v>
      </c>
      <c r="AM14" s="70">
        <f t="shared" si="12"/>
        <v>2.391428571429266E-3</v>
      </c>
      <c r="AN14" s="70">
        <f t="shared" si="12"/>
        <v>2.391428571429266E-3</v>
      </c>
      <c r="AO14" s="70">
        <f t="shared" si="12"/>
        <v>2.391428571429266E-3</v>
      </c>
      <c r="AP14" s="70">
        <f t="shared" si="12"/>
        <v>2.391428571429266E-3</v>
      </c>
      <c r="AQ14" s="70">
        <f t="shared" si="12"/>
        <v>2.391428571429266E-3</v>
      </c>
      <c r="AR14" s="70">
        <f t="shared" si="12"/>
        <v>2.391428571429266E-3</v>
      </c>
      <c r="AS14" s="70">
        <f t="shared" si="12"/>
        <v>2.391428571429266E-3</v>
      </c>
      <c r="AT14" s="70">
        <f t="shared" si="12"/>
        <v>2.391428571429266E-3</v>
      </c>
      <c r="AU14" s="70">
        <f t="shared" si="12"/>
        <v>2.391428571429266E-3</v>
      </c>
      <c r="AV14" s="70">
        <f t="shared" si="12"/>
        <v>2.391428571429266E-3</v>
      </c>
      <c r="AW14" s="70">
        <f t="shared" si="12"/>
        <v>2.391428571429266E-3</v>
      </c>
      <c r="AX14" s="70">
        <f t="shared" si="12"/>
        <v>2.391428571429266E-3</v>
      </c>
      <c r="AY14" s="70">
        <f t="shared" si="12"/>
        <v>2.391428571429266E-3</v>
      </c>
      <c r="AZ14" s="70">
        <f t="shared" si="12"/>
        <v>2.391428571429266E-3</v>
      </c>
      <c r="BA14" s="70">
        <f t="shared" si="12"/>
        <v>2.391428571429266E-3</v>
      </c>
    </row>
    <row r="15" spans="1:53" x14ac:dyDescent="0.25">
      <c r="A15" s="70" t="s">
        <v>133</v>
      </c>
      <c r="B15" s="70">
        <f t="shared" ref="B15:BA15" si="13">B9</f>
        <v>3.5699999999999996E-2</v>
      </c>
      <c r="C15" s="70">
        <f t="shared" si="13"/>
        <v>1.24E-2</v>
      </c>
      <c r="D15" s="70">
        <f t="shared" si="13"/>
        <v>1.29E-2</v>
      </c>
      <c r="E15" s="70">
        <f t="shared" si="13"/>
        <v>1.29E-2</v>
      </c>
      <c r="F15" s="70">
        <f t="shared" si="13"/>
        <v>2.1099999999999997E-2</v>
      </c>
      <c r="G15" s="70">
        <f t="shared" si="13"/>
        <v>7.6E-3</v>
      </c>
      <c r="H15" s="70">
        <f t="shared" si="13"/>
        <v>5.6600000000006645E-3</v>
      </c>
      <c r="I15" s="70">
        <f t="shared" si="13"/>
        <v>2.391428571429266E-3</v>
      </c>
      <c r="J15" s="70">
        <f t="shared" si="13"/>
        <v>2.391428571429266E-3</v>
      </c>
      <c r="K15" s="70">
        <f t="shared" si="13"/>
        <v>2.391428571429266E-3</v>
      </c>
      <c r="L15" s="70">
        <f t="shared" si="13"/>
        <v>2.391428571429266E-3</v>
      </c>
      <c r="M15" s="70">
        <f t="shared" si="13"/>
        <v>2.391428571429266E-3</v>
      </c>
      <c r="N15" s="70">
        <f t="shared" si="13"/>
        <v>2.391428571429266E-3</v>
      </c>
      <c r="O15" s="70">
        <f t="shared" si="13"/>
        <v>2.391428571429266E-3</v>
      </c>
      <c r="P15" s="70">
        <f t="shared" si="13"/>
        <v>2.391428571429266E-3</v>
      </c>
      <c r="Q15" s="70">
        <f t="shared" si="13"/>
        <v>2.391428571429266E-3</v>
      </c>
      <c r="R15" s="70">
        <f t="shared" si="13"/>
        <v>2.391428571429266E-3</v>
      </c>
      <c r="S15" s="70">
        <f t="shared" si="13"/>
        <v>2.391428571429266E-3</v>
      </c>
      <c r="T15" s="70">
        <f t="shared" si="13"/>
        <v>2.391428571429266E-3</v>
      </c>
      <c r="U15" s="70">
        <f t="shared" si="13"/>
        <v>2.391428571429266E-3</v>
      </c>
      <c r="V15" s="70">
        <f t="shared" si="13"/>
        <v>2.391428571429266E-3</v>
      </c>
      <c r="W15" s="70">
        <f t="shared" si="13"/>
        <v>2.391428571429266E-3</v>
      </c>
      <c r="X15" s="70">
        <f t="shared" si="13"/>
        <v>2.391428571429266E-3</v>
      </c>
      <c r="Y15" s="70">
        <f t="shared" si="13"/>
        <v>2.391428571429266E-3</v>
      </c>
      <c r="Z15" s="70">
        <f t="shared" si="13"/>
        <v>2.391428571429266E-3</v>
      </c>
      <c r="AA15" s="70">
        <f t="shared" si="13"/>
        <v>2.391428571429266E-3</v>
      </c>
      <c r="AB15" s="70">
        <f t="shared" si="13"/>
        <v>2.391428571429266E-3</v>
      </c>
      <c r="AC15" s="70">
        <f t="shared" si="13"/>
        <v>2.391428571429266E-3</v>
      </c>
      <c r="AD15" s="70">
        <f t="shared" si="13"/>
        <v>2.391428571429266E-3</v>
      </c>
      <c r="AE15" s="70">
        <f t="shared" si="13"/>
        <v>2.391428571429266E-3</v>
      </c>
      <c r="AF15" s="70">
        <f t="shared" si="13"/>
        <v>2.391428571429266E-3</v>
      </c>
      <c r="AG15" s="70">
        <f t="shared" si="13"/>
        <v>2.391428571429266E-3</v>
      </c>
      <c r="AH15" s="70">
        <f t="shared" si="13"/>
        <v>2.391428571429266E-3</v>
      </c>
      <c r="AI15" s="70">
        <f t="shared" si="13"/>
        <v>2.391428571429266E-3</v>
      </c>
      <c r="AJ15" s="70">
        <f t="shared" si="13"/>
        <v>2.391428571429266E-3</v>
      </c>
      <c r="AK15" s="70">
        <f t="shared" si="13"/>
        <v>2.391428571429266E-3</v>
      </c>
      <c r="AL15" s="70">
        <f t="shared" si="13"/>
        <v>2.391428571429266E-3</v>
      </c>
      <c r="AM15" s="70">
        <f t="shared" si="13"/>
        <v>2.391428571429266E-3</v>
      </c>
      <c r="AN15" s="70">
        <f t="shared" si="13"/>
        <v>2.391428571429266E-3</v>
      </c>
      <c r="AO15" s="70">
        <f t="shared" si="13"/>
        <v>2.391428571429266E-3</v>
      </c>
      <c r="AP15" s="70">
        <f t="shared" si="13"/>
        <v>2.391428571429266E-3</v>
      </c>
      <c r="AQ15" s="70">
        <f t="shared" si="13"/>
        <v>2.391428571429266E-3</v>
      </c>
      <c r="AR15" s="70">
        <f t="shared" si="13"/>
        <v>2.391428571429266E-3</v>
      </c>
      <c r="AS15" s="70">
        <f t="shared" si="13"/>
        <v>2.391428571429266E-3</v>
      </c>
      <c r="AT15" s="70">
        <f t="shared" si="13"/>
        <v>2.391428571429266E-3</v>
      </c>
      <c r="AU15" s="70">
        <f t="shared" si="13"/>
        <v>2.391428571429266E-3</v>
      </c>
      <c r="AV15" s="70">
        <f t="shared" si="13"/>
        <v>2.391428571429266E-3</v>
      </c>
      <c r="AW15" s="70">
        <f t="shared" si="13"/>
        <v>2.391428571429266E-3</v>
      </c>
      <c r="AX15" s="70">
        <f t="shared" si="13"/>
        <v>2.391428571429266E-3</v>
      </c>
      <c r="AY15" s="70">
        <f t="shared" si="13"/>
        <v>2.391428571429266E-3</v>
      </c>
      <c r="AZ15" s="70">
        <f t="shared" si="13"/>
        <v>2.391428571429266E-3</v>
      </c>
      <c r="BA15" s="70">
        <f t="shared" si="13"/>
        <v>2.391428571429266E-3</v>
      </c>
    </row>
    <row r="16" spans="1:53" x14ac:dyDescent="0.25">
      <c r="A16" s="70" t="s">
        <v>132</v>
      </c>
      <c r="B16" s="70">
        <f t="shared" ref="B16:BA16" si="14">B9</f>
        <v>3.5699999999999996E-2</v>
      </c>
      <c r="C16" s="70">
        <f t="shared" si="14"/>
        <v>1.24E-2</v>
      </c>
      <c r="D16" s="70">
        <f t="shared" si="14"/>
        <v>1.29E-2</v>
      </c>
      <c r="E16" s="70">
        <f t="shared" si="14"/>
        <v>1.29E-2</v>
      </c>
      <c r="F16" s="70">
        <f t="shared" si="14"/>
        <v>2.1099999999999997E-2</v>
      </c>
      <c r="G16" s="70">
        <f t="shared" si="14"/>
        <v>7.6E-3</v>
      </c>
      <c r="H16" s="70">
        <f t="shared" si="14"/>
        <v>5.6600000000006645E-3</v>
      </c>
      <c r="I16" s="70">
        <f t="shared" si="14"/>
        <v>2.391428571429266E-3</v>
      </c>
      <c r="J16" s="70">
        <f t="shared" si="14"/>
        <v>2.391428571429266E-3</v>
      </c>
      <c r="K16" s="70">
        <f t="shared" si="14"/>
        <v>2.391428571429266E-3</v>
      </c>
      <c r="L16" s="70">
        <f t="shared" si="14"/>
        <v>2.391428571429266E-3</v>
      </c>
      <c r="M16" s="70">
        <f t="shared" si="14"/>
        <v>2.391428571429266E-3</v>
      </c>
      <c r="N16" s="70">
        <f t="shared" si="14"/>
        <v>2.391428571429266E-3</v>
      </c>
      <c r="O16" s="70">
        <f t="shared" si="14"/>
        <v>2.391428571429266E-3</v>
      </c>
      <c r="P16" s="70">
        <f t="shared" si="14"/>
        <v>2.391428571429266E-3</v>
      </c>
      <c r="Q16" s="70">
        <f t="shared" si="14"/>
        <v>2.391428571429266E-3</v>
      </c>
      <c r="R16" s="70">
        <f t="shared" si="14"/>
        <v>2.391428571429266E-3</v>
      </c>
      <c r="S16" s="70">
        <f t="shared" si="14"/>
        <v>2.391428571429266E-3</v>
      </c>
      <c r="T16" s="70">
        <f t="shared" si="14"/>
        <v>2.391428571429266E-3</v>
      </c>
      <c r="U16" s="70">
        <f t="shared" si="14"/>
        <v>2.391428571429266E-3</v>
      </c>
      <c r="V16" s="70">
        <f t="shared" si="14"/>
        <v>2.391428571429266E-3</v>
      </c>
      <c r="W16" s="70">
        <f t="shared" si="14"/>
        <v>2.391428571429266E-3</v>
      </c>
      <c r="X16" s="70">
        <f t="shared" si="14"/>
        <v>2.391428571429266E-3</v>
      </c>
      <c r="Y16" s="70">
        <f t="shared" si="14"/>
        <v>2.391428571429266E-3</v>
      </c>
      <c r="Z16" s="70">
        <f t="shared" si="14"/>
        <v>2.391428571429266E-3</v>
      </c>
      <c r="AA16" s="70">
        <f t="shared" si="14"/>
        <v>2.391428571429266E-3</v>
      </c>
      <c r="AB16" s="70">
        <f t="shared" si="14"/>
        <v>2.391428571429266E-3</v>
      </c>
      <c r="AC16" s="70">
        <f t="shared" si="14"/>
        <v>2.391428571429266E-3</v>
      </c>
      <c r="AD16" s="70">
        <f t="shared" si="14"/>
        <v>2.391428571429266E-3</v>
      </c>
      <c r="AE16" s="70">
        <f t="shared" si="14"/>
        <v>2.391428571429266E-3</v>
      </c>
      <c r="AF16" s="70">
        <f t="shared" si="14"/>
        <v>2.391428571429266E-3</v>
      </c>
      <c r="AG16" s="70">
        <f t="shared" si="14"/>
        <v>2.391428571429266E-3</v>
      </c>
      <c r="AH16" s="70">
        <f t="shared" si="14"/>
        <v>2.391428571429266E-3</v>
      </c>
      <c r="AI16" s="70">
        <f t="shared" si="14"/>
        <v>2.391428571429266E-3</v>
      </c>
      <c r="AJ16" s="70">
        <f t="shared" si="14"/>
        <v>2.391428571429266E-3</v>
      </c>
      <c r="AK16" s="70">
        <f t="shared" si="14"/>
        <v>2.391428571429266E-3</v>
      </c>
      <c r="AL16" s="70">
        <f t="shared" si="14"/>
        <v>2.391428571429266E-3</v>
      </c>
      <c r="AM16" s="70">
        <f t="shared" si="14"/>
        <v>2.391428571429266E-3</v>
      </c>
      <c r="AN16" s="70">
        <f t="shared" si="14"/>
        <v>2.391428571429266E-3</v>
      </c>
      <c r="AO16" s="70">
        <f t="shared" si="14"/>
        <v>2.391428571429266E-3</v>
      </c>
      <c r="AP16" s="70">
        <f t="shared" si="14"/>
        <v>2.391428571429266E-3</v>
      </c>
      <c r="AQ16" s="70">
        <f t="shared" si="14"/>
        <v>2.391428571429266E-3</v>
      </c>
      <c r="AR16" s="70">
        <f t="shared" si="14"/>
        <v>2.391428571429266E-3</v>
      </c>
      <c r="AS16" s="70">
        <f t="shared" si="14"/>
        <v>2.391428571429266E-3</v>
      </c>
      <c r="AT16" s="70">
        <f t="shared" si="14"/>
        <v>2.391428571429266E-3</v>
      </c>
      <c r="AU16" s="70">
        <f t="shared" si="14"/>
        <v>2.391428571429266E-3</v>
      </c>
      <c r="AV16" s="70">
        <f t="shared" si="14"/>
        <v>2.391428571429266E-3</v>
      </c>
      <c r="AW16" s="70">
        <f t="shared" si="14"/>
        <v>2.391428571429266E-3</v>
      </c>
      <c r="AX16" s="70">
        <f t="shared" si="14"/>
        <v>2.391428571429266E-3</v>
      </c>
      <c r="AY16" s="70">
        <f t="shared" si="14"/>
        <v>2.391428571429266E-3</v>
      </c>
      <c r="AZ16" s="70">
        <f t="shared" si="14"/>
        <v>2.391428571429266E-3</v>
      </c>
      <c r="BA16" s="70">
        <f t="shared" si="14"/>
        <v>2.391428571429266E-3</v>
      </c>
    </row>
    <row r="17" spans="1:53" x14ac:dyDescent="0.25">
      <c r="A17" s="70" t="s">
        <v>142</v>
      </c>
      <c r="B17" s="70">
        <f t="shared" ref="B17:BA17" si="15">B9</f>
        <v>3.5699999999999996E-2</v>
      </c>
      <c r="C17" s="70">
        <f t="shared" si="15"/>
        <v>1.24E-2</v>
      </c>
      <c r="D17" s="70">
        <f t="shared" si="15"/>
        <v>1.29E-2</v>
      </c>
      <c r="E17" s="70">
        <f t="shared" si="15"/>
        <v>1.29E-2</v>
      </c>
      <c r="F17" s="70">
        <f t="shared" si="15"/>
        <v>2.1099999999999997E-2</v>
      </c>
      <c r="G17" s="70">
        <f t="shared" si="15"/>
        <v>7.6E-3</v>
      </c>
      <c r="H17" s="70">
        <f t="shared" si="15"/>
        <v>5.6600000000006645E-3</v>
      </c>
      <c r="I17" s="70">
        <f t="shared" si="15"/>
        <v>2.391428571429266E-3</v>
      </c>
      <c r="J17" s="70">
        <f t="shared" si="15"/>
        <v>2.391428571429266E-3</v>
      </c>
      <c r="K17" s="70">
        <f t="shared" si="15"/>
        <v>2.391428571429266E-3</v>
      </c>
      <c r="L17" s="70">
        <f t="shared" si="15"/>
        <v>2.391428571429266E-3</v>
      </c>
      <c r="M17" s="70">
        <f t="shared" si="15"/>
        <v>2.391428571429266E-3</v>
      </c>
      <c r="N17" s="70">
        <f t="shared" si="15"/>
        <v>2.391428571429266E-3</v>
      </c>
      <c r="O17" s="70">
        <f t="shared" si="15"/>
        <v>2.391428571429266E-3</v>
      </c>
      <c r="P17" s="70">
        <f t="shared" si="15"/>
        <v>2.391428571429266E-3</v>
      </c>
      <c r="Q17" s="70">
        <f t="shared" si="15"/>
        <v>2.391428571429266E-3</v>
      </c>
      <c r="R17" s="70">
        <f t="shared" si="15"/>
        <v>2.391428571429266E-3</v>
      </c>
      <c r="S17" s="70">
        <f t="shared" si="15"/>
        <v>2.391428571429266E-3</v>
      </c>
      <c r="T17" s="70">
        <f t="shared" si="15"/>
        <v>2.391428571429266E-3</v>
      </c>
      <c r="U17" s="70">
        <f t="shared" si="15"/>
        <v>2.391428571429266E-3</v>
      </c>
      <c r="V17" s="70">
        <f t="shared" si="15"/>
        <v>2.391428571429266E-3</v>
      </c>
      <c r="W17" s="70">
        <f t="shared" si="15"/>
        <v>2.391428571429266E-3</v>
      </c>
      <c r="X17" s="70">
        <f t="shared" si="15"/>
        <v>2.391428571429266E-3</v>
      </c>
      <c r="Y17" s="70">
        <f t="shared" si="15"/>
        <v>2.391428571429266E-3</v>
      </c>
      <c r="Z17" s="70">
        <f t="shared" si="15"/>
        <v>2.391428571429266E-3</v>
      </c>
      <c r="AA17" s="70">
        <f t="shared" si="15"/>
        <v>2.391428571429266E-3</v>
      </c>
      <c r="AB17" s="70">
        <f t="shared" si="15"/>
        <v>2.391428571429266E-3</v>
      </c>
      <c r="AC17" s="70">
        <f t="shared" si="15"/>
        <v>2.391428571429266E-3</v>
      </c>
      <c r="AD17" s="70">
        <f t="shared" si="15"/>
        <v>2.391428571429266E-3</v>
      </c>
      <c r="AE17" s="70">
        <f t="shared" si="15"/>
        <v>2.391428571429266E-3</v>
      </c>
      <c r="AF17" s="70">
        <f t="shared" si="15"/>
        <v>2.391428571429266E-3</v>
      </c>
      <c r="AG17" s="70">
        <f t="shared" si="15"/>
        <v>2.391428571429266E-3</v>
      </c>
      <c r="AH17" s="70">
        <f t="shared" si="15"/>
        <v>2.391428571429266E-3</v>
      </c>
      <c r="AI17" s="70">
        <f t="shared" si="15"/>
        <v>2.391428571429266E-3</v>
      </c>
      <c r="AJ17" s="70">
        <f t="shared" si="15"/>
        <v>2.391428571429266E-3</v>
      </c>
      <c r="AK17" s="70">
        <f t="shared" si="15"/>
        <v>2.391428571429266E-3</v>
      </c>
      <c r="AL17" s="70">
        <f t="shared" si="15"/>
        <v>2.391428571429266E-3</v>
      </c>
      <c r="AM17" s="70">
        <f t="shared" si="15"/>
        <v>2.391428571429266E-3</v>
      </c>
      <c r="AN17" s="70">
        <f t="shared" si="15"/>
        <v>2.391428571429266E-3</v>
      </c>
      <c r="AO17" s="70">
        <f t="shared" si="15"/>
        <v>2.391428571429266E-3</v>
      </c>
      <c r="AP17" s="70">
        <f t="shared" si="15"/>
        <v>2.391428571429266E-3</v>
      </c>
      <c r="AQ17" s="70">
        <f t="shared" si="15"/>
        <v>2.391428571429266E-3</v>
      </c>
      <c r="AR17" s="70">
        <f t="shared" si="15"/>
        <v>2.391428571429266E-3</v>
      </c>
      <c r="AS17" s="70">
        <f t="shared" si="15"/>
        <v>2.391428571429266E-3</v>
      </c>
      <c r="AT17" s="70">
        <f t="shared" si="15"/>
        <v>2.391428571429266E-3</v>
      </c>
      <c r="AU17" s="70">
        <f t="shared" si="15"/>
        <v>2.391428571429266E-3</v>
      </c>
      <c r="AV17" s="70">
        <f t="shared" si="15"/>
        <v>2.391428571429266E-3</v>
      </c>
      <c r="AW17" s="70">
        <f t="shared" si="15"/>
        <v>2.391428571429266E-3</v>
      </c>
      <c r="AX17" s="70">
        <f t="shared" si="15"/>
        <v>2.391428571429266E-3</v>
      </c>
      <c r="AY17" s="70">
        <f t="shared" si="15"/>
        <v>2.391428571429266E-3</v>
      </c>
      <c r="AZ17" s="70">
        <f t="shared" si="15"/>
        <v>2.391428571429266E-3</v>
      </c>
      <c r="BA17" s="70">
        <f t="shared" si="15"/>
        <v>2.391428571429266E-3</v>
      </c>
    </row>
    <row r="18" spans="1:53" x14ac:dyDescent="0.25">
      <c r="A18" s="70" t="s">
        <v>152</v>
      </c>
      <c r="B18" s="70">
        <f t="shared" ref="B18:BA18" si="16">B9</f>
        <v>3.5699999999999996E-2</v>
      </c>
      <c r="C18" s="70">
        <f t="shared" si="16"/>
        <v>1.24E-2</v>
      </c>
      <c r="D18" s="70">
        <f t="shared" si="16"/>
        <v>1.29E-2</v>
      </c>
      <c r="E18" s="70">
        <f t="shared" si="16"/>
        <v>1.29E-2</v>
      </c>
      <c r="F18" s="70">
        <f t="shared" si="16"/>
        <v>2.1099999999999997E-2</v>
      </c>
      <c r="G18" s="70">
        <f t="shared" si="16"/>
        <v>7.6E-3</v>
      </c>
      <c r="H18" s="70">
        <f t="shared" si="16"/>
        <v>5.6600000000006645E-3</v>
      </c>
      <c r="I18" s="70">
        <f t="shared" si="16"/>
        <v>2.391428571429266E-3</v>
      </c>
      <c r="J18" s="70">
        <f t="shared" si="16"/>
        <v>2.391428571429266E-3</v>
      </c>
      <c r="K18" s="70">
        <f t="shared" si="16"/>
        <v>2.391428571429266E-3</v>
      </c>
      <c r="L18" s="70">
        <f t="shared" si="16"/>
        <v>2.391428571429266E-3</v>
      </c>
      <c r="M18" s="70">
        <f t="shared" si="16"/>
        <v>2.391428571429266E-3</v>
      </c>
      <c r="N18" s="70">
        <f t="shared" si="16"/>
        <v>2.391428571429266E-3</v>
      </c>
      <c r="O18" s="70">
        <f t="shared" si="16"/>
        <v>2.391428571429266E-3</v>
      </c>
      <c r="P18" s="70">
        <f t="shared" si="16"/>
        <v>2.391428571429266E-3</v>
      </c>
      <c r="Q18" s="70">
        <f t="shared" si="16"/>
        <v>2.391428571429266E-3</v>
      </c>
      <c r="R18" s="70">
        <f t="shared" si="16"/>
        <v>2.391428571429266E-3</v>
      </c>
      <c r="S18" s="70">
        <f t="shared" si="16"/>
        <v>2.391428571429266E-3</v>
      </c>
      <c r="T18" s="70">
        <f t="shared" si="16"/>
        <v>2.391428571429266E-3</v>
      </c>
      <c r="U18" s="70">
        <f t="shared" si="16"/>
        <v>2.391428571429266E-3</v>
      </c>
      <c r="V18" s="70">
        <f t="shared" si="16"/>
        <v>2.391428571429266E-3</v>
      </c>
      <c r="W18" s="70">
        <f t="shared" si="16"/>
        <v>2.391428571429266E-3</v>
      </c>
      <c r="X18" s="70">
        <f t="shared" si="16"/>
        <v>2.391428571429266E-3</v>
      </c>
      <c r="Y18" s="70">
        <f t="shared" si="16"/>
        <v>2.391428571429266E-3</v>
      </c>
      <c r="Z18" s="70">
        <f t="shared" si="16"/>
        <v>2.391428571429266E-3</v>
      </c>
      <c r="AA18" s="70">
        <f t="shared" si="16"/>
        <v>2.391428571429266E-3</v>
      </c>
      <c r="AB18" s="70">
        <f t="shared" si="16"/>
        <v>2.391428571429266E-3</v>
      </c>
      <c r="AC18" s="70">
        <f t="shared" si="16"/>
        <v>2.391428571429266E-3</v>
      </c>
      <c r="AD18" s="70">
        <f t="shared" si="16"/>
        <v>2.391428571429266E-3</v>
      </c>
      <c r="AE18" s="70">
        <f t="shared" si="16"/>
        <v>2.391428571429266E-3</v>
      </c>
      <c r="AF18" s="70">
        <f t="shared" si="16"/>
        <v>2.391428571429266E-3</v>
      </c>
      <c r="AG18" s="70">
        <f t="shared" si="16"/>
        <v>2.391428571429266E-3</v>
      </c>
      <c r="AH18" s="70">
        <f t="shared" si="16"/>
        <v>2.391428571429266E-3</v>
      </c>
      <c r="AI18" s="70">
        <f t="shared" si="16"/>
        <v>2.391428571429266E-3</v>
      </c>
      <c r="AJ18" s="70">
        <f t="shared" si="16"/>
        <v>2.391428571429266E-3</v>
      </c>
      <c r="AK18" s="70">
        <f t="shared" si="16"/>
        <v>2.391428571429266E-3</v>
      </c>
      <c r="AL18" s="70">
        <f t="shared" si="16"/>
        <v>2.391428571429266E-3</v>
      </c>
      <c r="AM18" s="70">
        <f t="shared" si="16"/>
        <v>2.391428571429266E-3</v>
      </c>
      <c r="AN18" s="70">
        <f t="shared" si="16"/>
        <v>2.391428571429266E-3</v>
      </c>
      <c r="AO18" s="70">
        <f t="shared" si="16"/>
        <v>2.391428571429266E-3</v>
      </c>
      <c r="AP18" s="70">
        <f t="shared" si="16"/>
        <v>2.391428571429266E-3</v>
      </c>
      <c r="AQ18" s="70">
        <f t="shared" si="16"/>
        <v>2.391428571429266E-3</v>
      </c>
      <c r="AR18" s="70">
        <f t="shared" si="16"/>
        <v>2.391428571429266E-3</v>
      </c>
      <c r="AS18" s="70">
        <f t="shared" si="16"/>
        <v>2.391428571429266E-3</v>
      </c>
      <c r="AT18" s="70">
        <f t="shared" si="16"/>
        <v>2.391428571429266E-3</v>
      </c>
      <c r="AU18" s="70">
        <f t="shared" si="16"/>
        <v>2.391428571429266E-3</v>
      </c>
      <c r="AV18" s="70">
        <f t="shared" si="16"/>
        <v>2.391428571429266E-3</v>
      </c>
      <c r="AW18" s="70">
        <f t="shared" si="16"/>
        <v>2.391428571429266E-3</v>
      </c>
      <c r="AX18" s="70">
        <f t="shared" si="16"/>
        <v>2.391428571429266E-3</v>
      </c>
      <c r="AY18" s="70">
        <f t="shared" si="16"/>
        <v>2.391428571429266E-3</v>
      </c>
      <c r="AZ18" s="70">
        <f t="shared" si="16"/>
        <v>2.391428571429266E-3</v>
      </c>
      <c r="BA18" s="70">
        <f t="shared" si="16"/>
        <v>2.391428571429266E-3</v>
      </c>
    </row>
    <row r="19" spans="1:53" x14ac:dyDescent="0.25">
      <c r="A19" s="70" t="s">
        <v>60</v>
      </c>
      <c r="B19" s="70">
        <f t="shared" ref="B19:BA19" si="17">B9</f>
        <v>3.5699999999999996E-2</v>
      </c>
      <c r="C19" s="70">
        <f t="shared" si="17"/>
        <v>1.24E-2</v>
      </c>
      <c r="D19" s="70">
        <f t="shared" si="17"/>
        <v>1.29E-2</v>
      </c>
      <c r="E19" s="70">
        <f t="shared" si="17"/>
        <v>1.29E-2</v>
      </c>
      <c r="F19" s="70">
        <f t="shared" si="17"/>
        <v>2.1099999999999997E-2</v>
      </c>
      <c r="G19" s="70">
        <f t="shared" si="17"/>
        <v>7.6E-3</v>
      </c>
      <c r="H19" s="70">
        <f t="shared" si="17"/>
        <v>5.6600000000006645E-3</v>
      </c>
      <c r="I19" s="70">
        <f t="shared" si="17"/>
        <v>2.391428571429266E-3</v>
      </c>
      <c r="J19" s="70">
        <f t="shared" si="17"/>
        <v>2.391428571429266E-3</v>
      </c>
      <c r="K19" s="70">
        <f t="shared" si="17"/>
        <v>2.391428571429266E-3</v>
      </c>
      <c r="L19" s="70">
        <f t="shared" si="17"/>
        <v>2.391428571429266E-3</v>
      </c>
      <c r="M19" s="70">
        <f t="shared" si="17"/>
        <v>2.391428571429266E-3</v>
      </c>
      <c r="N19" s="70">
        <f t="shared" si="17"/>
        <v>2.391428571429266E-3</v>
      </c>
      <c r="O19" s="70">
        <f t="shared" si="17"/>
        <v>2.391428571429266E-3</v>
      </c>
      <c r="P19" s="70">
        <f t="shared" si="17"/>
        <v>2.391428571429266E-3</v>
      </c>
      <c r="Q19" s="70">
        <f t="shared" si="17"/>
        <v>2.391428571429266E-3</v>
      </c>
      <c r="R19" s="70">
        <f t="shared" si="17"/>
        <v>2.391428571429266E-3</v>
      </c>
      <c r="S19" s="70">
        <f t="shared" si="17"/>
        <v>2.391428571429266E-3</v>
      </c>
      <c r="T19" s="70">
        <f t="shared" si="17"/>
        <v>2.391428571429266E-3</v>
      </c>
      <c r="U19" s="70">
        <f t="shared" si="17"/>
        <v>2.391428571429266E-3</v>
      </c>
      <c r="V19" s="70">
        <f t="shared" si="17"/>
        <v>2.391428571429266E-3</v>
      </c>
      <c r="W19" s="70">
        <f t="shared" si="17"/>
        <v>2.391428571429266E-3</v>
      </c>
      <c r="X19" s="70">
        <f t="shared" si="17"/>
        <v>2.391428571429266E-3</v>
      </c>
      <c r="Y19" s="70">
        <f t="shared" si="17"/>
        <v>2.391428571429266E-3</v>
      </c>
      <c r="Z19" s="70">
        <f t="shared" si="17"/>
        <v>2.391428571429266E-3</v>
      </c>
      <c r="AA19" s="70">
        <f t="shared" si="17"/>
        <v>2.391428571429266E-3</v>
      </c>
      <c r="AB19" s="70">
        <f t="shared" si="17"/>
        <v>2.391428571429266E-3</v>
      </c>
      <c r="AC19" s="70">
        <f t="shared" si="17"/>
        <v>2.391428571429266E-3</v>
      </c>
      <c r="AD19" s="70">
        <f t="shared" si="17"/>
        <v>2.391428571429266E-3</v>
      </c>
      <c r="AE19" s="70">
        <f t="shared" si="17"/>
        <v>2.391428571429266E-3</v>
      </c>
      <c r="AF19" s="70">
        <f t="shared" si="17"/>
        <v>2.391428571429266E-3</v>
      </c>
      <c r="AG19" s="70">
        <f t="shared" si="17"/>
        <v>2.391428571429266E-3</v>
      </c>
      <c r="AH19" s="70">
        <f t="shared" si="17"/>
        <v>2.391428571429266E-3</v>
      </c>
      <c r="AI19" s="70">
        <f t="shared" si="17"/>
        <v>2.391428571429266E-3</v>
      </c>
      <c r="AJ19" s="70">
        <f t="shared" si="17"/>
        <v>2.391428571429266E-3</v>
      </c>
      <c r="AK19" s="70">
        <f t="shared" si="17"/>
        <v>2.391428571429266E-3</v>
      </c>
      <c r="AL19" s="70">
        <f t="shared" si="17"/>
        <v>2.391428571429266E-3</v>
      </c>
      <c r="AM19" s="70">
        <f t="shared" si="17"/>
        <v>2.391428571429266E-3</v>
      </c>
      <c r="AN19" s="70">
        <f t="shared" si="17"/>
        <v>2.391428571429266E-3</v>
      </c>
      <c r="AO19" s="70">
        <f t="shared" si="17"/>
        <v>2.391428571429266E-3</v>
      </c>
      <c r="AP19" s="70">
        <f t="shared" si="17"/>
        <v>2.391428571429266E-3</v>
      </c>
      <c r="AQ19" s="70">
        <f t="shared" si="17"/>
        <v>2.391428571429266E-3</v>
      </c>
      <c r="AR19" s="70">
        <f t="shared" si="17"/>
        <v>2.391428571429266E-3</v>
      </c>
      <c r="AS19" s="70">
        <f t="shared" si="17"/>
        <v>2.391428571429266E-3</v>
      </c>
      <c r="AT19" s="70">
        <f t="shared" si="17"/>
        <v>2.391428571429266E-3</v>
      </c>
      <c r="AU19" s="70">
        <f t="shared" si="17"/>
        <v>2.391428571429266E-3</v>
      </c>
      <c r="AV19" s="70">
        <f t="shared" si="17"/>
        <v>2.391428571429266E-3</v>
      </c>
      <c r="AW19" s="70">
        <f t="shared" si="17"/>
        <v>2.391428571429266E-3</v>
      </c>
      <c r="AX19" s="70">
        <f t="shared" si="17"/>
        <v>2.391428571429266E-3</v>
      </c>
      <c r="AY19" s="70">
        <f t="shared" si="17"/>
        <v>2.391428571429266E-3</v>
      </c>
      <c r="AZ19" s="70">
        <f t="shared" si="17"/>
        <v>2.391428571429266E-3</v>
      </c>
      <c r="BA19" s="70">
        <f t="shared" si="17"/>
        <v>2.391428571429266E-3</v>
      </c>
    </row>
    <row r="20" spans="1:53" x14ac:dyDescent="0.25">
      <c r="A20" s="70" t="s">
        <v>62</v>
      </c>
      <c r="B20" s="70">
        <f t="shared" ref="B20:BA20" si="18">B9</f>
        <v>3.5699999999999996E-2</v>
      </c>
      <c r="C20" s="70">
        <f t="shared" si="18"/>
        <v>1.24E-2</v>
      </c>
      <c r="D20" s="70">
        <f t="shared" si="18"/>
        <v>1.29E-2</v>
      </c>
      <c r="E20" s="70">
        <f t="shared" si="18"/>
        <v>1.29E-2</v>
      </c>
      <c r="F20" s="70">
        <f t="shared" si="18"/>
        <v>2.1099999999999997E-2</v>
      </c>
      <c r="G20" s="70">
        <f t="shared" si="18"/>
        <v>7.6E-3</v>
      </c>
      <c r="H20" s="70">
        <f t="shared" si="18"/>
        <v>5.6600000000006645E-3</v>
      </c>
      <c r="I20" s="70">
        <f t="shared" si="18"/>
        <v>2.391428571429266E-3</v>
      </c>
      <c r="J20" s="70">
        <f t="shared" si="18"/>
        <v>2.391428571429266E-3</v>
      </c>
      <c r="K20" s="70">
        <f t="shared" si="18"/>
        <v>2.391428571429266E-3</v>
      </c>
      <c r="L20" s="70">
        <f t="shared" si="18"/>
        <v>2.391428571429266E-3</v>
      </c>
      <c r="M20" s="70">
        <f t="shared" si="18"/>
        <v>2.391428571429266E-3</v>
      </c>
      <c r="N20" s="70">
        <f t="shared" si="18"/>
        <v>2.391428571429266E-3</v>
      </c>
      <c r="O20" s="70">
        <f t="shared" si="18"/>
        <v>2.391428571429266E-3</v>
      </c>
      <c r="P20" s="70">
        <f t="shared" si="18"/>
        <v>2.391428571429266E-3</v>
      </c>
      <c r="Q20" s="70">
        <f t="shared" si="18"/>
        <v>2.391428571429266E-3</v>
      </c>
      <c r="R20" s="70">
        <f t="shared" si="18"/>
        <v>2.391428571429266E-3</v>
      </c>
      <c r="S20" s="70">
        <f t="shared" si="18"/>
        <v>2.391428571429266E-3</v>
      </c>
      <c r="T20" s="70">
        <f t="shared" si="18"/>
        <v>2.391428571429266E-3</v>
      </c>
      <c r="U20" s="70">
        <f t="shared" si="18"/>
        <v>2.391428571429266E-3</v>
      </c>
      <c r="V20" s="70">
        <f t="shared" si="18"/>
        <v>2.391428571429266E-3</v>
      </c>
      <c r="W20" s="70">
        <f t="shared" si="18"/>
        <v>2.391428571429266E-3</v>
      </c>
      <c r="X20" s="70">
        <f t="shared" si="18"/>
        <v>2.391428571429266E-3</v>
      </c>
      <c r="Y20" s="70">
        <f t="shared" si="18"/>
        <v>2.391428571429266E-3</v>
      </c>
      <c r="Z20" s="70">
        <f t="shared" si="18"/>
        <v>2.391428571429266E-3</v>
      </c>
      <c r="AA20" s="70">
        <f t="shared" si="18"/>
        <v>2.391428571429266E-3</v>
      </c>
      <c r="AB20" s="70">
        <f t="shared" si="18"/>
        <v>2.391428571429266E-3</v>
      </c>
      <c r="AC20" s="70">
        <f t="shared" si="18"/>
        <v>2.391428571429266E-3</v>
      </c>
      <c r="AD20" s="70">
        <f t="shared" si="18"/>
        <v>2.391428571429266E-3</v>
      </c>
      <c r="AE20" s="70">
        <f t="shared" si="18"/>
        <v>2.391428571429266E-3</v>
      </c>
      <c r="AF20" s="70">
        <f t="shared" si="18"/>
        <v>2.391428571429266E-3</v>
      </c>
      <c r="AG20" s="70">
        <f t="shared" si="18"/>
        <v>2.391428571429266E-3</v>
      </c>
      <c r="AH20" s="70">
        <f t="shared" si="18"/>
        <v>2.391428571429266E-3</v>
      </c>
      <c r="AI20" s="70">
        <f t="shared" si="18"/>
        <v>2.391428571429266E-3</v>
      </c>
      <c r="AJ20" s="70">
        <f t="shared" si="18"/>
        <v>2.391428571429266E-3</v>
      </c>
      <c r="AK20" s="70">
        <f t="shared" si="18"/>
        <v>2.391428571429266E-3</v>
      </c>
      <c r="AL20" s="70">
        <f t="shared" si="18"/>
        <v>2.391428571429266E-3</v>
      </c>
      <c r="AM20" s="70">
        <f t="shared" si="18"/>
        <v>2.391428571429266E-3</v>
      </c>
      <c r="AN20" s="70">
        <f t="shared" si="18"/>
        <v>2.391428571429266E-3</v>
      </c>
      <c r="AO20" s="70">
        <f t="shared" si="18"/>
        <v>2.391428571429266E-3</v>
      </c>
      <c r="AP20" s="70">
        <f t="shared" si="18"/>
        <v>2.391428571429266E-3</v>
      </c>
      <c r="AQ20" s="70">
        <f t="shared" si="18"/>
        <v>2.391428571429266E-3</v>
      </c>
      <c r="AR20" s="70">
        <f t="shared" si="18"/>
        <v>2.391428571429266E-3</v>
      </c>
      <c r="AS20" s="70">
        <f t="shared" si="18"/>
        <v>2.391428571429266E-3</v>
      </c>
      <c r="AT20" s="70">
        <f t="shared" si="18"/>
        <v>2.391428571429266E-3</v>
      </c>
      <c r="AU20" s="70">
        <f t="shared" si="18"/>
        <v>2.391428571429266E-3</v>
      </c>
      <c r="AV20" s="70">
        <f t="shared" si="18"/>
        <v>2.391428571429266E-3</v>
      </c>
      <c r="AW20" s="70">
        <f t="shared" si="18"/>
        <v>2.391428571429266E-3</v>
      </c>
      <c r="AX20" s="70">
        <f t="shared" si="18"/>
        <v>2.391428571429266E-3</v>
      </c>
      <c r="AY20" s="70">
        <f t="shared" si="18"/>
        <v>2.391428571429266E-3</v>
      </c>
      <c r="AZ20" s="70">
        <f t="shared" si="18"/>
        <v>2.391428571429266E-3</v>
      </c>
      <c r="BA20" s="70">
        <f t="shared" si="18"/>
        <v>2.391428571429266E-3</v>
      </c>
    </row>
    <row r="21" spans="1:53" ht="15.75" customHeight="1" x14ac:dyDescent="0.25">
      <c r="A21" s="70" t="s">
        <v>64</v>
      </c>
      <c r="B21" s="70">
        <f t="shared" ref="B21:BA21" si="19">B9</f>
        <v>3.5699999999999996E-2</v>
      </c>
      <c r="C21" s="70">
        <f t="shared" si="19"/>
        <v>1.24E-2</v>
      </c>
      <c r="D21" s="70">
        <f t="shared" si="19"/>
        <v>1.29E-2</v>
      </c>
      <c r="E21" s="70">
        <f t="shared" si="19"/>
        <v>1.29E-2</v>
      </c>
      <c r="F21" s="70">
        <f t="shared" si="19"/>
        <v>2.1099999999999997E-2</v>
      </c>
      <c r="G21" s="70">
        <f t="shared" si="19"/>
        <v>7.6E-3</v>
      </c>
      <c r="H21" s="70">
        <f t="shared" si="19"/>
        <v>5.6600000000006645E-3</v>
      </c>
      <c r="I21" s="70">
        <f t="shared" si="19"/>
        <v>2.391428571429266E-3</v>
      </c>
      <c r="J21" s="70">
        <f t="shared" si="19"/>
        <v>2.391428571429266E-3</v>
      </c>
      <c r="K21" s="70">
        <f t="shared" si="19"/>
        <v>2.391428571429266E-3</v>
      </c>
      <c r="L21" s="70">
        <f t="shared" si="19"/>
        <v>2.391428571429266E-3</v>
      </c>
      <c r="M21" s="70">
        <f t="shared" si="19"/>
        <v>2.391428571429266E-3</v>
      </c>
      <c r="N21" s="70">
        <f t="shared" si="19"/>
        <v>2.391428571429266E-3</v>
      </c>
      <c r="O21" s="70">
        <f t="shared" si="19"/>
        <v>2.391428571429266E-3</v>
      </c>
      <c r="P21" s="70">
        <f t="shared" si="19"/>
        <v>2.391428571429266E-3</v>
      </c>
      <c r="Q21" s="70">
        <f t="shared" si="19"/>
        <v>2.391428571429266E-3</v>
      </c>
      <c r="R21" s="70">
        <f t="shared" si="19"/>
        <v>2.391428571429266E-3</v>
      </c>
      <c r="S21" s="70">
        <f t="shared" si="19"/>
        <v>2.391428571429266E-3</v>
      </c>
      <c r="T21" s="70">
        <f t="shared" si="19"/>
        <v>2.391428571429266E-3</v>
      </c>
      <c r="U21" s="70">
        <f t="shared" si="19"/>
        <v>2.391428571429266E-3</v>
      </c>
      <c r="V21" s="70">
        <f t="shared" si="19"/>
        <v>2.391428571429266E-3</v>
      </c>
      <c r="W21" s="70">
        <f t="shared" si="19"/>
        <v>2.391428571429266E-3</v>
      </c>
      <c r="X21" s="70">
        <f t="shared" si="19"/>
        <v>2.391428571429266E-3</v>
      </c>
      <c r="Y21" s="70">
        <f t="shared" si="19"/>
        <v>2.391428571429266E-3</v>
      </c>
      <c r="Z21" s="70">
        <f t="shared" si="19"/>
        <v>2.391428571429266E-3</v>
      </c>
      <c r="AA21" s="70">
        <f t="shared" si="19"/>
        <v>2.391428571429266E-3</v>
      </c>
      <c r="AB21" s="70">
        <f t="shared" si="19"/>
        <v>2.391428571429266E-3</v>
      </c>
      <c r="AC21" s="70">
        <f t="shared" si="19"/>
        <v>2.391428571429266E-3</v>
      </c>
      <c r="AD21" s="70">
        <f t="shared" si="19"/>
        <v>2.391428571429266E-3</v>
      </c>
      <c r="AE21" s="70">
        <f t="shared" si="19"/>
        <v>2.391428571429266E-3</v>
      </c>
      <c r="AF21" s="70">
        <f t="shared" si="19"/>
        <v>2.391428571429266E-3</v>
      </c>
      <c r="AG21" s="70">
        <f t="shared" si="19"/>
        <v>2.391428571429266E-3</v>
      </c>
      <c r="AH21" s="70">
        <f t="shared" si="19"/>
        <v>2.391428571429266E-3</v>
      </c>
      <c r="AI21" s="70">
        <f t="shared" si="19"/>
        <v>2.391428571429266E-3</v>
      </c>
      <c r="AJ21" s="70">
        <f t="shared" si="19"/>
        <v>2.391428571429266E-3</v>
      </c>
      <c r="AK21" s="70">
        <f t="shared" si="19"/>
        <v>2.391428571429266E-3</v>
      </c>
      <c r="AL21" s="70">
        <f t="shared" si="19"/>
        <v>2.391428571429266E-3</v>
      </c>
      <c r="AM21" s="70">
        <f t="shared" si="19"/>
        <v>2.391428571429266E-3</v>
      </c>
      <c r="AN21" s="70">
        <f t="shared" si="19"/>
        <v>2.391428571429266E-3</v>
      </c>
      <c r="AO21" s="70">
        <f t="shared" si="19"/>
        <v>2.391428571429266E-3</v>
      </c>
      <c r="AP21" s="70">
        <f t="shared" si="19"/>
        <v>2.391428571429266E-3</v>
      </c>
      <c r="AQ21" s="70">
        <f t="shared" si="19"/>
        <v>2.391428571429266E-3</v>
      </c>
      <c r="AR21" s="70">
        <f t="shared" si="19"/>
        <v>2.391428571429266E-3</v>
      </c>
      <c r="AS21" s="70">
        <f t="shared" si="19"/>
        <v>2.391428571429266E-3</v>
      </c>
      <c r="AT21" s="70">
        <f t="shared" si="19"/>
        <v>2.391428571429266E-3</v>
      </c>
      <c r="AU21" s="70">
        <f t="shared" si="19"/>
        <v>2.391428571429266E-3</v>
      </c>
      <c r="AV21" s="70">
        <f t="shared" si="19"/>
        <v>2.391428571429266E-3</v>
      </c>
      <c r="AW21" s="70">
        <f t="shared" si="19"/>
        <v>2.391428571429266E-3</v>
      </c>
      <c r="AX21" s="70">
        <f t="shared" si="19"/>
        <v>2.391428571429266E-3</v>
      </c>
      <c r="AY21" s="70">
        <f t="shared" si="19"/>
        <v>2.391428571429266E-3</v>
      </c>
      <c r="AZ21" s="70">
        <f t="shared" si="19"/>
        <v>2.391428571429266E-3</v>
      </c>
      <c r="BA21" s="70">
        <f t="shared" si="19"/>
        <v>2.391428571429266E-3</v>
      </c>
    </row>
    <row r="22" spans="1:53" ht="15.75" customHeight="1" x14ac:dyDescent="0.25">
      <c r="A22" s="70" t="s">
        <v>66</v>
      </c>
      <c r="B22" s="70">
        <f t="shared" ref="B22:BA22" si="20">B9</f>
        <v>3.5699999999999996E-2</v>
      </c>
      <c r="C22" s="70">
        <f t="shared" si="20"/>
        <v>1.24E-2</v>
      </c>
      <c r="D22" s="70">
        <f t="shared" si="20"/>
        <v>1.29E-2</v>
      </c>
      <c r="E22" s="70">
        <f t="shared" si="20"/>
        <v>1.29E-2</v>
      </c>
      <c r="F22" s="70">
        <f t="shared" si="20"/>
        <v>2.1099999999999997E-2</v>
      </c>
      <c r="G22" s="70">
        <f t="shared" si="20"/>
        <v>7.6E-3</v>
      </c>
      <c r="H22" s="70">
        <f t="shared" si="20"/>
        <v>5.6600000000006645E-3</v>
      </c>
      <c r="I22" s="70">
        <f t="shared" si="20"/>
        <v>2.391428571429266E-3</v>
      </c>
      <c r="J22" s="70">
        <f t="shared" si="20"/>
        <v>2.391428571429266E-3</v>
      </c>
      <c r="K22" s="70">
        <f t="shared" si="20"/>
        <v>2.391428571429266E-3</v>
      </c>
      <c r="L22" s="70">
        <f t="shared" si="20"/>
        <v>2.391428571429266E-3</v>
      </c>
      <c r="M22" s="70">
        <f t="shared" si="20"/>
        <v>2.391428571429266E-3</v>
      </c>
      <c r="N22" s="70">
        <f t="shared" si="20"/>
        <v>2.391428571429266E-3</v>
      </c>
      <c r="O22" s="70">
        <f t="shared" si="20"/>
        <v>2.391428571429266E-3</v>
      </c>
      <c r="P22" s="70">
        <f t="shared" si="20"/>
        <v>2.391428571429266E-3</v>
      </c>
      <c r="Q22" s="70">
        <f t="shared" si="20"/>
        <v>2.391428571429266E-3</v>
      </c>
      <c r="R22" s="70">
        <f t="shared" si="20"/>
        <v>2.391428571429266E-3</v>
      </c>
      <c r="S22" s="70">
        <f t="shared" si="20"/>
        <v>2.391428571429266E-3</v>
      </c>
      <c r="T22" s="70">
        <f t="shared" si="20"/>
        <v>2.391428571429266E-3</v>
      </c>
      <c r="U22" s="70">
        <f t="shared" si="20"/>
        <v>2.391428571429266E-3</v>
      </c>
      <c r="V22" s="70">
        <f t="shared" si="20"/>
        <v>2.391428571429266E-3</v>
      </c>
      <c r="W22" s="70">
        <f t="shared" si="20"/>
        <v>2.391428571429266E-3</v>
      </c>
      <c r="X22" s="70">
        <f t="shared" si="20"/>
        <v>2.391428571429266E-3</v>
      </c>
      <c r="Y22" s="70">
        <f t="shared" si="20"/>
        <v>2.391428571429266E-3</v>
      </c>
      <c r="Z22" s="70">
        <f t="shared" si="20"/>
        <v>2.391428571429266E-3</v>
      </c>
      <c r="AA22" s="70">
        <f t="shared" si="20"/>
        <v>2.391428571429266E-3</v>
      </c>
      <c r="AB22" s="70">
        <f t="shared" si="20"/>
        <v>2.391428571429266E-3</v>
      </c>
      <c r="AC22" s="70">
        <f t="shared" si="20"/>
        <v>2.391428571429266E-3</v>
      </c>
      <c r="AD22" s="70">
        <f t="shared" si="20"/>
        <v>2.391428571429266E-3</v>
      </c>
      <c r="AE22" s="70">
        <f t="shared" si="20"/>
        <v>2.391428571429266E-3</v>
      </c>
      <c r="AF22" s="70">
        <f t="shared" si="20"/>
        <v>2.391428571429266E-3</v>
      </c>
      <c r="AG22" s="70">
        <f t="shared" si="20"/>
        <v>2.391428571429266E-3</v>
      </c>
      <c r="AH22" s="70">
        <f t="shared" si="20"/>
        <v>2.391428571429266E-3</v>
      </c>
      <c r="AI22" s="70">
        <f t="shared" si="20"/>
        <v>2.391428571429266E-3</v>
      </c>
      <c r="AJ22" s="70">
        <f t="shared" si="20"/>
        <v>2.391428571429266E-3</v>
      </c>
      <c r="AK22" s="70">
        <f t="shared" si="20"/>
        <v>2.391428571429266E-3</v>
      </c>
      <c r="AL22" s="70">
        <f t="shared" si="20"/>
        <v>2.391428571429266E-3</v>
      </c>
      <c r="AM22" s="70">
        <f t="shared" si="20"/>
        <v>2.391428571429266E-3</v>
      </c>
      <c r="AN22" s="70">
        <f t="shared" si="20"/>
        <v>2.391428571429266E-3</v>
      </c>
      <c r="AO22" s="70">
        <f t="shared" si="20"/>
        <v>2.391428571429266E-3</v>
      </c>
      <c r="AP22" s="70">
        <f t="shared" si="20"/>
        <v>2.391428571429266E-3</v>
      </c>
      <c r="AQ22" s="70">
        <f t="shared" si="20"/>
        <v>2.391428571429266E-3</v>
      </c>
      <c r="AR22" s="70">
        <f t="shared" si="20"/>
        <v>2.391428571429266E-3</v>
      </c>
      <c r="AS22" s="70">
        <f t="shared" si="20"/>
        <v>2.391428571429266E-3</v>
      </c>
      <c r="AT22" s="70">
        <f t="shared" si="20"/>
        <v>2.391428571429266E-3</v>
      </c>
      <c r="AU22" s="70">
        <f t="shared" si="20"/>
        <v>2.391428571429266E-3</v>
      </c>
      <c r="AV22" s="70">
        <f t="shared" si="20"/>
        <v>2.391428571429266E-3</v>
      </c>
      <c r="AW22" s="70">
        <f t="shared" si="20"/>
        <v>2.391428571429266E-3</v>
      </c>
      <c r="AX22" s="70">
        <f t="shared" si="20"/>
        <v>2.391428571429266E-3</v>
      </c>
      <c r="AY22" s="70">
        <f t="shared" si="20"/>
        <v>2.391428571429266E-3</v>
      </c>
      <c r="AZ22" s="70">
        <f t="shared" si="20"/>
        <v>2.391428571429266E-3</v>
      </c>
      <c r="BA22" s="70">
        <f t="shared" si="20"/>
        <v>2.391428571429266E-3</v>
      </c>
    </row>
    <row r="23" spans="1:53" ht="15.75" customHeight="1" x14ac:dyDescent="0.25">
      <c r="A23" s="70" t="s">
        <v>68</v>
      </c>
      <c r="B23" s="70">
        <f t="shared" ref="B23:BA23" si="21">B9</f>
        <v>3.5699999999999996E-2</v>
      </c>
      <c r="C23" s="70">
        <f t="shared" si="21"/>
        <v>1.24E-2</v>
      </c>
      <c r="D23" s="70">
        <f t="shared" si="21"/>
        <v>1.29E-2</v>
      </c>
      <c r="E23" s="70">
        <f t="shared" si="21"/>
        <v>1.29E-2</v>
      </c>
      <c r="F23" s="70">
        <f t="shared" si="21"/>
        <v>2.1099999999999997E-2</v>
      </c>
      <c r="G23" s="70">
        <f t="shared" si="21"/>
        <v>7.6E-3</v>
      </c>
      <c r="H23" s="70">
        <f t="shared" si="21"/>
        <v>5.6600000000006645E-3</v>
      </c>
      <c r="I23" s="70">
        <f t="shared" si="21"/>
        <v>2.391428571429266E-3</v>
      </c>
      <c r="J23" s="70">
        <f t="shared" si="21"/>
        <v>2.391428571429266E-3</v>
      </c>
      <c r="K23" s="70">
        <f t="shared" si="21"/>
        <v>2.391428571429266E-3</v>
      </c>
      <c r="L23" s="70">
        <f t="shared" si="21"/>
        <v>2.391428571429266E-3</v>
      </c>
      <c r="M23" s="70">
        <f t="shared" si="21"/>
        <v>2.391428571429266E-3</v>
      </c>
      <c r="N23" s="70">
        <f t="shared" si="21"/>
        <v>2.391428571429266E-3</v>
      </c>
      <c r="O23" s="70">
        <f t="shared" si="21"/>
        <v>2.391428571429266E-3</v>
      </c>
      <c r="P23" s="70">
        <f t="shared" si="21"/>
        <v>2.391428571429266E-3</v>
      </c>
      <c r="Q23" s="70">
        <f t="shared" si="21"/>
        <v>2.391428571429266E-3</v>
      </c>
      <c r="R23" s="70">
        <f t="shared" si="21"/>
        <v>2.391428571429266E-3</v>
      </c>
      <c r="S23" s="70">
        <f t="shared" si="21"/>
        <v>2.391428571429266E-3</v>
      </c>
      <c r="T23" s="70">
        <f t="shared" si="21"/>
        <v>2.391428571429266E-3</v>
      </c>
      <c r="U23" s="70">
        <f t="shared" si="21"/>
        <v>2.391428571429266E-3</v>
      </c>
      <c r="V23" s="70">
        <f t="shared" si="21"/>
        <v>2.391428571429266E-3</v>
      </c>
      <c r="W23" s="70">
        <f t="shared" si="21"/>
        <v>2.391428571429266E-3</v>
      </c>
      <c r="X23" s="70">
        <f t="shared" si="21"/>
        <v>2.391428571429266E-3</v>
      </c>
      <c r="Y23" s="70">
        <f t="shared" si="21"/>
        <v>2.391428571429266E-3</v>
      </c>
      <c r="Z23" s="70">
        <f t="shared" si="21"/>
        <v>2.391428571429266E-3</v>
      </c>
      <c r="AA23" s="70">
        <f t="shared" si="21"/>
        <v>2.391428571429266E-3</v>
      </c>
      <c r="AB23" s="70">
        <f t="shared" si="21"/>
        <v>2.391428571429266E-3</v>
      </c>
      <c r="AC23" s="70">
        <f t="shared" si="21"/>
        <v>2.391428571429266E-3</v>
      </c>
      <c r="AD23" s="70">
        <f t="shared" si="21"/>
        <v>2.391428571429266E-3</v>
      </c>
      <c r="AE23" s="70">
        <f t="shared" si="21"/>
        <v>2.391428571429266E-3</v>
      </c>
      <c r="AF23" s="70">
        <f t="shared" si="21"/>
        <v>2.391428571429266E-3</v>
      </c>
      <c r="AG23" s="70">
        <f t="shared" si="21"/>
        <v>2.391428571429266E-3</v>
      </c>
      <c r="AH23" s="70">
        <f t="shared" si="21"/>
        <v>2.391428571429266E-3</v>
      </c>
      <c r="AI23" s="70">
        <f t="shared" si="21"/>
        <v>2.391428571429266E-3</v>
      </c>
      <c r="AJ23" s="70">
        <f t="shared" si="21"/>
        <v>2.391428571429266E-3</v>
      </c>
      <c r="AK23" s="70">
        <f t="shared" si="21"/>
        <v>2.391428571429266E-3</v>
      </c>
      <c r="AL23" s="70">
        <f t="shared" si="21"/>
        <v>2.391428571429266E-3</v>
      </c>
      <c r="AM23" s="70">
        <f t="shared" si="21"/>
        <v>2.391428571429266E-3</v>
      </c>
      <c r="AN23" s="70">
        <f t="shared" si="21"/>
        <v>2.391428571429266E-3</v>
      </c>
      <c r="AO23" s="70">
        <f t="shared" si="21"/>
        <v>2.391428571429266E-3</v>
      </c>
      <c r="AP23" s="70">
        <f t="shared" si="21"/>
        <v>2.391428571429266E-3</v>
      </c>
      <c r="AQ23" s="70">
        <f t="shared" si="21"/>
        <v>2.391428571429266E-3</v>
      </c>
      <c r="AR23" s="70">
        <f t="shared" si="21"/>
        <v>2.391428571429266E-3</v>
      </c>
      <c r="AS23" s="70">
        <f t="shared" si="21"/>
        <v>2.391428571429266E-3</v>
      </c>
      <c r="AT23" s="70">
        <f t="shared" si="21"/>
        <v>2.391428571429266E-3</v>
      </c>
      <c r="AU23" s="70">
        <f t="shared" si="21"/>
        <v>2.391428571429266E-3</v>
      </c>
      <c r="AV23" s="70">
        <f t="shared" si="21"/>
        <v>2.391428571429266E-3</v>
      </c>
      <c r="AW23" s="70">
        <f t="shared" si="21"/>
        <v>2.391428571429266E-3</v>
      </c>
      <c r="AX23" s="70">
        <f t="shared" si="21"/>
        <v>2.391428571429266E-3</v>
      </c>
      <c r="AY23" s="70">
        <f t="shared" si="21"/>
        <v>2.391428571429266E-3</v>
      </c>
      <c r="AZ23" s="70">
        <f t="shared" si="21"/>
        <v>2.391428571429266E-3</v>
      </c>
      <c r="BA23" s="70">
        <f t="shared" si="21"/>
        <v>2.391428571429266E-3</v>
      </c>
    </row>
    <row r="24" spans="1:53" ht="15.75" customHeight="1" x14ac:dyDescent="0.25">
      <c r="A24" s="70" t="s">
        <v>70</v>
      </c>
      <c r="B24" s="70">
        <f t="shared" ref="B24:BA24" si="22">B9</f>
        <v>3.5699999999999996E-2</v>
      </c>
      <c r="C24" s="70">
        <f t="shared" si="22"/>
        <v>1.24E-2</v>
      </c>
      <c r="D24" s="70">
        <f t="shared" si="22"/>
        <v>1.29E-2</v>
      </c>
      <c r="E24" s="70">
        <f t="shared" si="22"/>
        <v>1.29E-2</v>
      </c>
      <c r="F24" s="70">
        <f t="shared" si="22"/>
        <v>2.1099999999999997E-2</v>
      </c>
      <c r="G24" s="70">
        <f t="shared" si="22"/>
        <v>7.6E-3</v>
      </c>
      <c r="H24" s="70">
        <f t="shared" si="22"/>
        <v>5.6600000000006645E-3</v>
      </c>
      <c r="I24" s="70">
        <f t="shared" si="22"/>
        <v>2.391428571429266E-3</v>
      </c>
      <c r="J24" s="70">
        <f t="shared" si="22"/>
        <v>2.391428571429266E-3</v>
      </c>
      <c r="K24" s="70">
        <f t="shared" si="22"/>
        <v>2.391428571429266E-3</v>
      </c>
      <c r="L24" s="70">
        <f t="shared" si="22"/>
        <v>2.391428571429266E-3</v>
      </c>
      <c r="M24" s="70">
        <f t="shared" si="22"/>
        <v>2.391428571429266E-3</v>
      </c>
      <c r="N24" s="70">
        <f t="shared" si="22"/>
        <v>2.391428571429266E-3</v>
      </c>
      <c r="O24" s="70">
        <f t="shared" si="22"/>
        <v>2.391428571429266E-3</v>
      </c>
      <c r="P24" s="70">
        <f t="shared" si="22"/>
        <v>2.391428571429266E-3</v>
      </c>
      <c r="Q24" s="70">
        <f t="shared" si="22"/>
        <v>2.391428571429266E-3</v>
      </c>
      <c r="R24" s="70">
        <f t="shared" si="22"/>
        <v>2.391428571429266E-3</v>
      </c>
      <c r="S24" s="70">
        <f t="shared" si="22"/>
        <v>2.391428571429266E-3</v>
      </c>
      <c r="T24" s="70">
        <f t="shared" si="22"/>
        <v>2.391428571429266E-3</v>
      </c>
      <c r="U24" s="70">
        <f t="shared" si="22"/>
        <v>2.391428571429266E-3</v>
      </c>
      <c r="V24" s="70">
        <f t="shared" si="22"/>
        <v>2.391428571429266E-3</v>
      </c>
      <c r="W24" s="70">
        <f t="shared" si="22"/>
        <v>2.391428571429266E-3</v>
      </c>
      <c r="X24" s="70">
        <f t="shared" si="22"/>
        <v>2.391428571429266E-3</v>
      </c>
      <c r="Y24" s="70">
        <f t="shared" si="22"/>
        <v>2.391428571429266E-3</v>
      </c>
      <c r="Z24" s="70">
        <f t="shared" si="22"/>
        <v>2.391428571429266E-3</v>
      </c>
      <c r="AA24" s="70">
        <f t="shared" si="22"/>
        <v>2.391428571429266E-3</v>
      </c>
      <c r="AB24" s="70">
        <f t="shared" si="22"/>
        <v>2.391428571429266E-3</v>
      </c>
      <c r="AC24" s="70">
        <f t="shared" si="22"/>
        <v>2.391428571429266E-3</v>
      </c>
      <c r="AD24" s="70">
        <f t="shared" si="22"/>
        <v>2.391428571429266E-3</v>
      </c>
      <c r="AE24" s="70">
        <f t="shared" si="22"/>
        <v>2.391428571429266E-3</v>
      </c>
      <c r="AF24" s="70">
        <f t="shared" si="22"/>
        <v>2.391428571429266E-3</v>
      </c>
      <c r="AG24" s="70">
        <f t="shared" si="22"/>
        <v>2.391428571429266E-3</v>
      </c>
      <c r="AH24" s="70">
        <f t="shared" si="22"/>
        <v>2.391428571429266E-3</v>
      </c>
      <c r="AI24" s="70">
        <f t="shared" si="22"/>
        <v>2.391428571429266E-3</v>
      </c>
      <c r="AJ24" s="70">
        <f t="shared" si="22"/>
        <v>2.391428571429266E-3</v>
      </c>
      <c r="AK24" s="70">
        <f t="shared" si="22"/>
        <v>2.391428571429266E-3</v>
      </c>
      <c r="AL24" s="70">
        <f t="shared" si="22"/>
        <v>2.391428571429266E-3</v>
      </c>
      <c r="AM24" s="70">
        <f t="shared" si="22"/>
        <v>2.391428571429266E-3</v>
      </c>
      <c r="AN24" s="70">
        <f t="shared" si="22"/>
        <v>2.391428571429266E-3</v>
      </c>
      <c r="AO24" s="70">
        <f t="shared" si="22"/>
        <v>2.391428571429266E-3</v>
      </c>
      <c r="AP24" s="70">
        <f t="shared" si="22"/>
        <v>2.391428571429266E-3</v>
      </c>
      <c r="AQ24" s="70">
        <f t="shared" si="22"/>
        <v>2.391428571429266E-3</v>
      </c>
      <c r="AR24" s="70">
        <f t="shared" si="22"/>
        <v>2.391428571429266E-3</v>
      </c>
      <c r="AS24" s="70">
        <f t="shared" si="22"/>
        <v>2.391428571429266E-3</v>
      </c>
      <c r="AT24" s="70">
        <f t="shared" si="22"/>
        <v>2.391428571429266E-3</v>
      </c>
      <c r="AU24" s="70">
        <f t="shared" si="22"/>
        <v>2.391428571429266E-3</v>
      </c>
      <c r="AV24" s="70">
        <f t="shared" si="22"/>
        <v>2.391428571429266E-3</v>
      </c>
      <c r="AW24" s="70">
        <f t="shared" si="22"/>
        <v>2.391428571429266E-3</v>
      </c>
      <c r="AX24" s="70">
        <f t="shared" si="22"/>
        <v>2.391428571429266E-3</v>
      </c>
      <c r="AY24" s="70">
        <f t="shared" si="22"/>
        <v>2.391428571429266E-3</v>
      </c>
      <c r="AZ24" s="70">
        <f t="shared" si="22"/>
        <v>2.391428571429266E-3</v>
      </c>
      <c r="BA24" s="70">
        <f t="shared" si="22"/>
        <v>2.391428571429266E-3</v>
      </c>
    </row>
    <row r="25" spans="1:53" ht="15.75" customHeight="1" x14ac:dyDescent="0.25">
      <c r="A25" s="70" t="s">
        <v>72</v>
      </c>
      <c r="B25" s="70">
        <f t="shared" ref="B25:BA25" si="23">B9</f>
        <v>3.5699999999999996E-2</v>
      </c>
      <c r="C25" s="70">
        <f t="shared" si="23"/>
        <v>1.24E-2</v>
      </c>
      <c r="D25" s="70">
        <f t="shared" si="23"/>
        <v>1.29E-2</v>
      </c>
      <c r="E25" s="70">
        <f t="shared" si="23"/>
        <v>1.29E-2</v>
      </c>
      <c r="F25" s="70">
        <f t="shared" si="23"/>
        <v>2.1099999999999997E-2</v>
      </c>
      <c r="G25" s="70">
        <f t="shared" si="23"/>
        <v>7.6E-3</v>
      </c>
      <c r="H25" s="70">
        <f t="shared" si="23"/>
        <v>5.6600000000006645E-3</v>
      </c>
      <c r="I25" s="70">
        <f t="shared" si="23"/>
        <v>2.391428571429266E-3</v>
      </c>
      <c r="J25" s="70">
        <f t="shared" si="23"/>
        <v>2.391428571429266E-3</v>
      </c>
      <c r="K25" s="70">
        <f t="shared" si="23"/>
        <v>2.391428571429266E-3</v>
      </c>
      <c r="L25" s="70">
        <f t="shared" si="23"/>
        <v>2.391428571429266E-3</v>
      </c>
      <c r="M25" s="70">
        <f t="shared" si="23"/>
        <v>2.391428571429266E-3</v>
      </c>
      <c r="N25" s="70">
        <f t="shared" si="23"/>
        <v>2.391428571429266E-3</v>
      </c>
      <c r="O25" s="70">
        <f t="shared" si="23"/>
        <v>2.391428571429266E-3</v>
      </c>
      <c r="P25" s="70">
        <f t="shared" si="23"/>
        <v>2.391428571429266E-3</v>
      </c>
      <c r="Q25" s="70">
        <f t="shared" si="23"/>
        <v>2.391428571429266E-3</v>
      </c>
      <c r="R25" s="70">
        <f t="shared" si="23"/>
        <v>2.391428571429266E-3</v>
      </c>
      <c r="S25" s="70">
        <f t="shared" si="23"/>
        <v>2.391428571429266E-3</v>
      </c>
      <c r="T25" s="70">
        <f t="shared" si="23"/>
        <v>2.391428571429266E-3</v>
      </c>
      <c r="U25" s="70">
        <f t="shared" si="23"/>
        <v>2.391428571429266E-3</v>
      </c>
      <c r="V25" s="70">
        <f t="shared" si="23"/>
        <v>2.391428571429266E-3</v>
      </c>
      <c r="W25" s="70">
        <f t="shared" si="23"/>
        <v>2.391428571429266E-3</v>
      </c>
      <c r="X25" s="70">
        <f t="shared" si="23"/>
        <v>2.391428571429266E-3</v>
      </c>
      <c r="Y25" s="70">
        <f t="shared" si="23"/>
        <v>2.391428571429266E-3</v>
      </c>
      <c r="Z25" s="70">
        <f t="shared" si="23"/>
        <v>2.391428571429266E-3</v>
      </c>
      <c r="AA25" s="70">
        <f t="shared" si="23"/>
        <v>2.391428571429266E-3</v>
      </c>
      <c r="AB25" s="70">
        <f t="shared" si="23"/>
        <v>2.391428571429266E-3</v>
      </c>
      <c r="AC25" s="70">
        <f t="shared" si="23"/>
        <v>2.391428571429266E-3</v>
      </c>
      <c r="AD25" s="70">
        <f t="shared" si="23"/>
        <v>2.391428571429266E-3</v>
      </c>
      <c r="AE25" s="70">
        <f t="shared" si="23"/>
        <v>2.391428571429266E-3</v>
      </c>
      <c r="AF25" s="70">
        <f t="shared" si="23"/>
        <v>2.391428571429266E-3</v>
      </c>
      <c r="AG25" s="70">
        <f t="shared" si="23"/>
        <v>2.391428571429266E-3</v>
      </c>
      <c r="AH25" s="70">
        <f t="shared" si="23"/>
        <v>2.391428571429266E-3</v>
      </c>
      <c r="AI25" s="70">
        <f t="shared" si="23"/>
        <v>2.391428571429266E-3</v>
      </c>
      <c r="AJ25" s="70">
        <f t="shared" si="23"/>
        <v>2.391428571429266E-3</v>
      </c>
      <c r="AK25" s="70">
        <f t="shared" si="23"/>
        <v>2.391428571429266E-3</v>
      </c>
      <c r="AL25" s="70">
        <f t="shared" si="23"/>
        <v>2.391428571429266E-3</v>
      </c>
      <c r="AM25" s="70">
        <f t="shared" si="23"/>
        <v>2.391428571429266E-3</v>
      </c>
      <c r="AN25" s="70">
        <f t="shared" si="23"/>
        <v>2.391428571429266E-3</v>
      </c>
      <c r="AO25" s="70">
        <f t="shared" si="23"/>
        <v>2.391428571429266E-3</v>
      </c>
      <c r="AP25" s="70">
        <f t="shared" si="23"/>
        <v>2.391428571429266E-3</v>
      </c>
      <c r="AQ25" s="70">
        <f t="shared" si="23"/>
        <v>2.391428571429266E-3</v>
      </c>
      <c r="AR25" s="70">
        <f t="shared" si="23"/>
        <v>2.391428571429266E-3</v>
      </c>
      <c r="AS25" s="70">
        <f t="shared" si="23"/>
        <v>2.391428571429266E-3</v>
      </c>
      <c r="AT25" s="70">
        <f t="shared" si="23"/>
        <v>2.391428571429266E-3</v>
      </c>
      <c r="AU25" s="70">
        <f t="shared" si="23"/>
        <v>2.391428571429266E-3</v>
      </c>
      <c r="AV25" s="70">
        <f t="shared" si="23"/>
        <v>2.391428571429266E-3</v>
      </c>
      <c r="AW25" s="70">
        <f t="shared" si="23"/>
        <v>2.391428571429266E-3</v>
      </c>
      <c r="AX25" s="70">
        <f t="shared" si="23"/>
        <v>2.391428571429266E-3</v>
      </c>
      <c r="AY25" s="70">
        <f t="shared" si="23"/>
        <v>2.391428571429266E-3</v>
      </c>
      <c r="AZ25" s="70">
        <f t="shared" si="23"/>
        <v>2.391428571429266E-3</v>
      </c>
      <c r="BA25" s="70">
        <f t="shared" si="23"/>
        <v>2.391428571429266E-3</v>
      </c>
    </row>
    <row r="26" spans="1:53" ht="15.75" customHeight="1" x14ac:dyDescent="0.25">
      <c r="A26" s="70" t="s">
        <v>74</v>
      </c>
      <c r="B26" s="70">
        <f t="shared" ref="B26:BA26" si="24">B50</f>
        <v>5.7999999999999996E-3</v>
      </c>
      <c r="C26" s="70">
        <f t="shared" si="24"/>
        <v>5.9999999999999995E-4</v>
      </c>
      <c r="D26" s="70">
        <f t="shared" si="24"/>
        <v>9.5999999999999992E-3</v>
      </c>
      <c r="E26" s="70">
        <f t="shared" si="24"/>
        <v>1.54E-2</v>
      </c>
      <c r="F26" s="70">
        <f t="shared" si="24"/>
        <v>7.6E-3</v>
      </c>
      <c r="G26" s="70">
        <f t="shared" si="24"/>
        <v>3.0000000000000001E-3</v>
      </c>
      <c r="H26" s="70">
        <f t="shared" si="24"/>
        <v>8.2799999999999541E-3</v>
      </c>
      <c r="I26" s="70">
        <f t="shared" si="24"/>
        <v>8.6457142857142566E-3</v>
      </c>
      <c r="J26" s="70">
        <f t="shared" si="24"/>
        <v>9.0114285714285591E-3</v>
      </c>
      <c r="K26" s="70">
        <f t="shared" si="24"/>
        <v>9.3771428571428617E-3</v>
      </c>
      <c r="L26" s="70">
        <f t="shared" si="24"/>
        <v>9.7428571428571642E-3</v>
      </c>
      <c r="M26" s="70">
        <f t="shared" si="24"/>
        <v>1.0108571428571467E-2</v>
      </c>
      <c r="N26" s="70">
        <f t="shared" si="24"/>
        <v>1.0474285714285769E-2</v>
      </c>
      <c r="O26" s="70">
        <f t="shared" si="24"/>
        <v>1.0839999999999961E-2</v>
      </c>
      <c r="P26" s="70">
        <f t="shared" si="24"/>
        <v>1.1205714285714263E-2</v>
      </c>
      <c r="Q26" s="70">
        <f t="shared" si="24"/>
        <v>1.1571428571428566E-2</v>
      </c>
      <c r="R26" s="70">
        <f t="shared" si="24"/>
        <v>1.1937142857142868E-2</v>
      </c>
      <c r="S26" s="70">
        <f t="shared" si="24"/>
        <v>1.2302857142857171E-2</v>
      </c>
      <c r="T26" s="70">
        <f t="shared" si="24"/>
        <v>1.2668571428571473E-2</v>
      </c>
      <c r="U26" s="70">
        <f t="shared" si="24"/>
        <v>1.3034285714285665E-2</v>
      </c>
      <c r="V26" s="70">
        <f t="shared" si="24"/>
        <v>1.3399999999999967E-2</v>
      </c>
      <c r="W26" s="70">
        <f t="shared" si="24"/>
        <v>1.376571428571427E-2</v>
      </c>
      <c r="X26" s="70">
        <f t="shared" si="24"/>
        <v>1.4131428571428573E-2</v>
      </c>
      <c r="Y26" s="70">
        <f t="shared" si="24"/>
        <v>1.4497142857142875E-2</v>
      </c>
      <c r="Z26" s="70">
        <f t="shared" si="24"/>
        <v>1.4862857142857178E-2</v>
      </c>
      <c r="AA26" s="70">
        <f t="shared" si="24"/>
        <v>1.522857142857148E-2</v>
      </c>
      <c r="AB26" s="70">
        <f t="shared" si="24"/>
        <v>1.5594285714285672E-2</v>
      </c>
      <c r="AC26" s="70">
        <f t="shared" si="24"/>
        <v>1.5959999999999974E-2</v>
      </c>
      <c r="AD26" s="70">
        <f t="shared" si="24"/>
        <v>1.6325714285714277E-2</v>
      </c>
      <c r="AE26" s="70">
        <f t="shared" si="24"/>
        <v>1.6691428571428579E-2</v>
      </c>
      <c r="AF26" s="70">
        <f t="shared" si="24"/>
        <v>1.7057142857142882E-2</v>
      </c>
      <c r="AG26" s="70">
        <f t="shared" si="24"/>
        <v>1.7422857142857184E-2</v>
      </c>
      <c r="AH26" s="70">
        <f t="shared" si="24"/>
        <v>1.7788571428571487E-2</v>
      </c>
      <c r="AI26" s="70">
        <f t="shared" si="24"/>
        <v>1.8154285714285678E-2</v>
      </c>
      <c r="AJ26" s="70">
        <f t="shared" si="24"/>
        <v>1.8519999999999981E-2</v>
      </c>
      <c r="AK26" s="70">
        <f t="shared" si="24"/>
        <v>1.8885714285714283E-2</v>
      </c>
      <c r="AL26" s="70">
        <f t="shared" si="24"/>
        <v>1.9251428571428586E-2</v>
      </c>
      <c r="AM26" s="70">
        <f t="shared" si="24"/>
        <v>1.9617142857142889E-2</v>
      </c>
      <c r="AN26" s="70">
        <f t="shared" si="24"/>
        <v>1.9982857142857191E-2</v>
      </c>
      <c r="AO26" s="70">
        <f t="shared" si="24"/>
        <v>2.0348571428571494E-2</v>
      </c>
      <c r="AP26" s="70">
        <f t="shared" si="24"/>
        <v>2.0714285714285685E-2</v>
      </c>
      <c r="AQ26" s="70">
        <f t="shared" si="24"/>
        <v>2.1079999999999988E-2</v>
      </c>
      <c r="AR26" s="70">
        <f t="shared" si="24"/>
        <v>2.144571428571429E-2</v>
      </c>
      <c r="AS26" s="70">
        <f t="shared" si="24"/>
        <v>2.1811428571428593E-2</v>
      </c>
      <c r="AT26" s="70">
        <f t="shared" si="24"/>
        <v>2.2177142857142895E-2</v>
      </c>
      <c r="AU26" s="70">
        <f t="shared" si="24"/>
        <v>2.2542857142857198E-2</v>
      </c>
      <c r="AV26" s="70">
        <f t="shared" si="24"/>
        <v>2.2908571428571389E-2</v>
      </c>
      <c r="AW26" s="70">
        <f t="shared" si="24"/>
        <v>2.3274285714285692E-2</v>
      </c>
      <c r="AX26" s="70">
        <f t="shared" si="24"/>
        <v>2.3639999999999994E-2</v>
      </c>
      <c r="AY26" s="70">
        <f t="shared" si="24"/>
        <v>2.4005714285714297E-2</v>
      </c>
      <c r="AZ26" s="70">
        <f t="shared" si="24"/>
        <v>2.4371428571428599E-2</v>
      </c>
      <c r="BA26" s="70">
        <f t="shared" si="24"/>
        <v>2.4737142857142902E-2</v>
      </c>
    </row>
    <row r="27" spans="1:53" ht="15.75" customHeight="1" x14ac:dyDescent="0.25">
      <c r="A27" s="70" t="s">
        <v>139</v>
      </c>
      <c r="B27" s="70">
        <f t="shared" ref="B27:BA27" si="25">B50</f>
        <v>5.7999999999999996E-3</v>
      </c>
      <c r="C27" s="70">
        <f t="shared" si="25"/>
        <v>5.9999999999999995E-4</v>
      </c>
      <c r="D27" s="70">
        <f t="shared" si="25"/>
        <v>9.5999999999999992E-3</v>
      </c>
      <c r="E27" s="70">
        <f t="shared" si="25"/>
        <v>1.54E-2</v>
      </c>
      <c r="F27" s="70">
        <f t="shared" si="25"/>
        <v>7.6E-3</v>
      </c>
      <c r="G27" s="70">
        <f t="shared" si="25"/>
        <v>3.0000000000000001E-3</v>
      </c>
      <c r="H27" s="70">
        <f t="shared" si="25"/>
        <v>8.2799999999999541E-3</v>
      </c>
      <c r="I27" s="70">
        <f t="shared" si="25"/>
        <v>8.6457142857142566E-3</v>
      </c>
      <c r="J27" s="70">
        <f t="shared" si="25"/>
        <v>9.0114285714285591E-3</v>
      </c>
      <c r="K27" s="70">
        <f t="shared" si="25"/>
        <v>9.3771428571428617E-3</v>
      </c>
      <c r="L27" s="70">
        <f t="shared" si="25"/>
        <v>9.7428571428571642E-3</v>
      </c>
      <c r="M27" s="70">
        <f t="shared" si="25"/>
        <v>1.0108571428571467E-2</v>
      </c>
      <c r="N27" s="70">
        <f t="shared" si="25"/>
        <v>1.0474285714285769E-2</v>
      </c>
      <c r="O27" s="70">
        <f t="shared" si="25"/>
        <v>1.0839999999999961E-2</v>
      </c>
      <c r="P27" s="70">
        <f t="shared" si="25"/>
        <v>1.1205714285714263E-2</v>
      </c>
      <c r="Q27" s="70">
        <f t="shared" si="25"/>
        <v>1.1571428571428566E-2</v>
      </c>
      <c r="R27" s="70">
        <f t="shared" si="25"/>
        <v>1.1937142857142868E-2</v>
      </c>
      <c r="S27" s="70">
        <f t="shared" si="25"/>
        <v>1.2302857142857171E-2</v>
      </c>
      <c r="T27" s="70">
        <f t="shared" si="25"/>
        <v>1.2668571428571473E-2</v>
      </c>
      <c r="U27" s="70">
        <f t="shared" si="25"/>
        <v>1.3034285714285665E-2</v>
      </c>
      <c r="V27" s="70">
        <f t="shared" si="25"/>
        <v>1.3399999999999967E-2</v>
      </c>
      <c r="W27" s="70">
        <f t="shared" si="25"/>
        <v>1.376571428571427E-2</v>
      </c>
      <c r="X27" s="70">
        <f t="shared" si="25"/>
        <v>1.4131428571428573E-2</v>
      </c>
      <c r="Y27" s="70">
        <f t="shared" si="25"/>
        <v>1.4497142857142875E-2</v>
      </c>
      <c r="Z27" s="70">
        <f t="shared" si="25"/>
        <v>1.4862857142857178E-2</v>
      </c>
      <c r="AA27" s="70">
        <f t="shared" si="25"/>
        <v>1.522857142857148E-2</v>
      </c>
      <c r="AB27" s="70">
        <f t="shared" si="25"/>
        <v>1.5594285714285672E-2</v>
      </c>
      <c r="AC27" s="70">
        <f t="shared" si="25"/>
        <v>1.5959999999999974E-2</v>
      </c>
      <c r="AD27" s="70">
        <f t="shared" si="25"/>
        <v>1.6325714285714277E-2</v>
      </c>
      <c r="AE27" s="70">
        <f t="shared" si="25"/>
        <v>1.6691428571428579E-2</v>
      </c>
      <c r="AF27" s="70">
        <f t="shared" si="25"/>
        <v>1.7057142857142882E-2</v>
      </c>
      <c r="AG27" s="70">
        <f t="shared" si="25"/>
        <v>1.7422857142857184E-2</v>
      </c>
      <c r="AH27" s="70">
        <f t="shared" si="25"/>
        <v>1.7788571428571487E-2</v>
      </c>
      <c r="AI27" s="70">
        <f t="shared" si="25"/>
        <v>1.8154285714285678E-2</v>
      </c>
      <c r="AJ27" s="70">
        <f t="shared" si="25"/>
        <v>1.8519999999999981E-2</v>
      </c>
      <c r="AK27" s="70">
        <f t="shared" si="25"/>
        <v>1.8885714285714283E-2</v>
      </c>
      <c r="AL27" s="70">
        <f t="shared" si="25"/>
        <v>1.9251428571428586E-2</v>
      </c>
      <c r="AM27" s="70">
        <f t="shared" si="25"/>
        <v>1.9617142857142889E-2</v>
      </c>
      <c r="AN27" s="70">
        <f t="shared" si="25"/>
        <v>1.9982857142857191E-2</v>
      </c>
      <c r="AO27" s="70">
        <f t="shared" si="25"/>
        <v>2.0348571428571494E-2</v>
      </c>
      <c r="AP27" s="70">
        <f t="shared" si="25"/>
        <v>2.0714285714285685E-2</v>
      </c>
      <c r="AQ27" s="70">
        <f t="shared" si="25"/>
        <v>2.1079999999999988E-2</v>
      </c>
      <c r="AR27" s="70">
        <f t="shared" si="25"/>
        <v>2.144571428571429E-2</v>
      </c>
      <c r="AS27" s="70">
        <f t="shared" si="25"/>
        <v>2.1811428571428593E-2</v>
      </c>
      <c r="AT27" s="70">
        <f t="shared" si="25"/>
        <v>2.2177142857142895E-2</v>
      </c>
      <c r="AU27" s="70">
        <f t="shared" si="25"/>
        <v>2.2542857142857198E-2</v>
      </c>
      <c r="AV27" s="70">
        <f t="shared" si="25"/>
        <v>2.2908571428571389E-2</v>
      </c>
      <c r="AW27" s="70">
        <f t="shared" si="25"/>
        <v>2.3274285714285692E-2</v>
      </c>
      <c r="AX27" s="70">
        <f t="shared" si="25"/>
        <v>2.3639999999999994E-2</v>
      </c>
      <c r="AY27" s="70">
        <f t="shared" si="25"/>
        <v>2.4005714285714297E-2</v>
      </c>
      <c r="AZ27" s="70">
        <f t="shared" si="25"/>
        <v>2.4371428571428599E-2</v>
      </c>
      <c r="BA27" s="70">
        <f t="shared" si="25"/>
        <v>2.4737142857142902E-2</v>
      </c>
    </row>
    <row r="28" spans="1:53" ht="15.75" customHeight="1" x14ac:dyDescent="0.25">
      <c r="A28" s="70" t="s">
        <v>78</v>
      </c>
      <c r="B28" s="70">
        <f t="shared" ref="B28:BA28" si="26">B52</f>
        <v>0.03</v>
      </c>
      <c r="C28" s="70">
        <f t="shared" si="26"/>
        <v>3.8E-3</v>
      </c>
      <c r="D28" s="70">
        <f t="shared" si="26"/>
        <v>4.2699999999999995E-2</v>
      </c>
      <c r="E28" s="70">
        <f t="shared" si="26"/>
        <v>5.8400000000000001E-2</v>
      </c>
      <c r="F28" s="70">
        <f t="shared" si="26"/>
        <v>3.2599999999999997E-2</v>
      </c>
      <c r="G28" s="70">
        <f t="shared" si="26"/>
        <v>7.0999999999999995E-3</v>
      </c>
      <c r="H28" s="70">
        <f t="shared" si="26"/>
        <v>2.7859999999999996E-2</v>
      </c>
      <c r="I28" s="70">
        <f t="shared" si="26"/>
        <v>2.7505714285714356E-2</v>
      </c>
      <c r="J28" s="70">
        <f t="shared" si="26"/>
        <v>2.7151428571428604E-2</v>
      </c>
      <c r="K28" s="70">
        <f t="shared" si="26"/>
        <v>2.6797142857142853E-2</v>
      </c>
      <c r="L28" s="70">
        <f t="shared" si="26"/>
        <v>2.6442857142857212E-2</v>
      </c>
      <c r="M28" s="70">
        <f t="shared" si="26"/>
        <v>2.6088571428571461E-2</v>
      </c>
      <c r="N28" s="70">
        <f t="shared" si="26"/>
        <v>2.573428571428571E-2</v>
      </c>
      <c r="O28" s="70">
        <f t="shared" si="26"/>
        <v>2.5380000000000069E-2</v>
      </c>
      <c r="P28" s="70">
        <f t="shared" si="26"/>
        <v>2.5025714285714318E-2</v>
      </c>
      <c r="Q28" s="70">
        <f t="shared" si="26"/>
        <v>2.4671428571428566E-2</v>
      </c>
      <c r="R28" s="70">
        <f t="shared" si="26"/>
        <v>2.4317142857142926E-2</v>
      </c>
      <c r="S28" s="70">
        <f t="shared" si="26"/>
        <v>2.3962857142857175E-2</v>
      </c>
      <c r="T28" s="70">
        <f t="shared" si="26"/>
        <v>2.3608571428571423E-2</v>
      </c>
      <c r="U28" s="70">
        <f t="shared" si="26"/>
        <v>2.3254285714285783E-2</v>
      </c>
      <c r="V28" s="70">
        <f t="shared" si="26"/>
        <v>2.2900000000000031E-2</v>
      </c>
      <c r="W28" s="70">
        <f t="shared" si="26"/>
        <v>2.254571428571428E-2</v>
      </c>
      <c r="X28" s="70">
        <f t="shared" si="26"/>
        <v>2.219142857142864E-2</v>
      </c>
      <c r="Y28" s="70">
        <f t="shared" si="26"/>
        <v>2.1837142857142888E-2</v>
      </c>
      <c r="Z28" s="70">
        <f t="shared" si="26"/>
        <v>2.1482857142857137E-2</v>
      </c>
      <c r="AA28" s="70">
        <f t="shared" si="26"/>
        <v>2.1128571428571497E-2</v>
      </c>
      <c r="AB28" s="70">
        <f t="shared" si="26"/>
        <v>2.0774285714285745E-2</v>
      </c>
      <c r="AC28" s="70">
        <f t="shared" si="26"/>
        <v>2.0419999999999994E-2</v>
      </c>
      <c r="AD28" s="70">
        <f t="shared" si="26"/>
        <v>2.0065714285714353E-2</v>
      </c>
      <c r="AE28" s="70">
        <f t="shared" si="26"/>
        <v>1.9711428571428602E-2</v>
      </c>
      <c r="AF28" s="70">
        <f t="shared" si="26"/>
        <v>1.9357142857142851E-2</v>
      </c>
      <c r="AG28" s="70">
        <f t="shared" si="26"/>
        <v>1.900285714285721E-2</v>
      </c>
      <c r="AH28" s="70">
        <f t="shared" si="26"/>
        <v>1.8648571428571459E-2</v>
      </c>
      <c r="AI28" s="70">
        <f t="shared" si="26"/>
        <v>1.8294285714285707E-2</v>
      </c>
      <c r="AJ28" s="70">
        <f t="shared" si="26"/>
        <v>1.7940000000000067E-2</v>
      </c>
      <c r="AK28" s="70">
        <f t="shared" si="26"/>
        <v>1.7585714285714316E-2</v>
      </c>
      <c r="AL28" s="70">
        <f t="shared" si="26"/>
        <v>1.7231428571428564E-2</v>
      </c>
      <c r="AM28" s="70">
        <f t="shared" si="26"/>
        <v>1.6877142857142924E-2</v>
      </c>
      <c r="AN28" s="70">
        <f t="shared" si="26"/>
        <v>1.6522857142857172E-2</v>
      </c>
      <c r="AO28" s="70">
        <f t="shared" si="26"/>
        <v>1.6168571428571421E-2</v>
      </c>
      <c r="AP28" s="70">
        <f t="shared" si="26"/>
        <v>1.5814285714285781E-2</v>
      </c>
      <c r="AQ28" s="70">
        <f t="shared" si="26"/>
        <v>1.5460000000000029E-2</v>
      </c>
      <c r="AR28" s="70">
        <f t="shared" si="26"/>
        <v>1.5105714285714278E-2</v>
      </c>
      <c r="AS28" s="70">
        <f t="shared" si="26"/>
        <v>1.4751428571428638E-2</v>
      </c>
      <c r="AT28" s="70">
        <f t="shared" si="26"/>
        <v>1.4397142857142886E-2</v>
      </c>
      <c r="AU28" s="70">
        <f t="shared" si="26"/>
        <v>1.4042857142857135E-2</v>
      </c>
      <c r="AV28" s="70">
        <f t="shared" si="26"/>
        <v>1.3688571428571494E-2</v>
      </c>
      <c r="AW28" s="70">
        <f t="shared" si="26"/>
        <v>1.3334285714285743E-2</v>
      </c>
      <c r="AX28" s="70">
        <f t="shared" si="26"/>
        <v>1.2979999999999992E-2</v>
      </c>
      <c r="AY28" s="70">
        <f t="shared" si="26"/>
        <v>1.2625714285714351E-2</v>
      </c>
      <c r="AZ28" s="70">
        <f t="shared" si="26"/>
        <v>1.22714285714286E-2</v>
      </c>
      <c r="BA28" s="70">
        <f t="shared" si="26"/>
        <v>1.1917142857142848E-2</v>
      </c>
    </row>
    <row r="29" spans="1:53" ht="15.75" customHeight="1" x14ac:dyDescent="0.25">
      <c r="A29" s="70" t="s">
        <v>82</v>
      </c>
      <c r="B29" s="70">
        <f t="shared" ref="B29:BA29" si="27">B54</f>
        <v>5.7599999999999998E-2</v>
      </c>
      <c r="C29" s="70">
        <f t="shared" si="27"/>
        <v>4.3400000000000001E-2</v>
      </c>
      <c r="D29" s="70">
        <f t="shared" si="27"/>
        <v>2.3799999999999998E-2</v>
      </c>
      <c r="E29" s="70">
        <f t="shared" si="27"/>
        <v>4.8399999999999999E-2</v>
      </c>
      <c r="F29" s="70">
        <f t="shared" si="27"/>
        <v>4.0899999999999999E-2</v>
      </c>
      <c r="G29" s="70">
        <f t="shared" si="27"/>
        <v>1.06E-2</v>
      </c>
      <c r="H29" s="70">
        <f t="shared" si="27"/>
        <v>1.5660000000000451E-2</v>
      </c>
      <c r="I29" s="70">
        <f t="shared" si="27"/>
        <v>9.4342857142866166E-3</v>
      </c>
      <c r="J29" s="70">
        <f t="shared" si="27"/>
        <v>3.2085714285710054E-3</v>
      </c>
      <c r="K29" s="70">
        <f t="shared" si="27"/>
        <v>3.2085714285710054E-3</v>
      </c>
      <c r="L29" s="70">
        <f t="shared" si="27"/>
        <v>3.2085714285710054E-3</v>
      </c>
      <c r="M29" s="70">
        <f t="shared" si="27"/>
        <v>3.2085714285710054E-3</v>
      </c>
      <c r="N29" s="70">
        <f t="shared" si="27"/>
        <v>3.2085714285710054E-3</v>
      </c>
      <c r="O29" s="70">
        <f t="shared" si="27"/>
        <v>3.2085714285710054E-3</v>
      </c>
      <c r="P29" s="70">
        <f t="shared" si="27"/>
        <v>3.2085714285710054E-3</v>
      </c>
      <c r="Q29" s="70">
        <f t="shared" si="27"/>
        <v>3.2085714285710054E-3</v>
      </c>
      <c r="R29" s="70">
        <f t="shared" si="27"/>
        <v>3.2085714285710054E-3</v>
      </c>
      <c r="S29" s="70">
        <f t="shared" si="27"/>
        <v>3.2085714285710054E-3</v>
      </c>
      <c r="T29" s="70">
        <f t="shared" si="27"/>
        <v>3.2085714285710054E-3</v>
      </c>
      <c r="U29" s="70">
        <f t="shared" si="27"/>
        <v>3.2085714285710054E-3</v>
      </c>
      <c r="V29" s="70">
        <f t="shared" si="27"/>
        <v>3.2085714285710054E-3</v>
      </c>
      <c r="W29" s="70">
        <f t="shared" si="27"/>
        <v>3.2085714285710054E-3</v>
      </c>
      <c r="X29" s="70">
        <f t="shared" si="27"/>
        <v>3.2085714285710054E-3</v>
      </c>
      <c r="Y29" s="70">
        <f t="shared" si="27"/>
        <v>3.2085714285710054E-3</v>
      </c>
      <c r="Z29" s="70">
        <f t="shared" si="27"/>
        <v>3.2085714285710054E-3</v>
      </c>
      <c r="AA29" s="70">
        <f t="shared" si="27"/>
        <v>3.2085714285710054E-3</v>
      </c>
      <c r="AB29" s="70">
        <f t="shared" si="27"/>
        <v>3.2085714285710054E-3</v>
      </c>
      <c r="AC29" s="70">
        <f t="shared" si="27"/>
        <v>3.2085714285710054E-3</v>
      </c>
      <c r="AD29" s="70">
        <f t="shared" si="27"/>
        <v>3.2085714285710054E-3</v>
      </c>
      <c r="AE29" s="70">
        <f t="shared" si="27"/>
        <v>3.2085714285710054E-3</v>
      </c>
      <c r="AF29" s="70">
        <f t="shared" si="27"/>
        <v>3.2085714285710054E-3</v>
      </c>
      <c r="AG29" s="70">
        <f t="shared" si="27"/>
        <v>3.2085714285710054E-3</v>
      </c>
      <c r="AH29" s="70">
        <f t="shared" si="27"/>
        <v>3.2085714285710054E-3</v>
      </c>
      <c r="AI29" s="70">
        <f t="shared" si="27"/>
        <v>3.2085714285710054E-3</v>
      </c>
      <c r="AJ29" s="70">
        <f t="shared" si="27"/>
        <v>3.2085714285710054E-3</v>
      </c>
      <c r="AK29" s="70">
        <f t="shared" si="27"/>
        <v>3.2085714285710054E-3</v>
      </c>
      <c r="AL29" s="70">
        <f t="shared" si="27"/>
        <v>3.2085714285710054E-3</v>
      </c>
      <c r="AM29" s="70">
        <f t="shared" si="27"/>
        <v>3.2085714285710054E-3</v>
      </c>
      <c r="AN29" s="70">
        <f t="shared" si="27"/>
        <v>3.2085714285710054E-3</v>
      </c>
      <c r="AO29" s="70">
        <f t="shared" si="27"/>
        <v>3.2085714285710054E-3</v>
      </c>
      <c r="AP29" s="70">
        <f t="shared" si="27"/>
        <v>3.2085714285710054E-3</v>
      </c>
      <c r="AQ29" s="70">
        <f t="shared" si="27"/>
        <v>3.2085714285710054E-3</v>
      </c>
      <c r="AR29" s="70">
        <f t="shared" si="27"/>
        <v>3.2085714285710054E-3</v>
      </c>
      <c r="AS29" s="70">
        <f t="shared" si="27"/>
        <v>3.2085714285710054E-3</v>
      </c>
      <c r="AT29" s="70">
        <f t="shared" si="27"/>
        <v>3.2085714285710054E-3</v>
      </c>
      <c r="AU29" s="70">
        <f t="shared" si="27"/>
        <v>3.2085714285710054E-3</v>
      </c>
      <c r="AV29" s="70">
        <f t="shared" si="27"/>
        <v>3.2085714285710054E-3</v>
      </c>
      <c r="AW29" s="70">
        <f t="shared" si="27"/>
        <v>3.2085714285710054E-3</v>
      </c>
      <c r="AX29" s="70">
        <f t="shared" si="27"/>
        <v>3.2085714285710054E-3</v>
      </c>
      <c r="AY29" s="70">
        <f t="shared" si="27"/>
        <v>3.2085714285710054E-3</v>
      </c>
      <c r="AZ29" s="70">
        <f t="shared" si="27"/>
        <v>3.2085714285710054E-3</v>
      </c>
      <c r="BA29" s="70">
        <f t="shared" si="27"/>
        <v>3.2085714285710054E-3</v>
      </c>
    </row>
    <row r="30" spans="1:53" ht="15.75" customHeight="1" x14ac:dyDescent="0.25">
      <c r="A30" s="70" t="s">
        <v>89</v>
      </c>
      <c r="B30" s="70">
        <f t="shared" ref="B30:BA30" si="28">B55</f>
        <v>9.1000000000000004E-3</v>
      </c>
      <c r="C30" s="70">
        <f t="shared" si="28"/>
        <v>6.0000000000000001E-3</v>
      </c>
      <c r="D30" s="70">
        <f t="shared" si="28"/>
        <v>7.3000000000000001E-3</v>
      </c>
      <c r="E30" s="70">
        <f t="shared" si="28"/>
        <v>1.8000000000000002E-2</v>
      </c>
      <c r="F30" s="70">
        <f t="shared" si="28"/>
        <v>1.2E-2</v>
      </c>
      <c r="G30" s="70">
        <f t="shared" si="28"/>
        <v>2.2700000000000001E-2</v>
      </c>
      <c r="H30" s="70">
        <f t="shared" si="28"/>
        <v>2.2186666666666355E-2</v>
      </c>
      <c r="I30" s="70">
        <f t="shared" si="28"/>
        <v>2.4949523809524088E-2</v>
      </c>
      <c r="J30" s="70">
        <f t="shared" si="28"/>
        <v>2.7712380952380933E-2</v>
      </c>
      <c r="K30" s="70">
        <f t="shared" si="28"/>
        <v>3.0475238095237778E-2</v>
      </c>
      <c r="L30" s="70">
        <f t="shared" si="28"/>
        <v>3.3238095238095511E-2</v>
      </c>
      <c r="M30" s="70">
        <f t="shared" si="28"/>
        <v>3.6000952380952356E-2</v>
      </c>
      <c r="N30" s="70">
        <f t="shared" si="28"/>
        <v>3.8763809523809201E-2</v>
      </c>
      <c r="O30" s="70">
        <f t="shared" si="28"/>
        <v>4.1526666666666934E-2</v>
      </c>
      <c r="P30" s="70">
        <f t="shared" si="28"/>
        <v>4.4289523809523779E-2</v>
      </c>
      <c r="Q30" s="70">
        <f t="shared" si="28"/>
        <v>4.7052380952380624E-2</v>
      </c>
      <c r="R30" s="70">
        <f t="shared" si="28"/>
        <v>4.9815238095238357E-2</v>
      </c>
      <c r="S30" s="70">
        <f t="shared" si="28"/>
        <v>5.2578095238095202E-2</v>
      </c>
      <c r="T30" s="70">
        <f t="shared" si="28"/>
        <v>5.5340952380952046E-2</v>
      </c>
      <c r="U30" s="70">
        <f t="shared" si="28"/>
        <v>5.810380952380978E-2</v>
      </c>
      <c r="V30" s="70">
        <f t="shared" si="28"/>
        <v>6.0866666666666625E-2</v>
      </c>
      <c r="W30" s="70">
        <f t="shared" si="28"/>
        <v>6.3629523809523469E-2</v>
      </c>
      <c r="X30" s="70">
        <f t="shared" si="28"/>
        <v>6.6392380952381203E-2</v>
      </c>
      <c r="Y30" s="70">
        <f t="shared" si="28"/>
        <v>6.9155238095238047E-2</v>
      </c>
      <c r="Z30" s="70">
        <f t="shared" si="28"/>
        <v>7.1918095238094892E-2</v>
      </c>
      <c r="AA30" s="70">
        <f t="shared" si="28"/>
        <v>7.4680952380952625E-2</v>
      </c>
      <c r="AB30" s="70">
        <f t="shared" si="28"/>
        <v>7.744380952380947E-2</v>
      </c>
      <c r="AC30" s="70">
        <f t="shared" si="28"/>
        <v>8.0206666666666315E-2</v>
      </c>
      <c r="AD30" s="70">
        <f t="shared" si="28"/>
        <v>8.2969523809524048E-2</v>
      </c>
      <c r="AE30" s="70">
        <f t="shared" si="28"/>
        <v>8.5732380952380893E-2</v>
      </c>
      <c r="AF30" s="70">
        <f t="shared" si="28"/>
        <v>8.8495238095237738E-2</v>
      </c>
      <c r="AG30" s="70">
        <f t="shared" si="28"/>
        <v>9.1258095238095471E-2</v>
      </c>
      <c r="AH30" s="70">
        <f t="shared" si="28"/>
        <v>9.4020952380952316E-2</v>
      </c>
      <c r="AI30" s="70">
        <f t="shared" si="28"/>
        <v>9.6783809523809161E-2</v>
      </c>
      <c r="AJ30" s="70">
        <f t="shared" si="28"/>
        <v>9.9546666666666894E-2</v>
      </c>
      <c r="AK30" s="70">
        <f t="shared" si="28"/>
        <v>0.10230952380952374</v>
      </c>
      <c r="AL30" s="70">
        <f t="shared" si="28"/>
        <v>0.10507238095238058</v>
      </c>
      <c r="AM30" s="70">
        <f t="shared" si="28"/>
        <v>0.10783523809523832</v>
      </c>
      <c r="AN30" s="70">
        <f t="shared" si="28"/>
        <v>0.11059809523809516</v>
      </c>
      <c r="AO30" s="70">
        <f t="shared" si="28"/>
        <v>0.11336095238095201</v>
      </c>
      <c r="AP30" s="70">
        <f t="shared" si="28"/>
        <v>0.11612380952380974</v>
      </c>
      <c r="AQ30" s="70">
        <f t="shared" si="28"/>
        <v>0.11888666666666659</v>
      </c>
      <c r="AR30" s="70">
        <f t="shared" si="28"/>
        <v>0.12164952380952343</v>
      </c>
      <c r="AS30" s="70">
        <f t="shared" si="28"/>
        <v>0.12441238095238116</v>
      </c>
      <c r="AT30" s="70">
        <f t="shared" si="28"/>
        <v>0.12717523809523801</v>
      </c>
      <c r="AU30" s="70">
        <f t="shared" si="28"/>
        <v>0.12993809523809485</v>
      </c>
      <c r="AV30" s="70">
        <f t="shared" si="28"/>
        <v>0.13270095238095259</v>
      </c>
      <c r="AW30" s="70">
        <f t="shared" si="28"/>
        <v>0.13546380952380943</v>
      </c>
      <c r="AX30" s="70">
        <f t="shared" si="28"/>
        <v>0.13822666666666628</v>
      </c>
      <c r="AY30" s="70">
        <f t="shared" si="28"/>
        <v>0.14098952380952401</v>
      </c>
      <c r="AZ30" s="70">
        <f t="shared" si="28"/>
        <v>0.14375238095238085</v>
      </c>
      <c r="BA30" s="70">
        <f t="shared" si="28"/>
        <v>0.1465152380952377</v>
      </c>
    </row>
    <row r="31" spans="1:53" ht="15.75" customHeight="1" x14ac:dyDescent="0.25">
      <c r="A31" s="70" t="s">
        <v>91</v>
      </c>
      <c r="B31" s="70">
        <f t="shared" ref="B31:BA31" si="29">B56</f>
        <v>2.4399999999999998E-2</v>
      </c>
      <c r="C31" s="70">
        <f t="shared" si="29"/>
        <v>4.3E-3</v>
      </c>
      <c r="D31" s="70">
        <f t="shared" si="29"/>
        <v>7.3000000000000001E-3</v>
      </c>
      <c r="E31" s="70">
        <f t="shared" si="29"/>
        <v>7.4999999999999997E-3</v>
      </c>
      <c r="F31" s="70">
        <f t="shared" si="29"/>
        <v>1.0500000000000001E-2</v>
      </c>
      <c r="G31" s="70">
        <f t="shared" si="29"/>
        <v>0.01</v>
      </c>
      <c r="H31" s="70">
        <f t="shared" si="29"/>
        <v>5.3466666666666107E-3</v>
      </c>
      <c r="I31" s="70">
        <f t="shared" si="29"/>
        <v>3.8266666666668669E-3</v>
      </c>
      <c r="J31" s="70">
        <f t="shared" si="29"/>
        <v>2.3066666666666791E-3</v>
      </c>
      <c r="K31" s="70">
        <f t="shared" si="29"/>
        <v>7.866666666669353E-4</v>
      </c>
      <c r="L31" s="70">
        <f t="shared" si="29"/>
        <v>7.866666666669353E-4</v>
      </c>
      <c r="M31" s="70">
        <f t="shared" si="29"/>
        <v>7.866666666669353E-4</v>
      </c>
      <c r="N31" s="70">
        <f t="shared" si="29"/>
        <v>7.866666666669353E-4</v>
      </c>
      <c r="O31" s="70">
        <f t="shared" si="29"/>
        <v>7.866666666669353E-4</v>
      </c>
      <c r="P31" s="70">
        <f t="shared" si="29"/>
        <v>7.866666666669353E-4</v>
      </c>
      <c r="Q31" s="70">
        <f t="shared" si="29"/>
        <v>7.866666666669353E-4</v>
      </c>
      <c r="R31" s="70">
        <f t="shared" si="29"/>
        <v>7.866666666669353E-4</v>
      </c>
      <c r="S31" s="70">
        <f t="shared" si="29"/>
        <v>7.866666666669353E-4</v>
      </c>
      <c r="T31" s="70">
        <f t="shared" si="29"/>
        <v>7.866666666669353E-4</v>
      </c>
      <c r="U31" s="70">
        <f t="shared" si="29"/>
        <v>7.866666666669353E-4</v>
      </c>
      <c r="V31" s="70">
        <f t="shared" si="29"/>
        <v>7.866666666669353E-4</v>
      </c>
      <c r="W31" s="70">
        <f t="shared" si="29"/>
        <v>7.866666666669353E-4</v>
      </c>
      <c r="X31" s="70">
        <f t="shared" si="29"/>
        <v>7.866666666669353E-4</v>
      </c>
      <c r="Y31" s="70">
        <f t="shared" si="29"/>
        <v>7.866666666669353E-4</v>
      </c>
      <c r="Z31" s="70">
        <f t="shared" si="29"/>
        <v>7.866666666669353E-4</v>
      </c>
      <c r="AA31" s="70">
        <f t="shared" si="29"/>
        <v>7.866666666669353E-4</v>
      </c>
      <c r="AB31" s="70">
        <f t="shared" si="29"/>
        <v>7.866666666669353E-4</v>
      </c>
      <c r="AC31" s="70">
        <f t="shared" si="29"/>
        <v>7.866666666669353E-4</v>
      </c>
      <c r="AD31" s="70">
        <f t="shared" si="29"/>
        <v>7.866666666669353E-4</v>
      </c>
      <c r="AE31" s="70">
        <f t="shared" si="29"/>
        <v>7.866666666669353E-4</v>
      </c>
      <c r="AF31" s="70">
        <f t="shared" si="29"/>
        <v>7.866666666669353E-4</v>
      </c>
      <c r="AG31" s="70">
        <f t="shared" si="29"/>
        <v>7.866666666669353E-4</v>
      </c>
      <c r="AH31" s="70">
        <f t="shared" si="29"/>
        <v>7.866666666669353E-4</v>
      </c>
      <c r="AI31" s="70">
        <f t="shared" si="29"/>
        <v>7.866666666669353E-4</v>
      </c>
      <c r="AJ31" s="70">
        <f t="shared" si="29"/>
        <v>7.866666666669353E-4</v>
      </c>
      <c r="AK31" s="70">
        <f t="shared" si="29"/>
        <v>7.866666666669353E-4</v>
      </c>
      <c r="AL31" s="70">
        <f t="shared" si="29"/>
        <v>7.866666666669353E-4</v>
      </c>
      <c r="AM31" s="70">
        <f t="shared" si="29"/>
        <v>7.866666666669353E-4</v>
      </c>
      <c r="AN31" s="70">
        <f t="shared" si="29"/>
        <v>7.866666666669353E-4</v>
      </c>
      <c r="AO31" s="70">
        <f t="shared" si="29"/>
        <v>7.866666666669353E-4</v>
      </c>
      <c r="AP31" s="70">
        <f t="shared" si="29"/>
        <v>7.866666666669353E-4</v>
      </c>
      <c r="AQ31" s="70">
        <f t="shared" si="29"/>
        <v>7.866666666669353E-4</v>
      </c>
      <c r="AR31" s="70">
        <f t="shared" si="29"/>
        <v>7.866666666669353E-4</v>
      </c>
      <c r="AS31" s="70">
        <f t="shared" si="29"/>
        <v>7.866666666669353E-4</v>
      </c>
      <c r="AT31" s="70">
        <f t="shared" si="29"/>
        <v>7.866666666669353E-4</v>
      </c>
      <c r="AU31" s="70">
        <f t="shared" si="29"/>
        <v>7.866666666669353E-4</v>
      </c>
      <c r="AV31" s="70">
        <f t="shared" si="29"/>
        <v>7.866666666669353E-4</v>
      </c>
      <c r="AW31" s="70">
        <f t="shared" si="29"/>
        <v>7.866666666669353E-4</v>
      </c>
      <c r="AX31" s="70">
        <f t="shared" si="29"/>
        <v>7.866666666669353E-4</v>
      </c>
      <c r="AY31" s="70">
        <f t="shared" si="29"/>
        <v>7.866666666669353E-4</v>
      </c>
      <c r="AZ31" s="70">
        <f t="shared" si="29"/>
        <v>7.866666666669353E-4</v>
      </c>
      <c r="BA31" s="70">
        <f t="shared" si="29"/>
        <v>7.866666666669353E-4</v>
      </c>
    </row>
    <row r="32" spans="1:53" ht="15.75" customHeight="1" x14ac:dyDescent="0.25">
      <c r="A32" s="70" t="s">
        <v>93</v>
      </c>
      <c r="B32" s="70">
        <f t="shared" ref="B32:BA32" si="30">B56</f>
        <v>2.4399999999999998E-2</v>
      </c>
      <c r="C32" s="70">
        <f t="shared" si="30"/>
        <v>4.3E-3</v>
      </c>
      <c r="D32" s="70">
        <f t="shared" si="30"/>
        <v>7.3000000000000001E-3</v>
      </c>
      <c r="E32" s="70">
        <f t="shared" si="30"/>
        <v>7.4999999999999997E-3</v>
      </c>
      <c r="F32" s="70">
        <f t="shared" si="30"/>
        <v>1.0500000000000001E-2</v>
      </c>
      <c r="G32" s="70">
        <f t="shared" si="30"/>
        <v>0.01</v>
      </c>
      <c r="H32" s="70">
        <f t="shared" si="30"/>
        <v>5.3466666666666107E-3</v>
      </c>
      <c r="I32" s="70">
        <f t="shared" si="30"/>
        <v>3.8266666666668669E-3</v>
      </c>
      <c r="J32" s="70">
        <f t="shared" si="30"/>
        <v>2.3066666666666791E-3</v>
      </c>
      <c r="K32" s="70">
        <f t="shared" si="30"/>
        <v>7.866666666669353E-4</v>
      </c>
      <c r="L32" s="70">
        <f t="shared" si="30"/>
        <v>7.866666666669353E-4</v>
      </c>
      <c r="M32" s="70">
        <f t="shared" si="30"/>
        <v>7.866666666669353E-4</v>
      </c>
      <c r="N32" s="70">
        <f t="shared" si="30"/>
        <v>7.866666666669353E-4</v>
      </c>
      <c r="O32" s="70">
        <f t="shared" si="30"/>
        <v>7.866666666669353E-4</v>
      </c>
      <c r="P32" s="70">
        <f t="shared" si="30"/>
        <v>7.866666666669353E-4</v>
      </c>
      <c r="Q32" s="70">
        <f t="shared" si="30"/>
        <v>7.866666666669353E-4</v>
      </c>
      <c r="R32" s="70">
        <f t="shared" si="30"/>
        <v>7.866666666669353E-4</v>
      </c>
      <c r="S32" s="70">
        <f t="shared" si="30"/>
        <v>7.866666666669353E-4</v>
      </c>
      <c r="T32" s="70">
        <f t="shared" si="30"/>
        <v>7.866666666669353E-4</v>
      </c>
      <c r="U32" s="70">
        <f t="shared" si="30"/>
        <v>7.866666666669353E-4</v>
      </c>
      <c r="V32" s="70">
        <f t="shared" si="30"/>
        <v>7.866666666669353E-4</v>
      </c>
      <c r="W32" s="70">
        <f t="shared" si="30"/>
        <v>7.866666666669353E-4</v>
      </c>
      <c r="X32" s="70">
        <f t="shared" si="30"/>
        <v>7.866666666669353E-4</v>
      </c>
      <c r="Y32" s="70">
        <f t="shared" si="30"/>
        <v>7.866666666669353E-4</v>
      </c>
      <c r="Z32" s="70">
        <f t="shared" si="30"/>
        <v>7.866666666669353E-4</v>
      </c>
      <c r="AA32" s="70">
        <f t="shared" si="30"/>
        <v>7.866666666669353E-4</v>
      </c>
      <c r="AB32" s="70">
        <f t="shared" si="30"/>
        <v>7.866666666669353E-4</v>
      </c>
      <c r="AC32" s="70">
        <f t="shared" si="30"/>
        <v>7.866666666669353E-4</v>
      </c>
      <c r="AD32" s="70">
        <f t="shared" si="30"/>
        <v>7.866666666669353E-4</v>
      </c>
      <c r="AE32" s="70">
        <f t="shared" si="30"/>
        <v>7.866666666669353E-4</v>
      </c>
      <c r="AF32" s="70">
        <f t="shared" si="30"/>
        <v>7.866666666669353E-4</v>
      </c>
      <c r="AG32" s="70">
        <f t="shared" si="30"/>
        <v>7.866666666669353E-4</v>
      </c>
      <c r="AH32" s="70">
        <f t="shared" si="30"/>
        <v>7.866666666669353E-4</v>
      </c>
      <c r="AI32" s="70">
        <f t="shared" si="30"/>
        <v>7.866666666669353E-4</v>
      </c>
      <c r="AJ32" s="70">
        <f t="shared" si="30"/>
        <v>7.866666666669353E-4</v>
      </c>
      <c r="AK32" s="70">
        <f t="shared" si="30"/>
        <v>7.866666666669353E-4</v>
      </c>
      <c r="AL32" s="70">
        <f t="shared" si="30"/>
        <v>7.866666666669353E-4</v>
      </c>
      <c r="AM32" s="70">
        <f t="shared" si="30"/>
        <v>7.866666666669353E-4</v>
      </c>
      <c r="AN32" s="70">
        <f t="shared" si="30"/>
        <v>7.866666666669353E-4</v>
      </c>
      <c r="AO32" s="70">
        <f t="shared" si="30"/>
        <v>7.866666666669353E-4</v>
      </c>
      <c r="AP32" s="70">
        <f t="shared" si="30"/>
        <v>7.866666666669353E-4</v>
      </c>
      <c r="AQ32" s="70">
        <f t="shared" si="30"/>
        <v>7.866666666669353E-4</v>
      </c>
      <c r="AR32" s="70">
        <f t="shared" si="30"/>
        <v>7.866666666669353E-4</v>
      </c>
      <c r="AS32" s="70">
        <f t="shared" si="30"/>
        <v>7.866666666669353E-4</v>
      </c>
      <c r="AT32" s="70">
        <f t="shared" si="30"/>
        <v>7.866666666669353E-4</v>
      </c>
      <c r="AU32" s="70">
        <f t="shared" si="30"/>
        <v>7.866666666669353E-4</v>
      </c>
      <c r="AV32" s="70">
        <f t="shared" si="30"/>
        <v>7.866666666669353E-4</v>
      </c>
      <c r="AW32" s="70">
        <f t="shared" si="30"/>
        <v>7.866666666669353E-4</v>
      </c>
      <c r="AX32" s="70">
        <f t="shared" si="30"/>
        <v>7.866666666669353E-4</v>
      </c>
      <c r="AY32" s="70">
        <f t="shared" si="30"/>
        <v>7.866666666669353E-4</v>
      </c>
      <c r="AZ32" s="70">
        <f t="shared" si="30"/>
        <v>7.866666666669353E-4</v>
      </c>
      <c r="BA32" s="70">
        <f t="shared" si="30"/>
        <v>7.866666666669353E-4</v>
      </c>
    </row>
    <row r="33" spans="1:53" ht="15.75" customHeight="1" x14ac:dyDescent="0.25">
      <c r="A33" s="70" t="s">
        <v>95</v>
      </c>
      <c r="B33" s="70">
        <f t="shared" ref="B33:BA33" si="31">B56</f>
        <v>2.4399999999999998E-2</v>
      </c>
      <c r="C33" s="70">
        <f t="shared" si="31"/>
        <v>4.3E-3</v>
      </c>
      <c r="D33" s="70">
        <f t="shared" si="31"/>
        <v>7.3000000000000001E-3</v>
      </c>
      <c r="E33" s="70">
        <f t="shared" si="31"/>
        <v>7.4999999999999997E-3</v>
      </c>
      <c r="F33" s="70">
        <f t="shared" si="31"/>
        <v>1.0500000000000001E-2</v>
      </c>
      <c r="G33" s="70">
        <f t="shared" si="31"/>
        <v>0.01</v>
      </c>
      <c r="H33" s="70">
        <f t="shared" si="31"/>
        <v>5.3466666666666107E-3</v>
      </c>
      <c r="I33" s="70">
        <f t="shared" si="31"/>
        <v>3.8266666666668669E-3</v>
      </c>
      <c r="J33" s="70">
        <f t="shared" si="31"/>
        <v>2.3066666666666791E-3</v>
      </c>
      <c r="K33" s="70">
        <f t="shared" si="31"/>
        <v>7.866666666669353E-4</v>
      </c>
      <c r="L33" s="70">
        <f t="shared" si="31"/>
        <v>7.866666666669353E-4</v>
      </c>
      <c r="M33" s="70">
        <f t="shared" si="31"/>
        <v>7.866666666669353E-4</v>
      </c>
      <c r="N33" s="70">
        <f t="shared" si="31"/>
        <v>7.866666666669353E-4</v>
      </c>
      <c r="O33" s="70">
        <f t="shared" si="31"/>
        <v>7.866666666669353E-4</v>
      </c>
      <c r="P33" s="70">
        <f t="shared" si="31"/>
        <v>7.866666666669353E-4</v>
      </c>
      <c r="Q33" s="70">
        <f t="shared" si="31"/>
        <v>7.866666666669353E-4</v>
      </c>
      <c r="R33" s="70">
        <f t="shared" si="31"/>
        <v>7.866666666669353E-4</v>
      </c>
      <c r="S33" s="70">
        <f t="shared" si="31"/>
        <v>7.866666666669353E-4</v>
      </c>
      <c r="T33" s="70">
        <f t="shared" si="31"/>
        <v>7.866666666669353E-4</v>
      </c>
      <c r="U33" s="70">
        <f t="shared" si="31"/>
        <v>7.866666666669353E-4</v>
      </c>
      <c r="V33" s="70">
        <f t="shared" si="31"/>
        <v>7.866666666669353E-4</v>
      </c>
      <c r="W33" s="70">
        <f t="shared" si="31"/>
        <v>7.866666666669353E-4</v>
      </c>
      <c r="X33" s="70">
        <f t="shared" si="31"/>
        <v>7.866666666669353E-4</v>
      </c>
      <c r="Y33" s="70">
        <f t="shared" si="31"/>
        <v>7.866666666669353E-4</v>
      </c>
      <c r="Z33" s="70">
        <f t="shared" si="31"/>
        <v>7.866666666669353E-4</v>
      </c>
      <c r="AA33" s="70">
        <f t="shared" si="31"/>
        <v>7.866666666669353E-4</v>
      </c>
      <c r="AB33" s="70">
        <f t="shared" si="31"/>
        <v>7.866666666669353E-4</v>
      </c>
      <c r="AC33" s="70">
        <f t="shared" si="31"/>
        <v>7.866666666669353E-4</v>
      </c>
      <c r="AD33" s="70">
        <f t="shared" si="31"/>
        <v>7.866666666669353E-4</v>
      </c>
      <c r="AE33" s="70">
        <f t="shared" si="31"/>
        <v>7.866666666669353E-4</v>
      </c>
      <c r="AF33" s="70">
        <f t="shared" si="31"/>
        <v>7.866666666669353E-4</v>
      </c>
      <c r="AG33" s="70">
        <f t="shared" si="31"/>
        <v>7.866666666669353E-4</v>
      </c>
      <c r="AH33" s="70">
        <f t="shared" si="31"/>
        <v>7.866666666669353E-4</v>
      </c>
      <c r="AI33" s="70">
        <f t="shared" si="31"/>
        <v>7.866666666669353E-4</v>
      </c>
      <c r="AJ33" s="70">
        <f t="shared" si="31"/>
        <v>7.866666666669353E-4</v>
      </c>
      <c r="AK33" s="70">
        <f t="shared" si="31"/>
        <v>7.866666666669353E-4</v>
      </c>
      <c r="AL33" s="70">
        <f t="shared" si="31"/>
        <v>7.866666666669353E-4</v>
      </c>
      <c r="AM33" s="70">
        <f t="shared" si="31"/>
        <v>7.866666666669353E-4</v>
      </c>
      <c r="AN33" s="70">
        <f t="shared" si="31"/>
        <v>7.866666666669353E-4</v>
      </c>
      <c r="AO33" s="70">
        <f t="shared" si="31"/>
        <v>7.866666666669353E-4</v>
      </c>
      <c r="AP33" s="70">
        <f t="shared" si="31"/>
        <v>7.866666666669353E-4</v>
      </c>
      <c r="AQ33" s="70">
        <f t="shared" si="31"/>
        <v>7.866666666669353E-4</v>
      </c>
      <c r="AR33" s="70">
        <f t="shared" si="31"/>
        <v>7.866666666669353E-4</v>
      </c>
      <c r="AS33" s="70">
        <f t="shared" si="31"/>
        <v>7.866666666669353E-4</v>
      </c>
      <c r="AT33" s="70">
        <f t="shared" si="31"/>
        <v>7.866666666669353E-4</v>
      </c>
      <c r="AU33" s="70">
        <f t="shared" si="31"/>
        <v>7.866666666669353E-4</v>
      </c>
      <c r="AV33" s="70">
        <f t="shared" si="31"/>
        <v>7.866666666669353E-4</v>
      </c>
      <c r="AW33" s="70">
        <f t="shared" si="31"/>
        <v>7.866666666669353E-4</v>
      </c>
      <c r="AX33" s="70">
        <f t="shared" si="31"/>
        <v>7.866666666669353E-4</v>
      </c>
      <c r="AY33" s="70">
        <f t="shared" si="31"/>
        <v>7.866666666669353E-4</v>
      </c>
      <c r="AZ33" s="70">
        <f t="shared" si="31"/>
        <v>7.866666666669353E-4</v>
      </c>
      <c r="BA33" s="70">
        <f t="shared" si="31"/>
        <v>7.866666666669353E-4</v>
      </c>
    </row>
    <row r="34" spans="1:53" ht="15.75" customHeight="1" x14ac:dyDescent="0.25">
      <c r="A34" s="70" t="s">
        <v>97</v>
      </c>
      <c r="B34" s="70">
        <f t="shared" ref="B34:BA34" si="32">B57</f>
        <v>2.5699999999999997E-2</v>
      </c>
      <c r="C34" s="70">
        <f t="shared" si="32"/>
        <v>4.0999999999999995E-3</v>
      </c>
      <c r="D34" s="70">
        <f t="shared" si="32"/>
        <v>4.1399999999999999E-2</v>
      </c>
      <c r="E34" s="70">
        <f t="shared" si="32"/>
        <v>4.2199999999999994E-2</v>
      </c>
      <c r="F34" s="70">
        <f t="shared" si="32"/>
        <v>3.6799999999999999E-2</v>
      </c>
      <c r="G34" s="70">
        <f t="shared" si="32"/>
        <v>2.1700000000000001E-2</v>
      </c>
      <c r="H34" s="70">
        <f t="shared" si="32"/>
        <v>3.6539999999999573E-2</v>
      </c>
      <c r="I34" s="70">
        <f t="shared" si="32"/>
        <v>3.8794285714285337E-2</v>
      </c>
      <c r="J34" s="70">
        <f t="shared" si="32"/>
        <v>4.1048571428571101E-2</v>
      </c>
      <c r="K34" s="70">
        <f t="shared" si="32"/>
        <v>4.3302857142856865E-2</v>
      </c>
      <c r="L34" s="70">
        <f t="shared" si="32"/>
        <v>4.555714285714263E-2</v>
      </c>
      <c r="M34" s="70">
        <f t="shared" si="32"/>
        <v>4.7811428571428394E-2</v>
      </c>
      <c r="N34" s="70">
        <f t="shared" si="32"/>
        <v>5.0065714285714158E-2</v>
      </c>
      <c r="O34" s="70">
        <f t="shared" si="32"/>
        <v>5.2319999999999922E-2</v>
      </c>
      <c r="P34" s="70">
        <f t="shared" si="32"/>
        <v>5.4574285714285686E-2</v>
      </c>
      <c r="Q34" s="70">
        <f t="shared" si="32"/>
        <v>5.682857142857145E-2</v>
      </c>
      <c r="R34" s="70">
        <f t="shared" si="32"/>
        <v>5.9082857142857215E-2</v>
      </c>
      <c r="S34" s="70">
        <f t="shared" si="32"/>
        <v>6.1337142857142979E-2</v>
      </c>
      <c r="T34" s="70">
        <f t="shared" si="32"/>
        <v>6.3591428571428743E-2</v>
      </c>
      <c r="U34" s="70">
        <f t="shared" si="32"/>
        <v>6.5845714285714507E-2</v>
      </c>
      <c r="V34" s="70">
        <f t="shared" si="32"/>
        <v>6.8100000000000271E-2</v>
      </c>
      <c r="W34" s="70">
        <f t="shared" si="32"/>
        <v>7.0354285714285147E-2</v>
      </c>
      <c r="X34" s="70">
        <f t="shared" si="32"/>
        <v>7.2608571428570912E-2</v>
      </c>
      <c r="Y34" s="70">
        <f t="shared" si="32"/>
        <v>7.4862857142856676E-2</v>
      </c>
      <c r="Z34" s="70">
        <f t="shared" si="32"/>
        <v>7.711714285714244E-2</v>
      </c>
      <c r="AA34" s="70">
        <f t="shared" si="32"/>
        <v>7.9371428571428204E-2</v>
      </c>
      <c r="AB34" s="70">
        <f t="shared" si="32"/>
        <v>8.1625714285713968E-2</v>
      </c>
      <c r="AC34" s="70">
        <f t="shared" si="32"/>
        <v>8.3879999999999733E-2</v>
      </c>
      <c r="AD34" s="70">
        <f t="shared" si="32"/>
        <v>8.6134285714285497E-2</v>
      </c>
      <c r="AE34" s="70">
        <f t="shared" si="32"/>
        <v>8.8388571428571261E-2</v>
      </c>
      <c r="AF34" s="70">
        <f t="shared" si="32"/>
        <v>9.0642857142857025E-2</v>
      </c>
      <c r="AG34" s="70">
        <f t="shared" si="32"/>
        <v>9.2897142857142789E-2</v>
      </c>
      <c r="AH34" s="70">
        <f t="shared" si="32"/>
        <v>9.5151428571428553E-2</v>
      </c>
      <c r="AI34" s="70">
        <f t="shared" si="32"/>
        <v>9.7405714285714318E-2</v>
      </c>
      <c r="AJ34" s="70">
        <f t="shared" si="32"/>
        <v>9.9660000000000082E-2</v>
      </c>
      <c r="AK34" s="70">
        <f t="shared" si="32"/>
        <v>0.10191428571428585</v>
      </c>
      <c r="AL34" s="70">
        <f t="shared" si="32"/>
        <v>0.10416857142857161</v>
      </c>
      <c r="AM34" s="70">
        <f t="shared" si="32"/>
        <v>0.10642285714285737</v>
      </c>
      <c r="AN34" s="70">
        <f t="shared" si="32"/>
        <v>0.10867714285714225</v>
      </c>
      <c r="AO34" s="70">
        <f t="shared" si="32"/>
        <v>0.11093142857142801</v>
      </c>
      <c r="AP34" s="70">
        <f t="shared" si="32"/>
        <v>0.11318571428571378</v>
      </c>
      <c r="AQ34" s="70">
        <f t="shared" si="32"/>
        <v>0.11543999999999954</v>
      </c>
      <c r="AR34" s="70">
        <f t="shared" si="32"/>
        <v>0.11769428571428531</v>
      </c>
      <c r="AS34" s="70">
        <f t="shared" si="32"/>
        <v>0.11994857142857107</v>
      </c>
      <c r="AT34" s="70">
        <f t="shared" si="32"/>
        <v>0.12220285714285684</v>
      </c>
      <c r="AU34" s="70">
        <f t="shared" si="32"/>
        <v>0.1244571428571426</v>
      </c>
      <c r="AV34" s="70">
        <f t="shared" si="32"/>
        <v>0.12671142857142836</v>
      </c>
      <c r="AW34" s="70">
        <f t="shared" si="32"/>
        <v>0.12896571428571413</v>
      </c>
      <c r="AX34" s="70">
        <f t="shared" si="32"/>
        <v>0.13121999999999989</v>
      </c>
      <c r="AY34" s="70">
        <f t="shared" si="32"/>
        <v>0.13347428571428566</v>
      </c>
      <c r="AZ34" s="70">
        <f t="shared" si="32"/>
        <v>0.13572857142857142</v>
      </c>
      <c r="BA34" s="70">
        <f t="shared" si="32"/>
        <v>0.13798285714285718</v>
      </c>
    </row>
    <row r="35" spans="1:53" ht="15.75" customHeight="1" x14ac:dyDescent="0.25">
      <c r="A35" s="70" t="s">
        <v>99</v>
      </c>
      <c r="B35" s="70">
        <f t="shared" ref="B35:BA35" si="33">B58</f>
        <v>2.3399999999999997E-2</v>
      </c>
      <c r="C35" s="70">
        <f t="shared" si="33"/>
        <v>9.1999999999999998E-3</v>
      </c>
      <c r="D35" s="70">
        <f t="shared" si="33"/>
        <v>3.9000000000000003E-3</v>
      </c>
      <c r="E35" s="70">
        <f t="shared" si="33"/>
        <v>2.53E-2</v>
      </c>
      <c r="F35" s="70">
        <f t="shared" si="33"/>
        <v>2.0499999999999997E-2</v>
      </c>
      <c r="G35" s="70">
        <f t="shared" si="33"/>
        <v>5.1000000000000004E-3</v>
      </c>
      <c r="H35" s="70">
        <f t="shared" si="33"/>
        <v>1.0946666666666438E-2</v>
      </c>
      <c r="I35" s="70">
        <f t="shared" si="33"/>
        <v>9.9123809523806727E-3</v>
      </c>
      <c r="J35" s="70">
        <f t="shared" si="33"/>
        <v>8.8780952380953515E-3</v>
      </c>
      <c r="K35" s="70">
        <f t="shared" si="33"/>
        <v>7.8438095238095862E-3</v>
      </c>
      <c r="L35" s="70">
        <f t="shared" si="33"/>
        <v>6.8095238095238209E-3</v>
      </c>
      <c r="M35" s="70">
        <f t="shared" si="33"/>
        <v>5.7752380952380555E-3</v>
      </c>
      <c r="N35" s="70">
        <f t="shared" si="33"/>
        <v>4.7409523809522902E-3</v>
      </c>
      <c r="O35" s="70">
        <f t="shared" si="33"/>
        <v>3.7066666666665249E-3</v>
      </c>
      <c r="P35" s="70">
        <f t="shared" si="33"/>
        <v>2.6723809523807596E-3</v>
      </c>
      <c r="Q35" s="70">
        <f t="shared" si="33"/>
        <v>1.6380952380949942E-3</v>
      </c>
      <c r="R35" s="70">
        <f t="shared" si="33"/>
        <v>6.0380952380922892E-4</v>
      </c>
      <c r="S35" s="70">
        <f t="shared" si="33"/>
        <v>6.0380952380922892E-4</v>
      </c>
      <c r="T35" s="70">
        <f t="shared" si="33"/>
        <v>6.0380952380922892E-4</v>
      </c>
      <c r="U35" s="70">
        <f t="shared" si="33"/>
        <v>6.0380952380922892E-4</v>
      </c>
      <c r="V35" s="70">
        <f t="shared" si="33"/>
        <v>6.0380952380922892E-4</v>
      </c>
      <c r="W35" s="70">
        <f t="shared" si="33"/>
        <v>6.0380952380922892E-4</v>
      </c>
      <c r="X35" s="70">
        <f t="shared" si="33"/>
        <v>6.0380952380922892E-4</v>
      </c>
      <c r="Y35" s="70">
        <f t="shared" si="33"/>
        <v>6.0380952380922892E-4</v>
      </c>
      <c r="Z35" s="70">
        <f t="shared" si="33"/>
        <v>6.0380952380922892E-4</v>
      </c>
      <c r="AA35" s="70">
        <f t="shared" si="33"/>
        <v>6.0380952380922892E-4</v>
      </c>
      <c r="AB35" s="70">
        <f t="shared" si="33"/>
        <v>6.0380952380922892E-4</v>
      </c>
      <c r="AC35" s="70">
        <f t="shared" si="33"/>
        <v>6.0380952380922892E-4</v>
      </c>
      <c r="AD35" s="70">
        <f t="shared" si="33"/>
        <v>6.0380952380922892E-4</v>
      </c>
      <c r="AE35" s="70">
        <f t="shared" si="33"/>
        <v>6.0380952380922892E-4</v>
      </c>
      <c r="AF35" s="70">
        <f t="shared" si="33"/>
        <v>6.0380952380922892E-4</v>
      </c>
      <c r="AG35" s="70">
        <f t="shared" si="33"/>
        <v>6.0380952380922892E-4</v>
      </c>
      <c r="AH35" s="70">
        <f t="shared" si="33"/>
        <v>6.0380952380922892E-4</v>
      </c>
      <c r="AI35" s="70">
        <f t="shared" si="33"/>
        <v>6.0380952380922892E-4</v>
      </c>
      <c r="AJ35" s="70">
        <f t="shared" si="33"/>
        <v>6.0380952380922892E-4</v>
      </c>
      <c r="AK35" s="70">
        <f t="shared" si="33"/>
        <v>6.0380952380922892E-4</v>
      </c>
      <c r="AL35" s="70">
        <f t="shared" si="33"/>
        <v>6.0380952380922892E-4</v>
      </c>
      <c r="AM35" s="70">
        <f t="shared" si="33"/>
        <v>6.0380952380922892E-4</v>
      </c>
      <c r="AN35" s="70">
        <f t="shared" si="33"/>
        <v>6.0380952380922892E-4</v>
      </c>
      <c r="AO35" s="70">
        <f t="shared" si="33"/>
        <v>6.0380952380922892E-4</v>
      </c>
      <c r="AP35" s="70">
        <f t="shared" si="33"/>
        <v>6.0380952380922892E-4</v>
      </c>
      <c r="AQ35" s="70">
        <f t="shared" si="33"/>
        <v>6.0380952380922892E-4</v>
      </c>
      <c r="AR35" s="70">
        <f t="shared" si="33"/>
        <v>6.0380952380922892E-4</v>
      </c>
      <c r="AS35" s="70">
        <f t="shared" si="33"/>
        <v>6.0380952380922892E-4</v>
      </c>
      <c r="AT35" s="70">
        <f t="shared" si="33"/>
        <v>6.0380952380922892E-4</v>
      </c>
      <c r="AU35" s="70">
        <f t="shared" si="33"/>
        <v>6.0380952380922892E-4</v>
      </c>
      <c r="AV35" s="70">
        <f t="shared" si="33"/>
        <v>6.0380952380922892E-4</v>
      </c>
      <c r="AW35" s="70">
        <f t="shared" si="33"/>
        <v>6.0380952380922892E-4</v>
      </c>
      <c r="AX35" s="70">
        <f t="shared" si="33"/>
        <v>6.0380952380922892E-4</v>
      </c>
      <c r="AY35" s="70">
        <f t="shared" si="33"/>
        <v>6.0380952380922892E-4</v>
      </c>
      <c r="AZ35" s="70">
        <f t="shared" si="33"/>
        <v>6.0380952380922892E-4</v>
      </c>
      <c r="BA35" s="70">
        <f t="shared" si="33"/>
        <v>6.0380952380922892E-4</v>
      </c>
    </row>
    <row r="36" spans="1:53" ht="15.75" customHeight="1" x14ac:dyDescent="0.25">
      <c r="A36" s="70" t="s">
        <v>101</v>
      </c>
      <c r="B36" s="70">
        <f t="shared" ref="B36:BA36" si="34">B59</f>
        <v>3.3300000000000003E-2</v>
      </c>
      <c r="C36" s="70">
        <f t="shared" si="34"/>
        <v>2.2700000000000001E-2</v>
      </c>
      <c r="D36" s="70">
        <f t="shared" si="34"/>
        <v>1.5800000000000002E-2</v>
      </c>
      <c r="E36" s="70">
        <f t="shared" si="34"/>
        <v>4.2500000000000003E-2</v>
      </c>
      <c r="F36" s="70">
        <f t="shared" si="34"/>
        <v>3.6600000000000001E-2</v>
      </c>
      <c r="G36" s="70">
        <f t="shared" si="34"/>
        <v>2.1600000000000001E-2</v>
      </c>
      <c r="H36" s="70">
        <f t="shared" si="34"/>
        <v>2.97400000000001E-2</v>
      </c>
      <c r="I36" s="70">
        <f t="shared" si="34"/>
        <v>3.002285714285724E-2</v>
      </c>
      <c r="J36" s="70">
        <f t="shared" si="34"/>
        <v>3.030571428571438E-2</v>
      </c>
      <c r="K36" s="70">
        <f t="shared" si="34"/>
        <v>3.058857142857152E-2</v>
      </c>
      <c r="L36" s="70">
        <f t="shared" si="34"/>
        <v>3.0871428571428661E-2</v>
      </c>
      <c r="M36" s="70">
        <f t="shared" si="34"/>
        <v>3.1154285714285801E-2</v>
      </c>
      <c r="N36" s="70">
        <f t="shared" si="34"/>
        <v>3.1437142857142941E-2</v>
      </c>
      <c r="O36" s="70">
        <f t="shared" si="34"/>
        <v>3.1720000000000081E-2</v>
      </c>
      <c r="P36" s="70">
        <f t="shared" si="34"/>
        <v>3.2002857142857222E-2</v>
      </c>
      <c r="Q36" s="70">
        <f t="shared" si="34"/>
        <v>3.2285714285714362E-2</v>
      </c>
      <c r="R36" s="70">
        <f t="shared" si="34"/>
        <v>3.2568571428571502E-2</v>
      </c>
      <c r="S36" s="70">
        <f t="shared" si="34"/>
        <v>3.2851428571428642E-2</v>
      </c>
      <c r="T36" s="70">
        <f t="shared" si="34"/>
        <v>3.3134285714285783E-2</v>
      </c>
      <c r="U36" s="70">
        <f t="shared" si="34"/>
        <v>3.3417142857142923E-2</v>
      </c>
      <c r="V36" s="70">
        <f t="shared" si="34"/>
        <v>3.3700000000000063E-2</v>
      </c>
      <c r="W36" s="70">
        <f t="shared" si="34"/>
        <v>3.3982857142857203E-2</v>
      </c>
      <c r="X36" s="70">
        <f t="shared" si="34"/>
        <v>3.4265714285714344E-2</v>
      </c>
      <c r="Y36" s="70">
        <f t="shared" si="34"/>
        <v>3.4548571428571484E-2</v>
      </c>
      <c r="Z36" s="70">
        <f t="shared" si="34"/>
        <v>3.4831428571428624E-2</v>
      </c>
      <c r="AA36" s="70">
        <f t="shared" si="34"/>
        <v>3.5114285714285765E-2</v>
      </c>
      <c r="AB36" s="70">
        <f t="shared" si="34"/>
        <v>3.5397142857142905E-2</v>
      </c>
      <c r="AC36" s="70">
        <f t="shared" si="34"/>
        <v>3.5680000000000045E-2</v>
      </c>
      <c r="AD36" s="70">
        <f t="shared" si="34"/>
        <v>3.5962857142857185E-2</v>
      </c>
      <c r="AE36" s="70">
        <f t="shared" si="34"/>
        <v>3.6245714285714326E-2</v>
      </c>
      <c r="AF36" s="70">
        <f t="shared" si="34"/>
        <v>3.6528571428571466E-2</v>
      </c>
      <c r="AG36" s="70">
        <f t="shared" si="34"/>
        <v>3.6811428571428606E-2</v>
      </c>
      <c r="AH36" s="70">
        <f t="shared" si="34"/>
        <v>3.7094285714285746E-2</v>
      </c>
      <c r="AI36" s="70">
        <f t="shared" si="34"/>
        <v>3.7377142857142887E-2</v>
      </c>
      <c r="AJ36" s="70">
        <f t="shared" si="34"/>
        <v>3.7660000000000027E-2</v>
      </c>
      <c r="AK36" s="70">
        <f t="shared" si="34"/>
        <v>3.7942857142857167E-2</v>
      </c>
      <c r="AL36" s="70">
        <f t="shared" si="34"/>
        <v>3.8225714285714307E-2</v>
      </c>
      <c r="AM36" s="70">
        <f t="shared" si="34"/>
        <v>3.8508571428571448E-2</v>
      </c>
      <c r="AN36" s="70">
        <f t="shared" si="34"/>
        <v>3.8791428571428588E-2</v>
      </c>
      <c r="AO36" s="70">
        <f t="shared" si="34"/>
        <v>3.9074285714285728E-2</v>
      </c>
      <c r="AP36" s="70">
        <f t="shared" si="34"/>
        <v>3.9357142857142868E-2</v>
      </c>
      <c r="AQ36" s="70">
        <f t="shared" si="34"/>
        <v>3.9640000000000009E-2</v>
      </c>
      <c r="AR36" s="70">
        <f t="shared" si="34"/>
        <v>3.9922857142857149E-2</v>
      </c>
      <c r="AS36" s="70">
        <f t="shared" si="34"/>
        <v>4.0205714285714289E-2</v>
      </c>
      <c r="AT36" s="70">
        <f t="shared" si="34"/>
        <v>4.0488571428571429E-2</v>
      </c>
      <c r="AU36" s="70">
        <f t="shared" si="34"/>
        <v>4.077142857142857E-2</v>
      </c>
      <c r="AV36" s="70">
        <f t="shared" si="34"/>
        <v>4.105428571428571E-2</v>
      </c>
      <c r="AW36" s="70">
        <f t="shared" si="34"/>
        <v>4.133714285714285E-2</v>
      </c>
      <c r="AX36" s="70">
        <f t="shared" si="34"/>
        <v>4.161999999999999E-2</v>
      </c>
      <c r="AY36" s="70">
        <f t="shared" si="34"/>
        <v>4.1902857142857131E-2</v>
      </c>
      <c r="AZ36" s="70">
        <f t="shared" si="34"/>
        <v>4.2185714285714271E-2</v>
      </c>
      <c r="BA36" s="70">
        <f t="shared" si="34"/>
        <v>4.2468571428571411E-2</v>
      </c>
    </row>
    <row r="37" spans="1:53" ht="15.75" customHeight="1" x14ac:dyDescent="0.25">
      <c r="A37" s="70" t="s">
        <v>105</v>
      </c>
      <c r="B37" s="70">
        <f t="shared" ref="B37:BA37" si="35">B60</f>
        <v>8.3000000000000001E-3</v>
      </c>
      <c r="C37" s="70">
        <f t="shared" si="35"/>
        <v>2.5399999999999999E-2</v>
      </c>
      <c r="D37" s="70">
        <f t="shared" si="35"/>
        <v>4.6999999999999993E-3</v>
      </c>
      <c r="E37" s="70">
        <f t="shared" si="35"/>
        <v>6.3E-3</v>
      </c>
      <c r="F37" s="70">
        <f t="shared" si="35"/>
        <v>3.2000000000000002E-3</v>
      </c>
      <c r="G37" s="70">
        <f t="shared" si="35"/>
        <v>2.7200000000000002E-2</v>
      </c>
      <c r="H37" s="70">
        <f t="shared" si="35"/>
        <v>1.546666666666674E-2</v>
      </c>
      <c r="I37" s="70">
        <f t="shared" si="35"/>
        <v>1.6309523809523885E-2</v>
      </c>
      <c r="J37" s="70">
        <f t="shared" si="35"/>
        <v>1.715238095238103E-2</v>
      </c>
      <c r="K37" s="70">
        <f t="shared" si="35"/>
        <v>1.7995238095238175E-2</v>
      </c>
      <c r="L37" s="70">
        <f t="shared" si="35"/>
        <v>1.883809523809532E-2</v>
      </c>
      <c r="M37" s="70">
        <f t="shared" si="35"/>
        <v>1.9680952380952466E-2</v>
      </c>
      <c r="N37" s="70">
        <f t="shared" si="35"/>
        <v>2.0523809523809611E-2</v>
      </c>
      <c r="O37" s="70">
        <f t="shared" si="35"/>
        <v>2.1366666666666756E-2</v>
      </c>
      <c r="P37" s="70">
        <f t="shared" si="35"/>
        <v>2.2209523809523901E-2</v>
      </c>
      <c r="Q37" s="70">
        <f t="shared" si="35"/>
        <v>2.3052380952381046E-2</v>
      </c>
      <c r="R37" s="70">
        <f t="shared" si="35"/>
        <v>2.3895238095238192E-2</v>
      </c>
      <c r="S37" s="70">
        <f t="shared" si="35"/>
        <v>2.4738095238095337E-2</v>
      </c>
      <c r="T37" s="70">
        <f t="shared" si="35"/>
        <v>2.5580952380952482E-2</v>
      </c>
      <c r="U37" s="70">
        <f t="shared" si="35"/>
        <v>2.6423809523809627E-2</v>
      </c>
      <c r="V37" s="70">
        <f t="shared" si="35"/>
        <v>2.7266666666666772E-2</v>
      </c>
      <c r="W37" s="70">
        <f t="shared" si="35"/>
        <v>2.8109523809523917E-2</v>
      </c>
      <c r="X37" s="70">
        <f t="shared" si="35"/>
        <v>2.8952380952381063E-2</v>
      </c>
      <c r="Y37" s="70">
        <f t="shared" si="35"/>
        <v>2.9795238095238208E-2</v>
      </c>
      <c r="Z37" s="70">
        <f t="shared" si="35"/>
        <v>3.0638095238095353E-2</v>
      </c>
      <c r="AA37" s="70">
        <f t="shared" si="35"/>
        <v>3.1480952380952498E-2</v>
      </c>
      <c r="AB37" s="70">
        <f t="shared" si="35"/>
        <v>3.2323809523809643E-2</v>
      </c>
      <c r="AC37" s="70">
        <f t="shared" si="35"/>
        <v>3.3166666666666789E-2</v>
      </c>
      <c r="AD37" s="70">
        <f t="shared" si="35"/>
        <v>3.4009523809523934E-2</v>
      </c>
      <c r="AE37" s="70">
        <f t="shared" si="35"/>
        <v>3.4852380952381079E-2</v>
      </c>
      <c r="AF37" s="70">
        <f t="shared" si="35"/>
        <v>3.5695238095238224E-2</v>
      </c>
      <c r="AG37" s="70">
        <f t="shared" si="35"/>
        <v>3.6538095238095369E-2</v>
      </c>
      <c r="AH37" s="70">
        <f t="shared" si="35"/>
        <v>3.7380952380952515E-2</v>
      </c>
      <c r="AI37" s="70">
        <f t="shared" si="35"/>
        <v>3.822380952380966E-2</v>
      </c>
      <c r="AJ37" s="70">
        <f t="shared" si="35"/>
        <v>3.9066666666666805E-2</v>
      </c>
      <c r="AK37" s="70">
        <f t="shared" si="35"/>
        <v>3.990952380952395E-2</v>
      </c>
      <c r="AL37" s="70">
        <f t="shared" si="35"/>
        <v>4.0752380952381095E-2</v>
      </c>
      <c r="AM37" s="70">
        <f t="shared" si="35"/>
        <v>4.1595238095238241E-2</v>
      </c>
      <c r="AN37" s="70">
        <f t="shared" si="35"/>
        <v>4.2438095238095386E-2</v>
      </c>
      <c r="AO37" s="70">
        <f t="shared" si="35"/>
        <v>4.3280952380952531E-2</v>
      </c>
      <c r="AP37" s="70">
        <f t="shared" si="35"/>
        <v>4.4123809523809676E-2</v>
      </c>
      <c r="AQ37" s="70">
        <f t="shared" si="35"/>
        <v>4.4966666666666821E-2</v>
      </c>
      <c r="AR37" s="70">
        <f t="shared" si="35"/>
        <v>4.5809523809523967E-2</v>
      </c>
      <c r="AS37" s="70">
        <f t="shared" si="35"/>
        <v>4.6652380952381112E-2</v>
      </c>
      <c r="AT37" s="70">
        <f t="shared" si="35"/>
        <v>4.7495238095238257E-2</v>
      </c>
      <c r="AU37" s="70">
        <f t="shared" si="35"/>
        <v>4.8338095238095402E-2</v>
      </c>
      <c r="AV37" s="70">
        <f t="shared" si="35"/>
        <v>4.9180952380952547E-2</v>
      </c>
      <c r="AW37" s="70">
        <f t="shared" si="35"/>
        <v>5.0023809523809692E-2</v>
      </c>
      <c r="AX37" s="70">
        <f t="shared" si="35"/>
        <v>5.0866666666666838E-2</v>
      </c>
      <c r="AY37" s="70">
        <f t="shared" si="35"/>
        <v>5.1709523809523983E-2</v>
      </c>
      <c r="AZ37" s="70">
        <f t="shared" si="35"/>
        <v>5.2552380952381128E-2</v>
      </c>
      <c r="BA37" s="70">
        <f t="shared" si="35"/>
        <v>5.3395238095238273E-2</v>
      </c>
    </row>
    <row r="38" spans="1:53" ht="15.75" customHeight="1" x14ac:dyDescent="0.25">
      <c r="A38" s="70" t="s">
        <v>107</v>
      </c>
      <c r="B38" s="70">
        <f t="shared" ref="B38:BA38" si="36">B61</f>
        <v>2.0099999999999996E-2</v>
      </c>
      <c r="C38" s="70">
        <f t="shared" si="36"/>
        <v>2.8399999999999998E-2</v>
      </c>
      <c r="D38" s="70">
        <f t="shared" si="36"/>
        <v>1.06E-2</v>
      </c>
      <c r="E38" s="70">
        <f t="shared" si="36"/>
        <v>1.01E-2</v>
      </c>
      <c r="F38" s="70">
        <f t="shared" si="36"/>
        <v>1.21E-2</v>
      </c>
      <c r="G38" s="70">
        <f t="shared" si="36"/>
        <v>2.6699999999999998E-2</v>
      </c>
      <c r="H38" s="70">
        <f t="shared" si="36"/>
        <v>1.6360000000000041E-2</v>
      </c>
      <c r="I38" s="70">
        <f t="shared" si="36"/>
        <v>1.5891428571428667E-2</v>
      </c>
      <c r="J38" s="70">
        <f t="shared" si="36"/>
        <v>1.5422857142857183E-2</v>
      </c>
      <c r="K38" s="70">
        <f t="shared" si="36"/>
        <v>1.4954285714285809E-2</v>
      </c>
      <c r="L38" s="70">
        <f t="shared" si="36"/>
        <v>1.4485714285714324E-2</v>
      </c>
      <c r="M38" s="70">
        <f t="shared" si="36"/>
        <v>1.401714285714295E-2</v>
      </c>
      <c r="N38" s="70">
        <f t="shared" si="36"/>
        <v>1.3548571428571465E-2</v>
      </c>
      <c r="O38" s="70">
        <f t="shared" si="36"/>
        <v>1.3080000000000092E-2</v>
      </c>
      <c r="P38" s="70">
        <f t="shared" si="36"/>
        <v>1.2611428571428607E-2</v>
      </c>
      <c r="Q38" s="70">
        <f t="shared" si="36"/>
        <v>1.2142857142857233E-2</v>
      </c>
      <c r="R38" s="70">
        <f t="shared" si="36"/>
        <v>1.1674285714285748E-2</v>
      </c>
      <c r="S38" s="70">
        <f t="shared" si="36"/>
        <v>1.1205714285714374E-2</v>
      </c>
      <c r="T38" s="70">
        <f t="shared" si="36"/>
        <v>1.073714285714289E-2</v>
      </c>
      <c r="U38" s="70">
        <f t="shared" si="36"/>
        <v>1.0268571428571516E-2</v>
      </c>
      <c r="V38" s="70">
        <f t="shared" si="36"/>
        <v>9.8000000000000309E-3</v>
      </c>
      <c r="W38" s="70">
        <f t="shared" si="36"/>
        <v>9.3314285714286571E-3</v>
      </c>
      <c r="X38" s="70">
        <f t="shared" si="36"/>
        <v>8.8628571428571723E-3</v>
      </c>
      <c r="Y38" s="70">
        <f t="shared" si="36"/>
        <v>8.3942857142857985E-3</v>
      </c>
      <c r="Z38" s="70">
        <f t="shared" si="36"/>
        <v>7.9257142857143137E-3</v>
      </c>
      <c r="AA38" s="70">
        <f t="shared" si="36"/>
        <v>7.4571428571429399E-3</v>
      </c>
      <c r="AB38" s="70">
        <f t="shared" si="36"/>
        <v>6.9885714285714551E-3</v>
      </c>
      <c r="AC38" s="70">
        <f t="shared" si="36"/>
        <v>6.5200000000000813E-3</v>
      </c>
      <c r="AD38" s="70">
        <f t="shared" si="36"/>
        <v>6.0514285714285965E-3</v>
      </c>
      <c r="AE38" s="70">
        <f t="shared" si="36"/>
        <v>5.5828571428572227E-3</v>
      </c>
      <c r="AF38" s="70">
        <f t="shared" si="36"/>
        <v>5.1142857142858489E-3</v>
      </c>
      <c r="AG38" s="70">
        <f t="shared" si="36"/>
        <v>4.6457142857143641E-3</v>
      </c>
      <c r="AH38" s="70">
        <f t="shared" si="36"/>
        <v>4.1771428571429903E-3</v>
      </c>
      <c r="AI38" s="70">
        <f t="shared" si="36"/>
        <v>3.7085714285715055E-3</v>
      </c>
      <c r="AJ38" s="70">
        <f t="shared" si="36"/>
        <v>3.2400000000001317E-3</v>
      </c>
      <c r="AK38" s="70">
        <f t="shared" si="36"/>
        <v>2.7714285714286468E-3</v>
      </c>
      <c r="AL38" s="70">
        <f t="shared" si="36"/>
        <v>2.3028571428572731E-3</v>
      </c>
      <c r="AM38" s="70">
        <f t="shared" si="36"/>
        <v>1.8342857142857882E-3</v>
      </c>
      <c r="AN38" s="70">
        <f t="shared" si="36"/>
        <v>1.3657142857144144E-3</v>
      </c>
      <c r="AO38" s="70">
        <f t="shared" si="36"/>
        <v>8.9714285714292963E-4</v>
      </c>
      <c r="AP38" s="70">
        <f t="shared" si="36"/>
        <v>4.2857142857155583E-4</v>
      </c>
      <c r="AQ38" s="70">
        <f t="shared" si="36"/>
        <v>4.2857142857155583E-4</v>
      </c>
      <c r="AR38" s="70">
        <f t="shared" si="36"/>
        <v>4.2857142857155583E-4</v>
      </c>
      <c r="AS38" s="70">
        <f t="shared" si="36"/>
        <v>4.2857142857155583E-4</v>
      </c>
      <c r="AT38" s="70">
        <f t="shared" si="36"/>
        <v>4.2857142857155583E-4</v>
      </c>
      <c r="AU38" s="70">
        <f t="shared" si="36"/>
        <v>4.2857142857155583E-4</v>
      </c>
      <c r="AV38" s="70">
        <f t="shared" si="36"/>
        <v>4.2857142857155583E-4</v>
      </c>
      <c r="AW38" s="70">
        <f t="shared" si="36"/>
        <v>4.2857142857155583E-4</v>
      </c>
      <c r="AX38" s="70">
        <f t="shared" si="36"/>
        <v>4.2857142857155583E-4</v>
      </c>
      <c r="AY38" s="70">
        <f t="shared" si="36"/>
        <v>4.2857142857155583E-4</v>
      </c>
      <c r="AZ38" s="70">
        <f t="shared" si="36"/>
        <v>4.2857142857155583E-4</v>
      </c>
      <c r="BA38" s="70">
        <f t="shared" si="36"/>
        <v>4.2857142857155583E-4</v>
      </c>
    </row>
    <row r="39" spans="1:53" ht="15.75" customHeight="1" x14ac:dyDescent="0.25">
      <c r="A39" s="70" t="s">
        <v>109</v>
      </c>
      <c r="B39" s="70">
        <f t="shared" ref="B39:BA39" si="37">B62</f>
        <v>1.7000000000000001E-2</v>
      </c>
      <c r="C39" s="70">
        <f t="shared" si="37"/>
        <v>3.3799999999999997E-2</v>
      </c>
      <c r="D39" s="70">
        <f t="shared" si="37"/>
        <v>2.1099999999999997E-2</v>
      </c>
      <c r="E39" s="70">
        <f t="shared" si="37"/>
        <v>1.1699999999999999E-2</v>
      </c>
      <c r="F39" s="70">
        <f t="shared" si="37"/>
        <v>1.9299999999999998E-2</v>
      </c>
      <c r="G39" s="70">
        <f t="shared" si="37"/>
        <v>2.12E-2</v>
      </c>
      <c r="H39" s="70">
        <f t="shared" si="37"/>
        <v>1.7493333333333361E-2</v>
      </c>
      <c r="I39" s="70">
        <f t="shared" si="37"/>
        <v>1.6581904761904909E-2</v>
      </c>
      <c r="J39" s="70">
        <f t="shared" si="37"/>
        <v>1.5670476190476235E-2</v>
      </c>
      <c r="K39" s="70">
        <f t="shared" si="37"/>
        <v>1.4759047619047783E-2</v>
      </c>
      <c r="L39" s="70">
        <f t="shared" si="37"/>
        <v>1.3847619047619109E-2</v>
      </c>
      <c r="M39" s="70">
        <f t="shared" si="37"/>
        <v>1.2936190476190657E-2</v>
      </c>
      <c r="N39" s="70">
        <f t="shared" si="37"/>
        <v>1.2024761904761982E-2</v>
      </c>
      <c r="O39" s="70">
        <f t="shared" si="37"/>
        <v>1.111333333333353E-2</v>
      </c>
      <c r="P39" s="70">
        <f t="shared" si="37"/>
        <v>1.0201904761904856E-2</v>
      </c>
      <c r="Q39" s="70">
        <f t="shared" si="37"/>
        <v>9.2904761904764044E-3</v>
      </c>
      <c r="R39" s="70">
        <f t="shared" si="37"/>
        <v>8.3790476190477303E-3</v>
      </c>
      <c r="S39" s="70">
        <f t="shared" si="37"/>
        <v>7.4676190476190563E-3</v>
      </c>
      <c r="T39" s="70">
        <f t="shared" si="37"/>
        <v>6.5561904761906042E-3</v>
      </c>
      <c r="U39" s="70">
        <f t="shared" si="37"/>
        <v>5.6447619047619302E-3</v>
      </c>
      <c r="V39" s="70">
        <f t="shared" si="37"/>
        <v>4.7333333333334782E-3</v>
      </c>
      <c r="W39" s="70">
        <f t="shared" si="37"/>
        <v>3.8219047619048041E-3</v>
      </c>
      <c r="X39" s="70">
        <f t="shared" si="37"/>
        <v>2.9104761904763521E-3</v>
      </c>
      <c r="Y39" s="70">
        <f t="shared" si="37"/>
        <v>1.999047619047678E-3</v>
      </c>
      <c r="Z39" s="70">
        <f t="shared" si="37"/>
        <v>1.087619047619226E-3</v>
      </c>
      <c r="AA39" s="70">
        <f t="shared" si="37"/>
        <v>1.7619047619055195E-4</v>
      </c>
      <c r="AB39" s="70">
        <f t="shared" si="37"/>
        <v>1.7619047619055195E-4</v>
      </c>
      <c r="AC39" s="70">
        <f t="shared" si="37"/>
        <v>1.7619047619055195E-4</v>
      </c>
      <c r="AD39" s="70">
        <f t="shared" si="37"/>
        <v>1.7619047619055195E-4</v>
      </c>
      <c r="AE39" s="70">
        <f t="shared" si="37"/>
        <v>1.7619047619055195E-4</v>
      </c>
      <c r="AF39" s="70">
        <f t="shared" si="37"/>
        <v>1.7619047619055195E-4</v>
      </c>
      <c r="AG39" s="70">
        <f t="shared" si="37"/>
        <v>1.7619047619055195E-4</v>
      </c>
      <c r="AH39" s="70">
        <f t="shared" si="37"/>
        <v>1.7619047619055195E-4</v>
      </c>
      <c r="AI39" s="70">
        <f t="shared" si="37"/>
        <v>1.7619047619055195E-4</v>
      </c>
      <c r="AJ39" s="70">
        <f t="shared" si="37"/>
        <v>1.7619047619055195E-4</v>
      </c>
      <c r="AK39" s="70">
        <f t="shared" si="37"/>
        <v>1.7619047619055195E-4</v>
      </c>
      <c r="AL39" s="70">
        <f t="shared" si="37"/>
        <v>1.7619047619055195E-4</v>
      </c>
      <c r="AM39" s="70">
        <f t="shared" si="37"/>
        <v>1.7619047619055195E-4</v>
      </c>
      <c r="AN39" s="70">
        <f t="shared" si="37"/>
        <v>1.7619047619055195E-4</v>
      </c>
      <c r="AO39" s="70">
        <f t="shared" si="37"/>
        <v>1.7619047619055195E-4</v>
      </c>
      <c r="AP39" s="70">
        <f t="shared" si="37"/>
        <v>1.7619047619055195E-4</v>
      </c>
      <c r="AQ39" s="70">
        <f t="shared" si="37"/>
        <v>1.7619047619055195E-4</v>
      </c>
      <c r="AR39" s="70">
        <f t="shared" si="37"/>
        <v>1.7619047619055195E-4</v>
      </c>
      <c r="AS39" s="70">
        <f t="shared" si="37"/>
        <v>1.7619047619055195E-4</v>
      </c>
      <c r="AT39" s="70">
        <f t="shared" si="37"/>
        <v>1.7619047619055195E-4</v>
      </c>
      <c r="AU39" s="70">
        <f t="shared" si="37"/>
        <v>1.7619047619055195E-4</v>
      </c>
      <c r="AV39" s="70">
        <f t="shared" si="37"/>
        <v>1.7619047619055195E-4</v>
      </c>
      <c r="AW39" s="70">
        <f t="shared" si="37"/>
        <v>1.7619047619055195E-4</v>
      </c>
      <c r="AX39" s="70">
        <f t="shared" si="37"/>
        <v>1.7619047619055195E-4</v>
      </c>
      <c r="AY39" s="70">
        <f t="shared" si="37"/>
        <v>1.7619047619055195E-4</v>
      </c>
      <c r="AZ39" s="70">
        <f t="shared" si="37"/>
        <v>1.7619047619055195E-4</v>
      </c>
      <c r="BA39" s="70">
        <f t="shared" si="37"/>
        <v>1.7619047619055195E-4</v>
      </c>
    </row>
    <row r="40" spans="1:53" ht="15.75" customHeight="1" x14ac:dyDescent="0.25">
      <c r="A40" s="70" t="s">
        <v>111</v>
      </c>
      <c r="B40" s="70">
        <f t="shared" ref="B40:BA40" si="38">B63</f>
        <v>4.0500000000000001E-2</v>
      </c>
      <c r="C40" s="70">
        <f t="shared" si="38"/>
        <v>2.1099999999999997E-2</v>
      </c>
      <c r="D40" s="70">
        <f t="shared" si="38"/>
        <v>1.03E-2</v>
      </c>
      <c r="E40" s="70">
        <f t="shared" si="38"/>
        <v>3.6400000000000002E-2</v>
      </c>
      <c r="F40" s="70">
        <f t="shared" si="38"/>
        <v>3.5200000000000002E-2</v>
      </c>
      <c r="G40" s="70">
        <f t="shared" si="38"/>
        <v>2.12E-2</v>
      </c>
      <c r="H40" s="70">
        <f t="shared" si="38"/>
        <v>2.4639999999999995E-2</v>
      </c>
      <c r="I40" s="70">
        <f t="shared" si="38"/>
        <v>2.383714285714289E-2</v>
      </c>
      <c r="J40" s="70">
        <f t="shared" si="38"/>
        <v>2.3034285714285785E-2</v>
      </c>
      <c r="K40" s="70">
        <f t="shared" si="38"/>
        <v>2.2231428571428458E-2</v>
      </c>
      <c r="L40" s="70">
        <f t="shared" si="38"/>
        <v>2.1428571428571352E-2</v>
      </c>
      <c r="M40" s="70">
        <f t="shared" si="38"/>
        <v>2.0625714285714247E-2</v>
      </c>
      <c r="N40" s="70">
        <f t="shared" si="38"/>
        <v>1.9822857142857142E-2</v>
      </c>
      <c r="O40" s="70">
        <f t="shared" si="38"/>
        <v>1.9020000000000037E-2</v>
      </c>
      <c r="P40" s="70">
        <f t="shared" si="38"/>
        <v>1.8217142857142932E-2</v>
      </c>
      <c r="Q40" s="70">
        <f t="shared" si="38"/>
        <v>1.7414285714285604E-2</v>
      </c>
      <c r="R40" s="70">
        <f t="shared" si="38"/>
        <v>1.6611428571428499E-2</v>
      </c>
      <c r="S40" s="70">
        <f t="shared" si="38"/>
        <v>1.5808571428571394E-2</v>
      </c>
      <c r="T40" s="70">
        <f t="shared" si="38"/>
        <v>1.5005714285714289E-2</v>
      </c>
      <c r="U40" s="70">
        <f t="shared" si="38"/>
        <v>1.4202857142857184E-2</v>
      </c>
      <c r="V40" s="70">
        <f t="shared" si="38"/>
        <v>1.3400000000000079E-2</v>
      </c>
      <c r="W40" s="70">
        <f t="shared" si="38"/>
        <v>1.2597142857142751E-2</v>
      </c>
      <c r="X40" s="70">
        <f t="shared" si="38"/>
        <v>1.1794285714285646E-2</v>
      </c>
      <c r="Y40" s="70">
        <f t="shared" si="38"/>
        <v>1.0991428571428541E-2</v>
      </c>
      <c r="Z40" s="70">
        <f t="shared" si="38"/>
        <v>1.0188571428571436E-2</v>
      </c>
      <c r="AA40" s="70">
        <f t="shared" si="38"/>
        <v>9.3857142857143305E-3</v>
      </c>
      <c r="AB40" s="70">
        <f t="shared" si="38"/>
        <v>8.5828571428572253E-3</v>
      </c>
      <c r="AC40" s="70">
        <f t="shared" si="38"/>
        <v>7.7799999999998981E-3</v>
      </c>
      <c r="AD40" s="70">
        <f t="shared" si="38"/>
        <v>6.9771428571427929E-3</v>
      </c>
      <c r="AE40" s="70">
        <f t="shared" si="38"/>
        <v>6.1742857142856877E-3</v>
      </c>
      <c r="AF40" s="70">
        <f t="shared" si="38"/>
        <v>5.3714285714285825E-3</v>
      </c>
      <c r="AG40" s="70">
        <f t="shared" si="38"/>
        <v>4.5685714285714774E-3</v>
      </c>
      <c r="AH40" s="70">
        <f t="shared" si="38"/>
        <v>3.7657142857141501E-3</v>
      </c>
      <c r="AI40" s="70">
        <f t="shared" si="38"/>
        <v>2.9628571428570449E-3</v>
      </c>
      <c r="AJ40" s="70">
        <f t="shared" si="38"/>
        <v>2.1599999999999397E-3</v>
      </c>
      <c r="AK40" s="70">
        <f t="shared" si="38"/>
        <v>1.3571428571428346E-3</v>
      </c>
      <c r="AL40" s="70">
        <f t="shared" si="38"/>
        <v>5.5428571428572937E-4</v>
      </c>
      <c r="AM40" s="70">
        <f t="shared" si="38"/>
        <v>5.5428571428572937E-4</v>
      </c>
      <c r="AN40" s="70">
        <f t="shared" si="38"/>
        <v>5.5428571428572937E-4</v>
      </c>
      <c r="AO40" s="70">
        <f t="shared" si="38"/>
        <v>5.5428571428572937E-4</v>
      </c>
      <c r="AP40" s="70">
        <f t="shared" si="38"/>
        <v>5.5428571428572937E-4</v>
      </c>
      <c r="AQ40" s="70">
        <f t="shared" si="38"/>
        <v>5.5428571428572937E-4</v>
      </c>
      <c r="AR40" s="70">
        <f t="shared" si="38"/>
        <v>5.5428571428572937E-4</v>
      </c>
      <c r="AS40" s="70">
        <f t="shared" si="38"/>
        <v>5.5428571428572937E-4</v>
      </c>
      <c r="AT40" s="70">
        <f t="shared" si="38"/>
        <v>5.5428571428572937E-4</v>
      </c>
      <c r="AU40" s="70">
        <f t="shared" si="38"/>
        <v>5.5428571428572937E-4</v>
      </c>
      <c r="AV40" s="70">
        <f t="shared" si="38"/>
        <v>5.5428571428572937E-4</v>
      </c>
      <c r="AW40" s="70">
        <f t="shared" si="38"/>
        <v>5.5428571428572937E-4</v>
      </c>
      <c r="AX40" s="70">
        <f t="shared" si="38"/>
        <v>5.5428571428572937E-4</v>
      </c>
      <c r="AY40" s="70">
        <f t="shared" si="38"/>
        <v>5.5428571428572937E-4</v>
      </c>
      <c r="AZ40" s="70">
        <f t="shared" si="38"/>
        <v>5.5428571428572937E-4</v>
      </c>
      <c r="BA40" s="70">
        <f t="shared" si="38"/>
        <v>5.5428571428572937E-4</v>
      </c>
    </row>
    <row r="41" spans="1:53" ht="15.75" customHeight="1" x14ac:dyDescent="0.25">
      <c r="A41" s="70" t="s">
        <v>115</v>
      </c>
      <c r="B41" s="70">
        <f t="shared" ref="B41:BA41" si="39">B63</f>
        <v>4.0500000000000001E-2</v>
      </c>
      <c r="C41" s="70">
        <f t="shared" si="39"/>
        <v>2.1099999999999997E-2</v>
      </c>
      <c r="D41" s="70">
        <f t="shared" si="39"/>
        <v>1.03E-2</v>
      </c>
      <c r="E41" s="70">
        <f t="shared" si="39"/>
        <v>3.6400000000000002E-2</v>
      </c>
      <c r="F41" s="70">
        <f t="shared" si="39"/>
        <v>3.5200000000000002E-2</v>
      </c>
      <c r="G41" s="70">
        <f t="shared" si="39"/>
        <v>2.12E-2</v>
      </c>
      <c r="H41" s="70">
        <f t="shared" si="39"/>
        <v>2.4639999999999995E-2</v>
      </c>
      <c r="I41" s="70">
        <f t="shared" si="39"/>
        <v>2.383714285714289E-2</v>
      </c>
      <c r="J41" s="70">
        <f t="shared" si="39"/>
        <v>2.3034285714285785E-2</v>
      </c>
      <c r="K41" s="70">
        <f t="shared" si="39"/>
        <v>2.2231428571428458E-2</v>
      </c>
      <c r="L41" s="70">
        <f t="shared" si="39"/>
        <v>2.1428571428571352E-2</v>
      </c>
      <c r="M41" s="70">
        <f t="shared" si="39"/>
        <v>2.0625714285714247E-2</v>
      </c>
      <c r="N41" s="70">
        <f t="shared" si="39"/>
        <v>1.9822857142857142E-2</v>
      </c>
      <c r="O41" s="70">
        <f t="shared" si="39"/>
        <v>1.9020000000000037E-2</v>
      </c>
      <c r="P41" s="70">
        <f t="shared" si="39"/>
        <v>1.8217142857142932E-2</v>
      </c>
      <c r="Q41" s="70">
        <f t="shared" si="39"/>
        <v>1.7414285714285604E-2</v>
      </c>
      <c r="R41" s="70">
        <f t="shared" si="39"/>
        <v>1.6611428571428499E-2</v>
      </c>
      <c r="S41" s="70">
        <f t="shared" si="39"/>
        <v>1.5808571428571394E-2</v>
      </c>
      <c r="T41" s="70">
        <f t="shared" si="39"/>
        <v>1.5005714285714289E-2</v>
      </c>
      <c r="U41" s="70">
        <f t="shared" si="39"/>
        <v>1.4202857142857184E-2</v>
      </c>
      <c r="V41" s="70">
        <f t="shared" si="39"/>
        <v>1.3400000000000079E-2</v>
      </c>
      <c r="W41" s="70">
        <f t="shared" si="39"/>
        <v>1.2597142857142751E-2</v>
      </c>
      <c r="X41" s="70">
        <f t="shared" si="39"/>
        <v>1.1794285714285646E-2</v>
      </c>
      <c r="Y41" s="70">
        <f t="shared" si="39"/>
        <v>1.0991428571428541E-2</v>
      </c>
      <c r="Z41" s="70">
        <f t="shared" si="39"/>
        <v>1.0188571428571436E-2</v>
      </c>
      <c r="AA41" s="70">
        <f t="shared" si="39"/>
        <v>9.3857142857143305E-3</v>
      </c>
      <c r="AB41" s="70">
        <f t="shared" si="39"/>
        <v>8.5828571428572253E-3</v>
      </c>
      <c r="AC41" s="70">
        <f t="shared" si="39"/>
        <v>7.7799999999998981E-3</v>
      </c>
      <c r="AD41" s="70">
        <f t="shared" si="39"/>
        <v>6.9771428571427929E-3</v>
      </c>
      <c r="AE41" s="70">
        <f t="shared" si="39"/>
        <v>6.1742857142856877E-3</v>
      </c>
      <c r="AF41" s="70">
        <f t="shared" si="39"/>
        <v>5.3714285714285825E-3</v>
      </c>
      <c r="AG41" s="70">
        <f t="shared" si="39"/>
        <v>4.5685714285714774E-3</v>
      </c>
      <c r="AH41" s="70">
        <f t="shared" si="39"/>
        <v>3.7657142857141501E-3</v>
      </c>
      <c r="AI41" s="70">
        <f t="shared" si="39"/>
        <v>2.9628571428570449E-3</v>
      </c>
      <c r="AJ41" s="70">
        <f t="shared" si="39"/>
        <v>2.1599999999999397E-3</v>
      </c>
      <c r="AK41" s="70">
        <f t="shared" si="39"/>
        <v>1.3571428571428346E-3</v>
      </c>
      <c r="AL41" s="70">
        <f t="shared" si="39"/>
        <v>5.5428571428572937E-4</v>
      </c>
      <c r="AM41" s="70">
        <f t="shared" si="39"/>
        <v>5.5428571428572937E-4</v>
      </c>
      <c r="AN41" s="70">
        <f t="shared" si="39"/>
        <v>5.5428571428572937E-4</v>
      </c>
      <c r="AO41" s="70">
        <f t="shared" si="39"/>
        <v>5.5428571428572937E-4</v>
      </c>
      <c r="AP41" s="70">
        <f t="shared" si="39"/>
        <v>5.5428571428572937E-4</v>
      </c>
      <c r="AQ41" s="70">
        <f t="shared" si="39"/>
        <v>5.5428571428572937E-4</v>
      </c>
      <c r="AR41" s="70">
        <f t="shared" si="39"/>
        <v>5.5428571428572937E-4</v>
      </c>
      <c r="AS41" s="70">
        <f t="shared" si="39"/>
        <v>5.5428571428572937E-4</v>
      </c>
      <c r="AT41" s="70">
        <f t="shared" si="39"/>
        <v>5.5428571428572937E-4</v>
      </c>
      <c r="AU41" s="70">
        <f t="shared" si="39"/>
        <v>5.5428571428572937E-4</v>
      </c>
      <c r="AV41" s="70">
        <f t="shared" si="39"/>
        <v>5.5428571428572937E-4</v>
      </c>
      <c r="AW41" s="70">
        <f t="shared" si="39"/>
        <v>5.5428571428572937E-4</v>
      </c>
      <c r="AX41" s="70">
        <f t="shared" si="39"/>
        <v>5.5428571428572937E-4</v>
      </c>
      <c r="AY41" s="70">
        <f t="shared" si="39"/>
        <v>5.5428571428572937E-4</v>
      </c>
      <c r="AZ41" s="70">
        <f t="shared" si="39"/>
        <v>5.5428571428572937E-4</v>
      </c>
      <c r="BA41" s="70">
        <f t="shared" si="39"/>
        <v>5.5428571428572937E-4</v>
      </c>
    </row>
    <row r="42" spans="1:53" ht="15.75" customHeight="1" x14ac:dyDescent="0.25"/>
    <row r="43" spans="1:53" ht="15.75" customHeight="1" x14ac:dyDescent="0.25"/>
    <row r="44" spans="1:53" ht="15.75" customHeight="1" x14ac:dyDescent="0.25">
      <c r="A44" s="1" t="s">
        <v>168</v>
      </c>
      <c r="H44" s="87"/>
    </row>
    <row r="45" spans="1:53" ht="15.75" customHeight="1" x14ac:dyDescent="0.25"/>
    <row r="46" spans="1:53" ht="15.75" customHeight="1" x14ac:dyDescent="0.25">
      <c r="A46" s="4" t="s">
        <v>169</v>
      </c>
      <c r="B46" s="41">
        <v>2019</v>
      </c>
      <c r="C46" s="41">
        <v>2020</v>
      </c>
      <c r="D46" s="41">
        <v>2021</v>
      </c>
      <c r="E46" s="41">
        <v>2022</v>
      </c>
      <c r="F46" s="41">
        <v>2023</v>
      </c>
      <c r="G46" s="41">
        <v>2024</v>
      </c>
      <c r="H46" s="71">
        <v>2025</v>
      </c>
      <c r="I46" s="71">
        <v>2026</v>
      </c>
      <c r="J46" s="71">
        <v>2027</v>
      </c>
      <c r="K46" s="71">
        <v>2028</v>
      </c>
      <c r="L46" s="71">
        <v>2029</v>
      </c>
      <c r="M46" s="71">
        <v>2030</v>
      </c>
      <c r="N46" s="71">
        <v>2031</v>
      </c>
      <c r="O46" s="71">
        <v>2032</v>
      </c>
      <c r="P46" s="71">
        <v>2033</v>
      </c>
      <c r="Q46" s="71">
        <v>2034</v>
      </c>
      <c r="R46" s="71">
        <v>2035</v>
      </c>
      <c r="S46" s="71">
        <v>2036</v>
      </c>
      <c r="T46" s="71">
        <v>2037</v>
      </c>
      <c r="U46" s="71">
        <v>2038</v>
      </c>
      <c r="V46" s="71">
        <v>2039</v>
      </c>
      <c r="W46" s="71">
        <v>2040</v>
      </c>
      <c r="X46" s="71">
        <v>2041</v>
      </c>
      <c r="Y46" s="71">
        <v>2042</v>
      </c>
      <c r="Z46" s="71">
        <v>2043</v>
      </c>
      <c r="AA46" s="71">
        <v>2044</v>
      </c>
      <c r="AB46" s="71">
        <v>2045</v>
      </c>
      <c r="AC46" s="71">
        <v>2046</v>
      </c>
      <c r="AD46" s="71">
        <v>2047</v>
      </c>
      <c r="AE46" s="71">
        <v>2048</v>
      </c>
      <c r="AF46" s="71">
        <v>2049</v>
      </c>
      <c r="AG46" s="71">
        <v>2050</v>
      </c>
      <c r="AH46" s="71">
        <v>2051</v>
      </c>
      <c r="AI46" s="71">
        <v>2052</v>
      </c>
      <c r="AJ46" s="71">
        <v>2053</v>
      </c>
      <c r="AK46" s="71">
        <v>2054</v>
      </c>
      <c r="AL46" s="71">
        <v>2055</v>
      </c>
      <c r="AM46" s="71">
        <v>2056</v>
      </c>
      <c r="AN46" s="71">
        <v>2057</v>
      </c>
      <c r="AO46" s="71">
        <v>2058</v>
      </c>
      <c r="AP46" s="71">
        <v>2059</v>
      </c>
      <c r="AQ46" s="71">
        <v>2060</v>
      </c>
      <c r="AR46" s="71">
        <v>2061</v>
      </c>
      <c r="AS46" s="71">
        <v>2062</v>
      </c>
      <c r="AT46" s="71">
        <v>2063</v>
      </c>
      <c r="AU46" s="71">
        <v>2064</v>
      </c>
      <c r="AV46" s="71">
        <v>2065</v>
      </c>
      <c r="AW46" s="71">
        <v>2066</v>
      </c>
      <c r="AX46" s="71">
        <v>2067</v>
      </c>
      <c r="AY46" s="71">
        <v>2068</v>
      </c>
      <c r="AZ46" s="71">
        <v>2069</v>
      </c>
      <c r="BA46" s="71">
        <v>2070</v>
      </c>
    </row>
    <row r="47" spans="1:53" ht="15.75" customHeight="1" x14ac:dyDescent="0.25">
      <c r="A47" s="4" t="s">
        <v>170</v>
      </c>
      <c r="B47" s="74">
        <v>2.8500000000000001E-2</v>
      </c>
      <c r="C47" s="74">
        <v>4.3700000000000003E-2</v>
      </c>
      <c r="D47" s="74">
        <v>3.2099999999999997E-2</v>
      </c>
      <c r="E47" s="74">
        <v>4.6300000000000001E-2</v>
      </c>
      <c r="F47" s="74">
        <v>4.1799999999999997E-2</v>
      </c>
      <c r="G47" s="74">
        <v>8.2500000000000004E-2</v>
      </c>
      <c r="H47" s="4">
        <v>7.3666666666667879E-2</v>
      </c>
      <c r="I47" s="4">
        <v>8.1623809523811985E-2</v>
      </c>
      <c r="J47" s="4">
        <v>8.9580952380952539E-2</v>
      </c>
      <c r="K47" s="4">
        <v>9.7538095238096645E-2</v>
      </c>
      <c r="L47" s="4">
        <v>0.10549523809524075</v>
      </c>
      <c r="M47" s="4">
        <v>0.1134523809523813</v>
      </c>
      <c r="N47" s="4">
        <v>0.12140952380952541</v>
      </c>
      <c r="O47" s="4">
        <v>0.12936666666666952</v>
      </c>
      <c r="P47" s="4">
        <v>0.13732380952381007</v>
      </c>
      <c r="Q47" s="4">
        <v>0.14528095238095418</v>
      </c>
      <c r="R47" s="4">
        <v>0.15323809523809828</v>
      </c>
      <c r="S47" s="4">
        <v>0.16119523809523884</v>
      </c>
      <c r="T47" s="4">
        <v>0.16915238095238294</v>
      </c>
      <c r="U47" s="4">
        <v>0.17710952380952705</v>
      </c>
      <c r="V47" s="4">
        <v>0.1850666666666676</v>
      </c>
      <c r="W47" s="4">
        <v>0.19302380952381171</v>
      </c>
      <c r="X47" s="4">
        <v>0.20098095238095226</v>
      </c>
      <c r="Y47" s="4">
        <v>0.20893809523809637</v>
      </c>
      <c r="Z47" s="4">
        <v>0.21689523809524047</v>
      </c>
      <c r="AA47" s="4">
        <v>0.22485238095238103</v>
      </c>
      <c r="AB47" s="4">
        <v>0.23280952380952513</v>
      </c>
      <c r="AC47" s="4">
        <v>0.24076666666666924</v>
      </c>
      <c r="AD47" s="4">
        <v>0.24872380952380979</v>
      </c>
      <c r="AE47" s="4">
        <v>0.2566809523809539</v>
      </c>
      <c r="AF47" s="4">
        <v>0.264638095238098</v>
      </c>
      <c r="AG47" s="4">
        <v>0.27259523809523856</v>
      </c>
      <c r="AH47" s="4">
        <v>0.28055238095238266</v>
      </c>
      <c r="AI47" s="4">
        <v>0.28850952380952677</v>
      </c>
      <c r="AJ47" s="4">
        <v>0.29646666666666732</v>
      </c>
      <c r="AK47" s="4">
        <v>0.30442380952381143</v>
      </c>
      <c r="AL47" s="4">
        <v>0.31238095238095553</v>
      </c>
      <c r="AM47" s="4">
        <v>0.32033809523809609</v>
      </c>
      <c r="AN47" s="4">
        <v>0.32829523809524019</v>
      </c>
      <c r="AO47" s="4">
        <v>0.33625238095238075</v>
      </c>
      <c r="AP47" s="4">
        <v>0.34420952380952485</v>
      </c>
      <c r="AQ47" s="4">
        <v>0.35216666666666896</v>
      </c>
      <c r="AR47" s="4">
        <v>0.36012380952380951</v>
      </c>
      <c r="AS47" s="4">
        <v>0.36808095238095362</v>
      </c>
      <c r="AT47" s="4">
        <v>0.37603809523809772</v>
      </c>
      <c r="AU47" s="4">
        <v>0.38399523809523828</v>
      </c>
      <c r="AV47" s="4">
        <v>0.39195238095238238</v>
      </c>
      <c r="AW47" s="4">
        <v>0.39990952380952649</v>
      </c>
      <c r="AX47" s="4">
        <v>0.40786666666666704</v>
      </c>
      <c r="AY47" s="4">
        <v>0.41582380952381115</v>
      </c>
      <c r="AZ47" s="4">
        <v>0.42378095238095526</v>
      </c>
      <c r="BA47" s="4">
        <v>0.43173809523809581</v>
      </c>
    </row>
    <row r="48" spans="1:53" ht="15.75" customHeight="1" x14ac:dyDescent="0.25">
      <c r="A48" s="4" t="s">
        <v>171</v>
      </c>
      <c r="B48" s="74">
        <v>2.5099999999999997E-2</v>
      </c>
      <c r="C48" s="74">
        <v>0.12470000000000001</v>
      </c>
      <c r="D48" s="74">
        <v>0.27179999999999999</v>
      </c>
      <c r="E48" s="74">
        <v>0.33710000000000001</v>
      </c>
      <c r="F48" s="74">
        <v>3.2899999999999999E-2</v>
      </c>
      <c r="G48" s="74">
        <v>1.77E-2</v>
      </c>
      <c r="H48" s="4">
        <f>G48</f>
        <v>1.77E-2</v>
      </c>
      <c r="I48" s="4">
        <v>0.22316571428571663</v>
      </c>
      <c r="J48" s="4">
        <v>0.2372914285714316</v>
      </c>
      <c r="K48" s="4">
        <v>0.25141714285714656</v>
      </c>
      <c r="L48" s="4">
        <v>0.26554285714286152</v>
      </c>
      <c r="M48" s="4">
        <v>0.27966857142857293</v>
      </c>
      <c r="N48" s="4">
        <v>0.29379428571428789</v>
      </c>
      <c r="O48" s="4">
        <v>0.30792000000000286</v>
      </c>
      <c r="P48" s="4">
        <v>0.32204571428571782</v>
      </c>
      <c r="Q48" s="4">
        <v>0.33617142857143278</v>
      </c>
      <c r="R48" s="4">
        <v>0.35029714285714419</v>
      </c>
      <c r="S48" s="4">
        <v>0.36442285714285916</v>
      </c>
      <c r="T48" s="4">
        <v>0.37854857142857412</v>
      </c>
      <c r="U48" s="4">
        <v>0.39267428571428908</v>
      </c>
      <c r="V48" s="4">
        <v>0.40680000000000405</v>
      </c>
      <c r="W48" s="4">
        <v>0.42092571428571901</v>
      </c>
      <c r="X48" s="4">
        <v>0.43505142857143042</v>
      </c>
      <c r="Y48" s="4">
        <v>0.44917714285714538</v>
      </c>
      <c r="Z48" s="4">
        <v>0.46330285714286035</v>
      </c>
      <c r="AA48" s="4">
        <v>0.47742857142857531</v>
      </c>
      <c r="AB48" s="4">
        <v>0.49155428571429027</v>
      </c>
      <c r="AC48" s="4">
        <v>0.50568000000000168</v>
      </c>
      <c r="AD48" s="4">
        <v>0.51980571428571665</v>
      </c>
      <c r="AE48" s="4">
        <v>0.53393142857143161</v>
      </c>
      <c r="AF48" s="4">
        <v>0.54805714285714657</v>
      </c>
      <c r="AG48" s="4">
        <v>0.56218285714286154</v>
      </c>
      <c r="AH48" s="4">
        <v>0.57630857142857295</v>
      </c>
      <c r="AI48" s="4">
        <v>0.59043428571428791</v>
      </c>
      <c r="AJ48" s="4">
        <v>0.60456000000000287</v>
      </c>
      <c r="AK48" s="4">
        <v>0.61868571428571784</v>
      </c>
      <c r="AL48" s="4">
        <v>0.6328114285714328</v>
      </c>
      <c r="AM48" s="4">
        <v>0.64693714285714421</v>
      </c>
      <c r="AN48" s="4">
        <v>0.66106285714285917</v>
      </c>
      <c r="AO48" s="4">
        <v>0.67518857142857414</v>
      </c>
      <c r="AP48" s="4">
        <v>0.6893142857142891</v>
      </c>
      <c r="AQ48" s="4">
        <v>0.70344000000000406</v>
      </c>
      <c r="AR48" s="4">
        <v>0.71756571428571903</v>
      </c>
      <c r="AS48" s="4">
        <v>0.73169142857143044</v>
      </c>
      <c r="AT48" s="4">
        <v>0.7458171428571454</v>
      </c>
      <c r="AU48" s="4">
        <v>0.75994285714286036</v>
      </c>
      <c r="AV48" s="4">
        <v>0.77406857142857532</v>
      </c>
      <c r="AW48" s="4">
        <v>0.78819428571429029</v>
      </c>
      <c r="AX48" s="4">
        <v>0.8023200000000017</v>
      </c>
      <c r="AY48" s="4">
        <v>0.81644571428571666</v>
      </c>
      <c r="AZ48" s="4">
        <v>0.83057142857143162</v>
      </c>
      <c r="BA48" s="4">
        <v>0.84469714285714659</v>
      </c>
    </row>
    <row r="49" spans="1:53" ht="15.75" customHeight="1" x14ac:dyDescent="0.25">
      <c r="A49" s="4" t="s">
        <v>172</v>
      </c>
      <c r="B49" s="74">
        <v>3.5699999999999996E-2</v>
      </c>
      <c r="C49" s="74">
        <v>1.24E-2</v>
      </c>
      <c r="D49" s="74">
        <v>1.29E-2</v>
      </c>
      <c r="E49" s="74">
        <v>1.29E-2</v>
      </c>
      <c r="F49" s="74">
        <v>2.1099999999999997E-2</v>
      </c>
      <c r="G49" s="74">
        <v>7.6E-3</v>
      </c>
      <c r="H49" s="4">
        <v>5.6600000000006645E-3</v>
      </c>
      <c r="I49" s="4">
        <v>2.391428571429266E-3</v>
      </c>
      <c r="J49" s="4">
        <v>2.391428571429266E-3</v>
      </c>
      <c r="K49" s="4">
        <v>2.391428571429266E-3</v>
      </c>
      <c r="L49" s="4">
        <v>2.391428571429266E-3</v>
      </c>
      <c r="M49" s="4">
        <v>2.391428571429266E-3</v>
      </c>
      <c r="N49" s="4">
        <v>2.391428571429266E-3</v>
      </c>
      <c r="O49" s="4">
        <v>2.391428571429266E-3</v>
      </c>
      <c r="P49" s="4">
        <v>2.391428571429266E-3</v>
      </c>
      <c r="Q49" s="4">
        <v>2.391428571429266E-3</v>
      </c>
      <c r="R49" s="4">
        <v>2.391428571429266E-3</v>
      </c>
      <c r="S49" s="4">
        <v>2.391428571429266E-3</v>
      </c>
      <c r="T49" s="4">
        <v>2.391428571429266E-3</v>
      </c>
      <c r="U49" s="4">
        <v>2.391428571429266E-3</v>
      </c>
      <c r="V49" s="4">
        <v>2.391428571429266E-3</v>
      </c>
      <c r="W49" s="4">
        <v>2.391428571429266E-3</v>
      </c>
      <c r="X49" s="4">
        <v>2.391428571429266E-3</v>
      </c>
      <c r="Y49" s="4">
        <v>2.391428571429266E-3</v>
      </c>
      <c r="Z49" s="4">
        <v>2.391428571429266E-3</v>
      </c>
      <c r="AA49" s="4">
        <v>2.391428571429266E-3</v>
      </c>
      <c r="AB49" s="4">
        <v>2.391428571429266E-3</v>
      </c>
      <c r="AC49" s="4">
        <v>2.391428571429266E-3</v>
      </c>
      <c r="AD49" s="4">
        <v>2.391428571429266E-3</v>
      </c>
      <c r="AE49" s="4">
        <v>2.391428571429266E-3</v>
      </c>
      <c r="AF49" s="4">
        <v>2.391428571429266E-3</v>
      </c>
      <c r="AG49" s="4">
        <v>2.391428571429266E-3</v>
      </c>
      <c r="AH49" s="4">
        <v>2.391428571429266E-3</v>
      </c>
      <c r="AI49" s="4">
        <v>2.391428571429266E-3</v>
      </c>
      <c r="AJ49" s="4">
        <v>2.391428571429266E-3</v>
      </c>
      <c r="AK49" s="4">
        <v>2.391428571429266E-3</v>
      </c>
      <c r="AL49" s="4">
        <v>2.391428571429266E-3</v>
      </c>
      <c r="AM49" s="4">
        <v>2.391428571429266E-3</v>
      </c>
      <c r="AN49" s="4">
        <v>2.391428571429266E-3</v>
      </c>
      <c r="AO49" s="4">
        <v>2.391428571429266E-3</v>
      </c>
      <c r="AP49" s="4">
        <v>2.391428571429266E-3</v>
      </c>
      <c r="AQ49" s="4">
        <v>2.391428571429266E-3</v>
      </c>
      <c r="AR49" s="4">
        <v>2.391428571429266E-3</v>
      </c>
      <c r="AS49" s="4">
        <v>2.391428571429266E-3</v>
      </c>
      <c r="AT49" s="4">
        <v>2.391428571429266E-3</v>
      </c>
      <c r="AU49" s="4">
        <v>2.391428571429266E-3</v>
      </c>
      <c r="AV49" s="4">
        <v>2.391428571429266E-3</v>
      </c>
      <c r="AW49" s="4">
        <v>2.391428571429266E-3</v>
      </c>
      <c r="AX49" s="4">
        <v>2.391428571429266E-3</v>
      </c>
      <c r="AY49" s="4">
        <v>2.391428571429266E-3</v>
      </c>
      <c r="AZ49" s="4">
        <v>2.391428571429266E-3</v>
      </c>
      <c r="BA49" s="4">
        <v>2.391428571429266E-3</v>
      </c>
    </row>
    <row r="50" spans="1:53" ht="15.75" customHeight="1" x14ac:dyDescent="0.25">
      <c r="A50" s="4" t="s">
        <v>173</v>
      </c>
      <c r="B50" s="74">
        <v>5.7999999999999996E-3</v>
      </c>
      <c r="C50" s="74">
        <v>5.9999999999999995E-4</v>
      </c>
      <c r="D50" s="74">
        <v>9.5999999999999992E-3</v>
      </c>
      <c r="E50" s="74">
        <v>1.54E-2</v>
      </c>
      <c r="F50" s="74">
        <v>7.6E-3</v>
      </c>
      <c r="G50" s="74">
        <v>3.0000000000000001E-3</v>
      </c>
      <c r="H50" s="4">
        <v>8.2799999999999541E-3</v>
      </c>
      <c r="I50" s="4">
        <v>8.6457142857142566E-3</v>
      </c>
      <c r="J50" s="4">
        <v>9.0114285714285591E-3</v>
      </c>
      <c r="K50" s="4">
        <v>9.3771428571428617E-3</v>
      </c>
      <c r="L50" s="4">
        <v>9.7428571428571642E-3</v>
      </c>
      <c r="M50" s="4">
        <v>1.0108571428571467E-2</v>
      </c>
      <c r="N50" s="4">
        <v>1.0474285714285769E-2</v>
      </c>
      <c r="O50" s="4">
        <v>1.0839999999999961E-2</v>
      </c>
      <c r="P50" s="4">
        <v>1.1205714285714263E-2</v>
      </c>
      <c r="Q50" s="4">
        <v>1.1571428571428566E-2</v>
      </c>
      <c r="R50" s="4">
        <v>1.1937142857142868E-2</v>
      </c>
      <c r="S50" s="4">
        <v>1.2302857142857171E-2</v>
      </c>
      <c r="T50" s="4">
        <v>1.2668571428571473E-2</v>
      </c>
      <c r="U50" s="4">
        <v>1.3034285714285665E-2</v>
      </c>
      <c r="V50" s="4">
        <v>1.3399999999999967E-2</v>
      </c>
      <c r="W50" s="4">
        <v>1.376571428571427E-2</v>
      </c>
      <c r="X50" s="4">
        <v>1.4131428571428573E-2</v>
      </c>
      <c r="Y50" s="4">
        <v>1.4497142857142875E-2</v>
      </c>
      <c r="Z50" s="4">
        <v>1.4862857142857178E-2</v>
      </c>
      <c r="AA50" s="4">
        <v>1.522857142857148E-2</v>
      </c>
      <c r="AB50" s="4">
        <v>1.5594285714285672E-2</v>
      </c>
      <c r="AC50" s="4">
        <v>1.5959999999999974E-2</v>
      </c>
      <c r="AD50" s="4">
        <v>1.6325714285714277E-2</v>
      </c>
      <c r="AE50" s="4">
        <v>1.6691428571428579E-2</v>
      </c>
      <c r="AF50" s="4">
        <v>1.7057142857142882E-2</v>
      </c>
      <c r="AG50" s="4">
        <v>1.7422857142857184E-2</v>
      </c>
      <c r="AH50" s="4">
        <v>1.7788571428571487E-2</v>
      </c>
      <c r="AI50" s="4">
        <v>1.8154285714285678E-2</v>
      </c>
      <c r="AJ50" s="4">
        <v>1.8519999999999981E-2</v>
      </c>
      <c r="AK50" s="4">
        <v>1.8885714285714283E-2</v>
      </c>
      <c r="AL50" s="4">
        <v>1.9251428571428586E-2</v>
      </c>
      <c r="AM50" s="4">
        <v>1.9617142857142889E-2</v>
      </c>
      <c r="AN50" s="4">
        <v>1.9982857142857191E-2</v>
      </c>
      <c r="AO50" s="4">
        <v>2.0348571428571494E-2</v>
      </c>
      <c r="AP50" s="4">
        <v>2.0714285714285685E-2</v>
      </c>
      <c r="AQ50" s="4">
        <v>2.1079999999999988E-2</v>
      </c>
      <c r="AR50" s="4">
        <v>2.144571428571429E-2</v>
      </c>
      <c r="AS50" s="4">
        <v>2.1811428571428593E-2</v>
      </c>
      <c r="AT50" s="4">
        <v>2.2177142857142895E-2</v>
      </c>
      <c r="AU50" s="4">
        <v>2.2542857142857198E-2</v>
      </c>
      <c r="AV50" s="4">
        <v>2.2908571428571389E-2</v>
      </c>
      <c r="AW50" s="4">
        <v>2.3274285714285692E-2</v>
      </c>
      <c r="AX50" s="4">
        <v>2.3639999999999994E-2</v>
      </c>
      <c r="AY50" s="4">
        <v>2.4005714285714297E-2</v>
      </c>
      <c r="AZ50" s="4">
        <v>2.4371428571428599E-2</v>
      </c>
      <c r="BA50" s="4">
        <v>2.4737142857142902E-2</v>
      </c>
    </row>
    <row r="51" spans="1:53" ht="15.75" customHeight="1" x14ac:dyDescent="0.25">
      <c r="A51" s="4" t="s">
        <v>174</v>
      </c>
      <c r="B51" s="74">
        <v>2.5999999999999999E-3</v>
      </c>
      <c r="C51" s="74">
        <v>3.4999999999999996E-3</v>
      </c>
      <c r="D51" s="74">
        <v>1.34E-2</v>
      </c>
      <c r="E51" s="74">
        <v>9.7999999999999997E-3</v>
      </c>
      <c r="F51" s="74">
        <v>1.0200000000000001E-2</v>
      </c>
      <c r="G51" s="74">
        <v>5.6799999999999996E-2</v>
      </c>
      <c r="H51" s="4">
        <v>4.4799999999998619E-2</v>
      </c>
      <c r="I51" s="4">
        <v>5.3014285714287013E-2</v>
      </c>
      <c r="J51" s="4">
        <v>6.1228571428571854E-2</v>
      </c>
      <c r="K51" s="4">
        <v>6.9442857142856695E-2</v>
      </c>
      <c r="L51" s="4">
        <v>7.7657142857141537E-2</v>
      </c>
      <c r="M51" s="4">
        <v>8.5871428571429931E-2</v>
      </c>
      <c r="N51" s="4">
        <v>9.4085714285714772E-2</v>
      </c>
      <c r="O51" s="4">
        <v>0.10229999999999961</v>
      </c>
      <c r="P51" s="4">
        <v>0.11051428571428445</v>
      </c>
      <c r="Q51" s="4">
        <v>0.11872857142857285</v>
      </c>
      <c r="R51" s="4">
        <v>0.12694285714285769</v>
      </c>
      <c r="S51" s="4">
        <v>0.13515714285714253</v>
      </c>
      <c r="T51" s="4">
        <v>0.14337142857142737</v>
      </c>
      <c r="U51" s="4">
        <v>0.15158571428571577</v>
      </c>
      <c r="V51" s="4">
        <v>0.15980000000000061</v>
      </c>
      <c r="W51" s="4">
        <v>0.16801428571428545</v>
      </c>
      <c r="X51" s="4">
        <v>0.17622857142857029</v>
      </c>
      <c r="Y51" s="4">
        <v>0.18444285714285868</v>
      </c>
      <c r="Z51" s="4">
        <v>0.19265714285714353</v>
      </c>
      <c r="AA51" s="4">
        <v>0.20087142857142837</v>
      </c>
      <c r="AB51" s="4">
        <v>0.20908571428571321</v>
      </c>
      <c r="AC51" s="4">
        <v>0.2173000000000016</v>
      </c>
      <c r="AD51" s="4">
        <v>0.22551428571428644</v>
      </c>
      <c r="AE51" s="4">
        <v>0.23372857142857129</v>
      </c>
      <c r="AF51" s="4">
        <v>0.24194285714285613</v>
      </c>
      <c r="AG51" s="4">
        <v>0.25015714285714097</v>
      </c>
      <c r="AH51" s="4">
        <v>0.25837142857142936</v>
      </c>
      <c r="AI51" s="4">
        <v>0.2665857142857142</v>
      </c>
      <c r="AJ51" s="4">
        <v>0.27479999999999905</v>
      </c>
      <c r="AK51" s="4">
        <v>0.28301428571428389</v>
      </c>
      <c r="AL51" s="4">
        <v>0.29122857142857228</v>
      </c>
      <c r="AM51" s="4">
        <v>0.29944285714285712</v>
      </c>
      <c r="AN51" s="4">
        <v>0.30765714285714196</v>
      </c>
      <c r="AO51" s="4">
        <v>0.3158714285714268</v>
      </c>
      <c r="AP51" s="4">
        <v>0.3240857142857152</v>
      </c>
      <c r="AQ51" s="4">
        <v>0.33230000000000004</v>
      </c>
      <c r="AR51" s="4">
        <v>0.34051428571428488</v>
      </c>
      <c r="AS51" s="4">
        <v>0.34872857142856972</v>
      </c>
      <c r="AT51" s="4">
        <v>0.35694285714285812</v>
      </c>
      <c r="AU51" s="4">
        <v>0.36515714285714296</v>
      </c>
      <c r="AV51" s="4">
        <v>0.3733714285714278</v>
      </c>
      <c r="AW51" s="4">
        <v>0.38158571428571264</v>
      </c>
      <c r="AX51" s="4">
        <v>0.38980000000000103</v>
      </c>
      <c r="AY51" s="4">
        <v>0.39801428571428588</v>
      </c>
      <c r="AZ51" s="4">
        <v>0.40622857142857072</v>
      </c>
      <c r="BA51" s="4">
        <v>0.41444285714285556</v>
      </c>
    </row>
    <row r="52" spans="1:53" ht="15.75" customHeight="1" x14ac:dyDescent="0.25">
      <c r="A52" s="4" t="s">
        <v>175</v>
      </c>
      <c r="B52" s="74">
        <v>0.03</v>
      </c>
      <c r="C52" s="74">
        <v>3.8E-3</v>
      </c>
      <c r="D52" s="74">
        <v>4.2699999999999995E-2</v>
      </c>
      <c r="E52" s="74">
        <v>5.8400000000000001E-2</v>
      </c>
      <c r="F52" s="74">
        <v>3.2599999999999997E-2</v>
      </c>
      <c r="G52" s="74">
        <v>7.0999999999999995E-3</v>
      </c>
      <c r="H52" s="4">
        <v>2.7859999999999996E-2</v>
      </c>
      <c r="I52" s="4">
        <v>2.7505714285714356E-2</v>
      </c>
      <c r="J52" s="4">
        <v>2.7151428571428604E-2</v>
      </c>
      <c r="K52" s="4">
        <v>2.6797142857142853E-2</v>
      </c>
      <c r="L52" s="4">
        <v>2.6442857142857212E-2</v>
      </c>
      <c r="M52" s="4">
        <v>2.6088571428571461E-2</v>
      </c>
      <c r="N52" s="4">
        <v>2.573428571428571E-2</v>
      </c>
      <c r="O52" s="4">
        <v>2.5380000000000069E-2</v>
      </c>
      <c r="P52" s="4">
        <v>2.5025714285714318E-2</v>
      </c>
      <c r="Q52" s="4">
        <v>2.4671428571428566E-2</v>
      </c>
      <c r="R52" s="4">
        <v>2.4317142857142926E-2</v>
      </c>
      <c r="S52" s="4">
        <v>2.3962857142857175E-2</v>
      </c>
      <c r="T52" s="4">
        <v>2.3608571428571423E-2</v>
      </c>
      <c r="U52" s="4">
        <v>2.3254285714285783E-2</v>
      </c>
      <c r="V52" s="4">
        <v>2.2900000000000031E-2</v>
      </c>
      <c r="W52" s="4">
        <v>2.254571428571428E-2</v>
      </c>
      <c r="X52" s="4">
        <v>2.219142857142864E-2</v>
      </c>
      <c r="Y52" s="4">
        <v>2.1837142857142888E-2</v>
      </c>
      <c r="Z52" s="4">
        <v>2.1482857142857137E-2</v>
      </c>
      <c r="AA52" s="4">
        <v>2.1128571428571497E-2</v>
      </c>
      <c r="AB52" s="4">
        <v>2.0774285714285745E-2</v>
      </c>
      <c r="AC52" s="4">
        <v>2.0419999999999994E-2</v>
      </c>
      <c r="AD52" s="4">
        <v>2.0065714285714353E-2</v>
      </c>
      <c r="AE52" s="4">
        <v>1.9711428571428602E-2</v>
      </c>
      <c r="AF52" s="4">
        <v>1.9357142857142851E-2</v>
      </c>
      <c r="AG52" s="4">
        <v>1.900285714285721E-2</v>
      </c>
      <c r="AH52" s="4">
        <v>1.8648571428571459E-2</v>
      </c>
      <c r="AI52" s="4">
        <v>1.8294285714285707E-2</v>
      </c>
      <c r="AJ52" s="4">
        <v>1.7940000000000067E-2</v>
      </c>
      <c r="AK52" s="4">
        <v>1.7585714285714316E-2</v>
      </c>
      <c r="AL52" s="4">
        <v>1.7231428571428564E-2</v>
      </c>
      <c r="AM52" s="4">
        <v>1.6877142857142924E-2</v>
      </c>
      <c r="AN52" s="4">
        <v>1.6522857142857172E-2</v>
      </c>
      <c r="AO52" s="4">
        <v>1.6168571428571421E-2</v>
      </c>
      <c r="AP52" s="4">
        <v>1.5814285714285781E-2</v>
      </c>
      <c r="AQ52" s="4">
        <v>1.5460000000000029E-2</v>
      </c>
      <c r="AR52" s="4">
        <v>1.5105714285714278E-2</v>
      </c>
      <c r="AS52" s="4">
        <v>1.4751428571428638E-2</v>
      </c>
      <c r="AT52" s="4">
        <v>1.4397142857142886E-2</v>
      </c>
      <c r="AU52" s="4">
        <v>1.4042857142857135E-2</v>
      </c>
      <c r="AV52" s="4">
        <v>1.3688571428571494E-2</v>
      </c>
      <c r="AW52" s="4">
        <v>1.3334285714285743E-2</v>
      </c>
      <c r="AX52" s="4">
        <v>1.2979999999999992E-2</v>
      </c>
      <c r="AY52" s="4">
        <v>1.2625714285714351E-2</v>
      </c>
      <c r="AZ52" s="4">
        <v>1.22714285714286E-2</v>
      </c>
      <c r="BA52" s="4">
        <v>1.1917142857142848E-2</v>
      </c>
    </row>
    <row r="53" spans="1:53" ht="15.75" customHeight="1" x14ac:dyDescent="0.25">
      <c r="A53" s="4" t="s">
        <v>176</v>
      </c>
      <c r="B53" s="74">
        <v>1.9599999999999999E-2</v>
      </c>
      <c r="C53" s="74">
        <v>5.8999999999999999E-3</v>
      </c>
      <c r="D53" s="74">
        <v>6.3600000000000004E-2</v>
      </c>
      <c r="E53" s="74">
        <v>9.9499999999999991E-2</v>
      </c>
      <c r="F53" s="74">
        <v>2.5499999999999998E-2</v>
      </c>
      <c r="G53" s="74">
        <v>2.0499999999999997E-2</v>
      </c>
      <c r="H53" s="4">
        <v>4.9020000000000508E-2</v>
      </c>
      <c r="I53" s="4">
        <v>5.1854285714285631E-2</v>
      </c>
      <c r="J53" s="4">
        <v>5.4688571428571642E-2</v>
      </c>
      <c r="K53" s="4">
        <v>5.7522857142857653E-2</v>
      </c>
      <c r="L53" s="4">
        <v>6.0357142857142776E-2</v>
      </c>
      <c r="M53" s="4">
        <v>6.3191428571428787E-2</v>
      </c>
      <c r="N53" s="4">
        <v>6.6025714285714798E-2</v>
      </c>
      <c r="O53" s="4">
        <v>6.8859999999999921E-2</v>
      </c>
      <c r="P53" s="4">
        <v>7.1694285714285932E-2</v>
      </c>
      <c r="Q53" s="4">
        <v>7.4528571428571944E-2</v>
      </c>
      <c r="R53" s="4">
        <v>7.7362857142857067E-2</v>
      </c>
      <c r="S53" s="4">
        <v>8.0197142857143078E-2</v>
      </c>
      <c r="T53" s="4">
        <v>8.3031428571429089E-2</v>
      </c>
      <c r="U53" s="4">
        <v>8.5865714285714212E-2</v>
      </c>
      <c r="V53" s="4">
        <v>8.8700000000000223E-2</v>
      </c>
      <c r="W53" s="4">
        <v>9.1534285714286234E-2</v>
      </c>
      <c r="X53" s="4">
        <v>9.4368571428571357E-2</v>
      </c>
      <c r="Y53" s="4">
        <v>9.7202857142857368E-2</v>
      </c>
      <c r="Z53" s="4">
        <v>0.10003714285714338</v>
      </c>
      <c r="AA53" s="4">
        <v>0.1028714285714285</v>
      </c>
      <c r="AB53" s="4">
        <v>0.10570571428571451</v>
      </c>
      <c r="AC53" s="4">
        <v>0.10854000000000052</v>
      </c>
      <c r="AD53" s="4">
        <v>0.11137428571428565</v>
      </c>
      <c r="AE53" s="4">
        <v>0.11420857142857166</v>
      </c>
      <c r="AF53" s="4">
        <v>0.11704285714285767</v>
      </c>
      <c r="AG53" s="4">
        <v>0.11987714285714279</v>
      </c>
      <c r="AH53" s="4">
        <v>0.1227114285714288</v>
      </c>
      <c r="AI53" s="4">
        <v>0.12554571428571482</v>
      </c>
      <c r="AJ53" s="4">
        <v>0.12837999999999994</v>
      </c>
      <c r="AK53" s="4">
        <v>0.13121428571428595</v>
      </c>
      <c r="AL53" s="4">
        <v>0.13404857142857196</v>
      </c>
      <c r="AM53" s="4">
        <v>0.13688285714285708</v>
      </c>
      <c r="AN53" s="4">
        <v>0.1397171428571431</v>
      </c>
      <c r="AO53" s="4">
        <v>0.14255142857142911</v>
      </c>
      <c r="AP53" s="4">
        <v>0.14538571428571423</v>
      </c>
      <c r="AQ53" s="4">
        <v>0.14822000000000024</v>
      </c>
      <c r="AR53" s="4">
        <v>0.15105428571428625</v>
      </c>
      <c r="AS53" s="4">
        <v>0.15388857142857137</v>
      </c>
      <c r="AT53" s="4">
        <v>0.15672285714285739</v>
      </c>
      <c r="AU53" s="4">
        <v>0.1595571428571434</v>
      </c>
      <c r="AV53" s="4">
        <v>0.16239142857142852</v>
      </c>
      <c r="AW53" s="4">
        <v>0.16522571428571453</v>
      </c>
      <c r="AX53" s="4">
        <v>0.16806000000000054</v>
      </c>
      <c r="AY53" s="4">
        <v>0.17089428571428567</v>
      </c>
      <c r="AZ53" s="4">
        <v>0.17372857142857168</v>
      </c>
      <c r="BA53" s="4">
        <v>0.17656285714285769</v>
      </c>
    </row>
    <row r="54" spans="1:53" ht="15.75" customHeight="1" x14ac:dyDescent="0.25">
      <c r="A54" s="4" t="s">
        <v>177</v>
      </c>
      <c r="B54" s="74">
        <v>5.7599999999999998E-2</v>
      </c>
      <c r="C54" s="74">
        <v>4.3400000000000001E-2</v>
      </c>
      <c r="D54" s="74">
        <v>2.3799999999999998E-2</v>
      </c>
      <c r="E54" s="74">
        <v>4.8399999999999999E-2</v>
      </c>
      <c r="F54" s="74">
        <v>4.0899999999999999E-2</v>
      </c>
      <c r="G54" s="74">
        <v>1.06E-2</v>
      </c>
      <c r="H54" s="4">
        <v>1.5660000000000451E-2</v>
      </c>
      <c r="I54" s="4">
        <v>9.4342857142866166E-3</v>
      </c>
      <c r="J54" s="4">
        <v>3.2085714285710054E-3</v>
      </c>
      <c r="K54" s="4">
        <v>3.2085714285710054E-3</v>
      </c>
      <c r="L54" s="4">
        <v>3.2085714285710054E-3</v>
      </c>
      <c r="M54" s="4">
        <v>3.2085714285710054E-3</v>
      </c>
      <c r="N54" s="4">
        <v>3.2085714285710054E-3</v>
      </c>
      <c r="O54" s="4">
        <v>3.2085714285710054E-3</v>
      </c>
      <c r="P54" s="4">
        <v>3.2085714285710054E-3</v>
      </c>
      <c r="Q54" s="4">
        <v>3.2085714285710054E-3</v>
      </c>
      <c r="R54" s="4">
        <v>3.2085714285710054E-3</v>
      </c>
      <c r="S54" s="4">
        <v>3.2085714285710054E-3</v>
      </c>
      <c r="T54" s="4">
        <v>3.2085714285710054E-3</v>
      </c>
      <c r="U54" s="4">
        <v>3.2085714285710054E-3</v>
      </c>
      <c r="V54" s="4">
        <v>3.2085714285710054E-3</v>
      </c>
      <c r="W54" s="4">
        <v>3.2085714285710054E-3</v>
      </c>
      <c r="X54" s="4">
        <v>3.2085714285710054E-3</v>
      </c>
      <c r="Y54" s="4">
        <v>3.2085714285710054E-3</v>
      </c>
      <c r="Z54" s="4">
        <v>3.2085714285710054E-3</v>
      </c>
      <c r="AA54" s="4">
        <v>3.2085714285710054E-3</v>
      </c>
      <c r="AB54" s="4">
        <v>3.2085714285710054E-3</v>
      </c>
      <c r="AC54" s="4">
        <v>3.2085714285710054E-3</v>
      </c>
      <c r="AD54" s="4">
        <v>3.2085714285710054E-3</v>
      </c>
      <c r="AE54" s="4">
        <v>3.2085714285710054E-3</v>
      </c>
      <c r="AF54" s="4">
        <v>3.2085714285710054E-3</v>
      </c>
      <c r="AG54" s="4">
        <v>3.2085714285710054E-3</v>
      </c>
      <c r="AH54" s="4">
        <v>3.2085714285710054E-3</v>
      </c>
      <c r="AI54" s="4">
        <v>3.2085714285710054E-3</v>
      </c>
      <c r="AJ54" s="4">
        <v>3.2085714285710054E-3</v>
      </c>
      <c r="AK54" s="4">
        <v>3.2085714285710054E-3</v>
      </c>
      <c r="AL54" s="4">
        <v>3.2085714285710054E-3</v>
      </c>
      <c r="AM54" s="4">
        <v>3.2085714285710054E-3</v>
      </c>
      <c r="AN54" s="4">
        <v>3.2085714285710054E-3</v>
      </c>
      <c r="AO54" s="4">
        <v>3.2085714285710054E-3</v>
      </c>
      <c r="AP54" s="4">
        <v>3.2085714285710054E-3</v>
      </c>
      <c r="AQ54" s="4">
        <v>3.2085714285710054E-3</v>
      </c>
      <c r="AR54" s="4">
        <v>3.2085714285710054E-3</v>
      </c>
      <c r="AS54" s="4">
        <v>3.2085714285710054E-3</v>
      </c>
      <c r="AT54" s="4">
        <v>3.2085714285710054E-3</v>
      </c>
      <c r="AU54" s="4">
        <v>3.2085714285710054E-3</v>
      </c>
      <c r="AV54" s="4">
        <v>3.2085714285710054E-3</v>
      </c>
      <c r="AW54" s="4">
        <v>3.2085714285710054E-3</v>
      </c>
      <c r="AX54" s="4">
        <v>3.2085714285710054E-3</v>
      </c>
      <c r="AY54" s="4">
        <v>3.2085714285710054E-3</v>
      </c>
      <c r="AZ54" s="4">
        <v>3.2085714285710054E-3</v>
      </c>
      <c r="BA54" s="4">
        <v>3.2085714285710054E-3</v>
      </c>
    </row>
    <row r="55" spans="1:53" ht="15.75" customHeight="1" x14ac:dyDescent="0.25">
      <c r="A55" s="4" t="s">
        <v>178</v>
      </c>
      <c r="B55" s="74">
        <v>9.1000000000000004E-3</v>
      </c>
      <c r="C55" s="74">
        <v>6.0000000000000001E-3</v>
      </c>
      <c r="D55" s="74">
        <v>7.3000000000000001E-3</v>
      </c>
      <c r="E55" s="74">
        <v>1.8000000000000002E-2</v>
      </c>
      <c r="F55" s="74">
        <v>1.2E-2</v>
      </c>
      <c r="G55" s="74">
        <v>2.2700000000000001E-2</v>
      </c>
      <c r="H55" s="4">
        <v>2.2186666666666355E-2</v>
      </c>
      <c r="I55" s="4">
        <v>2.4949523809524088E-2</v>
      </c>
      <c r="J55" s="4">
        <v>2.7712380952380933E-2</v>
      </c>
      <c r="K55" s="4">
        <v>3.0475238095237778E-2</v>
      </c>
      <c r="L55" s="4">
        <v>3.3238095238095511E-2</v>
      </c>
      <c r="M55" s="4">
        <v>3.6000952380952356E-2</v>
      </c>
      <c r="N55" s="4">
        <v>3.8763809523809201E-2</v>
      </c>
      <c r="O55" s="4">
        <v>4.1526666666666934E-2</v>
      </c>
      <c r="P55" s="4">
        <v>4.4289523809523779E-2</v>
      </c>
      <c r="Q55" s="4">
        <v>4.7052380952380624E-2</v>
      </c>
      <c r="R55" s="4">
        <v>4.9815238095238357E-2</v>
      </c>
      <c r="S55" s="4">
        <v>5.2578095238095202E-2</v>
      </c>
      <c r="T55" s="4">
        <v>5.5340952380952046E-2</v>
      </c>
      <c r="U55" s="4">
        <v>5.810380952380978E-2</v>
      </c>
      <c r="V55" s="4">
        <v>6.0866666666666625E-2</v>
      </c>
      <c r="W55" s="4">
        <v>6.3629523809523469E-2</v>
      </c>
      <c r="X55" s="4">
        <v>6.6392380952381203E-2</v>
      </c>
      <c r="Y55" s="4">
        <v>6.9155238095238047E-2</v>
      </c>
      <c r="Z55" s="4">
        <v>7.1918095238094892E-2</v>
      </c>
      <c r="AA55" s="4">
        <v>7.4680952380952625E-2</v>
      </c>
      <c r="AB55" s="4">
        <v>7.744380952380947E-2</v>
      </c>
      <c r="AC55" s="4">
        <v>8.0206666666666315E-2</v>
      </c>
      <c r="AD55" s="4">
        <v>8.2969523809524048E-2</v>
      </c>
      <c r="AE55" s="4">
        <v>8.5732380952380893E-2</v>
      </c>
      <c r="AF55" s="4">
        <v>8.8495238095237738E-2</v>
      </c>
      <c r="AG55" s="4">
        <v>9.1258095238095471E-2</v>
      </c>
      <c r="AH55" s="4">
        <v>9.4020952380952316E-2</v>
      </c>
      <c r="AI55" s="4">
        <v>9.6783809523809161E-2</v>
      </c>
      <c r="AJ55" s="4">
        <v>9.9546666666666894E-2</v>
      </c>
      <c r="AK55" s="4">
        <v>0.10230952380952374</v>
      </c>
      <c r="AL55" s="4">
        <v>0.10507238095238058</v>
      </c>
      <c r="AM55" s="4">
        <v>0.10783523809523832</v>
      </c>
      <c r="AN55" s="4">
        <v>0.11059809523809516</v>
      </c>
      <c r="AO55" s="4">
        <v>0.11336095238095201</v>
      </c>
      <c r="AP55" s="4">
        <v>0.11612380952380974</v>
      </c>
      <c r="AQ55" s="4">
        <v>0.11888666666666659</v>
      </c>
      <c r="AR55" s="4">
        <v>0.12164952380952343</v>
      </c>
      <c r="AS55" s="4">
        <v>0.12441238095238116</v>
      </c>
      <c r="AT55" s="4">
        <v>0.12717523809523801</v>
      </c>
      <c r="AU55" s="4">
        <v>0.12993809523809485</v>
      </c>
      <c r="AV55" s="4">
        <v>0.13270095238095259</v>
      </c>
      <c r="AW55" s="4">
        <v>0.13546380952380943</v>
      </c>
      <c r="AX55" s="4">
        <v>0.13822666666666628</v>
      </c>
      <c r="AY55" s="4">
        <v>0.14098952380952401</v>
      </c>
      <c r="AZ55" s="4">
        <v>0.14375238095238085</v>
      </c>
      <c r="BA55" s="4">
        <v>0.1465152380952377</v>
      </c>
    </row>
    <row r="56" spans="1:53" ht="15.75" customHeight="1" x14ac:dyDescent="0.25">
      <c r="A56" s="4" t="s">
        <v>179</v>
      </c>
      <c r="B56" s="74">
        <v>2.4399999999999998E-2</v>
      </c>
      <c r="C56" s="74">
        <v>4.3E-3</v>
      </c>
      <c r="D56" s="74">
        <v>7.3000000000000001E-3</v>
      </c>
      <c r="E56" s="74">
        <v>7.4999999999999997E-3</v>
      </c>
      <c r="F56" s="74">
        <v>1.0500000000000001E-2</v>
      </c>
      <c r="G56" s="74">
        <v>0.01</v>
      </c>
      <c r="H56" s="4">
        <v>5.3466666666666107E-3</v>
      </c>
      <c r="I56" s="4">
        <v>3.8266666666668669E-3</v>
      </c>
      <c r="J56" s="4">
        <v>2.3066666666666791E-3</v>
      </c>
      <c r="K56" s="4">
        <v>7.866666666669353E-4</v>
      </c>
      <c r="L56" s="4">
        <v>7.866666666669353E-4</v>
      </c>
      <c r="M56" s="4">
        <v>7.866666666669353E-4</v>
      </c>
      <c r="N56" s="4">
        <v>7.866666666669353E-4</v>
      </c>
      <c r="O56" s="4">
        <v>7.866666666669353E-4</v>
      </c>
      <c r="P56" s="4">
        <v>7.866666666669353E-4</v>
      </c>
      <c r="Q56" s="4">
        <v>7.866666666669353E-4</v>
      </c>
      <c r="R56" s="4">
        <v>7.866666666669353E-4</v>
      </c>
      <c r="S56" s="4">
        <v>7.866666666669353E-4</v>
      </c>
      <c r="T56" s="4">
        <v>7.866666666669353E-4</v>
      </c>
      <c r="U56" s="4">
        <v>7.866666666669353E-4</v>
      </c>
      <c r="V56" s="4">
        <v>7.866666666669353E-4</v>
      </c>
      <c r="W56" s="4">
        <v>7.866666666669353E-4</v>
      </c>
      <c r="X56" s="4">
        <v>7.866666666669353E-4</v>
      </c>
      <c r="Y56" s="4">
        <v>7.866666666669353E-4</v>
      </c>
      <c r="Z56" s="4">
        <v>7.866666666669353E-4</v>
      </c>
      <c r="AA56" s="4">
        <v>7.866666666669353E-4</v>
      </c>
      <c r="AB56" s="4">
        <v>7.866666666669353E-4</v>
      </c>
      <c r="AC56" s="4">
        <v>7.866666666669353E-4</v>
      </c>
      <c r="AD56" s="4">
        <v>7.866666666669353E-4</v>
      </c>
      <c r="AE56" s="4">
        <v>7.866666666669353E-4</v>
      </c>
      <c r="AF56" s="4">
        <v>7.866666666669353E-4</v>
      </c>
      <c r="AG56" s="4">
        <v>7.866666666669353E-4</v>
      </c>
      <c r="AH56" s="4">
        <v>7.866666666669353E-4</v>
      </c>
      <c r="AI56" s="4">
        <v>7.866666666669353E-4</v>
      </c>
      <c r="AJ56" s="4">
        <v>7.866666666669353E-4</v>
      </c>
      <c r="AK56" s="4">
        <v>7.866666666669353E-4</v>
      </c>
      <c r="AL56" s="4">
        <v>7.866666666669353E-4</v>
      </c>
      <c r="AM56" s="4">
        <v>7.866666666669353E-4</v>
      </c>
      <c r="AN56" s="4">
        <v>7.866666666669353E-4</v>
      </c>
      <c r="AO56" s="4">
        <v>7.866666666669353E-4</v>
      </c>
      <c r="AP56" s="4">
        <v>7.866666666669353E-4</v>
      </c>
      <c r="AQ56" s="4">
        <v>7.866666666669353E-4</v>
      </c>
      <c r="AR56" s="4">
        <v>7.866666666669353E-4</v>
      </c>
      <c r="AS56" s="4">
        <v>7.866666666669353E-4</v>
      </c>
      <c r="AT56" s="4">
        <v>7.866666666669353E-4</v>
      </c>
      <c r="AU56" s="4">
        <v>7.866666666669353E-4</v>
      </c>
      <c r="AV56" s="4">
        <v>7.866666666669353E-4</v>
      </c>
      <c r="AW56" s="4">
        <v>7.866666666669353E-4</v>
      </c>
      <c r="AX56" s="4">
        <v>7.866666666669353E-4</v>
      </c>
      <c r="AY56" s="4">
        <v>7.866666666669353E-4</v>
      </c>
      <c r="AZ56" s="4">
        <v>7.866666666669353E-4</v>
      </c>
      <c r="BA56" s="4">
        <v>7.866666666669353E-4</v>
      </c>
    </row>
    <row r="57" spans="1:53" ht="15.75" customHeight="1" x14ac:dyDescent="0.25">
      <c r="A57" s="4" t="s">
        <v>180</v>
      </c>
      <c r="B57" s="74">
        <v>2.5699999999999997E-2</v>
      </c>
      <c r="C57" s="74">
        <v>4.0999999999999995E-3</v>
      </c>
      <c r="D57" s="74">
        <v>4.1399999999999999E-2</v>
      </c>
      <c r="E57" s="74">
        <v>4.2199999999999994E-2</v>
      </c>
      <c r="F57" s="74">
        <v>3.6799999999999999E-2</v>
      </c>
      <c r="G57" s="74">
        <v>2.1700000000000001E-2</v>
      </c>
      <c r="H57" s="4">
        <v>3.6539999999999573E-2</v>
      </c>
      <c r="I57" s="4">
        <v>3.8794285714285337E-2</v>
      </c>
      <c r="J57" s="4">
        <v>4.1048571428571101E-2</v>
      </c>
      <c r="K57" s="4">
        <v>4.3302857142856865E-2</v>
      </c>
      <c r="L57" s="4">
        <v>4.555714285714263E-2</v>
      </c>
      <c r="M57" s="4">
        <v>4.7811428571428394E-2</v>
      </c>
      <c r="N57" s="4">
        <v>5.0065714285714158E-2</v>
      </c>
      <c r="O57" s="4">
        <v>5.2319999999999922E-2</v>
      </c>
      <c r="P57" s="4">
        <v>5.4574285714285686E-2</v>
      </c>
      <c r="Q57" s="4">
        <v>5.682857142857145E-2</v>
      </c>
      <c r="R57" s="4">
        <v>5.9082857142857215E-2</v>
      </c>
      <c r="S57" s="4">
        <v>6.1337142857142979E-2</v>
      </c>
      <c r="T57" s="4">
        <v>6.3591428571428743E-2</v>
      </c>
      <c r="U57" s="4">
        <v>6.5845714285714507E-2</v>
      </c>
      <c r="V57" s="4">
        <v>6.8100000000000271E-2</v>
      </c>
      <c r="W57" s="4">
        <v>7.0354285714285147E-2</v>
      </c>
      <c r="X57" s="4">
        <v>7.2608571428570912E-2</v>
      </c>
      <c r="Y57" s="4">
        <v>7.4862857142856676E-2</v>
      </c>
      <c r="Z57" s="4">
        <v>7.711714285714244E-2</v>
      </c>
      <c r="AA57" s="4">
        <v>7.9371428571428204E-2</v>
      </c>
      <c r="AB57" s="4">
        <v>8.1625714285713968E-2</v>
      </c>
      <c r="AC57" s="4">
        <v>8.3879999999999733E-2</v>
      </c>
      <c r="AD57" s="4">
        <v>8.6134285714285497E-2</v>
      </c>
      <c r="AE57" s="4">
        <v>8.8388571428571261E-2</v>
      </c>
      <c r="AF57" s="4">
        <v>9.0642857142857025E-2</v>
      </c>
      <c r="AG57" s="4">
        <v>9.2897142857142789E-2</v>
      </c>
      <c r="AH57" s="4">
        <v>9.5151428571428553E-2</v>
      </c>
      <c r="AI57" s="4">
        <v>9.7405714285714318E-2</v>
      </c>
      <c r="AJ57" s="4">
        <v>9.9660000000000082E-2</v>
      </c>
      <c r="AK57" s="4">
        <v>0.10191428571428585</v>
      </c>
      <c r="AL57" s="4">
        <v>0.10416857142857161</v>
      </c>
      <c r="AM57" s="4">
        <v>0.10642285714285737</v>
      </c>
      <c r="AN57" s="4">
        <v>0.10867714285714225</v>
      </c>
      <c r="AO57" s="4">
        <v>0.11093142857142801</v>
      </c>
      <c r="AP57" s="4">
        <v>0.11318571428571378</v>
      </c>
      <c r="AQ57" s="4">
        <v>0.11543999999999954</v>
      </c>
      <c r="AR57" s="4">
        <v>0.11769428571428531</v>
      </c>
      <c r="AS57" s="4">
        <v>0.11994857142857107</v>
      </c>
      <c r="AT57" s="4">
        <v>0.12220285714285684</v>
      </c>
      <c r="AU57" s="4">
        <v>0.1244571428571426</v>
      </c>
      <c r="AV57" s="4">
        <v>0.12671142857142836</v>
      </c>
      <c r="AW57" s="4">
        <v>0.12896571428571413</v>
      </c>
      <c r="AX57" s="4">
        <v>0.13121999999999989</v>
      </c>
      <c r="AY57" s="4">
        <v>0.13347428571428566</v>
      </c>
      <c r="AZ57" s="4">
        <v>0.13572857142857142</v>
      </c>
      <c r="BA57" s="4">
        <v>0.13798285714285718</v>
      </c>
    </row>
    <row r="58" spans="1:53" ht="15.75" customHeight="1" x14ac:dyDescent="0.25">
      <c r="A58" s="4" t="s">
        <v>181</v>
      </c>
      <c r="B58" s="74">
        <v>2.3399999999999997E-2</v>
      </c>
      <c r="C58" s="74">
        <v>9.1999999999999998E-3</v>
      </c>
      <c r="D58" s="74">
        <v>3.9000000000000003E-3</v>
      </c>
      <c r="E58" s="74">
        <v>2.53E-2</v>
      </c>
      <c r="F58" s="74">
        <v>2.0499999999999997E-2</v>
      </c>
      <c r="G58" s="74">
        <v>5.1000000000000004E-3</v>
      </c>
      <c r="H58" s="4">
        <v>1.0946666666666438E-2</v>
      </c>
      <c r="I58" s="4">
        <v>9.9123809523806727E-3</v>
      </c>
      <c r="J58" s="4">
        <v>8.8780952380953515E-3</v>
      </c>
      <c r="K58" s="4">
        <v>7.8438095238095862E-3</v>
      </c>
      <c r="L58" s="4">
        <v>6.8095238095238209E-3</v>
      </c>
      <c r="M58" s="4">
        <v>5.7752380952380555E-3</v>
      </c>
      <c r="N58" s="4">
        <v>4.7409523809522902E-3</v>
      </c>
      <c r="O58" s="4">
        <v>3.7066666666665249E-3</v>
      </c>
      <c r="P58" s="4">
        <v>2.6723809523807596E-3</v>
      </c>
      <c r="Q58" s="4">
        <v>1.6380952380949942E-3</v>
      </c>
      <c r="R58" s="4">
        <v>6.0380952380922892E-4</v>
      </c>
      <c r="S58" s="4">
        <v>6.0380952380922892E-4</v>
      </c>
      <c r="T58" s="4">
        <v>6.0380952380922892E-4</v>
      </c>
      <c r="U58" s="4">
        <v>6.0380952380922892E-4</v>
      </c>
      <c r="V58" s="4">
        <v>6.0380952380922892E-4</v>
      </c>
      <c r="W58" s="4">
        <v>6.0380952380922892E-4</v>
      </c>
      <c r="X58" s="4">
        <v>6.0380952380922892E-4</v>
      </c>
      <c r="Y58" s="4">
        <v>6.0380952380922892E-4</v>
      </c>
      <c r="Z58" s="4">
        <v>6.0380952380922892E-4</v>
      </c>
      <c r="AA58" s="4">
        <v>6.0380952380922892E-4</v>
      </c>
      <c r="AB58" s="4">
        <v>6.0380952380922892E-4</v>
      </c>
      <c r="AC58" s="4">
        <v>6.0380952380922892E-4</v>
      </c>
      <c r="AD58" s="4">
        <v>6.0380952380922892E-4</v>
      </c>
      <c r="AE58" s="4">
        <v>6.0380952380922892E-4</v>
      </c>
      <c r="AF58" s="4">
        <v>6.0380952380922892E-4</v>
      </c>
      <c r="AG58" s="4">
        <v>6.0380952380922892E-4</v>
      </c>
      <c r="AH58" s="4">
        <v>6.0380952380922892E-4</v>
      </c>
      <c r="AI58" s="4">
        <v>6.0380952380922892E-4</v>
      </c>
      <c r="AJ58" s="4">
        <v>6.0380952380922892E-4</v>
      </c>
      <c r="AK58" s="4">
        <v>6.0380952380922892E-4</v>
      </c>
      <c r="AL58" s="4">
        <v>6.0380952380922892E-4</v>
      </c>
      <c r="AM58" s="4">
        <v>6.0380952380922892E-4</v>
      </c>
      <c r="AN58" s="4">
        <v>6.0380952380922892E-4</v>
      </c>
      <c r="AO58" s="4">
        <v>6.0380952380922892E-4</v>
      </c>
      <c r="AP58" s="4">
        <v>6.0380952380922892E-4</v>
      </c>
      <c r="AQ58" s="4">
        <v>6.0380952380922892E-4</v>
      </c>
      <c r="AR58" s="4">
        <v>6.0380952380922892E-4</v>
      </c>
      <c r="AS58" s="4">
        <v>6.0380952380922892E-4</v>
      </c>
      <c r="AT58" s="4">
        <v>6.0380952380922892E-4</v>
      </c>
      <c r="AU58" s="4">
        <v>6.0380952380922892E-4</v>
      </c>
      <c r="AV58" s="4">
        <v>6.0380952380922892E-4</v>
      </c>
      <c r="AW58" s="4">
        <v>6.0380952380922892E-4</v>
      </c>
      <c r="AX58" s="4">
        <v>6.0380952380922892E-4</v>
      </c>
      <c r="AY58" s="4">
        <v>6.0380952380922892E-4</v>
      </c>
      <c r="AZ58" s="4">
        <v>6.0380952380922892E-4</v>
      </c>
      <c r="BA58" s="4">
        <v>6.0380952380922892E-4</v>
      </c>
    </row>
    <row r="59" spans="1:53" ht="15.75" customHeight="1" x14ac:dyDescent="0.25">
      <c r="A59" s="4" t="s">
        <v>182</v>
      </c>
      <c r="B59" s="74">
        <v>3.3300000000000003E-2</v>
      </c>
      <c r="C59" s="74">
        <v>2.2700000000000001E-2</v>
      </c>
      <c r="D59" s="74">
        <v>1.5800000000000002E-2</v>
      </c>
      <c r="E59" s="74">
        <v>4.2500000000000003E-2</v>
      </c>
      <c r="F59" s="74">
        <v>3.6600000000000001E-2</v>
      </c>
      <c r="G59" s="74">
        <v>2.1600000000000001E-2</v>
      </c>
      <c r="H59" s="4">
        <v>2.97400000000001E-2</v>
      </c>
      <c r="I59" s="4">
        <v>3.002285714285724E-2</v>
      </c>
      <c r="J59" s="4">
        <v>3.030571428571438E-2</v>
      </c>
      <c r="K59" s="4">
        <v>3.058857142857152E-2</v>
      </c>
      <c r="L59" s="4">
        <v>3.0871428571428661E-2</v>
      </c>
      <c r="M59" s="4">
        <v>3.1154285714285801E-2</v>
      </c>
      <c r="N59" s="4">
        <v>3.1437142857142941E-2</v>
      </c>
      <c r="O59" s="4">
        <v>3.1720000000000081E-2</v>
      </c>
      <c r="P59" s="4">
        <v>3.2002857142857222E-2</v>
      </c>
      <c r="Q59" s="4">
        <v>3.2285714285714362E-2</v>
      </c>
      <c r="R59" s="4">
        <v>3.2568571428571502E-2</v>
      </c>
      <c r="S59" s="4">
        <v>3.2851428571428642E-2</v>
      </c>
      <c r="T59" s="4">
        <v>3.3134285714285783E-2</v>
      </c>
      <c r="U59" s="4">
        <v>3.3417142857142923E-2</v>
      </c>
      <c r="V59" s="4">
        <v>3.3700000000000063E-2</v>
      </c>
      <c r="W59" s="4">
        <v>3.3982857142857203E-2</v>
      </c>
      <c r="X59" s="4">
        <v>3.4265714285714344E-2</v>
      </c>
      <c r="Y59" s="4">
        <v>3.4548571428571484E-2</v>
      </c>
      <c r="Z59" s="4">
        <v>3.4831428571428624E-2</v>
      </c>
      <c r="AA59" s="4">
        <v>3.5114285714285765E-2</v>
      </c>
      <c r="AB59" s="4">
        <v>3.5397142857142905E-2</v>
      </c>
      <c r="AC59" s="4">
        <v>3.5680000000000045E-2</v>
      </c>
      <c r="AD59" s="4">
        <v>3.5962857142857185E-2</v>
      </c>
      <c r="AE59" s="4">
        <v>3.6245714285714326E-2</v>
      </c>
      <c r="AF59" s="4">
        <v>3.6528571428571466E-2</v>
      </c>
      <c r="AG59" s="4">
        <v>3.6811428571428606E-2</v>
      </c>
      <c r="AH59" s="4">
        <v>3.7094285714285746E-2</v>
      </c>
      <c r="AI59" s="4">
        <v>3.7377142857142887E-2</v>
      </c>
      <c r="AJ59" s="4">
        <v>3.7660000000000027E-2</v>
      </c>
      <c r="AK59" s="4">
        <v>3.7942857142857167E-2</v>
      </c>
      <c r="AL59" s="4">
        <v>3.8225714285714307E-2</v>
      </c>
      <c r="AM59" s="4">
        <v>3.8508571428571448E-2</v>
      </c>
      <c r="AN59" s="4">
        <v>3.8791428571428588E-2</v>
      </c>
      <c r="AO59" s="4">
        <v>3.9074285714285728E-2</v>
      </c>
      <c r="AP59" s="4">
        <v>3.9357142857142868E-2</v>
      </c>
      <c r="AQ59" s="4">
        <v>3.9640000000000009E-2</v>
      </c>
      <c r="AR59" s="4">
        <v>3.9922857142857149E-2</v>
      </c>
      <c r="AS59" s="4">
        <v>4.0205714285714289E-2</v>
      </c>
      <c r="AT59" s="4">
        <v>4.0488571428571429E-2</v>
      </c>
      <c r="AU59" s="4">
        <v>4.077142857142857E-2</v>
      </c>
      <c r="AV59" s="4">
        <v>4.105428571428571E-2</v>
      </c>
      <c r="AW59" s="4">
        <v>4.133714285714285E-2</v>
      </c>
      <c r="AX59" s="4">
        <v>4.161999999999999E-2</v>
      </c>
      <c r="AY59" s="4">
        <v>4.1902857142857131E-2</v>
      </c>
      <c r="AZ59" s="4">
        <v>4.2185714285714271E-2</v>
      </c>
      <c r="BA59" s="4">
        <v>4.2468571428571411E-2</v>
      </c>
    </row>
    <row r="60" spans="1:53" ht="15.75" customHeight="1" x14ac:dyDescent="0.25">
      <c r="A60" s="4" t="s">
        <v>183</v>
      </c>
      <c r="B60" s="74">
        <v>8.3000000000000001E-3</v>
      </c>
      <c r="C60" s="74">
        <v>2.5399999999999999E-2</v>
      </c>
      <c r="D60" s="74">
        <v>4.6999999999999993E-3</v>
      </c>
      <c r="E60" s="74">
        <v>6.3E-3</v>
      </c>
      <c r="F60" s="74">
        <v>3.2000000000000002E-3</v>
      </c>
      <c r="G60" s="74">
        <v>2.7200000000000002E-2</v>
      </c>
      <c r="H60" s="4">
        <v>1.546666666666674E-2</v>
      </c>
      <c r="I60" s="4">
        <v>1.6309523809523885E-2</v>
      </c>
      <c r="J60" s="4">
        <v>1.715238095238103E-2</v>
      </c>
      <c r="K60" s="4">
        <v>1.7995238095238175E-2</v>
      </c>
      <c r="L60" s="4">
        <v>1.883809523809532E-2</v>
      </c>
      <c r="M60" s="4">
        <v>1.9680952380952466E-2</v>
      </c>
      <c r="N60" s="4">
        <v>2.0523809523809611E-2</v>
      </c>
      <c r="O60" s="4">
        <v>2.1366666666666756E-2</v>
      </c>
      <c r="P60" s="4">
        <v>2.2209523809523901E-2</v>
      </c>
      <c r="Q60" s="4">
        <v>2.3052380952381046E-2</v>
      </c>
      <c r="R60" s="4">
        <v>2.3895238095238192E-2</v>
      </c>
      <c r="S60" s="4">
        <v>2.4738095238095337E-2</v>
      </c>
      <c r="T60" s="4">
        <v>2.5580952380952482E-2</v>
      </c>
      <c r="U60" s="4">
        <v>2.6423809523809627E-2</v>
      </c>
      <c r="V60" s="4">
        <v>2.7266666666666772E-2</v>
      </c>
      <c r="W60" s="4">
        <v>2.8109523809523917E-2</v>
      </c>
      <c r="X60" s="4">
        <v>2.8952380952381063E-2</v>
      </c>
      <c r="Y60" s="4">
        <v>2.9795238095238208E-2</v>
      </c>
      <c r="Z60" s="4">
        <v>3.0638095238095353E-2</v>
      </c>
      <c r="AA60" s="4">
        <v>3.1480952380952498E-2</v>
      </c>
      <c r="AB60" s="4">
        <v>3.2323809523809643E-2</v>
      </c>
      <c r="AC60" s="4">
        <v>3.3166666666666789E-2</v>
      </c>
      <c r="AD60" s="4">
        <v>3.4009523809523934E-2</v>
      </c>
      <c r="AE60" s="4">
        <v>3.4852380952381079E-2</v>
      </c>
      <c r="AF60" s="4">
        <v>3.5695238095238224E-2</v>
      </c>
      <c r="AG60" s="4">
        <v>3.6538095238095369E-2</v>
      </c>
      <c r="AH60" s="4">
        <v>3.7380952380952515E-2</v>
      </c>
      <c r="AI60" s="4">
        <v>3.822380952380966E-2</v>
      </c>
      <c r="AJ60" s="4">
        <v>3.9066666666666805E-2</v>
      </c>
      <c r="AK60" s="4">
        <v>3.990952380952395E-2</v>
      </c>
      <c r="AL60" s="4">
        <v>4.0752380952381095E-2</v>
      </c>
      <c r="AM60" s="4">
        <v>4.1595238095238241E-2</v>
      </c>
      <c r="AN60" s="4">
        <v>4.2438095238095386E-2</v>
      </c>
      <c r="AO60" s="4">
        <v>4.3280952380952531E-2</v>
      </c>
      <c r="AP60" s="4">
        <v>4.4123809523809676E-2</v>
      </c>
      <c r="AQ60" s="4">
        <v>4.4966666666666821E-2</v>
      </c>
      <c r="AR60" s="4">
        <v>4.5809523809523967E-2</v>
      </c>
      <c r="AS60" s="4">
        <v>4.6652380952381112E-2</v>
      </c>
      <c r="AT60" s="4">
        <v>4.7495238095238257E-2</v>
      </c>
      <c r="AU60" s="4">
        <v>4.8338095238095402E-2</v>
      </c>
      <c r="AV60" s="4">
        <v>4.9180952380952547E-2</v>
      </c>
      <c r="AW60" s="4">
        <v>5.0023809523809692E-2</v>
      </c>
      <c r="AX60" s="4">
        <v>5.0866666666666838E-2</v>
      </c>
      <c r="AY60" s="4">
        <v>5.1709523809523983E-2</v>
      </c>
      <c r="AZ60" s="4">
        <v>5.2552380952381128E-2</v>
      </c>
      <c r="BA60" s="4">
        <v>5.3395238095238273E-2</v>
      </c>
    </row>
    <row r="61" spans="1:53" ht="15.75" customHeight="1" x14ac:dyDescent="0.25">
      <c r="A61" s="4" t="s">
        <v>184</v>
      </c>
      <c r="B61" s="74">
        <v>2.0099999999999996E-2</v>
      </c>
      <c r="C61" s="74">
        <v>2.8399999999999998E-2</v>
      </c>
      <c r="D61" s="74">
        <v>1.06E-2</v>
      </c>
      <c r="E61" s="74">
        <v>1.01E-2</v>
      </c>
      <c r="F61" s="74">
        <v>1.21E-2</v>
      </c>
      <c r="G61" s="74">
        <v>2.6699999999999998E-2</v>
      </c>
      <c r="H61" s="4">
        <v>1.6360000000000041E-2</v>
      </c>
      <c r="I61" s="4">
        <v>1.5891428571428667E-2</v>
      </c>
      <c r="J61" s="4">
        <v>1.5422857142857183E-2</v>
      </c>
      <c r="K61" s="4">
        <v>1.4954285714285809E-2</v>
      </c>
      <c r="L61" s="4">
        <v>1.4485714285714324E-2</v>
      </c>
      <c r="M61" s="4">
        <v>1.401714285714295E-2</v>
      </c>
      <c r="N61" s="4">
        <v>1.3548571428571465E-2</v>
      </c>
      <c r="O61" s="4">
        <v>1.3080000000000092E-2</v>
      </c>
      <c r="P61" s="4">
        <v>1.2611428571428607E-2</v>
      </c>
      <c r="Q61" s="4">
        <v>1.2142857142857233E-2</v>
      </c>
      <c r="R61" s="4">
        <v>1.1674285714285748E-2</v>
      </c>
      <c r="S61" s="4">
        <v>1.1205714285714374E-2</v>
      </c>
      <c r="T61" s="4">
        <v>1.073714285714289E-2</v>
      </c>
      <c r="U61" s="4">
        <v>1.0268571428571516E-2</v>
      </c>
      <c r="V61" s="4">
        <v>9.8000000000000309E-3</v>
      </c>
      <c r="W61" s="4">
        <v>9.3314285714286571E-3</v>
      </c>
      <c r="X61" s="4">
        <v>8.8628571428571723E-3</v>
      </c>
      <c r="Y61" s="4">
        <v>8.3942857142857985E-3</v>
      </c>
      <c r="Z61" s="4">
        <v>7.9257142857143137E-3</v>
      </c>
      <c r="AA61" s="4">
        <v>7.4571428571429399E-3</v>
      </c>
      <c r="AB61" s="4">
        <v>6.9885714285714551E-3</v>
      </c>
      <c r="AC61" s="4">
        <v>6.5200000000000813E-3</v>
      </c>
      <c r="AD61" s="4">
        <v>6.0514285714285965E-3</v>
      </c>
      <c r="AE61" s="4">
        <v>5.5828571428572227E-3</v>
      </c>
      <c r="AF61" s="4">
        <v>5.1142857142858489E-3</v>
      </c>
      <c r="AG61" s="4">
        <v>4.6457142857143641E-3</v>
      </c>
      <c r="AH61" s="4">
        <v>4.1771428571429903E-3</v>
      </c>
      <c r="AI61" s="4">
        <v>3.7085714285715055E-3</v>
      </c>
      <c r="AJ61" s="4">
        <v>3.2400000000001317E-3</v>
      </c>
      <c r="AK61" s="4">
        <v>2.7714285714286468E-3</v>
      </c>
      <c r="AL61" s="4">
        <v>2.3028571428572731E-3</v>
      </c>
      <c r="AM61" s="4">
        <v>1.8342857142857882E-3</v>
      </c>
      <c r="AN61" s="4">
        <v>1.3657142857144144E-3</v>
      </c>
      <c r="AO61" s="4">
        <v>8.9714285714292963E-4</v>
      </c>
      <c r="AP61" s="4">
        <v>4.2857142857155583E-4</v>
      </c>
      <c r="AQ61" s="4">
        <v>4.2857142857155583E-4</v>
      </c>
      <c r="AR61" s="4">
        <v>4.2857142857155583E-4</v>
      </c>
      <c r="AS61" s="4">
        <v>4.2857142857155583E-4</v>
      </c>
      <c r="AT61" s="4">
        <v>4.2857142857155583E-4</v>
      </c>
      <c r="AU61" s="4">
        <v>4.2857142857155583E-4</v>
      </c>
      <c r="AV61" s="4">
        <v>4.2857142857155583E-4</v>
      </c>
      <c r="AW61" s="4">
        <v>4.2857142857155583E-4</v>
      </c>
      <c r="AX61" s="4">
        <v>4.2857142857155583E-4</v>
      </c>
      <c r="AY61" s="4">
        <v>4.2857142857155583E-4</v>
      </c>
      <c r="AZ61" s="4">
        <v>4.2857142857155583E-4</v>
      </c>
      <c r="BA61" s="4">
        <v>4.2857142857155583E-4</v>
      </c>
    </row>
    <row r="62" spans="1:53" ht="15.75" customHeight="1" x14ac:dyDescent="0.25">
      <c r="A62" s="4" t="s">
        <v>185</v>
      </c>
      <c r="B62" s="74">
        <v>1.7000000000000001E-2</v>
      </c>
      <c r="C62" s="74">
        <v>3.3799999999999997E-2</v>
      </c>
      <c r="D62" s="74">
        <v>2.1099999999999997E-2</v>
      </c>
      <c r="E62" s="74">
        <v>1.1699999999999999E-2</v>
      </c>
      <c r="F62" s="74">
        <v>1.9299999999999998E-2</v>
      </c>
      <c r="G62" s="74">
        <v>2.12E-2</v>
      </c>
      <c r="H62" s="4">
        <v>1.7493333333333361E-2</v>
      </c>
      <c r="I62" s="4">
        <v>1.6581904761904909E-2</v>
      </c>
      <c r="J62" s="4">
        <v>1.5670476190476235E-2</v>
      </c>
      <c r="K62" s="4">
        <v>1.4759047619047783E-2</v>
      </c>
      <c r="L62" s="4">
        <v>1.3847619047619109E-2</v>
      </c>
      <c r="M62" s="4">
        <v>1.2936190476190657E-2</v>
      </c>
      <c r="N62" s="4">
        <v>1.2024761904761982E-2</v>
      </c>
      <c r="O62" s="4">
        <v>1.111333333333353E-2</v>
      </c>
      <c r="P62" s="4">
        <v>1.0201904761904856E-2</v>
      </c>
      <c r="Q62" s="4">
        <v>9.2904761904764044E-3</v>
      </c>
      <c r="R62" s="4">
        <v>8.3790476190477303E-3</v>
      </c>
      <c r="S62" s="4">
        <v>7.4676190476190563E-3</v>
      </c>
      <c r="T62" s="4">
        <v>6.5561904761906042E-3</v>
      </c>
      <c r="U62" s="4">
        <v>5.6447619047619302E-3</v>
      </c>
      <c r="V62" s="4">
        <v>4.7333333333334782E-3</v>
      </c>
      <c r="W62" s="4">
        <v>3.8219047619048041E-3</v>
      </c>
      <c r="X62" s="4">
        <v>2.9104761904763521E-3</v>
      </c>
      <c r="Y62" s="4">
        <v>1.999047619047678E-3</v>
      </c>
      <c r="Z62" s="4">
        <v>1.087619047619226E-3</v>
      </c>
      <c r="AA62" s="4">
        <v>1.7619047619055195E-4</v>
      </c>
      <c r="AB62" s="4">
        <v>1.7619047619055195E-4</v>
      </c>
      <c r="AC62" s="4">
        <v>1.7619047619055195E-4</v>
      </c>
      <c r="AD62" s="4">
        <v>1.7619047619055195E-4</v>
      </c>
      <c r="AE62" s="4">
        <v>1.7619047619055195E-4</v>
      </c>
      <c r="AF62" s="4">
        <v>1.7619047619055195E-4</v>
      </c>
      <c r="AG62" s="4">
        <v>1.7619047619055195E-4</v>
      </c>
      <c r="AH62" s="4">
        <v>1.7619047619055195E-4</v>
      </c>
      <c r="AI62" s="4">
        <v>1.7619047619055195E-4</v>
      </c>
      <c r="AJ62" s="4">
        <v>1.7619047619055195E-4</v>
      </c>
      <c r="AK62" s="4">
        <v>1.7619047619055195E-4</v>
      </c>
      <c r="AL62" s="4">
        <v>1.7619047619055195E-4</v>
      </c>
      <c r="AM62" s="4">
        <v>1.7619047619055195E-4</v>
      </c>
      <c r="AN62" s="4">
        <v>1.7619047619055195E-4</v>
      </c>
      <c r="AO62" s="4">
        <v>1.7619047619055195E-4</v>
      </c>
      <c r="AP62" s="4">
        <v>1.7619047619055195E-4</v>
      </c>
      <c r="AQ62" s="4">
        <v>1.7619047619055195E-4</v>
      </c>
      <c r="AR62" s="4">
        <v>1.7619047619055195E-4</v>
      </c>
      <c r="AS62" s="4">
        <v>1.7619047619055195E-4</v>
      </c>
      <c r="AT62" s="4">
        <v>1.7619047619055195E-4</v>
      </c>
      <c r="AU62" s="4">
        <v>1.7619047619055195E-4</v>
      </c>
      <c r="AV62" s="4">
        <v>1.7619047619055195E-4</v>
      </c>
      <c r="AW62" s="4">
        <v>1.7619047619055195E-4</v>
      </c>
      <c r="AX62" s="4">
        <v>1.7619047619055195E-4</v>
      </c>
      <c r="AY62" s="4">
        <v>1.7619047619055195E-4</v>
      </c>
      <c r="AZ62" s="4">
        <v>1.7619047619055195E-4</v>
      </c>
      <c r="BA62" s="4">
        <v>1.7619047619055195E-4</v>
      </c>
    </row>
    <row r="63" spans="1:53" ht="15.75" customHeight="1" x14ac:dyDescent="0.25">
      <c r="A63" s="4" t="s">
        <v>186</v>
      </c>
      <c r="B63" s="74">
        <v>4.0500000000000001E-2</v>
      </c>
      <c r="C63" s="74">
        <v>2.1099999999999997E-2</v>
      </c>
      <c r="D63" s="74">
        <v>1.03E-2</v>
      </c>
      <c r="E63" s="74">
        <v>3.6400000000000002E-2</v>
      </c>
      <c r="F63" s="74">
        <v>3.5200000000000002E-2</v>
      </c>
      <c r="G63" s="74">
        <v>2.12E-2</v>
      </c>
      <c r="H63" s="4">
        <v>2.4639999999999995E-2</v>
      </c>
      <c r="I63" s="4">
        <v>2.383714285714289E-2</v>
      </c>
      <c r="J63" s="4">
        <v>2.3034285714285785E-2</v>
      </c>
      <c r="K63" s="4">
        <v>2.2231428571428458E-2</v>
      </c>
      <c r="L63" s="4">
        <v>2.1428571428571352E-2</v>
      </c>
      <c r="M63" s="4">
        <v>2.0625714285714247E-2</v>
      </c>
      <c r="N63" s="4">
        <v>1.9822857142857142E-2</v>
      </c>
      <c r="O63" s="4">
        <v>1.9020000000000037E-2</v>
      </c>
      <c r="P63" s="4">
        <v>1.8217142857142932E-2</v>
      </c>
      <c r="Q63" s="4">
        <v>1.7414285714285604E-2</v>
      </c>
      <c r="R63" s="4">
        <v>1.6611428571428499E-2</v>
      </c>
      <c r="S63" s="4">
        <v>1.5808571428571394E-2</v>
      </c>
      <c r="T63" s="4">
        <v>1.5005714285714289E-2</v>
      </c>
      <c r="U63" s="4">
        <v>1.4202857142857184E-2</v>
      </c>
      <c r="V63" s="4">
        <v>1.3400000000000079E-2</v>
      </c>
      <c r="W63" s="4">
        <v>1.2597142857142751E-2</v>
      </c>
      <c r="X63" s="4">
        <v>1.1794285714285646E-2</v>
      </c>
      <c r="Y63" s="4">
        <v>1.0991428571428541E-2</v>
      </c>
      <c r="Z63" s="4">
        <v>1.0188571428571436E-2</v>
      </c>
      <c r="AA63" s="4">
        <v>9.3857142857143305E-3</v>
      </c>
      <c r="AB63" s="4">
        <v>8.5828571428572253E-3</v>
      </c>
      <c r="AC63" s="4">
        <v>7.7799999999998981E-3</v>
      </c>
      <c r="AD63" s="4">
        <v>6.9771428571427929E-3</v>
      </c>
      <c r="AE63" s="4">
        <v>6.1742857142856877E-3</v>
      </c>
      <c r="AF63" s="4">
        <v>5.3714285714285825E-3</v>
      </c>
      <c r="AG63" s="4">
        <v>4.5685714285714774E-3</v>
      </c>
      <c r="AH63" s="4">
        <v>3.7657142857141501E-3</v>
      </c>
      <c r="AI63" s="4">
        <v>2.9628571428570449E-3</v>
      </c>
      <c r="AJ63" s="4">
        <v>2.1599999999999397E-3</v>
      </c>
      <c r="AK63" s="4">
        <v>1.3571428571428346E-3</v>
      </c>
      <c r="AL63" s="4">
        <v>5.5428571428572937E-4</v>
      </c>
      <c r="AM63" s="4">
        <v>5.5428571428572937E-4</v>
      </c>
      <c r="AN63" s="4">
        <v>5.5428571428572937E-4</v>
      </c>
      <c r="AO63" s="4">
        <v>5.5428571428572937E-4</v>
      </c>
      <c r="AP63" s="4">
        <v>5.5428571428572937E-4</v>
      </c>
      <c r="AQ63" s="4">
        <v>5.5428571428572937E-4</v>
      </c>
      <c r="AR63" s="4">
        <v>5.5428571428572937E-4</v>
      </c>
      <c r="AS63" s="4">
        <v>5.5428571428572937E-4</v>
      </c>
      <c r="AT63" s="4">
        <v>5.5428571428572937E-4</v>
      </c>
      <c r="AU63" s="4">
        <v>5.5428571428572937E-4</v>
      </c>
      <c r="AV63" s="4">
        <v>5.5428571428572937E-4</v>
      </c>
      <c r="AW63" s="4">
        <v>5.5428571428572937E-4</v>
      </c>
      <c r="AX63" s="4">
        <v>5.5428571428572937E-4</v>
      </c>
      <c r="AY63" s="4">
        <v>5.5428571428572937E-4</v>
      </c>
      <c r="AZ63" s="4">
        <v>5.5428571428572937E-4</v>
      </c>
      <c r="BA63" s="4">
        <v>5.5428571428572937E-4</v>
      </c>
    </row>
    <row r="64" spans="1:53" ht="15.75" customHeight="1" x14ac:dyDescent="0.25"/>
    <row r="65" spans="1:53" ht="15.75" customHeight="1" x14ac:dyDescent="0.25"/>
    <row r="66" spans="1:53" ht="15.75" customHeight="1" x14ac:dyDescent="0.25">
      <c r="A66" s="86" t="s">
        <v>204</v>
      </c>
    </row>
    <row r="67" spans="1:53" ht="15.75" customHeight="1" x14ac:dyDescent="0.25">
      <c r="A67" s="75" t="s">
        <v>187</v>
      </c>
      <c r="B67" s="76">
        <v>2019</v>
      </c>
      <c r="C67" s="76">
        <v>2020</v>
      </c>
      <c r="D67" s="76">
        <v>2021</v>
      </c>
      <c r="E67" s="76">
        <v>2022</v>
      </c>
      <c r="F67" s="76">
        <v>2023</v>
      </c>
      <c r="G67" s="76">
        <v>2024</v>
      </c>
      <c r="H67" s="76">
        <v>2025</v>
      </c>
      <c r="I67" s="76">
        <v>2026</v>
      </c>
      <c r="J67" s="76">
        <v>2027</v>
      </c>
      <c r="K67" s="76">
        <v>2028</v>
      </c>
      <c r="L67" s="76">
        <v>2029</v>
      </c>
      <c r="M67" s="76">
        <v>2030</v>
      </c>
      <c r="N67" s="76">
        <v>2031</v>
      </c>
      <c r="O67" s="76">
        <v>2032</v>
      </c>
      <c r="P67" s="76">
        <v>2033</v>
      </c>
      <c r="Q67" s="76">
        <v>2034</v>
      </c>
      <c r="R67" s="76">
        <v>2035</v>
      </c>
      <c r="S67" s="76">
        <v>2036</v>
      </c>
      <c r="T67" s="76">
        <v>2037</v>
      </c>
      <c r="U67" s="76">
        <v>2038</v>
      </c>
      <c r="V67" s="76">
        <v>2039</v>
      </c>
      <c r="W67" s="76">
        <v>2040</v>
      </c>
      <c r="X67" s="76">
        <v>2041</v>
      </c>
      <c r="Y67" s="76">
        <v>2042</v>
      </c>
      <c r="Z67" s="76">
        <v>2043</v>
      </c>
      <c r="AA67" s="76">
        <v>2044</v>
      </c>
      <c r="AB67" s="76">
        <v>2045</v>
      </c>
      <c r="AC67" s="76">
        <v>2046</v>
      </c>
      <c r="AD67" s="76">
        <v>2047</v>
      </c>
      <c r="AE67" s="76">
        <v>2048</v>
      </c>
      <c r="AF67" s="76">
        <v>2049</v>
      </c>
      <c r="AG67" s="76">
        <v>2050</v>
      </c>
      <c r="AH67" s="76">
        <v>2051</v>
      </c>
      <c r="AI67" s="76">
        <v>2052</v>
      </c>
      <c r="AJ67" s="76">
        <v>2053</v>
      </c>
      <c r="AK67" s="76">
        <v>2054</v>
      </c>
      <c r="AL67" s="76">
        <v>2055</v>
      </c>
      <c r="AM67" s="76">
        <v>2056</v>
      </c>
      <c r="AN67" s="76">
        <v>2057</v>
      </c>
      <c r="AO67" s="76">
        <v>2058</v>
      </c>
      <c r="AP67" s="76">
        <v>2059</v>
      </c>
      <c r="AQ67" s="76">
        <v>2060</v>
      </c>
      <c r="AR67" s="76">
        <v>2061</v>
      </c>
      <c r="AS67" s="76">
        <v>2062</v>
      </c>
      <c r="AT67" s="76">
        <v>2063</v>
      </c>
      <c r="AU67" s="76">
        <v>2064</v>
      </c>
      <c r="AV67" s="76">
        <v>2065</v>
      </c>
      <c r="AW67" s="76">
        <v>2066</v>
      </c>
      <c r="AX67" s="76">
        <v>2067</v>
      </c>
      <c r="AY67" s="76">
        <v>2068</v>
      </c>
      <c r="AZ67" s="76">
        <v>2069</v>
      </c>
      <c r="BA67" s="76">
        <v>2070</v>
      </c>
    </row>
    <row r="68" spans="1:53" ht="15.75" customHeight="1" x14ac:dyDescent="0.25">
      <c r="A68" s="77" t="s">
        <v>188</v>
      </c>
      <c r="B68" s="78">
        <v>3.61E-2</v>
      </c>
      <c r="C68" s="78">
        <v>1.77E-2</v>
      </c>
      <c r="D68" s="78">
        <v>1.8700000000000001E-2</v>
      </c>
      <c r="E68" s="78">
        <v>2.2499999999999999E-2</v>
      </c>
      <c r="F68" s="78">
        <v>1.3100000000000001E-2</v>
      </c>
      <c r="G68" s="78">
        <v>6.8000000000000005E-3</v>
      </c>
      <c r="H68" s="78">
        <v>5.33E-2</v>
      </c>
      <c r="I68" s="88" cm="1">
        <f t="array" ref="I68:BA68">TREND(B68:H68,$B$67:$H$67,$I$67:$BA$67)</f>
        <v>2.7485714285714336E-2</v>
      </c>
      <c r="J68" s="88">
        <v>2.8350000000000097E-2</v>
      </c>
      <c r="K68" s="88">
        <v>2.9214285714285637E-2</v>
      </c>
      <c r="L68" s="88">
        <v>3.0078571428571399E-2</v>
      </c>
      <c r="M68" s="88">
        <v>3.0942857142857161E-2</v>
      </c>
      <c r="N68" s="88">
        <v>3.1807142857142923E-2</v>
      </c>
      <c r="O68" s="88">
        <v>3.2671428571428462E-2</v>
      </c>
      <c r="P68" s="88">
        <v>3.3535714285714224E-2</v>
      </c>
      <c r="Q68" s="88">
        <v>3.4399999999999986E-2</v>
      </c>
      <c r="R68" s="88">
        <v>3.5264285714285748E-2</v>
      </c>
      <c r="S68" s="88">
        <v>3.612857142857151E-2</v>
      </c>
      <c r="T68" s="88">
        <v>3.699285714285705E-2</v>
      </c>
      <c r="U68" s="88">
        <v>3.7857142857142811E-2</v>
      </c>
      <c r="V68" s="88">
        <v>3.8721428571428573E-2</v>
      </c>
      <c r="W68" s="88">
        <v>3.9585714285714335E-2</v>
      </c>
      <c r="X68" s="88">
        <v>4.0450000000000097E-2</v>
      </c>
      <c r="Y68" s="88">
        <v>4.1314285714285637E-2</v>
      </c>
      <c r="Z68" s="88">
        <v>4.2178571428571399E-2</v>
      </c>
      <c r="AA68" s="88">
        <v>4.304285714285716E-2</v>
      </c>
      <c r="AB68" s="88">
        <v>4.3907142857142922E-2</v>
      </c>
      <c r="AC68" s="88">
        <v>4.4771428571428462E-2</v>
      </c>
      <c r="AD68" s="88">
        <v>4.5635714285714224E-2</v>
      </c>
      <c r="AE68" s="88">
        <v>4.6499999999999986E-2</v>
      </c>
      <c r="AF68" s="88">
        <v>4.7364285714285748E-2</v>
      </c>
      <c r="AG68" s="88">
        <v>4.8228571428571509E-2</v>
      </c>
      <c r="AH68" s="88">
        <v>4.9092857142857049E-2</v>
      </c>
      <c r="AI68" s="88">
        <v>4.9957142857142811E-2</v>
      </c>
      <c r="AJ68" s="88">
        <v>5.0821428571428573E-2</v>
      </c>
      <c r="AK68" s="88">
        <v>5.1685714285714335E-2</v>
      </c>
      <c r="AL68" s="88">
        <v>5.2549999999999875E-2</v>
      </c>
      <c r="AM68" s="88">
        <v>5.3414285714285636E-2</v>
      </c>
      <c r="AN68" s="88">
        <v>5.4278571428571398E-2</v>
      </c>
      <c r="AO68" s="88">
        <v>5.514285714285716E-2</v>
      </c>
      <c r="AP68" s="88">
        <v>5.6007142857142922E-2</v>
      </c>
      <c r="AQ68" s="88">
        <v>5.6871428571428462E-2</v>
      </c>
      <c r="AR68" s="88">
        <v>5.7735714285714224E-2</v>
      </c>
      <c r="AS68" s="88">
        <v>5.8599999999999985E-2</v>
      </c>
      <c r="AT68" s="88">
        <v>5.9464285714285747E-2</v>
      </c>
      <c r="AU68" s="88">
        <v>6.0328571428571509E-2</v>
      </c>
      <c r="AV68" s="88">
        <v>6.1192857142857049E-2</v>
      </c>
      <c r="AW68" s="88">
        <v>6.2057142857142811E-2</v>
      </c>
      <c r="AX68" s="88">
        <v>6.2921428571428573E-2</v>
      </c>
      <c r="AY68" s="88">
        <v>6.3785714285714334E-2</v>
      </c>
      <c r="AZ68" s="88">
        <v>6.4649999999999874E-2</v>
      </c>
      <c r="BA68" s="88">
        <v>6.5514285714285636E-2</v>
      </c>
    </row>
    <row r="69" spans="1:53" ht="15.75" customHeight="1" x14ac:dyDescent="0.25">
      <c r="A69" s="77" t="s">
        <v>189</v>
      </c>
      <c r="B69" s="78">
        <v>1.2199999999999999E-2</v>
      </c>
      <c r="C69" s="78">
        <v>-1.95E-2</v>
      </c>
      <c r="D69" s="78">
        <v>0.04</v>
      </c>
      <c r="E69" s="78">
        <v>4.3799999999999999E-2</v>
      </c>
      <c r="F69" s="78">
        <v>6.1200000000000004E-2</v>
      </c>
      <c r="G69" s="78">
        <v>4.9000000000000002E-2</v>
      </c>
      <c r="H69" s="78">
        <v>-6.6E-3</v>
      </c>
      <c r="I69" s="88" cm="1">
        <f t="array" ref="I69:BA69">TREND(B69:H69,$B$67:$H$67,$I$67:$BA$67)</f>
        <v>4.0271428571428736E-2</v>
      </c>
      <c r="J69" s="88">
        <v>4.3907142857142922E-2</v>
      </c>
      <c r="K69" s="88">
        <v>4.7542857142857109E-2</v>
      </c>
      <c r="L69" s="88">
        <v>5.1178571428571296E-2</v>
      </c>
      <c r="M69" s="88">
        <v>5.4814285714285482E-2</v>
      </c>
      <c r="N69" s="88">
        <v>5.8449999999999669E-2</v>
      </c>
      <c r="O69" s="88">
        <v>6.2085714285713856E-2</v>
      </c>
      <c r="P69" s="88">
        <v>6.5721428571428042E-2</v>
      </c>
      <c r="Q69" s="88">
        <v>6.9357142857142229E-2</v>
      </c>
      <c r="R69" s="88">
        <v>7.2992857142857304E-2</v>
      </c>
      <c r="S69" s="88">
        <v>7.662857142857149E-2</v>
      </c>
      <c r="T69" s="88">
        <v>8.0264285714285677E-2</v>
      </c>
      <c r="U69" s="88">
        <v>8.3899999999999864E-2</v>
      </c>
      <c r="V69" s="88">
        <v>8.753571428571405E-2</v>
      </c>
      <c r="W69" s="88">
        <v>9.1171428571428237E-2</v>
      </c>
      <c r="X69" s="88">
        <v>9.4807142857142424E-2</v>
      </c>
      <c r="Y69" s="88">
        <v>9.844285714285661E-2</v>
      </c>
      <c r="Z69" s="88">
        <v>0.1020785714285708</v>
      </c>
      <c r="AA69" s="88">
        <v>0.10571428571428587</v>
      </c>
      <c r="AB69" s="88">
        <v>0.10935000000000006</v>
      </c>
      <c r="AC69" s="88">
        <v>0.11298571428571424</v>
      </c>
      <c r="AD69" s="88">
        <v>0.11662142857142843</v>
      </c>
      <c r="AE69" s="88">
        <v>0.12025714285714262</v>
      </c>
      <c r="AF69" s="88">
        <v>0.1238928571428568</v>
      </c>
      <c r="AG69" s="88">
        <v>0.12752857142857099</v>
      </c>
      <c r="AH69" s="88">
        <v>0.13116428571428518</v>
      </c>
      <c r="AI69" s="88">
        <v>0.13479999999999936</v>
      </c>
      <c r="AJ69" s="88">
        <v>0.13843571428571444</v>
      </c>
      <c r="AK69" s="88">
        <v>0.14207142857142863</v>
      </c>
      <c r="AL69" s="88">
        <v>0.14570714285714281</v>
      </c>
      <c r="AM69" s="88">
        <v>0.149342857142857</v>
      </c>
      <c r="AN69" s="88">
        <v>0.15297857142857119</v>
      </c>
      <c r="AO69" s="88">
        <v>0.15661428571428537</v>
      </c>
      <c r="AP69" s="88">
        <v>0.16024999999999956</v>
      </c>
      <c r="AQ69" s="88">
        <v>0.16388571428571375</v>
      </c>
      <c r="AR69" s="88">
        <v>0.16752142857142793</v>
      </c>
      <c r="AS69" s="88">
        <v>0.17115714285714301</v>
      </c>
      <c r="AT69" s="88">
        <v>0.17479285714285719</v>
      </c>
      <c r="AU69" s="88">
        <v>0.17842857142857138</v>
      </c>
      <c r="AV69" s="88">
        <v>0.18206428571428557</v>
      </c>
      <c r="AW69" s="88">
        <v>0.18569999999999975</v>
      </c>
      <c r="AX69" s="88">
        <v>0.18933571428571394</v>
      </c>
      <c r="AY69" s="88">
        <v>0.19297142857142813</v>
      </c>
      <c r="AZ69" s="88">
        <v>0.19660714285714231</v>
      </c>
      <c r="BA69" s="88">
        <v>0.2002428571428565</v>
      </c>
    </row>
    <row r="70" spans="1:53" ht="15.75" customHeight="1" x14ac:dyDescent="0.25">
      <c r="A70" s="77" t="s">
        <v>190</v>
      </c>
      <c r="B70" s="78">
        <v>3.7999999999999999E-2</v>
      </c>
      <c r="C70" s="78">
        <v>-2.9300000000000003E-2</v>
      </c>
      <c r="D70" s="78">
        <v>3.39E-2</v>
      </c>
      <c r="E70" s="78">
        <v>4.8899999999999999E-2</v>
      </c>
      <c r="F70" s="78">
        <v>4.6399999999999997E-2</v>
      </c>
      <c r="G70" s="78">
        <v>4.4299999999999999E-2</v>
      </c>
      <c r="H70" s="78">
        <v>5.2999999999999999E-2</v>
      </c>
      <c r="I70" s="88" cm="1">
        <f t="array" ref="I70:BA70">TREND(B70:H70,$B$67:$H$67,$I$67:$BA$67)</f>
        <v>6.2842857142857866E-2</v>
      </c>
      <c r="J70" s="88">
        <v>7.0153571428571482E-2</v>
      </c>
      <c r="K70" s="88">
        <v>7.7464285714285097E-2</v>
      </c>
      <c r="L70" s="88">
        <v>8.4775000000000489E-2</v>
      </c>
      <c r="M70" s="88">
        <v>9.2085714285714104E-2</v>
      </c>
      <c r="N70" s="88">
        <v>9.9396428571429496E-2</v>
      </c>
      <c r="O70" s="88">
        <v>0.10670714285714311</v>
      </c>
      <c r="P70" s="88">
        <v>0.11401785714285673</v>
      </c>
      <c r="Q70" s="88">
        <v>0.12132857142857212</v>
      </c>
      <c r="R70" s="88">
        <v>0.12863928571428573</v>
      </c>
      <c r="S70" s="88">
        <v>0.13594999999999935</v>
      </c>
      <c r="T70" s="88">
        <v>0.14326071428571474</v>
      </c>
      <c r="U70" s="88">
        <v>0.15057142857142836</v>
      </c>
      <c r="V70" s="88">
        <v>0.15788214285714375</v>
      </c>
      <c r="W70" s="88">
        <v>0.16519285714285736</v>
      </c>
      <c r="X70" s="88">
        <v>0.17250357142857098</v>
      </c>
      <c r="Y70" s="88">
        <v>0.17981428571428637</v>
      </c>
      <c r="Z70" s="88">
        <v>0.18712499999999999</v>
      </c>
      <c r="AA70" s="88">
        <v>0.1944357142857136</v>
      </c>
      <c r="AB70" s="88">
        <v>0.20174642857142899</v>
      </c>
      <c r="AC70" s="88">
        <v>0.20905714285714261</v>
      </c>
      <c r="AD70" s="88">
        <v>0.216367857142858</v>
      </c>
      <c r="AE70" s="88">
        <v>0.22367857142857162</v>
      </c>
      <c r="AF70" s="88">
        <v>0.23098928571428523</v>
      </c>
      <c r="AG70" s="88">
        <v>0.23830000000000062</v>
      </c>
      <c r="AH70" s="88">
        <v>0.24561071428571424</v>
      </c>
      <c r="AI70" s="88">
        <v>0.25292142857142963</v>
      </c>
      <c r="AJ70" s="88">
        <v>0.26023214285714324</v>
      </c>
      <c r="AK70" s="88">
        <v>0.26754285714285686</v>
      </c>
      <c r="AL70" s="88">
        <v>0.27485357142857225</v>
      </c>
      <c r="AM70" s="88">
        <v>0.28216428571428587</v>
      </c>
      <c r="AN70" s="88">
        <v>0.28947499999999948</v>
      </c>
      <c r="AO70" s="88">
        <v>0.29678571428571487</v>
      </c>
      <c r="AP70" s="88">
        <v>0.30409642857142849</v>
      </c>
      <c r="AQ70" s="88">
        <v>0.31140714285714388</v>
      </c>
      <c r="AR70" s="88">
        <v>0.3187178571428575</v>
      </c>
      <c r="AS70" s="88">
        <v>0.32602857142857111</v>
      </c>
      <c r="AT70" s="88">
        <v>0.3333392857142865</v>
      </c>
      <c r="AU70" s="88">
        <v>0.34065000000000012</v>
      </c>
      <c r="AV70" s="88">
        <v>0.34796071428571373</v>
      </c>
      <c r="AW70" s="88">
        <v>0.35527142857142913</v>
      </c>
      <c r="AX70" s="88">
        <v>0.36258214285714274</v>
      </c>
      <c r="AY70" s="88">
        <v>0.36989285714285813</v>
      </c>
      <c r="AZ70" s="88">
        <v>0.37720357142857175</v>
      </c>
      <c r="BA70" s="88">
        <v>0.38451428571428536</v>
      </c>
    </row>
    <row r="71" spans="1:53" ht="15.75" customHeight="1" x14ac:dyDescent="0.25">
      <c r="A71" s="77" t="s">
        <v>191</v>
      </c>
      <c r="B71" s="78">
        <v>4.0399999999999998E-2</v>
      </c>
      <c r="C71" s="78">
        <v>-2.3399999999999997E-2</v>
      </c>
      <c r="D71" s="78">
        <v>5.5500000000000001E-2</v>
      </c>
      <c r="E71" s="78">
        <v>6.6100000000000006E-2</v>
      </c>
      <c r="F71" s="78">
        <v>4.9100000000000005E-2</v>
      </c>
      <c r="G71" s="78">
        <v>4.7699999999999992E-2</v>
      </c>
      <c r="H71" s="78">
        <v>3.1E-2</v>
      </c>
      <c r="I71" s="88" cm="1">
        <f t="array" ref="I71:BA71">TREND(B71:H71,$B$67:$H$67,$I$67:$BA$67)</f>
        <v>5.3428571428572269E-2</v>
      </c>
      <c r="J71" s="88">
        <v>5.7271428571429084E-2</v>
      </c>
      <c r="K71" s="88">
        <v>6.1114285714286787E-2</v>
      </c>
      <c r="L71" s="88">
        <v>6.4957142857143602E-2</v>
      </c>
      <c r="M71" s="88">
        <v>6.8800000000000416E-2</v>
      </c>
      <c r="N71" s="88">
        <v>7.2642857142858119E-2</v>
      </c>
      <c r="O71" s="88">
        <v>7.6485714285714934E-2</v>
      </c>
      <c r="P71" s="88">
        <v>8.0328571428571749E-2</v>
      </c>
      <c r="Q71" s="88">
        <v>8.4171428571429452E-2</v>
      </c>
      <c r="R71" s="88">
        <v>8.8014285714286267E-2</v>
      </c>
      <c r="S71" s="88">
        <v>9.185714285714397E-2</v>
      </c>
      <c r="T71" s="88">
        <v>9.5700000000000784E-2</v>
      </c>
      <c r="U71" s="88">
        <v>9.9542857142857599E-2</v>
      </c>
      <c r="V71" s="88">
        <v>0.1033857142857153</v>
      </c>
      <c r="W71" s="88">
        <v>0.10722857142857212</v>
      </c>
      <c r="X71" s="88">
        <v>0.11107142857142893</v>
      </c>
      <c r="Y71" s="88">
        <v>0.11491428571428663</v>
      </c>
      <c r="Z71" s="88">
        <v>0.11875714285714345</v>
      </c>
      <c r="AA71" s="88">
        <v>0.12260000000000115</v>
      </c>
      <c r="AB71" s="88">
        <v>0.12644285714285797</v>
      </c>
      <c r="AC71" s="88">
        <v>0.13028571428571478</v>
      </c>
      <c r="AD71" s="88">
        <v>0.13412857142857249</v>
      </c>
      <c r="AE71" s="88">
        <v>0.1379714285714293</v>
      </c>
      <c r="AF71" s="88">
        <v>0.14181428571428611</v>
      </c>
      <c r="AG71" s="88">
        <v>0.14565714285714382</v>
      </c>
      <c r="AH71" s="88">
        <v>0.14950000000000063</v>
      </c>
      <c r="AI71" s="88">
        <v>0.15334285714285745</v>
      </c>
      <c r="AJ71" s="88">
        <v>0.15718571428571515</v>
      </c>
      <c r="AK71" s="88">
        <v>0.16102857142857196</v>
      </c>
      <c r="AL71" s="88">
        <v>0.16487142857142967</v>
      </c>
      <c r="AM71" s="88">
        <v>0.16871428571428648</v>
      </c>
      <c r="AN71" s="88">
        <v>0.1725571428571433</v>
      </c>
      <c r="AO71" s="88">
        <v>0.176400000000001</v>
      </c>
      <c r="AP71" s="88">
        <v>0.18024285714285782</v>
      </c>
      <c r="AQ71" s="88">
        <v>0.18408571428571463</v>
      </c>
      <c r="AR71" s="88">
        <v>0.18792857142857233</v>
      </c>
      <c r="AS71" s="88">
        <v>0.19177142857142915</v>
      </c>
      <c r="AT71" s="88">
        <v>0.19561428571428685</v>
      </c>
      <c r="AU71" s="88">
        <v>0.19945714285714367</v>
      </c>
      <c r="AV71" s="88">
        <v>0.20330000000000048</v>
      </c>
      <c r="AW71" s="88">
        <v>0.20714285714285818</v>
      </c>
      <c r="AX71" s="88">
        <v>0.210985714285715</v>
      </c>
      <c r="AY71" s="88">
        <v>0.21482857142857181</v>
      </c>
      <c r="AZ71" s="88">
        <v>0.21867142857142952</v>
      </c>
      <c r="BA71" s="88">
        <v>0.22251428571428633</v>
      </c>
    </row>
    <row r="72" spans="1:53" ht="15.75" customHeight="1" x14ac:dyDescent="0.25">
      <c r="A72" s="77" t="s">
        <v>192</v>
      </c>
      <c r="B72" s="78">
        <v>6.83E-2</v>
      </c>
      <c r="C72" s="78">
        <v>4.9400000000000006E-2</v>
      </c>
      <c r="D72" s="78">
        <v>4.9699999999999994E-2</v>
      </c>
      <c r="E72" s="78">
        <v>3.2300000000000002E-2</v>
      </c>
      <c r="F72" s="78">
        <v>4.9000000000000002E-2</v>
      </c>
      <c r="G72" s="78">
        <v>1.5700000000000002E-2</v>
      </c>
      <c r="H72" s="78">
        <v>9.3999999999999986E-3</v>
      </c>
      <c r="I72" s="88" cm="1">
        <f t="array" ref="I72:BA72">TREND(B72:H72,$B$67:$H$67,$I$67:$BA$67)</f>
        <v>4.1428571428596683E-3</v>
      </c>
      <c r="J72" s="88">
        <v>-4.5999999999999375E-3</v>
      </c>
      <c r="K72" s="88">
        <v>-1.3342857142855991E-2</v>
      </c>
      <c r="L72" s="88">
        <v>-2.2085714285712044E-2</v>
      </c>
      <c r="M72" s="88">
        <v>-3.0828571428568097E-2</v>
      </c>
      <c r="N72" s="88">
        <v>-3.9571428571427703E-2</v>
      </c>
      <c r="O72" s="88">
        <v>-4.8314285714283756E-2</v>
      </c>
      <c r="P72" s="88">
        <v>-5.7057142857139809E-2</v>
      </c>
      <c r="Q72" s="88">
        <v>-6.5799999999999415E-2</v>
      </c>
      <c r="R72" s="88">
        <v>-7.4542857142855468E-2</v>
      </c>
      <c r="S72" s="88">
        <v>-8.3285714285711521E-2</v>
      </c>
      <c r="T72" s="88">
        <v>-9.2028571428571126E-2</v>
      </c>
      <c r="U72" s="88">
        <v>-0.10077142857142718</v>
      </c>
      <c r="V72" s="88">
        <v>-0.10951428571428323</v>
      </c>
      <c r="W72" s="88">
        <v>-0.11825714285714284</v>
      </c>
      <c r="X72" s="88">
        <v>-0.12699999999999889</v>
      </c>
      <c r="Y72" s="88">
        <v>-0.13574285714285494</v>
      </c>
      <c r="Z72" s="88">
        <v>-0.144485714285711</v>
      </c>
      <c r="AA72" s="88">
        <v>-0.1532285714285706</v>
      </c>
      <c r="AB72" s="88">
        <v>-0.16197142857142666</v>
      </c>
      <c r="AC72" s="88">
        <v>-0.17071428571428271</v>
      </c>
      <c r="AD72" s="88">
        <v>-0.17945714285714232</v>
      </c>
      <c r="AE72" s="88">
        <v>-0.18819999999999837</v>
      </c>
      <c r="AF72" s="88">
        <v>-0.19694285714285442</v>
      </c>
      <c r="AG72" s="88">
        <v>-0.20568571428571403</v>
      </c>
      <c r="AH72" s="88">
        <v>-0.21442857142857008</v>
      </c>
      <c r="AI72" s="88">
        <v>-0.22317142857142613</v>
      </c>
      <c r="AJ72" s="88">
        <v>-0.23191428571428574</v>
      </c>
      <c r="AK72" s="88">
        <v>-0.24065714285714179</v>
      </c>
      <c r="AL72" s="88">
        <v>-0.24939999999999785</v>
      </c>
      <c r="AM72" s="88">
        <v>-0.2581428571428539</v>
      </c>
      <c r="AN72" s="88">
        <v>-0.2668857142857135</v>
      </c>
      <c r="AO72" s="88">
        <v>-0.27562857142856956</v>
      </c>
      <c r="AP72" s="88">
        <v>-0.28437142857142561</v>
      </c>
      <c r="AQ72" s="88">
        <v>-0.29311428571428522</v>
      </c>
      <c r="AR72" s="88">
        <v>-0.30185714285714127</v>
      </c>
      <c r="AS72" s="88">
        <v>-0.31059999999999732</v>
      </c>
      <c r="AT72" s="88">
        <v>-0.31934285714285693</v>
      </c>
      <c r="AU72" s="88">
        <v>-0.32808571428571298</v>
      </c>
      <c r="AV72" s="88">
        <v>-0.33682857142856903</v>
      </c>
      <c r="AW72" s="88">
        <v>-0.34557142857142864</v>
      </c>
      <c r="AX72" s="88">
        <v>-0.35431428571428469</v>
      </c>
      <c r="AY72" s="88">
        <v>-0.36305714285714075</v>
      </c>
      <c r="AZ72" s="88">
        <v>-0.3717999999999968</v>
      </c>
      <c r="BA72" s="88">
        <v>-0.38054285714285641</v>
      </c>
    </row>
    <row r="73" spans="1:53" ht="15.75" customHeight="1" x14ac:dyDescent="0.25">
      <c r="A73" s="77" t="s">
        <v>193</v>
      </c>
      <c r="B73" s="78">
        <v>5.7599999999999998E-2</v>
      </c>
      <c r="C73" s="78">
        <v>-3.2599999999999997E-2</v>
      </c>
      <c r="D73" s="78">
        <v>2.81E-2</v>
      </c>
      <c r="E73" s="78">
        <v>2.0099999999999996E-2</v>
      </c>
      <c r="F73" s="78">
        <v>4.9100000000000005E-2</v>
      </c>
      <c r="G73" s="78">
        <v>7.0199999999999999E-2</v>
      </c>
      <c r="H73" s="78">
        <v>3.8100000000000002E-2</v>
      </c>
      <c r="I73" s="88" cm="1">
        <f t="array" ref="I73:BA73">TREND(B73:H73,$B$67:$H$67,$I$67:$BA$67)</f>
        <v>5.6957142857141818E-2</v>
      </c>
      <c r="J73" s="88">
        <v>6.2960714285713593E-2</v>
      </c>
      <c r="K73" s="88">
        <v>6.8964285714285367E-2</v>
      </c>
      <c r="L73" s="88">
        <v>7.4967857142857142E-2</v>
      </c>
      <c r="M73" s="88">
        <v>8.097142857142714E-2</v>
      </c>
      <c r="N73" s="88">
        <v>8.6974999999998914E-2</v>
      </c>
      <c r="O73" s="88">
        <v>9.2978571428570689E-2</v>
      </c>
      <c r="P73" s="88">
        <v>9.8982142857142463E-2</v>
      </c>
      <c r="Q73" s="88">
        <v>0.10498571428571424</v>
      </c>
      <c r="R73" s="88">
        <v>0.11098928571428601</v>
      </c>
      <c r="S73" s="88">
        <v>0.11699285714285601</v>
      </c>
      <c r="T73" s="88">
        <v>0.12299642857142778</v>
      </c>
      <c r="U73" s="88">
        <v>0.12899999999999956</v>
      </c>
      <c r="V73" s="88">
        <v>0.13500357142857133</v>
      </c>
      <c r="W73" s="88">
        <v>0.14100714285714311</v>
      </c>
      <c r="X73" s="88">
        <v>0.14701071428571311</v>
      </c>
      <c r="Y73" s="88">
        <v>0.15301428571428488</v>
      </c>
      <c r="Z73" s="88">
        <v>0.15901785714285666</v>
      </c>
      <c r="AA73" s="88">
        <v>0.16502142857142843</v>
      </c>
      <c r="AB73" s="88">
        <v>0.1710250000000002</v>
      </c>
      <c r="AC73" s="88">
        <v>0.1770285714285702</v>
      </c>
      <c r="AD73" s="88">
        <v>0.18303214285714198</v>
      </c>
      <c r="AE73" s="88">
        <v>0.18903571428571375</v>
      </c>
      <c r="AF73" s="88">
        <v>0.19503928571428553</v>
      </c>
      <c r="AG73" s="88">
        <v>0.2010428571428573</v>
      </c>
      <c r="AH73" s="88">
        <v>0.2070464285714273</v>
      </c>
      <c r="AI73" s="88">
        <v>0.21304999999999907</v>
      </c>
      <c r="AJ73" s="88">
        <v>0.21905357142857085</v>
      </c>
      <c r="AK73" s="88">
        <v>0.22505714285714262</v>
      </c>
      <c r="AL73" s="88">
        <v>0.2310607142857144</v>
      </c>
      <c r="AM73" s="88">
        <v>0.2370642857142844</v>
      </c>
      <c r="AN73" s="88">
        <v>0.24306785714285617</v>
      </c>
      <c r="AO73" s="88">
        <v>0.24907142857142794</v>
      </c>
      <c r="AP73" s="88">
        <v>0.25507499999999972</v>
      </c>
      <c r="AQ73" s="88">
        <v>0.26107857142857149</v>
      </c>
      <c r="AR73" s="88">
        <v>0.26708214285714149</v>
      </c>
      <c r="AS73" s="88">
        <v>0.27308571428571327</v>
      </c>
      <c r="AT73" s="88">
        <v>0.27908928571428504</v>
      </c>
      <c r="AU73" s="88">
        <v>0.28509285714285681</v>
      </c>
      <c r="AV73" s="88">
        <v>0.29109642857142859</v>
      </c>
      <c r="AW73" s="88">
        <v>0.29710000000000036</v>
      </c>
      <c r="AX73" s="88">
        <v>0.30310357142857036</v>
      </c>
      <c r="AY73" s="88">
        <v>0.30910714285714214</v>
      </c>
      <c r="AZ73" s="88">
        <v>0.31511071428571391</v>
      </c>
      <c r="BA73" s="88">
        <v>0.32111428571428569</v>
      </c>
    </row>
    <row r="74" spans="1:53" ht="15.75" customHeight="1" x14ac:dyDescent="0.25">
      <c r="A74" s="77" t="s">
        <v>194</v>
      </c>
      <c r="B74" s="78">
        <v>4.5999999999999999E-2</v>
      </c>
      <c r="C74" s="78">
        <v>-3.7900000000000003E-2</v>
      </c>
      <c r="D74" s="78">
        <v>4.6300000000000001E-2</v>
      </c>
      <c r="E74" s="78">
        <v>5.5300000000000002E-2</v>
      </c>
      <c r="F74" s="78">
        <v>4.8499999999999995E-2</v>
      </c>
      <c r="G74" s="78">
        <v>4.8899999999999999E-2</v>
      </c>
      <c r="H74" s="78">
        <v>5.4900000000000004E-2</v>
      </c>
      <c r="I74" s="88" cm="1">
        <f t="array" ref="I74:BA74">TREND(B74:H74,$B$67:$H$67,$I$67:$BA$67)</f>
        <v>6.6357142857143003E-2</v>
      </c>
      <c r="J74" s="88">
        <v>7.3589285714286135E-2</v>
      </c>
      <c r="K74" s="88">
        <v>8.0821428571429266E-2</v>
      </c>
      <c r="L74" s="88">
        <v>8.8053571428572397E-2</v>
      </c>
      <c r="M74" s="88">
        <v>9.5285714285715528E-2</v>
      </c>
      <c r="N74" s="88">
        <v>0.10251785714285866</v>
      </c>
      <c r="O74" s="88">
        <v>0.10975000000000001</v>
      </c>
      <c r="P74" s="88">
        <v>0.11698214285714315</v>
      </c>
      <c r="Q74" s="88">
        <v>0.12421428571428628</v>
      </c>
      <c r="R74" s="88">
        <v>0.13144642857142941</v>
      </c>
      <c r="S74" s="88">
        <v>0.13867857142857254</v>
      </c>
      <c r="T74" s="88">
        <v>0.14591071428571567</v>
      </c>
      <c r="U74" s="88">
        <v>0.1531428571428588</v>
      </c>
      <c r="V74" s="88">
        <v>0.16037500000000016</v>
      </c>
      <c r="W74" s="88">
        <v>0.16760714285714329</v>
      </c>
      <c r="X74" s="88">
        <v>0.17483928571428642</v>
      </c>
      <c r="Y74" s="88">
        <v>0.18207142857142955</v>
      </c>
      <c r="Z74" s="88">
        <v>0.18930357142857268</v>
      </c>
      <c r="AA74" s="88">
        <v>0.19653571428571581</v>
      </c>
      <c r="AB74" s="88">
        <v>0.20376785714285717</v>
      </c>
      <c r="AC74" s="88">
        <v>0.2110000000000003</v>
      </c>
      <c r="AD74" s="88">
        <v>0.21823214285714343</v>
      </c>
      <c r="AE74" s="88">
        <v>0.22546428571428656</v>
      </c>
      <c r="AF74" s="88">
        <v>0.23269642857142969</v>
      </c>
      <c r="AG74" s="88">
        <v>0.23992857142857282</v>
      </c>
      <c r="AH74" s="88">
        <v>0.24716071428571595</v>
      </c>
      <c r="AI74" s="88">
        <v>0.25439285714285731</v>
      </c>
      <c r="AJ74" s="88">
        <v>0.26162500000000044</v>
      </c>
      <c r="AK74" s="88">
        <v>0.26885714285714357</v>
      </c>
      <c r="AL74" s="88">
        <v>0.2760892857142867</v>
      </c>
      <c r="AM74" s="88">
        <v>0.28332142857142983</v>
      </c>
      <c r="AN74" s="88">
        <v>0.29055357142857297</v>
      </c>
      <c r="AO74" s="88">
        <v>0.29778571428571432</v>
      </c>
      <c r="AP74" s="88">
        <v>0.30501785714285745</v>
      </c>
      <c r="AQ74" s="88">
        <v>0.31225000000000058</v>
      </c>
      <c r="AR74" s="88">
        <v>0.31948214285714371</v>
      </c>
      <c r="AS74" s="88">
        <v>0.32671428571428685</v>
      </c>
      <c r="AT74" s="88">
        <v>0.33394642857142998</v>
      </c>
      <c r="AU74" s="88">
        <v>0.34117857142857311</v>
      </c>
      <c r="AV74" s="88">
        <v>0.34841071428571446</v>
      </c>
      <c r="AW74" s="88">
        <v>0.35564285714285759</v>
      </c>
      <c r="AX74" s="88">
        <v>0.36287500000000072</v>
      </c>
      <c r="AY74" s="88">
        <v>0.37010714285714386</v>
      </c>
      <c r="AZ74" s="88">
        <v>0.37733928571428699</v>
      </c>
      <c r="BA74" s="88">
        <v>0.38457142857143012</v>
      </c>
    </row>
    <row r="75" spans="1:53" ht="15.75" customHeight="1" x14ac:dyDescent="0.25">
      <c r="A75" s="77" t="s">
        <v>195</v>
      </c>
      <c r="B75" s="78">
        <v>6.3799999999999996E-2</v>
      </c>
      <c r="C75" s="78">
        <v>-0.15049999999999999</v>
      </c>
      <c r="D75" s="78">
        <v>3.2400000000000005E-2</v>
      </c>
      <c r="E75" s="78">
        <v>0.19870000000000002</v>
      </c>
      <c r="F75" s="78">
        <v>0.1396</v>
      </c>
      <c r="G75" s="78">
        <v>8.6899999999999991E-2</v>
      </c>
      <c r="H75" s="78">
        <v>8.7799999999999989E-2</v>
      </c>
      <c r="I75" s="88" cm="1">
        <f t="array" ref="I75:BA75">TREND(B75:H75,$B$67:$H$67,$I$67:$BA$67)</f>
        <v>0.15895714285714746</v>
      </c>
      <c r="J75" s="88">
        <v>0.1823142857142912</v>
      </c>
      <c r="K75" s="88">
        <v>0.20567142857143494</v>
      </c>
      <c r="L75" s="88">
        <v>0.22902857142857158</v>
      </c>
      <c r="M75" s="88">
        <v>0.25238571428571532</v>
      </c>
      <c r="N75" s="88">
        <v>0.27574285714285907</v>
      </c>
      <c r="O75" s="88">
        <v>0.29910000000000281</v>
      </c>
      <c r="P75" s="88">
        <v>0.32245714285714655</v>
      </c>
      <c r="Q75" s="88">
        <v>0.34581428571429029</v>
      </c>
      <c r="R75" s="88">
        <v>0.36917142857143403</v>
      </c>
      <c r="S75" s="88">
        <v>0.39252857142857778</v>
      </c>
      <c r="T75" s="88">
        <v>0.41588571428571441</v>
      </c>
      <c r="U75" s="88">
        <v>0.43924285714285816</v>
      </c>
      <c r="V75" s="88">
        <v>0.4626000000000019</v>
      </c>
      <c r="W75" s="88">
        <v>0.48595714285714564</v>
      </c>
      <c r="X75" s="88">
        <v>0.50931428571428938</v>
      </c>
      <c r="Y75" s="88">
        <v>0.53267142857143313</v>
      </c>
      <c r="Z75" s="88">
        <v>0.55602857142857687</v>
      </c>
      <c r="AA75" s="88">
        <v>0.57938571428572061</v>
      </c>
      <c r="AB75" s="88">
        <v>0.60274285714285725</v>
      </c>
      <c r="AC75" s="88">
        <v>0.62610000000000099</v>
      </c>
      <c r="AD75" s="88">
        <v>0.64945714285714473</v>
      </c>
      <c r="AE75" s="88">
        <v>0.67281428571428847</v>
      </c>
      <c r="AF75" s="88">
        <v>0.69617142857143222</v>
      </c>
      <c r="AG75" s="88">
        <v>0.71952857142857596</v>
      </c>
      <c r="AH75" s="88">
        <v>0.7428857142857197</v>
      </c>
      <c r="AI75" s="88">
        <v>0.76624285714285634</v>
      </c>
      <c r="AJ75" s="88">
        <v>0.78960000000000008</v>
      </c>
      <c r="AK75" s="88">
        <v>0.81295714285714382</v>
      </c>
      <c r="AL75" s="88">
        <v>0.83631428571428756</v>
      </c>
      <c r="AM75" s="88">
        <v>0.85967142857143131</v>
      </c>
      <c r="AN75" s="88">
        <v>0.88302857142857505</v>
      </c>
      <c r="AO75" s="88">
        <v>0.90638571428571879</v>
      </c>
      <c r="AP75" s="88">
        <v>0.92974285714286253</v>
      </c>
      <c r="AQ75" s="88">
        <v>0.95309999999999917</v>
      </c>
      <c r="AR75" s="88">
        <v>0.97645714285714291</v>
      </c>
      <c r="AS75" s="88">
        <v>0.99981428571428665</v>
      </c>
      <c r="AT75" s="88">
        <v>1.0231714285714304</v>
      </c>
      <c r="AU75" s="88">
        <v>1.0465285714285741</v>
      </c>
      <c r="AV75" s="88">
        <v>1.0698857142857179</v>
      </c>
      <c r="AW75" s="88">
        <v>1.0932428571428616</v>
      </c>
      <c r="AX75" s="88">
        <v>1.1166000000000054</v>
      </c>
      <c r="AY75" s="88">
        <v>1.139957142857142</v>
      </c>
      <c r="AZ75" s="88">
        <v>1.1633142857142857</v>
      </c>
      <c r="BA75" s="88">
        <v>1.1866714285714295</v>
      </c>
    </row>
    <row r="76" spans="1:53" ht="15.75" customHeight="1" x14ac:dyDescent="0.25">
      <c r="A76" s="77" t="s">
        <v>196</v>
      </c>
      <c r="B76" s="78">
        <v>5.79E-2</v>
      </c>
      <c r="C76" s="78">
        <v>-0.1026</v>
      </c>
      <c r="D76" s="78">
        <v>3.8800000000000001E-2</v>
      </c>
      <c r="E76" s="78">
        <v>0.11939999999999999</v>
      </c>
      <c r="F76" s="78">
        <v>0.1</v>
      </c>
      <c r="G76" s="78">
        <v>8.4600000000000009E-2</v>
      </c>
      <c r="H76" s="78">
        <v>7.4099999999999999E-2</v>
      </c>
      <c r="I76" s="88" cm="1">
        <f t="array" ref="I76:BA76">TREND(B76:H76,$B$67:$H$67,$I$67:$BA$67)</f>
        <v>0.1223428571428542</v>
      </c>
      <c r="J76" s="88">
        <v>0.13963571428571697</v>
      </c>
      <c r="K76" s="88">
        <v>0.15692857142857264</v>
      </c>
      <c r="L76" s="88">
        <v>0.17422142857142831</v>
      </c>
      <c r="M76" s="88">
        <v>0.19151428571428397</v>
      </c>
      <c r="N76" s="88">
        <v>0.20880714285713964</v>
      </c>
      <c r="O76" s="88">
        <v>0.22610000000000241</v>
      </c>
      <c r="P76" s="88">
        <v>0.24339285714285808</v>
      </c>
      <c r="Q76" s="88">
        <v>0.26068571428571374</v>
      </c>
      <c r="R76" s="88">
        <v>0.27797857142856941</v>
      </c>
      <c r="S76" s="88">
        <v>0.29527142857143218</v>
      </c>
      <c r="T76" s="88">
        <v>0.31256428571428785</v>
      </c>
      <c r="U76" s="88">
        <v>0.32985714285714351</v>
      </c>
      <c r="V76" s="88">
        <v>0.34714999999999918</v>
      </c>
      <c r="W76" s="88">
        <v>0.36444285714285485</v>
      </c>
      <c r="X76" s="88">
        <v>0.38173571428571762</v>
      </c>
      <c r="Y76" s="88">
        <v>0.39902857142857329</v>
      </c>
      <c r="Z76" s="88">
        <v>0.41632142857142895</v>
      </c>
      <c r="AA76" s="88">
        <v>0.43361428571428462</v>
      </c>
      <c r="AB76" s="88">
        <v>0.45090714285714029</v>
      </c>
      <c r="AC76" s="88">
        <v>0.46820000000000306</v>
      </c>
      <c r="AD76" s="88">
        <v>0.48549285714285872</v>
      </c>
      <c r="AE76" s="88">
        <v>0.50278571428571439</v>
      </c>
      <c r="AF76" s="88">
        <v>0.52007857142857006</v>
      </c>
      <c r="AG76" s="88">
        <v>0.53737142857142572</v>
      </c>
      <c r="AH76" s="88">
        <v>0.5546642857142885</v>
      </c>
      <c r="AI76" s="88">
        <v>0.57195714285714416</v>
      </c>
      <c r="AJ76" s="88">
        <v>0.58924999999999983</v>
      </c>
      <c r="AK76" s="88">
        <v>0.6065428571428555</v>
      </c>
      <c r="AL76" s="88">
        <v>0.62383571428571116</v>
      </c>
      <c r="AM76" s="88">
        <v>0.64112857142857393</v>
      </c>
      <c r="AN76" s="88">
        <v>0.6584214285714296</v>
      </c>
      <c r="AO76" s="88">
        <v>0.67571428571428527</v>
      </c>
      <c r="AP76" s="88">
        <v>0.69300714285714093</v>
      </c>
      <c r="AQ76" s="88">
        <v>0.7102999999999966</v>
      </c>
      <c r="AR76" s="88">
        <v>0.72759285714285937</v>
      </c>
      <c r="AS76" s="88">
        <v>0.74488571428571504</v>
      </c>
      <c r="AT76" s="88">
        <v>0.76217857142857071</v>
      </c>
      <c r="AU76" s="88">
        <v>0.77947142857142637</v>
      </c>
      <c r="AV76" s="88">
        <v>0.79676428571428914</v>
      </c>
      <c r="AW76" s="88">
        <v>0.81405714285714481</v>
      </c>
      <c r="AX76" s="88">
        <v>0.83135000000000048</v>
      </c>
      <c r="AY76" s="88">
        <v>0.84864285714285614</v>
      </c>
      <c r="AZ76" s="88">
        <v>0.86593571428571181</v>
      </c>
      <c r="BA76" s="88">
        <v>0.88322857142857458</v>
      </c>
    </row>
    <row r="77" spans="1:53" ht="15.75" customHeight="1" x14ac:dyDescent="0.25">
      <c r="A77" s="77" t="s">
        <v>197</v>
      </c>
      <c r="B77" s="78">
        <v>9.4200000000000006E-2</v>
      </c>
      <c r="C77" s="78">
        <v>0.1061</v>
      </c>
      <c r="D77" s="78">
        <v>6.8199999999999997E-2</v>
      </c>
      <c r="E77" s="78">
        <v>7.7300000000000008E-2</v>
      </c>
      <c r="F77" s="78">
        <v>7.5899999999999995E-2</v>
      </c>
      <c r="G77" s="78">
        <v>7.5700000000000003E-2</v>
      </c>
      <c r="H77" s="78">
        <v>8.3499999999999991E-2</v>
      </c>
      <c r="I77" s="88" cm="1">
        <f t="array" ref="I77:BA77">TREND(B77:H77,$B$67:$H$67,$I$67:$BA$67)</f>
        <v>7.0814285714285496E-2</v>
      </c>
      <c r="J77" s="88">
        <v>6.7771428571428594E-2</v>
      </c>
      <c r="K77" s="88">
        <v>6.4728571428570802E-2</v>
      </c>
      <c r="L77" s="88">
        <v>6.16857142857139E-2</v>
      </c>
      <c r="M77" s="88">
        <v>5.8642857142856997E-2</v>
      </c>
      <c r="N77" s="88">
        <v>5.5600000000000094E-2</v>
      </c>
      <c r="O77" s="88">
        <v>5.2557142857142303E-2</v>
      </c>
      <c r="P77" s="88">
        <v>4.95142857142854E-2</v>
      </c>
      <c r="Q77" s="88">
        <v>4.6471428571428497E-2</v>
      </c>
      <c r="R77" s="88">
        <v>4.3428571428571594E-2</v>
      </c>
      <c r="S77" s="88">
        <v>4.0385714285713803E-2</v>
      </c>
      <c r="T77" s="88">
        <v>3.73428571428569E-2</v>
      </c>
      <c r="U77" s="88">
        <v>3.4299999999999997E-2</v>
      </c>
      <c r="V77" s="88">
        <v>3.1257142857142206E-2</v>
      </c>
      <c r="W77" s="88">
        <v>2.8214285714285303E-2</v>
      </c>
      <c r="X77" s="88">
        <v>2.51714285714284E-2</v>
      </c>
      <c r="Y77" s="88">
        <v>2.2128571428571497E-2</v>
      </c>
      <c r="Z77" s="88">
        <v>1.9085714285713706E-2</v>
      </c>
      <c r="AA77" s="88">
        <v>1.6042857142856803E-2</v>
      </c>
      <c r="AB77" s="88">
        <v>1.2999999999999901E-2</v>
      </c>
      <c r="AC77" s="88">
        <v>9.9571428571429976E-3</v>
      </c>
      <c r="AD77" s="88">
        <v>6.9142857142852066E-3</v>
      </c>
      <c r="AE77" s="88">
        <v>3.8714285714283037E-3</v>
      </c>
      <c r="AF77" s="88">
        <v>8.2857142857140076E-4</v>
      </c>
      <c r="AG77" s="88">
        <v>-2.2142857142863903E-3</v>
      </c>
      <c r="AH77" s="88">
        <v>-5.2571428571432932E-3</v>
      </c>
      <c r="AI77" s="88">
        <v>-8.3000000000001961E-3</v>
      </c>
      <c r="AJ77" s="88">
        <v>-1.1342857142857099E-2</v>
      </c>
      <c r="AK77" s="88">
        <v>-1.438571428571489E-2</v>
      </c>
      <c r="AL77" s="88">
        <v>-1.7428571428571793E-2</v>
      </c>
      <c r="AM77" s="88">
        <v>-2.0471428571428696E-2</v>
      </c>
      <c r="AN77" s="88">
        <v>-2.3514285714285599E-2</v>
      </c>
      <c r="AO77" s="88">
        <v>-2.655714285714339E-2</v>
      </c>
      <c r="AP77" s="88">
        <v>-2.9600000000000293E-2</v>
      </c>
      <c r="AQ77" s="88">
        <v>-3.2642857142857196E-2</v>
      </c>
      <c r="AR77" s="88">
        <v>-3.5685714285714987E-2</v>
      </c>
      <c r="AS77" s="88">
        <v>-3.872857142857189E-2</v>
      </c>
      <c r="AT77" s="88">
        <v>-4.1771428571428793E-2</v>
      </c>
      <c r="AU77" s="88">
        <v>-4.4814285714285695E-2</v>
      </c>
      <c r="AV77" s="88">
        <v>-4.7857142857143486E-2</v>
      </c>
      <c r="AW77" s="88">
        <v>-5.0900000000000389E-2</v>
      </c>
      <c r="AX77" s="88">
        <v>-5.3942857142857292E-2</v>
      </c>
      <c r="AY77" s="88">
        <v>-5.6985714285714195E-2</v>
      </c>
      <c r="AZ77" s="88">
        <v>-6.0028571428571986E-2</v>
      </c>
      <c r="BA77" s="88">
        <v>-6.3071428571428889E-2</v>
      </c>
    </row>
    <row r="78" spans="1:53" ht="15.75" customHeight="1" x14ac:dyDescent="0.25">
      <c r="A78" s="77" t="s">
        <v>198</v>
      </c>
      <c r="B78" s="78">
        <v>6.6100000000000006E-2</v>
      </c>
      <c r="C78" s="78">
        <v>3.2500000000000001E-2</v>
      </c>
      <c r="D78" s="78">
        <v>1.5600000000000001E-2</v>
      </c>
      <c r="E78" s="78">
        <v>1.9299999999999998E-2</v>
      </c>
      <c r="F78" s="78">
        <v>4.7699999999999992E-2</v>
      </c>
      <c r="G78" s="78">
        <v>4.7400000000000005E-2</v>
      </c>
      <c r="H78" s="78">
        <v>3.9599999999999996E-2</v>
      </c>
      <c r="I78" s="88" cm="1">
        <f t="array" ref="I78:BA78">TREND(B78:H78,$B$67:$H$67,$I$67:$BA$67)</f>
        <v>3.5800000000000054E-2</v>
      </c>
      <c r="J78" s="88">
        <v>3.5171428571428631E-2</v>
      </c>
      <c r="K78" s="88">
        <v>3.4542857142857208E-2</v>
      </c>
      <c r="L78" s="88">
        <v>3.3914285714285786E-2</v>
      </c>
      <c r="M78" s="88">
        <v>3.3285714285714363E-2</v>
      </c>
      <c r="N78" s="88">
        <v>3.265714285714294E-2</v>
      </c>
      <c r="O78" s="88">
        <v>3.2028571428571295E-2</v>
      </c>
      <c r="P78" s="88">
        <v>3.1399999999999872E-2</v>
      </c>
      <c r="Q78" s="88">
        <v>3.077142857142845E-2</v>
      </c>
      <c r="R78" s="88">
        <v>3.0142857142857027E-2</v>
      </c>
      <c r="S78" s="88">
        <v>2.9514285714285604E-2</v>
      </c>
      <c r="T78" s="88">
        <v>2.8885714285714181E-2</v>
      </c>
      <c r="U78" s="88">
        <v>2.8257142857142759E-2</v>
      </c>
      <c r="V78" s="88">
        <v>2.7628571428571336E-2</v>
      </c>
      <c r="W78" s="88">
        <v>2.6999999999999913E-2</v>
      </c>
      <c r="X78" s="88">
        <v>2.637142857142849E-2</v>
      </c>
      <c r="Y78" s="88">
        <v>2.5742857142857067E-2</v>
      </c>
      <c r="Z78" s="88">
        <v>2.5114285714285645E-2</v>
      </c>
      <c r="AA78" s="88">
        <v>2.4485714285714222E-2</v>
      </c>
      <c r="AB78" s="88">
        <v>2.3857142857142799E-2</v>
      </c>
      <c r="AC78" s="88">
        <v>2.3228571428571376E-2</v>
      </c>
      <c r="AD78" s="88">
        <v>2.2599999999999953E-2</v>
      </c>
      <c r="AE78" s="88">
        <v>2.1971428571428531E-2</v>
      </c>
      <c r="AF78" s="88">
        <v>2.1342857142857108E-2</v>
      </c>
      <c r="AG78" s="88">
        <v>2.0714285714285685E-2</v>
      </c>
      <c r="AH78" s="88">
        <v>2.0085714285714262E-2</v>
      </c>
      <c r="AI78" s="88">
        <v>1.945714285714284E-2</v>
      </c>
      <c r="AJ78" s="88">
        <v>1.8828571428571417E-2</v>
      </c>
      <c r="AK78" s="88">
        <v>1.8199999999999994E-2</v>
      </c>
      <c r="AL78" s="88">
        <v>1.7571428571428571E-2</v>
      </c>
      <c r="AM78" s="88">
        <v>1.6942857142857148E-2</v>
      </c>
      <c r="AN78" s="88">
        <v>1.6314285714285726E-2</v>
      </c>
      <c r="AO78" s="88">
        <v>1.5685714285714303E-2</v>
      </c>
      <c r="AP78" s="88">
        <v>1.505714285714288E-2</v>
      </c>
      <c r="AQ78" s="88">
        <v>1.4428571428571457E-2</v>
      </c>
      <c r="AR78" s="88">
        <v>1.3800000000000034E-2</v>
      </c>
      <c r="AS78" s="88">
        <v>1.3171428571428612E-2</v>
      </c>
      <c r="AT78" s="88">
        <v>1.2542857142857189E-2</v>
      </c>
      <c r="AU78" s="88">
        <v>1.1914285714285766E-2</v>
      </c>
      <c r="AV78" s="88">
        <v>1.1285714285714121E-2</v>
      </c>
      <c r="AW78" s="88">
        <v>1.0657142857142698E-2</v>
      </c>
      <c r="AX78" s="88">
        <v>1.0028571428571276E-2</v>
      </c>
      <c r="AY78" s="88">
        <v>9.3999999999998529E-3</v>
      </c>
      <c r="AZ78" s="88">
        <v>8.7714285714284301E-3</v>
      </c>
      <c r="BA78" s="88">
        <v>8.1428571428570073E-3</v>
      </c>
    </row>
    <row r="79" spans="1:53" ht="15.75" customHeight="1" x14ac:dyDescent="0.25">
      <c r="A79" s="77" t="s">
        <v>199</v>
      </c>
      <c r="B79" s="78">
        <v>5.7599999999999998E-2</v>
      </c>
      <c r="C79" s="78">
        <v>2.3199999999999998E-2</v>
      </c>
      <c r="D79" s="78">
        <v>2.7799999999999998E-2</v>
      </c>
      <c r="E79" s="78">
        <v>1.72E-2</v>
      </c>
      <c r="F79" s="78">
        <v>1.43E-2</v>
      </c>
      <c r="G79" s="78">
        <v>2.5000000000000001E-2</v>
      </c>
      <c r="H79" s="78">
        <v>3.5799999999999998E-2</v>
      </c>
      <c r="I79" s="88" cm="1">
        <f t="array" ref="I79:BA79">TREND(B79:H79,$B$67:$H$67,$I$67:$BA$67)</f>
        <v>1.7942857142856816E-2</v>
      </c>
      <c r="J79" s="88">
        <v>1.5253571428570645E-2</v>
      </c>
      <c r="K79" s="88">
        <v>1.2564285714285361E-2</v>
      </c>
      <c r="L79" s="88">
        <v>9.87499999999919E-3</v>
      </c>
      <c r="M79" s="88">
        <v>7.1857142857139067E-3</v>
      </c>
      <c r="N79" s="88">
        <v>4.4964285714277352E-3</v>
      </c>
      <c r="O79" s="88">
        <v>1.8071428571424519E-3</v>
      </c>
      <c r="P79" s="88">
        <v>-8.8214285714371954E-4</v>
      </c>
      <c r="Q79" s="88">
        <v>-3.5714285714290028E-3</v>
      </c>
      <c r="R79" s="88">
        <v>-6.2607142857151743E-3</v>
      </c>
      <c r="S79" s="88">
        <v>-8.9500000000004576E-3</v>
      </c>
      <c r="T79" s="88">
        <v>-1.1639285714286629E-2</v>
      </c>
      <c r="U79" s="88">
        <v>-1.4328571428571912E-2</v>
      </c>
      <c r="V79" s="88">
        <v>-1.7017857142858084E-2</v>
      </c>
      <c r="W79" s="88">
        <v>-1.9707142857143367E-2</v>
      </c>
      <c r="X79" s="88">
        <v>-2.2396428571429539E-2</v>
      </c>
      <c r="Y79" s="88">
        <v>-2.5085714285714822E-2</v>
      </c>
      <c r="Z79" s="88">
        <v>-2.7775000000000993E-2</v>
      </c>
      <c r="AA79" s="88">
        <v>-3.0464285714286277E-2</v>
      </c>
      <c r="AB79" s="88">
        <v>-3.3153571428572448E-2</v>
      </c>
      <c r="AC79" s="88">
        <v>-3.5842857142857731E-2</v>
      </c>
      <c r="AD79" s="88">
        <v>-3.8532142857143903E-2</v>
      </c>
      <c r="AE79" s="88">
        <v>-4.1221428571429186E-2</v>
      </c>
      <c r="AF79" s="88">
        <v>-4.3910714285714469E-2</v>
      </c>
      <c r="AG79" s="88">
        <v>-4.6600000000000641E-2</v>
      </c>
      <c r="AH79" s="88">
        <v>-4.9289285714285924E-2</v>
      </c>
      <c r="AI79" s="88">
        <v>-5.1978571428572096E-2</v>
      </c>
      <c r="AJ79" s="88">
        <v>-5.4667857142857379E-2</v>
      </c>
      <c r="AK79" s="88">
        <v>-5.735714285714355E-2</v>
      </c>
      <c r="AL79" s="88">
        <v>-6.0046428571428834E-2</v>
      </c>
      <c r="AM79" s="88">
        <v>-6.2735714285715005E-2</v>
      </c>
      <c r="AN79" s="88">
        <v>-6.5425000000000288E-2</v>
      </c>
      <c r="AO79" s="88">
        <v>-6.811428571428646E-2</v>
      </c>
      <c r="AP79" s="88">
        <v>-7.0803571428571743E-2</v>
      </c>
      <c r="AQ79" s="88">
        <v>-7.3492857142857915E-2</v>
      </c>
      <c r="AR79" s="88">
        <v>-7.6182142857143198E-2</v>
      </c>
      <c r="AS79" s="88">
        <v>-7.8871428571429369E-2</v>
      </c>
      <c r="AT79" s="88">
        <v>-8.1560714285714653E-2</v>
      </c>
      <c r="AU79" s="88">
        <v>-8.4250000000000824E-2</v>
      </c>
      <c r="AV79" s="88">
        <v>-8.6939285714286108E-2</v>
      </c>
      <c r="AW79" s="88">
        <v>-8.9628571428572279E-2</v>
      </c>
      <c r="AX79" s="88">
        <v>-9.2317857142857562E-2</v>
      </c>
      <c r="AY79" s="88">
        <v>-9.5007142857143734E-2</v>
      </c>
      <c r="AZ79" s="88">
        <v>-9.7696428571429017E-2</v>
      </c>
      <c r="BA79" s="88">
        <v>-0.10038571428571519</v>
      </c>
    </row>
    <row r="80" spans="1:53" ht="15.75" customHeight="1" x14ac:dyDescent="0.25">
      <c r="A80" s="77" t="s">
        <v>200</v>
      </c>
      <c r="B80" s="78">
        <v>4.6600000000000003E-2</v>
      </c>
      <c r="C80" s="78">
        <v>-2.9999999999999997E-4</v>
      </c>
      <c r="D80" s="78">
        <v>-3.3E-3</v>
      </c>
      <c r="E80" s="78">
        <v>2.52E-2</v>
      </c>
      <c r="F80" s="78">
        <v>1.5100000000000001E-2</v>
      </c>
      <c r="G80" s="78">
        <v>6.4299999999999996E-2</v>
      </c>
      <c r="H80" s="78">
        <v>3.8599999999999995E-2</v>
      </c>
      <c r="I80" s="88" cm="1">
        <f t="array" ref="I80:BA80">TREND(B80:H80,$B$67:$H$67,$I$67:$BA$67)</f>
        <v>4.4257142857142995E-2</v>
      </c>
      <c r="J80" s="88">
        <v>4.8671428571427811E-2</v>
      </c>
      <c r="K80" s="88">
        <v>5.3085714285714403E-2</v>
      </c>
      <c r="L80" s="88">
        <v>5.7499999999999218E-2</v>
      </c>
      <c r="M80" s="88">
        <v>6.1914285714285811E-2</v>
      </c>
      <c r="N80" s="88">
        <v>6.6328571428570626E-2</v>
      </c>
      <c r="O80" s="88">
        <v>7.0742857142857218E-2</v>
      </c>
      <c r="P80" s="88">
        <v>7.5157142857142034E-2</v>
      </c>
      <c r="Q80" s="88">
        <v>7.9571428571428626E-2</v>
      </c>
      <c r="R80" s="88">
        <v>8.3985714285713442E-2</v>
      </c>
      <c r="S80" s="88">
        <v>8.8400000000000034E-2</v>
      </c>
      <c r="T80" s="88">
        <v>9.281428571428485E-2</v>
      </c>
      <c r="U80" s="88">
        <v>9.7228571428571442E-2</v>
      </c>
      <c r="V80" s="88">
        <v>0.10164285714285626</v>
      </c>
      <c r="W80" s="88">
        <v>0.10605714285714285</v>
      </c>
      <c r="X80" s="88">
        <v>0.11047142857142767</v>
      </c>
      <c r="Y80" s="88">
        <v>0.11488571428571426</v>
      </c>
      <c r="Z80" s="88">
        <v>0.11929999999999907</v>
      </c>
      <c r="AA80" s="88">
        <v>0.12371428571428567</v>
      </c>
      <c r="AB80" s="88">
        <v>0.12812857142857048</v>
      </c>
      <c r="AC80" s="88">
        <v>0.13254285714285707</v>
      </c>
      <c r="AD80" s="88">
        <v>0.13695714285714189</v>
      </c>
      <c r="AE80" s="88">
        <v>0.14137142857142848</v>
      </c>
      <c r="AF80" s="88">
        <v>0.14578571428571507</v>
      </c>
      <c r="AG80" s="88">
        <v>0.15019999999999989</v>
      </c>
      <c r="AH80" s="88">
        <v>0.15461428571428648</v>
      </c>
      <c r="AI80" s="88">
        <v>0.1590285714285713</v>
      </c>
      <c r="AJ80" s="88">
        <v>0.16344285714285789</v>
      </c>
      <c r="AK80" s="88">
        <v>0.1678571428571427</v>
      </c>
      <c r="AL80" s="88">
        <v>0.1722714285714293</v>
      </c>
      <c r="AM80" s="88">
        <v>0.17668571428571411</v>
      </c>
      <c r="AN80" s="88">
        <v>0.1811000000000007</v>
      </c>
      <c r="AO80" s="88">
        <v>0.18551428571428552</v>
      </c>
      <c r="AP80" s="88">
        <v>0.18992857142857211</v>
      </c>
      <c r="AQ80" s="88">
        <v>0.19434285714285693</v>
      </c>
      <c r="AR80" s="88">
        <v>0.19875714285714352</v>
      </c>
      <c r="AS80" s="88">
        <v>0.20317142857142834</v>
      </c>
      <c r="AT80" s="88">
        <v>0.20758571428571493</v>
      </c>
      <c r="AU80" s="88">
        <v>0.21199999999999974</v>
      </c>
      <c r="AV80" s="88">
        <v>0.21641428571428634</v>
      </c>
      <c r="AW80" s="88">
        <v>0.22082857142857115</v>
      </c>
      <c r="AX80" s="88">
        <v>0.22524285714285774</v>
      </c>
      <c r="AY80" s="88">
        <v>0.22965714285714256</v>
      </c>
      <c r="AZ80" s="88">
        <v>0.23407142857142915</v>
      </c>
      <c r="BA80" s="88">
        <v>0.23848571428571397</v>
      </c>
    </row>
    <row r="81" spans="1:53" ht="15.75" customHeight="1" x14ac:dyDescent="0.25">
      <c r="A81" s="77" t="s">
        <v>201</v>
      </c>
      <c r="B81" s="78">
        <v>6.3E-2</v>
      </c>
      <c r="C81" s="78">
        <v>2.6099999999999998E-2</v>
      </c>
      <c r="D81" s="78">
        <v>1.1000000000000001E-3</v>
      </c>
      <c r="E81" s="78">
        <v>5.5000000000000005E-3</v>
      </c>
      <c r="F81" s="78">
        <v>1.77E-2</v>
      </c>
      <c r="G81" s="78">
        <v>3.7599999999999995E-2</v>
      </c>
      <c r="H81" s="78">
        <v>4.99E-2</v>
      </c>
      <c r="I81" s="88" cm="1">
        <f t="array" ref="I81:BA81">TREND(B81:H81,$B$67:$H$67,$I$67:$BA$67)</f>
        <v>2.8742857142857139E-2</v>
      </c>
      <c r="J81" s="88">
        <v>2.8753571428571427E-2</v>
      </c>
      <c r="K81" s="88">
        <v>2.8764285714285711E-2</v>
      </c>
      <c r="L81" s="88">
        <v>2.8774999999999995E-2</v>
      </c>
      <c r="M81" s="88">
        <v>2.8785714285714283E-2</v>
      </c>
      <c r="N81" s="88">
        <v>2.8796428571428567E-2</v>
      </c>
      <c r="O81" s="88">
        <v>2.8807142857142854E-2</v>
      </c>
      <c r="P81" s="88">
        <v>2.8817857142857138E-2</v>
      </c>
      <c r="Q81" s="88">
        <v>2.8828571428571422E-2</v>
      </c>
      <c r="R81" s="88">
        <v>2.883928571428571E-2</v>
      </c>
      <c r="S81" s="88">
        <v>2.8849999999999994E-2</v>
      </c>
      <c r="T81" s="88">
        <v>2.8860714285714281E-2</v>
      </c>
      <c r="U81" s="88">
        <v>2.8871428571428565E-2</v>
      </c>
      <c r="V81" s="88">
        <v>2.8882142857142849E-2</v>
      </c>
      <c r="W81" s="88">
        <v>2.8892857142857137E-2</v>
      </c>
      <c r="X81" s="88">
        <v>2.8903571428571421E-2</v>
      </c>
      <c r="Y81" s="88">
        <v>2.8914285714285708E-2</v>
      </c>
      <c r="Z81" s="88">
        <v>2.8924999999999992E-2</v>
      </c>
      <c r="AA81" s="88">
        <v>2.8935714285714276E-2</v>
      </c>
      <c r="AB81" s="88">
        <v>2.8946428571428564E-2</v>
      </c>
      <c r="AC81" s="88">
        <v>2.8957142857142848E-2</v>
      </c>
      <c r="AD81" s="88">
        <v>2.8967857142857135E-2</v>
      </c>
      <c r="AE81" s="88">
        <v>2.897857142857142E-2</v>
      </c>
      <c r="AF81" s="88">
        <v>2.8989285714285704E-2</v>
      </c>
      <c r="AG81" s="88">
        <v>2.8999999999999991E-2</v>
      </c>
      <c r="AH81" s="88">
        <v>2.9010714285714275E-2</v>
      </c>
      <c r="AI81" s="88">
        <v>2.9021428571428563E-2</v>
      </c>
      <c r="AJ81" s="88">
        <v>2.9032142857142847E-2</v>
      </c>
      <c r="AK81" s="88">
        <v>2.9042857142857131E-2</v>
      </c>
      <c r="AL81" s="88">
        <v>2.9053571428571418E-2</v>
      </c>
      <c r="AM81" s="88">
        <v>2.9064285714285702E-2</v>
      </c>
      <c r="AN81" s="88">
        <v>2.907499999999999E-2</v>
      </c>
      <c r="AO81" s="88">
        <v>2.9085714285714274E-2</v>
      </c>
      <c r="AP81" s="88">
        <v>2.9096428571428558E-2</v>
      </c>
      <c r="AQ81" s="88">
        <v>2.9107142857142845E-2</v>
      </c>
      <c r="AR81" s="88">
        <v>2.9117857142857129E-2</v>
      </c>
      <c r="AS81" s="88">
        <v>2.9128571428571417E-2</v>
      </c>
      <c r="AT81" s="88">
        <v>2.9139285714285701E-2</v>
      </c>
      <c r="AU81" s="88">
        <v>2.9149999999999985E-2</v>
      </c>
      <c r="AV81" s="88">
        <v>2.9160714285714272E-2</v>
      </c>
      <c r="AW81" s="88">
        <v>2.9171428571428556E-2</v>
      </c>
      <c r="AX81" s="88">
        <v>2.9182142857142844E-2</v>
      </c>
      <c r="AY81" s="88">
        <v>2.9192857142857128E-2</v>
      </c>
      <c r="AZ81" s="88">
        <v>2.9203571428571412E-2</v>
      </c>
      <c r="BA81" s="88">
        <v>2.92142857142857E-2</v>
      </c>
    </row>
    <row r="82" spans="1:53" ht="15.75" customHeight="1" x14ac:dyDescent="0.25">
      <c r="A82" s="77" t="s">
        <v>202</v>
      </c>
      <c r="B82" s="78">
        <v>8.6599999999999996E-2</v>
      </c>
      <c r="C82" s="78">
        <v>0.11560000000000001</v>
      </c>
      <c r="D82" s="78">
        <v>0.1045</v>
      </c>
      <c r="E82" s="78">
        <v>2.75E-2</v>
      </c>
      <c r="F82" s="78">
        <v>4.6699999999999998E-2</v>
      </c>
      <c r="G82" s="78">
        <v>8.1300000000000011E-2</v>
      </c>
      <c r="H82" s="78">
        <v>5.5899999999999998E-2</v>
      </c>
      <c r="I82" s="88" cm="1">
        <f t="array" ref="I82:BA82">TREND(B82:H82,$B$67:$H$67,$I$67:$BA$67)</f>
        <v>4.2800000000001504E-2</v>
      </c>
      <c r="J82" s="88">
        <v>3.4996428571428595E-2</v>
      </c>
      <c r="K82" s="88">
        <v>2.7192857142857463E-2</v>
      </c>
      <c r="L82" s="88">
        <v>1.9389285714286331E-2</v>
      </c>
      <c r="M82" s="88">
        <v>1.1585714285715198E-2</v>
      </c>
      <c r="N82" s="88">
        <v>3.7821428571440663E-3</v>
      </c>
      <c r="O82" s="88">
        <v>-4.0214285714270659E-3</v>
      </c>
      <c r="P82" s="88">
        <v>-1.1824999999999974E-2</v>
      </c>
      <c r="Q82" s="88">
        <v>-1.9628571428571107E-2</v>
      </c>
      <c r="R82" s="88">
        <v>-2.7432142857142239E-2</v>
      </c>
      <c r="S82" s="88">
        <v>-3.5235714285713371E-2</v>
      </c>
      <c r="T82" s="88">
        <v>-4.3039285714284503E-2</v>
      </c>
      <c r="U82" s="88">
        <v>-5.0842857142855635E-2</v>
      </c>
      <c r="V82" s="88">
        <v>-5.8646428571428544E-2</v>
      </c>
      <c r="W82" s="88">
        <v>-6.6449999999999676E-2</v>
      </c>
      <c r="X82" s="88">
        <v>-7.4253571428570808E-2</v>
      </c>
      <c r="Y82" s="88">
        <v>-8.205714285714194E-2</v>
      </c>
      <c r="Z82" s="88">
        <v>-8.9860714285713073E-2</v>
      </c>
      <c r="AA82" s="88">
        <v>-9.7664285714284205E-2</v>
      </c>
      <c r="AB82" s="88">
        <v>-0.10546785714285711</v>
      </c>
      <c r="AC82" s="88">
        <v>-0.11327142857142825</v>
      </c>
      <c r="AD82" s="88">
        <v>-0.12107499999999938</v>
      </c>
      <c r="AE82" s="88">
        <v>-0.12887857142857051</v>
      </c>
      <c r="AF82" s="88">
        <v>-0.13668214285714164</v>
      </c>
      <c r="AG82" s="88">
        <v>-0.14448571428571277</v>
      </c>
      <c r="AH82" s="88">
        <v>-0.15228928571428568</v>
      </c>
      <c r="AI82" s="88">
        <v>-0.16009285714285681</v>
      </c>
      <c r="AJ82" s="88">
        <v>-0.16789642857142795</v>
      </c>
      <c r="AK82" s="88">
        <v>-0.17569999999999908</v>
      </c>
      <c r="AL82" s="88">
        <v>-0.18350357142857021</v>
      </c>
      <c r="AM82" s="88">
        <v>-0.19130714285714134</v>
      </c>
      <c r="AN82" s="88">
        <v>-0.19911071428571248</v>
      </c>
      <c r="AO82" s="88">
        <v>-0.20691428571428361</v>
      </c>
      <c r="AP82" s="88">
        <v>-0.21471785714285474</v>
      </c>
      <c r="AQ82" s="88">
        <v>-0.22252142857142587</v>
      </c>
      <c r="AR82" s="88">
        <v>-0.23032500000000056</v>
      </c>
      <c r="AS82" s="88">
        <v>-0.23812857142857169</v>
      </c>
      <c r="AT82" s="88">
        <v>-0.24593214285714282</v>
      </c>
      <c r="AU82" s="88">
        <v>-0.25373571428571395</v>
      </c>
      <c r="AV82" s="88">
        <v>-0.26153928571428509</v>
      </c>
      <c r="AW82" s="88">
        <v>-0.26934285714285622</v>
      </c>
      <c r="AX82" s="88">
        <v>-0.27714642857142735</v>
      </c>
      <c r="AY82" s="88">
        <v>-0.28494999999999848</v>
      </c>
      <c r="AZ82" s="88">
        <v>-0.29275357142856961</v>
      </c>
      <c r="BA82" s="88">
        <v>-0.30055714285714075</v>
      </c>
    </row>
    <row r="83" spans="1:53" ht="15.75" customHeight="1" x14ac:dyDescent="0.25">
      <c r="A83" s="77" t="s">
        <v>203</v>
      </c>
      <c r="B83" s="78">
        <v>0.1057</v>
      </c>
      <c r="C83" s="78">
        <v>-4.0999999999999995E-2</v>
      </c>
      <c r="D83" s="78">
        <v>2.12E-2</v>
      </c>
      <c r="E83" s="78">
        <v>9.4700000000000006E-2</v>
      </c>
      <c r="F83" s="78">
        <v>0.1052</v>
      </c>
      <c r="G83" s="78">
        <v>9.8000000000000004E-2</v>
      </c>
      <c r="H83" s="78">
        <v>9.9299999999999999E-2</v>
      </c>
      <c r="I83" s="88" cm="1">
        <f t="array" ref="I83:BA83">TREND(B83:H83,$B$67:$H$67,$I$67:$BA$67)</f>
        <v>0.11798571428571591</v>
      </c>
      <c r="J83" s="88">
        <v>0.13022857142857092</v>
      </c>
      <c r="K83" s="88">
        <v>0.14247142857142947</v>
      </c>
      <c r="L83" s="88">
        <v>0.15471428571428802</v>
      </c>
      <c r="M83" s="88">
        <v>0.16695714285714303</v>
      </c>
      <c r="N83" s="88">
        <v>0.17920000000000158</v>
      </c>
      <c r="O83" s="88">
        <v>0.19144285714285658</v>
      </c>
      <c r="P83" s="88">
        <v>0.20368571428571514</v>
      </c>
      <c r="Q83" s="88">
        <v>0.21592857142857369</v>
      </c>
      <c r="R83" s="88">
        <v>0.22817142857142869</v>
      </c>
      <c r="S83" s="88">
        <v>0.24041428571428725</v>
      </c>
      <c r="T83" s="88">
        <v>0.25265714285714225</v>
      </c>
      <c r="U83" s="88">
        <v>0.2649000000000008</v>
      </c>
      <c r="V83" s="88">
        <v>0.27714285714285936</v>
      </c>
      <c r="W83" s="88">
        <v>0.28938571428571436</v>
      </c>
      <c r="X83" s="88">
        <v>0.30162857142857291</v>
      </c>
      <c r="Y83" s="88">
        <v>0.31387142857142791</v>
      </c>
      <c r="Z83" s="88">
        <v>0.32611428571428647</v>
      </c>
      <c r="AA83" s="88">
        <v>0.33835714285714502</v>
      </c>
      <c r="AB83" s="88">
        <v>0.35060000000000002</v>
      </c>
      <c r="AC83" s="88">
        <v>0.36284285714285858</v>
      </c>
      <c r="AD83" s="88">
        <v>0.37508571428571358</v>
      </c>
      <c r="AE83" s="88">
        <v>0.38732857142857213</v>
      </c>
      <c r="AF83" s="88">
        <v>0.39957142857143069</v>
      </c>
      <c r="AG83" s="88">
        <v>0.41181428571428569</v>
      </c>
      <c r="AH83" s="88">
        <v>0.42405714285714424</v>
      </c>
      <c r="AI83" s="88">
        <v>0.43629999999999924</v>
      </c>
      <c r="AJ83" s="88">
        <v>0.4485428571428578</v>
      </c>
      <c r="AK83" s="88">
        <v>0.46078571428571635</v>
      </c>
      <c r="AL83" s="88">
        <v>0.47302857142857135</v>
      </c>
      <c r="AM83" s="88">
        <v>0.48527142857142991</v>
      </c>
      <c r="AN83" s="88">
        <v>0.49751428571428491</v>
      </c>
      <c r="AO83" s="88">
        <v>0.50975714285714346</v>
      </c>
      <c r="AP83" s="88">
        <v>0.52200000000000202</v>
      </c>
      <c r="AQ83" s="88">
        <v>0.53424285714285702</v>
      </c>
      <c r="AR83" s="88">
        <v>0.54648571428571557</v>
      </c>
      <c r="AS83" s="88">
        <v>0.55872857142857058</v>
      </c>
      <c r="AT83" s="88">
        <v>0.57097142857142913</v>
      </c>
      <c r="AU83" s="88">
        <v>0.58321428571428768</v>
      </c>
      <c r="AV83" s="88">
        <v>0.59545714285714268</v>
      </c>
      <c r="AW83" s="88">
        <v>0.60770000000000124</v>
      </c>
      <c r="AX83" s="88">
        <v>0.61994285714285624</v>
      </c>
      <c r="AY83" s="88">
        <v>0.63218571428571479</v>
      </c>
      <c r="AZ83" s="88">
        <v>0.64442857142857335</v>
      </c>
      <c r="BA83" s="88">
        <v>0.65667142857142835</v>
      </c>
    </row>
    <row r="84" spans="1:53" ht="15.75" customHeight="1" x14ac:dyDescent="0.25">
      <c r="A84" s="80"/>
      <c r="B84" s="81"/>
      <c r="C84" s="81"/>
      <c r="D84" s="81"/>
      <c r="E84" s="81"/>
      <c r="F84" s="81"/>
      <c r="G84" s="81"/>
      <c r="H84" s="81"/>
    </row>
    <row r="85" spans="1:53" ht="15.75" customHeight="1" x14ac:dyDescent="0.25">
      <c r="A85" s="83" t="s">
        <v>205</v>
      </c>
      <c r="B85" s="82"/>
      <c r="C85" s="82"/>
      <c r="D85" s="82"/>
      <c r="E85" s="82"/>
      <c r="F85" s="82"/>
      <c r="G85" s="82"/>
      <c r="H85" s="82"/>
    </row>
    <row r="86" spans="1:53" ht="15.75" customHeight="1" x14ac:dyDescent="0.25">
      <c r="A86" s="77" t="s">
        <v>188</v>
      </c>
      <c r="B86" s="79">
        <f>B68-B47</f>
        <v>7.5999999999999991E-3</v>
      </c>
      <c r="C86" s="79">
        <f t="shared" ref="C86:H86" si="40">C68-C47</f>
        <v>-2.6000000000000002E-2</v>
      </c>
      <c r="D86" s="79">
        <f t="shared" si="40"/>
        <v>-1.3399999999999995E-2</v>
      </c>
      <c r="E86" s="79">
        <f t="shared" si="40"/>
        <v>-2.3800000000000002E-2</v>
      </c>
      <c r="F86" s="79">
        <f t="shared" si="40"/>
        <v>-2.8699999999999996E-2</v>
      </c>
      <c r="G86" s="79">
        <f t="shared" si="40"/>
        <v>-7.5700000000000003E-2</v>
      </c>
      <c r="H86" s="79">
        <f t="shared" si="40"/>
        <v>-2.0366666666667879E-2</v>
      </c>
    </row>
    <row r="87" spans="1:53" ht="15.75" customHeight="1" x14ac:dyDescent="0.25">
      <c r="A87" s="84" t="s">
        <v>189</v>
      </c>
      <c r="B87" s="85">
        <f t="shared" ref="B87:H101" si="41">B69-B48</f>
        <v>-1.2899999999999998E-2</v>
      </c>
      <c r="C87" s="85">
        <f t="shared" si="41"/>
        <v>-0.14419999999999999</v>
      </c>
      <c r="D87" s="85">
        <f t="shared" si="41"/>
        <v>-0.23179999999999998</v>
      </c>
      <c r="E87" s="85">
        <f t="shared" si="41"/>
        <v>-0.29330000000000001</v>
      </c>
      <c r="F87" s="85">
        <f t="shared" si="41"/>
        <v>2.8300000000000006E-2</v>
      </c>
      <c r="G87" s="85">
        <f t="shared" si="41"/>
        <v>3.1300000000000001E-2</v>
      </c>
      <c r="H87" s="85">
        <f t="shared" si="41"/>
        <v>-2.4300000000000002E-2</v>
      </c>
    </row>
    <row r="88" spans="1:53" ht="15.75" customHeight="1" x14ac:dyDescent="0.25">
      <c r="A88" s="77" t="s">
        <v>190</v>
      </c>
      <c r="B88" s="79">
        <f t="shared" si="41"/>
        <v>2.3000000000000034E-3</v>
      </c>
      <c r="C88" s="79">
        <f t="shared" si="41"/>
        <v>-4.1700000000000001E-2</v>
      </c>
      <c r="D88" s="79">
        <f t="shared" si="41"/>
        <v>2.0999999999999998E-2</v>
      </c>
      <c r="E88" s="79">
        <f t="shared" si="41"/>
        <v>3.5999999999999997E-2</v>
      </c>
      <c r="F88" s="79">
        <f t="shared" si="41"/>
        <v>2.53E-2</v>
      </c>
      <c r="G88" s="79">
        <f t="shared" si="41"/>
        <v>3.6699999999999997E-2</v>
      </c>
      <c r="H88" s="79">
        <f t="shared" si="41"/>
        <v>4.7339999999999334E-2</v>
      </c>
    </row>
    <row r="89" spans="1:53" ht="15.75" customHeight="1" x14ac:dyDescent="0.25">
      <c r="A89" s="77" t="s">
        <v>191</v>
      </c>
      <c r="B89" s="79">
        <f t="shared" si="41"/>
        <v>3.4599999999999999E-2</v>
      </c>
      <c r="C89" s="79">
        <f t="shared" si="41"/>
        <v>-2.3999999999999997E-2</v>
      </c>
      <c r="D89" s="79">
        <f t="shared" si="41"/>
        <v>4.5900000000000003E-2</v>
      </c>
      <c r="E89" s="79">
        <f t="shared" si="41"/>
        <v>5.0700000000000009E-2</v>
      </c>
      <c r="F89" s="79">
        <f t="shared" si="41"/>
        <v>4.1500000000000002E-2</v>
      </c>
      <c r="G89" s="79">
        <f t="shared" si="41"/>
        <v>4.469999999999999E-2</v>
      </c>
      <c r="H89" s="79">
        <f t="shared" si="41"/>
        <v>2.2720000000000046E-2</v>
      </c>
    </row>
    <row r="90" spans="1:53" ht="15.75" customHeight="1" x14ac:dyDescent="0.25">
      <c r="A90" s="77" t="s">
        <v>192</v>
      </c>
      <c r="B90" s="79">
        <f t="shared" si="41"/>
        <v>6.5699999999999995E-2</v>
      </c>
      <c r="C90" s="79">
        <f t="shared" si="41"/>
        <v>4.590000000000001E-2</v>
      </c>
      <c r="D90" s="79">
        <f t="shared" si="41"/>
        <v>3.6299999999999992E-2</v>
      </c>
      <c r="E90" s="79">
        <f t="shared" si="41"/>
        <v>2.2500000000000003E-2</v>
      </c>
      <c r="F90" s="79">
        <f t="shared" si="41"/>
        <v>3.8800000000000001E-2</v>
      </c>
      <c r="G90" s="79">
        <f t="shared" si="41"/>
        <v>-4.1099999999999998E-2</v>
      </c>
      <c r="H90" s="79">
        <f t="shared" si="41"/>
        <v>-3.539999999999862E-2</v>
      </c>
    </row>
    <row r="91" spans="1:53" ht="15.75" customHeight="1" x14ac:dyDescent="0.25">
      <c r="A91" s="77" t="s">
        <v>193</v>
      </c>
      <c r="B91" s="79">
        <f t="shared" si="41"/>
        <v>2.76E-2</v>
      </c>
      <c r="C91" s="79">
        <f t="shared" si="41"/>
        <v>-3.6399999999999995E-2</v>
      </c>
      <c r="D91" s="79">
        <f t="shared" si="41"/>
        <v>-1.4599999999999995E-2</v>
      </c>
      <c r="E91" s="79">
        <f t="shared" si="41"/>
        <v>-3.8300000000000001E-2</v>
      </c>
      <c r="F91" s="79">
        <f t="shared" si="41"/>
        <v>1.6500000000000008E-2</v>
      </c>
      <c r="G91" s="79">
        <f t="shared" si="41"/>
        <v>6.3100000000000003E-2</v>
      </c>
      <c r="H91" s="79">
        <f t="shared" si="41"/>
        <v>1.0240000000000006E-2</v>
      </c>
    </row>
    <row r="92" spans="1:53" ht="15.75" customHeight="1" x14ac:dyDescent="0.25">
      <c r="A92" s="77" t="s">
        <v>194</v>
      </c>
      <c r="B92" s="79">
        <f t="shared" si="41"/>
        <v>2.64E-2</v>
      </c>
      <c r="C92" s="79">
        <f t="shared" si="41"/>
        <v>-4.3800000000000006E-2</v>
      </c>
      <c r="D92" s="79">
        <f t="shared" si="41"/>
        <v>-1.7300000000000003E-2</v>
      </c>
      <c r="E92" s="79">
        <f t="shared" si="41"/>
        <v>-4.4199999999999989E-2</v>
      </c>
      <c r="F92" s="79">
        <f t="shared" si="41"/>
        <v>2.2999999999999996E-2</v>
      </c>
      <c r="G92" s="79">
        <f t="shared" si="41"/>
        <v>2.8400000000000002E-2</v>
      </c>
      <c r="H92" s="79">
        <f t="shared" si="41"/>
        <v>5.8799999999994967E-3</v>
      </c>
    </row>
    <row r="93" spans="1:53" ht="15.75" customHeight="1" x14ac:dyDescent="0.25">
      <c r="A93" s="84" t="s">
        <v>195</v>
      </c>
      <c r="B93" s="85">
        <f t="shared" si="41"/>
        <v>6.1999999999999972E-3</v>
      </c>
      <c r="C93" s="85">
        <f t="shared" si="41"/>
        <v>-0.19389999999999999</v>
      </c>
      <c r="D93" s="85">
        <f t="shared" si="41"/>
        <v>8.6000000000000069E-3</v>
      </c>
      <c r="E93" s="85">
        <f t="shared" si="41"/>
        <v>0.15030000000000002</v>
      </c>
      <c r="F93" s="85">
        <f t="shared" si="41"/>
        <v>9.870000000000001E-2</v>
      </c>
      <c r="G93" s="85">
        <f t="shared" si="41"/>
        <v>7.6299999999999993E-2</v>
      </c>
      <c r="H93" s="85">
        <f t="shared" si="41"/>
        <v>7.2139999999999538E-2</v>
      </c>
    </row>
    <row r="94" spans="1:53" ht="15.75" customHeight="1" x14ac:dyDescent="0.25">
      <c r="A94" s="84" t="s">
        <v>196</v>
      </c>
      <c r="B94" s="85">
        <f t="shared" si="41"/>
        <v>4.8799999999999996E-2</v>
      </c>
      <c r="C94" s="85">
        <f t="shared" si="41"/>
        <v>-0.1086</v>
      </c>
      <c r="D94" s="85">
        <f t="shared" si="41"/>
        <v>3.15E-2</v>
      </c>
      <c r="E94" s="85">
        <f t="shared" si="41"/>
        <v>0.10139999999999999</v>
      </c>
      <c r="F94" s="85">
        <f t="shared" si="41"/>
        <v>8.8000000000000009E-2</v>
      </c>
      <c r="G94" s="85">
        <f t="shared" si="41"/>
        <v>6.1900000000000011E-2</v>
      </c>
      <c r="H94" s="85">
        <f t="shared" si="41"/>
        <v>5.1913333333333644E-2</v>
      </c>
    </row>
    <row r="95" spans="1:53" ht="15.75" customHeight="1" x14ac:dyDescent="0.25">
      <c r="A95" s="84" t="s">
        <v>197</v>
      </c>
      <c r="B95" s="85">
        <f t="shared" si="41"/>
        <v>6.9800000000000001E-2</v>
      </c>
      <c r="C95" s="85">
        <f t="shared" si="41"/>
        <v>0.1018</v>
      </c>
      <c r="D95" s="85">
        <f t="shared" si="41"/>
        <v>6.0899999999999996E-2</v>
      </c>
      <c r="E95" s="85">
        <f t="shared" si="41"/>
        <v>6.9800000000000001E-2</v>
      </c>
      <c r="F95" s="85">
        <f t="shared" si="41"/>
        <v>6.54E-2</v>
      </c>
      <c r="G95" s="85">
        <f t="shared" si="41"/>
        <v>6.5700000000000008E-2</v>
      </c>
      <c r="H95" s="85">
        <f t="shared" si="41"/>
        <v>7.815333333333338E-2</v>
      </c>
    </row>
    <row r="96" spans="1:53" ht="15.75" customHeight="1" x14ac:dyDescent="0.25">
      <c r="A96" s="77" t="s">
        <v>198</v>
      </c>
      <c r="B96" s="79">
        <f t="shared" si="41"/>
        <v>4.0400000000000005E-2</v>
      </c>
      <c r="C96" s="79">
        <f t="shared" si="41"/>
        <v>2.8400000000000002E-2</v>
      </c>
      <c r="D96" s="79">
        <f t="shared" si="41"/>
        <v>-2.5799999999999997E-2</v>
      </c>
      <c r="E96" s="79">
        <f t="shared" si="41"/>
        <v>-2.2899999999999997E-2</v>
      </c>
      <c r="F96" s="79">
        <f t="shared" si="41"/>
        <v>1.0899999999999993E-2</v>
      </c>
      <c r="G96" s="79">
        <f t="shared" si="41"/>
        <v>2.5700000000000004E-2</v>
      </c>
      <c r="H96" s="79">
        <f t="shared" si="41"/>
        <v>3.0600000000004235E-3</v>
      </c>
    </row>
    <row r="97" spans="1:8" ht="15.75" customHeight="1" x14ac:dyDescent="0.25">
      <c r="A97" s="77" t="s">
        <v>199</v>
      </c>
      <c r="B97" s="79">
        <f t="shared" si="41"/>
        <v>3.4200000000000001E-2</v>
      </c>
      <c r="C97" s="79">
        <f t="shared" si="41"/>
        <v>1.3999999999999999E-2</v>
      </c>
      <c r="D97" s="79">
        <f t="shared" si="41"/>
        <v>2.3899999999999998E-2</v>
      </c>
      <c r="E97" s="79">
        <f t="shared" si="41"/>
        <v>-8.0999999999999996E-3</v>
      </c>
      <c r="F97" s="79">
        <f t="shared" si="41"/>
        <v>-6.1999999999999972E-3</v>
      </c>
      <c r="G97" s="79">
        <f t="shared" si="41"/>
        <v>1.9900000000000001E-2</v>
      </c>
      <c r="H97" s="79">
        <f t="shared" si="41"/>
        <v>2.485333333333356E-2</v>
      </c>
    </row>
    <row r="98" spans="1:8" ht="15.75" customHeight="1" x14ac:dyDescent="0.25">
      <c r="A98" s="77" t="s">
        <v>200</v>
      </c>
      <c r="B98" s="79">
        <f t="shared" si="41"/>
        <v>1.3299999999999999E-2</v>
      </c>
      <c r="C98" s="79">
        <f t="shared" si="41"/>
        <v>-2.3000000000000003E-2</v>
      </c>
      <c r="D98" s="79">
        <f t="shared" si="41"/>
        <v>-1.9100000000000002E-2</v>
      </c>
      <c r="E98" s="79">
        <f t="shared" si="41"/>
        <v>-1.7300000000000003E-2</v>
      </c>
      <c r="F98" s="79">
        <f t="shared" si="41"/>
        <v>-2.1499999999999998E-2</v>
      </c>
      <c r="G98" s="79">
        <f t="shared" si="41"/>
        <v>4.2699999999999995E-2</v>
      </c>
      <c r="H98" s="79">
        <f t="shared" si="41"/>
        <v>8.8599999999998957E-3</v>
      </c>
    </row>
    <row r="99" spans="1:8" ht="15.75" customHeight="1" x14ac:dyDescent="0.25">
      <c r="A99" s="77" t="s">
        <v>201</v>
      </c>
      <c r="B99" s="79">
        <f t="shared" si="41"/>
        <v>5.4699999999999999E-2</v>
      </c>
      <c r="C99" s="79">
        <f t="shared" si="41"/>
        <v>6.9999999999999923E-4</v>
      </c>
      <c r="D99" s="79">
        <f t="shared" si="41"/>
        <v>-3.599999999999999E-3</v>
      </c>
      <c r="E99" s="79">
        <f t="shared" si="41"/>
        <v>-7.999999999999995E-4</v>
      </c>
      <c r="F99" s="79">
        <f t="shared" si="41"/>
        <v>1.4500000000000001E-2</v>
      </c>
      <c r="G99" s="79">
        <f t="shared" si="41"/>
        <v>1.0399999999999993E-2</v>
      </c>
      <c r="H99" s="79">
        <f t="shared" si="41"/>
        <v>3.443333333333326E-2</v>
      </c>
    </row>
    <row r="100" spans="1:8" ht="15.75" customHeight="1" x14ac:dyDescent="0.25">
      <c r="A100" s="77" t="s">
        <v>202</v>
      </c>
      <c r="B100" s="79">
        <f t="shared" si="41"/>
        <v>6.6500000000000004E-2</v>
      </c>
      <c r="C100" s="79">
        <f t="shared" si="41"/>
        <v>8.7200000000000014E-2</v>
      </c>
      <c r="D100" s="79">
        <f t="shared" si="41"/>
        <v>9.3899999999999997E-2</v>
      </c>
      <c r="E100" s="79">
        <f t="shared" si="41"/>
        <v>1.7399999999999999E-2</v>
      </c>
      <c r="F100" s="79">
        <f t="shared" si="41"/>
        <v>3.4599999999999999E-2</v>
      </c>
      <c r="G100" s="79">
        <f t="shared" si="41"/>
        <v>5.460000000000001E-2</v>
      </c>
      <c r="H100" s="79">
        <f t="shared" si="41"/>
        <v>3.9539999999999957E-2</v>
      </c>
    </row>
    <row r="101" spans="1:8" ht="15.75" customHeight="1" x14ac:dyDescent="0.25">
      <c r="A101" s="77" t="s">
        <v>203</v>
      </c>
      <c r="B101" s="79">
        <f t="shared" si="41"/>
        <v>8.8700000000000001E-2</v>
      </c>
      <c r="C101" s="79">
        <f t="shared" si="41"/>
        <v>-7.4799999999999991E-2</v>
      </c>
      <c r="D101" s="79">
        <f t="shared" si="41"/>
        <v>1.0000000000000286E-4</v>
      </c>
      <c r="E101" s="79">
        <f t="shared" si="41"/>
        <v>8.3000000000000004E-2</v>
      </c>
      <c r="F101" s="79">
        <f t="shared" si="41"/>
        <v>8.5900000000000004E-2</v>
      </c>
      <c r="G101" s="79">
        <f t="shared" si="41"/>
        <v>7.6800000000000007E-2</v>
      </c>
      <c r="H101" s="79">
        <f t="shared" si="41"/>
        <v>8.1806666666666639E-2</v>
      </c>
    </row>
    <row r="102" spans="1:8" ht="15.75" customHeight="1" x14ac:dyDescent="0.25"/>
    <row r="103" spans="1:8" ht="15.75" customHeight="1" x14ac:dyDescent="0.25"/>
    <row r="104" spans="1:8" ht="15.75" customHeight="1" x14ac:dyDescent="0.25"/>
    <row r="105" spans="1:8" ht="15.75" customHeight="1" x14ac:dyDescent="0.25"/>
    <row r="106" spans="1:8" ht="15.75" customHeight="1" x14ac:dyDescent="0.25"/>
    <row r="107" spans="1:8" ht="15.75" customHeight="1" x14ac:dyDescent="0.25"/>
    <row r="108" spans="1:8" ht="15.75" customHeight="1" x14ac:dyDescent="0.25"/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71"/>
  <sheetViews>
    <sheetView topLeftCell="D1" workbookViewId="0">
      <selection activeCell="L2" sqref="L2"/>
    </sheetView>
  </sheetViews>
  <sheetFormatPr baseColWidth="10" defaultColWidth="10.85546875" defaultRowHeight="15.75" x14ac:dyDescent="0.25"/>
  <cols>
    <col min="1" max="1" width="38.28515625" style="89" customWidth="1"/>
    <col min="2" max="2" width="8.85546875" style="89" customWidth="1"/>
    <col min="3" max="4" width="43.85546875" style="89" customWidth="1"/>
    <col min="5" max="16384" width="10.85546875" style="89"/>
  </cols>
  <sheetData>
    <row r="1" spans="1:56" s="102" customFormat="1" ht="63.95" customHeight="1" x14ac:dyDescent="0.25">
      <c r="A1" s="102" t="s">
        <v>398</v>
      </c>
      <c r="C1" s="102" t="s">
        <v>397</v>
      </c>
      <c r="D1" s="103" t="s">
        <v>187</v>
      </c>
      <c r="E1" s="102">
        <v>2019</v>
      </c>
      <c r="F1" s="102">
        <v>2020</v>
      </c>
      <c r="G1" s="102">
        <v>2021</v>
      </c>
      <c r="H1" s="102">
        <v>2022</v>
      </c>
      <c r="I1" s="102">
        <v>2023</v>
      </c>
      <c r="J1" s="102">
        <v>2024</v>
      </c>
      <c r="K1" s="102">
        <v>2025</v>
      </c>
      <c r="L1" s="102">
        <v>2026</v>
      </c>
      <c r="M1" s="102">
        <v>2027</v>
      </c>
      <c r="N1" s="102">
        <v>2028</v>
      </c>
      <c r="O1" s="102">
        <v>2029</v>
      </c>
      <c r="P1" s="102">
        <v>2030</v>
      </c>
      <c r="Q1" s="102">
        <v>2031</v>
      </c>
      <c r="R1" s="102">
        <v>2032</v>
      </c>
      <c r="S1" s="102">
        <v>2033</v>
      </c>
      <c r="T1" s="102">
        <v>2034</v>
      </c>
      <c r="U1" s="102">
        <v>2035</v>
      </c>
      <c r="V1" s="102">
        <v>2036</v>
      </c>
      <c r="W1" s="102">
        <v>2037</v>
      </c>
      <c r="X1" s="102">
        <v>2038</v>
      </c>
      <c r="Y1" s="102">
        <v>2039</v>
      </c>
      <c r="Z1" s="102">
        <v>2040</v>
      </c>
      <c r="AA1" s="102">
        <v>2041</v>
      </c>
      <c r="AB1" s="102">
        <v>2042</v>
      </c>
      <c r="AC1" s="102">
        <v>2043</v>
      </c>
      <c r="AD1" s="102">
        <v>2044</v>
      </c>
      <c r="AE1" s="102">
        <v>2045</v>
      </c>
      <c r="AF1" s="102">
        <v>2046</v>
      </c>
      <c r="AG1" s="102">
        <v>2047</v>
      </c>
      <c r="AH1" s="102">
        <v>2048</v>
      </c>
      <c r="AI1" s="102">
        <v>2049</v>
      </c>
      <c r="AJ1" s="102">
        <v>2050</v>
      </c>
      <c r="AK1" s="102">
        <v>2051</v>
      </c>
      <c r="AL1" s="102">
        <v>2052</v>
      </c>
      <c r="AM1" s="102">
        <v>2053</v>
      </c>
      <c r="AN1" s="102">
        <v>2054</v>
      </c>
      <c r="AO1" s="102">
        <v>2055</v>
      </c>
      <c r="AP1" s="102">
        <v>2056</v>
      </c>
      <c r="AQ1" s="102">
        <v>2057</v>
      </c>
      <c r="AR1" s="102">
        <v>2058</v>
      </c>
      <c r="AS1" s="102">
        <v>2059</v>
      </c>
      <c r="AT1" s="102">
        <v>2060</v>
      </c>
      <c r="AU1" s="102">
        <v>2061</v>
      </c>
      <c r="AV1" s="102">
        <v>2062</v>
      </c>
      <c r="AW1" s="102">
        <v>2063</v>
      </c>
      <c r="AX1" s="102">
        <v>2064</v>
      </c>
      <c r="AY1" s="102">
        <v>2065</v>
      </c>
      <c r="AZ1" s="102">
        <v>2066</v>
      </c>
      <c r="BA1" s="102">
        <v>2067</v>
      </c>
      <c r="BB1" s="102">
        <v>2068</v>
      </c>
      <c r="BC1" s="102">
        <v>2069</v>
      </c>
      <c r="BD1" s="102">
        <v>2070</v>
      </c>
    </row>
    <row r="2" spans="1:56" s="91" customFormat="1" x14ac:dyDescent="0.25">
      <c r="A2" s="91" t="s">
        <v>396</v>
      </c>
      <c r="B2" s="91" t="s">
        <v>395</v>
      </c>
      <c r="C2" s="91" t="s">
        <v>394</v>
      </c>
      <c r="D2" s="91" t="s">
        <v>188</v>
      </c>
      <c r="E2" s="99">
        <f>'BPS 2019'!P6/100</f>
        <v>3.61E-2</v>
      </c>
      <c r="F2" s="99">
        <f>'BPS 2020'!F6/100</f>
        <v>1.77E-2</v>
      </c>
      <c r="G2" s="99">
        <f>'BPS 2021'!F6/100</f>
        <v>1.8700000000000001E-2</v>
      </c>
      <c r="H2" s="99">
        <f>'BPS 2022'!F6/100</f>
        <v>2.2499999999999999E-2</v>
      </c>
      <c r="I2" s="99">
        <f>'BPS 2023'!F6/100</f>
        <v>1.3100000000000001E-2</v>
      </c>
      <c r="J2" s="99">
        <f>'BPS 2024'!F6/100</f>
        <v>6.8000000000000005E-3</v>
      </c>
      <c r="K2" s="99">
        <f>'BPS 2025'!F6/100</f>
        <v>5.33E-2</v>
      </c>
      <c r="L2" s="101">
        <f>AVERAGE(H2:K2)</f>
        <v>2.3925000000000002E-2</v>
      </c>
      <c r="M2" s="101">
        <f t="shared" ref="M2:BD7" si="0">AVERAGE(I2:L2)</f>
        <v>2.4281250000000001E-2</v>
      </c>
      <c r="N2" s="101">
        <f t="shared" si="0"/>
        <v>2.7076562500000002E-2</v>
      </c>
      <c r="O2" s="101">
        <f t="shared" si="0"/>
        <v>3.2145703125000001E-2</v>
      </c>
      <c r="P2" s="101">
        <f t="shared" si="0"/>
        <v>2.685712890625E-2</v>
      </c>
      <c r="Q2" s="101">
        <f t="shared" si="0"/>
        <v>2.7590161132812499E-2</v>
      </c>
      <c r="R2" s="101">
        <f t="shared" si="0"/>
        <v>2.8417388916015626E-2</v>
      </c>
      <c r="S2" s="101">
        <f t="shared" si="0"/>
        <v>2.875259552001953E-2</v>
      </c>
      <c r="T2" s="101">
        <f t="shared" si="0"/>
        <v>2.7904318618774415E-2</v>
      </c>
      <c r="U2" s="101">
        <f t="shared" si="0"/>
        <v>2.8166116046905519E-2</v>
      </c>
      <c r="V2" s="101">
        <f t="shared" si="0"/>
        <v>2.8310104775428772E-2</v>
      </c>
      <c r="W2" s="101">
        <f t="shared" si="0"/>
        <v>2.8283283740282057E-2</v>
      </c>
      <c r="X2" s="101">
        <f t="shared" si="0"/>
        <v>2.816595579534769E-2</v>
      </c>
      <c r="Y2" s="101">
        <f t="shared" si="0"/>
        <v>2.8231365089491013E-2</v>
      </c>
      <c r="Z2" s="101">
        <f t="shared" si="0"/>
        <v>2.8247677350137383E-2</v>
      </c>
      <c r="AA2" s="101">
        <f t="shared" si="0"/>
        <v>2.8232070493814536E-2</v>
      </c>
      <c r="AB2" s="101">
        <f t="shared" si="0"/>
        <v>2.8219267182197659E-2</v>
      </c>
      <c r="AC2" s="101">
        <f t="shared" si="0"/>
        <v>2.8232595028910151E-2</v>
      </c>
      <c r="AD2" s="101">
        <f t="shared" si="0"/>
        <v>2.8232902513764931E-2</v>
      </c>
      <c r="AE2" s="101">
        <f t="shared" si="0"/>
        <v>2.8229208804671821E-2</v>
      </c>
      <c r="AF2" s="101">
        <f t="shared" si="0"/>
        <v>2.822849338238614E-2</v>
      </c>
      <c r="AG2" s="101">
        <f t="shared" si="0"/>
        <v>2.8230799932433263E-2</v>
      </c>
      <c r="AH2" s="101">
        <f t="shared" si="0"/>
        <v>2.8230351158314036E-2</v>
      </c>
      <c r="AI2" s="101">
        <f t="shared" si="0"/>
        <v>2.8229713319451316E-2</v>
      </c>
      <c r="AJ2" s="101">
        <f t="shared" si="0"/>
        <v>2.8229839448146186E-2</v>
      </c>
      <c r="AK2" s="101">
        <f t="shared" si="0"/>
        <v>2.8230175964586199E-2</v>
      </c>
      <c r="AL2" s="101">
        <f t="shared" si="0"/>
        <v>2.8230019972624434E-2</v>
      </c>
      <c r="AM2" s="101">
        <f t="shared" si="0"/>
        <v>2.8229937176202032E-2</v>
      </c>
      <c r="AN2" s="101">
        <f t="shared" si="0"/>
        <v>2.8229993140389716E-2</v>
      </c>
      <c r="AO2" s="101">
        <f t="shared" si="0"/>
        <v>2.8230031563450594E-2</v>
      </c>
      <c r="AP2" s="101">
        <f t="shared" si="0"/>
        <v>2.8229995463166697E-2</v>
      </c>
      <c r="AQ2" s="101">
        <f t="shared" si="0"/>
        <v>2.8229989335802258E-2</v>
      </c>
      <c r="AR2" s="101">
        <f t="shared" si="0"/>
        <v>2.8230002375702317E-2</v>
      </c>
      <c r="AS2" s="101">
        <f t="shared" si="0"/>
        <v>2.8230004684530467E-2</v>
      </c>
      <c r="AT2" s="101">
        <f t="shared" si="0"/>
        <v>2.8229997964800434E-2</v>
      </c>
      <c r="AU2" s="101">
        <f t="shared" si="0"/>
        <v>2.8229998590208867E-2</v>
      </c>
      <c r="AV2" s="101">
        <f t="shared" si="0"/>
        <v>2.8230000903810518E-2</v>
      </c>
      <c r="AW2" s="101">
        <f t="shared" si="0"/>
        <v>2.823000053583757E-2</v>
      </c>
      <c r="AX2" s="101">
        <f t="shared" si="0"/>
        <v>2.8229999498664348E-2</v>
      </c>
      <c r="AY2" s="101">
        <f t="shared" si="0"/>
        <v>2.8229999882130326E-2</v>
      </c>
      <c r="AZ2" s="101">
        <f t="shared" si="0"/>
        <v>2.823000020511069E-2</v>
      </c>
      <c r="BA2" s="101">
        <f t="shared" si="0"/>
        <v>2.8230000030435735E-2</v>
      </c>
      <c r="BB2" s="101">
        <f t="shared" si="0"/>
        <v>2.8229999904085278E-2</v>
      </c>
      <c r="BC2" s="101">
        <f t="shared" si="0"/>
        <v>2.8230000005440507E-2</v>
      </c>
      <c r="BD2" s="101">
        <f t="shared" si="0"/>
        <v>2.8230000036268056E-2</v>
      </c>
    </row>
    <row r="3" spans="1:56" x14ac:dyDescent="0.25">
      <c r="A3" s="89" t="s">
        <v>235</v>
      </c>
      <c r="B3" s="89" t="s">
        <v>393</v>
      </c>
      <c r="C3" s="89" t="s">
        <v>392</v>
      </c>
      <c r="D3" s="89" t="s">
        <v>391</v>
      </c>
      <c r="E3" s="100">
        <f>'BPS 2019'!P7/100</f>
        <v>3.3099999999999997E-2</v>
      </c>
      <c r="F3" s="100">
        <f>'BPS 2020'!F7/100</f>
        <v>2.1400000000000002E-2</v>
      </c>
      <c r="G3" s="100">
        <f>'BPS 2021'!F7/100</f>
        <v>1.1200000000000002E-2</v>
      </c>
      <c r="H3" s="100">
        <f>'BPS 2022'!F7/100</f>
        <v>2.3300000000000001E-2</v>
      </c>
      <c r="I3" s="100">
        <f>'BPS 2023'!F7/100</f>
        <v>1.8E-3</v>
      </c>
      <c r="J3" s="100">
        <f>'BPS 2024'!F7/100</f>
        <v>8.3000000000000001E-3</v>
      </c>
      <c r="K3" s="100">
        <f>'BPS 2025'!F7/100</f>
        <v>5.74E-2</v>
      </c>
      <c r="L3" s="101">
        <f t="shared" ref="L3:L66" si="1">AVERAGE(H3:K3)</f>
        <v>2.2699999999999998E-2</v>
      </c>
      <c r="M3" s="101">
        <f t="shared" si="0"/>
        <v>2.2550000000000001E-2</v>
      </c>
      <c r="N3" s="101">
        <f t="shared" si="0"/>
        <v>2.7737499999999998E-2</v>
      </c>
      <c r="O3" s="101">
        <f t="shared" si="0"/>
        <v>3.2596874999999997E-2</v>
      </c>
      <c r="P3" s="101">
        <f t="shared" si="0"/>
        <v>2.6396093749999999E-2</v>
      </c>
      <c r="Q3" s="101">
        <f t="shared" si="0"/>
        <v>2.73201171875E-2</v>
      </c>
      <c r="R3" s="101">
        <f t="shared" si="0"/>
        <v>2.8512646484375001E-2</v>
      </c>
      <c r="S3" s="101">
        <f t="shared" si="0"/>
        <v>2.8706433105468752E-2</v>
      </c>
      <c r="T3" s="101">
        <f t="shared" si="0"/>
        <v>2.7733822631835936E-2</v>
      </c>
      <c r="U3" s="101">
        <f t="shared" si="0"/>
        <v>2.8068254852294923E-2</v>
      </c>
      <c r="V3" s="101">
        <f t="shared" si="0"/>
        <v>2.8255289268493654E-2</v>
      </c>
      <c r="W3" s="101">
        <f t="shared" si="0"/>
        <v>2.8190949964523315E-2</v>
      </c>
      <c r="X3" s="101">
        <f t="shared" si="0"/>
        <v>2.8062079179286957E-2</v>
      </c>
      <c r="Y3" s="101">
        <f t="shared" si="0"/>
        <v>2.8144143316149714E-2</v>
      </c>
      <c r="Z3" s="101">
        <f t="shared" si="0"/>
        <v>2.816311543211341E-2</v>
      </c>
      <c r="AA3" s="101">
        <f t="shared" si="0"/>
        <v>2.8140071973018349E-2</v>
      </c>
      <c r="AB3" s="101">
        <f t="shared" si="0"/>
        <v>2.8127352475142108E-2</v>
      </c>
      <c r="AC3" s="101">
        <f t="shared" si="0"/>
        <v>2.8143670799105895E-2</v>
      </c>
      <c r="AD3" s="101">
        <f t="shared" si="0"/>
        <v>2.8143552669844939E-2</v>
      </c>
      <c r="AE3" s="101">
        <f t="shared" si="0"/>
        <v>2.8138661979277821E-2</v>
      </c>
      <c r="AF3" s="101">
        <f t="shared" si="0"/>
        <v>2.8138309480842689E-2</v>
      </c>
      <c r="AG3" s="101">
        <f t="shared" si="0"/>
        <v>2.8141048732267835E-2</v>
      </c>
      <c r="AH3" s="101">
        <f t="shared" si="0"/>
        <v>2.8140393215558321E-2</v>
      </c>
      <c r="AI3" s="101">
        <f t="shared" si="0"/>
        <v>2.8139603351986665E-2</v>
      </c>
      <c r="AJ3" s="101">
        <f t="shared" si="0"/>
        <v>2.8139838695163875E-2</v>
      </c>
      <c r="AK3" s="101">
        <f t="shared" si="0"/>
        <v>2.8140220998744171E-2</v>
      </c>
      <c r="AL3" s="101">
        <f t="shared" si="0"/>
        <v>2.8140014065363254E-2</v>
      </c>
      <c r="AM3" s="101">
        <f t="shared" si="0"/>
        <v>2.8139919277814493E-2</v>
      </c>
      <c r="AN3" s="101">
        <f t="shared" si="0"/>
        <v>2.8139998259271447E-2</v>
      </c>
      <c r="AO3" s="101">
        <f t="shared" si="0"/>
        <v>2.8140038150298342E-2</v>
      </c>
      <c r="AP3" s="101">
        <f t="shared" si="0"/>
        <v>2.8139992438186885E-2</v>
      </c>
      <c r="AQ3" s="101">
        <f t="shared" si="0"/>
        <v>2.8139987031392789E-2</v>
      </c>
      <c r="AR3" s="101">
        <f t="shared" si="0"/>
        <v>2.8140003969787365E-2</v>
      </c>
      <c r="AS3" s="101">
        <f t="shared" si="0"/>
        <v>2.8140005397416346E-2</v>
      </c>
      <c r="AT3" s="101">
        <f t="shared" si="0"/>
        <v>2.8139997209195848E-2</v>
      </c>
      <c r="AU3" s="101">
        <f t="shared" si="0"/>
        <v>2.8139998401948085E-2</v>
      </c>
      <c r="AV3" s="101">
        <f t="shared" si="0"/>
        <v>2.8140001244586911E-2</v>
      </c>
      <c r="AW3" s="101">
        <f t="shared" si="0"/>
        <v>2.8140000563286797E-2</v>
      </c>
      <c r="AX3" s="101">
        <f t="shared" si="0"/>
        <v>2.8139999354754412E-2</v>
      </c>
      <c r="AY3" s="101">
        <f t="shared" si="0"/>
        <v>2.8139999891144053E-2</v>
      </c>
      <c r="AZ3" s="101">
        <f t="shared" si="0"/>
        <v>2.8140000263443044E-2</v>
      </c>
      <c r="BA3" s="101">
        <f t="shared" si="0"/>
        <v>2.8140000018157078E-2</v>
      </c>
      <c r="BB3" s="101">
        <f t="shared" si="0"/>
        <v>2.8139999881874649E-2</v>
      </c>
      <c r="BC3" s="101">
        <f t="shared" si="0"/>
        <v>2.8140000013654708E-2</v>
      </c>
      <c r="BD3" s="101">
        <f t="shared" si="0"/>
        <v>2.8140000044282368E-2</v>
      </c>
    </row>
    <row r="4" spans="1:56" x14ac:dyDescent="0.25">
      <c r="A4" s="89" t="s">
        <v>235</v>
      </c>
      <c r="B4" s="89" t="s">
        <v>390</v>
      </c>
      <c r="C4" s="89" t="s">
        <v>389</v>
      </c>
      <c r="D4" s="89" t="s">
        <v>388</v>
      </c>
      <c r="E4" s="100">
        <f>'BPS 2019'!P8/100</f>
        <v>-1.7299999999999999E-2</v>
      </c>
      <c r="F4" s="100">
        <f>'BPS 2020'!F8/100</f>
        <v>3.61E-2</v>
      </c>
      <c r="G4" s="100">
        <f>'BPS 2021'!F8/100</f>
        <v>-1.3999999999999999E-2</v>
      </c>
      <c r="H4" s="100">
        <f>'BPS 2022'!F8/100</f>
        <v>8.0000000000000004E-4</v>
      </c>
      <c r="I4" s="100">
        <f>'BPS 2023'!F8/100</f>
        <v>-3.8599999999999995E-2</v>
      </c>
      <c r="J4" s="100">
        <f>'BPS 2024'!F8/100</f>
        <v>-1.9E-3</v>
      </c>
      <c r="K4" s="100">
        <f>'BPS 2025'!F8/100</f>
        <v>9.9399999999999988E-2</v>
      </c>
      <c r="L4" s="101">
        <f t="shared" si="1"/>
        <v>1.4924999999999999E-2</v>
      </c>
      <c r="M4" s="101">
        <f t="shared" si="0"/>
        <v>1.8456249999999997E-2</v>
      </c>
      <c r="N4" s="101">
        <f t="shared" si="0"/>
        <v>3.2720312499999994E-2</v>
      </c>
      <c r="O4" s="101">
        <f t="shared" si="0"/>
        <v>4.1375390624999994E-2</v>
      </c>
      <c r="P4" s="101">
        <f t="shared" si="0"/>
        <v>2.6869238281249996E-2</v>
      </c>
      <c r="Q4" s="101">
        <f t="shared" si="0"/>
        <v>2.9855297851562497E-2</v>
      </c>
      <c r="R4" s="101">
        <f t="shared" si="0"/>
        <v>3.2705059814453125E-2</v>
      </c>
      <c r="S4" s="101">
        <f t="shared" si="0"/>
        <v>3.2701246643066402E-2</v>
      </c>
      <c r="T4" s="101">
        <f t="shared" si="0"/>
        <v>3.0532710647583006E-2</v>
      </c>
      <c r="U4" s="101">
        <f t="shared" si="0"/>
        <v>3.1448578739166254E-2</v>
      </c>
      <c r="V4" s="101">
        <f t="shared" si="0"/>
        <v>3.1846898961067197E-2</v>
      </c>
      <c r="W4" s="101">
        <f t="shared" si="0"/>
        <v>3.1632358747720718E-2</v>
      </c>
      <c r="X4" s="101">
        <f t="shared" si="0"/>
        <v>3.1365136773884292E-2</v>
      </c>
      <c r="Y4" s="101">
        <f t="shared" si="0"/>
        <v>3.1573243305459617E-2</v>
      </c>
      <c r="Z4" s="101">
        <f t="shared" si="0"/>
        <v>3.1604409447032952E-2</v>
      </c>
      <c r="AA4" s="101">
        <f t="shared" si="0"/>
        <v>3.1543787068524398E-2</v>
      </c>
      <c r="AB4" s="101">
        <f t="shared" si="0"/>
        <v>3.1521644148725311E-2</v>
      </c>
      <c r="AC4" s="101">
        <f t="shared" si="0"/>
        <v>3.1560770992435566E-2</v>
      </c>
      <c r="AD4" s="101">
        <f t="shared" si="0"/>
        <v>3.1557652914179557E-2</v>
      </c>
      <c r="AE4" s="101">
        <f t="shared" si="0"/>
        <v>3.1545963780966205E-2</v>
      </c>
      <c r="AF4" s="101">
        <f t="shared" si="0"/>
        <v>3.154650795907666E-2</v>
      </c>
      <c r="AG4" s="101">
        <f t="shared" si="0"/>
        <v>3.1552723911664499E-2</v>
      </c>
      <c r="AH4" s="101">
        <f t="shared" si="0"/>
        <v>3.1550712141471732E-2</v>
      </c>
      <c r="AI4" s="101">
        <f t="shared" si="0"/>
        <v>3.1548976948294775E-2</v>
      </c>
      <c r="AJ4" s="101">
        <f t="shared" si="0"/>
        <v>3.1549730240126916E-2</v>
      </c>
      <c r="AK4" s="101">
        <f t="shared" si="0"/>
        <v>3.1550535810389482E-2</v>
      </c>
      <c r="AL4" s="101">
        <f t="shared" si="0"/>
        <v>3.1549988785070732E-2</v>
      </c>
      <c r="AM4" s="101">
        <f t="shared" si="0"/>
        <v>3.1549807945970482E-2</v>
      </c>
      <c r="AN4" s="101">
        <f t="shared" si="0"/>
        <v>3.15500156953894E-2</v>
      </c>
      <c r="AO4" s="101">
        <f t="shared" si="0"/>
        <v>3.155008705920502E-2</v>
      </c>
      <c r="AP4" s="101">
        <f t="shared" si="0"/>
        <v>3.1549974871408912E-2</v>
      </c>
      <c r="AQ4" s="101">
        <f t="shared" si="0"/>
        <v>3.1549971392993453E-2</v>
      </c>
      <c r="AR4" s="101">
        <f t="shared" si="0"/>
        <v>3.1550012254749196E-2</v>
      </c>
      <c r="AS4" s="101">
        <f t="shared" si="0"/>
        <v>3.1550011394589142E-2</v>
      </c>
      <c r="AT4" s="101">
        <f t="shared" si="0"/>
        <v>3.1549992478435179E-2</v>
      </c>
      <c r="AU4" s="101">
        <f t="shared" si="0"/>
        <v>3.1549996880191743E-2</v>
      </c>
      <c r="AV4" s="101">
        <f t="shared" si="0"/>
        <v>3.1550003251991317E-2</v>
      </c>
      <c r="AW4" s="101">
        <f t="shared" si="0"/>
        <v>3.1550001001301842E-2</v>
      </c>
      <c r="AX4" s="101">
        <f t="shared" si="0"/>
        <v>3.154999840298002E-2</v>
      </c>
      <c r="AY4" s="101">
        <f t="shared" si="0"/>
        <v>3.1549999884116234E-2</v>
      </c>
      <c r="AZ4" s="101">
        <f t="shared" si="0"/>
        <v>3.1550000635097351E-2</v>
      </c>
      <c r="BA4" s="101">
        <f t="shared" si="0"/>
        <v>3.1549999980873863E-2</v>
      </c>
      <c r="BB4" s="101">
        <f t="shared" si="0"/>
        <v>3.1549999725766872E-2</v>
      </c>
      <c r="BC4" s="101">
        <f t="shared" si="0"/>
        <v>3.1550000056463579E-2</v>
      </c>
      <c r="BD4" s="101">
        <f t="shared" si="0"/>
        <v>3.1550000099550418E-2</v>
      </c>
    </row>
    <row r="5" spans="1:56" x14ac:dyDescent="0.25">
      <c r="A5" s="89" t="s">
        <v>235</v>
      </c>
      <c r="B5" s="89" t="s">
        <v>387</v>
      </c>
      <c r="C5" s="89" t="s">
        <v>386</v>
      </c>
      <c r="D5" s="89" t="s">
        <v>385</v>
      </c>
      <c r="E5" s="100">
        <f>'BPS 2019'!P9/100</f>
        <v>5.5300000000000002E-2</v>
      </c>
      <c r="F5" s="100">
        <f>'BPS 2020'!F9/100</f>
        <v>4.1700000000000001E-2</v>
      </c>
      <c r="G5" s="100">
        <f>'BPS 2021'!F9/100</f>
        <v>5.3E-3</v>
      </c>
      <c r="H5" s="100">
        <f>'BPS 2022'!F9/100</f>
        <v>4.2199999999999994E-2</v>
      </c>
      <c r="I5" s="100">
        <f>'BPS 2023'!F9/100</f>
        <v>-3.2000000000000002E-3</v>
      </c>
      <c r="J5" s="100">
        <f>'BPS 2024'!F9/100</f>
        <v>8.6E-3</v>
      </c>
      <c r="K5" s="100">
        <f>'BPS 2025'!F9/100</f>
        <v>3.5699999999999996E-2</v>
      </c>
      <c r="L5" s="101">
        <f t="shared" si="1"/>
        <v>2.0824999999999996E-2</v>
      </c>
      <c r="M5" s="101">
        <f t="shared" si="0"/>
        <v>1.5481249999999998E-2</v>
      </c>
      <c r="N5" s="101">
        <f t="shared" si="0"/>
        <v>2.0151562499999998E-2</v>
      </c>
      <c r="O5" s="101">
        <f t="shared" si="0"/>
        <v>2.3039453124999998E-2</v>
      </c>
      <c r="P5" s="101">
        <f t="shared" si="0"/>
        <v>1.9874316406249998E-2</v>
      </c>
      <c r="Q5" s="101">
        <f t="shared" si="0"/>
        <v>1.9636645507812498E-2</v>
      </c>
      <c r="R5" s="101">
        <f t="shared" si="0"/>
        <v>2.0675494384765621E-2</v>
      </c>
      <c r="S5" s="101">
        <f t="shared" si="0"/>
        <v>2.0806477355957028E-2</v>
      </c>
      <c r="T5" s="101">
        <f t="shared" si="0"/>
        <v>2.0248233413696286E-2</v>
      </c>
      <c r="U5" s="101">
        <f t="shared" si="0"/>
        <v>2.034171266555786E-2</v>
      </c>
      <c r="V5" s="101">
        <f t="shared" si="0"/>
        <v>2.0517979454994197E-2</v>
      </c>
      <c r="W5" s="101">
        <f t="shared" si="0"/>
        <v>2.0478600722551345E-2</v>
      </c>
      <c r="X5" s="101">
        <f t="shared" si="0"/>
        <v>2.0396631564199921E-2</v>
      </c>
      <c r="Y5" s="101">
        <f t="shared" si="0"/>
        <v>2.0433731101825829E-2</v>
      </c>
      <c r="Z5" s="101">
        <f t="shared" si="0"/>
        <v>2.0456735710892821E-2</v>
      </c>
      <c r="AA5" s="101">
        <f t="shared" si="0"/>
        <v>2.0441424774867479E-2</v>
      </c>
      <c r="AB5" s="101">
        <f t="shared" si="0"/>
        <v>2.0432130787946513E-2</v>
      </c>
      <c r="AC5" s="101">
        <f t="shared" si="0"/>
        <v>2.0441005593883163E-2</v>
      </c>
      <c r="AD5" s="101">
        <f t="shared" si="0"/>
        <v>2.0442824216897491E-2</v>
      </c>
      <c r="AE5" s="101">
        <f t="shared" si="0"/>
        <v>2.0439346343398661E-2</v>
      </c>
      <c r="AF5" s="101">
        <f t="shared" si="0"/>
        <v>2.0438826735531455E-2</v>
      </c>
      <c r="AG5" s="101">
        <f t="shared" si="0"/>
        <v>2.0440500722427694E-2</v>
      </c>
      <c r="AH5" s="101">
        <f t="shared" si="0"/>
        <v>2.0440374504563825E-2</v>
      </c>
      <c r="AI5" s="101">
        <f t="shared" si="0"/>
        <v>2.0439762076480409E-2</v>
      </c>
      <c r="AJ5" s="101">
        <f t="shared" si="0"/>
        <v>2.0439866009750847E-2</v>
      </c>
      <c r="AK5" s="101">
        <f t="shared" si="0"/>
        <v>2.0440125828305691E-2</v>
      </c>
      <c r="AL5" s="101">
        <f t="shared" si="0"/>
        <v>2.0440032104775192E-2</v>
      </c>
      <c r="AM5" s="101">
        <f t="shared" si="0"/>
        <v>2.0439946504828034E-2</v>
      </c>
      <c r="AN5" s="101">
        <f t="shared" si="0"/>
        <v>2.0439992611914939E-2</v>
      </c>
      <c r="AO5" s="101">
        <f t="shared" si="0"/>
        <v>2.0440024262455964E-2</v>
      </c>
      <c r="AP5" s="101">
        <f t="shared" si="0"/>
        <v>2.0439998870993532E-2</v>
      </c>
      <c r="AQ5" s="101">
        <f t="shared" si="0"/>
        <v>2.0439990562548117E-2</v>
      </c>
      <c r="AR5" s="101">
        <f t="shared" si="0"/>
        <v>2.0440001576978138E-2</v>
      </c>
      <c r="AS5" s="101">
        <f t="shared" si="0"/>
        <v>2.0440003818243936E-2</v>
      </c>
      <c r="AT5" s="101">
        <f t="shared" si="0"/>
        <v>2.0439998707190932E-2</v>
      </c>
      <c r="AU5" s="101">
        <f t="shared" si="0"/>
        <v>2.0439998666240279E-2</v>
      </c>
      <c r="AV5" s="101">
        <f t="shared" si="0"/>
        <v>2.044000069216332E-2</v>
      </c>
      <c r="AW5" s="101">
        <f t="shared" si="0"/>
        <v>2.0440000470959618E-2</v>
      </c>
      <c r="AX5" s="101">
        <f t="shared" si="0"/>
        <v>2.0439999634138537E-2</v>
      </c>
      <c r="AY5" s="101">
        <f t="shared" si="0"/>
        <v>2.0439999865875438E-2</v>
      </c>
      <c r="AZ5" s="101">
        <f t="shared" si="0"/>
        <v>2.044000016578423E-2</v>
      </c>
      <c r="BA5" s="101">
        <f t="shared" si="0"/>
        <v>2.0440000034189457E-2</v>
      </c>
      <c r="BB5" s="101">
        <f t="shared" si="0"/>
        <v>2.0439999924996916E-2</v>
      </c>
      <c r="BC5" s="101">
        <f t="shared" si="0"/>
        <v>2.0439999997711511E-2</v>
      </c>
      <c r="BD5" s="101">
        <f t="shared" si="0"/>
        <v>2.0440000030670528E-2</v>
      </c>
    </row>
    <row r="6" spans="1:56" x14ac:dyDescent="0.25">
      <c r="A6" s="89" t="s">
        <v>235</v>
      </c>
      <c r="B6" s="89" t="s">
        <v>384</v>
      </c>
      <c r="C6" s="89" t="s">
        <v>383</v>
      </c>
      <c r="D6" s="89" t="s">
        <v>382</v>
      </c>
      <c r="E6" s="100">
        <f>'BPS 2019'!P10/100</f>
        <v>4.5599999999999995E-2</v>
      </c>
      <c r="F6" s="100">
        <f>'BPS 2020'!F10/100</f>
        <v>1.34E-2</v>
      </c>
      <c r="G6" s="100">
        <f>'BPS 2021'!F10/100</f>
        <v>3.5200000000000002E-2</v>
      </c>
      <c r="H6" s="100">
        <f>'BPS 2022'!F10/100</f>
        <v>1.6399999999999998E-2</v>
      </c>
      <c r="I6" s="100">
        <f>'BPS 2023'!F10/100</f>
        <v>1.72E-2</v>
      </c>
      <c r="J6" s="100">
        <f>'BPS 2024'!F10/100</f>
        <v>6.8000000000000005E-3</v>
      </c>
      <c r="K6" s="100">
        <f>'BPS 2025'!F10/100</f>
        <v>2.9500000000000002E-2</v>
      </c>
      <c r="L6" s="101">
        <f t="shared" si="1"/>
        <v>1.7475000000000001E-2</v>
      </c>
      <c r="M6" s="101">
        <f t="shared" si="0"/>
        <v>1.7743750000000003E-2</v>
      </c>
      <c r="N6" s="101">
        <f t="shared" si="0"/>
        <v>1.7879687500000001E-2</v>
      </c>
      <c r="O6" s="101">
        <f t="shared" si="0"/>
        <v>2.0649609375000003E-2</v>
      </c>
      <c r="P6" s="101">
        <f t="shared" si="0"/>
        <v>1.8437011718750004E-2</v>
      </c>
      <c r="Q6" s="101">
        <f t="shared" si="0"/>
        <v>1.8677514648437504E-2</v>
      </c>
      <c r="R6" s="101">
        <f t="shared" si="0"/>
        <v>1.891095581054688E-2</v>
      </c>
      <c r="S6" s="101">
        <f t="shared" si="0"/>
        <v>1.9168772888183597E-2</v>
      </c>
      <c r="T6" s="101">
        <f t="shared" si="0"/>
        <v>1.8798563766479495E-2</v>
      </c>
      <c r="U6" s="101">
        <f t="shared" si="0"/>
        <v>1.8888951778411871E-2</v>
      </c>
      <c r="V6" s="101">
        <f t="shared" si="0"/>
        <v>1.8941811060905461E-2</v>
      </c>
      <c r="W6" s="101">
        <f t="shared" si="0"/>
        <v>1.8949524873495105E-2</v>
      </c>
      <c r="X6" s="101">
        <f t="shared" si="0"/>
        <v>1.8894712869822982E-2</v>
      </c>
      <c r="Y6" s="101">
        <f t="shared" si="0"/>
        <v>1.8918750145658855E-2</v>
      </c>
      <c r="Z6" s="101">
        <f t="shared" si="0"/>
        <v>1.8926199737470603E-2</v>
      </c>
      <c r="AA6" s="101">
        <f t="shared" si="0"/>
        <v>1.8922296906611888E-2</v>
      </c>
      <c r="AB6" s="101">
        <f t="shared" si="0"/>
        <v>1.891548991489108E-2</v>
      </c>
      <c r="AC6" s="101">
        <f t="shared" si="0"/>
        <v>1.8920684176158109E-2</v>
      </c>
      <c r="AD6" s="101">
        <f t="shared" si="0"/>
        <v>1.8921167683782922E-2</v>
      </c>
      <c r="AE6" s="101">
        <f t="shared" si="0"/>
        <v>1.8919909670361001E-2</v>
      </c>
      <c r="AF6" s="101">
        <f t="shared" si="0"/>
        <v>1.8919312861298276E-2</v>
      </c>
      <c r="AG6" s="101">
        <f t="shared" si="0"/>
        <v>1.8920268597900077E-2</v>
      </c>
      <c r="AH6" s="101">
        <f t="shared" si="0"/>
        <v>1.892016470333557E-2</v>
      </c>
      <c r="AI6" s="101">
        <f t="shared" si="0"/>
        <v>1.8919913958223733E-2</v>
      </c>
      <c r="AJ6" s="101">
        <f t="shared" si="0"/>
        <v>1.8919915030189416E-2</v>
      </c>
      <c r="AK6" s="101">
        <f t="shared" si="0"/>
        <v>1.8920065572412201E-2</v>
      </c>
      <c r="AL6" s="101">
        <f t="shared" si="0"/>
        <v>1.8920014816040231E-2</v>
      </c>
      <c r="AM6" s="101">
        <f t="shared" si="0"/>
        <v>1.8919977344216396E-2</v>
      </c>
      <c r="AN6" s="101">
        <f t="shared" si="0"/>
        <v>1.8919993190714562E-2</v>
      </c>
      <c r="AO6" s="101">
        <f t="shared" si="0"/>
        <v>1.8920012730845849E-2</v>
      </c>
      <c r="AP6" s="101">
        <f t="shared" si="0"/>
        <v>1.8919999520454263E-2</v>
      </c>
      <c r="AQ6" s="101">
        <f t="shared" si="0"/>
        <v>1.8919995696557768E-2</v>
      </c>
      <c r="AR6" s="101">
        <f t="shared" si="0"/>
        <v>1.892000028464311E-2</v>
      </c>
      <c r="AS6" s="101">
        <f t="shared" si="0"/>
        <v>1.8920002058125246E-2</v>
      </c>
      <c r="AT6" s="101">
        <f t="shared" si="0"/>
        <v>1.8919999389945097E-2</v>
      </c>
      <c r="AU6" s="101">
        <f t="shared" si="0"/>
        <v>1.8919999357317807E-2</v>
      </c>
      <c r="AV6" s="101">
        <f t="shared" si="0"/>
        <v>1.8920000272507814E-2</v>
      </c>
      <c r="AW6" s="101">
        <f t="shared" si="0"/>
        <v>1.8920000269473991E-2</v>
      </c>
      <c r="AX6" s="101">
        <f t="shared" si="0"/>
        <v>1.8919999822311177E-2</v>
      </c>
      <c r="AY6" s="101">
        <f t="shared" si="0"/>
        <v>1.8919999930402699E-2</v>
      </c>
      <c r="AZ6" s="101">
        <f t="shared" si="0"/>
        <v>1.892000007367392E-2</v>
      </c>
      <c r="BA6" s="101">
        <f t="shared" si="0"/>
        <v>1.8920000023965447E-2</v>
      </c>
      <c r="BB6" s="101">
        <f t="shared" si="0"/>
        <v>1.8919999962588311E-2</v>
      </c>
      <c r="BC6" s="101">
        <f t="shared" si="0"/>
        <v>1.8919999997657595E-2</v>
      </c>
      <c r="BD6" s="101">
        <f t="shared" si="0"/>
        <v>1.8920000014471319E-2</v>
      </c>
    </row>
    <row r="7" spans="1:56" x14ac:dyDescent="0.25">
      <c r="A7" s="89" t="s">
        <v>235</v>
      </c>
      <c r="B7" s="89" t="s">
        <v>381</v>
      </c>
      <c r="C7" s="89" t="s">
        <v>380</v>
      </c>
      <c r="D7" s="89" t="s">
        <v>379</v>
      </c>
      <c r="E7" s="100">
        <f>'BPS 2019'!P11/100</f>
        <v>7.7800000000000008E-2</v>
      </c>
      <c r="F7" s="100">
        <f>'BPS 2020'!F11/100</f>
        <v>-3.0999999999999999E-3</v>
      </c>
      <c r="G7" s="100">
        <f>'BPS 2021'!F11/100</f>
        <v>3.2000000000000002E-3</v>
      </c>
      <c r="H7" s="100">
        <f>'BPS 2022'!F11/100</f>
        <v>6.2400000000000004E-2</v>
      </c>
      <c r="I7" s="100">
        <f>'BPS 2023'!F11/100</f>
        <v>3.7100000000000001E-2</v>
      </c>
      <c r="J7" s="100">
        <f>'BPS 2024'!F11/100</f>
        <v>2.7799999999999998E-2</v>
      </c>
      <c r="K7" s="100">
        <f>'BPS 2025'!F11/100</f>
        <v>7.7800000000000008E-2</v>
      </c>
      <c r="L7" s="101">
        <f t="shared" si="1"/>
        <v>5.1275000000000001E-2</v>
      </c>
      <c r="M7" s="101">
        <f t="shared" si="0"/>
        <v>4.8493750000000002E-2</v>
      </c>
      <c r="N7" s="101">
        <f t="shared" si="0"/>
        <v>5.1342187499999997E-2</v>
      </c>
      <c r="O7" s="101">
        <f t="shared" si="0"/>
        <v>5.7227734374999999E-2</v>
      </c>
      <c r="P7" s="101">
        <f t="shared" si="0"/>
        <v>5.2084667968749998E-2</v>
      </c>
      <c r="Q7" s="101">
        <f t="shared" si="0"/>
        <v>5.2287084960937501E-2</v>
      </c>
      <c r="R7" s="101">
        <f t="shared" si="0"/>
        <v>5.3235418701171877E-2</v>
      </c>
      <c r="S7" s="101">
        <f t="shared" si="0"/>
        <v>5.3708726501464847E-2</v>
      </c>
      <c r="T7" s="101">
        <f t="shared" si="0"/>
        <v>5.2828974533081059E-2</v>
      </c>
      <c r="U7" s="101">
        <f t="shared" si="0"/>
        <v>5.3015051174163823E-2</v>
      </c>
      <c r="V7" s="101">
        <f t="shared" si="0"/>
        <v>5.3197042727470403E-2</v>
      </c>
      <c r="W7" s="101">
        <f t="shared" si="0"/>
        <v>5.3187448734045031E-2</v>
      </c>
      <c r="X7" s="101">
        <f t="shared" si="0"/>
        <v>5.3057129292190072E-2</v>
      </c>
      <c r="Y7" s="101">
        <f t="shared" si="0"/>
        <v>5.3114167981967331E-2</v>
      </c>
      <c r="Z7" s="101">
        <f t="shared" si="0"/>
        <v>5.3138947183918206E-2</v>
      </c>
      <c r="AA7" s="101">
        <f t="shared" si="0"/>
        <v>5.312442329803016E-2</v>
      </c>
      <c r="AB7" s="101">
        <f t="shared" si="0"/>
        <v>5.3108666939026446E-2</v>
      </c>
      <c r="AC7" s="101">
        <f t="shared" si="0"/>
        <v>5.3121551350735534E-2</v>
      </c>
      <c r="AD7" s="101">
        <f t="shared" si="0"/>
        <v>5.3123397192927586E-2</v>
      </c>
      <c r="AE7" s="101">
        <f t="shared" si="0"/>
        <v>5.311950969517993E-2</v>
      </c>
      <c r="AF7" s="101">
        <f t="shared" si="0"/>
        <v>5.311828129446737E-2</v>
      </c>
      <c r="AG7" s="101">
        <f t="shared" si="0"/>
        <v>5.3120684883327607E-2</v>
      </c>
      <c r="AH7" s="101">
        <f t="shared" si="0"/>
        <v>5.3120468266475623E-2</v>
      </c>
      <c r="AI7" s="101">
        <f t="shared" si="0"/>
        <v>5.3119736034862634E-2</v>
      </c>
      <c r="AJ7" s="101">
        <f t="shared" si="0"/>
        <v>5.3119792619783307E-2</v>
      </c>
      <c r="AK7" s="101">
        <f t="shared" si="0"/>
        <v>5.3120170451112295E-2</v>
      </c>
      <c r="AL7" s="101">
        <f t="shared" si="0"/>
        <v>5.3120041843058463E-2</v>
      </c>
      <c r="AM7" s="101">
        <f t="shared" si="0"/>
        <v>5.311993523720418E-2</v>
      </c>
      <c r="AN7" s="101">
        <f t="shared" si="0"/>
        <v>5.3119985037789565E-2</v>
      </c>
      <c r="AO7" s="101">
        <f t="shared" si="0"/>
        <v>5.3120033142291127E-2</v>
      </c>
      <c r="AP7" s="101">
        <f t="shared" si="0"/>
        <v>5.3119998815085834E-2</v>
      </c>
      <c r="AQ7" s="101">
        <f t="shared" si="0"/>
        <v>5.3119988058092676E-2</v>
      </c>
      <c r="AR7" s="101">
        <f t="shared" si="0"/>
        <v>5.3120001263314801E-2</v>
      </c>
      <c r="AS7" s="101">
        <f t="shared" si="0"/>
        <v>5.3120005319696115E-2</v>
      </c>
      <c r="AT7" s="101">
        <f t="shared" si="0"/>
        <v>5.3119998364047363E-2</v>
      </c>
      <c r="AU7" s="101">
        <f t="shared" si="0"/>
        <v>5.3119998251287742E-2</v>
      </c>
      <c r="AV7" s="101">
        <f t="shared" ref="AV7:AV67" si="2">AVERAGE(AR7:AU7)</f>
        <v>5.3120000799586502E-2</v>
      </c>
      <c r="AW7" s="101">
        <f t="shared" ref="AW7:AW67" si="3">AVERAGE(AS7:AV7)</f>
        <v>5.3120000683654432E-2</v>
      </c>
      <c r="AX7" s="101">
        <f t="shared" ref="AX7:AX67" si="4">AVERAGE(AT7:AW7)</f>
        <v>5.311999952464401E-2</v>
      </c>
      <c r="AY7" s="101">
        <f t="shared" ref="AY7:AY67" si="5">AVERAGE(AU7:AX7)</f>
        <v>5.3119999814793178E-2</v>
      </c>
      <c r="AZ7" s="101">
        <f t="shared" ref="AZ7:AZ67" si="6">AVERAGE(AV7:AY7)</f>
        <v>5.3120000205669531E-2</v>
      </c>
      <c r="BA7" s="101">
        <f t="shared" ref="BA7:BA67" si="7">AVERAGE(AW7:AZ7)</f>
        <v>5.3120000057190288E-2</v>
      </c>
      <c r="BB7" s="101">
        <f t="shared" ref="BB7:BB67" si="8">AVERAGE(AX7:BA7)</f>
        <v>5.3119999900574248E-2</v>
      </c>
      <c r="BC7" s="101">
        <f t="shared" ref="BC7:BC67" si="9">AVERAGE(AY7:BB7)</f>
        <v>5.3119999994556813E-2</v>
      </c>
      <c r="BD7" s="101">
        <f t="shared" ref="BD7:BD67" si="10">AVERAGE(AZ7:BC7)</f>
        <v>5.3120000039497725E-2</v>
      </c>
    </row>
    <row r="8" spans="1:56" x14ac:dyDescent="0.25">
      <c r="A8" s="89" t="s">
        <v>235</v>
      </c>
      <c r="B8" s="89" t="s">
        <v>378</v>
      </c>
      <c r="C8" s="89" t="s">
        <v>377</v>
      </c>
      <c r="D8" s="89" t="s">
        <v>376</v>
      </c>
      <c r="E8" s="100">
        <f>'BPS 2019'!P12/100</f>
        <v>3.1699999999999999E-2</v>
      </c>
      <c r="F8" s="100">
        <f>'BPS 2020'!F12/100</f>
        <v>1.6500000000000001E-2</v>
      </c>
      <c r="G8" s="100">
        <f>'BPS 2021'!F12/100</f>
        <v>1.43E-2</v>
      </c>
      <c r="H8" s="100">
        <f>'BPS 2022'!F12/100</f>
        <v>2.6499999999999999E-2</v>
      </c>
      <c r="I8" s="100">
        <f>'BPS 2023'!F12/100</f>
        <v>1.7000000000000001E-3</v>
      </c>
      <c r="J8" s="100">
        <f>'BPS 2024'!F12/100</f>
        <v>8.6999999999999994E-3</v>
      </c>
      <c r="K8" s="100">
        <f>'BPS 2025'!F12/100</f>
        <v>6.13E-2</v>
      </c>
      <c r="L8" s="101">
        <f t="shared" si="1"/>
        <v>2.4550000000000002E-2</v>
      </c>
      <c r="M8" s="101">
        <f t="shared" ref="M8:M67" si="11">AVERAGE(I8:L8)</f>
        <v>2.4062500000000001E-2</v>
      </c>
      <c r="N8" s="101">
        <f t="shared" ref="N8:N67" si="12">AVERAGE(J8:M8)</f>
        <v>2.9653125000000002E-2</v>
      </c>
      <c r="O8" s="101">
        <f t="shared" ref="O8:O67" si="13">AVERAGE(K8:N8)</f>
        <v>3.4891406250000007E-2</v>
      </c>
      <c r="P8" s="101">
        <f t="shared" ref="P8:P67" si="14">AVERAGE(L8:O8)</f>
        <v>2.8289257812500003E-2</v>
      </c>
      <c r="Q8" s="101">
        <f t="shared" ref="Q8:Q67" si="15">AVERAGE(M8:P8)</f>
        <v>2.9224072265625005E-2</v>
      </c>
      <c r="R8" s="101">
        <f t="shared" ref="R8:R67" si="16">AVERAGE(N8:Q8)</f>
        <v>3.0514465332031254E-2</v>
      </c>
      <c r="S8" s="101">
        <f t="shared" ref="S8:S67" si="17">AVERAGE(O8:R8)</f>
        <v>3.0729800415039067E-2</v>
      </c>
      <c r="T8" s="101">
        <f t="shared" ref="T8:T67" si="18">AVERAGE(P8:S8)</f>
        <v>2.9689398956298831E-2</v>
      </c>
      <c r="U8" s="101">
        <f t="shared" ref="U8:U67" si="19">AVERAGE(Q8:T8)</f>
        <v>3.0039434242248537E-2</v>
      </c>
      <c r="V8" s="101">
        <f t="shared" ref="V8:V67" si="20">AVERAGE(R8:U8)</f>
        <v>3.0243274736404424E-2</v>
      </c>
      <c r="W8" s="101">
        <f t="shared" ref="W8:W67" si="21">AVERAGE(S8:V8)</f>
        <v>3.0175477087497717E-2</v>
      </c>
      <c r="X8" s="101">
        <f t="shared" ref="X8:X67" si="22">AVERAGE(T8:W8)</f>
        <v>3.0036896255612379E-2</v>
      </c>
      <c r="Y8" s="101">
        <f t="shared" ref="Y8:Y67" si="23">AVERAGE(U8:X8)</f>
        <v>3.0123770580440766E-2</v>
      </c>
      <c r="Z8" s="101">
        <f t="shared" ref="Z8:Z67" si="24">AVERAGE(V8:Y8)</f>
        <v>3.014485466498882E-2</v>
      </c>
      <c r="AA8" s="101">
        <f t="shared" ref="AA8:AA67" si="25">AVERAGE(W8:Z8)</f>
        <v>3.0120249647134917E-2</v>
      </c>
      <c r="AB8" s="101">
        <f t="shared" ref="AB8:AB67" si="26">AVERAGE(X8:AA8)</f>
        <v>3.0106442787044219E-2</v>
      </c>
      <c r="AC8" s="101">
        <f t="shared" ref="AC8:AC67" si="27">AVERAGE(Y8:AB8)</f>
        <v>3.012382941990218E-2</v>
      </c>
      <c r="AD8" s="101">
        <f t="shared" ref="AD8:AD67" si="28">AVERAGE(Z8:AC8)</f>
        <v>3.0123844129767534E-2</v>
      </c>
      <c r="AE8" s="101">
        <f t="shared" ref="AE8:AE67" si="29">AVERAGE(AA8:AD8)</f>
        <v>3.0118591495962216E-2</v>
      </c>
      <c r="AF8" s="101">
        <f t="shared" ref="AF8:AF67" si="30">AVERAGE(AB8:AE8)</f>
        <v>3.0118176958169037E-2</v>
      </c>
      <c r="AG8" s="101">
        <f t="shared" ref="AG8:AG67" si="31">AVERAGE(AC8:AF8)</f>
        <v>3.0121110500950243E-2</v>
      </c>
      <c r="AH8" s="101">
        <f t="shared" ref="AH8:AH67" si="32">AVERAGE(AD8:AG8)</f>
        <v>3.0120430771212257E-2</v>
      </c>
      <c r="AI8" s="101">
        <f t="shared" ref="AI8:AI67" si="33">AVERAGE(AE8:AH8)</f>
        <v>3.0119577431573438E-2</v>
      </c>
      <c r="AJ8" s="101">
        <f t="shared" ref="AJ8:AJ67" si="34">AVERAGE(AF8:AI8)</f>
        <v>3.0119823915476244E-2</v>
      </c>
      <c r="AK8" s="101">
        <f t="shared" ref="AK8:AK67" si="35">AVERAGE(AG8:AJ8)</f>
        <v>3.0120235654803044E-2</v>
      </c>
      <c r="AL8" s="101">
        <f t="shared" ref="AL8:AL67" si="36">AVERAGE(AH8:AK8)</f>
        <v>3.0120016943266246E-2</v>
      </c>
      <c r="AM8" s="101">
        <f t="shared" ref="AM8:AM67" si="37">AVERAGE(AI8:AL8)</f>
        <v>3.011991348627974E-2</v>
      </c>
      <c r="AN8" s="101">
        <f t="shared" ref="AN8:AN67" si="38">AVERAGE(AJ8:AM8)</f>
        <v>3.0119997499956318E-2</v>
      </c>
      <c r="AO8" s="101">
        <f t="shared" ref="AO8:AO67" si="39">AVERAGE(AK8:AN8)</f>
        <v>3.0120040896076339E-2</v>
      </c>
      <c r="AP8" s="101">
        <f t="shared" ref="AP8:AP67" si="40">AVERAGE(AL8:AO8)</f>
        <v>3.011999220639466E-2</v>
      </c>
      <c r="AQ8" s="101">
        <f t="shared" ref="AQ8:AQ67" si="41">AVERAGE(AM8:AP8)</f>
        <v>3.0119986022176765E-2</v>
      </c>
      <c r="AR8" s="101">
        <f t="shared" ref="AR8:AR67" si="42">AVERAGE(AN8:AQ8)</f>
        <v>3.0120004156151022E-2</v>
      </c>
      <c r="AS8" s="101">
        <f t="shared" ref="AS8:AS67" si="43">AVERAGE(AO8:AR8)</f>
        <v>3.0120005820199698E-2</v>
      </c>
      <c r="AT8" s="101">
        <f t="shared" ref="AT8:AT67" si="44">AVERAGE(AP8:AS8)</f>
        <v>3.0119997051230536E-2</v>
      </c>
      <c r="AU8" s="101">
        <f t="shared" ref="AU8:AU67" si="45">AVERAGE(AQ8:AT8)</f>
        <v>3.0119998262439503E-2</v>
      </c>
      <c r="AV8" s="101">
        <f t="shared" si="2"/>
        <v>3.012000132250519E-2</v>
      </c>
      <c r="AW8" s="101">
        <f t="shared" si="3"/>
        <v>3.0120000614093735E-2</v>
      </c>
      <c r="AX8" s="101">
        <f t="shared" si="4"/>
        <v>3.0119999312567237E-2</v>
      </c>
      <c r="AY8" s="101">
        <f t="shared" si="5"/>
        <v>3.0119999877901413E-2</v>
      </c>
      <c r="AZ8" s="101">
        <f t="shared" si="6"/>
        <v>3.0120000281766892E-2</v>
      </c>
      <c r="BA8" s="101">
        <f t="shared" si="7"/>
        <v>3.012000002158232E-2</v>
      </c>
      <c r="BB8" s="101">
        <f t="shared" si="8"/>
        <v>3.0119999873454463E-2</v>
      </c>
      <c r="BC8" s="101">
        <f t="shared" si="9"/>
        <v>3.0120000013676269E-2</v>
      </c>
      <c r="BD8" s="101">
        <f t="shared" si="10"/>
        <v>3.0120000047619985E-2</v>
      </c>
    </row>
    <row r="9" spans="1:56" x14ac:dyDescent="0.25">
      <c r="A9" s="89" t="s">
        <v>235</v>
      </c>
      <c r="B9" s="89" t="s">
        <v>375</v>
      </c>
      <c r="C9" s="89" t="s">
        <v>374</v>
      </c>
      <c r="D9" s="89" t="s">
        <v>373</v>
      </c>
      <c r="E9" s="100">
        <f>'BPS 2019'!P13/100</f>
        <v>3.7000000000000002E-3</v>
      </c>
      <c r="F9" s="100">
        <f>'BPS 2020'!F13/100</f>
        <v>-2.9999999999999997E-4</v>
      </c>
      <c r="G9" s="100">
        <f>'BPS 2021'!F13/100</f>
        <v>7.000000000000001E-4</v>
      </c>
      <c r="H9" s="100">
        <f>'BPS 2022'!F13/100</f>
        <v>-1.26E-2</v>
      </c>
      <c r="I9" s="100">
        <f>'BPS 2023'!F13/100</f>
        <v>2.6099999999999998E-2</v>
      </c>
      <c r="J9" s="100">
        <f>'BPS 2024'!F13/100</f>
        <v>-2.06E-2</v>
      </c>
      <c r="K9" s="100">
        <f>'BPS 2025'!F13/100</f>
        <v>-2.8999999999999998E-3</v>
      </c>
      <c r="L9" s="101">
        <f t="shared" si="1"/>
        <v>-2.5000000000000005E-3</v>
      </c>
      <c r="M9" s="101">
        <f t="shared" si="11"/>
        <v>2.4999999999999415E-5</v>
      </c>
      <c r="N9" s="101">
        <f t="shared" si="12"/>
        <v>-6.4937500000000004E-3</v>
      </c>
      <c r="O9" s="101">
        <f t="shared" si="13"/>
        <v>-2.9671875000000002E-3</v>
      </c>
      <c r="P9" s="101">
        <f t="shared" si="14"/>
        <v>-2.9839843750000001E-3</v>
      </c>
      <c r="Q9" s="101">
        <f t="shared" si="15"/>
        <v>-3.1049804687500004E-3</v>
      </c>
      <c r="R9" s="101">
        <f t="shared" si="16"/>
        <v>-3.8874755859375004E-3</v>
      </c>
      <c r="S9" s="101">
        <f t="shared" si="17"/>
        <v>-3.235906982421875E-3</v>
      </c>
      <c r="T9" s="101">
        <f t="shared" si="18"/>
        <v>-3.3030868530273439E-3</v>
      </c>
      <c r="U9" s="101">
        <f t="shared" si="19"/>
        <v>-3.3828624725341797E-3</v>
      </c>
      <c r="V9" s="101">
        <f t="shared" si="20"/>
        <v>-3.452332973480225E-3</v>
      </c>
      <c r="W9" s="101">
        <f t="shared" si="21"/>
        <v>-3.3435473203659062E-3</v>
      </c>
      <c r="X9" s="101">
        <f t="shared" si="22"/>
        <v>-3.3704574048519136E-3</v>
      </c>
      <c r="Y9" s="101">
        <f t="shared" si="23"/>
        <v>-3.3873000428080559E-3</v>
      </c>
      <c r="Z9" s="101">
        <f t="shared" si="24"/>
        <v>-3.388409435376525E-3</v>
      </c>
      <c r="AA9" s="101">
        <f t="shared" si="25"/>
        <v>-3.3724285508506002E-3</v>
      </c>
      <c r="AB9" s="101">
        <f t="shared" si="26"/>
        <v>-3.3796488584717736E-3</v>
      </c>
      <c r="AC9" s="101">
        <f t="shared" si="27"/>
        <v>-3.3819467218767388E-3</v>
      </c>
      <c r="AD9" s="101">
        <f t="shared" si="28"/>
        <v>-3.3806083916439094E-3</v>
      </c>
      <c r="AE9" s="101">
        <f t="shared" si="29"/>
        <v>-3.3786581307107552E-3</v>
      </c>
      <c r="AF9" s="101">
        <f t="shared" si="30"/>
        <v>-3.3802155256757943E-3</v>
      </c>
      <c r="AG9" s="101">
        <f t="shared" si="31"/>
        <v>-3.3803571924767989E-3</v>
      </c>
      <c r="AH9" s="101">
        <f t="shared" si="32"/>
        <v>-3.3799598101268147E-3</v>
      </c>
      <c r="AI9" s="101">
        <f t="shared" si="33"/>
        <v>-3.3797976647475408E-3</v>
      </c>
      <c r="AJ9" s="101">
        <f t="shared" si="34"/>
        <v>-3.3800825482567368E-3</v>
      </c>
      <c r="AK9" s="101">
        <f t="shared" si="35"/>
        <v>-3.3800493039019726E-3</v>
      </c>
      <c r="AL9" s="101">
        <f t="shared" si="36"/>
        <v>-3.379972331758266E-3</v>
      </c>
      <c r="AM9" s="101">
        <f t="shared" si="37"/>
        <v>-3.3799754621661286E-3</v>
      </c>
      <c r="AN9" s="101">
        <f t="shared" si="38"/>
        <v>-3.3800199115207761E-3</v>
      </c>
      <c r="AO9" s="101">
        <f t="shared" si="39"/>
        <v>-3.3800042523367858E-3</v>
      </c>
      <c r="AP9" s="101">
        <f t="shared" si="40"/>
        <v>-3.3799929894454891E-3</v>
      </c>
      <c r="AQ9" s="101">
        <f t="shared" si="41"/>
        <v>-3.3799981538672952E-3</v>
      </c>
      <c r="AR9" s="101">
        <f t="shared" si="42"/>
        <v>-3.380003826792587E-3</v>
      </c>
      <c r="AS9" s="101">
        <f t="shared" si="43"/>
        <v>-3.3799998056105395E-3</v>
      </c>
      <c r="AT9" s="101">
        <f t="shared" si="44"/>
        <v>-3.3799986939289776E-3</v>
      </c>
      <c r="AU9" s="101">
        <f t="shared" si="45"/>
        <v>-3.3800001200498496E-3</v>
      </c>
      <c r="AV9" s="101">
        <f t="shared" si="2"/>
        <v>-3.3800006115954884E-3</v>
      </c>
      <c r="AW9" s="101">
        <f t="shared" si="3"/>
        <v>-3.3799998077962139E-3</v>
      </c>
      <c r="AX9" s="101">
        <f t="shared" si="4"/>
        <v>-3.3799998083426323E-3</v>
      </c>
      <c r="AY9" s="101">
        <f t="shared" si="5"/>
        <v>-3.380000086946046E-3</v>
      </c>
      <c r="AZ9" s="101">
        <f t="shared" si="6"/>
        <v>-3.3800000786700949E-3</v>
      </c>
      <c r="BA9" s="101">
        <f t="shared" si="7"/>
        <v>-3.3799999454387471E-3</v>
      </c>
      <c r="BB9" s="101">
        <f t="shared" si="8"/>
        <v>-3.3799999798493803E-3</v>
      </c>
      <c r="BC9" s="101">
        <f t="shared" si="9"/>
        <v>-3.3800000227260669E-3</v>
      </c>
      <c r="BD9" s="101">
        <f t="shared" si="10"/>
        <v>-3.3800000066710723E-3</v>
      </c>
    </row>
    <row r="10" spans="1:56" x14ac:dyDescent="0.25">
      <c r="A10" s="89" t="s">
        <v>235</v>
      </c>
      <c r="B10" s="89" t="s">
        <v>372</v>
      </c>
      <c r="C10" s="89" t="s">
        <v>371</v>
      </c>
      <c r="D10" s="89" t="s">
        <v>370</v>
      </c>
      <c r="E10" s="100">
        <f>'BPS 2019'!P14/100</f>
        <v>5.7300000000000004E-2</v>
      </c>
      <c r="F10" s="100">
        <f>'BPS 2020'!F14/100</f>
        <v>7.3000000000000001E-3</v>
      </c>
      <c r="G10" s="100">
        <f>'BPS 2021'!F14/100</f>
        <v>5.45E-2</v>
      </c>
      <c r="H10" s="100">
        <f>'BPS 2022'!F14/100</f>
        <v>2.7900000000000001E-2</v>
      </c>
      <c r="I10" s="100">
        <f>'BPS 2023'!F14/100</f>
        <v>5.4900000000000004E-2</v>
      </c>
      <c r="J10" s="100">
        <f>'BPS 2024'!F14/100</f>
        <v>6.8000000000000005E-3</v>
      </c>
      <c r="K10" s="100">
        <f>'BPS 2025'!F14/100</f>
        <v>4.9500000000000002E-2</v>
      </c>
      <c r="L10" s="101">
        <f t="shared" si="1"/>
        <v>3.4775E-2</v>
      </c>
      <c r="M10" s="101">
        <f t="shared" si="11"/>
        <v>3.6493750000000005E-2</v>
      </c>
      <c r="N10" s="101">
        <f t="shared" si="12"/>
        <v>3.1892187500000002E-2</v>
      </c>
      <c r="O10" s="101">
        <f t="shared" si="13"/>
        <v>3.8165234375000003E-2</v>
      </c>
      <c r="P10" s="101">
        <f t="shared" si="14"/>
        <v>3.5331542968750004E-2</v>
      </c>
      <c r="Q10" s="101">
        <f t="shared" si="15"/>
        <v>3.5470678710937509E-2</v>
      </c>
      <c r="R10" s="101">
        <f t="shared" si="16"/>
        <v>3.5214910888671874E-2</v>
      </c>
      <c r="S10" s="101">
        <f t="shared" si="17"/>
        <v>3.6045591735839849E-2</v>
      </c>
      <c r="T10" s="101">
        <f t="shared" si="18"/>
        <v>3.5515681076049813E-2</v>
      </c>
      <c r="U10" s="101">
        <f t="shared" si="19"/>
        <v>3.5561715602874758E-2</v>
      </c>
      <c r="V10" s="101">
        <f t="shared" si="20"/>
        <v>3.5584474825859073E-2</v>
      </c>
      <c r="W10" s="101">
        <f t="shared" si="21"/>
        <v>3.5676865810155875E-2</v>
      </c>
      <c r="X10" s="101">
        <f t="shared" si="22"/>
        <v>3.5584684328734878E-2</v>
      </c>
      <c r="Y10" s="101">
        <f t="shared" si="23"/>
        <v>3.5601935141906141E-2</v>
      </c>
      <c r="Z10" s="101">
        <f t="shared" si="24"/>
        <v>3.5611990026663987E-2</v>
      </c>
      <c r="AA10" s="101">
        <f t="shared" si="25"/>
        <v>3.561886882686522E-2</v>
      </c>
      <c r="AB10" s="101">
        <f t="shared" si="26"/>
        <v>3.5604369581042558E-2</v>
      </c>
      <c r="AC10" s="101">
        <f t="shared" si="27"/>
        <v>3.5609290894119475E-2</v>
      </c>
      <c r="AD10" s="101">
        <f t="shared" si="28"/>
        <v>3.5611129832172808E-2</v>
      </c>
      <c r="AE10" s="101">
        <f t="shared" si="29"/>
        <v>3.5610914783550017E-2</v>
      </c>
      <c r="AF10" s="101">
        <f t="shared" si="30"/>
        <v>3.5608926272721213E-2</v>
      </c>
      <c r="AG10" s="101">
        <f t="shared" si="31"/>
        <v>3.5610065445640882E-2</v>
      </c>
      <c r="AH10" s="101">
        <f t="shared" si="32"/>
        <v>3.561025908352123E-2</v>
      </c>
      <c r="AI10" s="101">
        <f t="shared" si="33"/>
        <v>3.5610041396358337E-2</v>
      </c>
      <c r="AJ10" s="101">
        <f t="shared" si="34"/>
        <v>3.5609823049560417E-2</v>
      </c>
      <c r="AK10" s="101">
        <f t="shared" si="35"/>
        <v>3.5610047243770218E-2</v>
      </c>
      <c r="AL10" s="101">
        <f t="shared" si="36"/>
        <v>3.5610042693302549E-2</v>
      </c>
      <c r="AM10" s="101">
        <f t="shared" si="37"/>
        <v>3.5609988595747877E-2</v>
      </c>
      <c r="AN10" s="101">
        <f t="shared" si="38"/>
        <v>3.5609975395595267E-2</v>
      </c>
      <c r="AO10" s="101">
        <f t="shared" si="39"/>
        <v>3.5610013482103978E-2</v>
      </c>
      <c r="AP10" s="101">
        <f t="shared" si="40"/>
        <v>3.5610005041687418E-2</v>
      </c>
      <c r="AQ10" s="101">
        <f t="shared" si="41"/>
        <v>3.5609995628783635E-2</v>
      </c>
      <c r="AR10" s="101">
        <f t="shared" si="42"/>
        <v>3.5609997387042576E-2</v>
      </c>
      <c r="AS10" s="101">
        <f t="shared" si="43"/>
        <v>3.5610002884904401E-2</v>
      </c>
      <c r="AT10" s="101">
        <f t="shared" si="44"/>
        <v>3.5610000235604504E-2</v>
      </c>
      <c r="AU10" s="101">
        <f t="shared" si="45"/>
        <v>3.5609999034083781E-2</v>
      </c>
      <c r="AV10" s="101">
        <f t="shared" si="2"/>
        <v>3.5609999885408819E-2</v>
      </c>
      <c r="AW10" s="101">
        <f t="shared" si="3"/>
        <v>3.5610000510000378E-2</v>
      </c>
      <c r="AX10" s="101">
        <f t="shared" si="4"/>
        <v>3.5609999916274365E-2</v>
      </c>
      <c r="AY10" s="101">
        <f t="shared" si="5"/>
        <v>3.5609999836441836E-2</v>
      </c>
      <c r="AZ10" s="101">
        <f t="shared" si="6"/>
        <v>3.5610000037031353E-2</v>
      </c>
      <c r="BA10" s="101">
        <f t="shared" si="7"/>
        <v>3.5610000074936983E-2</v>
      </c>
      <c r="BB10" s="101">
        <f t="shared" si="8"/>
        <v>3.5609999966171133E-2</v>
      </c>
      <c r="BC10" s="101">
        <f t="shared" si="9"/>
        <v>3.5609999978645321E-2</v>
      </c>
      <c r="BD10" s="101">
        <f t="shared" si="10"/>
        <v>3.5610000014196196E-2</v>
      </c>
    </row>
    <row r="11" spans="1:56" s="91" customFormat="1" x14ac:dyDescent="0.25">
      <c r="A11" s="91" t="s">
        <v>189</v>
      </c>
      <c r="B11" s="91" t="s">
        <v>369</v>
      </c>
      <c r="C11" s="91" t="s">
        <v>368</v>
      </c>
      <c r="D11" s="91" t="s">
        <v>189</v>
      </c>
      <c r="E11" s="99">
        <f>'BPS 2019'!P15/100</f>
        <v>1.2199999999999999E-2</v>
      </c>
      <c r="F11" s="99">
        <f>'BPS 2020'!F15/100</f>
        <v>-1.95E-2</v>
      </c>
      <c r="G11" s="99">
        <f>'BPS 2021'!F15/100</f>
        <v>0.04</v>
      </c>
      <c r="H11" s="99">
        <f>'BPS 2022'!F15/100</f>
        <v>4.3799999999999999E-2</v>
      </c>
      <c r="I11" s="99">
        <f>'BPS 2023'!F15/100</f>
        <v>6.1200000000000004E-2</v>
      </c>
      <c r="J11" s="99">
        <f>'BPS 2024'!F15/100</f>
        <v>4.9000000000000002E-2</v>
      </c>
      <c r="K11" s="99">
        <f>'BPS 2025'!F15/100</f>
        <v>-6.6E-3</v>
      </c>
      <c r="L11" s="101">
        <f t="shared" si="1"/>
        <v>3.6850000000000008E-2</v>
      </c>
      <c r="M11" s="101">
        <f t="shared" si="11"/>
        <v>3.5112500000000005E-2</v>
      </c>
      <c r="N11" s="101">
        <f t="shared" si="12"/>
        <v>2.8590625000000005E-2</v>
      </c>
      <c r="O11" s="101">
        <f t="shared" si="13"/>
        <v>2.3488281250000007E-2</v>
      </c>
      <c r="P11" s="101">
        <f t="shared" si="14"/>
        <v>3.1010351562500007E-2</v>
      </c>
      <c r="Q11" s="101">
        <f t="shared" si="15"/>
        <v>2.9550439453125008E-2</v>
      </c>
      <c r="R11" s="101">
        <f t="shared" si="16"/>
        <v>2.8159924316406258E-2</v>
      </c>
      <c r="S11" s="101">
        <f t="shared" si="17"/>
        <v>2.8052249145507822E-2</v>
      </c>
      <c r="T11" s="101">
        <f t="shared" si="18"/>
        <v>2.9193241119384775E-2</v>
      </c>
      <c r="U11" s="101">
        <f t="shared" si="19"/>
        <v>2.8738963508605966E-2</v>
      </c>
      <c r="V11" s="101">
        <f t="shared" si="20"/>
        <v>2.8536094522476206E-2</v>
      </c>
      <c r="W11" s="101">
        <f t="shared" si="21"/>
        <v>2.8630137073993693E-2</v>
      </c>
      <c r="X11" s="101">
        <f t="shared" si="22"/>
        <v>2.8774609056115161E-2</v>
      </c>
      <c r="Y11" s="101">
        <f t="shared" si="23"/>
        <v>2.8669951040297754E-2</v>
      </c>
      <c r="Z11" s="101">
        <f t="shared" si="24"/>
        <v>2.8652697923220703E-2</v>
      </c>
      <c r="AA11" s="101">
        <f t="shared" si="25"/>
        <v>2.8681848773406828E-2</v>
      </c>
      <c r="AB11" s="101">
        <f t="shared" si="26"/>
        <v>2.8694776698260108E-2</v>
      </c>
      <c r="AC11" s="101">
        <f t="shared" si="27"/>
        <v>2.8674818608796348E-2</v>
      </c>
      <c r="AD11" s="101">
        <f t="shared" si="28"/>
        <v>2.8676035500920998E-2</v>
      </c>
      <c r="AE11" s="101">
        <f t="shared" si="29"/>
        <v>2.868186989534607E-2</v>
      </c>
      <c r="AF11" s="101">
        <f t="shared" si="30"/>
        <v>2.8681875175830884E-2</v>
      </c>
      <c r="AG11" s="101">
        <f t="shared" si="31"/>
        <v>2.8678649795223575E-2</v>
      </c>
      <c r="AH11" s="101">
        <f t="shared" si="32"/>
        <v>2.8679607591830379E-2</v>
      </c>
      <c r="AI11" s="101">
        <f t="shared" si="33"/>
        <v>2.8680500614557729E-2</v>
      </c>
      <c r="AJ11" s="101">
        <f t="shared" si="34"/>
        <v>2.8680158294360644E-2</v>
      </c>
      <c r="AK11" s="101">
        <f t="shared" si="35"/>
        <v>2.867972907399308E-2</v>
      </c>
      <c r="AL11" s="101">
        <f t="shared" si="36"/>
        <v>2.8679998893685457E-2</v>
      </c>
      <c r="AM11" s="101">
        <f t="shared" si="37"/>
        <v>2.8680096719149228E-2</v>
      </c>
      <c r="AN11" s="101">
        <f t="shared" si="38"/>
        <v>2.8679995745297102E-2</v>
      </c>
      <c r="AO11" s="101">
        <f t="shared" si="39"/>
        <v>2.8679955108031216E-2</v>
      </c>
      <c r="AP11" s="101">
        <f t="shared" si="40"/>
        <v>2.8680011616540751E-2</v>
      </c>
      <c r="AQ11" s="101">
        <f t="shared" si="41"/>
        <v>2.8680014797254575E-2</v>
      </c>
      <c r="AR11" s="101">
        <f t="shared" si="42"/>
        <v>2.8679994316780911E-2</v>
      </c>
      <c r="AS11" s="101">
        <f t="shared" si="43"/>
        <v>2.8679993959651862E-2</v>
      </c>
      <c r="AT11" s="101">
        <f t="shared" si="44"/>
        <v>2.8680003672557023E-2</v>
      </c>
      <c r="AU11" s="101">
        <f t="shared" si="45"/>
        <v>2.8680001686561093E-2</v>
      </c>
      <c r="AV11" s="101">
        <f t="shared" si="2"/>
        <v>2.8679998408887724E-2</v>
      </c>
      <c r="AW11" s="101">
        <f t="shared" si="3"/>
        <v>2.8679999431914426E-2</v>
      </c>
      <c r="AX11" s="101">
        <f t="shared" si="4"/>
        <v>2.8680000799980065E-2</v>
      </c>
      <c r="AY11" s="101">
        <f t="shared" si="5"/>
        <v>2.8680000081835827E-2</v>
      </c>
      <c r="AZ11" s="101">
        <f t="shared" si="6"/>
        <v>2.867999968065451E-2</v>
      </c>
      <c r="BA11" s="101">
        <f t="shared" si="7"/>
        <v>2.867999999859621E-2</v>
      </c>
      <c r="BB11" s="101">
        <f t="shared" si="8"/>
        <v>2.8680000140266657E-2</v>
      </c>
      <c r="BC11" s="101">
        <f t="shared" si="9"/>
        <v>2.8679999975338301E-2</v>
      </c>
      <c r="BD11" s="101">
        <f t="shared" si="10"/>
        <v>2.8679999948713918E-2</v>
      </c>
    </row>
    <row r="12" spans="1:56" x14ac:dyDescent="0.25">
      <c r="A12" s="89" t="s">
        <v>235</v>
      </c>
      <c r="B12" s="89" t="s">
        <v>367</v>
      </c>
      <c r="C12" s="89" t="s">
        <v>366</v>
      </c>
      <c r="D12" s="93" t="s">
        <v>365</v>
      </c>
      <c r="E12" s="100">
        <f>'BPS 2019'!P16/100</f>
        <v>-2.8300000000000002E-2</v>
      </c>
      <c r="F12" s="100">
        <f>'BPS 2020'!F16/100</f>
        <v>-0.06</v>
      </c>
      <c r="G12" s="100">
        <f>'BPS 2021'!F16/100</f>
        <v>-4.4199999999999996E-2</v>
      </c>
      <c r="H12" s="100">
        <f>'BPS 2022'!F16/100</f>
        <v>-4.82E-2</v>
      </c>
      <c r="I12" s="100">
        <f>'BPS 2023'!F16/100</f>
        <v>7.3000000000000001E-3</v>
      </c>
      <c r="J12" s="100">
        <f>'BPS 2024'!F16/100</f>
        <v>-7.8000000000000005E-3</v>
      </c>
      <c r="K12" s="100">
        <f>'BPS 2025'!F16/100</f>
        <v>1.1399999999999999E-2</v>
      </c>
      <c r="L12" s="101">
        <f t="shared" si="1"/>
        <v>-9.325E-3</v>
      </c>
      <c r="M12" s="101">
        <f t="shared" si="11"/>
        <v>3.9374999999999957E-4</v>
      </c>
      <c r="N12" s="101">
        <f t="shared" si="12"/>
        <v>-1.3328125000000007E-3</v>
      </c>
      <c r="O12" s="101">
        <f t="shared" si="13"/>
        <v>2.8398437499999941E-4</v>
      </c>
      <c r="P12" s="101">
        <f t="shared" si="14"/>
        <v>-2.4950195312500004E-3</v>
      </c>
      <c r="Q12" s="101">
        <f t="shared" si="15"/>
        <v>-7.8752441406250049E-4</v>
      </c>
      <c r="R12" s="101">
        <f t="shared" si="16"/>
        <v>-1.0828430175781256E-3</v>
      </c>
      <c r="S12" s="101">
        <f t="shared" si="17"/>
        <v>-1.0203506469726566E-3</v>
      </c>
      <c r="T12" s="101">
        <f t="shared" si="18"/>
        <v>-1.3464344024658207E-3</v>
      </c>
      <c r="U12" s="101">
        <f t="shared" si="19"/>
        <v>-1.0592881202697757E-3</v>
      </c>
      <c r="V12" s="101">
        <f t="shared" si="20"/>
        <v>-1.1272290468215948E-3</v>
      </c>
      <c r="W12" s="101">
        <f t="shared" si="21"/>
        <v>-1.1383255541324621E-3</v>
      </c>
      <c r="X12" s="101">
        <f t="shared" si="22"/>
        <v>-1.1678192809224134E-3</v>
      </c>
      <c r="Y12" s="101">
        <f t="shared" si="23"/>
        <v>-1.1231655005365616E-3</v>
      </c>
      <c r="Z12" s="101">
        <f t="shared" si="24"/>
        <v>-1.139134845603258E-3</v>
      </c>
      <c r="AA12" s="101">
        <f t="shared" si="25"/>
        <v>-1.1421112952986739E-3</v>
      </c>
      <c r="AB12" s="101">
        <f t="shared" si="26"/>
        <v>-1.1430577305902266E-3</v>
      </c>
      <c r="AC12" s="101">
        <f t="shared" si="27"/>
        <v>-1.1368673430071801E-3</v>
      </c>
      <c r="AD12" s="101">
        <f t="shared" si="28"/>
        <v>-1.1402928036248346E-3</v>
      </c>
      <c r="AE12" s="101">
        <f t="shared" si="29"/>
        <v>-1.1405822931302289E-3</v>
      </c>
      <c r="AF12" s="101">
        <f t="shared" si="30"/>
        <v>-1.1402000425881176E-3</v>
      </c>
      <c r="AG12" s="101">
        <f t="shared" si="31"/>
        <v>-1.1394856205875904E-3</v>
      </c>
      <c r="AH12" s="101">
        <f t="shared" si="32"/>
        <v>-1.1401401899826928E-3</v>
      </c>
      <c r="AI12" s="101">
        <f t="shared" si="33"/>
        <v>-1.1401020365721575E-3</v>
      </c>
      <c r="AJ12" s="101">
        <f t="shared" si="34"/>
        <v>-1.1399819724326396E-3</v>
      </c>
      <c r="AK12" s="101">
        <f t="shared" si="35"/>
        <v>-1.13992745489377E-3</v>
      </c>
      <c r="AL12" s="101">
        <f t="shared" si="36"/>
        <v>-1.140037913470315E-3</v>
      </c>
      <c r="AM12" s="101">
        <f t="shared" si="37"/>
        <v>-1.1400123443422205E-3</v>
      </c>
      <c r="AN12" s="101">
        <f t="shared" si="38"/>
        <v>-1.1399899212847363E-3</v>
      </c>
      <c r="AO12" s="101">
        <f t="shared" si="39"/>
        <v>-1.1399919084977604E-3</v>
      </c>
      <c r="AP12" s="101">
        <f t="shared" si="40"/>
        <v>-1.1400080218987581E-3</v>
      </c>
      <c r="AQ12" s="101">
        <f t="shared" si="41"/>
        <v>-1.1400005490058689E-3</v>
      </c>
      <c r="AR12" s="101">
        <f t="shared" si="42"/>
        <v>-1.139997600171781E-3</v>
      </c>
      <c r="AS12" s="101">
        <f t="shared" si="43"/>
        <v>-1.1399995198935421E-3</v>
      </c>
      <c r="AT12" s="101">
        <f t="shared" si="44"/>
        <v>-1.1400014227424876E-3</v>
      </c>
      <c r="AU12" s="101">
        <f t="shared" si="45"/>
        <v>-1.1399997729534198E-3</v>
      </c>
      <c r="AV12" s="101">
        <f t="shared" si="2"/>
        <v>-1.1399995789403076E-3</v>
      </c>
      <c r="AW12" s="101">
        <f t="shared" si="3"/>
        <v>-1.1400000736324395E-3</v>
      </c>
      <c r="AX12" s="101">
        <f t="shared" si="4"/>
        <v>-1.1400002120671637E-3</v>
      </c>
      <c r="AY12" s="101">
        <f t="shared" si="5"/>
        <v>-1.1399999093983327E-3</v>
      </c>
      <c r="AZ12" s="101">
        <f t="shared" si="6"/>
        <v>-1.1399999435095609E-3</v>
      </c>
      <c r="BA12" s="101">
        <f t="shared" si="7"/>
        <v>-1.1400000346518742E-3</v>
      </c>
      <c r="BB12" s="101">
        <f t="shared" si="8"/>
        <v>-1.1400000249067329E-3</v>
      </c>
      <c r="BC12" s="101">
        <f t="shared" si="9"/>
        <v>-1.1399999781166251E-3</v>
      </c>
      <c r="BD12" s="101">
        <f t="shared" si="10"/>
        <v>-1.1399999952961984E-3</v>
      </c>
    </row>
    <row r="13" spans="1:56" x14ac:dyDescent="0.25">
      <c r="A13" s="89" t="s">
        <v>235</v>
      </c>
      <c r="B13" s="89" t="s">
        <v>364</v>
      </c>
      <c r="C13" s="89" t="s">
        <v>363</v>
      </c>
      <c r="D13" s="93" t="s">
        <v>362</v>
      </c>
      <c r="E13" s="100">
        <f>'BPS 2019'!P17/100</f>
        <v>0.10199999999999999</v>
      </c>
      <c r="F13" s="100">
        <f>'BPS 2020'!F17/100</f>
        <v>-5.4299999999999994E-2</v>
      </c>
      <c r="G13" s="100">
        <f>'BPS 2021'!F17/100</f>
        <v>6.6000000000000003E-2</v>
      </c>
      <c r="H13" s="100">
        <f>'BPS 2022'!F17/100</f>
        <v>8.1099999999999992E-2</v>
      </c>
      <c r="I13" s="100">
        <f>'BPS 2023'!F17/100</f>
        <v>0.1002</v>
      </c>
      <c r="J13" s="100">
        <f>'BPS 2024'!F17/100</f>
        <v>6.8199999999999997E-2</v>
      </c>
      <c r="K13" s="100">
        <f>'BPS 2025'!F17/100</f>
        <v>-1.26E-2</v>
      </c>
      <c r="L13" s="101">
        <f t="shared" si="1"/>
        <v>5.9225E-2</v>
      </c>
      <c r="M13" s="101">
        <f t="shared" si="11"/>
        <v>5.3756249999999998E-2</v>
      </c>
      <c r="N13" s="101">
        <f t="shared" si="12"/>
        <v>4.2145312499999997E-2</v>
      </c>
      <c r="O13" s="101">
        <f t="shared" si="13"/>
        <v>3.5631640625000002E-2</v>
      </c>
      <c r="P13" s="101">
        <f t="shared" si="14"/>
        <v>4.7689550781250006E-2</v>
      </c>
      <c r="Q13" s="101">
        <f t="shared" si="15"/>
        <v>4.4805688476562501E-2</v>
      </c>
      <c r="R13" s="101">
        <f t="shared" si="16"/>
        <v>4.2568048095703123E-2</v>
      </c>
      <c r="S13" s="101">
        <f t="shared" si="17"/>
        <v>4.2673731994628913E-2</v>
      </c>
      <c r="T13" s="101">
        <f t="shared" si="18"/>
        <v>4.4434254837036141E-2</v>
      </c>
      <c r="U13" s="101">
        <f t="shared" si="19"/>
        <v>4.3620430850982668E-2</v>
      </c>
      <c r="V13" s="101">
        <f t="shared" si="20"/>
        <v>4.332411644458771E-2</v>
      </c>
      <c r="W13" s="101">
        <f t="shared" si="21"/>
        <v>4.3513133531808856E-2</v>
      </c>
      <c r="X13" s="101">
        <f t="shared" si="22"/>
        <v>4.3722983916103839E-2</v>
      </c>
      <c r="Y13" s="101">
        <f t="shared" si="23"/>
        <v>4.3545166185870773E-2</v>
      </c>
      <c r="Z13" s="101">
        <f t="shared" si="24"/>
        <v>4.3526350019592791E-2</v>
      </c>
      <c r="AA13" s="101">
        <f t="shared" si="25"/>
        <v>4.3576908413344065E-2</v>
      </c>
      <c r="AB13" s="101">
        <f t="shared" si="26"/>
        <v>4.3592852133727863E-2</v>
      </c>
      <c r="AC13" s="101">
        <f t="shared" si="27"/>
        <v>4.356031918813387E-2</v>
      </c>
      <c r="AD13" s="101">
        <f t="shared" si="28"/>
        <v>4.3564107438699651E-2</v>
      </c>
      <c r="AE13" s="101">
        <f t="shared" si="29"/>
        <v>4.3573546793476359E-2</v>
      </c>
      <c r="AF13" s="101">
        <f t="shared" si="30"/>
        <v>4.3572706388509436E-2</v>
      </c>
      <c r="AG13" s="101">
        <f t="shared" si="31"/>
        <v>4.3567669952204825E-2</v>
      </c>
      <c r="AH13" s="101">
        <f t="shared" si="32"/>
        <v>4.3569507643222566E-2</v>
      </c>
      <c r="AI13" s="101">
        <f t="shared" si="33"/>
        <v>4.3570857694353295E-2</v>
      </c>
      <c r="AJ13" s="101">
        <f t="shared" si="34"/>
        <v>4.3570185419572527E-2</v>
      </c>
      <c r="AK13" s="101">
        <f t="shared" si="35"/>
        <v>4.35695551773383E-2</v>
      </c>
      <c r="AL13" s="101">
        <f t="shared" si="36"/>
        <v>4.3570026483621668E-2</v>
      </c>
      <c r="AM13" s="101">
        <f t="shared" si="37"/>
        <v>4.357015619372144E-2</v>
      </c>
      <c r="AN13" s="101">
        <f t="shared" si="38"/>
        <v>4.3569980818563489E-2</v>
      </c>
      <c r="AO13" s="101">
        <f t="shared" si="39"/>
        <v>4.3569929668311233E-2</v>
      </c>
      <c r="AP13" s="101">
        <f t="shared" si="40"/>
        <v>4.3570023291054458E-2</v>
      </c>
      <c r="AQ13" s="101">
        <f t="shared" si="41"/>
        <v>4.3570022492912655E-2</v>
      </c>
      <c r="AR13" s="101">
        <f t="shared" si="42"/>
        <v>4.3569989067710452E-2</v>
      </c>
      <c r="AS13" s="101">
        <f t="shared" si="43"/>
        <v>4.3569991129997203E-2</v>
      </c>
      <c r="AT13" s="101">
        <f t="shared" si="44"/>
        <v>4.3570006495418694E-2</v>
      </c>
      <c r="AU13" s="101">
        <f t="shared" si="45"/>
        <v>4.3570002296509751E-2</v>
      </c>
      <c r="AV13" s="101">
        <f t="shared" si="2"/>
        <v>4.356999724740903E-2</v>
      </c>
      <c r="AW13" s="101">
        <f t="shared" si="3"/>
        <v>4.3569999292333669E-2</v>
      </c>
      <c r="AX13" s="101">
        <f t="shared" si="4"/>
        <v>4.3570001332917788E-2</v>
      </c>
      <c r="AY13" s="101">
        <f t="shared" si="5"/>
        <v>4.3570000042292556E-2</v>
      </c>
      <c r="AZ13" s="101">
        <f t="shared" si="6"/>
        <v>4.3569999478738256E-2</v>
      </c>
      <c r="BA13" s="101">
        <f t="shared" si="7"/>
        <v>4.3570000036570564E-2</v>
      </c>
      <c r="BB13" s="101">
        <f t="shared" si="8"/>
        <v>4.3570000222629787E-2</v>
      </c>
      <c r="BC13" s="101">
        <f t="shared" si="9"/>
        <v>4.3569999945057794E-2</v>
      </c>
      <c r="BD13" s="101">
        <f t="shared" si="10"/>
        <v>4.35699999207491E-2</v>
      </c>
    </row>
    <row r="14" spans="1:56" x14ac:dyDescent="0.25">
      <c r="A14" s="89" t="s">
        <v>235</v>
      </c>
      <c r="B14" s="89" t="s">
        <v>361</v>
      </c>
      <c r="C14" s="89" t="s">
        <v>360</v>
      </c>
      <c r="D14" s="93" t="s">
        <v>359</v>
      </c>
      <c r="E14" s="100">
        <f>'BPS 2019'!P18/100</f>
        <v>-0.1515</v>
      </c>
      <c r="F14" s="100">
        <f>'BPS 2020'!F18/100</f>
        <v>0.2026</v>
      </c>
      <c r="G14" s="100">
        <f>'BPS 2021'!F18/100</f>
        <v>0.22839999999999999</v>
      </c>
      <c r="H14" s="100">
        <f>'BPS 2022'!F18/100</f>
        <v>0.18010000000000001</v>
      </c>
      <c r="I14" s="100">
        <f>'BPS 2023'!F18/100</f>
        <v>8.5000000000000006E-2</v>
      </c>
      <c r="J14" s="100">
        <f>'BPS 2024'!F18/100</f>
        <v>8.3000000000000004E-2</v>
      </c>
      <c r="K14" s="100">
        <f>'BPS 2025'!F18/100</f>
        <v>-7.9199999999999993E-2</v>
      </c>
      <c r="L14" s="101">
        <f t="shared" si="1"/>
        <v>6.7225000000000007E-2</v>
      </c>
      <c r="M14" s="101">
        <f t="shared" si="11"/>
        <v>3.9006250000000006E-2</v>
      </c>
      <c r="N14" s="101">
        <f t="shared" si="12"/>
        <v>2.7507812500000006E-2</v>
      </c>
      <c r="O14" s="101">
        <f t="shared" si="13"/>
        <v>1.3634765625000007E-2</v>
      </c>
      <c r="P14" s="101">
        <f t="shared" si="14"/>
        <v>3.6843457031250006E-2</v>
      </c>
      <c r="Q14" s="101">
        <f t="shared" si="15"/>
        <v>2.9248071289062504E-2</v>
      </c>
      <c r="R14" s="101">
        <f t="shared" si="16"/>
        <v>2.6808526611328133E-2</v>
      </c>
      <c r="S14" s="101">
        <f t="shared" si="17"/>
        <v>2.6633705139160163E-2</v>
      </c>
      <c r="T14" s="101">
        <f t="shared" si="18"/>
        <v>2.98834400177002E-2</v>
      </c>
      <c r="U14" s="101">
        <f t="shared" si="19"/>
        <v>2.814343576431275E-2</v>
      </c>
      <c r="V14" s="101">
        <f t="shared" si="20"/>
        <v>2.7867276883125312E-2</v>
      </c>
      <c r="W14" s="101">
        <f t="shared" si="21"/>
        <v>2.8131964451074604E-2</v>
      </c>
      <c r="X14" s="101">
        <f t="shared" si="22"/>
        <v>2.8506529279053214E-2</v>
      </c>
      <c r="Y14" s="101">
        <f t="shared" si="23"/>
        <v>2.8162301594391471E-2</v>
      </c>
      <c r="Z14" s="101">
        <f t="shared" si="24"/>
        <v>2.8167018051911148E-2</v>
      </c>
      <c r="AA14" s="101">
        <f t="shared" si="25"/>
        <v>2.8241953344107607E-2</v>
      </c>
      <c r="AB14" s="101">
        <f t="shared" si="26"/>
        <v>2.8269450567365857E-2</v>
      </c>
      <c r="AC14" s="101">
        <f t="shared" si="27"/>
        <v>2.821018088944402E-2</v>
      </c>
      <c r="AD14" s="101">
        <f t="shared" si="28"/>
        <v>2.8222150713207158E-2</v>
      </c>
      <c r="AE14" s="101">
        <f t="shared" si="29"/>
        <v>2.8235933878531162E-2</v>
      </c>
      <c r="AF14" s="101">
        <f t="shared" si="30"/>
        <v>2.8234429012137047E-2</v>
      </c>
      <c r="AG14" s="101">
        <f t="shared" si="31"/>
        <v>2.8225673623329846E-2</v>
      </c>
      <c r="AH14" s="101">
        <f t="shared" si="32"/>
        <v>2.8229546806801301E-2</v>
      </c>
      <c r="AI14" s="101">
        <f t="shared" si="33"/>
        <v>2.8231395830199839E-2</v>
      </c>
      <c r="AJ14" s="101">
        <f t="shared" si="34"/>
        <v>2.8230261318117011E-2</v>
      </c>
      <c r="AK14" s="101">
        <f t="shared" si="35"/>
        <v>2.8229219394611999E-2</v>
      </c>
      <c r="AL14" s="101">
        <f t="shared" si="36"/>
        <v>2.8230105837432535E-2</v>
      </c>
      <c r="AM14" s="101">
        <f t="shared" si="37"/>
        <v>2.8230245595090346E-2</v>
      </c>
      <c r="AN14" s="101">
        <f t="shared" si="38"/>
        <v>2.8229958036312973E-2</v>
      </c>
      <c r="AO14" s="101">
        <f t="shared" si="39"/>
        <v>2.8229882215861965E-2</v>
      </c>
      <c r="AP14" s="101">
        <f t="shared" si="40"/>
        <v>2.8230047921174454E-2</v>
      </c>
      <c r="AQ14" s="101">
        <f t="shared" si="41"/>
        <v>2.8230033442109934E-2</v>
      </c>
      <c r="AR14" s="101">
        <f t="shared" si="42"/>
        <v>2.8229980403864832E-2</v>
      </c>
      <c r="AS14" s="101">
        <f t="shared" si="43"/>
        <v>2.8229985995752795E-2</v>
      </c>
      <c r="AT14" s="101">
        <f t="shared" si="44"/>
        <v>2.8230011940725504E-2</v>
      </c>
      <c r="AU14" s="101">
        <f t="shared" si="45"/>
        <v>2.8230002945613265E-2</v>
      </c>
      <c r="AV14" s="101">
        <f t="shared" si="2"/>
        <v>2.82299953214891E-2</v>
      </c>
      <c r="AW14" s="101">
        <f t="shared" si="3"/>
        <v>2.8229999050895162E-2</v>
      </c>
      <c r="AX14" s="101">
        <f t="shared" si="4"/>
        <v>2.8230002314680758E-2</v>
      </c>
      <c r="AY14" s="101">
        <f t="shared" si="5"/>
        <v>2.8229999908169573E-2</v>
      </c>
      <c r="AZ14" s="101">
        <f t="shared" si="6"/>
        <v>2.8229999148808648E-2</v>
      </c>
      <c r="BA14" s="101">
        <f t="shared" si="7"/>
        <v>2.8230000105638534E-2</v>
      </c>
      <c r="BB14" s="101">
        <f t="shared" si="8"/>
        <v>2.8230000369324378E-2</v>
      </c>
      <c r="BC14" s="101">
        <f t="shared" si="9"/>
        <v>2.8229999882985284E-2</v>
      </c>
      <c r="BD14" s="101">
        <f t="shared" si="10"/>
        <v>2.8229999876689213E-2</v>
      </c>
    </row>
    <row r="15" spans="1:56" x14ac:dyDescent="0.25">
      <c r="A15" s="89" t="s">
        <v>235</v>
      </c>
      <c r="B15" s="89" t="s">
        <v>358</v>
      </c>
      <c r="C15" s="89" t="s">
        <v>357</v>
      </c>
      <c r="D15" s="93" t="s">
        <v>356</v>
      </c>
      <c r="E15" s="100">
        <f>'BPS 2019'!P19/100</f>
        <v>6.1799999999999994E-2</v>
      </c>
      <c r="F15" s="100">
        <f>'BPS 2020'!F19/100</f>
        <v>-1.2199999999999999E-2</v>
      </c>
      <c r="G15" s="100">
        <f>'BPS 2021'!F19/100</f>
        <v>1.9699999999999999E-2</v>
      </c>
      <c r="H15" s="100">
        <f>'BPS 2022'!F19/100</f>
        <v>2.3300000000000001E-2</v>
      </c>
      <c r="I15" s="100">
        <f>'BPS 2023'!F19/100</f>
        <v>5.3699999999999998E-2</v>
      </c>
      <c r="J15" s="100">
        <f>'BPS 2024'!F19/100</f>
        <v>6.2699999999999992E-2</v>
      </c>
      <c r="K15" s="100">
        <f>'BPS 2025'!F19/100</f>
        <v>4.7899999999999998E-2</v>
      </c>
      <c r="L15" s="101">
        <f t="shared" si="1"/>
        <v>4.6899999999999997E-2</v>
      </c>
      <c r="M15" s="101">
        <f t="shared" si="11"/>
        <v>5.28E-2</v>
      </c>
      <c r="N15" s="101">
        <f t="shared" si="12"/>
        <v>5.2574999999999997E-2</v>
      </c>
      <c r="O15" s="101">
        <f t="shared" si="13"/>
        <v>5.0043749999999998E-2</v>
      </c>
      <c r="P15" s="101">
        <f t="shared" si="14"/>
        <v>5.0579687499999998E-2</v>
      </c>
      <c r="Q15" s="101">
        <f t="shared" si="15"/>
        <v>5.1499609374999998E-2</v>
      </c>
      <c r="R15" s="101">
        <f t="shared" si="16"/>
        <v>5.1174511718750003E-2</v>
      </c>
      <c r="S15" s="101">
        <f t="shared" si="17"/>
        <v>5.0824389648437503E-2</v>
      </c>
      <c r="T15" s="101">
        <f t="shared" si="18"/>
        <v>5.1019549560546877E-2</v>
      </c>
      <c r="U15" s="101">
        <f t="shared" si="19"/>
        <v>5.1129515075683599E-2</v>
      </c>
      <c r="V15" s="101">
        <f t="shared" si="20"/>
        <v>5.1036991500854501E-2</v>
      </c>
      <c r="W15" s="101">
        <f t="shared" si="21"/>
        <v>5.1002611446380616E-2</v>
      </c>
      <c r="X15" s="101">
        <f t="shared" si="22"/>
        <v>5.10471668958664E-2</v>
      </c>
      <c r="Y15" s="101">
        <f t="shared" si="23"/>
        <v>5.1054071229696282E-2</v>
      </c>
      <c r="Z15" s="101">
        <f t="shared" si="24"/>
        <v>5.1035210268199446E-2</v>
      </c>
      <c r="AA15" s="101">
        <f t="shared" si="25"/>
        <v>5.1034764960035686E-2</v>
      </c>
      <c r="AB15" s="101">
        <f t="shared" si="26"/>
        <v>5.1042803338449447E-2</v>
      </c>
      <c r="AC15" s="101">
        <f t="shared" si="27"/>
        <v>5.1041712449095222E-2</v>
      </c>
      <c r="AD15" s="101">
        <f t="shared" si="28"/>
        <v>5.1038622753944954E-2</v>
      </c>
      <c r="AE15" s="101">
        <f t="shared" si="29"/>
        <v>5.1039475875381324E-2</v>
      </c>
      <c r="AF15" s="101">
        <f t="shared" si="30"/>
        <v>5.1040653604217737E-2</v>
      </c>
      <c r="AG15" s="101">
        <f t="shared" si="31"/>
        <v>5.1040116170659802E-2</v>
      </c>
      <c r="AH15" s="101">
        <f t="shared" si="32"/>
        <v>5.1039717101050958E-2</v>
      </c>
      <c r="AI15" s="101">
        <f t="shared" si="33"/>
        <v>5.1039990687827455E-2</v>
      </c>
      <c r="AJ15" s="101">
        <f t="shared" si="34"/>
        <v>5.1040119390938984E-2</v>
      </c>
      <c r="AK15" s="101">
        <f t="shared" si="35"/>
        <v>5.1039985837619303E-2</v>
      </c>
      <c r="AL15" s="101">
        <f t="shared" si="36"/>
        <v>5.1039953254359172E-2</v>
      </c>
      <c r="AM15" s="101">
        <f t="shared" si="37"/>
        <v>5.1040012292686232E-2</v>
      </c>
      <c r="AN15" s="101">
        <f t="shared" si="38"/>
        <v>5.1040017693900923E-2</v>
      </c>
      <c r="AO15" s="101">
        <f t="shared" si="39"/>
        <v>5.1039992269641413E-2</v>
      </c>
      <c r="AP15" s="101">
        <f t="shared" si="40"/>
        <v>5.1039993877646933E-2</v>
      </c>
      <c r="AQ15" s="101">
        <f t="shared" si="41"/>
        <v>5.1040004033468873E-2</v>
      </c>
      <c r="AR15" s="101">
        <f t="shared" si="42"/>
        <v>5.1040001968664532E-2</v>
      </c>
      <c r="AS15" s="101">
        <f t="shared" si="43"/>
        <v>5.1039998037355441E-2</v>
      </c>
      <c r="AT15" s="101">
        <f t="shared" si="44"/>
        <v>5.1039999479283948E-2</v>
      </c>
      <c r="AU15" s="101">
        <f t="shared" si="45"/>
        <v>5.1040000879693195E-2</v>
      </c>
      <c r="AV15" s="101">
        <f t="shared" si="2"/>
        <v>5.1040000091249274E-2</v>
      </c>
      <c r="AW15" s="101">
        <f t="shared" si="3"/>
        <v>5.1039999621895468E-2</v>
      </c>
      <c r="AX15" s="101">
        <f t="shared" si="4"/>
        <v>5.1040000018030468E-2</v>
      </c>
      <c r="AY15" s="101">
        <f t="shared" si="5"/>
        <v>5.1040000152717098E-2</v>
      </c>
      <c r="AZ15" s="101">
        <f t="shared" si="6"/>
        <v>5.1039999970973075E-2</v>
      </c>
      <c r="BA15" s="101">
        <f t="shared" si="7"/>
        <v>5.1039999940904031E-2</v>
      </c>
      <c r="BB15" s="101">
        <f t="shared" si="8"/>
        <v>5.1040000020656166E-2</v>
      </c>
      <c r="BC15" s="101">
        <f t="shared" si="9"/>
        <v>5.1040000021312593E-2</v>
      </c>
      <c r="BD15" s="101">
        <f t="shared" si="10"/>
        <v>5.1039999988461468E-2</v>
      </c>
    </row>
    <row r="16" spans="1:56" s="91" customFormat="1" x14ac:dyDescent="0.25">
      <c r="A16" s="91" t="s">
        <v>355</v>
      </c>
      <c r="B16" s="91" t="s">
        <v>354</v>
      </c>
      <c r="C16" s="91" t="s">
        <v>353</v>
      </c>
      <c r="D16" s="91" t="s">
        <v>190</v>
      </c>
      <c r="E16" s="99">
        <f>'BPS 2019'!P20/100</f>
        <v>3.7999999999999999E-2</v>
      </c>
      <c r="F16" s="99">
        <f>'BPS 2020'!F20/100</f>
        <v>-2.9300000000000003E-2</v>
      </c>
      <c r="G16" s="99">
        <f>'BPS 2021'!F20/100</f>
        <v>3.39E-2</v>
      </c>
      <c r="H16" s="99">
        <f>'BPS 2022'!F20/100</f>
        <v>4.8899999999999999E-2</v>
      </c>
      <c r="I16" s="99">
        <f>'BPS 2023'!F20/100</f>
        <v>4.6399999999999997E-2</v>
      </c>
      <c r="J16" s="99">
        <f>'BPS 2024'!F20/100</f>
        <v>4.4299999999999999E-2</v>
      </c>
      <c r="K16" s="99">
        <f>'BPS 2025'!F20/100</f>
        <v>5.2999999999999999E-2</v>
      </c>
      <c r="L16" s="101">
        <f t="shared" si="1"/>
        <v>4.8149999999999998E-2</v>
      </c>
      <c r="M16" s="101">
        <f t="shared" si="11"/>
        <v>4.7962499999999998E-2</v>
      </c>
      <c r="N16" s="101">
        <f t="shared" si="12"/>
        <v>4.8353124999999997E-2</v>
      </c>
      <c r="O16" s="101">
        <f t="shared" si="13"/>
        <v>4.9366406249999994E-2</v>
      </c>
      <c r="P16" s="101">
        <f t="shared" si="14"/>
        <v>4.8458007812499995E-2</v>
      </c>
      <c r="Q16" s="101">
        <f t="shared" si="15"/>
        <v>4.8535009765624998E-2</v>
      </c>
      <c r="R16" s="101">
        <f t="shared" si="16"/>
        <v>4.8678137207031243E-2</v>
      </c>
      <c r="S16" s="101">
        <f t="shared" si="17"/>
        <v>4.8759390258789059E-2</v>
      </c>
      <c r="T16" s="101">
        <f t="shared" si="18"/>
        <v>4.8607636260986326E-2</v>
      </c>
      <c r="U16" s="101">
        <f t="shared" si="19"/>
        <v>4.8645043373107905E-2</v>
      </c>
      <c r="V16" s="101">
        <f t="shared" si="20"/>
        <v>4.8672551774978631E-2</v>
      </c>
      <c r="W16" s="101">
        <f t="shared" si="21"/>
        <v>4.8671155416965484E-2</v>
      </c>
      <c r="X16" s="101">
        <f t="shared" si="22"/>
        <v>4.864909670650959E-2</v>
      </c>
      <c r="Y16" s="101">
        <f t="shared" si="23"/>
        <v>4.8659461817890395E-2</v>
      </c>
      <c r="Z16" s="101">
        <f t="shared" si="24"/>
        <v>4.8663066429086022E-2</v>
      </c>
      <c r="AA16" s="101">
        <f t="shared" si="25"/>
        <v>4.8660695092612873E-2</v>
      </c>
      <c r="AB16" s="101">
        <f t="shared" si="26"/>
        <v>4.8658080011524718E-2</v>
      </c>
      <c r="AC16" s="101">
        <f t="shared" si="27"/>
        <v>4.8660325837778504E-2</v>
      </c>
      <c r="AD16" s="101">
        <f t="shared" si="28"/>
        <v>4.8660541842750524E-2</v>
      </c>
      <c r="AE16" s="101">
        <f t="shared" si="29"/>
        <v>4.8659910696166653E-2</v>
      </c>
      <c r="AF16" s="101">
        <f t="shared" si="30"/>
        <v>4.86597145970551E-2</v>
      </c>
      <c r="AG16" s="101">
        <f t="shared" si="31"/>
        <v>4.8660123243437693E-2</v>
      </c>
      <c r="AH16" s="101">
        <f t="shared" si="32"/>
        <v>4.8660072594852492E-2</v>
      </c>
      <c r="AI16" s="101">
        <f t="shared" si="33"/>
        <v>4.8659955282877983E-2</v>
      </c>
      <c r="AJ16" s="101">
        <f t="shared" si="34"/>
        <v>4.8659966429555813E-2</v>
      </c>
      <c r="AK16" s="101">
        <f t="shared" si="35"/>
        <v>4.8660029387680992E-2</v>
      </c>
      <c r="AL16" s="101">
        <f t="shared" si="36"/>
        <v>4.8660005923741818E-2</v>
      </c>
      <c r="AM16" s="101">
        <f t="shared" si="37"/>
        <v>4.8659989255964153E-2</v>
      </c>
      <c r="AN16" s="101">
        <f t="shared" si="38"/>
        <v>4.8659997749235691E-2</v>
      </c>
      <c r="AO16" s="101">
        <f t="shared" si="39"/>
        <v>4.866000557915566E-2</v>
      </c>
      <c r="AP16" s="101">
        <f t="shared" si="40"/>
        <v>4.8659999627024331E-2</v>
      </c>
      <c r="AQ16" s="101">
        <f t="shared" si="41"/>
        <v>4.865999805284496E-2</v>
      </c>
      <c r="AR16" s="101">
        <f t="shared" si="42"/>
        <v>4.8660000252065162E-2</v>
      </c>
      <c r="AS16" s="101">
        <f t="shared" si="43"/>
        <v>4.8660000877772523E-2</v>
      </c>
      <c r="AT16" s="101">
        <f t="shared" si="44"/>
        <v>4.8659999702426744E-2</v>
      </c>
      <c r="AU16" s="101">
        <f t="shared" si="45"/>
        <v>4.8659999721277346E-2</v>
      </c>
      <c r="AV16" s="101">
        <f t="shared" si="2"/>
        <v>4.8660000138385444E-2</v>
      </c>
      <c r="AW16" s="101">
        <f t="shared" si="3"/>
        <v>4.8660000109965518E-2</v>
      </c>
      <c r="AX16" s="101">
        <f t="shared" si="4"/>
        <v>4.8659999918013765E-2</v>
      </c>
      <c r="AY16" s="101">
        <f t="shared" si="5"/>
        <v>4.8659999971910513E-2</v>
      </c>
      <c r="AZ16" s="101">
        <f t="shared" si="6"/>
        <v>4.8660000034568808E-2</v>
      </c>
      <c r="BA16" s="101">
        <f t="shared" si="7"/>
        <v>4.8660000008614646E-2</v>
      </c>
      <c r="BB16" s="101">
        <f t="shared" si="8"/>
        <v>4.8659999983276934E-2</v>
      </c>
      <c r="BC16" s="101">
        <f t="shared" si="9"/>
        <v>4.865999999959273E-2</v>
      </c>
      <c r="BD16" s="101">
        <f t="shared" si="10"/>
        <v>4.8660000006513278E-2</v>
      </c>
    </row>
    <row r="17" spans="1:56" x14ac:dyDescent="0.25">
      <c r="A17" s="89" t="s">
        <v>235</v>
      </c>
      <c r="B17" s="89" t="s">
        <v>352</v>
      </c>
      <c r="C17" s="89" t="s">
        <v>351</v>
      </c>
      <c r="D17" s="89" t="s">
        <v>350</v>
      </c>
      <c r="E17" s="100">
        <f>'BPS 2019'!P21/100</f>
        <v>-1.11E-2</v>
      </c>
      <c r="F17" s="100">
        <f>'BPS 2020'!F21/100</f>
        <v>-6.8099999999999994E-2</v>
      </c>
      <c r="G17" s="100">
        <f>'BPS 2021'!F21/100</f>
        <v>5.6999999999999993E-3</v>
      </c>
      <c r="H17" s="100">
        <f>'BPS 2022'!F21/100</f>
        <v>3.7200000000000004E-2</v>
      </c>
      <c r="I17" s="100">
        <f>'BPS 2023'!F21/100</f>
        <v>4.1599999999999998E-2</v>
      </c>
      <c r="J17" s="100">
        <f>'BPS 2024'!F21/100</f>
        <v>1.04E-2</v>
      </c>
      <c r="K17" s="100">
        <f>'BPS 2025'!F21/100</f>
        <v>6.9199999999999998E-2</v>
      </c>
      <c r="L17" s="101">
        <f t="shared" si="1"/>
        <v>3.9599999999999996E-2</v>
      </c>
      <c r="M17" s="101">
        <f t="shared" si="11"/>
        <v>4.02E-2</v>
      </c>
      <c r="N17" s="101">
        <f t="shared" si="12"/>
        <v>3.9849999999999997E-2</v>
      </c>
      <c r="O17" s="101">
        <f t="shared" si="13"/>
        <v>4.7212499999999998E-2</v>
      </c>
      <c r="P17" s="101">
        <f t="shared" si="14"/>
        <v>4.1715624999999999E-2</v>
      </c>
      <c r="Q17" s="101">
        <f t="shared" si="15"/>
        <v>4.2244531250000002E-2</v>
      </c>
      <c r="R17" s="101">
        <f t="shared" si="16"/>
        <v>4.2755664062499997E-2</v>
      </c>
      <c r="S17" s="101">
        <f t="shared" si="17"/>
        <v>4.3482080078124999E-2</v>
      </c>
      <c r="T17" s="101">
        <f t="shared" si="18"/>
        <v>4.2549475097656247E-2</v>
      </c>
      <c r="U17" s="101">
        <f t="shared" si="19"/>
        <v>4.2757937622070315E-2</v>
      </c>
      <c r="V17" s="101">
        <f t="shared" si="20"/>
        <v>4.2886289215087886E-2</v>
      </c>
      <c r="W17" s="101">
        <f t="shared" si="21"/>
        <v>4.2918945503234864E-2</v>
      </c>
      <c r="X17" s="101">
        <f t="shared" si="22"/>
        <v>4.2778161859512324E-2</v>
      </c>
      <c r="Y17" s="101">
        <f t="shared" si="23"/>
        <v>4.2835333549976345E-2</v>
      </c>
      <c r="Z17" s="101">
        <f t="shared" si="24"/>
        <v>4.2854682531952855E-2</v>
      </c>
      <c r="AA17" s="101">
        <f t="shared" si="25"/>
        <v>4.2846780861169095E-2</v>
      </c>
      <c r="AB17" s="101">
        <f t="shared" si="26"/>
        <v>4.2828739700652652E-2</v>
      </c>
      <c r="AC17" s="101">
        <f t="shared" si="27"/>
        <v>4.2841384160937732E-2</v>
      </c>
      <c r="AD17" s="101">
        <f t="shared" si="28"/>
        <v>4.2842896813678089E-2</v>
      </c>
      <c r="AE17" s="101">
        <f t="shared" si="29"/>
        <v>4.2839950384109392E-2</v>
      </c>
      <c r="AF17" s="101">
        <f t="shared" si="30"/>
        <v>4.2838242764844471E-2</v>
      </c>
      <c r="AG17" s="101">
        <f t="shared" si="31"/>
        <v>4.2840618530892417E-2</v>
      </c>
      <c r="AH17" s="101">
        <f t="shared" si="32"/>
        <v>4.284042712338109E-2</v>
      </c>
      <c r="AI17" s="101">
        <f t="shared" si="33"/>
        <v>4.2839809700806843E-2</v>
      </c>
      <c r="AJ17" s="101">
        <f t="shared" si="34"/>
        <v>4.2839774529981202E-2</v>
      </c>
      <c r="AK17" s="101">
        <f t="shared" si="35"/>
        <v>4.2840157471265385E-2</v>
      </c>
      <c r="AL17" s="101">
        <f t="shared" si="36"/>
        <v>4.2840042206358626E-2</v>
      </c>
      <c r="AM17" s="101">
        <f t="shared" si="37"/>
        <v>4.2839945977103014E-2</v>
      </c>
      <c r="AN17" s="101">
        <f t="shared" si="38"/>
        <v>4.2839980046177062E-2</v>
      </c>
      <c r="AO17" s="101">
        <f t="shared" si="39"/>
        <v>4.2840031425226022E-2</v>
      </c>
      <c r="AP17" s="101">
        <f t="shared" si="40"/>
        <v>4.2839999913716183E-2</v>
      </c>
      <c r="AQ17" s="101">
        <f t="shared" si="41"/>
        <v>4.2839989340555565E-2</v>
      </c>
      <c r="AR17" s="101">
        <f t="shared" si="42"/>
        <v>4.2840000181418703E-2</v>
      </c>
      <c r="AS17" s="101">
        <f t="shared" si="43"/>
        <v>4.2840005215229113E-2</v>
      </c>
      <c r="AT17" s="101">
        <f t="shared" si="44"/>
        <v>4.2839998662729889E-2</v>
      </c>
      <c r="AU17" s="101">
        <f t="shared" si="45"/>
        <v>4.2839998349983317E-2</v>
      </c>
      <c r="AV17" s="101">
        <f t="shared" si="2"/>
        <v>4.284000060234025E-2</v>
      </c>
      <c r="AW17" s="101">
        <f t="shared" si="3"/>
        <v>4.2840000707570644E-2</v>
      </c>
      <c r="AX17" s="101">
        <f t="shared" si="4"/>
        <v>4.2839999580656027E-2</v>
      </c>
      <c r="AY17" s="101">
        <f t="shared" si="5"/>
        <v>4.2839999810137558E-2</v>
      </c>
      <c r="AZ17" s="101">
        <f t="shared" si="6"/>
        <v>4.284000017517612E-2</v>
      </c>
      <c r="BA17" s="101">
        <f t="shared" si="7"/>
        <v>4.2840000068385085E-2</v>
      </c>
      <c r="BB17" s="101">
        <f t="shared" si="8"/>
        <v>4.2839999908588701E-2</v>
      </c>
      <c r="BC17" s="101">
        <f t="shared" si="9"/>
        <v>4.2839999990571864E-2</v>
      </c>
      <c r="BD17" s="101">
        <f t="shared" si="10"/>
        <v>4.2840000035680441E-2</v>
      </c>
    </row>
    <row r="18" spans="1:56" x14ac:dyDescent="0.25">
      <c r="A18" s="89" t="s">
        <v>235</v>
      </c>
      <c r="B18" s="89" t="s">
        <v>349</v>
      </c>
      <c r="C18" s="89" t="s">
        <v>348</v>
      </c>
      <c r="D18" s="89" t="s">
        <v>347</v>
      </c>
      <c r="E18" s="100">
        <f>'BPS 2019'!P22/100</f>
        <v>4.3400000000000001E-2</v>
      </c>
      <c r="F18" s="100">
        <f>'BPS 2020'!F22/100</f>
        <v>-2.52E-2</v>
      </c>
      <c r="G18" s="100">
        <f>'BPS 2021'!F22/100</f>
        <v>3.6699999999999997E-2</v>
      </c>
      <c r="H18" s="100">
        <f>'BPS 2022'!F22/100</f>
        <v>5.0099999999999999E-2</v>
      </c>
      <c r="I18" s="100">
        <f>'BPS 2023'!F22/100</f>
        <v>4.6900000000000004E-2</v>
      </c>
      <c r="J18" s="100">
        <f>'BPS 2024'!F22/100</f>
        <v>4.7500000000000001E-2</v>
      </c>
      <c r="K18" s="100">
        <f>'BPS 2025'!F22/100</f>
        <v>5.1500000000000004E-2</v>
      </c>
      <c r="L18" s="101">
        <f t="shared" si="1"/>
        <v>4.9000000000000002E-2</v>
      </c>
      <c r="M18" s="101">
        <f t="shared" si="11"/>
        <v>4.8725000000000004E-2</v>
      </c>
      <c r="N18" s="101">
        <f t="shared" si="12"/>
        <v>4.918125000000001E-2</v>
      </c>
      <c r="O18" s="101">
        <f t="shared" si="13"/>
        <v>4.9601562500000002E-2</v>
      </c>
      <c r="P18" s="101">
        <f t="shared" si="14"/>
        <v>4.9126953125000004E-2</v>
      </c>
      <c r="Q18" s="101">
        <f t="shared" si="15"/>
        <v>4.9158691406250003E-2</v>
      </c>
      <c r="R18" s="101">
        <f t="shared" si="16"/>
        <v>4.9267114257812508E-2</v>
      </c>
      <c r="S18" s="101">
        <f t="shared" si="17"/>
        <v>4.9288580322265629E-2</v>
      </c>
      <c r="T18" s="101">
        <f t="shared" si="18"/>
        <v>4.9210334777832036E-2</v>
      </c>
      <c r="U18" s="101">
        <f t="shared" si="19"/>
        <v>4.9231180191040044E-2</v>
      </c>
      <c r="V18" s="101">
        <f t="shared" si="20"/>
        <v>4.9249302387237556E-2</v>
      </c>
      <c r="W18" s="101">
        <f t="shared" si="21"/>
        <v>4.9244849419593825E-2</v>
      </c>
      <c r="X18" s="101">
        <f t="shared" si="22"/>
        <v>4.9233916693925864E-2</v>
      </c>
      <c r="Y18" s="101">
        <f t="shared" si="23"/>
        <v>4.9239812172949315E-2</v>
      </c>
      <c r="Z18" s="101">
        <f t="shared" si="24"/>
        <v>4.9241970168426644E-2</v>
      </c>
      <c r="AA18" s="101">
        <f t="shared" si="25"/>
        <v>4.9240137113723909E-2</v>
      </c>
      <c r="AB18" s="101">
        <f t="shared" si="26"/>
        <v>4.9238959037256433E-2</v>
      </c>
      <c r="AC18" s="101">
        <f t="shared" si="27"/>
        <v>4.9240219623089082E-2</v>
      </c>
      <c r="AD18" s="101">
        <f t="shared" si="28"/>
        <v>4.9240321485624017E-2</v>
      </c>
      <c r="AE18" s="101">
        <f t="shared" si="29"/>
        <v>4.9239909314923364E-2</v>
      </c>
      <c r="AF18" s="101">
        <f t="shared" si="30"/>
        <v>4.923985236522322E-2</v>
      </c>
      <c r="AG18" s="101">
        <f t="shared" si="31"/>
        <v>4.9240075697214919E-2</v>
      </c>
      <c r="AH18" s="101">
        <f t="shared" si="32"/>
        <v>4.9240039715746378E-2</v>
      </c>
      <c r="AI18" s="101">
        <f t="shared" si="33"/>
        <v>4.9239969273276965E-2</v>
      </c>
      <c r="AJ18" s="101">
        <f t="shared" si="34"/>
        <v>4.9239984262865369E-2</v>
      </c>
      <c r="AK18" s="101">
        <f t="shared" si="35"/>
        <v>4.9240017237275904E-2</v>
      </c>
      <c r="AL18" s="101">
        <f t="shared" si="36"/>
        <v>4.9240002622291154E-2</v>
      </c>
      <c r="AM18" s="101">
        <f t="shared" si="37"/>
        <v>4.9239993348927355E-2</v>
      </c>
      <c r="AN18" s="101">
        <f t="shared" si="38"/>
        <v>4.9239999367839946E-2</v>
      </c>
      <c r="AO18" s="101">
        <f t="shared" si="39"/>
        <v>4.9240003144083597E-2</v>
      </c>
      <c r="AP18" s="101">
        <f t="shared" si="40"/>
        <v>4.9239999620785513E-2</v>
      </c>
      <c r="AQ18" s="101">
        <f t="shared" si="41"/>
        <v>4.9239998870409099E-2</v>
      </c>
      <c r="AR18" s="101">
        <f t="shared" si="42"/>
        <v>4.9240000250779542E-2</v>
      </c>
      <c r="AS18" s="101">
        <f t="shared" si="43"/>
        <v>4.9240000471514438E-2</v>
      </c>
      <c r="AT18" s="101">
        <f t="shared" si="44"/>
        <v>4.9239999803372153E-2</v>
      </c>
      <c r="AU18" s="101">
        <f t="shared" si="45"/>
        <v>4.9239999849018806E-2</v>
      </c>
      <c r="AV18" s="101">
        <f t="shared" si="2"/>
        <v>4.9240000093671236E-2</v>
      </c>
      <c r="AW18" s="101">
        <f t="shared" si="3"/>
        <v>4.9240000054394162E-2</v>
      </c>
      <c r="AX18" s="101">
        <f t="shared" si="4"/>
        <v>4.9239999950114091E-2</v>
      </c>
      <c r="AY18" s="101">
        <f t="shared" si="5"/>
        <v>4.9239999986799579E-2</v>
      </c>
      <c r="AZ18" s="101">
        <f t="shared" si="6"/>
        <v>4.9240000021244762E-2</v>
      </c>
      <c r="BA18" s="101">
        <f t="shared" si="7"/>
        <v>4.9240000003138149E-2</v>
      </c>
      <c r="BB18" s="101">
        <f t="shared" si="8"/>
        <v>4.9239999990324149E-2</v>
      </c>
      <c r="BC18" s="101">
        <f t="shared" si="9"/>
        <v>4.9240000000376663E-2</v>
      </c>
      <c r="BD18" s="101">
        <f t="shared" si="10"/>
        <v>4.9240000003770934E-2</v>
      </c>
    </row>
    <row r="19" spans="1:56" x14ac:dyDescent="0.25">
      <c r="A19" s="89" t="s">
        <v>235</v>
      </c>
      <c r="B19" s="89" t="s">
        <v>346</v>
      </c>
      <c r="C19" s="89" t="s">
        <v>345</v>
      </c>
      <c r="D19" s="89" t="s">
        <v>344</v>
      </c>
      <c r="E19" s="100">
        <f>'BPS 2019'!P23/100</f>
        <v>7.7800000000000008E-2</v>
      </c>
      <c r="F19" s="100">
        <f>'BPS 2020'!F23/100</f>
        <v>1.5800000000000002E-2</v>
      </c>
      <c r="G19" s="100">
        <f>'BPS 2021'!F23/100</f>
        <v>2.5399999999999999E-2</v>
      </c>
      <c r="H19" s="100">
        <f>'BPS 2022'!F23/100</f>
        <v>4.9000000000000002E-2</v>
      </c>
      <c r="I19" s="100">
        <f>'BPS 2023'!F23/100</f>
        <v>4.4699999999999997E-2</v>
      </c>
      <c r="J19" s="100">
        <f>'BPS 2024'!F23/100</f>
        <v>5.9000000000000004E-2</v>
      </c>
      <c r="K19" s="100">
        <f>'BPS 2025'!F23/100</f>
        <v>6.3799999999999996E-2</v>
      </c>
      <c r="L19" s="101">
        <f t="shared" si="1"/>
        <v>5.4125E-2</v>
      </c>
      <c r="M19" s="101">
        <f t="shared" si="11"/>
        <v>5.5406249999999997E-2</v>
      </c>
      <c r="N19" s="101">
        <f t="shared" si="12"/>
        <v>5.8082812499999997E-2</v>
      </c>
      <c r="O19" s="101">
        <f t="shared" si="13"/>
        <v>5.7853515624999997E-2</v>
      </c>
      <c r="P19" s="101">
        <f t="shared" si="14"/>
        <v>5.6366894531249996E-2</v>
      </c>
      <c r="Q19" s="101">
        <f t="shared" si="15"/>
        <v>5.6927368164062492E-2</v>
      </c>
      <c r="R19" s="101">
        <f t="shared" si="16"/>
        <v>5.7307647705078117E-2</v>
      </c>
      <c r="S19" s="101">
        <f t="shared" si="17"/>
        <v>5.7113856506347649E-2</v>
      </c>
      <c r="T19" s="101">
        <f t="shared" si="18"/>
        <v>5.6928941726684563E-2</v>
      </c>
      <c r="U19" s="101">
        <f t="shared" si="19"/>
        <v>5.7069453525543205E-2</v>
      </c>
      <c r="V19" s="101">
        <f t="shared" si="20"/>
        <v>5.7104974865913385E-2</v>
      </c>
      <c r="W19" s="101">
        <f t="shared" si="21"/>
        <v>5.7054306656122197E-2</v>
      </c>
      <c r="X19" s="101">
        <f t="shared" si="22"/>
        <v>5.7039419193565838E-2</v>
      </c>
      <c r="Y19" s="101">
        <f t="shared" si="23"/>
        <v>5.7067038560286158E-2</v>
      </c>
      <c r="Z19" s="101">
        <f t="shared" si="24"/>
        <v>5.7066434818971896E-2</v>
      </c>
      <c r="AA19" s="101">
        <f t="shared" si="25"/>
        <v>5.7056799807236519E-2</v>
      </c>
      <c r="AB19" s="101">
        <f t="shared" si="26"/>
        <v>5.7057423095015103E-2</v>
      </c>
      <c r="AC19" s="101">
        <f t="shared" si="27"/>
        <v>5.7061924070377419E-2</v>
      </c>
      <c r="AD19" s="101">
        <f t="shared" si="28"/>
        <v>5.7060645447900231E-2</v>
      </c>
      <c r="AE19" s="101">
        <f t="shared" si="29"/>
        <v>5.7059198105132318E-2</v>
      </c>
      <c r="AF19" s="101">
        <f t="shared" si="30"/>
        <v>5.7059797679606269E-2</v>
      </c>
      <c r="AG19" s="101">
        <f t="shared" si="31"/>
        <v>5.7060391325754065E-2</v>
      </c>
      <c r="AH19" s="101">
        <f t="shared" si="32"/>
        <v>5.7060008139598217E-2</v>
      </c>
      <c r="AI19" s="101">
        <f t="shared" si="33"/>
        <v>5.7059848812522712E-2</v>
      </c>
      <c r="AJ19" s="101">
        <f t="shared" si="34"/>
        <v>5.7060011489370316E-2</v>
      </c>
      <c r="AK19" s="101">
        <f t="shared" si="35"/>
        <v>5.7060064941811324E-2</v>
      </c>
      <c r="AL19" s="101">
        <f t="shared" si="36"/>
        <v>5.7059983345825641E-2</v>
      </c>
      <c r="AM19" s="101">
        <f t="shared" si="37"/>
        <v>5.7059977147382493E-2</v>
      </c>
      <c r="AN19" s="101">
        <f t="shared" si="38"/>
        <v>5.7060009231097442E-2</v>
      </c>
      <c r="AO19" s="101">
        <f t="shared" si="39"/>
        <v>5.706000866652923E-2</v>
      </c>
      <c r="AP19" s="101">
        <f t="shared" si="40"/>
        <v>5.7059994597708705E-2</v>
      </c>
      <c r="AQ19" s="101">
        <f t="shared" si="41"/>
        <v>5.7059997410679464E-2</v>
      </c>
      <c r="AR19" s="101">
        <f t="shared" si="42"/>
        <v>5.706000247650371E-2</v>
      </c>
      <c r="AS19" s="101">
        <f t="shared" si="43"/>
        <v>5.7060000787855281E-2</v>
      </c>
      <c r="AT19" s="101">
        <f t="shared" si="44"/>
        <v>5.705999881818679E-2</v>
      </c>
      <c r="AU19" s="101">
        <f t="shared" si="45"/>
        <v>5.7059999873306316E-2</v>
      </c>
      <c r="AV19" s="101">
        <f t="shared" si="2"/>
        <v>5.7060000488963022E-2</v>
      </c>
      <c r="AW19" s="101">
        <f t="shared" si="3"/>
        <v>5.7059999992077851E-2</v>
      </c>
      <c r="AX19" s="101">
        <f t="shared" si="4"/>
        <v>5.705999979313349E-2</v>
      </c>
      <c r="AY19" s="101">
        <f t="shared" si="5"/>
        <v>5.7060000036870173E-2</v>
      </c>
      <c r="AZ19" s="101">
        <f t="shared" si="6"/>
        <v>5.706000007776113E-2</v>
      </c>
      <c r="BA19" s="101">
        <f t="shared" si="7"/>
        <v>5.7059999974960661E-2</v>
      </c>
      <c r="BB19" s="101">
        <f t="shared" si="8"/>
        <v>5.7059999970681362E-2</v>
      </c>
      <c r="BC19" s="101">
        <f t="shared" si="9"/>
        <v>5.7060000015068335E-2</v>
      </c>
      <c r="BD19" s="101">
        <f t="shared" si="10"/>
        <v>5.7060000009617876E-2</v>
      </c>
    </row>
    <row r="20" spans="1:56" x14ac:dyDescent="0.25">
      <c r="A20" s="89" t="s">
        <v>235</v>
      </c>
      <c r="B20" s="92" t="s">
        <v>343</v>
      </c>
      <c r="C20" s="89" t="s">
        <v>342</v>
      </c>
      <c r="D20" s="89" t="s">
        <v>341</v>
      </c>
      <c r="E20" s="100">
        <f>'BPS 2019'!P24/100</f>
        <v>3.3599999999999998E-2</v>
      </c>
      <c r="F20" s="100">
        <f>'BPS 2020'!F24/100</f>
        <v>-5.7800000000000004E-2</v>
      </c>
      <c r="G20" s="100">
        <f>'BPS 2021'!F24/100</f>
        <v>-1.32E-2</v>
      </c>
      <c r="H20" s="100">
        <f>'BPS 2022'!F24/100</f>
        <v>-2.3399999999999997E-2</v>
      </c>
      <c r="I20" s="100">
        <f>'BPS 2023'!F24/100</f>
        <v>4.8000000000000001E-2</v>
      </c>
      <c r="J20" s="100">
        <f>'BPS 2024'!F24/100</f>
        <v>3.49E-2</v>
      </c>
      <c r="K20" s="100">
        <f>'BPS 2025'!F24/100</f>
        <v>-1.37E-2</v>
      </c>
      <c r="L20" s="101">
        <f t="shared" si="1"/>
        <v>1.1450000000000002E-2</v>
      </c>
      <c r="M20" s="101">
        <f t="shared" si="11"/>
        <v>2.01625E-2</v>
      </c>
      <c r="N20" s="101">
        <f t="shared" si="12"/>
        <v>1.3203125E-2</v>
      </c>
      <c r="O20" s="101">
        <f t="shared" si="13"/>
        <v>7.7789062500000002E-3</v>
      </c>
      <c r="P20" s="101">
        <f t="shared" si="14"/>
        <v>1.31486328125E-2</v>
      </c>
      <c r="Q20" s="101">
        <f t="shared" si="15"/>
        <v>1.3573291015624999E-2</v>
      </c>
      <c r="R20" s="101">
        <f t="shared" si="16"/>
        <v>1.192598876953125E-2</v>
      </c>
      <c r="S20" s="101">
        <f t="shared" si="17"/>
        <v>1.1606704711914063E-2</v>
      </c>
      <c r="T20" s="101">
        <f t="shared" si="18"/>
        <v>1.2563654327392579E-2</v>
      </c>
      <c r="U20" s="101">
        <f t="shared" si="19"/>
        <v>1.2417409706115722E-2</v>
      </c>
      <c r="V20" s="101">
        <f t="shared" si="20"/>
        <v>1.2128439378738403E-2</v>
      </c>
      <c r="W20" s="101">
        <f t="shared" si="21"/>
        <v>1.2179052031040194E-2</v>
      </c>
      <c r="X20" s="101">
        <f t="shared" si="22"/>
        <v>1.2322138860821725E-2</v>
      </c>
      <c r="Y20" s="101">
        <f t="shared" si="23"/>
        <v>1.226175999417901E-2</v>
      </c>
      <c r="Z20" s="101">
        <f t="shared" si="24"/>
        <v>1.2222847566194833E-2</v>
      </c>
      <c r="AA20" s="101">
        <f t="shared" si="25"/>
        <v>1.224644961305894E-2</v>
      </c>
      <c r="AB20" s="101">
        <f t="shared" si="26"/>
        <v>1.2263299008563627E-2</v>
      </c>
      <c r="AC20" s="101">
        <f t="shared" si="27"/>
        <v>1.2248589045499102E-2</v>
      </c>
      <c r="AD20" s="101">
        <f t="shared" si="28"/>
        <v>1.2245296308329125E-2</v>
      </c>
      <c r="AE20" s="101">
        <f t="shared" si="29"/>
        <v>1.2250908493862699E-2</v>
      </c>
      <c r="AF20" s="101">
        <f t="shared" si="30"/>
        <v>1.2252023214063637E-2</v>
      </c>
      <c r="AG20" s="101">
        <f t="shared" si="31"/>
        <v>1.2249204265438641E-2</v>
      </c>
      <c r="AH20" s="101">
        <f t="shared" si="32"/>
        <v>1.2249358070423527E-2</v>
      </c>
      <c r="AI20" s="101">
        <f t="shared" si="33"/>
        <v>1.2250373510947127E-2</v>
      </c>
      <c r="AJ20" s="101">
        <f t="shared" si="34"/>
        <v>1.2250239765218232E-2</v>
      </c>
      <c r="AK20" s="101">
        <f t="shared" si="35"/>
        <v>1.2249793903006881E-2</v>
      </c>
      <c r="AL20" s="101">
        <f t="shared" si="36"/>
        <v>1.2249941312398942E-2</v>
      </c>
      <c r="AM20" s="101">
        <f t="shared" si="37"/>
        <v>1.2250087122892795E-2</v>
      </c>
      <c r="AN20" s="101">
        <f t="shared" si="38"/>
        <v>1.2250015525879211E-2</v>
      </c>
      <c r="AO20" s="101">
        <f t="shared" si="39"/>
        <v>1.2249959466044458E-2</v>
      </c>
      <c r="AP20" s="101">
        <f t="shared" si="40"/>
        <v>1.2250000856803851E-2</v>
      </c>
      <c r="AQ20" s="101">
        <f t="shared" si="41"/>
        <v>1.2250015742905077E-2</v>
      </c>
      <c r="AR20" s="101">
        <f t="shared" si="42"/>
        <v>1.2249997897908149E-2</v>
      </c>
      <c r="AS20" s="101">
        <f t="shared" si="43"/>
        <v>1.2249993490915384E-2</v>
      </c>
      <c r="AT20" s="101">
        <f t="shared" si="44"/>
        <v>1.2250001997133116E-2</v>
      </c>
      <c r="AU20" s="101">
        <f t="shared" si="45"/>
        <v>1.2250002282215431E-2</v>
      </c>
      <c r="AV20" s="101">
        <f t="shared" si="2"/>
        <v>1.2249998917043019E-2</v>
      </c>
      <c r="AW20" s="101">
        <f t="shared" si="3"/>
        <v>1.2249999171826738E-2</v>
      </c>
      <c r="AX20" s="101">
        <f t="shared" si="4"/>
        <v>1.2250000592054576E-2</v>
      </c>
      <c r="AY20" s="101">
        <f t="shared" si="5"/>
        <v>1.2250000240784941E-2</v>
      </c>
      <c r="AZ20" s="101">
        <f t="shared" si="6"/>
        <v>1.224999973042732E-2</v>
      </c>
      <c r="BA20" s="101">
        <f t="shared" si="7"/>
        <v>1.2249999933773395E-2</v>
      </c>
      <c r="BB20" s="101">
        <f t="shared" si="8"/>
        <v>1.2250000124260059E-2</v>
      </c>
      <c r="BC20" s="101">
        <f t="shared" si="9"/>
        <v>1.2250000007311428E-2</v>
      </c>
      <c r="BD20" s="101">
        <f t="shared" si="10"/>
        <v>1.224999994894305E-2</v>
      </c>
    </row>
    <row r="21" spans="1:56" x14ac:dyDescent="0.25">
      <c r="A21" s="89" t="s">
        <v>235</v>
      </c>
      <c r="B21" s="89" t="s">
        <v>340</v>
      </c>
      <c r="C21" s="89" t="s">
        <v>339</v>
      </c>
      <c r="D21" s="89" t="s">
        <v>338</v>
      </c>
      <c r="E21" s="100">
        <f>'BPS 2019'!P25/100</f>
        <v>0.1535</v>
      </c>
      <c r="F21" s="100">
        <f>'BPS 2020'!F25/100</f>
        <v>-8.8800000000000004E-2</v>
      </c>
      <c r="G21" s="100">
        <f>'BPS 2021'!F25/100</f>
        <v>-4.0800000000000003E-2</v>
      </c>
      <c r="H21" s="100">
        <f>'BPS 2022'!F25/100</f>
        <v>9.3399999999999997E-2</v>
      </c>
      <c r="I21" s="100">
        <f>'BPS 2023'!F25/100</f>
        <v>-1.9799999999999998E-2</v>
      </c>
      <c r="J21" s="100">
        <f>'BPS 2024'!F25/100</f>
        <v>4.2599999999999999E-2</v>
      </c>
      <c r="K21" s="100">
        <f>'BPS 2025'!F25/100</f>
        <v>3.5499999999999997E-2</v>
      </c>
      <c r="L21" s="101">
        <f t="shared" si="1"/>
        <v>3.7925E-2</v>
      </c>
      <c r="M21" s="101">
        <f t="shared" si="11"/>
        <v>2.4056250000000001E-2</v>
      </c>
      <c r="N21" s="101">
        <f t="shared" si="12"/>
        <v>3.5020312499999998E-2</v>
      </c>
      <c r="O21" s="101">
        <f t="shared" si="13"/>
        <v>3.3125390625000001E-2</v>
      </c>
      <c r="P21" s="101">
        <f t="shared" si="14"/>
        <v>3.253173828125E-2</v>
      </c>
      <c r="Q21" s="101">
        <f t="shared" si="15"/>
        <v>3.11834228515625E-2</v>
      </c>
      <c r="R21" s="101">
        <f t="shared" si="16"/>
        <v>3.2965216064453122E-2</v>
      </c>
      <c r="S21" s="101">
        <f t="shared" si="17"/>
        <v>3.2451441955566408E-2</v>
      </c>
      <c r="T21" s="101">
        <f t="shared" si="18"/>
        <v>3.2282954788208008E-2</v>
      </c>
      <c r="U21" s="101">
        <f t="shared" si="19"/>
        <v>3.2220758914947509E-2</v>
      </c>
      <c r="V21" s="101">
        <f t="shared" si="20"/>
        <v>3.2480092930793764E-2</v>
      </c>
      <c r="W21" s="101">
        <f t="shared" si="21"/>
        <v>3.2358812147378922E-2</v>
      </c>
      <c r="X21" s="101">
        <f t="shared" si="22"/>
        <v>3.2335654695332054E-2</v>
      </c>
      <c r="Y21" s="101">
        <f t="shared" si="23"/>
        <v>3.2348829672113062E-2</v>
      </c>
      <c r="Z21" s="101">
        <f t="shared" si="24"/>
        <v>3.2380847361404452E-2</v>
      </c>
      <c r="AA21" s="101">
        <f t="shared" si="25"/>
        <v>3.2356035969057124E-2</v>
      </c>
      <c r="AB21" s="101">
        <f t="shared" si="26"/>
        <v>3.2355341924476672E-2</v>
      </c>
      <c r="AC21" s="101">
        <f t="shared" si="27"/>
        <v>3.2360263731762824E-2</v>
      </c>
      <c r="AD21" s="101">
        <f t="shared" si="28"/>
        <v>3.2363122246675265E-2</v>
      </c>
      <c r="AE21" s="101">
        <f t="shared" si="29"/>
        <v>3.2358690967992966E-2</v>
      </c>
      <c r="AF21" s="101">
        <f t="shared" si="30"/>
        <v>3.2359354717726926E-2</v>
      </c>
      <c r="AG21" s="101">
        <f t="shared" si="31"/>
        <v>3.2360357916039501E-2</v>
      </c>
      <c r="AH21" s="101">
        <f t="shared" si="32"/>
        <v>3.2360381462108664E-2</v>
      </c>
      <c r="AI21" s="101">
        <f t="shared" si="33"/>
        <v>3.235969626596702E-2</v>
      </c>
      <c r="AJ21" s="101">
        <f t="shared" si="34"/>
        <v>3.2359947590460528E-2</v>
      </c>
      <c r="AK21" s="101">
        <f t="shared" si="35"/>
        <v>3.2360095808643928E-2</v>
      </c>
      <c r="AL21" s="101">
        <f t="shared" si="36"/>
        <v>3.2360030281795037E-2</v>
      </c>
      <c r="AM21" s="101">
        <f t="shared" si="37"/>
        <v>3.2359942486716628E-2</v>
      </c>
      <c r="AN21" s="101">
        <f t="shared" si="38"/>
        <v>3.2360004041904034E-2</v>
      </c>
      <c r="AO21" s="101">
        <f t="shared" si="39"/>
        <v>3.2360018154764907E-2</v>
      </c>
      <c r="AP21" s="101">
        <f t="shared" si="40"/>
        <v>3.2359998741295151E-2</v>
      </c>
      <c r="AQ21" s="101">
        <f t="shared" si="41"/>
        <v>3.2359990856170182E-2</v>
      </c>
      <c r="AR21" s="101">
        <f t="shared" si="42"/>
        <v>3.236000294853357E-2</v>
      </c>
      <c r="AS21" s="101">
        <f t="shared" si="43"/>
        <v>3.2360002675190951E-2</v>
      </c>
      <c r="AT21" s="101">
        <f t="shared" si="44"/>
        <v>3.2359998805297462E-2</v>
      </c>
      <c r="AU21" s="101">
        <f t="shared" si="45"/>
        <v>3.2359998821298044E-2</v>
      </c>
      <c r="AV21" s="101">
        <f t="shared" si="2"/>
        <v>3.2360000812580003E-2</v>
      </c>
      <c r="AW21" s="101">
        <f t="shared" si="3"/>
        <v>3.2360000278591615E-2</v>
      </c>
      <c r="AX21" s="101">
        <f t="shared" si="4"/>
        <v>3.2359999679441781E-2</v>
      </c>
      <c r="AY21" s="101">
        <f t="shared" si="5"/>
        <v>3.2359999897977859E-2</v>
      </c>
      <c r="AZ21" s="101">
        <f t="shared" si="6"/>
        <v>3.2360000167147816E-2</v>
      </c>
      <c r="BA21" s="101">
        <f t="shared" si="7"/>
        <v>3.2360000005789771E-2</v>
      </c>
      <c r="BB21" s="101">
        <f t="shared" si="8"/>
        <v>3.2359999937589312E-2</v>
      </c>
      <c r="BC21" s="101">
        <f t="shared" si="9"/>
        <v>3.2360000002126188E-2</v>
      </c>
      <c r="BD21" s="101">
        <f t="shared" si="10"/>
        <v>3.236000002816327E-2</v>
      </c>
    </row>
    <row r="22" spans="1:56" x14ac:dyDescent="0.25">
      <c r="A22" s="89" t="s">
        <v>235</v>
      </c>
      <c r="B22" s="92" t="s">
        <v>337</v>
      </c>
      <c r="C22" s="89" t="s">
        <v>336</v>
      </c>
      <c r="D22" s="89" t="s">
        <v>335</v>
      </c>
      <c r="E22" s="100">
        <f>'BPS 2019'!P26/100</f>
        <v>-9.8999999999999991E-3</v>
      </c>
      <c r="F22" s="100">
        <f>'BPS 2020'!F26/100</f>
        <v>-8.7599999999999997E-2</v>
      </c>
      <c r="G22" s="100">
        <f>'BPS 2021'!F26/100</f>
        <v>7.7499999999999999E-2</v>
      </c>
      <c r="H22" s="100">
        <f>'BPS 2022'!F26/100</f>
        <v>9.3599999999999989E-2</v>
      </c>
      <c r="I22" s="100">
        <f>'BPS 2023'!F26/100</f>
        <v>-3.4000000000000002E-3</v>
      </c>
      <c r="J22" s="100">
        <f>'BPS 2024'!F26/100</f>
        <v>6.83E-2</v>
      </c>
      <c r="K22" s="100">
        <f>'BPS 2025'!F26/100</f>
        <v>3.3099999999999997E-2</v>
      </c>
      <c r="L22" s="101">
        <f t="shared" si="1"/>
        <v>4.7899999999999991E-2</v>
      </c>
      <c r="M22" s="101">
        <f t="shared" si="11"/>
        <v>3.6475E-2</v>
      </c>
      <c r="N22" s="101">
        <f t="shared" si="12"/>
        <v>4.6443749999999999E-2</v>
      </c>
      <c r="O22" s="101">
        <f t="shared" si="13"/>
        <v>4.09796875E-2</v>
      </c>
      <c r="P22" s="101">
        <f t="shared" si="14"/>
        <v>4.2949609374999996E-2</v>
      </c>
      <c r="Q22" s="101">
        <f t="shared" si="15"/>
        <v>4.1712011718749997E-2</v>
      </c>
      <c r="R22" s="101">
        <f t="shared" si="16"/>
        <v>4.3021264648437502E-2</v>
      </c>
      <c r="S22" s="101">
        <f t="shared" si="17"/>
        <v>4.2165643310546876E-2</v>
      </c>
      <c r="T22" s="101">
        <f t="shared" si="18"/>
        <v>4.2462132263183593E-2</v>
      </c>
      <c r="U22" s="101">
        <f t="shared" si="19"/>
        <v>4.2340262985229492E-2</v>
      </c>
      <c r="V22" s="101">
        <f t="shared" si="20"/>
        <v>4.2497325801849367E-2</v>
      </c>
      <c r="W22" s="101">
        <f t="shared" si="21"/>
        <v>4.2366341090202334E-2</v>
      </c>
      <c r="X22" s="101">
        <f t="shared" si="22"/>
        <v>4.2416515535116189E-2</v>
      </c>
      <c r="Y22" s="101">
        <f t="shared" si="23"/>
        <v>4.2405111353099344E-2</v>
      </c>
      <c r="Z22" s="101">
        <f t="shared" si="24"/>
        <v>4.2421323445066807E-2</v>
      </c>
      <c r="AA22" s="101">
        <f t="shared" si="25"/>
        <v>4.2402322855871165E-2</v>
      </c>
      <c r="AB22" s="101">
        <f t="shared" si="26"/>
        <v>4.2411318297288378E-2</v>
      </c>
      <c r="AC22" s="101">
        <f t="shared" si="27"/>
        <v>4.2410018987831422E-2</v>
      </c>
      <c r="AD22" s="101">
        <f t="shared" si="28"/>
        <v>4.2411245896514446E-2</v>
      </c>
      <c r="AE22" s="101">
        <f t="shared" si="29"/>
        <v>4.2408726509376354E-2</v>
      </c>
      <c r="AF22" s="101">
        <f t="shared" si="30"/>
        <v>4.241032742275265E-2</v>
      </c>
      <c r="AG22" s="101">
        <f t="shared" si="31"/>
        <v>4.2410079704118711E-2</v>
      </c>
      <c r="AH22" s="101">
        <f t="shared" si="32"/>
        <v>4.2410094883190544E-2</v>
      </c>
      <c r="AI22" s="101">
        <f t="shared" si="33"/>
        <v>4.2409807129859561E-2</v>
      </c>
      <c r="AJ22" s="101">
        <f t="shared" si="34"/>
        <v>4.241007728498037E-2</v>
      </c>
      <c r="AK22" s="101">
        <f t="shared" si="35"/>
        <v>4.2410014750537295E-2</v>
      </c>
      <c r="AL22" s="101">
        <f t="shared" si="36"/>
        <v>4.2409998512141944E-2</v>
      </c>
      <c r="AM22" s="101">
        <f t="shared" si="37"/>
        <v>4.2409974419379791E-2</v>
      </c>
      <c r="AN22" s="101">
        <f t="shared" si="38"/>
        <v>4.241001624175985E-2</v>
      </c>
      <c r="AO22" s="101">
        <f t="shared" si="39"/>
        <v>4.2410000980954723E-2</v>
      </c>
      <c r="AP22" s="101">
        <f t="shared" si="40"/>
        <v>4.2409997538559077E-2</v>
      </c>
      <c r="AQ22" s="101">
        <f t="shared" si="41"/>
        <v>4.2409997295163357E-2</v>
      </c>
      <c r="AR22" s="101">
        <f t="shared" si="42"/>
        <v>4.2410003014109257E-2</v>
      </c>
      <c r="AS22" s="101">
        <f t="shared" si="43"/>
        <v>4.2409999707196597E-2</v>
      </c>
      <c r="AT22" s="101">
        <f t="shared" si="44"/>
        <v>4.2409999388757072E-2</v>
      </c>
      <c r="AU22" s="101">
        <f t="shared" si="45"/>
        <v>4.2409999851306571E-2</v>
      </c>
      <c r="AV22" s="101">
        <f t="shared" si="2"/>
        <v>4.2410000490342367E-2</v>
      </c>
      <c r="AW22" s="101">
        <f t="shared" si="3"/>
        <v>4.2409999859400652E-2</v>
      </c>
      <c r="AX22" s="101">
        <f t="shared" si="4"/>
        <v>4.2409999897451658E-2</v>
      </c>
      <c r="AY22" s="101">
        <f t="shared" si="5"/>
        <v>4.2410000024625305E-2</v>
      </c>
      <c r="AZ22" s="101">
        <f t="shared" si="6"/>
        <v>4.2410000067954992E-2</v>
      </c>
      <c r="BA22" s="101">
        <f t="shared" si="7"/>
        <v>4.2409999962358155E-2</v>
      </c>
      <c r="BB22" s="101">
        <f t="shared" si="8"/>
        <v>4.2409999988097524E-2</v>
      </c>
      <c r="BC22" s="101">
        <f t="shared" si="9"/>
        <v>4.2410000010758994E-2</v>
      </c>
      <c r="BD22" s="101">
        <f t="shared" si="10"/>
        <v>4.241000000729242E-2</v>
      </c>
    </row>
    <row r="23" spans="1:56" x14ac:dyDescent="0.25">
      <c r="A23" s="89" t="s">
        <v>235</v>
      </c>
      <c r="B23" s="89" t="s">
        <v>334</v>
      </c>
      <c r="C23" s="89" t="s">
        <v>333</v>
      </c>
      <c r="D23" s="89" t="s">
        <v>332</v>
      </c>
      <c r="E23" s="100">
        <f>'BPS 2019'!P27/100</f>
        <v>-4.5499999999999999E-2</v>
      </c>
      <c r="F23" s="100">
        <f>'BPS 2020'!F27/100</f>
        <v>-2.1600000000000001E-2</v>
      </c>
      <c r="G23" s="100">
        <f>'BPS 2021'!F27/100</f>
        <v>-3.7100000000000001E-2</v>
      </c>
      <c r="H23" s="100">
        <f>'BPS 2022'!F27/100</f>
        <v>5.8999999999999999E-3</v>
      </c>
      <c r="I23" s="100">
        <f>'BPS 2023'!F27/100</f>
        <v>1.2E-2</v>
      </c>
      <c r="J23" s="100">
        <f>'BPS 2024'!F27/100</f>
        <v>2.7900000000000001E-2</v>
      </c>
      <c r="K23" s="100">
        <f>'BPS 2025'!F27/100</f>
        <v>-3.2899999999999999E-2</v>
      </c>
      <c r="L23" s="101">
        <f t="shared" si="1"/>
        <v>3.2250000000000004E-3</v>
      </c>
      <c r="M23" s="101">
        <f t="shared" si="11"/>
        <v>2.5562500000000017E-3</v>
      </c>
      <c r="N23" s="101">
        <f t="shared" si="12"/>
        <v>1.9531250000000115E-4</v>
      </c>
      <c r="O23" s="101">
        <f t="shared" si="13"/>
        <v>-6.7308593749999986E-3</v>
      </c>
      <c r="P23" s="101">
        <f t="shared" si="14"/>
        <v>-1.8857421874999896E-4</v>
      </c>
      <c r="Q23" s="101">
        <f t="shared" si="15"/>
        <v>-1.0419677734374989E-3</v>
      </c>
      <c r="R23" s="101">
        <f t="shared" si="16"/>
        <v>-1.9415222167968741E-3</v>
      </c>
      <c r="S23" s="101">
        <f t="shared" si="17"/>
        <v>-2.4757308959960931E-3</v>
      </c>
      <c r="T23" s="101">
        <f t="shared" si="18"/>
        <v>-1.4119487762451163E-3</v>
      </c>
      <c r="U23" s="101">
        <f t="shared" si="19"/>
        <v>-1.7177924156188957E-3</v>
      </c>
      <c r="V23" s="101">
        <f t="shared" si="20"/>
        <v>-1.8867485761642449E-3</v>
      </c>
      <c r="W23" s="101">
        <f t="shared" si="21"/>
        <v>-1.8730551660060876E-3</v>
      </c>
      <c r="X23" s="101">
        <f t="shared" si="22"/>
        <v>-1.722386233508586E-3</v>
      </c>
      <c r="Y23" s="101">
        <f t="shared" si="23"/>
        <v>-1.7999955978244535E-3</v>
      </c>
      <c r="Z23" s="101">
        <f t="shared" si="24"/>
        <v>-1.8205463933758429E-3</v>
      </c>
      <c r="AA23" s="101">
        <f t="shared" si="25"/>
        <v>-1.8039958476787424E-3</v>
      </c>
      <c r="AB23" s="101">
        <f t="shared" si="26"/>
        <v>-1.7867310180969061E-3</v>
      </c>
      <c r="AC23" s="101">
        <f t="shared" si="27"/>
        <v>-1.8028172142439862E-3</v>
      </c>
      <c r="AD23" s="101">
        <f t="shared" si="28"/>
        <v>-1.8035226183488694E-3</v>
      </c>
      <c r="AE23" s="101">
        <f t="shared" si="29"/>
        <v>-1.7992666745921262E-3</v>
      </c>
      <c r="AF23" s="101">
        <f t="shared" si="30"/>
        <v>-1.7980843813204719E-3</v>
      </c>
      <c r="AG23" s="101">
        <f t="shared" si="31"/>
        <v>-1.8009227221263634E-3</v>
      </c>
      <c r="AH23" s="101">
        <f t="shared" si="32"/>
        <v>-1.8004490990969576E-3</v>
      </c>
      <c r="AI23" s="101">
        <f t="shared" si="33"/>
        <v>-1.7996807192839797E-3</v>
      </c>
      <c r="AJ23" s="101">
        <f t="shared" si="34"/>
        <v>-1.799784230456943E-3</v>
      </c>
      <c r="AK23" s="101">
        <f t="shared" si="35"/>
        <v>-1.8002091927410608E-3</v>
      </c>
      <c r="AL23" s="101">
        <f t="shared" si="36"/>
        <v>-1.8000308103947352E-3</v>
      </c>
      <c r="AM23" s="101">
        <f t="shared" si="37"/>
        <v>-1.7999262382191797E-3</v>
      </c>
      <c r="AN23" s="101">
        <f t="shared" si="38"/>
        <v>-1.7999876179529797E-3</v>
      </c>
      <c r="AO23" s="101">
        <f t="shared" si="39"/>
        <v>-1.8000384648269889E-3</v>
      </c>
      <c r="AP23" s="101">
        <f t="shared" si="40"/>
        <v>-1.7999957828484709E-3</v>
      </c>
      <c r="AQ23" s="101">
        <f t="shared" si="41"/>
        <v>-1.7999870259619048E-3</v>
      </c>
      <c r="AR23" s="101">
        <f t="shared" si="42"/>
        <v>-1.8000022228975862E-3</v>
      </c>
      <c r="AS23" s="101">
        <f t="shared" si="43"/>
        <v>-1.8000058741337375E-3</v>
      </c>
      <c r="AT23" s="101">
        <f t="shared" si="44"/>
        <v>-1.799997726460425E-3</v>
      </c>
      <c r="AU23" s="101">
        <f t="shared" si="45"/>
        <v>-1.7999982123634132E-3</v>
      </c>
      <c r="AV23" s="101">
        <f t="shared" si="2"/>
        <v>-1.8000010089637905E-3</v>
      </c>
      <c r="AW23" s="101">
        <f t="shared" si="3"/>
        <v>-1.8000007054803416E-3</v>
      </c>
      <c r="AX23" s="101">
        <f t="shared" si="4"/>
        <v>-1.7999994133169927E-3</v>
      </c>
      <c r="AY23" s="101">
        <f t="shared" si="5"/>
        <v>-1.7999998350311343E-3</v>
      </c>
      <c r="AZ23" s="101">
        <f t="shared" si="6"/>
        <v>-1.8000002406980647E-3</v>
      </c>
      <c r="BA23" s="101">
        <f t="shared" si="7"/>
        <v>-1.8000000486316334E-3</v>
      </c>
      <c r="BB23" s="101">
        <f t="shared" si="8"/>
        <v>-1.7999998844194561E-3</v>
      </c>
      <c r="BC23" s="101">
        <f t="shared" si="9"/>
        <v>-1.8000000021950722E-3</v>
      </c>
      <c r="BD23" s="101">
        <f t="shared" si="10"/>
        <v>-1.8000000439860565E-3</v>
      </c>
    </row>
    <row r="24" spans="1:56" x14ac:dyDescent="0.25">
      <c r="A24" s="89" t="s">
        <v>235</v>
      </c>
      <c r="B24" s="92" t="s">
        <v>331</v>
      </c>
      <c r="C24" s="89" t="s">
        <v>330</v>
      </c>
      <c r="D24" s="89" t="s">
        <v>329</v>
      </c>
      <c r="E24" s="100">
        <f>'BPS 2019'!P28/100</f>
        <v>8.8599999999999998E-2</v>
      </c>
      <c r="F24" s="100">
        <f>'BPS 2020'!F28/100</f>
        <v>2.2000000000000001E-3</v>
      </c>
      <c r="G24" s="100">
        <f>'BPS 2021'!F28/100</f>
        <v>-2.8900000000000002E-2</v>
      </c>
      <c r="H24" s="100">
        <f>'BPS 2022'!F28/100</f>
        <v>3.73E-2</v>
      </c>
      <c r="I24" s="100">
        <f>'BPS 2023'!F28/100</f>
        <v>4.5199999999999997E-2</v>
      </c>
      <c r="J24" s="100">
        <f>'BPS 2024'!F28/100</f>
        <v>2.6099999999999998E-2</v>
      </c>
      <c r="K24" s="100">
        <f>'BPS 2025'!F28/100</f>
        <v>3.3599999999999998E-2</v>
      </c>
      <c r="L24" s="101">
        <f t="shared" si="1"/>
        <v>3.5549999999999998E-2</v>
      </c>
      <c r="M24" s="101">
        <f t="shared" si="11"/>
        <v>3.5112499999999998E-2</v>
      </c>
      <c r="N24" s="101">
        <f t="shared" si="12"/>
        <v>3.2590624999999998E-2</v>
      </c>
      <c r="O24" s="101">
        <f t="shared" si="13"/>
        <v>3.4213281249999991E-2</v>
      </c>
      <c r="P24" s="101">
        <f t="shared" si="14"/>
        <v>3.4366601562499995E-2</v>
      </c>
      <c r="Q24" s="101">
        <f t="shared" si="15"/>
        <v>3.4070751953124999E-2</v>
      </c>
      <c r="R24" s="101">
        <f t="shared" si="16"/>
        <v>3.3810314941406246E-2</v>
      </c>
      <c r="S24" s="101">
        <f t="shared" si="17"/>
        <v>3.4115237426757809E-2</v>
      </c>
      <c r="T24" s="101">
        <f t="shared" si="18"/>
        <v>3.4090726470947262E-2</v>
      </c>
      <c r="U24" s="101">
        <f t="shared" si="19"/>
        <v>3.4021757698059082E-2</v>
      </c>
      <c r="V24" s="101">
        <f t="shared" si="20"/>
        <v>3.4009509134292598E-2</v>
      </c>
      <c r="W24" s="101">
        <f t="shared" si="21"/>
        <v>3.4059307682514188E-2</v>
      </c>
      <c r="X24" s="101">
        <f t="shared" si="22"/>
        <v>3.4045325246453283E-2</v>
      </c>
      <c r="Y24" s="101">
        <f t="shared" si="23"/>
        <v>3.4033974940329788E-2</v>
      </c>
      <c r="Z24" s="101">
        <f t="shared" si="24"/>
        <v>3.4037029250897466E-2</v>
      </c>
      <c r="AA24" s="101">
        <f t="shared" si="25"/>
        <v>3.4043909280048683E-2</v>
      </c>
      <c r="AB24" s="101">
        <f t="shared" si="26"/>
        <v>3.4040059679432307E-2</v>
      </c>
      <c r="AC24" s="101">
        <f t="shared" si="27"/>
        <v>3.4038743287677059E-2</v>
      </c>
      <c r="AD24" s="101">
        <f t="shared" si="28"/>
        <v>3.4039935374513879E-2</v>
      </c>
      <c r="AE24" s="101">
        <f t="shared" si="29"/>
        <v>3.4040661905417983E-2</v>
      </c>
      <c r="AF24" s="101">
        <f t="shared" si="30"/>
        <v>3.4039850061760309E-2</v>
      </c>
      <c r="AG24" s="101">
        <f t="shared" si="31"/>
        <v>3.4039797657342309E-2</v>
      </c>
      <c r="AH24" s="101">
        <f t="shared" si="32"/>
        <v>3.404006124975862E-2</v>
      </c>
      <c r="AI24" s="101">
        <f t="shared" si="33"/>
        <v>3.4040092718569802E-2</v>
      </c>
      <c r="AJ24" s="101">
        <f t="shared" si="34"/>
        <v>3.4039950421857763E-2</v>
      </c>
      <c r="AK24" s="101">
        <f t="shared" si="35"/>
        <v>3.403997551188212E-2</v>
      </c>
      <c r="AL24" s="101">
        <f t="shared" si="36"/>
        <v>3.4040019975517075E-2</v>
      </c>
      <c r="AM24" s="101">
        <f t="shared" si="37"/>
        <v>3.4040009656956693E-2</v>
      </c>
      <c r="AN24" s="101">
        <f t="shared" si="38"/>
        <v>3.4039988891553408E-2</v>
      </c>
      <c r="AO24" s="101">
        <f t="shared" si="39"/>
        <v>3.403999850897732E-2</v>
      </c>
      <c r="AP24" s="101">
        <f t="shared" si="40"/>
        <v>3.4040004258251128E-2</v>
      </c>
      <c r="AQ24" s="101">
        <f t="shared" si="41"/>
        <v>3.4040000328934637E-2</v>
      </c>
      <c r="AR24" s="101">
        <f t="shared" si="42"/>
        <v>3.4039997996929125E-2</v>
      </c>
      <c r="AS24" s="101">
        <f t="shared" si="43"/>
        <v>3.4040000273273058E-2</v>
      </c>
      <c r="AT24" s="101">
        <f t="shared" si="44"/>
        <v>3.4040000714346985E-2</v>
      </c>
      <c r="AU24" s="101">
        <f t="shared" si="45"/>
        <v>3.403999982837095E-2</v>
      </c>
      <c r="AV24" s="101">
        <f t="shared" si="2"/>
        <v>3.4039999703230031E-2</v>
      </c>
      <c r="AW24" s="101">
        <f t="shared" si="3"/>
        <v>3.4040000129805251E-2</v>
      </c>
      <c r="AX24" s="101">
        <f t="shared" si="4"/>
        <v>3.4040000093938302E-2</v>
      </c>
      <c r="AY24" s="101">
        <f t="shared" si="5"/>
        <v>3.4039999938836135E-2</v>
      </c>
      <c r="AZ24" s="101">
        <f t="shared" si="6"/>
        <v>3.4039999966452433E-2</v>
      </c>
      <c r="BA24" s="101">
        <f t="shared" si="7"/>
        <v>3.404000003225803E-2</v>
      </c>
      <c r="BB24" s="101">
        <f t="shared" si="8"/>
        <v>3.4040000007871225E-2</v>
      </c>
      <c r="BC24" s="101">
        <f t="shared" si="9"/>
        <v>3.4039999986354458E-2</v>
      </c>
      <c r="BD24" s="101">
        <f t="shared" si="10"/>
        <v>3.4039999998234038E-2</v>
      </c>
    </row>
    <row r="25" spans="1:56" x14ac:dyDescent="0.25">
      <c r="A25" s="89" t="s">
        <v>235</v>
      </c>
      <c r="B25" s="89" t="s">
        <v>328</v>
      </c>
      <c r="C25" s="89" t="s">
        <v>327</v>
      </c>
      <c r="D25" s="89" t="s">
        <v>326</v>
      </c>
      <c r="E25" s="100">
        <f>'BPS 2019'!P29/100</f>
        <v>8.48E-2</v>
      </c>
      <c r="F25" s="100">
        <f>'BPS 2020'!F29/100</f>
        <v>9.3900000000000011E-2</v>
      </c>
      <c r="G25" s="100">
        <f>'BPS 2021'!F29/100</f>
        <v>9.6099999999999991E-2</v>
      </c>
      <c r="H25" s="100">
        <f>'BPS 2022'!F29/100</f>
        <v>6.8999999999999999E-3</v>
      </c>
      <c r="I25" s="100">
        <f>'BPS 2023'!F29/100</f>
        <v>1.1000000000000001E-3</v>
      </c>
      <c r="J25" s="100">
        <f>'BPS 2024'!F29/100</f>
        <v>5.8600000000000006E-2</v>
      </c>
      <c r="K25" s="100">
        <f>'BPS 2025'!F29/100</f>
        <v>8.3499999999999991E-2</v>
      </c>
      <c r="L25" s="101">
        <f t="shared" si="1"/>
        <v>3.7525000000000003E-2</v>
      </c>
      <c r="M25" s="101">
        <f t="shared" si="11"/>
        <v>4.5181249999999999E-2</v>
      </c>
      <c r="N25" s="101">
        <f t="shared" si="12"/>
        <v>5.6201562500000003E-2</v>
      </c>
      <c r="O25" s="101">
        <f t="shared" si="13"/>
        <v>5.5601953124999999E-2</v>
      </c>
      <c r="P25" s="101">
        <f t="shared" si="14"/>
        <v>4.8627441406249999E-2</v>
      </c>
      <c r="Q25" s="101">
        <f t="shared" si="15"/>
        <v>5.1403051757812498E-2</v>
      </c>
      <c r="R25" s="101">
        <f t="shared" si="16"/>
        <v>5.2958502197265625E-2</v>
      </c>
      <c r="S25" s="101">
        <f t="shared" si="17"/>
        <v>5.2147737121582022E-2</v>
      </c>
      <c r="T25" s="101">
        <f t="shared" si="18"/>
        <v>5.1284183120727536E-2</v>
      </c>
      <c r="U25" s="101">
        <f t="shared" si="19"/>
        <v>5.1948368549346924E-2</v>
      </c>
      <c r="V25" s="101">
        <f t="shared" si="20"/>
        <v>5.2084697747230527E-2</v>
      </c>
      <c r="W25" s="101">
        <f t="shared" si="21"/>
        <v>5.1866246634721752E-2</v>
      </c>
      <c r="X25" s="101">
        <f t="shared" si="22"/>
        <v>5.1795874013006685E-2</v>
      </c>
      <c r="Y25" s="101">
        <f t="shared" si="23"/>
        <v>5.1923796736076472E-2</v>
      </c>
      <c r="Z25" s="101">
        <f t="shared" si="24"/>
        <v>5.1917653782758859E-2</v>
      </c>
      <c r="AA25" s="101">
        <f t="shared" si="25"/>
        <v>5.187589279164094E-2</v>
      </c>
      <c r="AB25" s="101">
        <f t="shared" si="26"/>
        <v>5.1878304330870734E-2</v>
      </c>
      <c r="AC25" s="101">
        <f t="shared" si="27"/>
        <v>5.1898911910336749E-2</v>
      </c>
      <c r="AD25" s="101">
        <f t="shared" si="28"/>
        <v>5.1892690703901817E-2</v>
      </c>
      <c r="AE25" s="101">
        <f t="shared" si="29"/>
        <v>5.1886449934187562E-2</v>
      </c>
      <c r="AF25" s="101">
        <f t="shared" si="30"/>
        <v>5.1889089219824214E-2</v>
      </c>
      <c r="AG25" s="101">
        <f t="shared" si="31"/>
        <v>5.1891785442062584E-2</v>
      </c>
      <c r="AH25" s="101">
        <f t="shared" si="32"/>
        <v>5.1890003824994042E-2</v>
      </c>
      <c r="AI25" s="101">
        <f t="shared" si="33"/>
        <v>5.1889332105267097E-2</v>
      </c>
      <c r="AJ25" s="101">
        <f t="shared" si="34"/>
        <v>5.1890052648036977E-2</v>
      </c>
      <c r="AK25" s="101">
        <f t="shared" si="35"/>
        <v>5.1890293505090175E-2</v>
      </c>
      <c r="AL25" s="101">
        <f t="shared" si="36"/>
        <v>5.1889920520847073E-2</v>
      </c>
      <c r="AM25" s="101">
        <f t="shared" si="37"/>
        <v>5.1889899694810331E-2</v>
      </c>
      <c r="AN25" s="101">
        <f t="shared" si="38"/>
        <v>5.1890041592196137E-2</v>
      </c>
      <c r="AO25" s="101">
        <f t="shared" si="39"/>
        <v>5.1890038828235924E-2</v>
      </c>
      <c r="AP25" s="101">
        <f t="shared" si="40"/>
        <v>5.1889975159022363E-2</v>
      </c>
      <c r="AQ25" s="101">
        <f t="shared" si="41"/>
        <v>5.1889988818566185E-2</v>
      </c>
      <c r="AR25" s="101">
        <f t="shared" si="42"/>
        <v>5.1890011099505154E-2</v>
      </c>
      <c r="AS25" s="101">
        <f t="shared" si="43"/>
        <v>5.1890003476332408E-2</v>
      </c>
      <c r="AT25" s="101">
        <f t="shared" si="44"/>
        <v>5.1889994638356522E-2</v>
      </c>
      <c r="AU25" s="101">
        <f t="shared" si="45"/>
        <v>5.1889999508190066E-2</v>
      </c>
      <c r="AV25" s="101">
        <f t="shared" si="2"/>
        <v>5.1890002180596036E-2</v>
      </c>
      <c r="AW25" s="101">
        <f t="shared" si="3"/>
        <v>5.1889999950868758E-2</v>
      </c>
      <c r="AX25" s="101">
        <f t="shared" si="4"/>
        <v>5.1889999069502847E-2</v>
      </c>
      <c r="AY25" s="101">
        <f t="shared" si="5"/>
        <v>5.1890000177289425E-2</v>
      </c>
      <c r="AZ25" s="101">
        <f t="shared" si="6"/>
        <v>5.1890000344564265E-2</v>
      </c>
      <c r="BA25" s="101">
        <f t="shared" si="7"/>
        <v>5.1889999885556322E-2</v>
      </c>
      <c r="BB25" s="101">
        <f t="shared" si="8"/>
        <v>5.1889999869228209E-2</v>
      </c>
      <c r="BC25" s="101">
        <f t="shared" si="9"/>
        <v>5.1890000069159552E-2</v>
      </c>
      <c r="BD25" s="101">
        <f t="shared" si="10"/>
        <v>5.1890000042127085E-2</v>
      </c>
    </row>
    <row r="26" spans="1:56" x14ac:dyDescent="0.25">
      <c r="A26" s="89" t="s">
        <v>235</v>
      </c>
      <c r="B26" s="92" t="s">
        <v>325</v>
      </c>
      <c r="C26" s="89" t="s">
        <v>324</v>
      </c>
      <c r="D26" s="89" t="s">
        <v>323</v>
      </c>
      <c r="E26" s="100">
        <f>'BPS 2019'!P30/100</f>
        <v>-5.5199999999999999E-2</v>
      </c>
      <c r="F26" s="100">
        <f>'BPS 2020'!F30/100</f>
        <v>-5.6100000000000004E-2</v>
      </c>
      <c r="G26" s="100">
        <f>'BPS 2021'!F30/100</f>
        <v>1.0800000000000001E-2</v>
      </c>
      <c r="H26" s="100">
        <f>'BPS 2022'!F30/100</f>
        <v>-4.0999999999999995E-2</v>
      </c>
      <c r="I26" s="100">
        <f>'BPS 2023'!F30/100</f>
        <v>-3.6299999999999999E-2</v>
      </c>
      <c r="J26" s="100">
        <f>'BPS 2024'!F30/100</f>
        <v>1.7500000000000002E-2</v>
      </c>
      <c r="K26" s="100">
        <f>'BPS 2025'!F30/100</f>
        <v>-4.07E-2</v>
      </c>
      <c r="L26" s="101">
        <f t="shared" si="1"/>
        <v>-2.5124999999999998E-2</v>
      </c>
      <c r="M26" s="101">
        <f t="shared" si="11"/>
        <v>-2.1156249999999998E-2</v>
      </c>
      <c r="N26" s="101">
        <f t="shared" si="12"/>
        <v>-1.7370312499999999E-2</v>
      </c>
      <c r="O26" s="101">
        <f t="shared" si="13"/>
        <v>-2.6087890624999999E-2</v>
      </c>
      <c r="P26" s="101">
        <f t="shared" si="14"/>
        <v>-2.2434863281249998E-2</v>
      </c>
      <c r="Q26" s="101">
        <f t="shared" si="15"/>
        <v>-2.1762329101562498E-2</v>
      </c>
      <c r="R26" s="101">
        <f t="shared" si="16"/>
        <v>-2.1913848876953121E-2</v>
      </c>
      <c r="S26" s="101">
        <f t="shared" si="17"/>
        <v>-2.3049732971191405E-2</v>
      </c>
      <c r="T26" s="101">
        <f t="shared" si="18"/>
        <v>-2.2290193557739257E-2</v>
      </c>
      <c r="U26" s="101">
        <f t="shared" si="19"/>
        <v>-2.225402612686157E-2</v>
      </c>
      <c r="V26" s="101">
        <f t="shared" si="20"/>
        <v>-2.237695038318634E-2</v>
      </c>
      <c r="W26" s="101">
        <f t="shared" si="21"/>
        <v>-2.2492725759744644E-2</v>
      </c>
      <c r="X26" s="101">
        <f t="shared" si="22"/>
        <v>-2.2353473956882954E-2</v>
      </c>
      <c r="Y26" s="101">
        <f t="shared" si="23"/>
        <v>-2.2369294056668876E-2</v>
      </c>
      <c r="Z26" s="101">
        <f t="shared" si="24"/>
        <v>-2.2398111039120705E-2</v>
      </c>
      <c r="AA26" s="101">
        <f t="shared" si="25"/>
        <v>-2.2403401203104294E-2</v>
      </c>
      <c r="AB26" s="101">
        <f t="shared" si="26"/>
        <v>-2.2381070063944207E-2</v>
      </c>
      <c r="AC26" s="101">
        <f t="shared" si="27"/>
        <v>-2.2387969090709524E-2</v>
      </c>
      <c r="AD26" s="101">
        <f t="shared" si="28"/>
        <v>-2.2392637849219681E-2</v>
      </c>
      <c r="AE26" s="101">
        <f t="shared" si="29"/>
        <v>-2.2391269551744426E-2</v>
      </c>
      <c r="AF26" s="101">
        <f t="shared" si="30"/>
        <v>-2.2388236638904456E-2</v>
      </c>
      <c r="AG26" s="101">
        <f t="shared" si="31"/>
        <v>-2.2390028282644525E-2</v>
      </c>
      <c r="AH26" s="101">
        <f t="shared" si="32"/>
        <v>-2.2390543080628274E-2</v>
      </c>
      <c r="AI26" s="101">
        <f t="shared" si="33"/>
        <v>-2.2390019388480419E-2</v>
      </c>
      <c r="AJ26" s="101">
        <f t="shared" si="34"/>
        <v>-2.238970684766442E-2</v>
      </c>
      <c r="AK26" s="101">
        <f t="shared" si="35"/>
        <v>-2.2390074399854409E-2</v>
      </c>
      <c r="AL26" s="101">
        <f t="shared" si="36"/>
        <v>-2.239008592915688E-2</v>
      </c>
      <c r="AM26" s="101">
        <f t="shared" si="37"/>
        <v>-2.2389971641289034E-2</v>
      </c>
      <c r="AN26" s="101">
        <f t="shared" si="38"/>
        <v>-2.2389959704491185E-2</v>
      </c>
      <c r="AO26" s="101">
        <f t="shared" si="39"/>
        <v>-2.2390022918697877E-2</v>
      </c>
      <c r="AP26" s="101">
        <f t="shared" si="40"/>
        <v>-2.2390010048408744E-2</v>
      </c>
      <c r="AQ26" s="101">
        <f t="shared" si="41"/>
        <v>-2.2389991078221712E-2</v>
      </c>
      <c r="AR26" s="101">
        <f t="shared" si="42"/>
        <v>-2.238999593745488E-2</v>
      </c>
      <c r="AS26" s="101">
        <f t="shared" si="43"/>
        <v>-2.2390004995695802E-2</v>
      </c>
      <c r="AT26" s="101">
        <f t="shared" si="44"/>
        <v>-2.2390000514945281E-2</v>
      </c>
      <c r="AU26" s="101">
        <f t="shared" si="45"/>
        <v>-2.2389998131579415E-2</v>
      </c>
      <c r="AV26" s="101">
        <f t="shared" si="2"/>
        <v>-2.2389999894918841E-2</v>
      </c>
      <c r="AW26" s="101">
        <f t="shared" si="3"/>
        <v>-2.2390000884284837E-2</v>
      </c>
      <c r="AX26" s="101">
        <f t="shared" si="4"/>
        <v>-2.2389999856432093E-2</v>
      </c>
      <c r="AY26" s="101">
        <f t="shared" si="5"/>
        <v>-2.2389999691803796E-2</v>
      </c>
      <c r="AZ26" s="101">
        <f t="shared" si="6"/>
        <v>-2.2390000081859894E-2</v>
      </c>
      <c r="BA26" s="101">
        <f t="shared" si="7"/>
        <v>-2.2390000128595156E-2</v>
      </c>
      <c r="BB26" s="101">
        <f t="shared" si="8"/>
        <v>-2.2389999939672736E-2</v>
      </c>
      <c r="BC26" s="101">
        <f t="shared" si="9"/>
        <v>-2.2389999960482895E-2</v>
      </c>
      <c r="BD26" s="101">
        <f t="shared" si="10"/>
        <v>-2.2390000027652669E-2</v>
      </c>
    </row>
    <row r="27" spans="1:56" x14ac:dyDescent="0.25">
      <c r="A27" s="89" t="s">
        <v>235</v>
      </c>
      <c r="B27" s="89" t="s">
        <v>322</v>
      </c>
      <c r="C27" s="89" t="s">
        <v>321</v>
      </c>
      <c r="D27" s="89" t="s">
        <v>320</v>
      </c>
      <c r="E27" s="100">
        <f>'BPS 2019'!P31/100</f>
        <v>-1.03E-2</v>
      </c>
      <c r="F27" s="100">
        <f>'BPS 2020'!F31/100</f>
        <v>-9.1300000000000006E-2</v>
      </c>
      <c r="G27" s="100">
        <f>'BPS 2021'!F31/100</f>
        <v>8.8999999999999999E-3</v>
      </c>
      <c r="H27" s="100">
        <f>'BPS 2022'!F31/100</f>
        <v>-0.02</v>
      </c>
      <c r="I27" s="100">
        <f>'BPS 2023'!F31/100</f>
        <v>4.1100000000000005E-2</v>
      </c>
      <c r="J27" s="100">
        <f>'BPS 2024'!F31/100</f>
        <v>-6.0000000000000001E-3</v>
      </c>
      <c r="K27" s="100">
        <f>'BPS 2025'!F31/100</f>
        <v>6.1600000000000002E-2</v>
      </c>
      <c r="L27" s="101">
        <f t="shared" si="1"/>
        <v>1.9175000000000001E-2</v>
      </c>
      <c r="M27" s="101">
        <f t="shared" si="11"/>
        <v>2.8968750000000001E-2</v>
      </c>
      <c r="N27" s="101">
        <f t="shared" si="12"/>
        <v>2.5935937500000002E-2</v>
      </c>
      <c r="O27" s="101">
        <f t="shared" si="13"/>
        <v>3.3919921875000002E-2</v>
      </c>
      <c r="P27" s="101">
        <f t="shared" si="14"/>
        <v>2.699990234375E-2</v>
      </c>
      <c r="Q27" s="101">
        <f t="shared" si="15"/>
        <v>2.8956127929687499E-2</v>
      </c>
      <c r="R27" s="101">
        <f t="shared" si="16"/>
        <v>2.8952972412109375E-2</v>
      </c>
      <c r="S27" s="101">
        <f t="shared" si="17"/>
        <v>2.9707231140136715E-2</v>
      </c>
      <c r="T27" s="101">
        <f t="shared" si="18"/>
        <v>2.8654058456420897E-2</v>
      </c>
      <c r="U27" s="101">
        <f t="shared" si="19"/>
        <v>2.9067597484588623E-2</v>
      </c>
      <c r="V27" s="101">
        <f t="shared" si="20"/>
        <v>2.9095464873313902E-2</v>
      </c>
      <c r="W27" s="101">
        <f t="shared" si="21"/>
        <v>2.9131087988615037E-2</v>
      </c>
      <c r="X27" s="101">
        <f t="shared" si="22"/>
        <v>2.8987052200734612E-2</v>
      </c>
      <c r="Y27" s="101">
        <f t="shared" si="23"/>
        <v>2.9070300636813044E-2</v>
      </c>
      <c r="Z27" s="101">
        <f t="shared" si="24"/>
        <v>2.9070976424869149E-2</v>
      </c>
      <c r="AA27" s="101">
        <f t="shared" si="25"/>
        <v>2.9064854312757959E-2</v>
      </c>
      <c r="AB27" s="101">
        <f t="shared" si="26"/>
        <v>2.904829589379369E-2</v>
      </c>
      <c r="AC27" s="101">
        <f t="shared" si="27"/>
        <v>2.9063606817058461E-2</v>
      </c>
      <c r="AD27" s="101">
        <f t="shared" si="28"/>
        <v>2.9061933362119818E-2</v>
      </c>
      <c r="AE27" s="101">
        <f t="shared" si="29"/>
        <v>2.9059672596432481E-2</v>
      </c>
      <c r="AF27" s="101">
        <f t="shared" si="30"/>
        <v>2.9058377167351112E-2</v>
      </c>
      <c r="AG27" s="101">
        <f t="shared" si="31"/>
        <v>2.9060897485740467E-2</v>
      </c>
      <c r="AH27" s="101">
        <f t="shared" si="32"/>
        <v>2.906022015291097E-2</v>
      </c>
      <c r="AI27" s="101">
        <f t="shared" si="33"/>
        <v>2.9059791850608759E-2</v>
      </c>
      <c r="AJ27" s="101">
        <f t="shared" si="34"/>
        <v>2.905982166415283E-2</v>
      </c>
      <c r="AK27" s="101">
        <f t="shared" si="35"/>
        <v>2.9060182788353255E-2</v>
      </c>
      <c r="AL27" s="101">
        <f t="shared" si="36"/>
        <v>2.9060004114006451E-2</v>
      </c>
      <c r="AM27" s="101">
        <f t="shared" si="37"/>
        <v>2.9059950104280322E-2</v>
      </c>
      <c r="AN27" s="101">
        <f t="shared" si="38"/>
        <v>2.9059989667698214E-2</v>
      </c>
      <c r="AO27" s="101">
        <f t="shared" si="39"/>
        <v>2.9060031668584559E-2</v>
      </c>
      <c r="AP27" s="101">
        <f t="shared" si="40"/>
        <v>2.9059993888642388E-2</v>
      </c>
      <c r="AQ27" s="101">
        <f t="shared" si="41"/>
        <v>2.9059991332301371E-2</v>
      </c>
      <c r="AR27" s="101">
        <f t="shared" si="42"/>
        <v>2.9060001639306634E-2</v>
      </c>
      <c r="AS27" s="101">
        <f t="shared" si="43"/>
        <v>2.9060004632208741E-2</v>
      </c>
      <c r="AT27" s="101">
        <f t="shared" si="44"/>
        <v>2.9059997873114786E-2</v>
      </c>
      <c r="AU27" s="101">
        <f t="shared" si="45"/>
        <v>2.9059998869232884E-2</v>
      </c>
      <c r="AV27" s="101">
        <f t="shared" si="2"/>
        <v>2.9060000753465761E-2</v>
      </c>
      <c r="AW27" s="101">
        <f t="shared" si="3"/>
        <v>2.9060000532005543E-2</v>
      </c>
      <c r="AX27" s="101">
        <f t="shared" si="4"/>
        <v>2.9059999506954742E-2</v>
      </c>
      <c r="AY27" s="101">
        <f t="shared" si="5"/>
        <v>2.9059999915414733E-2</v>
      </c>
      <c r="AZ27" s="101">
        <f t="shared" si="6"/>
        <v>2.9060000176960196E-2</v>
      </c>
      <c r="BA27" s="101">
        <f t="shared" si="7"/>
        <v>2.9060000032833804E-2</v>
      </c>
      <c r="BB27" s="101">
        <f t="shared" si="8"/>
        <v>2.9059999908040871E-2</v>
      </c>
      <c r="BC27" s="101">
        <f t="shared" si="9"/>
        <v>2.9060000008312402E-2</v>
      </c>
      <c r="BD27" s="101">
        <f t="shared" si="10"/>
        <v>2.9060000031536817E-2</v>
      </c>
    </row>
    <row r="28" spans="1:56" x14ac:dyDescent="0.25">
      <c r="A28" s="89" t="s">
        <v>235</v>
      </c>
      <c r="B28" s="92" t="s">
        <v>319</v>
      </c>
      <c r="C28" s="89" t="s">
        <v>318</v>
      </c>
      <c r="D28" s="89" t="s">
        <v>317</v>
      </c>
      <c r="E28" s="100">
        <f>'BPS 2019'!P32/100</f>
        <v>2.8300000000000002E-2</v>
      </c>
      <c r="F28" s="100">
        <f>'BPS 2020'!F32/100</f>
        <v>5.8700000000000002E-2</v>
      </c>
      <c r="G28" s="100">
        <f>'BPS 2021'!F32/100</f>
        <v>0.115</v>
      </c>
      <c r="H28" s="100">
        <f>'BPS 2022'!F32/100</f>
        <v>0.14800000000000002</v>
      </c>
      <c r="I28" s="100">
        <f>'BPS 2023'!F32/100</f>
        <v>0.14169999999999999</v>
      </c>
      <c r="J28" s="100">
        <f>'BPS 2024'!F32/100</f>
        <v>0.13339999999999999</v>
      </c>
      <c r="K28" s="100">
        <f>'BPS 2025'!F32/100</f>
        <v>0.15710000000000002</v>
      </c>
      <c r="L28" s="101">
        <f t="shared" si="1"/>
        <v>0.14505000000000001</v>
      </c>
      <c r="M28" s="101">
        <f t="shared" si="11"/>
        <v>0.14431250000000001</v>
      </c>
      <c r="N28" s="101">
        <f t="shared" si="12"/>
        <v>0.14496562499999999</v>
      </c>
      <c r="O28" s="101">
        <f t="shared" si="13"/>
        <v>0.14785703124999999</v>
      </c>
      <c r="P28" s="101">
        <f t="shared" si="14"/>
        <v>0.1455462890625</v>
      </c>
      <c r="Q28" s="101">
        <f t="shared" si="15"/>
        <v>0.145670361328125</v>
      </c>
      <c r="R28" s="101">
        <f t="shared" si="16"/>
        <v>0.14600982666015624</v>
      </c>
      <c r="S28" s="101">
        <f t="shared" si="17"/>
        <v>0.14627087707519532</v>
      </c>
      <c r="T28" s="101">
        <f t="shared" si="18"/>
        <v>0.14587433853149412</v>
      </c>
      <c r="U28" s="101">
        <f t="shared" si="19"/>
        <v>0.14595635089874265</v>
      </c>
      <c r="V28" s="101">
        <f t="shared" si="20"/>
        <v>0.14602784829139709</v>
      </c>
      <c r="W28" s="101">
        <f t="shared" si="21"/>
        <v>0.14603235369920731</v>
      </c>
      <c r="X28" s="101">
        <f t="shared" si="22"/>
        <v>0.14597272285521029</v>
      </c>
      <c r="Y28" s="101">
        <f t="shared" si="23"/>
        <v>0.14599731893613932</v>
      </c>
      <c r="Z28" s="101">
        <f t="shared" si="24"/>
        <v>0.1460075609454885</v>
      </c>
      <c r="AA28" s="101">
        <f t="shared" si="25"/>
        <v>0.14600248910901137</v>
      </c>
      <c r="AB28" s="101">
        <f t="shared" si="26"/>
        <v>0.14599502296146238</v>
      </c>
      <c r="AC28" s="101">
        <f t="shared" si="27"/>
        <v>0.14600059798802539</v>
      </c>
      <c r="AD28" s="101">
        <f t="shared" si="28"/>
        <v>0.1460014177509969</v>
      </c>
      <c r="AE28" s="101">
        <f t="shared" si="29"/>
        <v>0.14599988195237401</v>
      </c>
      <c r="AF28" s="101">
        <f t="shared" si="30"/>
        <v>0.14599923016321467</v>
      </c>
      <c r="AG28" s="101">
        <f t="shared" si="31"/>
        <v>0.14600028196365275</v>
      </c>
      <c r="AH28" s="101">
        <f t="shared" si="32"/>
        <v>0.14600020295755958</v>
      </c>
      <c r="AI28" s="101">
        <f t="shared" si="33"/>
        <v>0.14599989925920026</v>
      </c>
      <c r="AJ28" s="101">
        <f t="shared" si="34"/>
        <v>0.14599990358590681</v>
      </c>
      <c r="AK28" s="101">
        <f t="shared" si="35"/>
        <v>0.14600007194157985</v>
      </c>
      <c r="AL28" s="101">
        <f t="shared" si="36"/>
        <v>0.14600001943606164</v>
      </c>
      <c r="AM28" s="101">
        <f t="shared" si="37"/>
        <v>0.14599997355568714</v>
      </c>
      <c r="AN28" s="101">
        <f t="shared" si="38"/>
        <v>0.14599999212980888</v>
      </c>
      <c r="AO28" s="101">
        <f t="shared" si="39"/>
        <v>0.14600001426578438</v>
      </c>
      <c r="AP28" s="101">
        <f t="shared" si="40"/>
        <v>0.14599999984683551</v>
      </c>
      <c r="AQ28" s="101">
        <f t="shared" si="41"/>
        <v>0.14599999494952898</v>
      </c>
      <c r="AR28" s="101">
        <f t="shared" si="42"/>
        <v>0.14600000029798943</v>
      </c>
      <c r="AS28" s="101">
        <f t="shared" si="43"/>
        <v>0.14600000234003457</v>
      </c>
      <c r="AT28" s="101">
        <f t="shared" si="44"/>
        <v>0.14599999935859714</v>
      </c>
      <c r="AU28" s="101">
        <f t="shared" si="45"/>
        <v>0.14599999923653753</v>
      </c>
      <c r="AV28" s="101">
        <f t="shared" si="2"/>
        <v>0.14600000030828966</v>
      </c>
      <c r="AW28" s="101">
        <f t="shared" si="3"/>
        <v>0.14600000031086471</v>
      </c>
      <c r="AX28" s="101">
        <f t="shared" si="4"/>
        <v>0.14599999980357226</v>
      </c>
      <c r="AY28" s="101">
        <f t="shared" si="5"/>
        <v>0.14599999991481605</v>
      </c>
      <c r="AZ28" s="101">
        <f t="shared" si="6"/>
        <v>0.14600000008438568</v>
      </c>
      <c r="BA28" s="101">
        <f t="shared" si="7"/>
        <v>0.14600000002840968</v>
      </c>
      <c r="BB28" s="101">
        <f t="shared" si="8"/>
        <v>0.14599999995779592</v>
      </c>
      <c r="BC28" s="101">
        <f t="shared" si="9"/>
        <v>0.14599999999635183</v>
      </c>
      <c r="BD28" s="101">
        <f t="shared" si="10"/>
        <v>0.14600000001673577</v>
      </c>
    </row>
    <row r="29" spans="1:56" x14ac:dyDescent="0.25">
      <c r="A29" s="89" t="s">
        <v>235</v>
      </c>
      <c r="B29" s="89" t="s">
        <v>316</v>
      </c>
      <c r="C29" s="89" t="s">
        <v>315</v>
      </c>
      <c r="D29" s="89" t="s">
        <v>314</v>
      </c>
      <c r="E29" s="100">
        <f>'BPS 2019'!P33/100</f>
        <v>-5.1000000000000004E-3</v>
      </c>
      <c r="F29" s="100">
        <f>'BPS 2020'!F33/100</f>
        <v>-5.4600000000000003E-2</v>
      </c>
      <c r="G29" s="100">
        <f>'BPS 2021'!F33/100</f>
        <v>-1.6200000000000003E-2</v>
      </c>
      <c r="H29" s="100">
        <f>'BPS 2022'!F33/100</f>
        <v>6.7099999999999993E-2</v>
      </c>
      <c r="I29" s="100">
        <f>'BPS 2023'!F33/100</f>
        <v>0.13669999999999999</v>
      </c>
      <c r="J29" s="100">
        <f>'BPS 2024'!F33/100</f>
        <v>6.1600000000000002E-2</v>
      </c>
      <c r="K29" s="100">
        <f>'BPS 2025'!F33/100</f>
        <v>4.58E-2</v>
      </c>
      <c r="L29" s="101">
        <f t="shared" si="1"/>
        <v>7.7799999999999994E-2</v>
      </c>
      <c r="M29" s="101">
        <f t="shared" si="11"/>
        <v>8.0474999999999991E-2</v>
      </c>
      <c r="N29" s="101">
        <f t="shared" si="12"/>
        <v>6.6418749999999999E-2</v>
      </c>
      <c r="O29" s="101">
        <f t="shared" si="13"/>
        <v>6.7623437499999994E-2</v>
      </c>
      <c r="P29" s="101">
        <f t="shared" si="14"/>
        <v>7.3079296875000005E-2</v>
      </c>
      <c r="Q29" s="101">
        <f t="shared" si="15"/>
        <v>7.189912109374999E-2</v>
      </c>
      <c r="R29" s="101">
        <f t="shared" si="16"/>
        <v>6.975515136718749E-2</v>
      </c>
      <c r="S29" s="101">
        <f t="shared" si="17"/>
        <v>7.0589251708984363E-2</v>
      </c>
      <c r="T29" s="101">
        <f t="shared" si="18"/>
        <v>7.1330705261230462E-2</v>
      </c>
      <c r="U29" s="101">
        <f t="shared" si="19"/>
        <v>7.0893557357788073E-2</v>
      </c>
      <c r="V29" s="101">
        <f t="shared" si="20"/>
        <v>7.06421664237976E-2</v>
      </c>
      <c r="W29" s="101">
        <f t="shared" si="21"/>
        <v>7.0863920187950125E-2</v>
      </c>
      <c r="X29" s="101">
        <f t="shared" si="22"/>
        <v>7.0932587307691572E-2</v>
      </c>
      <c r="Y29" s="101">
        <f t="shared" si="23"/>
        <v>7.0833057819306849E-2</v>
      </c>
      <c r="Z29" s="101">
        <f t="shared" si="24"/>
        <v>7.081793293468655E-2</v>
      </c>
      <c r="AA29" s="101">
        <f t="shared" si="25"/>
        <v>7.0861874562408778E-2</v>
      </c>
      <c r="AB29" s="101">
        <f t="shared" si="26"/>
        <v>7.0861363156023427E-2</v>
      </c>
      <c r="AC29" s="101">
        <f t="shared" si="27"/>
        <v>7.0843557118106401E-2</v>
      </c>
      <c r="AD29" s="101">
        <f t="shared" si="28"/>
        <v>7.0846181942806286E-2</v>
      </c>
      <c r="AE29" s="101">
        <f t="shared" si="29"/>
        <v>7.0853244194836226E-2</v>
      </c>
      <c r="AF29" s="101">
        <f t="shared" si="30"/>
        <v>7.0851086602943092E-2</v>
      </c>
      <c r="AG29" s="101">
        <f t="shared" si="31"/>
        <v>7.0848517464673008E-2</v>
      </c>
      <c r="AH29" s="101">
        <f t="shared" si="32"/>
        <v>7.084975755131466E-2</v>
      </c>
      <c r="AI29" s="101">
        <f t="shared" si="33"/>
        <v>7.0850651453441757E-2</v>
      </c>
      <c r="AJ29" s="101">
        <f t="shared" si="34"/>
        <v>7.085000326809314E-2</v>
      </c>
      <c r="AK29" s="101">
        <f t="shared" si="35"/>
        <v>7.0849732434380641E-2</v>
      </c>
      <c r="AL29" s="101">
        <f t="shared" si="36"/>
        <v>7.0850036176807546E-2</v>
      </c>
      <c r="AM29" s="101">
        <f t="shared" si="37"/>
        <v>7.0850105833180771E-2</v>
      </c>
      <c r="AN29" s="101">
        <f t="shared" si="38"/>
        <v>7.0849969428115528E-2</v>
      </c>
      <c r="AO29" s="101">
        <f t="shared" si="39"/>
        <v>7.0849960968121128E-2</v>
      </c>
      <c r="AP29" s="101">
        <f t="shared" si="40"/>
        <v>7.085001810155625E-2</v>
      </c>
      <c r="AQ29" s="101">
        <f t="shared" si="41"/>
        <v>7.0850013582743426E-2</v>
      </c>
      <c r="AR29" s="101">
        <f t="shared" si="42"/>
        <v>7.0849990520134076E-2</v>
      </c>
      <c r="AS29" s="101">
        <f t="shared" si="43"/>
        <v>7.084999579313872E-2</v>
      </c>
      <c r="AT29" s="101">
        <f t="shared" si="44"/>
        <v>7.0850004499393118E-2</v>
      </c>
      <c r="AU29" s="101">
        <f t="shared" si="45"/>
        <v>7.0850001098852339E-2</v>
      </c>
      <c r="AV29" s="101">
        <f t="shared" si="2"/>
        <v>7.0849997977879553E-2</v>
      </c>
      <c r="AW29" s="101">
        <f t="shared" si="3"/>
        <v>7.0849999842315936E-2</v>
      </c>
      <c r="AX29" s="101">
        <f t="shared" si="4"/>
        <v>7.085000085461024E-2</v>
      </c>
      <c r="AY29" s="101">
        <f t="shared" si="5"/>
        <v>7.084999994341451E-2</v>
      </c>
      <c r="AZ29" s="101">
        <f t="shared" si="6"/>
        <v>7.084999965455506E-2</v>
      </c>
      <c r="BA29" s="101">
        <f t="shared" si="7"/>
        <v>7.085000007372394E-2</v>
      </c>
      <c r="BB29" s="101">
        <f t="shared" si="8"/>
        <v>7.0850000131575941E-2</v>
      </c>
      <c r="BC29" s="101">
        <f t="shared" si="9"/>
        <v>7.0849999950817366E-2</v>
      </c>
      <c r="BD29" s="101">
        <f t="shared" si="10"/>
        <v>7.084999995266808E-2</v>
      </c>
    </row>
    <row r="30" spans="1:56" x14ac:dyDescent="0.25">
      <c r="A30" s="89" t="s">
        <v>235</v>
      </c>
      <c r="B30" s="92" t="s">
        <v>313</v>
      </c>
      <c r="C30" s="89" t="s">
        <v>312</v>
      </c>
      <c r="D30" s="89" t="s">
        <v>311</v>
      </c>
      <c r="E30" s="100">
        <f>'BPS 2019'!P34/100</f>
        <v>-4.1299999999999996E-2</v>
      </c>
      <c r="F30" s="100">
        <f>'BPS 2020'!F34/100</f>
        <v>-0.1017</v>
      </c>
      <c r="G30" s="100">
        <f>'BPS 2021'!F34/100</f>
        <v>0.1143</v>
      </c>
      <c r="H30" s="100">
        <f>'BPS 2022'!F34/100</f>
        <v>0.1137</v>
      </c>
      <c r="I30" s="100">
        <f>'BPS 2023'!F34/100</f>
        <v>-2.9999999999999997E-4</v>
      </c>
      <c r="J30" s="100">
        <f>'BPS 2024'!F34/100</f>
        <v>-4.1999999999999997E-3</v>
      </c>
      <c r="K30" s="100">
        <f>'BPS 2025'!F34/100</f>
        <v>0.13980000000000001</v>
      </c>
      <c r="L30" s="101">
        <f t="shared" si="1"/>
        <v>6.225E-2</v>
      </c>
      <c r="M30" s="101">
        <f t="shared" si="11"/>
        <v>4.9387500000000001E-2</v>
      </c>
      <c r="N30" s="101">
        <f t="shared" si="12"/>
        <v>6.1809375E-2</v>
      </c>
      <c r="O30" s="101">
        <f t="shared" si="13"/>
        <v>7.8311718749999995E-2</v>
      </c>
      <c r="P30" s="101">
        <f t="shared" si="14"/>
        <v>6.2939648437499995E-2</v>
      </c>
      <c r="Q30" s="101">
        <f t="shared" si="15"/>
        <v>6.3112060546875001E-2</v>
      </c>
      <c r="R30" s="101">
        <f t="shared" si="16"/>
        <v>6.6543200683593748E-2</v>
      </c>
      <c r="S30" s="101">
        <f t="shared" si="17"/>
        <v>6.7726657104492188E-2</v>
      </c>
      <c r="T30" s="101">
        <f t="shared" si="18"/>
        <v>6.5080391693115247E-2</v>
      </c>
      <c r="U30" s="101">
        <f t="shared" si="19"/>
        <v>6.5615577507019046E-2</v>
      </c>
      <c r="V30" s="101">
        <f t="shared" si="20"/>
        <v>6.6241456747055061E-2</v>
      </c>
      <c r="W30" s="101">
        <f t="shared" si="21"/>
        <v>6.6166020762920386E-2</v>
      </c>
      <c r="X30" s="101">
        <f t="shared" si="22"/>
        <v>6.5775861677527442E-2</v>
      </c>
      <c r="Y30" s="101">
        <f t="shared" si="23"/>
        <v>6.5949729173630484E-2</v>
      </c>
      <c r="Z30" s="101">
        <f t="shared" si="24"/>
        <v>6.6033267090283343E-2</v>
      </c>
      <c r="AA30" s="101">
        <f t="shared" si="25"/>
        <v>6.5981219676090413E-2</v>
      </c>
      <c r="AB30" s="101">
        <f t="shared" si="26"/>
        <v>6.5935019404382927E-2</v>
      </c>
      <c r="AC30" s="101">
        <f t="shared" si="27"/>
        <v>6.5974808836096799E-2</v>
      </c>
      <c r="AD30" s="101">
        <f t="shared" si="28"/>
        <v>6.5981078751713371E-2</v>
      </c>
      <c r="AE30" s="101">
        <f t="shared" si="29"/>
        <v>6.5968031667070881E-2</v>
      </c>
      <c r="AF30" s="101">
        <f t="shared" si="30"/>
        <v>6.5964734664815991E-2</v>
      </c>
      <c r="AG30" s="101">
        <f t="shared" si="31"/>
        <v>6.5972163479924267E-2</v>
      </c>
      <c r="AH30" s="101">
        <f t="shared" si="32"/>
        <v>6.5971502140881128E-2</v>
      </c>
      <c r="AI30" s="101">
        <f t="shared" si="33"/>
        <v>6.596910798817307E-2</v>
      </c>
      <c r="AJ30" s="101">
        <f t="shared" si="34"/>
        <v>6.5969377068448604E-2</v>
      </c>
      <c r="AK30" s="101">
        <f t="shared" si="35"/>
        <v>6.597053766935676E-2</v>
      </c>
      <c r="AL30" s="101">
        <f t="shared" si="36"/>
        <v>6.5970131216714883E-2</v>
      </c>
      <c r="AM30" s="101">
        <f t="shared" si="37"/>
        <v>6.5969788485673336E-2</v>
      </c>
      <c r="AN30" s="101">
        <f t="shared" si="38"/>
        <v>6.5969958610048396E-2</v>
      </c>
      <c r="AO30" s="101">
        <f t="shared" si="39"/>
        <v>6.5970103995448337E-2</v>
      </c>
      <c r="AP30" s="101">
        <f t="shared" si="40"/>
        <v>6.5969995576971238E-2</v>
      </c>
      <c r="AQ30" s="101">
        <f t="shared" si="41"/>
        <v>6.5969961667035323E-2</v>
      </c>
      <c r="AR30" s="101">
        <f t="shared" si="42"/>
        <v>6.5970004962375831E-2</v>
      </c>
      <c r="AS30" s="101">
        <f t="shared" si="43"/>
        <v>6.5970016550457686E-2</v>
      </c>
      <c r="AT30" s="101">
        <f t="shared" si="44"/>
        <v>6.5969994689210026E-2</v>
      </c>
      <c r="AU30" s="101">
        <f t="shared" si="45"/>
        <v>6.5969994467269727E-2</v>
      </c>
      <c r="AV30" s="101">
        <f t="shared" si="2"/>
        <v>6.5970002667328317E-2</v>
      </c>
      <c r="AW30" s="101">
        <f t="shared" si="3"/>
        <v>6.5970002093566432E-2</v>
      </c>
      <c r="AX30" s="101">
        <f t="shared" si="4"/>
        <v>6.5969998479343622E-2</v>
      </c>
      <c r="AY30" s="101">
        <f t="shared" si="5"/>
        <v>6.5969999426877021E-2</v>
      </c>
      <c r="AZ30" s="101">
        <f t="shared" si="6"/>
        <v>6.5970000666778841E-2</v>
      </c>
      <c r="BA30" s="101">
        <f t="shared" si="7"/>
        <v>6.5970000166641479E-2</v>
      </c>
      <c r="BB30" s="101">
        <f t="shared" si="8"/>
        <v>6.5969999684910241E-2</v>
      </c>
      <c r="BC30" s="101">
        <f t="shared" si="9"/>
        <v>6.5969999986301903E-2</v>
      </c>
      <c r="BD30" s="101">
        <f t="shared" si="10"/>
        <v>6.5970000126158113E-2</v>
      </c>
    </row>
    <row r="31" spans="1:56" x14ac:dyDescent="0.25">
      <c r="A31" s="89" t="s">
        <v>235</v>
      </c>
      <c r="B31" s="89" t="s">
        <v>310</v>
      </c>
      <c r="C31" s="89" t="s">
        <v>309</v>
      </c>
      <c r="D31" s="89" t="s">
        <v>308</v>
      </c>
      <c r="E31" s="100">
        <f>'BPS 2019'!P35/100</f>
        <v>-3.4300000000000004E-2</v>
      </c>
      <c r="F31" s="100">
        <f>'BPS 2020'!F35/100</f>
        <v>-0.1986</v>
      </c>
      <c r="G31" s="100">
        <f>'BPS 2021'!F35/100</f>
        <v>0.1782</v>
      </c>
      <c r="H31" s="100">
        <f>'BPS 2022'!F35/100</f>
        <v>0.1067</v>
      </c>
      <c r="I31" s="100">
        <f>'BPS 2023'!F35/100</f>
        <v>7.6299999999999993E-2</v>
      </c>
      <c r="J31" s="100">
        <f>'BPS 2024'!F35/100</f>
        <v>-2.1000000000000001E-2</v>
      </c>
      <c r="K31" s="100">
        <f>'BPS 2025'!F35/100</f>
        <v>-2.64E-2</v>
      </c>
      <c r="L31" s="101">
        <f t="shared" si="1"/>
        <v>3.39E-2</v>
      </c>
      <c r="M31" s="101">
        <f t="shared" si="11"/>
        <v>1.5699999999999999E-2</v>
      </c>
      <c r="N31" s="101">
        <f t="shared" si="12"/>
        <v>5.5000000000000014E-4</v>
      </c>
      <c r="O31" s="101">
        <f t="shared" si="13"/>
        <v>5.9375000000000001E-3</v>
      </c>
      <c r="P31" s="101">
        <f t="shared" si="14"/>
        <v>1.4021875E-2</v>
      </c>
      <c r="Q31" s="101">
        <f t="shared" si="15"/>
        <v>9.0523437500000005E-3</v>
      </c>
      <c r="R31" s="101">
        <f t="shared" si="16"/>
        <v>7.3904296875000001E-3</v>
      </c>
      <c r="S31" s="101">
        <f t="shared" si="17"/>
        <v>9.1005371093750009E-3</v>
      </c>
      <c r="T31" s="101">
        <f t="shared" si="18"/>
        <v>9.8912963867187498E-3</v>
      </c>
      <c r="U31" s="101">
        <f t="shared" si="19"/>
        <v>8.8586517333984378E-3</v>
      </c>
      <c r="V31" s="101">
        <f t="shared" si="20"/>
        <v>8.8102287292480472E-3</v>
      </c>
      <c r="W31" s="101">
        <f t="shared" si="21"/>
        <v>9.1651784896850594E-3</v>
      </c>
      <c r="X31" s="101">
        <f t="shared" si="22"/>
        <v>9.181338834762574E-3</v>
      </c>
      <c r="Y31" s="101">
        <f t="shared" si="23"/>
        <v>9.0038494467735292E-3</v>
      </c>
      <c r="Z31" s="101">
        <f t="shared" si="24"/>
        <v>9.0401488751173029E-3</v>
      </c>
      <c r="AA31" s="101">
        <f t="shared" si="25"/>
        <v>9.0976289115846168E-3</v>
      </c>
      <c r="AB31" s="101">
        <f t="shared" si="26"/>
        <v>9.0807415170595061E-3</v>
      </c>
      <c r="AC31" s="101">
        <f t="shared" si="27"/>
        <v>9.0555921876337396E-3</v>
      </c>
      <c r="AD31" s="101">
        <f t="shared" si="28"/>
        <v>9.0685278728487913E-3</v>
      </c>
      <c r="AE31" s="101">
        <f t="shared" si="29"/>
        <v>9.0756226222816639E-3</v>
      </c>
      <c r="AF31" s="101">
        <f t="shared" si="30"/>
        <v>9.0701210499559252E-3</v>
      </c>
      <c r="AG31" s="101">
        <f t="shared" si="31"/>
        <v>9.06746593318003E-3</v>
      </c>
      <c r="AH31" s="101">
        <f t="shared" si="32"/>
        <v>9.0704343695666018E-3</v>
      </c>
      <c r="AI31" s="101">
        <f t="shared" si="33"/>
        <v>9.0709109937460557E-3</v>
      </c>
      <c r="AJ31" s="101">
        <f t="shared" si="34"/>
        <v>9.0697330866121532E-3</v>
      </c>
      <c r="AK31" s="101">
        <f t="shared" si="35"/>
        <v>9.0696360957762106E-3</v>
      </c>
      <c r="AL31" s="101">
        <f t="shared" si="36"/>
        <v>9.0701786364252562E-3</v>
      </c>
      <c r="AM31" s="101">
        <f t="shared" si="37"/>
        <v>9.0701147031399202E-3</v>
      </c>
      <c r="AN31" s="101">
        <f t="shared" si="38"/>
        <v>9.069915630488385E-3</v>
      </c>
      <c r="AO31" s="101">
        <f t="shared" si="39"/>
        <v>9.0699612664574443E-3</v>
      </c>
      <c r="AP31" s="101">
        <f t="shared" si="40"/>
        <v>9.0700425591277514E-3</v>
      </c>
      <c r="AQ31" s="101">
        <f t="shared" si="41"/>
        <v>9.0700085398033765E-3</v>
      </c>
      <c r="AR31" s="101">
        <f t="shared" si="42"/>
        <v>9.0699819989692385E-3</v>
      </c>
      <c r="AS31" s="101">
        <f t="shared" si="43"/>
        <v>9.0699985910894527E-3</v>
      </c>
      <c r="AT31" s="101">
        <f t="shared" si="44"/>
        <v>9.0700079222474552E-3</v>
      </c>
      <c r="AU31" s="101">
        <f t="shared" si="45"/>
        <v>9.0699992630273816E-3</v>
      </c>
      <c r="AV31" s="101">
        <f t="shared" si="2"/>
        <v>9.0699969438333816E-3</v>
      </c>
      <c r="AW31" s="101">
        <f t="shared" si="3"/>
        <v>9.0700006800494178E-3</v>
      </c>
      <c r="AX31" s="101">
        <f t="shared" si="4"/>
        <v>9.0700012022894086E-3</v>
      </c>
      <c r="AY31" s="101">
        <f t="shared" si="5"/>
        <v>9.0699995222998965E-3</v>
      </c>
      <c r="AZ31" s="101">
        <f t="shared" si="6"/>
        <v>9.0699995871180265E-3</v>
      </c>
      <c r="BA31" s="101">
        <f t="shared" si="7"/>
        <v>9.0700002479391882E-3</v>
      </c>
      <c r="BB31" s="101">
        <f t="shared" si="8"/>
        <v>9.0700001399116291E-3</v>
      </c>
      <c r="BC31" s="101">
        <f t="shared" si="9"/>
        <v>9.0699998743171851E-3</v>
      </c>
      <c r="BD31" s="101">
        <f t="shared" si="10"/>
        <v>9.0699999623215077E-3</v>
      </c>
    </row>
    <row r="32" spans="1:56" x14ac:dyDescent="0.25">
      <c r="A32" s="89" t="s">
        <v>235</v>
      </c>
      <c r="B32" s="92" t="s">
        <v>307</v>
      </c>
      <c r="C32" s="89" t="s">
        <v>306</v>
      </c>
      <c r="D32" s="89" t="s">
        <v>305</v>
      </c>
      <c r="E32" s="100">
        <f>'BPS 2019'!P36/100</f>
        <v>8.3499999999999991E-2</v>
      </c>
      <c r="F32" s="100">
        <f>'BPS 2020'!F36/100</f>
        <v>-3.3599999999999998E-2</v>
      </c>
      <c r="G32" s="100">
        <f>'BPS 2021'!F36/100</f>
        <v>8.1600000000000006E-2</v>
      </c>
      <c r="H32" s="100">
        <f>'BPS 2022'!F36/100</f>
        <v>-1.9900000000000001E-2</v>
      </c>
      <c r="I32" s="100">
        <f>'BPS 2023'!F36/100</f>
        <v>-2.0400000000000001E-2</v>
      </c>
      <c r="J32" s="100">
        <f>'BPS 2024'!F36/100</f>
        <v>2.07E-2</v>
      </c>
      <c r="K32" s="100">
        <f>'BPS 2025'!F36/100</f>
        <v>1.6E-2</v>
      </c>
      <c r="L32" s="101">
        <f t="shared" si="1"/>
        <v>-9.0000000000000063E-4</v>
      </c>
      <c r="M32" s="101">
        <f t="shared" si="11"/>
        <v>3.8499999999999993E-3</v>
      </c>
      <c r="N32" s="101">
        <f t="shared" si="12"/>
        <v>9.9124999999999994E-3</v>
      </c>
      <c r="O32" s="101">
        <f t="shared" si="13"/>
        <v>7.2156249999999998E-3</v>
      </c>
      <c r="P32" s="101">
        <f t="shared" si="14"/>
        <v>5.0195312499999997E-3</v>
      </c>
      <c r="Q32" s="101">
        <f t="shared" si="15"/>
        <v>6.4994140625000002E-3</v>
      </c>
      <c r="R32" s="101">
        <f t="shared" si="16"/>
        <v>7.1617675781250004E-3</v>
      </c>
      <c r="S32" s="101">
        <f t="shared" si="17"/>
        <v>6.4740844726562507E-3</v>
      </c>
      <c r="T32" s="101">
        <f t="shared" si="18"/>
        <v>6.288699340820313E-3</v>
      </c>
      <c r="U32" s="101">
        <f t="shared" si="19"/>
        <v>6.6059913635253906E-3</v>
      </c>
      <c r="V32" s="101">
        <f t="shared" si="20"/>
        <v>6.6326356887817378E-3</v>
      </c>
      <c r="W32" s="101">
        <f t="shared" si="21"/>
        <v>6.5003527164459226E-3</v>
      </c>
      <c r="X32" s="101">
        <f t="shared" si="22"/>
        <v>6.5069197773933406E-3</v>
      </c>
      <c r="Y32" s="101">
        <f t="shared" si="23"/>
        <v>6.5614748865365979E-3</v>
      </c>
      <c r="Z32" s="101">
        <f t="shared" si="24"/>
        <v>6.5503457672893995E-3</v>
      </c>
      <c r="AA32" s="101">
        <f t="shared" si="25"/>
        <v>6.5297732869163145E-3</v>
      </c>
      <c r="AB32" s="101">
        <f t="shared" si="26"/>
        <v>6.5371284295339133E-3</v>
      </c>
      <c r="AC32" s="101">
        <f t="shared" si="27"/>
        <v>6.5446805925690552E-3</v>
      </c>
      <c r="AD32" s="101">
        <f t="shared" si="28"/>
        <v>6.5404820190771706E-3</v>
      </c>
      <c r="AE32" s="101">
        <f t="shared" si="29"/>
        <v>6.5380160820241139E-3</v>
      </c>
      <c r="AF32" s="101">
        <f t="shared" si="30"/>
        <v>6.5400767808010633E-3</v>
      </c>
      <c r="AG32" s="101">
        <f t="shared" si="31"/>
        <v>6.5408138686178507E-3</v>
      </c>
      <c r="AH32" s="101">
        <f t="shared" si="32"/>
        <v>6.5398471876300501E-3</v>
      </c>
      <c r="AI32" s="101">
        <f t="shared" si="33"/>
        <v>6.5396884797682703E-3</v>
      </c>
      <c r="AJ32" s="101">
        <f t="shared" si="34"/>
        <v>6.5401065792043082E-3</v>
      </c>
      <c r="AK32" s="101">
        <f t="shared" si="35"/>
        <v>6.5401140288051194E-3</v>
      </c>
      <c r="AL32" s="101">
        <f t="shared" si="36"/>
        <v>6.5399390688519361E-3</v>
      </c>
      <c r="AM32" s="101">
        <f t="shared" si="37"/>
        <v>6.5399620391574089E-3</v>
      </c>
      <c r="AN32" s="101">
        <f t="shared" si="38"/>
        <v>6.5400304290046934E-3</v>
      </c>
      <c r="AO32" s="101">
        <f t="shared" si="39"/>
        <v>6.5400113914547888E-3</v>
      </c>
      <c r="AP32" s="101">
        <f t="shared" si="40"/>
        <v>6.539985732117207E-3</v>
      </c>
      <c r="AQ32" s="101">
        <f t="shared" si="41"/>
        <v>6.5399973979335235E-3</v>
      </c>
      <c r="AR32" s="101">
        <f t="shared" si="42"/>
        <v>6.540006237627554E-3</v>
      </c>
      <c r="AS32" s="101">
        <f t="shared" si="43"/>
        <v>6.5400001897832688E-3</v>
      </c>
      <c r="AT32" s="101">
        <f t="shared" si="44"/>
        <v>6.5399973893653885E-3</v>
      </c>
      <c r="AU32" s="101">
        <f t="shared" si="45"/>
        <v>6.5400003036774337E-3</v>
      </c>
      <c r="AV32" s="101">
        <f t="shared" si="2"/>
        <v>6.5400010301134119E-3</v>
      </c>
      <c r="AW32" s="101">
        <f t="shared" si="3"/>
        <v>6.5399997282348755E-3</v>
      </c>
      <c r="AX32" s="101">
        <f t="shared" si="4"/>
        <v>6.5399996128477781E-3</v>
      </c>
      <c r="AY32" s="101">
        <f t="shared" si="5"/>
        <v>6.540000168718375E-3</v>
      </c>
      <c r="AZ32" s="101">
        <f t="shared" si="6"/>
        <v>6.5400001349786106E-3</v>
      </c>
      <c r="BA32" s="101">
        <f t="shared" si="7"/>
        <v>6.5399999111949089E-3</v>
      </c>
      <c r="BB32" s="101">
        <f t="shared" si="8"/>
        <v>6.5399999569349179E-3</v>
      </c>
      <c r="BC32" s="101">
        <f t="shared" si="9"/>
        <v>6.5400000429567031E-3</v>
      </c>
      <c r="BD32" s="101">
        <f t="shared" si="10"/>
        <v>6.5400000115162851E-3</v>
      </c>
    </row>
    <row r="33" spans="1:56" x14ac:dyDescent="0.25">
      <c r="A33" s="89" t="s">
        <v>235</v>
      </c>
      <c r="B33" s="89" t="s">
        <v>304</v>
      </c>
      <c r="C33" s="89" t="s">
        <v>303</v>
      </c>
      <c r="D33" s="89" t="s">
        <v>302</v>
      </c>
      <c r="E33" s="100">
        <f>'BPS 2019'!P37/100</f>
        <v>5.1699999999999996E-2</v>
      </c>
      <c r="F33" s="100">
        <f>'BPS 2020'!F37/100</f>
        <v>-8.8000000000000005E-3</v>
      </c>
      <c r="G33" s="100">
        <f>'BPS 2021'!F37/100</f>
        <v>-1.6399999999999998E-2</v>
      </c>
      <c r="H33" s="100">
        <f>'BPS 2022'!F37/100</f>
        <v>6.08E-2</v>
      </c>
      <c r="I33" s="100">
        <f>'BPS 2023'!F37/100</f>
        <v>-2.1000000000000001E-2</v>
      </c>
      <c r="J33" s="100">
        <f>'BPS 2024'!F37/100</f>
        <v>3.5400000000000001E-2</v>
      </c>
      <c r="K33" s="100">
        <f>'BPS 2025'!F37/100</f>
        <v>9.2399999999999996E-2</v>
      </c>
      <c r="L33" s="101">
        <f t="shared" si="1"/>
        <v>4.19E-2</v>
      </c>
      <c r="M33" s="101">
        <f t="shared" si="11"/>
        <v>3.7175E-2</v>
      </c>
      <c r="N33" s="101">
        <f t="shared" si="12"/>
        <v>5.1718749999999994E-2</v>
      </c>
      <c r="O33" s="101">
        <f t="shared" si="13"/>
        <v>5.5798437499999992E-2</v>
      </c>
      <c r="P33" s="101">
        <f t="shared" si="14"/>
        <v>4.6648046874999995E-2</v>
      </c>
      <c r="Q33" s="101">
        <f t="shared" si="15"/>
        <v>4.7835058593749993E-2</v>
      </c>
      <c r="R33" s="101">
        <f t="shared" si="16"/>
        <v>5.0500073242187499E-2</v>
      </c>
      <c r="S33" s="101">
        <f t="shared" si="17"/>
        <v>5.0195404052734365E-2</v>
      </c>
      <c r="T33" s="101">
        <f t="shared" si="18"/>
        <v>4.8794645690917966E-2</v>
      </c>
      <c r="U33" s="101">
        <f t="shared" si="19"/>
        <v>4.9331295394897452E-2</v>
      </c>
      <c r="V33" s="101">
        <f t="shared" si="20"/>
        <v>4.9705354595184319E-2</v>
      </c>
      <c r="W33" s="101">
        <f t="shared" si="21"/>
        <v>4.9506674933433525E-2</v>
      </c>
      <c r="X33" s="101">
        <f t="shared" si="22"/>
        <v>4.9334492653608314E-2</v>
      </c>
      <c r="Y33" s="101">
        <f t="shared" si="23"/>
        <v>4.9469454394280903E-2</v>
      </c>
      <c r="Z33" s="101">
        <f t="shared" si="24"/>
        <v>4.9503994144126769E-2</v>
      </c>
      <c r="AA33" s="101">
        <f t="shared" si="25"/>
        <v>4.9453654031362378E-2</v>
      </c>
      <c r="AB33" s="101">
        <f t="shared" si="26"/>
        <v>4.9440398805844589E-2</v>
      </c>
      <c r="AC33" s="101">
        <f t="shared" si="27"/>
        <v>4.9466875343903656E-2</v>
      </c>
      <c r="AD33" s="101">
        <f t="shared" si="28"/>
        <v>4.9466230581309348E-2</v>
      </c>
      <c r="AE33" s="101">
        <f t="shared" si="29"/>
        <v>4.9456789690604991E-2</v>
      </c>
      <c r="AF33" s="101">
        <f t="shared" si="30"/>
        <v>4.9457573605415646E-2</v>
      </c>
      <c r="AG33" s="101">
        <f t="shared" si="31"/>
        <v>4.946186730530841E-2</v>
      </c>
      <c r="AH33" s="101">
        <f t="shared" si="32"/>
        <v>4.94606152956596E-2</v>
      </c>
      <c r="AI33" s="101">
        <f t="shared" si="33"/>
        <v>4.9459211474247158E-2</v>
      </c>
      <c r="AJ33" s="101">
        <f t="shared" si="34"/>
        <v>4.9459816920157704E-2</v>
      </c>
      <c r="AK33" s="101">
        <f t="shared" si="35"/>
        <v>4.9460377748843223E-2</v>
      </c>
      <c r="AL33" s="101">
        <f t="shared" si="36"/>
        <v>4.9460005359726916E-2</v>
      </c>
      <c r="AM33" s="101">
        <f t="shared" si="37"/>
        <v>4.9459852875743747E-2</v>
      </c>
      <c r="AN33" s="101">
        <f t="shared" si="38"/>
        <v>4.9460013226117899E-2</v>
      </c>
      <c r="AO33" s="101">
        <f t="shared" si="39"/>
        <v>4.9460062302607945E-2</v>
      </c>
      <c r="AP33" s="101">
        <f t="shared" si="40"/>
        <v>4.9459983441049127E-2</v>
      </c>
      <c r="AQ33" s="101">
        <f t="shared" si="41"/>
        <v>4.9459977961379679E-2</v>
      </c>
      <c r="AR33" s="101">
        <f t="shared" si="42"/>
        <v>4.9460009232788663E-2</v>
      </c>
      <c r="AS33" s="101">
        <f t="shared" si="43"/>
        <v>4.9460008234456357E-2</v>
      </c>
      <c r="AT33" s="101">
        <f t="shared" si="44"/>
        <v>4.9459994717418451E-2</v>
      </c>
      <c r="AU33" s="101">
        <f t="shared" si="45"/>
        <v>4.9459997536510786E-2</v>
      </c>
      <c r="AV33" s="101">
        <f t="shared" si="2"/>
        <v>4.9460002430293561E-2</v>
      </c>
      <c r="AW33" s="101">
        <f t="shared" si="3"/>
        <v>4.9460000729669787E-2</v>
      </c>
      <c r="AX33" s="101">
        <f t="shared" si="4"/>
        <v>4.9459998853473144E-2</v>
      </c>
      <c r="AY33" s="101">
        <f t="shared" si="5"/>
        <v>4.9459999887486811E-2</v>
      </c>
      <c r="AZ33" s="101">
        <f t="shared" si="6"/>
        <v>4.9460000475230824E-2</v>
      </c>
      <c r="BA33" s="101">
        <f t="shared" si="7"/>
        <v>4.9459999986465143E-2</v>
      </c>
      <c r="BB33" s="101">
        <f t="shared" si="8"/>
        <v>4.9459999800663977E-2</v>
      </c>
      <c r="BC33" s="101">
        <f t="shared" si="9"/>
        <v>4.946000003746169E-2</v>
      </c>
      <c r="BD33" s="101">
        <f t="shared" si="10"/>
        <v>4.9460000074955407E-2</v>
      </c>
    </row>
    <row r="34" spans="1:56" s="91" customFormat="1" x14ac:dyDescent="0.25">
      <c r="A34" s="91" t="s">
        <v>301</v>
      </c>
      <c r="B34" s="91" t="s">
        <v>300</v>
      </c>
      <c r="C34" s="91" t="s">
        <v>299</v>
      </c>
      <c r="D34" s="91" t="s">
        <v>191</v>
      </c>
      <c r="E34" s="99">
        <f>'BPS 2019'!P38/100</f>
        <v>4.0399999999999998E-2</v>
      </c>
      <c r="F34" s="99">
        <f>'BPS 2020'!F38/100</f>
        <v>-2.3399999999999997E-2</v>
      </c>
      <c r="G34" s="99">
        <f>'BPS 2021'!F38/100</f>
        <v>5.5500000000000001E-2</v>
      </c>
      <c r="H34" s="99">
        <f>'BPS 2022'!F38/100</f>
        <v>6.6100000000000006E-2</v>
      </c>
      <c r="I34" s="99">
        <f>'BPS 2023'!F38/100</f>
        <v>4.9100000000000005E-2</v>
      </c>
      <c r="J34" s="99">
        <f>'BPS 2024'!F38/100</f>
        <v>4.7699999999999992E-2</v>
      </c>
      <c r="K34" s="99">
        <f>'BPS 2025'!F38/100</f>
        <v>3.1E-2</v>
      </c>
      <c r="L34" s="101">
        <f t="shared" si="1"/>
        <v>4.8474999999999997E-2</v>
      </c>
      <c r="M34" s="101">
        <f t="shared" si="11"/>
        <v>4.4068749999999997E-2</v>
      </c>
      <c r="N34" s="101">
        <f t="shared" si="12"/>
        <v>4.2810937499999993E-2</v>
      </c>
      <c r="O34" s="101">
        <f t="shared" si="13"/>
        <v>4.1588671874999997E-2</v>
      </c>
      <c r="P34" s="101">
        <f t="shared" si="14"/>
        <v>4.4235839843749999E-2</v>
      </c>
      <c r="Q34" s="101">
        <f t="shared" si="15"/>
        <v>4.3176049804687505E-2</v>
      </c>
      <c r="R34" s="101">
        <f t="shared" si="16"/>
        <v>4.295287475585937E-2</v>
      </c>
      <c r="S34" s="101">
        <f t="shared" si="17"/>
        <v>4.298835906982422E-2</v>
      </c>
      <c r="T34" s="101">
        <f t="shared" si="18"/>
        <v>4.3338280868530268E-2</v>
      </c>
      <c r="U34" s="101">
        <f t="shared" si="19"/>
        <v>4.3113891124725343E-2</v>
      </c>
      <c r="V34" s="101">
        <f t="shared" si="20"/>
        <v>4.3098351454734798E-2</v>
      </c>
      <c r="W34" s="101">
        <f t="shared" si="21"/>
        <v>4.3134720629453657E-2</v>
      </c>
      <c r="X34" s="101">
        <f t="shared" si="22"/>
        <v>4.3171311019361017E-2</v>
      </c>
      <c r="Y34" s="101">
        <f t="shared" si="23"/>
        <v>4.3129568557068704E-2</v>
      </c>
      <c r="Z34" s="101">
        <f t="shared" si="24"/>
        <v>4.3133487915154541E-2</v>
      </c>
      <c r="AA34" s="101">
        <f t="shared" si="25"/>
        <v>4.3142272030259478E-2</v>
      </c>
      <c r="AB34" s="101">
        <f t="shared" si="26"/>
        <v>4.3144159880460935E-2</v>
      </c>
      <c r="AC34" s="101">
        <f t="shared" si="27"/>
        <v>4.3137372095735912E-2</v>
      </c>
      <c r="AD34" s="101">
        <f t="shared" si="28"/>
        <v>4.3139322980402711E-2</v>
      </c>
      <c r="AE34" s="101">
        <f t="shared" si="29"/>
        <v>4.3140781746714756E-2</v>
      </c>
      <c r="AF34" s="101">
        <f t="shared" si="30"/>
        <v>4.3140409175828578E-2</v>
      </c>
      <c r="AG34" s="101">
        <f t="shared" si="31"/>
        <v>4.3139471499670484E-2</v>
      </c>
      <c r="AH34" s="101">
        <f t="shared" si="32"/>
        <v>4.3139996350654138E-2</v>
      </c>
      <c r="AI34" s="101">
        <f t="shared" si="33"/>
        <v>4.3140164693216985E-2</v>
      </c>
      <c r="AJ34" s="101">
        <f t="shared" si="34"/>
        <v>4.314001042984255E-2</v>
      </c>
      <c r="AK34" s="101">
        <f t="shared" si="35"/>
        <v>4.3139910743346041E-2</v>
      </c>
      <c r="AL34" s="101">
        <f t="shared" si="36"/>
        <v>4.3140020554264927E-2</v>
      </c>
      <c r="AM34" s="101">
        <f t="shared" si="37"/>
        <v>4.3140026605167622E-2</v>
      </c>
      <c r="AN34" s="101">
        <f t="shared" si="38"/>
        <v>4.313999208315529E-2</v>
      </c>
      <c r="AO34" s="101">
        <f t="shared" si="39"/>
        <v>4.313998749648347E-2</v>
      </c>
      <c r="AP34" s="101">
        <f t="shared" si="40"/>
        <v>4.314000668476782E-2</v>
      </c>
      <c r="AQ34" s="101">
        <f t="shared" si="41"/>
        <v>4.3140003217393544E-2</v>
      </c>
      <c r="AR34" s="101">
        <f t="shared" si="42"/>
        <v>4.3139997370450031E-2</v>
      </c>
      <c r="AS34" s="101">
        <f t="shared" si="43"/>
        <v>4.3139998692273723E-2</v>
      </c>
      <c r="AT34" s="101">
        <f t="shared" si="44"/>
        <v>4.3140001491221276E-2</v>
      </c>
      <c r="AU34" s="101">
        <f t="shared" si="45"/>
        <v>4.3140000192834642E-2</v>
      </c>
      <c r="AV34" s="101">
        <f t="shared" si="2"/>
        <v>4.3139999436694922E-2</v>
      </c>
      <c r="AW34" s="101">
        <f t="shared" si="3"/>
        <v>4.3139999953256139E-2</v>
      </c>
      <c r="AX34" s="101">
        <f t="shared" si="4"/>
        <v>4.3140000268501746E-2</v>
      </c>
      <c r="AY34" s="101">
        <f t="shared" si="5"/>
        <v>4.3139999962821862E-2</v>
      </c>
      <c r="AZ34" s="101">
        <f t="shared" si="6"/>
        <v>4.3139999905318666E-2</v>
      </c>
      <c r="BA34" s="101">
        <f t="shared" si="7"/>
        <v>4.3140000022474603E-2</v>
      </c>
      <c r="BB34" s="101">
        <f t="shared" si="8"/>
        <v>4.3140000039779219E-2</v>
      </c>
      <c r="BC34" s="101">
        <f t="shared" si="9"/>
        <v>4.3139999982598591E-2</v>
      </c>
      <c r="BD34" s="101">
        <f t="shared" si="10"/>
        <v>4.3139999987542768E-2</v>
      </c>
    </row>
    <row r="35" spans="1:56" x14ac:dyDescent="0.25">
      <c r="A35" s="89" t="s">
        <v>235</v>
      </c>
      <c r="B35" s="89" t="s">
        <v>298</v>
      </c>
      <c r="C35" s="89" t="s">
        <v>297</v>
      </c>
      <c r="D35" s="89" t="s">
        <v>296</v>
      </c>
      <c r="E35" s="100">
        <f>'BPS 2019'!P39/100</f>
        <v>4.6100000000000002E-2</v>
      </c>
      <c r="F35" s="100">
        <f>'BPS 2020'!F39/100</f>
        <v>-9.7999999999999997E-3</v>
      </c>
      <c r="G35" s="100">
        <f>'BPS 2021'!F39/100</f>
        <v>5.6100000000000004E-2</v>
      </c>
      <c r="H35" s="100">
        <f>'BPS 2022'!F39/100</f>
        <v>7.0599999999999996E-2</v>
      </c>
      <c r="I35" s="100">
        <f>'BPS 2023'!F39/100</f>
        <v>5.0700000000000002E-2</v>
      </c>
      <c r="J35" s="100">
        <f>'BPS 2024'!F39/100</f>
        <v>6.4699999999999994E-2</v>
      </c>
      <c r="K35" s="100">
        <f>'BPS 2025'!F39/100</f>
        <v>3.44E-2</v>
      </c>
      <c r="L35" s="101">
        <f t="shared" si="1"/>
        <v>5.5099999999999996E-2</v>
      </c>
      <c r="M35" s="101">
        <f t="shared" si="11"/>
        <v>5.1224999999999993E-2</v>
      </c>
      <c r="N35" s="101">
        <f t="shared" si="12"/>
        <v>5.1356249999999999E-2</v>
      </c>
      <c r="O35" s="101">
        <f t="shared" si="13"/>
        <v>4.8020312499999995E-2</v>
      </c>
      <c r="P35" s="101">
        <f t="shared" si="14"/>
        <v>5.1425390624999998E-2</v>
      </c>
      <c r="Q35" s="101">
        <f t="shared" si="15"/>
        <v>5.0506738281249991E-2</v>
      </c>
      <c r="R35" s="101">
        <f t="shared" si="16"/>
        <v>5.0327172851562497E-2</v>
      </c>
      <c r="S35" s="101">
        <f t="shared" si="17"/>
        <v>5.0069903564453115E-2</v>
      </c>
      <c r="T35" s="101">
        <f t="shared" si="18"/>
        <v>5.0582301330566404E-2</v>
      </c>
      <c r="U35" s="101">
        <f t="shared" si="19"/>
        <v>5.0371529006958002E-2</v>
      </c>
      <c r="V35" s="101">
        <f t="shared" si="20"/>
        <v>5.0337726688385001E-2</v>
      </c>
      <c r="W35" s="101">
        <f t="shared" si="21"/>
        <v>5.0340365147590632E-2</v>
      </c>
      <c r="X35" s="101">
        <f t="shared" si="22"/>
        <v>5.040798054337501E-2</v>
      </c>
      <c r="Y35" s="101">
        <f t="shared" si="23"/>
        <v>5.0364400346577159E-2</v>
      </c>
      <c r="Z35" s="101">
        <f t="shared" si="24"/>
        <v>5.0362618181481952E-2</v>
      </c>
      <c r="AA35" s="101">
        <f t="shared" si="25"/>
        <v>5.0368841054756183E-2</v>
      </c>
      <c r="AB35" s="101">
        <f t="shared" si="26"/>
        <v>5.0375960031547581E-2</v>
      </c>
      <c r="AC35" s="101">
        <f t="shared" si="27"/>
        <v>5.0367954903590723E-2</v>
      </c>
      <c r="AD35" s="101">
        <f t="shared" si="28"/>
        <v>5.0368843542844106E-2</v>
      </c>
      <c r="AE35" s="101">
        <f t="shared" si="29"/>
        <v>5.0370399883184647E-2</v>
      </c>
      <c r="AF35" s="101">
        <f t="shared" si="30"/>
        <v>5.0370789590291766E-2</v>
      </c>
      <c r="AG35" s="101">
        <f t="shared" si="31"/>
        <v>5.0369496979977807E-2</v>
      </c>
      <c r="AH35" s="101">
        <f t="shared" si="32"/>
        <v>5.0369882499074578E-2</v>
      </c>
      <c r="AI35" s="101">
        <f t="shared" si="33"/>
        <v>5.0370142238132201E-2</v>
      </c>
      <c r="AJ35" s="101">
        <f t="shared" si="34"/>
        <v>5.0370077826869086E-2</v>
      </c>
      <c r="AK35" s="101">
        <f t="shared" si="35"/>
        <v>5.0369899886013418E-2</v>
      </c>
      <c r="AL35" s="101">
        <f t="shared" si="36"/>
        <v>5.0370000612522323E-2</v>
      </c>
      <c r="AM35" s="101">
        <f t="shared" si="37"/>
        <v>5.0370030140884259E-2</v>
      </c>
      <c r="AN35" s="101">
        <f t="shared" si="38"/>
        <v>5.0370002116572277E-2</v>
      </c>
      <c r="AO35" s="101">
        <f t="shared" si="39"/>
        <v>5.0369983188998067E-2</v>
      </c>
      <c r="AP35" s="101">
        <f t="shared" si="40"/>
        <v>5.0370004014744237E-2</v>
      </c>
      <c r="AQ35" s="101">
        <f t="shared" si="41"/>
        <v>5.037000486529971E-2</v>
      </c>
      <c r="AR35" s="101">
        <f t="shared" si="42"/>
        <v>5.0369998546403574E-2</v>
      </c>
      <c r="AS35" s="101">
        <f t="shared" si="43"/>
        <v>5.0369997653861395E-2</v>
      </c>
      <c r="AT35" s="101">
        <f t="shared" si="44"/>
        <v>5.0370001270077236E-2</v>
      </c>
      <c r="AU35" s="101">
        <f t="shared" si="45"/>
        <v>5.0370000583910474E-2</v>
      </c>
      <c r="AV35" s="101">
        <f t="shared" si="2"/>
        <v>5.036999951356317E-2</v>
      </c>
      <c r="AW35" s="101">
        <f t="shared" si="3"/>
        <v>5.0369999755353063E-2</v>
      </c>
      <c r="AX35" s="101">
        <f t="shared" si="4"/>
        <v>5.0370000280725982E-2</v>
      </c>
      <c r="AY35" s="101">
        <f t="shared" si="5"/>
        <v>5.0370000033388165E-2</v>
      </c>
      <c r="AZ35" s="101">
        <f t="shared" si="6"/>
        <v>5.0369999895757592E-2</v>
      </c>
      <c r="BA35" s="101">
        <f t="shared" si="7"/>
        <v>5.0369999991306202E-2</v>
      </c>
      <c r="BB35" s="101">
        <f t="shared" si="8"/>
        <v>5.0370000050294489E-2</v>
      </c>
      <c r="BC35" s="101">
        <f t="shared" si="9"/>
        <v>5.0369999992686612E-2</v>
      </c>
      <c r="BD35" s="101">
        <f t="shared" si="10"/>
        <v>5.0369999982511224E-2</v>
      </c>
    </row>
    <row r="36" spans="1:56" x14ac:dyDescent="0.25">
      <c r="A36" s="89" t="s">
        <v>235</v>
      </c>
      <c r="B36" s="89" t="s">
        <v>295</v>
      </c>
      <c r="C36" s="89" t="s">
        <v>294</v>
      </c>
      <c r="D36" s="89" t="s">
        <v>293</v>
      </c>
      <c r="E36" s="100">
        <f>'BPS 2019'!P40/100</f>
        <v>1.6000000000000001E-3</v>
      </c>
      <c r="F36" s="100">
        <f>'BPS 2020'!F40/100</f>
        <v>-0.11939999999999999</v>
      </c>
      <c r="G36" s="100">
        <f>'BPS 2021'!F40/100</f>
        <v>5.0499999999999996E-2</v>
      </c>
      <c r="H36" s="100">
        <f>'BPS 2022'!F40/100</f>
        <v>3.0099999999999998E-2</v>
      </c>
      <c r="I36" s="100">
        <f>'BPS 2023'!F40/100</f>
        <v>3.5400000000000001E-2</v>
      </c>
      <c r="J36" s="100">
        <f>'BPS 2024'!F40/100</f>
        <v>-9.5100000000000004E-2</v>
      </c>
      <c r="K36" s="100">
        <f>'BPS 2025'!F40/100</f>
        <v>-3.0999999999999999E-3</v>
      </c>
      <c r="L36" s="101">
        <f t="shared" si="1"/>
        <v>-8.175E-3</v>
      </c>
      <c r="M36" s="101">
        <f t="shared" si="11"/>
        <v>-1.7743750000000003E-2</v>
      </c>
      <c r="N36" s="101">
        <f t="shared" si="12"/>
        <v>-3.1029687500000003E-2</v>
      </c>
      <c r="O36" s="101">
        <f t="shared" si="13"/>
        <v>-1.5012109375000002E-2</v>
      </c>
      <c r="P36" s="101">
        <f t="shared" si="14"/>
        <v>-1.7990136718750001E-2</v>
      </c>
      <c r="Q36" s="101">
        <f t="shared" si="15"/>
        <v>-2.0443920898437502E-2</v>
      </c>
      <c r="R36" s="101">
        <f t="shared" si="16"/>
        <v>-2.1118963623046876E-2</v>
      </c>
      <c r="S36" s="101">
        <f t="shared" si="17"/>
        <v>-1.8641282653808596E-2</v>
      </c>
      <c r="T36" s="101">
        <f t="shared" si="18"/>
        <v>-1.9548575973510743E-2</v>
      </c>
      <c r="U36" s="101">
        <f t="shared" si="19"/>
        <v>-1.993818578720093E-2</v>
      </c>
      <c r="V36" s="101">
        <f t="shared" si="20"/>
        <v>-1.9811752009391784E-2</v>
      </c>
      <c r="W36" s="101">
        <f t="shared" si="21"/>
        <v>-1.9484949105978012E-2</v>
      </c>
      <c r="X36" s="101">
        <f t="shared" si="22"/>
        <v>-1.9695865719020364E-2</v>
      </c>
      <c r="Y36" s="101">
        <f t="shared" si="23"/>
        <v>-1.9732688155397773E-2</v>
      </c>
      <c r="Z36" s="101">
        <f t="shared" si="24"/>
        <v>-1.9681313747446985E-2</v>
      </c>
      <c r="AA36" s="101">
        <f t="shared" si="25"/>
        <v>-1.9648704181960783E-2</v>
      </c>
      <c r="AB36" s="101">
        <f t="shared" si="26"/>
        <v>-1.9689642950956477E-2</v>
      </c>
      <c r="AC36" s="101">
        <f t="shared" si="27"/>
        <v>-1.9688087258940504E-2</v>
      </c>
      <c r="AD36" s="101">
        <f t="shared" si="28"/>
        <v>-1.9676937034826186E-2</v>
      </c>
      <c r="AE36" s="101">
        <f t="shared" si="29"/>
        <v>-1.9675842856670987E-2</v>
      </c>
      <c r="AF36" s="101">
        <f t="shared" si="30"/>
        <v>-1.9682627525348537E-2</v>
      </c>
      <c r="AG36" s="101">
        <f t="shared" si="31"/>
        <v>-1.9680873668946552E-2</v>
      </c>
      <c r="AH36" s="101">
        <f t="shared" si="32"/>
        <v>-1.9679070271448065E-2</v>
      </c>
      <c r="AI36" s="101">
        <f t="shared" si="33"/>
        <v>-1.9679603580603534E-2</v>
      </c>
      <c r="AJ36" s="101">
        <f t="shared" si="34"/>
        <v>-1.968054376158667E-2</v>
      </c>
      <c r="AK36" s="101">
        <f t="shared" si="35"/>
        <v>-1.9680022820646206E-2</v>
      </c>
      <c r="AL36" s="101">
        <f t="shared" si="36"/>
        <v>-1.967981010857112E-2</v>
      </c>
      <c r="AM36" s="101">
        <f t="shared" si="37"/>
        <v>-1.9679995067851883E-2</v>
      </c>
      <c r="AN36" s="101">
        <f t="shared" si="38"/>
        <v>-1.9680092939663968E-2</v>
      </c>
      <c r="AO36" s="101">
        <f t="shared" si="39"/>
        <v>-1.9679980234183294E-2</v>
      </c>
      <c r="AP36" s="101">
        <f t="shared" si="40"/>
        <v>-1.9679969587567566E-2</v>
      </c>
      <c r="AQ36" s="101">
        <f t="shared" si="41"/>
        <v>-1.9680009457316679E-2</v>
      </c>
      <c r="AR36" s="101">
        <f t="shared" si="42"/>
        <v>-1.9680013054682879E-2</v>
      </c>
      <c r="AS36" s="101">
        <f t="shared" si="43"/>
        <v>-1.9679993083437604E-2</v>
      </c>
      <c r="AT36" s="101">
        <f t="shared" si="44"/>
        <v>-1.9679996295751182E-2</v>
      </c>
      <c r="AU36" s="101">
        <f t="shared" si="45"/>
        <v>-1.9680002972797088E-2</v>
      </c>
      <c r="AV36" s="101">
        <f t="shared" si="2"/>
        <v>-1.9680001351667191E-2</v>
      </c>
      <c r="AW36" s="101">
        <f t="shared" si="3"/>
        <v>-1.9679998425913267E-2</v>
      </c>
      <c r="AX36" s="101">
        <f t="shared" si="4"/>
        <v>-1.9679999761532181E-2</v>
      </c>
      <c r="AY36" s="101">
        <f t="shared" si="5"/>
        <v>-1.968000062797743E-2</v>
      </c>
      <c r="AZ36" s="101">
        <f t="shared" si="6"/>
        <v>-1.9680000041772519E-2</v>
      </c>
      <c r="BA36" s="101">
        <f t="shared" si="7"/>
        <v>-1.9679999714298849E-2</v>
      </c>
      <c r="BB36" s="101">
        <f t="shared" si="8"/>
        <v>-1.9680000036395244E-2</v>
      </c>
      <c r="BC36" s="101">
        <f t="shared" si="9"/>
        <v>-1.9680000105111013E-2</v>
      </c>
      <c r="BD36" s="101">
        <f t="shared" si="10"/>
        <v>-1.9679999974394406E-2</v>
      </c>
    </row>
    <row r="37" spans="1:56" s="91" customFormat="1" x14ac:dyDescent="0.25">
      <c r="A37" s="91" t="s">
        <v>292</v>
      </c>
      <c r="B37" s="91" t="s">
        <v>291</v>
      </c>
      <c r="C37" s="91" t="s">
        <v>290</v>
      </c>
      <c r="D37" s="91" t="s">
        <v>192</v>
      </c>
      <c r="E37" s="99">
        <f>'BPS 2019'!P41/100</f>
        <v>6.83E-2</v>
      </c>
      <c r="F37" s="99">
        <f>'BPS 2020'!F41/100</f>
        <v>4.9400000000000006E-2</v>
      </c>
      <c r="G37" s="99">
        <f>'BPS 2021'!F41/100</f>
        <v>4.9699999999999994E-2</v>
      </c>
      <c r="H37" s="99">
        <f>'BPS 2022'!F41/100</f>
        <v>3.2300000000000002E-2</v>
      </c>
      <c r="I37" s="99">
        <f>'BPS 2023'!F41/100</f>
        <v>4.9000000000000002E-2</v>
      </c>
      <c r="J37" s="99">
        <f>'BPS 2024'!F41/100</f>
        <v>1.5700000000000002E-2</v>
      </c>
      <c r="K37" s="99">
        <f>'BPS 2025'!F41/100</f>
        <v>9.3999999999999986E-3</v>
      </c>
      <c r="L37" s="101">
        <f t="shared" si="1"/>
        <v>2.6600000000000006E-2</v>
      </c>
      <c r="M37" s="101">
        <f t="shared" si="11"/>
        <v>2.5175000000000003E-2</v>
      </c>
      <c r="N37" s="101">
        <f t="shared" si="12"/>
        <v>1.9218750000000003E-2</v>
      </c>
      <c r="O37" s="101">
        <f t="shared" si="13"/>
        <v>2.0098437500000003E-2</v>
      </c>
      <c r="P37" s="101">
        <f t="shared" si="14"/>
        <v>2.2773046875000001E-2</v>
      </c>
      <c r="Q37" s="101">
        <f t="shared" si="15"/>
        <v>2.1816308593750007E-2</v>
      </c>
      <c r="R37" s="101">
        <f t="shared" si="16"/>
        <v>2.0976635742187503E-2</v>
      </c>
      <c r="S37" s="101">
        <f t="shared" si="17"/>
        <v>2.1416107177734379E-2</v>
      </c>
      <c r="T37" s="101">
        <f t="shared" si="18"/>
        <v>2.174552459716797E-2</v>
      </c>
      <c r="U37" s="101">
        <f t="shared" si="19"/>
        <v>2.1488644027709967E-2</v>
      </c>
      <c r="V37" s="101">
        <f t="shared" si="20"/>
        <v>2.1406727886199954E-2</v>
      </c>
      <c r="W37" s="101">
        <f t="shared" si="21"/>
        <v>2.151425092220307E-2</v>
      </c>
      <c r="X37" s="101">
        <f t="shared" si="22"/>
        <v>2.1538786858320239E-2</v>
      </c>
      <c r="Y37" s="101">
        <f t="shared" si="23"/>
        <v>2.1487102423608306E-2</v>
      </c>
      <c r="Z37" s="101">
        <f t="shared" si="24"/>
        <v>2.1486717022582893E-2</v>
      </c>
      <c r="AA37" s="101">
        <f t="shared" si="25"/>
        <v>2.1506714306678627E-2</v>
      </c>
      <c r="AB37" s="101">
        <f t="shared" si="26"/>
        <v>2.1504830152797517E-2</v>
      </c>
      <c r="AC37" s="101">
        <f t="shared" si="27"/>
        <v>2.1496340976416835E-2</v>
      </c>
      <c r="AD37" s="101">
        <f t="shared" si="28"/>
        <v>2.1498650614618968E-2</v>
      </c>
      <c r="AE37" s="101">
        <f t="shared" si="29"/>
        <v>2.1501634012627988E-2</v>
      </c>
      <c r="AF37" s="101">
        <f t="shared" si="30"/>
        <v>2.1500363939115325E-2</v>
      </c>
      <c r="AG37" s="101">
        <f t="shared" si="31"/>
        <v>2.1499247385694777E-2</v>
      </c>
      <c r="AH37" s="101">
        <f t="shared" si="32"/>
        <v>2.1499973988014266E-2</v>
      </c>
      <c r="AI37" s="101">
        <f t="shared" si="33"/>
        <v>2.1500304831363087E-2</v>
      </c>
      <c r="AJ37" s="101">
        <f t="shared" si="34"/>
        <v>2.1499972536046866E-2</v>
      </c>
      <c r="AK37" s="101">
        <f t="shared" si="35"/>
        <v>2.1499874685279748E-2</v>
      </c>
      <c r="AL37" s="101">
        <f t="shared" si="36"/>
        <v>2.1500031510175995E-2</v>
      </c>
      <c r="AM37" s="101">
        <f t="shared" si="37"/>
        <v>2.1500045890716427E-2</v>
      </c>
      <c r="AN37" s="101">
        <f t="shared" si="38"/>
        <v>2.1499981155554761E-2</v>
      </c>
      <c r="AO37" s="101">
        <f t="shared" si="39"/>
        <v>2.1499983310431733E-2</v>
      </c>
      <c r="AP37" s="101">
        <f t="shared" si="40"/>
        <v>2.1500010466719729E-2</v>
      </c>
      <c r="AQ37" s="101">
        <f t="shared" si="41"/>
        <v>2.1500005205855665E-2</v>
      </c>
      <c r="AR37" s="101">
        <f t="shared" si="42"/>
        <v>2.1499995034640472E-2</v>
      </c>
      <c r="AS37" s="101">
        <f t="shared" si="43"/>
        <v>2.14999985044119E-2</v>
      </c>
      <c r="AT37" s="101">
        <f t="shared" si="44"/>
        <v>2.150000230290694E-2</v>
      </c>
      <c r="AU37" s="101">
        <f t="shared" si="45"/>
        <v>2.1500000261953742E-2</v>
      </c>
      <c r="AV37" s="101">
        <f t="shared" si="2"/>
        <v>2.1499999025978263E-2</v>
      </c>
      <c r="AW37" s="101">
        <f t="shared" si="3"/>
        <v>2.1500000023812714E-2</v>
      </c>
      <c r="AX37" s="101">
        <f t="shared" si="4"/>
        <v>2.1500000403662914E-2</v>
      </c>
      <c r="AY37" s="101">
        <f t="shared" si="5"/>
        <v>2.1499999928851907E-2</v>
      </c>
      <c r="AZ37" s="101">
        <f t="shared" si="6"/>
        <v>2.1499999845576448E-2</v>
      </c>
      <c r="BA37" s="101">
        <f t="shared" si="7"/>
        <v>2.1500000050475997E-2</v>
      </c>
      <c r="BB37" s="101">
        <f t="shared" si="8"/>
        <v>2.1500000057141817E-2</v>
      </c>
      <c r="BC37" s="101">
        <f t="shared" si="9"/>
        <v>2.1499999970511538E-2</v>
      </c>
      <c r="BD37" s="101">
        <f t="shared" si="10"/>
        <v>2.149999998092645E-2</v>
      </c>
    </row>
    <row r="38" spans="1:56" s="91" customFormat="1" x14ac:dyDescent="0.25">
      <c r="A38" s="91" t="s">
        <v>193</v>
      </c>
      <c r="B38" s="91" t="s">
        <v>289</v>
      </c>
      <c r="C38" s="91" t="s">
        <v>288</v>
      </c>
      <c r="D38" s="91" t="s">
        <v>193</v>
      </c>
      <c r="E38" s="99">
        <f>'BPS 2019'!P42/100</f>
        <v>5.7599999999999998E-2</v>
      </c>
      <c r="F38" s="99">
        <f>'BPS 2020'!F42/100</f>
        <v>-3.2599999999999997E-2</v>
      </c>
      <c r="G38" s="99">
        <f>'BPS 2021'!F42/100</f>
        <v>2.81E-2</v>
      </c>
      <c r="H38" s="99">
        <f>'BPS 2022'!F42/100</f>
        <v>2.0099999999999996E-2</v>
      </c>
      <c r="I38" s="99">
        <f>'BPS 2023'!F42/100</f>
        <v>4.9100000000000005E-2</v>
      </c>
      <c r="J38" s="99">
        <f>'BPS 2024'!F42/100</f>
        <v>7.0199999999999999E-2</v>
      </c>
      <c r="K38" s="99">
        <f>'BPS 2025'!F42/100</f>
        <v>3.8100000000000002E-2</v>
      </c>
      <c r="L38" s="101">
        <f t="shared" si="1"/>
        <v>4.4374999999999998E-2</v>
      </c>
      <c r="M38" s="101">
        <f t="shared" si="11"/>
        <v>5.0443750000000002E-2</v>
      </c>
      <c r="N38" s="101">
        <f t="shared" si="12"/>
        <v>5.0779687500000004E-2</v>
      </c>
      <c r="O38" s="101">
        <f t="shared" si="13"/>
        <v>4.5924609375000001E-2</v>
      </c>
      <c r="P38" s="101">
        <f t="shared" si="14"/>
        <v>4.7880761718750005E-2</v>
      </c>
      <c r="Q38" s="101">
        <f t="shared" si="15"/>
        <v>4.8757202148437505E-2</v>
      </c>
      <c r="R38" s="101">
        <f t="shared" si="16"/>
        <v>4.833556518554688E-2</v>
      </c>
      <c r="S38" s="101">
        <f t="shared" si="17"/>
        <v>4.77245346069336E-2</v>
      </c>
      <c r="T38" s="101">
        <f t="shared" si="18"/>
        <v>4.8174515914916997E-2</v>
      </c>
      <c r="U38" s="101">
        <f t="shared" si="19"/>
        <v>4.8247954463958749E-2</v>
      </c>
      <c r="V38" s="101">
        <f t="shared" si="20"/>
        <v>4.8120642542839057E-2</v>
      </c>
      <c r="W38" s="101">
        <f t="shared" si="21"/>
        <v>4.8066911882162097E-2</v>
      </c>
      <c r="X38" s="101">
        <f t="shared" si="22"/>
        <v>4.8152506200969225E-2</v>
      </c>
      <c r="Y38" s="101">
        <f t="shared" si="23"/>
        <v>4.814700377248228E-2</v>
      </c>
      <c r="Z38" s="101">
        <f t="shared" si="24"/>
        <v>4.8121766099613161E-2</v>
      </c>
      <c r="AA38" s="101">
        <f t="shared" si="25"/>
        <v>4.8122046988806691E-2</v>
      </c>
      <c r="AB38" s="101">
        <f t="shared" si="26"/>
        <v>4.8135830765467832E-2</v>
      </c>
      <c r="AC38" s="101">
        <f t="shared" si="27"/>
        <v>4.8131661906592488E-2</v>
      </c>
      <c r="AD38" s="101">
        <f t="shared" si="28"/>
        <v>4.8127826440120043E-2</v>
      </c>
      <c r="AE38" s="101">
        <f t="shared" si="29"/>
        <v>4.8129341525246762E-2</v>
      </c>
      <c r="AF38" s="101">
        <f t="shared" si="30"/>
        <v>4.8131165159356781E-2</v>
      </c>
      <c r="AG38" s="101">
        <f t="shared" si="31"/>
        <v>4.8129998757829015E-2</v>
      </c>
      <c r="AH38" s="101">
        <f t="shared" si="32"/>
        <v>4.8129582970638157E-2</v>
      </c>
      <c r="AI38" s="101">
        <f t="shared" si="33"/>
        <v>4.8130022103267674E-2</v>
      </c>
      <c r="AJ38" s="101">
        <f t="shared" si="34"/>
        <v>4.8130192247772902E-2</v>
      </c>
      <c r="AK38" s="101">
        <f t="shared" si="35"/>
        <v>4.8129949019876939E-2</v>
      </c>
      <c r="AL38" s="101">
        <f t="shared" si="36"/>
        <v>4.8129936585388916E-2</v>
      </c>
      <c r="AM38" s="101">
        <f t="shared" si="37"/>
        <v>4.8130024989076606E-2</v>
      </c>
      <c r="AN38" s="101">
        <f t="shared" si="38"/>
        <v>4.8130025710528837E-2</v>
      </c>
      <c r="AO38" s="101">
        <f t="shared" si="39"/>
        <v>4.8129984076217824E-2</v>
      </c>
      <c r="AP38" s="101">
        <f t="shared" si="40"/>
        <v>4.8129992840303046E-2</v>
      </c>
      <c r="AQ38" s="101">
        <f t="shared" si="41"/>
        <v>4.8130006904031575E-2</v>
      </c>
      <c r="AR38" s="101">
        <f t="shared" si="42"/>
        <v>4.8130002382770321E-2</v>
      </c>
      <c r="AS38" s="101">
        <f t="shared" si="43"/>
        <v>4.8129996550830695E-2</v>
      </c>
      <c r="AT38" s="101">
        <f t="shared" si="44"/>
        <v>4.8129999669483912E-2</v>
      </c>
      <c r="AU38" s="101">
        <f t="shared" si="45"/>
        <v>4.8130001376779127E-2</v>
      </c>
      <c r="AV38" s="101">
        <f t="shared" si="2"/>
        <v>4.8129999994966019E-2</v>
      </c>
      <c r="AW38" s="101">
        <f t="shared" si="3"/>
        <v>4.8129999398014947E-2</v>
      </c>
      <c r="AX38" s="101">
        <f t="shared" si="4"/>
        <v>4.8130000109811E-2</v>
      </c>
      <c r="AY38" s="101">
        <f t="shared" si="5"/>
        <v>4.8130000219892777E-2</v>
      </c>
      <c r="AZ38" s="101">
        <f t="shared" si="6"/>
        <v>4.8129999930671186E-2</v>
      </c>
      <c r="BA38" s="101">
        <f t="shared" si="7"/>
        <v>4.8129999914597474E-2</v>
      </c>
      <c r="BB38" s="101">
        <f t="shared" si="8"/>
        <v>4.8130000043743112E-2</v>
      </c>
      <c r="BC38" s="101">
        <f t="shared" si="9"/>
        <v>4.8130000027226144E-2</v>
      </c>
      <c r="BD38" s="101">
        <f t="shared" si="10"/>
        <v>4.8129999979059479E-2</v>
      </c>
    </row>
    <row r="39" spans="1:56" s="91" customFormat="1" x14ac:dyDescent="0.25">
      <c r="A39" s="91" t="s">
        <v>194</v>
      </c>
      <c r="B39" s="91" t="s">
        <v>287</v>
      </c>
      <c r="C39" s="91" t="s">
        <v>286</v>
      </c>
      <c r="D39" s="91" t="s">
        <v>194</v>
      </c>
      <c r="E39" s="99">
        <f>'BPS 2019'!P43/100</f>
        <v>4.5999999999999999E-2</v>
      </c>
      <c r="F39" s="99">
        <f>'BPS 2020'!F43/100</f>
        <v>-3.7900000000000003E-2</v>
      </c>
      <c r="G39" s="99">
        <f>'BPS 2021'!F43/100</f>
        <v>4.6300000000000001E-2</v>
      </c>
      <c r="H39" s="99">
        <f>'BPS 2022'!F43/100</f>
        <v>5.5300000000000002E-2</v>
      </c>
      <c r="I39" s="99">
        <f>'BPS 2023'!F43/100</f>
        <v>4.8499999999999995E-2</v>
      </c>
      <c r="J39" s="99">
        <f>'BPS 2024'!F43/100</f>
        <v>4.8899999999999999E-2</v>
      </c>
      <c r="K39" s="99">
        <f>'BPS 2025'!F43/100</f>
        <v>5.4900000000000004E-2</v>
      </c>
      <c r="L39" s="101">
        <f t="shared" si="1"/>
        <v>5.1900000000000002E-2</v>
      </c>
      <c r="M39" s="101">
        <f t="shared" si="11"/>
        <v>5.1049999999999998E-2</v>
      </c>
      <c r="N39" s="101">
        <f t="shared" si="12"/>
        <v>5.1687499999999997E-2</v>
      </c>
      <c r="O39" s="101">
        <f t="shared" si="13"/>
        <v>5.2384374999999997E-2</v>
      </c>
      <c r="P39" s="101">
        <f t="shared" si="14"/>
        <v>5.1755468749999992E-2</v>
      </c>
      <c r="Q39" s="101">
        <f t="shared" si="15"/>
        <v>5.1719335937499999E-2</v>
      </c>
      <c r="R39" s="101">
        <f t="shared" si="16"/>
        <v>5.1886669921874996E-2</v>
      </c>
      <c r="S39" s="101">
        <f t="shared" si="17"/>
        <v>5.1936462402343744E-2</v>
      </c>
      <c r="T39" s="101">
        <f t="shared" si="18"/>
        <v>5.1824484252929681E-2</v>
      </c>
      <c r="U39" s="101">
        <f t="shared" si="19"/>
        <v>5.1841738128662107E-2</v>
      </c>
      <c r="V39" s="101">
        <f t="shared" si="20"/>
        <v>5.1872338676452634E-2</v>
      </c>
      <c r="W39" s="101">
        <f t="shared" si="21"/>
        <v>5.1868755865097038E-2</v>
      </c>
      <c r="X39" s="101">
        <f t="shared" si="22"/>
        <v>5.1851829230785365E-2</v>
      </c>
      <c r="Y39" s="101">
        <f t="shared" si="23"/>
        <v>5.1858665475249283E-2</v>
      </c>
      <c r="Z39" s="101">
        <f t="shared" si="24"/>
        <v>5.1862897311896076E-2</v>
      </c>
      <c r="AA39" s="101">
        <f t="shared" si="25"/>
        <v>5.1860536970756946E-2</v>
      </c>
      <c r="AB39" s="101">
        <f t="shared" si="26"/>
        <v>5.1858482247171919E-2</v>
      </c>
      <c r="AC39" s="101">
        <f t="shared" si="27"/>
        <v>5.1860145501268565E-2</v>
      </c>
      <c r="AD39" s="101">
        <f t="shared" si="28"/>
        <v>5.1860515507773375E-2</v>
      </c>
      <c r="AE39" s="101">
        <f t="shared" si="29"/>
        <v>5.1859920056742698E-2</v>
      </c>
      <c r="AF39" s="101">
        <f t="shared" si="30"/>
        <v>5.1859765828239139E-2</v>
      </c>
      <c r="AG39" s="101">
        <f t="shared" si="31"/>
        <v>5.1860086723505949E-2</v>
      </c>
      <c r="AH39" s="101">
        <f t="shared" si="32"/>
        <v>5.1860072029065292E-2</v>
      </c>
      <c r="AI39" s="101">
        <f t="shared" si="33"/>
        <v>5.185996115938827E-2</v>
      </c>
      <c r="AJ39" s="101">
        <f t="shared" si="34"/>
        <v>5.1859971435049661E-2</v>
      </c>
      <c r="AK39" s="101">
        <f t="shared" si="35"/>
        <v>5.1860022836752291E-2</v>
      </c>
      <c r="AL39" s="101">
        <f t="shared" si="36"/>
        <v>5.1860006865063875E-2</v>
      </c>
      <c r="AM39" s="101">
        <f t="shared" si="37"/>
        <v>5.1859990574063521E-2</v>
      </c>
      <c r="AN39" s="101">
        <f t="shared" si="38"/>
        <v>5.1859997927732333E-2</v>
      </c>
      <c r="AO39" s="101">
        <f t="shared" si="39"/>
        <v>5.1860004550903005E-2</v>
      </c>
      <c r="AP39" s="101">
        <f t="shared" si="40"/>
        <v>5.1859999979440685E-2</v>
      </c>
      <c r="AQ39" s="101">
        <f t="shared" si="41"/>
        <v>5.1859998258034889E-2</v>
      </c>
      <c r="AR39" s="101">
        <f t="shared" si="42"/>
        <v>5.1860000179027727E-2</v>
      </c>
      <c r="AS39" s="101">
        <f t="shared" si="43"/>
        <v>5.1860000741851577E-2</v>
      </c>
      <c r="AT39" s="101">
        <f t="shared" si="44"/>
        <v>5.1859999789588718E-2</v>
      </c>
      <c r="AU39" s="101">
        <f t="shared" si="45"/>
        <v>5.1859999742125726E-2</v>
      </c>
      <c r="AV39" s="101">
        <f t="shared" si="2"/>
        <v>5.1860000113148438E-2</v>
      </c>
      <c r="AW39" s="101">
        <f t="shared" si="3"/>
        <v>5.1860000096678613E-2</v>
      </c>
      <c r="AX39" s="101">
        <f t="shared" si="4"/>
        <v>5.185999993538537E-2</v>
      </c>
      <c r="AY39" s="101">
        <f t="shared" si="5"/>
        <v>5.1859999971834533E-2</v>
      </c>
      <c r="AZ39" s="101">
        <f t="shared" si="6"/>
        <v>5.1860000029261735E-2</v>
      </c>
      <c r="BA39" s="101">
        <f t="shared" si="7"/>
        <v>5.1860000008290066E-2</v>
      </c>
      <c r="BB39" s="101">
        <f t="shared" si="8"/>
        <v>5.1859999986192923E-2</v>
      </c>
      <c r="BC39" s="101">
        <f t="shared" si="9"/>
        <v>5.1859999998894811E-2</v>
      </c>
      <c r="BD39" s="101">
        <f t="shared" si="10"/>
        <v>5.1860000005659886E-2</v>
      </c>
    </row>
    <row r="40" spans="1:56" x14ac:dyDescent="0.25">
      <c r="A40" s="89" t="s">
        <v>235</v>
      </c>
      <c r="B40" s="89" t="s">
        <v>285</v>
      </c>
      <c r="C40" s="89" t="s">
        <v>284</v>
      </c>
      <c r="D40" s="89" t="s">
        <v>283</v>
      </c>
      <c r="E40" s="100">
        <f>'BPS 2019'!P44/100</f>
        <v>3.7200000000000004E-2</v>
      </c>
      <c r="F40" s="100">
        <f>'BPS 2020'!F44/100</f>
        <v>-0.1411</v>
      </c>
      <c r="G40" s="100">
        <f>'BPS 2021'!F44/100</f>
        <v>0.12130000000000001</v>
      </c>
      <c r="H40" s="100">
        <f>'BPS 2022'!F44/100</f>
        <v>5.9400000000000001E-2</v>
      </c>
      <c r="I40" s="100">
        <f>'BPS 2023'!F44/100</f>
        <v>4.4999999999999998E-2</v>
      </c>
      <c r="J40" s="100">
        <f>'BPS 2024'!F44/100</f>
        <v>-4.0000000000000002E-4</v>
      </c>
      <c r="K40" s="100">
        <f>'BPS 2025'!F44/100</f>
        <v>4.0000000000000001E-3</v>
      </c>
      <c r="L40" s="101">
        <f t="shared" si="1"/>
        <v>2.7E-2</v>
      </c>
      <c r="M40" s="101">
        <f t="shared" si="11"/>
        <v>1.89E-2</v>
      </c>
      <c r="N40" s="101">
        <f t="shared" si="12"/>
        <v>1.2375000000000001E-2</v>
      </c>
      <c r="O40" s="101">
        <f t="shared" si="13"/>
        <v>1.5568749999999999E-2</v>
      </c>
      <c r="P40" s="101">
        <f t="shared" si="14"/>
        <v>1.8460937499999996E-2</v>
      </c>
      <c r="Q40" s="101">
        <f t="shared" si="15"/>
        <v>1.6326171874999997E-2</v>
      </c>
      <c r="R40" s="101">
        <f t="shared" si="16"/>
        <v>1.5682714843750001E-2</v>
      </c>
      <c r="S40" s="101">
        <f t="shared" si="17"/>
        <v>1.6509643554687498E-2</v>
      </c>
      <c r="T40" s="101">
        <f t="shared" si="18"/>
        <v>1.6744866943359374E-2</v>
      </c>
      <c r="U40" s="101">
        <f t="shared" si="19"/>
        <v>1.6315849304199218E-2</v>
      </c>
      <c r="V40" s="101">
        <f t="shared" si="20"/>
        <v>1.6313268661499021E-2</v>
      </c>
      <c r="W40" s="101">
        <f t="shared" si="21"/>
        <v>1.6470907115936274E-2</v>
      </c>
      <c r="X40" s="101">
        <f t="shared" si="22"/>
        <v>1.6461223006248471E-2</v>
      </c>
      <c r="Y40" s="101">
        <f t="shared" si="23"/>
        <v>1.6390312021970749E-2</v>
      </c>
      <c r="Z40" s="101">
        <f t="shared" si="24"/>
        <v>1.6408927701413629E-2</v>
      </c>
      <c r="AA40" s="101">
        <f t="shared" si="25"/>
        <v>1.6432842461392282E-2</v>
      </c>
      <c r="AB40" s="101">
        <f t="shared" si="26"/>
        <v>1.642332629775628E-2</v>
      </c>
      <c r="AC40" s="101">
        <f t="shared" si="27"/>
        <v>1.6413852120633232E-2</v>
      </c>
      <c r="AD40" s="101">
        <f t="shared" si="28"/>
        <v>1.6419737145298857E-2</v>
      </c>
      <c r="AE40" s="101">
        <f t="shared" si="29"/>
        <v>1.6422439506270162E-2</v>
      </c>
      <c r="AF40" s="101">
        <f t="shared" si="30"/>
        <v>1.6419838767489633E-2</v>
      </c>
      <c r="AG40" s="101">
        <f t="shared" si="31"/>
        <v>1.6418966884922972E-2</v>
      </c>
      <c r="AH40" s="101">
        <f t="shared" si="32"/>
        <v>1.6420245575995408E-2</v>
      </c>
      <c r="AI40" s="101">
        <f t="shared" si="33"/>
        <v>1.6420372683669544E-2</v>
      </c>
      <c r="AJ40" s="101">
        <f t="shared" si="34"/>
        <v>1.6419855978019388E-2</v>
      </c>
      <c r="AK40" s="101">
        <f t="shared" si="35"/>
        <v>1.6419860280651826E-2</v>
      </c>
      <c r="AL40" s="101">
        <f t="shared" si="36"/>
        <v>1.6420083629584043E-2</v>
      </c>
      <c r="AM40" s="101">
        <f t="shared" si="37"/>
        <v>1.6420043142981199E-2</v>
      </c>
      <c r="AN40" s="101">
        <f t="shared" si="38"/>
        <v>1.6419960757809111E-2</v>
      </c>
      <c r="AO40" s="101">
        <f t="shared" si="39"/>
        <v>1.6419986952756545E-2</v>
      </c>
      <c r="AP40" s="101">
        <f t="shared" si="40"/>
        <v>1.6420018620782725E-2</v>
      </c>
      <c r="AQ40" s="101">
        <f t="shared" si="41"/>
        <v>1.6420002368582397E-2</v>
      </c>
      <c r="AR40" s="101">
        <f t="shared" si="42"/>
        <v>1.6419992174982696E-2</v>
      </c>
      <c r="AS40" s="101">
        <f t="shared" si="43"/>
        <v>1.6420000029276093E-2</v>
      </c>
      <c r="AT40" s="101">
        <f t="shared" si="44"/>
        <v>1.6420003298405976E-2</v>
      </c>
      <c r="AU40" s="101">
        <f t="shared" si="45"/>
        <v>1.641999946781179E-2</v>
      </c>
      <c r="AV40" s="101">
        <f t="shared" si="2"/>
        <v>1.6419998742619138E-2</v>
      </c>
      <c r="AW40" s="101">
        <f t="shared" si="3"/>
        <v>1.642000038452825E-2</v>
      </c>
      <c r="AX40" s="101">
        <f t="shared" si="4"/>
        <v>1.6420000473341287E-2</v>
      </c>
      <c r="AY40" s="101">
        <f t="shared" si="5"/>
        <v>1.6419999767075116E-2</v>
      </c>
      <c r="AZ40" s="101">
        <f t="shared" si="6"/>
        <v>1.6419999841890947E-2</v>
      </c>
      <c r="BA40" s="101">
        <f t="shared" si="7"/>
        <v>1.64200001167089E-2</v>
      </c>
      <c r="BB40" s="101">
        <f t="shared" si="8"/>
        <v>1.6420000049754063E-2</v>
      </c>
      <c r="BC40" s="101">
        <f t="shared" si="9"/>
        <v>1.6419999943857257E-2</v>
      </c>
      <c r="BD40" s="101">
        <f t="shared" si="10"/>
        <v>1.6419999988052793E-2</v>
      </c>
    </row>
    <row r="41" spans="1:56" x14ac:dyDescent="0.25">
      <c r="A41" s="89" t="s">
        <v>235</v>
      </c>
      <c r="B41" s="89" t="s">
        <v>282</v>
      </c>
      <c r="C41" s="89" t="s">
        <v>281</v>
      </c>
      <c r="D41" s="89" t="s">
        <v>280</v>
      </c>
      <c r="E41" s="100">
        <f>'BPS 2019'!P45/100</f>
        <v>4.8000000000000001E-2</v>
      </c>
      <c r="F41" s="100">
        <f>'BPS 2020'!F45/100</f>
        <v>-1.38E-2</v>
      </c>
      <c r="G41" s="100">
        <f>'BPS 2021'!F45/100</f>
        <v>3.1099999999999999E-2</v>
      </c>
      <c r="H41" s="100">
        <f>'BPS 2022'!F45/100</f>
        <v>5.4400000000000004E-2</v>
      </c>
      <c r="I41" s="100">
        <f>'BPS 2023'!F45/100</f>
        <v>4.9299999999999997E-2</v>
      </c>
      <c r="J41" s="100">
        <f>'BPS 2024'!F45/100</f>
        <v>5.9800000000000006E-2</v>
      </c>
      <c r="K41" s="100">
        <f>'BPS 2025'!F45/100</f>
        <v>6.5500000000000003E-2</v>
      </c>
      <c r="L41" s="101">
        <f t="shared" si="1"/>
        <v>5.7250000000000002E-2</v>
      </c>
      <c r="M41" s="101">
        <f t="shared" si="11"/>
        <v>5.79625E-2</v>
      </c>
      <c r="N41" s="101">
        <f t="shared" si="12"/>
        <v>6.0128125000000004E-2</v>
      </c>
      <c r="O41" s="101">
        <f t="shared" si="13"/>
        <v>6.0210156250000001E-2</v>
      </c>
      <c r="P41" s="101">
        <f t="shared" si="14"/>
        <v>5.8887695312500002E-2</v>
      </c>
      <c r="Q41" s="101">
        <f t="shared" si="15"/>
        <v>5.9297119140625007E-2</v>
      </c>
      <c r="R41" s="101">
        <f t="shared" si="16"/>
        <v>5.9630773925781255E-2</v>
      </c>
      <c r="S41" s="101">
        <f t="shared" si="17"/>
        <v>5.9506436157226561E-2</v>
      </c>
      <c r="T41" s="101">
        <f t="shared" si="18"/>
        <v>5.9330506134033206E-2</v>
      </c>
      <c r="U41" s="101">
        <f t="shared" si="19"/>
        <v>5.9441208839416511E-2</v>
      </c>
      <c r="V41" s="101">
        <f t="shared" si="20"/>
        <v>5.9477231264114382E-2</v>
      </c>
      <c r="W41" s="101">
        <f t="shared" si="21"/>
        <v>5.9438845598697665E-2</v>
      </c>
      <c r="X41" s="101">
        <f t="shared" si="22"/>
        <v>5.9421947959065441E-2</v>
      </c>
      <c r="Y41" s="101">
        <f t="shared" si="23"/>
        <v>5.94448084153235E-2</v>
      </c>
      <c r="Z41" s="101">
        <f t="shared" si="24"/>
        <v>5.9445708309300252E-2</v>
      </c>
      <c r="AA41" s="101">
        <f t="shared" si="25"/>
        <v>5.9437827570596707E-2</v>
      </c>
      <c r="AB41" s="101">
        <f t="shared" si="26"/>
        <v>5.9437573063571475E-2</v>
      </c>
      <c r="AC41" s="101">
        <f t="shared" si="27"/>
        <v>5.9441479339697983E-2</v>
      </c>
      <c r="AD41" s="101">
        <f t="shared" si="28"/>
        <v>5.9440647070791601E-2</v>
      </c>
      <c r="AE41" s="101">
        <f t="shared" si="29"/>
        <v>5.9439381761164443E-2</v>
      </c>
      <c r="AF41" s="101">
        <f t="shared" si="30"/>
        <v>5.9439770308806379E-2</v>
      </c>
      <c r="AG41" s="101">
        <f t="shared" si="31"/>
        <v>5.9440319620115104E-2</v>
      </c>
      <c r="AH41" s="101">
        <f t="shared" si="32"/>
        <v>5.9440029690219387E-2</v>
      </c>
      <c r="AI41" s="101">
        <f t="shared" si="33"/>
        <v>5.9439875345076332E-2</v>
      </c>
      <c r="AJ41" s="101">
        <f t="shared" si="34"/>
        <v>5.9439998741054302E-2</v>
      </c>
      <c r="AK41" s="101">
        <f t="shared" si="35"/>
        <v>5.9440055849116276E-2</v>
      </c>
      <c r="AL41" s="101">
        <f t="shared" si="36"/>
        <v>5.9439989906366571E-2</v>
      </c>
      <c r="AM41" s="101">
        <f t="shared" si="37"/>
        <v>5.9439979960403365E-2</v>
      </c>
      <c r="AN41" s="101">
        <f t="shared" si="38"/>
        <v>5.9440006114235132E-2</v>
      </c>
      <c r="AO41" s="101">
        <f t="shared" si="39"/>
        <v>5.9440007957530336E-2</v>
      </c>
      <c r="AP41" s="101">
        <f t="shared" si="40"/>
        <v>5.9439995984633856E-2</v>
      </c>
      <c r="AQ41" s="101">
        <f t="shared" si="41"/>
        <v>5.9439997504200676E-2</v>
      </c>
      <c r="AR41" s="101">
        <f t="shared" si="42"/>
        <v>5.9440001890149995E-2</v>
      </c>
      <c r="AS41" s="101">
        <f t="shared" si="43"/>
        <v>5.9440000834128717E-2</v>
      </c>
      <c r="AT41" s="101">
        <f t="shared" si="44"/>
        <v>5.9439999053278306E-2</v>
      </c>
      <c r="AU41" s="101">
        <f t="shared" si="45"/>
        <v>5.9439999820439418E-2</v>
      </c>
      <c r="AV41" s="101">
        <f t="shared" si="2"/>
        <v>5.9440000399499107E-2</v>
      </c>
      <c r="AW41" s="101">
        <f t="shared" si="3"/>
        <v>5.9440000026836387E-2</v>
      </c>
      <c r="AX41" s="101">
        <f t="shared" si="4"/>
        <v>5.9439999825013308E-2</v>
      </c>
      <c r="AY41" s="101">
        <f t="shared" si="5"/>
        <v>5.9440000017947053E-2</v>
      </c>
      <c r="AZ41" s="101">
        <f t="shared" si="6"/>
        <v>5.9440000067323966E-2</v>
      </c>
      <c r="BA41" s="101">
        <f t="shared" si="7"/>
        <v>5.9439999984280179E-2</v>
      </c>
      <c r="BB41" s="101">
        <f t="shared" si="8"/>
        <v>5.9439999973641126E-2</v>
      </c>
      <c r="BC41" s="101">
        <f t="shared" si="9"/>
        <v>5.9440000010798084E-2</v>
      </c>
      <c r="BD41" s="101">
        <f t="shared" si="10"/>
        <v>5.944000000901084E-2</v>
      </c>
    </row>
    <row r="42" spans="1:56" s="91" customFormat="1" x14ac:dyDescent="0.25">
      <c r="A42" s="91" t="s">
        <v>279</v>
      </c>
      <c r="B42" s="91" t="s">
        <v>278</v>
      </c>
      <c r="C42" s="91" t="s">
        <v>277</v>
      </c>
      <c r="D42" s="91" t="s">
        <v>195</v>
      </c>
      <c r="E42" s="99">
        <f>'BPS 2019'!P46/100</f>
        <v>6.3799999999999996E-2</v>
      </c>
      <c r="F42" s="99">
        <f>'BPS 2020'!F46/100</f>
        <v>-0.15049999999999999</v>
      </c>
      <c r="G42" s="99">
        <f>'BPS 2021'!F46/100</f>
        <v>3.2400000000000005E-2</v>
      </c>
      <c r="H42" s="99">
        <f>'BPS 2022'!F46/100</f>
        <v>0.19870000000000002</v>
      </c>
      <c r="I42" s="99">
        <f>'BPS 2023'!F46/100</f>
        <v>0.1396</v>
      </c>
      <c r="J42" s="99">
        <f>'BPS 2024'!F46/100</f>
        <v>8.6899999999999991E-2</v>
      </c>
      <c r="K42" s="99">
        <f>'BPS 2025'!F46/100</f>
        <v>8.7799999999999989E-2</v>
      </c>
      <c r="L42" s="101">
        <f t="shared" si="1"/>
        <v>0.12825</v>
      </c>
      <c r="M42" s="101">
        <f t="shared" si="11"/>
        <v>0.1106375</v>
      </c>
      <c r="N42" s="101">
        <f t="shared" si="12"/>
        <v>0.10339687499999999</v>
      </c>
      <c r="O42" s="101">
        <f t="shared" si="13"/>
        <v>0.10752109375</v>
      </c>
      <c r="P42" s="101">
        <f t="shared" si="14"/>
        <v>0.1124513671875</v>
      </c>
      <c r="Q42" s="101">
        <f t="shared" si="15"/>
        <v>0.108501708984375</v>
      </c>
      <c r="R42" s="101">
        <f t="shared" si="16"/>
        <v>0.10796776123046875</v>
      </c>
      <c r="S42" s="101">
        <f t="shared" si="17"/>
        <v>0.10911048278808594</v>
      </c>
      <c r="T42" s="101">
        <f t="shared" si="18"/>
        <v>0.10950783004760742</v>
      </c>
      <c r="U42" s="101">
        <f t="shared" si="19"/>
        <v>0.10877194576263427</v>
      </c>
      <c r="V42" s="101">
        <f t="shared" si="20"/>
        <v>0.1088395049571991</v>
      </c>
      <c r="W42" s="101">
        <f t="shared" si="21"/>
        <v>0.10905744088888167</v>
      </c>
      <c r="X42" s="101">
        <f t="shared" si="22"/>
        <v>0.10904418041408062</v>
      </c>
      <c r="Y42" s="101">
        <f t="shared" si="23"/>
        <v>0.10892826800569891</v>
      </c>
      <c r="Z42" s="101">
        <f t="shared" si="24"/>
        <v>0.10896734856646506</v>
      </c>
      <c r="AA42" s="101">
        <f t="shared" si="25"/>
        <v>0.10899930946878156</v>
      </c>
      <c r="AB42" s="101">
        <f t="shared" si="26"/>
        <v>0.10898477661375654</v>
      </c>
      <c r="AC42" s="101">
        <f t="shared" si="27"/>
        <v>0.10896992566367551</v>
      </c>
      <c r="AD42" s="101">
        <f t="shared" si="28"/>
        <v>0.10898034007816967</v>
      </c>
      <c r="AE42" s="101">
        <f t="shared" si="29"/>
        <v>0.10898358795609583</v>
      </c>
      <c r="AF42" s="101">
        <f t="shared" si="30"/>
        <v>0.10897965757792438</v>
      </c>
      <c r="AG42" s="101">
        <f t="shared" si="31"/>
        <v>0.10897837781896635</v>
      </c>
      <c r="AH42" s="101">
        <f t="shared" si="32"/>
        <v>0.10898049085778906</v>
      </c>
      <c r="AI42" s="101">
        <f t="shared" si="33"/>
        <v>0.10898052855269391</v>
      </c>
      <c r="AJ42" s="101">
        <f t="shared" si="34"/>
        <v>0.10897976370184342</v>
      </c>
      <c r="AK42" s="101">
        <f t="shared" si="35"/>
        <v>0.10897979023282318</v>
      </c>
      <c r="AL42" s="101">
        <f t="shared" si="36"/>
        <v>0.10898014333628739</v>
      </c>
      <c r="AM42" s="101">
        <f t="shared" si="37"/>
        <v>0.10898005645591197</v>
      </c>
      <c r="AN42" s="101">
        <f t="shared" si="38"/>
        <v>0.10897993843171648</v>
      </c>
      <c r="AO42" s="101">
        <f t="shared" si="39"/>
        <v>0.10897998211418476</v>
      </c>
      <c r="AP42" s="101">
        <f t="shared" si="40"/>
        <v>0.10898003008452514</v>
      </c>
      <c r="AQ42" s="101">
        <f t="shared" si="41"/>
        <v>0.10898000177158459</v>
      </c>
      <c r="AR42" s="101">
        <f t="shared" si="42"/>
        <v>0.10897998810050274</v>
      </c>
      <c r="AS42" s="101">
        <f t="shared" si="43"/>
        <v>0.10898000051769931</v>
      </c>
      <c r="AT42" s="101">
        <f t="shared" si="44"/>
        <v>0.10898000511857794</v>
      </c>
      <c r="AU42" s="101">
        <f t="shared" si="45"/>
        <v>0.10897999887709114</v>
      </c>
      <c r="AV42" s="101">
        <f t="shared" si="2"/>
        <v>0.10897999815346777</v>
      </c>
      <c r="AW42" s="101">
        <f t="shared" si="3"/>
        <v>0.10898000066670904</v>
      </c>
      <c r="AX42" s="101">
        <f t="shared" si="4"/>
        <v>0.10898000070396148</v>
      </c>
      <c r="AY42" s="101">
        <f t="shared" si="5"/>
        <v>0.10897999960030735</v>
      </c>
      <c r="AZ42" s="101">
        <f t="shared" si="6"/>
        <v>0.10897999978111141</v>
      </c>
      <c r="BA42" s="101">
        <f t="shared" si="7"/>
        <v>0.10898000018802231</v>
      </c>
      <c r="BB42" s="101">
        <f t="shared" si="8"/>
        <v>0.10898000006835062</v>
      </c>
      <c r="BC42" s="101">
        <f t="shared" si="9"/>
        <v>0.10897999990944793</v>
      </c>
      <c r="BD42" s="101">
        <f t="shared" si="10"/>
        <v>0.10897999998673308</v>
      </c>
    </row>
    <row r="43" spans="1:56" x14ac:dyDescent="0.25">
      <c r="A43" s="89" t="s">
        <v>235</v>
      </c>
      <c r="B43" s="89" t="s">
        <v>276</v>
      </c>
      <c r="C43" s="89" t="s">
        <v>275</v>
      </c>
      <c r="D43" s="89" t="s">
        <v>274</v>
      </c>
      <c r="E43" s="100">
        <f>'BPS 2019'!P47/100</f>
        <v>4.4900000000000002E-2</v>
      </c>
      <c r="F43" s="100">
        <f>'BPS 2020'!F47/100</f>
        <v>-0.42340000000000005</v>
      </c>
      <c r="G43" s="100">
        <f>'BPS 2021'!F47/100</f>
        <v>-3.3700000000000001E-2</v>
      </c>
      <c r="H43" s="100">
        <f>'BPS 2022'!F47/100</f>
        <v>0.69750000000000001</v>
      </c>
      <c r="I43" s="100">
        <f>'BPS 2023'!F47/100</f>
        <v>0.23739999999999997</v>
      </c>
      <c r="J43" s="100">
        <f>'BPS 2024'!F47/100</f>
        <v>0.18609999999999999</v>
      </c>
      <c r="K43" s="100">
        <f>'BPS 2025'!F47/100</f>
        <v>9.1400000000000009E-2</v>
      </c>
      <c r="L43" s="101">
        <f t="shared" si="1"/>
        <v>0.30309999999999998</v>
      </c>
      <c r="M43" s="101">
        <f t="shared" si="11"/>
        <v>0.20450000000000002</v>
      </c>
      <c r="N43" s="101">
        <f t="shared" si="12"/>
        <v>0.19627500000000001</v>
      </c>
      <c r="O43" s="101">
        <f t="shared" si="13"/>
        <v>0.19881874999999999</v>
      </c>
      <c r="P43" s="101">
        <f t="shared" si="14"/>
        <v>0.22567343750000002</v>
      </c>
      <c r="Q43" s="101">
        <f t="shared" si="15"/>
        <v>0.20631679687499999</v>
      </c>
      <c r="R43" s="101">
        <f t="shared" si="16"/>
        <v>0.20677099609374999</v>
      </c>
      <c r="S43" s="101">
        <f t="shared" si="17"/>
        <v>0.20939499511718751</v>
      </c>
      <c r="T43" s="101">
        <f t="shared" si="18"/>
        <v>0.21203905639648438</v>
      </c>
      <c r="U43" s="101">
        <f t="shared" si="19"/>
        <v>0.20863046112060546</v>
      </c>
      <c r="V43" s="101">
        <f t="shared" si="20"/>
        <v>0.20920887718200684</v>
      </c>
      <c r="W43" s="101">
        <f t="shared" si="21"/>
        <v>0.20981834745407105</v>
      </c>
      <c r="X43" s="101">
        <f t="shared" si="22"/>
        <v>0.20992418553829192</v>
      </c>
      <c r="Y43" s="101">
        <f t="shared" si="23"/>
        <v>0.20939546782374382</v>
      </c>
      <c r="Z43" s="101">
        <f t="shared" si="24"/>
        <v>0.20958671949952842</v>
      </c>
      <c r="AA43" s="101">
        <f t="shared" si="25"/>
        <v>0.20968118007890882</v>
      </c>
      <c r="AB43" s="101">
        <f t="shared" si="26"/>
        <v>0.20964688823511823</v>
      </c>
      <c r="AC43" s="101">
        <f t="shared" si="27"/>
        <v>0.20957756390932483</v>
      </c>
      <c r="AD43" s="101">
        <f t="shared" si="28"/>
        <v>0.20962308793072007</v>
      </c>
      <c r="AE43" s="101">
        <f t="shared" si="29"/>
        <v>0.20963218003851797</v>
      </c>
      <c r="AF43" s="101">
        <f t="shared" si="30"/>
        <v>0.20961993002842028</v>
      </c>
      <c r="AG43" s="101">
        <f t="shared" si="31"/>
        <v>0.20961319047674579</v>
      </c>
      <c r="AH43" s="101">
        <f t="shared" si="32"/>
        <v>0.20962209711860103</v>
      </c>
      <c r="AI43" s="101">
        <f t="shared" si="33"/>
        <v>0.20962184941557127</v>
      </c>
      <c r="AJ43" s="101">
        <f t="shared" si="34"/>
        <v>0.20961926675983458</v>
      </c>
      <c r="AK43" s="101">
        <f t="shared" si="35"/>
        <v>0.20961910094268815</v>
      </c>
      <c r="AL43" s="101">
        <f t="shared" si="36"/>
        <v>0.20962057855917376</v>
      </c>
      <c r="AM43" s="101">
        <f t="shared" si="37"/>
        <v>0.20962019891931694</v>
      </c>
      <c r="AN43" s="101">
        <f t="shared" si="38"/>
        <v>0.20961978629525335</v>
      </c>
      <c r="AO43" s="101">
        <f t="shared" si="39"/>
        <v>0.20961991617910805</v>
      </c>
      <c r="AP43" s="101">
        <f t="shared" si="40"/>
        <v>0.20962011998821303</v>
      </c>
      <c r="AQ43" s="101">
        <f t="shared" si="41"/>
        <v>0.20962000534547284</v>
      </c>
      <c r="AR43" s="101">
        <f t="shared" si="42"/>
        <v>0.20961995695201183</v>
      </c>
      <c r="AS43" s="101">
        <f t="shared" si="43"/>
        <v>0.20961999961620145</v>
      </c>
      <c r="AT43" s="101">
        <f t="shared" si="44"/>
        <v>0.20962002047547479</v>
      </c>
      <c r="AU43" s="101">
        <f t="shared" si="45"/>
        <v>0.20961999559729022</v>
      </c>
      <c r="AV43" s="101">
        <f t="shared" si="2"/>
        <v>0.20961999316024454</v>
      </c>
      <c r="AW43" s="101">
        <f t="shared" si="3"/>
        <v>0.20962000221230276</v>
      </c>
      <c r="AX43" s="101">
        <f t="shared" si="4"/>
        <v>0.20962000286132809</v>
      </c>
      <c r="AY43" s="101">
        <f t="shared" si="5"/>
        <v>0.20961999845779142</v>
      </c>
      <c r="AZ43" s="101">
        <f t="shared" si="6"/>
        <v>0.20961999917291671</v>
      </c>
      <c r="BA43" s="101">
        <f t="shared" si="7"/>
        <v>0.20962000067608474</v>
      </c>
      <c r="BB43" s="101">
        <f t="shared" si="8"/>
        <v>0.20962000029203026</v>
      </c>
      <c r="BC43" s="101">
        <f t="shared" si="9"/>
        <v>0.20961999964970579</v>
      </c>
      <c r="BD43" s="101">
        <f t="shared" si="10"/>
        <v>0.20961999994768438</v>
      </c>
    </row>
    <row r="44" spans="1:56" x14ac:dyDescent="0.25">
      <c r="A44" s="89" t="s">
        <v>235</v>
      </c>
      <c r="B44" s="89" t="s">
        <v>273</v>
      </c>
      <c r="C44" s="89" t="s">
        <v>272</v>
      </c>
      <c r="D44" s="89" t="s">
        <v>271</v>
      </c>
      <c r="E44" s="100">
        <f>'BPS 2019'!P48/100</f>
        <v>9.9600000000000008E-2</v>
      </c>
      <c r="F44" s="100">
        <f>'BPS 2020'!F48/100</f>
        <v>-5.3399999999999996E-2</v>
      </c>
      <c r="G44" s="100">
        <f>'BPS 2021'!F48/100</f>
        <v>4.5499999999999999E-2</v>
      </c>
      <c r="H44" s="100">
        <f>'BPS 2022'!F48/100</f>
        <v>8.7300000000000003E-2</v>
      </c>
      <c r="I44" s="100">
        <f>'BPS 2023'!F48/100</f>
        <v>9.6600000000000005E-2</v>
      </c>
      <c r="J44" s="100">
        <f>'BPS 2024'!F48/100</f>
        <v>9.8900000000000002E-2</v>
      </c>
      <c r="K44" s="100">
        <f>'BPS 2025'!F48/100</f>
        <v>9.7500000000000003E-2</v>
      </c>
      <c r="L44" s="101">
        <f t="shared" si="1"/>
        <v>9.5074999999999993E-2</v>
      </c>
      <c r="M44" s="101">
        <f t="shared" si="11"/>
        <v>9.7018750000000015E-2</v>
      </c>
      <c r="N44" s="101">
        <f t="shared" si="12"/>
        <v>9.7123437500000021E-2</v>
      </c>
      <c r="O44" s="101">
        <f t="shared" si="13"/>
        <v>9.6679296875000001E-2</v>
      </c>
      <c r="P44" s="101">
        <f t="shared" si="14"/>
        <v>9.6474121093750004E-2</v>
      </c>
      <c r="Q44" s="101">
        <f t="shared" si="15"/>
        <v>9.682390136718752E-2</v>
      </c>
      <c r="R44" s="101">
        <f t="shared" si="16"/>
        <v>9.6775189208984397E-2</v>
      </c>
      <c r="S44" s="101">
        <f t="shared" si="17"/>
        <v>9.6688127136230484E-2</v>
      </c>
      <c r="T44" s="101">
        <f t="shared" si="18"/>
        <v>9.6690334701538108E-2</v>
      </c>
      <c r="U44" s="101">
        <f t="shared" si="19"/>
        <v>9.6744388103485124E-2</v>
      </c>
      <c r="V44" s="101">
        <f t="shared" si="20"/>
        <v>9.6724509787559532E-2</v>
      </c>
      <c r="W44" s="101">
        <f t="shared" si="21"/>
        <v>9.6711839932203308E-2</v>
      </c>
      <c r="X44" s="101">
        <f t="shared" si="22"/>
        <v>9.6717768131196508E-2</v>
      </c>
      <c r="Y44" s="101">
        <f t="shared" si="23"/>
        <v>9.6724626488611104E-2</v>
      </c>
      <c r="Z44" s="101">
        <f t="shared" si="24"/>
        <v>9.671968608489262E-2</v>
      </c>
      <c r="AA44" s="101">
        <f t="shared" si="25"/>
        <v>9.6718480159225892E-2</v>
      </c>
      <c r="AB44" s="101">
        <f t="shared" si="26"/>
        <v>9.6720140215981534E-2</v>
      </c>
      <c r="AC44" s="101">
        <f t="shared" si="27"/>
        <v>9.6720733237177781E-2</v>
      </c>
      <c r="AD44" s="101">
        <f t="shared" si="28"/>
        <v>9.6719759924319457E-2</v>
      </c>
      <c r="AE44" s="101">
        <f t="shared" si="29"/>
        <v>9.6719778384176169E-2</v>
      </c>
      <c r="AF44" s="101">
        <f t="shared" si="30"/>
        <v>9.6720102940413735E-2</v>
      </c>
      <c r="AG44" s="101">
        <f t="shared" si="31"/>
        <v>9.6720093621521785E-2</v>
      </c>
      <c r="AH44" s="101">
        <f t="shared" si="32"/>
        <v>9.6719933717607787E-2</v>
      </c>
      <c r="AI44" s="101">
        <f t="shared" si="33"/>
        <v>9.6719977165929866E-2</v>
      </c>
      <c r="AJ44" s="101">
        <f t="shared" si="34"/>
        <v>9.6720026861368297E-2</v>
      </c>
      <c r="AK44" s="101">
        <f t="shared" si="35"/>
        <v>9.672000784160692E-2</v>
      </c>
      <c r="AL44" s="101">
        <f t="shared" si="36"/>
        <v>9.671998639662821E-2</v>
      </c>
      <c r="AM44" s="101">
        <f t="shared" si="37"/>
        <v>9.6719999566383316E-2</v>
      </c>
      <c r="AN44" s="101">
        <f t="shared" si="38"/>
        <v>9.6720005166496689E-2</v>
      </c>
      <c r="AO44" s="101">
        <f t="shared" si="39"/>
        <v>9.6719999742778784E-2</v>
      </c>
      <c r="AP44" s="101">
        <f t="shared" si="40"/>
        <v>9.6719997718071757E-2</v>
      </c>
      <c r="AQ44" s="101">
        <f t="shared" si="41"/>
        <v>9.6720000548432647E-2</v>
      </c>
      <c r="AR44" s="101">
        <f t="shared" si="42"/>
        <v>9.672000079394498E-2</v>
      </c>
      <c r="AS44" s="101">
        <f t="shared" si="43"/>
        <v>9.6719999700807052E-2</v>
      </c>
      <c r="AT44" s="101">
        <f t="shared" si="44"/>
        <v>9.6719999690314112E-2</v>
      </c>
      <c r="AU44" s="101">
        <f t="shared" si="45"/>
        <v>9.6720000183374705E-2</v>
      </c>
      <c r="AV44" s="101">
        <f t="shared" si="2"/>
        <v>9.6720000092110209E-2</v>
      </c>
      <c r="AW44" s="101">
        <f t="shared" si="3"/>
        <v>9.6719999916651533E-2</v>
      </c>
      <c r="AX44" s="101">
        <f t="shared" si="4"/>
        <v>9.6719999970612633E-2</v>
      </c>
      <c r="AY44" s="101">
        <f t="shared" si="5"/>
        <v>9.6720000040687273E-2</v>
      </c>
      <c r="AZ44" s="101">
        <f t="shared" si="6"/>
        <v>9.6720000005015405E-2</v>
      </c>
      <c r="BA44" s="101">
        <f t="shared" si="7"/>
        <v>9.6719999983241711E-2</v>
      </c>
      <c r="BB44" s="101">
        <f t="shared" si="8"/>
        <v>9.6719999999889256E-2</v>
      </c>
      <c r="BC44" s="101">
        <f t="shared" si="9"/>
        <v>9.6720000007208401E-2</v>
      </c>
      <c r="BD44" s="101">
        <f t="shared" si="10"/>
        <v>9.6719999998838679E-2</v>
      </c>
    </row>
    <row r="45" spans="1:56" x14ac:dyDescent="0.25">
      <c r="A45" s="89" t="s">
        <v>235</v>
      </c>
      <c r="B45" s="89" t="s">
        <v>270</v>
      </c>
      <c r="C45" s="89" t="s">
        <v>269</v>
      </c>
      <c r="D45" s="89" t="s">
        <v>268</v>
      </c>
      <c r="E45" s="100">
        <f>'BPS 2019'!P49/100</f>
        <v>0.1047</v>
      </c>
      <c r="F45" s="100">
        <f>'BPS 2020'!F49/100</f>
        <v>-4.5700000000000005E-2</v>
      </c>
      <c r="G45" s="100">
        <f>'BPS 2021'!F49/100</f>
        <v>2.8900000000000002E-2</v>
      </c>
      <c r="H45" s="100">
        <f>'BPS 2022'!F49/100</f>
        <v>5.1200000000000002E-2</v>
      </c>
      <c r="I45" s="100">
        <f>'BPS 2023'!F49/100</f>
        <v>0.1547</v>
      </c>
      <c r="J45" s="100">
        <f>'BPS 2024'!F49/100</f>
        <v>2.4199999999999999E-2</v>
      </c>
      <c r="K45" s="100">
        <f>'BPS 2025'!F49/100</f>
        <v>0.10249999999999999</v>
      </c>
      <c r="L45" s="101">
        <f t="shared" si="1"/>
        <v>8.3150000000000002E-2</v>
      </c>
      <c r="M45" s="101">
        <f t="shared" si="11"/>
        <v>9.1137499999999996E-2</v>
      </c>
      <c r="N45" s="101">
        <f t="shared" si="12"/>
        <v>7.5246874999999991E-2</v>
      </c>
      <c r="O45" s="101">
        <f t="shared" si="13"/>
        <v>8.8008593749999989E-2</v>
      </c>
      <c r="P45" s="101">
        <f t="shared" si="14"/>
        <v>8.4385742187499987E-2</v>
      </c>
      <c r="Q45" s="101">
        <f t="shared" si="15"/>
        <v>8.4694677734374987E-2</v>
      </c>
      <c r="R45" s="101">
        <f t="shared" si="16"/>
        <v>8.3083972167968742E-2</v>
      </c>
      <c r="S45" s="101">
        <f t="shared" si="17"/>
        <v>8.5043246459960933E-2</v>
      </c>
      <c r="T45" s="101">
        <f t="shared" si="18"/>
        <v>8.4301909637451156E-2</v>
      </c>
      <c r="U45" s="101">
        <f t="shared" si="19"/>
        <v>8.4280951499938958E-2</v>
      </c>
      <c r="V45" s="101">
        <f t="shared" si="20"/>
        <v>8.4177519941329951E-2</v>
      </c>
      <c r="W45" s="101">
        <f t="shared" si="21"/>
        <v>8.4450906884670246E-2</v>
      </c>
      <c r="X45" s="101">
        <f t="shared" si="22"/>
        <v>8.4302821990847571E-2</v>
      </c>
      <c r="Y45" s="101">
        <f t="shared" si="23"/>
        <v>8.4303050079196695E-2</v>
      </c>
      <c r="Z45" s="101">
        <f t="shared" si="24"/>
        <v>8.4308574724011126E-2</v>
      </c>
      <c r="AA45" s="101">
        <f t="shared" si="25"/>
        <v>8.4341338419681416E-2</v>
      </c>
      <c r="AB45" s="101">
        <f t="shared" si="26"/>
        <v>8.4313946303434195E-2</v>
      </c>
      <c r="AC45" s="101">
        <f t="shared" si="27"/>
        <v>8.4316727381580858E-2</v>
      </c>
      <c r="AD45" s="101">
        <f t="shared" si="28"/>
        <v>8.4320146707176899E-2</v>
      </c>
      <c r="AE45" s="101">
        <f t="shared" si="29"/>
        <v>8.4323039702968339E-2</v>
      </c>
      <c r="AF45" s="101">
        <f t="shared" si="30"/>
        <v>8.4318465023790076E-2</v>
      </c>
      <c r="AG45" s="101">
        <f t="shared" si="31"/>
        <v>8.431959470387905E-2</v>
      </c>
      <c r="AH45" s="101">
        <f t="shared" si="32"/>
        <v>8.4320311534453601E-2</v>
      </c>
      <c r="AI45" s="101">
        <f t="shared" si="33"/>
        <v>8.432035274127278E-2</v>
      </c>
      <c r="AJ45" s="101">
        <f t="shared" si="34"/>
        <v>8.4319681000848884E-2</v>
      </c>
      <c r="AK45" s="101">
        <f t="shared" si="35"/>
        <v>8.4319984995113562E-2</v>
      </c>
      <c r="AL45" s="101">
        <f t="shared" si="36"/>
        <v>8.4320082567922214E-2</v>
      </c>
      <c r="AM45" s="101">
        <f t="shared" si="37"/>
        <v>8.4320025326289363E-2</v>
      </c>
      <c r="AN45" s="101">
        <f t="shared" si="38"/>
        <v>8.4319943472543499E-2</v>
      </c>
      <c r="AO45" s="101">
        <f t="shared" si="39"/>
        <v>8.4320009090467163E-2</v>
      </c>
      <c r="AP45" s="101">
        <f t="shared" si="40"/>
        <v>8.4320015114305563E-2</v>
      </c>
      <c r="AQ45" s="101">
        <f t="shared" si="41"/>
        <v>8.431999825090139E-2</v>
      </c>
      <c r="AR45" s="101">
        <f t="shared" si="42"/>
        <v>8.4319991482054407E-2</v>
      </c>
      <c r="AS45" s="101">
        <f t="shared" si="43"/>
        <v>8.4320003484432138E-2</v>
      </c>
      <c r="AT45" s="101">
        <f t="shared" si="44"/>
        <v>8.4320002082923368E-2</v>
      </c>
      <c r="AU45" s="101">
        <f t="shared" si="45"/>
        <v>8.4319998825077819E-2</v>
      </c>
      <c r="AV45" s="101">
        <f t="shared" si="2"/>
        <v>8.431999896862194E-2</v>
      </c>
      <c r="AW45" s="101">
        <f t="shared" si="3"/>
        <v>8.4320000840263809E-2</v>
      </c>
      <c r="AX45" s="101">
        <f t="shared" si="4"/>
        <v>8.4320000179221727E-2</v>
      </c>
      <c r="AY45" s="101">
        <f t="shared" si="5"/>
        <v>8.4319999703296317E-2</v>
      </c>
      <c r="AZ45" s="101">
        <f t="shared" si="6"/>
        <v>8.4319999922850941E-2</v>
      </c>
      <c r="BA45" s="101">
        <f t="shared" si="7"/>
        <v>8.4320000161408198E-2</v>
      </c>
      <c r="BB45" s="101">
        <f t="shared" si="8"/>
        <v>8.4319999991694289E-2</v>
      </c>
      <c r="BC45" s="101">
        <f t="shared" si="9"/>
        <v>8.4319999944812429E-2</v>
      </c>
      <c r="BD45" s="101">
        <f t="shared" si="10"/>
        <v>8.4320000005191464E-2</v>
      </c>
    </row>
    <row r="46" spans="1:56" x14ac:dyDescent="0.25">
      <c r="A46" s="89" t="s">
        <v>235</v>
      </c>
      <c r="B46" s="89" t="s">
        <v>267</v>
      </c>
      <c r="C46" s="89" t="s">
        <v>266</v>
      </c>
      <c r="D46" s="89" t="s">
        <v>265</v>
      </c>
      <c r="E46" s="100">
        <f>'BPS 2019'!P50/100</f>
        <v>5.5800000000000002E-2</v>
      </c>
      <c r="F46" s="100">
        <f>'BPS 2020'!F50/100</f>
        <v>-0.13</v>
      </c>
      <c r="G46" s="100">
        <f>'BPS 2021'!F50/100</f>
        <v>-4.1999999999999997E-3</v>
      </c>
      <c r="H46" s="100">
        <f>'BPS 2022'!F50/100</f>
        <v>0.69940000000000002</v>
      </c>
      <c r="I46" s="100">
        <f>'BPS 2023'!F50/100</f>
        <v>0.13539999999999999</v>
      </c>
      <c r="J46" s="100">
        <f>'BPS 2024'!F50/100</f>
        <v>4.4400000000000002E-2</v>
      </c>
      <c r="K46" s="100">
        <f>'BPS 2025'!F50/100</f>
        <v>7.0900000000000005E-2</v>
      </c>
      <c r="L46" s="101">
        <f t="shared" si="1"/>
        <v>0.23752499999999999</v>
      </c>
      <c r="M46" s="101">
        <f t="shared" si="11"/>
        <v>0.12205624999999999</v>
      </c>
      <c r="N46" s="101">
        <f t="shared" si="12"/>
        <v>0.11872031249999999</v>
      </c>
      <c r="O46" s="101">
        <f t="shared" si="13"/>
        <v>0.13730039062499999</v>
      </c>
      <c r="P46" s="101">
        <f t="shared" si="14"/>
        <v>0.15390048828124997</v>
      </c>
      <c r="Q46" s="101">
        <f t="shared" si="15"/>
        <v>0.13299436035156248</v>
      </c>
      <c r="R46" s="101">
        <f t="shared" si="16"/>
        <v>0.13572888793945309</v>
      </c>
      <c r="S46" s="101">
        <f t="shared" si="17"/>
        <v>0.13998103179931637</v>
      </c>
      <c r="T46" s="101">
        <f t="shared" si="18"/>
        <v>0.14065119209289548</v>
      </c>
      <c r="U46" s="101">
        <f t="shared" si="19"/>
        <v>0.13733886804580686</v>
      </c>
      <c r="V46" s="101">
        <f t="shared" si="20"/>
        <v>0.13842499496936794</v>
      </c>
      <c r="W46" s="101">
        <f t="shared" si="21"/>
        <v>0.13909902172684668</v>
      </c>
      <c r="X46" s="101">
        <f t="shared" si="22"/>
        <v>0.13887851920872923</v>
      </c>
      <c r="Y46" s="101">
        <f t="shared" si="23"/>
        <v>0.13843535098768767</v>
      </c>
      <c r="Z46" s="101">
        <f t="shared" si="24"/>
        <v>0.1387094717231579</v>
      </c>
      <c r="AA46" s="101">
        <f t="shared" si="25"/>
        <v>0.13878059091160538</v>
      </c>
      <c r="AB46" s="101">
        <f t="shared" si="26"/>
        <v>0.13870098320779506</v>
      </c>
      <c r="AC46" s="101">
        <f t="shared" si="27"/>
        <v>0.13865659920756152</v>
      </c>
      <c r="AD46" s="101">
        <f t="shared" si="28"/>
        <v>0.13871191126252996</v>
      </c>
      <c r="AE46" s="101">
        <f t="shared" si="29"/>
        <v>0.13871252114737298</v>
      </c>
      <c r="AF46" s="101">
        <f t="shared" si="30"/>
        <v>0.13869550370631489</v>
      </c>
      <c r="AG46" s="101">
        <f t="shared" si="31"/>
        <v>0.13869413383094484</v>
      </c>
      <c r="AH46" s="101">
        <f t="shared" si="32"/>
        <v>0.13870351748679066</v>
      </c>
      <c r="AI46" s="101">
        <f t="shared" si="33"/>
        <v>0.13870141904285585</v>
      </c>
      <c r="AJ46" s="101">
        <f t="shared" si="34"/>
        <v>0.13869864351672656</v>
      </c>
      <c r="AK46" s="101">
        <f t="shared" si="35"/>
        <v>0.13869942846932948</v>
      </c>
      <c r="AL46" s="101">
        <f t="shared" si="36"/>
        <v>0.13870075212892563</v>
      </c>
      <c r="AM46" s="101">
        <f t="shared" si="37"/>
        <v>0.13870006078945937</v>
      </c>
      <c r="AN46" s="101">
        <f t="shared" si="38"/>
        <v>0.13869972122611027</v>
      </c>
      <c r="AO46" s="101">
        <f t="shared" si="39"/>
        <v>0.1386999906534562</v>
      </c>
      <c r="AP46" s="101">
        <f t="shared" si="40"/>
        <v>0.13870013119948787</v>
      </c>
      <c r="AQ46" s="101">
        <f t="shared" si="41"/>
        <v>0.13869997596712844</v>
      </c>
      <c r="AR46" s="101">
        <f t="shared" si="42"/>
        <v>0.1386999547615457</v>
      </c>
      <c r="AS46" s="101">
        <f t="shared" si="43"/>
        <v>0.13870001314540456</v>
      </c>
      <c r="AT46" s="101">
        <f t="shared" si="44"/>
        <v>0.13870001876839166</v>
      </c>
      <c r="AU46" s="101">
        <f t="shared" si="45"/>
        <v>0.13869999066061758</v>
      </c>
      <c r="AV46" s="101">
        <f t="shared" si="2"/>
        <v>0.13869999433398988</v>
      </c>
      <c r="AW46" s="101">
        <f t="shared" si="3"/>
        <v>0.13870000422710094</v>
      </c>
      <c r="AX46" s="101">
        <f t="shared" si="4"/>
        <v>0.13870000199752502</v>
      </c>
      <c r="AY46" s="101">
        <f t="shared" si="5"/>
        <v>0.13869999780480835</v>
      </c>
      <c r="AZ46" s="101">
        <f t="shared" si="6"/>
        <v>0.13869999959085605</v>
      </c>
      <c r="BA46" s="101">
        <f t="shared" si="7"/>
        <v>0.13870000090507259</v>
      </c>
      <c r="BB46" s="101">
        <f t="shared" si="8"/>
        <v>0.13870000007456551</v>
      </c>
      <c r="BC46" s="101">
        <f t="shared" si="9"/>
        <v>0.13869999959382562</v>
      </c>
      <c r="BD46" s="101">
        <f t="shared" si="10"/>
        <v>0.13870000004107993</v>
      </c>
    </row>
    <row r="47" spans="1:56" x14ac:dyDescent="0.25">
      <c r="A47" s="89" t="s">
        <v>235</v>
      </c>
      <c r="B47" s="89" t="s">
        <v>264</v>
      </c>
      <c r="C47" s="89" t="s">
        <v>263</v>
      </c>
      <c r="D47" s="89" t="s">
        <v>262</v>
      </c>
      <c r="E47" s="100">
        <f>'BPS 2019'!P51/100</f>
        <v>-9.7599999999999992E-2</v>
      </c>
      <c r="F47" s="100">
        <f>'BPS 2020'!F51/100</f>
        <v>-0.53060000000000007</v>
      </c>
      <c r="G47" s="100">
        <f>'BPS 2021'!F51/100</f>
        <v>-8.0100000000000005E-2</v>
      </c>
      <c r="H47" s="100">
        <f>'BPS 2022'!F51/100</f>
        <v>0.66900000000000004</v>
      </c>
      <c r="I47" s="100">
        <f>'BPS 2023'!F51/100</f>
        <v>0.28960000000000002</v>
      </c>
      <c r="J47" s="100">
        <f>'BPS 2024'!F51/100</f>
        <v>6.7500000000000004E-2</v>
      </c>
      <c r="K47" s="100">
        <f>'BPS 2025'!F51/100</f>
        <v>1.9900000000000001E-2</v>
      </c>
      <c r="L47" s="101">
        <f t="shared" si="1"/>
        <v>0.26150000000000001</v>
      </c>
      <c r="M47" s="101">
        <f t="shared" si="11"/>
        <v>0.15962500000000002</v>
      </c>
      <c r="N47" s="101">
        <f t="shared" si="12"/>
        <v>0.12713125</v>
      </c>
      <c r="O47" s="101">
        <f t="shared" si="13"/>
        <v>0.14203906250000001</v>
      </c>
      <c r="P47" s="101">
        <f t="shared" si="14"/>
        <v>0.172573828125</v>
      </c>
      <c r="Q47" s="101">
        <f t="shared" si="15"/>
        <v>0.15034228515625001</v>
      </c>
      <c r="R47" s="101">
        <f t="shared" si="16"/>
        <v>0.14802160644531251</v>
      </c>
      <c r="S47" s="101">
        <f t="shared" si="17"/>
        <v>0.15324419555664062</v>
      </c>
      <c r="T47" s="101">
        <f t="shared" si="18"/>
        <v>0.15604547882080078</v>
      </c>
      <c r="U47" s="101">
        <f t="shared" si="19"/>
        <v>0.15191339149475097</v>
      </c>
      <c r="V47" s="101">
        <f t="shared" si="20"/>
        <v>0.15230616807937622</v>
      </c>
      <c r="W47" s="101">
        <f t="shared" si="21"/>
        <v>0.15337730848789213</v>
      </c>
      <c r="X47" s="101">
        <f t="shared" si="22"/>
        <v>0.15341058672070501</v>
      </c>
      <c r="Y47" s="101">
        <f t="shared" si="23"/>
        <v>0.15275186369568106</v>
      </c>
      <c r="Z47" s="101">
        <f t="shared" si="24"/>
        <v>0.15296148174591362</v>
      </c>
      <c r="AA47" s="101">
        <f t="shared" si="25"/>
        <v>0.15312531016254796</v>
      </c>
      <c r="AB47" s="101">
        <f t="shared" si="26"/>
        <v>0.15306231058121192</v>
      </c>
      <c r="AC47" s="101">
        <f t="shared" si="27"/>
        <v>0.15297524154633863</v>
      </c>
      <c r="AD47" s="101">
        <f t="shared" si="28"/>
        <v>0.153031086009003</v>
      </c>
      <c r="AE47" s="101">
        <f t="shared" si="29"/>
        <v>0.15304848707477536</v>
      </c>
      <c r="AF47" s="101">
        <f t="shared" si="30"/>
        <v>0.15302928130283222</v>
      </c>
      <c r="AG47" s="101">
        <f t="shared" si="31"/>
        <v>0.1530210239832373</v>
      </c>
      <c r="AH47" s="101">
        <f t="shared" si="32"/>
        <v>0.15303246959246197</v>
      </c>
      <c r="AI47" s="101">
        <f t="shared" si="33"/>
        <v>0.1530328154883267</v>
      </c>
      <c r="AJ47" s="101">
        <f t="shared" si="34"/>
        <v>0.15302889759171456</v>
      </c>
      <c r="AK47" s="101">
        <f t="shared" si="35"/>
        <v>0.15302880166393512</v>
      </c>
      <c r="AL47" s="101">
        <f t="shared" si="36"/>
        <v>0.1530307460841096</v>
      </c>
      <c r="AM47" s="101">
        <f t="shared" si="37"/>
        <v>0.15303031520702148</v>
      </c>
      <c r="AN47" s="101">
        <f t="shared" si="38"/>
        <v>0.15302969013669521</v>
      </c>
      <c r="AO47" s="101">
        <f t="shared" si="39"/>
        <v>0.15302988827294034</v>
      </c>
      <c r="AP47" s="101">
        <f t="shared" si="40"/>
        <v>0.15303015992519164</v>
      </c>
      <c r="AQ47" s="101">
        <f t="shared" si="41"/>
        <v>0.15303001338546218</v>
      </c>
      <c r="AR47" s="101">
        <f t="shared" si="42"/>
        <v>0.15302993793007236</v>
      </c>
      <c r="AS47" s="101">
        <f t="shared" si="43"/>
        <v>0.15302999987841664</v>
      </c>
      <c r="AT47" s="101">
        <f t="shared" si="44"/>
        <v>0.15303002777978569</v>
      </c>
      <c r="AU47" s="101">
        <f t="shared" si="45"/>
        <v>0.15302999474343421</v>
      </c>
      <c r="AV47" s="101">
        <f t="shared" si="2"/>
        <v>0.15302999008292723</v>
      </c>
      <c r="AW47" s="101">
        <f t="shared" si="3"/>
        <v>0.15303000312114096</v>
      </c>
      <c r="AX47" s="101">
        <f t="shared" si="4"/>
        <v>0.15303000393182203</v>
      </c>
      <c r="AY47" s="101">
        <f t="shared" si="5"/>
        <v>0.15302999796983111</v>
      </c>
      <c r="AZ47" s="101">
        <f t="shared" si="6"/>
        <v>0.15302999877643034</v>
      </c>
      <c r="BA47" s="101">
        <f t="shared" si="7"/>
        <v>0.15303000094980609</v>
      </c>
      <c r="BB47" s="101">
        <f t="shared" si="8"/>
        <v>0.1530300004069724</v>
      </c>
      <c r="BC47" s="101">
        <f t="shared" si="9"/>
        <v>0.15302999952575996</v>
      </c>
      <c r="BD47" s="101">
        <f t="shared" si="10"/>
        <v>0.1530299999147422</v>
      </c>
    </row>
    <row r="48" spans="1:56" x14ac:dyDescent="0.25">
      <c r="A48" s="89" t="s">
        <v>235</v>
      </c>
      <c r="B48" s="89" t="s">
        <v>261</v>
      </c>
      <c r="C48" s="89" t="s">
        <v>260</v>
      </c>
      <c r="D48" s="89" t="s">
        <v>259</v>
      </c>
      <c r="E48" s="100">
        <f>'BPS 2019'!P52/100</f>
        <v>0.10339999999999999</v>
      </c>
      <c r="F48" s="100">
        <f>'BPS 2020'!F52/100</f>
        <v>-0.17610000000000001</v>
      </c>
      <c r="G48" s="100">
        <f>'BPS 2021'!F52/100</f>
        <v>5.0300000000000004E-2</v>
      </c>
      <c r="H48" s="100">
        <f>'BPS 2022'!F52/100</f>
        <v>0.40539999999999998</v>
      </c>
      <c r="I48" s="100">
        <f>'BPS 2023'!F52/100</f>
        <v>0.17910000000000001</v>
      </c>
      <c r="J48" s="100">
        <f>'BPS 2024'!F52/100</f>
        <v>9.3699999999999992E-2</v>
      </c>
      <c r="K48" s="100">
        <f>'BPS 2025'!F52/100</f>
        <v>9.6600000000000005E-2</v>
      </c>
      <c r="L48" s="101">
        <f t="shared" si="1"/>
        <v>0.19370000000000001</v>
      </c>
      <c r="M48" s="101">
        <f t="shared" si="11"/>
        <v>0.14077500000000001</v>
      </c>
      <c r="N48" s="101">
        <f t="shared" si="12"/>
        <v>0.13119375</v>
      </c>
      <c r="O48" s="101">
        <f t="shared" si="13"/>
        <v>0.1405671875</v>
      </c>
      <c r="P48" s="101">
        <f t="shared" si="14"/>
        <v>0.15155898437500001</v>
      </c>
      <c r="Q48" s="101">
        <f t="shared" si="15"/>
        <v>0.14102373046875</v>
      </c>
      <c r="R48" s="101">
        <f t="shared" si="16"/>
        <v>0.14108591308593749</v>
      </c>
      <c r="S48" s="101">
        <f t="shared" si="17"/>
        <v>0.14355895385742187</v>
      </c>
      <c r="T48" s="101">
        <f t="shared" si="18"/>
        <v>0.14430689544677733</v>
      </c>
      <c r="U48" s="101">
        <f t="shared" si="19"/>
        <v>0.14249387321472168</v>
      </c>
      <c r="V48" s="101">
        <f t="shared" si="20"/>
        <v>0.14286140890121457</v>
      </c>
      <c r="W48" s="101">
        <f t="shared" si="21"/>
        <v>0.14330528285503386</v>
      </c>
      <c r="X48" s="101">
        <f t="shared" si="22"/>
        <v>0.14324186510443687</v>
      </c>
      <c r="Y48" s="101">
        <f t="shared" si="23"/>
        <v>0.14297560751885174</v>
      </c>
      <c r="Z48" s="101">
        <f t="shared" si="24"/>
        <v>0.14309604109488427</v>
      </c>
      <c r="AA48" s="101">
        <f t="shared" si="25"/>
        <v>0.1431546991433017</v>
      </c>
      <c r="AB48" s="101">
        <f t="shared" si="26"/>
        <v>0.14311705321536866</v>
      </c>
      <c r="AC48" s="101">
        <f t="shared" si="27"/>
        <v>0.14308585024310161</v>
      </c>
      <c r="AD48" s="101">
        <f t="shared" si="28"/>
        <v>0.14311341092416408</v>
      </c>
      <c r="AE48" s="101">
        <f t="shared" si="29"/>
        <v>0.14311775338148403</v>
      </c>
      <c r="AF48" s="101">
        <f t="shared" si="30"/>
        <v>0.14310851694102961</v>
      </c>
      <c r="AG48" s="101">
        <f t="shared" si="31"/>
        <v>0.14310638287244482</v>
      </c>
      <c r="AH48" s="101">
        <f t="shared" si="32"/>
        <v>0.14311151602978062</v>
      </c>
      <c r="AI48" s="101">
        <f t="shared" si="33"/>
        <v>0.14311104230618477</v>
      </c>
      <c r="AJ48" s="101">
        <f t="shared" si="34"/>
        <v>0.14310936453735995</v>
      </c>
      <c r="AK48" s="101">
        <f t="shared" si="35"/>
        <v>0.14310957643644254</v>
      </c>
      <c r="AL48" s="101">
        <f t="shared" si="36"/>
        <v>0.14311037482744196</v>
      </c>
      <c r="AM48" s="101">
        <f t="shared" si="37"/>
        <v>0.1431100895268573</v>
      </c>
      <c r="AN48" s="101">
        <f t="shared" si="38"/>
        <v>0.14310985133202545</v>
      </c>
      <c r="AO48" s="101">
        <f t="shared" si="39"/>
        <v>0.14310997303069181</v>
      </c>
      <c r="AP48" s="101">
        <f t="shared" si="40"/>
        <v>0.14311007217925414</v>
      </c>
      <c r="AQ48" s="101">
        <f t="shared" si="41"/>
        <v>0.14310999651720718</v>
      </c>
      <c r="AR48" s="101">
        <f t="shared" si="42"/>
        <v>0.14310997326479463</v>
      </c>
      <c r="AS48" s="101">
        <f t="shared" si="43"/>
        <v>0.14311000374798694</v>
      </c>
      <c r="AT48" s="101">
        <f t="shared" si="44"/>
        <v>0.14311001142731072</v>
      </c>
      <c r="AU48" s="101">
        <f t="shared" si="45"/>
        <v>0.14310999623932485</v>
      </c>
      <c r="AV48" s="101">
        <f t="shared" si="2"/>
        <v>0.14310999616985429</v>
      </c>
      <c r="AW48" s="101">
        <f t="shared" si="3"/>
        <v>0.14311000189611919</v>
      </c>
      <c r="AX48" s="101">
        <f t="shared" si="4"/>
        <v>0.14311000143315228</v>
      </c>
      <c r="AY48" s="101">
        <f t="shared" si="5"/>
        <v>0.14310999893461268</v>
      </c>
      <c r="AZ48" s="101">
        <f t="shared" si="6"/>
        <v>0.14310999960843462</v>
      </c>
      <c r="BA48" s="101">
        <f t="shared" si="7"/>
        <v>0.1431100004680797</v>
      </c>
      <c r="BB48" s="101">
        <f t="shared" si="8"/>
        <v>0.14311000011106983</v>
      </c>
      <c r="BC48" s="101">
        <f t="shared" si="9"/>
        <v>0.14310999978054922</v>
      </c>
      <c r="BD48" s="101">
        <f t="shared" si="10"/>
        <v>0.14310999999203333</v>
      </c>
    </row>
    <row r="49" spans="1:56" s="91" customFormat="1" x14ac:dyDescent="0.25">
      <c r="A49" s="91" t="s">
        <v>258</v>
      </c>
      <c r="B49" s="91" t="s">
        <v>257</v>
      </c>
      <c r="C49" s="91" t="s">
        <v>256</v>
      </c>
      <c r="D49" s="91" t="s">
        <v>196</v>
      </c>
      <c r="E49" s="99">
        <f>'BPS 2019'!P53/100</f>
        <v>5.79E-2</v>
      </c>
      <c r="F49" s="99">
        <f>'BPS 2020'!F53/100</f>
        <v>-0.1026</v>
      </c>
      <c r="G49" s="99">
        <f>'BPS 2021'!F53/100</f>
        <v>3.8800000000000001E-2</v>
      </c>
      <c r="H49" s="99">
        <f>'BPS 2022'!F53/100</f>
        <v>0.11939999999999999</v>
      </c>
      <c r="I49" s="99">
        <f>'BPS 2023'!F53/100</f>
        <v>0.1</v>
      </c>
      <c r="J49" s="99">
        <f>'BPS 2024'!F53/100</f>
        <v>8.4600000000000009E-2</v>
      </c>
      <c r="K49" s="99">
        <f>'BPS 2025'!F53/100</f>
        <v>7.4099999999999999E-2</v>
      </c>
      <c r="L49" s="101">
        <f t="shared" si="1"/>
        <v>9.4524999999999998E-2</v>
      </c>
      <c r="M49" s="101">
        <f t="shared" si="11"/>
        <v>8.8306250000000003E-2</v>
      </c>
      <c r="N49" s="101">
        <f t="shared" si="12"/>
        <v>8.5382812500000016E-2</v>
      </c>
      <c r="O49" s="101">
        <f t="shared" si="13"/>
        <v>8.5578515625000004E-2</v>
      </c>
      <c r="P49" s="101">
        <f t="shared" si="14"/>
        <v>8.8448144531250009E-2</v>
      </c>
      <c r="Q49" s="101">
        <f t="shared" si="15"/>
        <v>8.6928930664062501E-2</v>
      </c>
      <c r="R49" s="101">
        <f t="shared" si="16"/>
        <v>8.6584600830078129E-2</v>
      </c>
      <c r="S49" s="101">
        <f t="shared" si="17"/>
        <v>8.6885047912597657E-2</v>
      </c>
      <c r="T49" s="101">
        <f t="shared" si="18"/>
        <v>8.7211680984497081E-2</v>
      </c>
      <c r="U49" s="101">
        <f t="shared" si="19"/>
        <v>8.6902565097808832E-2</v>
      </c>
      <c r="V49" s="101">
        <f t="shared" si="20"/>
        <v>8.6895973706245411E-2</v>
      </c>
      <c r="W49" s="101">
        <f t="shared" si="21"/>
        <v>8.6973816925287245E-2</v>
      </c>
      <c r="X49" s="101">
        <f t="shared" si="22"/>
        <v>8.6996009178459649E-2</v>
      </c>
      <c r="Y49" s="101">
        <f t="shared" si="23"/>
        <v>8.6942091226950291E-2</v>
      </c>
      <c r="Z49" s="101">
        <f t="shared" si="24"/>
        <v>8.6951972759235649E-2</v>
      </c>
      <c r="AA49" s="101">
        <f t="shared" si="25"/>
        <v>8.6965972522483212E-2</v>
      </c>
      <c r="AB49" s="101">
        <f t="shared" si="26"/>
        <v>8.69640114217822E-2</v>
      </c>
      <c r="AC49" s="101">
        <f t="shared" si="27"/>
        <v>8.6956011982612852E-2</v>
      </c>
      <c r="AD49" s="101">
        <f t="shared" si="28"/>
        <v>8.6959492171528485E-2</v>
      </c>
      <c r="AE49" s="101">
        <f t="shared" si="29"/>
        <v>8.6961372024601677E-2</v>
      </c>
      <c r="AF49" s="101">
        <f t="shared" si="30"/>
        <v>8.6960221900131307E-2</v>
      </c>
      <c r="AG49" s="101">
        <f t="shared" si="31"/>
        <v>8.6959274519718577E-2</v>
      </c>
      <c r="AH49" s="101">
        <f t="shared" si="32"/>
        <v>8.6960090153995015E-2</v>
      </c>
      <c r="AI49" s="101">
        <f t="shared" si="33"/>
        <v>8.6960239649611651E-2</v>
      </c>
      <c r="AJ49" s="101">
        <f t="shared" si="34"/>
        <v>8.6959956555864137E-2</v>
      </c>
      <c r="AK49" s="101">
        <f t="shared" si="35"/>
        <v>8.6959890219797345E-2</v>
      </c>
      <c r="AL49" s="101">
        <f t="shared" si="36"/>
        <v>8.6960044144817034E-2</v>
      </c>
      <c r="AM49" s="101">
        <f t="shared" si="37"/>
        <v>8.6960032642522528E-2</v>
      </c>
      <c r="AN49" s="101">
        <f t="shared" si="38"/>
        <v>8.6959980890750244E-2</v>
      </c>
      <c r="AO49" s="101">
        <f t="shared" si="39"/>
        <v>8.6959986974471784E-2</v>
      </c>
      <c r="AP49" s="101">
        <f t="shared" si="40"/>
        <v>8.6960011163140394E-2</v>
      </c>
      <c r="AQ49" s="101">
        <f t="shared" si="41"/>
        <v>8.6960002917721241E-2</v>
      </c>
      <c r="AR49" s="101">
        <f t="shared" si="42"/>
        <v>8.6959995486520919E-2</v>
      </c>
      <c r="AS49" s="101">
        <f t="shared" si="43"/>
        <v>8.6959999135463567E-2</v>
      </c>
      <c r="AT49" s="101">
        <f t="shared" si="44"/>
        <v>8.6960002175711537E-2</v>
      </c>
      <c r="AU49" s="101">
        <f t="shared" si="45"/>
        <v>8.6959999928854309E-2</v>
      </c>
      <c r="AV49" s="101">
        <f t="shared" si="2"/>
        <v>8.6959999181637576E-2</v>
      </c>
      <c r="AW49" s="101">
        <f t="shared" si="3"/>
        <v>8.696000010541674E-2</v>
      </c>
      <c r="AX49" s="101">
        <f t="shared" si="4"/>
        <v>8.6960000347905048E-2</v>
      </c>
      <c r="AY49" s="101">
        <f t="shared" si="5"/>
        <v>8.6959999890953432E-2</v>
      </c>
      <c r="AZ49" s="101">
        <f t="shared" si="6"/>
        <v>8.6959999881478192E-2</v>
      </c>
      <c r="BA49" s="101">
        <f t="shared" si="7"/>
        <v>8.696000005643835E-2</v>
      </c>
      <c r="BB49" s="101">
        <f t="shared" si="8"/>
        <v>8.6960000044193755E-2</v>
      </c>
      <c r="BC49" s="101">
        <f t="shared" si="9"/>
        <v>8.6959999968265922E-2</v>
      </c>
      <c r="BD49" s="101">
        <f t="shared" si="10"/>
        <v>8.6959999987594058E-2</v>
      </c>
    </row>
    <row r="50" spans="1:56" x14ac:dyDescent="0.25">
      <c r="A50" s="89" t="s">
        <v>235</v>
      </c>
      <c r="B50" s="89" t="s">
        <v>255</v>
      </c>
      <c r="C50" s="89" t="s">
        <v>254</v>
      </c>
      <c r="D50" s="89" t="s">
        <v>253</v>
      </c>
      <c r="E50" s="100">
        <f>'BPS 2019'!P54/100</f>
        <v>1.38E-2</v>
      </c>
      <c r="F50" s="100">
        <f>'BPS 2020'!F54/100</f>
        <v>-0.24489999999999998</v>
      </c>
      <c r="G50" s="100">
        <f>'BPS 2021'!F54/100</f>
        <v>5.7699999999999994E-2</v>
      </c>
      <c r="H50" s="100">
        <f>'BPS 2022'!F54/100</f>
        <v>0.30959999999999999</v>
      </c>
      <c r="I50" s="100">
        <f>'BPS 2023'!F54/100</f>
        <v>0.13150000000000001</v>
      </c>
      <c r="J50" s="100">
        <f>'BPS 2024'!F54/100</f>
        <v>8.6099999999999996E-2</v>
      </c>
      <c r="K50" s="100">
        <f>'BPS 2025'!F54/100</f>
        <v>-4.0000000000000001E-3</v>
      </c>
      <c r="L50" s="101">
        <f t="shared" si="1"/>
        <v>0.1308</v>
      </c>
      <c r="M50" s="101">
        <f t="shared" si="11"/>
        <v>8.610000000000001E-2</v>
      </c>
      <c r="N50" s="101">
        <f t="shared" si="12"/>
        <v>7.4749999999999997E-2</v>
      </c>
      <c r="O50" s="101">
        <f t="shared" si="13"/>
        <v>7.1912500000000004E-2</v>
      </c>
      <c r="P50" s="101">
        <f t="shared" si="14"/>
        <v>9.0890625000000003E-2</v>
      </c>
      <c r="Q50" s="101">
        <f t="shared" si="15"/>
        <v>8.0913281249999996E-2</v>
      </c>
      <c r="R50" s="101">
        <f t="shared" si="16"/>
        <v>7.96166015625E-2</v>
      </c>
      <c r="S50" s="101">
        <f t="shared" si="17"/>
        <v>8.083325195312499E-2</v>
      </c>
      <c r="T50" s="101">
        <f t="shared" si="18"/>
        <v>8.3063439941406247E-2</v>
      </c>
      <c r="U50" s="101">
        <f t="shared" si="19"/>
        <v>8.1106643676757809E-2</v>
      </c>
      <c r="V50" s="101">
        <f t="shared" si="20"/>
        <v>8.1154984283447265E-2</v>
      </c>
      <c r="W50" s="101">
        <f t="shared" si="21"/>
        <v>8.1539579963684078E-2</v>
      </c>
      <c r="X50" s="101">
        <f t="shared" si="22"/>
        <v>8.1716161966323836E-2</v>
      </c>
      <c r="Y50" s="101">
        <f t="shared" si="23"/>
        <v>8.137934247255324E-2</v>
      </c>
      <c r="Z50" s="101">
        <f t="shared" si="24"/>
        <v>8.1447517171502115E-2</v>
      </c>
      <c r="AA50" s="101">
        <f t="shared" si="25"/>
        <v>8.1520650393515817E-2</v>
      </c>
      <c r="AB50" s="101">
        <f t="shared" si="26"/>
        <v>8.1515918000973756E-2</v>
      </c>
      <c r="AC50" s="101">
        <f t="shared" si="27"/>
        <v>8.1465857009636225E-2</v>
      </c>
      <c r="AD50" s="101">
        <f t="shared" si="28"/>
        <v>8.1487485643906968E-2</v>
      </c>
      <c r="AE50" s="101">
        <f t="shared" si="29"/>
        <v>8.1497477762008191E-2</v>
      </c>
      <c r="AF50" s="101">
        <f t="shared" si="30"/>
        <v>8.1491684604131281E-2</v>
      </c>
      <c r="AG50" s="101">
        <f t="shared" si="31"/>
        <v>8.1485626254920673E-2</v>
      </c>
      <c r="AH50" s="101">
        <f t="shared" si="32"/>
        <v>8.1490568566241789E-2</v>
      </c>
      <c r="AI50" s="101">
        <f t="shared" si="33"/>
        <v>8.1491339296825477E-2</v>
      </c>
      <c r="AJ50" s="101">
        <f t="shared" si="34"/>
        <v>8.1489804680529798E-2</v>
      </c>
      <c r="AK50" s="101">
        <f t="shared" si="35"/>
        <v>8.1489334699629434E-2</v>
      </c>
      <c r="AL50" s="101">
        <f t="shared" si="36"/>
        <v>8.1490261810806625E-2</v>
      </c>
      <c r="AM50" s="101">
        <f t="shared" si="37"/>
        <v>8.1490185121947833E-2</v>
      </c>
      <c r="AN50" s="101">
        <f t="shared" si="38"/>
        <v>8.1489896578228416E-2</v>
      </c>
      <c r="AO50" s="101">
        <f t="shared" si="39"/>
        <v>8.1489919552653084E-2</v>
      </c>
      <c r="AP50" s="101">
        <f t="shared" si="40"/>
        <v>8.1490065765908989E-2</v>
      </c>
      <c r="AQ50" s="101">
        <f t="shared" si="41"/>
        <v>8.1490016754684577E-2</v>
      </c>
      <c r="AR50" s="101">
        <f t="shared" si="42"/>
        <v>8.1489974662868767E-2</v>
      </c>
      <c r="AS50" s="101">
        <f t="shared" si="43"/>
        <v>8.1489994184028858E-2</v>
      </c>
      <c r="AT50" s="101">
        <f t="shared" si="44"/>
        <v>8.1490012841872794E-2</v>
      </c>
      <c r="AU50" s="101">
        <f t="shared" si="45"/>
        <v>8.1489999610863756E-2</v>
      </c>
      <c r="AV50" s="101">
        <f t="shared" si="2"/>
        <v>8.1489995324908554E-2</v>
      </c>
      <c r="AW50" s="101">
        <f t="shared" si="3"/>
        <v>8.149000049041849E-2</v>
      </c>
      <c r="AX50" s="101">
        <f t="shared" si="4"/>
        <v>8.1490002067015899E-2</v>
      </c>
      <c r="AY50" s="101">
        <f t="shared" si="5"/>
        <v>8.1489999373301675E-2</v>
      </c>
      <c r="AZ50" s="101">
        <f t="shared" si="6"/>
        <v>8.1489999313911154E-2</v>
      </c>
      <c r="BA50" s="101">
        <f t="shared" si="7"/>
        <v>8.1490000311161798E-2</v>
      </c>
      <c r="BB50" s="101">
        <f t="shared" si="8"/>
        <v>8.1490000266347631E-2</v>
      </c>
      <c r="BC50" s="101">
        <f t="shared" si="9"/>
        <v>8.1489999816180561E-2</v>
      </c>
      <c r="BD50" s="101">
        <f t="shared" si="10"/>
        <v>8.1489999926900286E-2</v>
      </c>
    </row>
    <row r="51" spans="1:56" x14ac:dyDescent="0.25">
      <c r="A51" s="89" t="s">
        <v>235</v>
      </c>
      <c r="B51" s="89" t="s">
        <v>252</v>
      </c>
      <c r="C51" s="89" t="s">
        <v>251</v>
      </c>
      <c r="D51" s="89" t="s">
        <v>250</v>
      </c>
      <c r="E51" s="100">
        <f>'BPS 2019'!P55/100</f>
        <v>6.8900000000000003E-2</v>
      </c>
      <c r="F51" s="100">
        <f>'BPS 2020'!F55/100</f>
        <v>-6.88E-2</v>
      </c>
      <c r="G51" s="100">
        <f>'BPS 2021'!F55/100</f>
        <v>3.5200000000000002E-2</v>
      </c>
      <c r="H51" s="100">
        <f>'BPS 2022'!F55/100</f>
        <v>8.2100000000000006E-2</v>
      </c>
      <c r="I51" s="100">
        <f>'BPS 2023'!F55/100</f>
        <v>9.2600000000000002E-2</v>
      </c>
      <c r="J51" s="100">
        <f>'BPS 2024'!F55/100</f>
        <v>8.4199999999999997E-2</v>
      </c>
      <c r="K51" s="100">
        <f>'BPS 2025'!F55/100</f>
        <v>9.3399999999999997E-2</v>
      </c>
      <c r="L51" s="101">
        <f t="shared" si="1"/>
        <v>8.8075000000000001E-2</v>
      </c>
      <c r="M51" s="101">
        <f t="shared" si="11"/>
        <v>8.9568750000000003E-2</v>
      </c>
      <c r="N51" s="101">
        <f t="shared" si="12"/>
        <v>8.8810937499999992E-2</v>
      </c>
      <c r="O51" s="101">
        <f t="shared" si="13"/>
        <v>8.9963671875000012E-2</v>
      </c>
      <c r="P51" s="101">
        <f t="shared" si="14"/>
        <v>8.9104589843749998E-2</v>
      </c>
      <c r="Q51" s="101">
        <f t="shared" si="15"/>
        <v>8.9361987304687501E-2</v>
      </c>
      <c r="R51" s="101">
        <f t="shared" si="16"/>
        <v>8.9310296630859376E-2</v>
      </c>
      <c r="S51" s="101">
        <f t="shared" si="17"/>
        <v>8.9435136413574215E-2</v>
      </c>
      <c r="T51" s="101">
        <f t="shared" si="18"/>
        <v>8.9303002548217769E-2</v>
      </c>
      <c r="U51" s="101">
        <f t="shared" si="19"/>
        <v>8.9352605724334719E-2</v>
      </c>
      <c r="V51" s="101">
        <f t="shared" si="20"/>
        <v>8.935026032924652E-2</v>
      </c>
      <c r="W51" s="101">
        <f t="shared" si="21"/>
        <v>8.9360251253843309E-2</v>
      </c>
      <c r="X51" s="101">
        <f t="shared" si="22"/>
        <v>8.9341529963910593E-2</v>
      </c>
      <c r="Y51" s="101">
        <f t="shared" si="23"/>
        <v>8.9351161817833785E-2</v>
      </c>
      <c r="Z51" s="101">
        <f t="shared" si="24"/>
        <v>8.9350800841208555E-2</v>
      </c>
      <c r="AA51" s="101">
        <f t="shared" si="25"/>
        <v>8.9350935969199061E-2</v>
      </c>
      <c r="AB51" s="101">
        <f t="shared" si="26"/>
        <v>8.9348607148037995E-2</v>
      </c>
      <c r="AC51" s="101">
        <f t="shared" si="27"/>
        <v>8.9350376444069846E-2</v>
      </c>
      <c r="AD51" s="101">
        <f t="shared" si="28"/>
        <v>8.9350180100628868E-2</v>
      </c>
      <c r="AE51" s="101">
        <f t="shared" si="29"/>
        <v>8.9350024915483939E-2</v>
      </c>
      <c r="AF51" s="101">
        <f t="shared" si="30"/>
        <v>8.9349797152055155E-2</v>
      </c>
      <c r="AG51" s="101">
        <f t="shared" si="31"/>
        <v>8.9350094653059459E-2</v>
      </c>
      <c r="AH51" s="101">
        <f t="shared" si="32"/>
        <v>8.9350024205306855E-2</v>
      </c>
      <c r="AI51" s="101">
        <f t="shared" si="33"/>
        <v>8.9349985231476345E-2</v>
      </c>
      <c r="AJ51" s="101">
        <f t="shared" si="34"/>
        <v>8.9349975310474464E-2</v>
      </c>
      <c r="AK51" s="101">
        <f t="shared" si="35"/>
        <v>8.9350019850079274E-2</v>
      </c>
      <c r="AL51" s="101">
        <f t="shared" si="36"/>
        <v>8.9350001149334238E-2</v>
      </c>
      <c r="AM51" s="101">
        <f t="shared" si="37"/>
        <v>8.934999538534108E-2</v>
      </c>
      <c r="AN51" s="101">
        <f t="shared" si="38"/>
        <v>8.9349997923807267E-2</v>
      </c>
      <c r="AO51" s="101">
        <f t="shared" si="39"/>
        <v>8.9350003577140458E-2</v>
      </c>
      <c r="AP51" s="101">
        <f t="shared" si="40"/>
        <v>8.9349999508905764E-2</v>
      </c>
      <c r="AQ51" s="101">
        <f t="shared" si="41"/>
        <v>8.9349999098798649E-2</v>
      </c>
      <c r="AR51" s="101">
        <f t="shared" si="42"/>
        <v>8.9350000027163035E-2</v>
      </c>
      <c r="AS51" s="101">
        <f t="shared" si="43"/>
        <v>8.9350000553001976E-2</v>
      </c>
      <c r="AT51" s="101">
        <f t="shared" si="44"/>
        <v>8.9349999796967353E-2</v>
      </c>
      <c r="AU51" s="101">
        <f t="shared" si="45"/>
        <v>8.9349999868982746E-2</v>
      </c>
      <c r="AV51" s="101">
        <f t="shared" si="2"/>
        <v>8.9350000061528767E-2</v>
      </c>
      <c r="AW51" s="101">
        <f t="shared" si="3"/>
        <v>8.9350000070120214E-2</v>
      </c>
      <c r="AX51" s="101">
        <f t="shared" si="4"/>
        <v>8.934999994939978E-2</v>
      </c>
      <c r="AY51" s="101">
        <f t="shared" si="5"/>
        <v>8.934999998750788E-2</v>
      </c>
      <c r="AZ51" s="101">
        <f t="shared" si="6"/>
        <v>8.9350000017139164E-2</v>
      </c>
      <c r="BA51" s="101">
        <f t="shared" si="7"/>
        <v>8.9350000006041763E-2</v>
      </c>
      <c r="BB51" s="101">
        <f t="shared" si="8"/>
        <v>8.9349999990022147E-2</v>
      </c>
      <c r="BC51" s="101">
        <f t="shared" si="9"/>
        <v>8.9350000000177732E-2</v>
      </c>
      <c r="BD51" s="101">
        <f t="shared" si="10"/>
        <v>8.9350000003345198E-2</v>
      </c>
    </row>
    <row r="52" spans="1:56" s="91" customFormat="1" x14ac:dyDescent="0.25">
      <c r="A52" s="91" t="s">
        <v>197</v>
      </c>
      <c r="B52" s="91" t="s">
        <v>249</v>
      </c>
      <c r="C52" s="91" t="s">
        <v>248</v>
      </c>
      <c r="D52" s="91" t="s">
        <v>197</v>
      </c>
      <c r="E52" s="99">
        <f>'BPS 2019'!P56/100</f>
        <v>9.4200000000000006E-2</v>
      </c>
      <c r="F52" s="99">
        <f>'BPS 2020'!F56/100</f>
        <v>0.1061</v>
      </c>
      <c r="G52" s="99">
        <f>'BPS 2021'!F56/100</f>
        <v>6.8199999999999997E-2</v>
      </c>
      <c r="H52" s="99">
        <f>'BPS 2022'!F56/100</f>
        <v>7.7300000000000008E-2</v>
      </c>
      <c r="I52" s="99">
        <f>'BPS 2023'!F56/100</f>
        <v>7.5899999999999995E-2</v>
      </c>
      <c r="J52" s="99">
        <f>'BPS 2024'!F56/100</f>
        <v>7.5700000000000003E-2</v>
      </c>
      <c r="K52" s="99">
        <f>'BPS 2025'!F56/100</f>
        <v>8.3499999999999991E-2</v>
      </c>
      <c r="L52" s="101">
        <f t="shared" si="1"/>
        <v>7.8100000000000003E-2</v>
      </c>
      <c r="M52" s="101">
        <f t="shared" si="11"/>
        <v>7.8300000000000008E-2</v>
      </c>
      <c r="N52" s="101">
        <f t="shared" si="12"/>
        <v>7.8899999999999998E-2</v>
      </c>
      <c r="O52" s="101">
        <f t="shared" si="13"/>
        <v>7.9699999999999993E-2</v>
      </c>
      <c r="P52" s="101">
        <f t="shared" si="14"/>
        <v>7.8750000000000001E-2</v>
      </c>
      <c r="Q52" s="101">
        <f t="shared" si="15"/>
        <v>7.8912499999999997E-2</v>
      </c>
      <c r="R52" s="101">
        <f t="shared" si="16"/>
        <v>7.9065625E-2</v>
      </c>
      <c r="S52" s="101">
        <f t="shared" si="17"/>
        <v>7.9107031249999987E-2</v>
      </c>
      <c r="T52" s="101">
        <f t="shared" si="18"/>
        <v>7.8958789062499993E-2</v>
      </c>
      <c r="U52" s="101">
        <f t="shared" si="19"/>
        <v>7.9010986328124991E-2</v>
      </c>
      <c r="V52" s="101">
        <f t="shared" si="20"/>
        <v>7.9035607910156236E-2</v>
      </c>
      <c r="W52" s="101">
        <f t="shared" si="21"/>
        <v>7.9028103637695302E-2</v>
      </c>
      <c r="X52" s="101">
        <f t="shared" si="22"/>
        <v>7.9008371734619137E-2</v>
      </c>
      <c r="Y52" s="101">
        <f t="shared" si="23"/>
        <v>7.9020767402648906E-2</v>
      </c>
      <c r="Z52" s="101">
        <f t="shared" si="24"/>
        <v>7.9023212671279902E-2</v>
      </c>
      <c r="AA52" s="101">
        <f t="shared" si="25"/>
        <v>7.9020113861560812E-2</v>
      </c>
      <c r="AB52" s="101">
        <f t="shared" si="26"/>
        <v>7.9018116417527193E-2</v>
      </c>
      <c r="AC52" s="101">
        <f t="shared" si="27"/>
        <v>7.9020552588254203E-2</v>
      </c>
      <c r="AD52" s="101">
        <f t="shared" si="28"/>
        <v>7.9020498884655524E-2</v>
      </c>
      <c r="AE52" s="101">
        <f t="shared" si="29"/>
        <v>7.9019820437999433E-2</v>
      </c>
      <c r="AF52" s="101">
        <f t="shared" si="30"/>
        <v>7.9019747082109085E-2</v>
      </c>
      <c r="AG52" s="101">
        <f t="shared" si="31"/>
        <v>7.9020154748254565E-2</v>
      </c>
      <c r="AH52" s="101">
        <f t="shared" si="32"/>
        <v>7.9020055288254648E-2</v>
      </c>
      <c r="AI52" s="101">
        <f t="shared" si="33"/>
        <v>7.901994438915444E-2</v>
      </c>
      <c r="AJ52" s="101">
        <f t="shared" si="34"/>
        <v>7.9019975376943191E-2</v>
      </c>
      <c r="AK52" s="101">
        <f t="shared" si="35"/>
        <v>7.90200324506517E-2</v>
      </c>
      <c r="AL52" s="101">
        <f t="shared" si="36"/>
        <v>7.9020001876250995E-2</v>
      </c>
      <c r="AM52" s="101">
        <f t="shared" si="37"/>
        <v>7.9019988523250081E-2</v>
      </c>
      <c r="AN52" s="101">
        <f t="shared" si="38"/>
        <v>7.9019999556773995E-2</v>
      </c>
      <c r="AO52" s="101">
        <f t="shared" si="39"/>
        <v>7.9020005601731697E-2</v>
      </c>
      <c r="AP52" s="101">
        <f t="shared" si="40"/>
        <v>7.9019998889501689E-2</v>
      </c>
      <c r="AQ52" s="101">
        <f t="shared" si="41"/>
        <v>7.9019998142814366E-2</v>
      </c>
      <c r="AR52" s="101">
        <f t="shared" si="42"/>
        <v>7.902000054770543E-2</v>
      </c>
      <c r="AS52" s="101">
        <f t="shared" si="43"/>
        <v>7.9020000795438292E-2</v>
      </c>
      <c r="AT52" s="101">
        <f t="shared" si="44"/>
        <v>7.9019999593864951E-2</v>
      </c>
      <c r="AU52" s="101">
        <f t="shared" si="45"/>
        <v>7.9019999769955759E-2</v>
      </c>
      <c r="AV52" s="101">
        <f t="shared" si="2"/>
        <v>7.9020000176741115E-2</v>
      </c>
      <c r="AW52" s="101">
        <f t="shared" si="3"/>
        <v>7.9020000084000022E-2</v>
      </c>
      <c r="AX52" s="101">
        <f t="shared" si="4"/>
        <v>7.9019999906140462E-2</v>
      </c>
      <c r="AY52" s="101">
        <f t="shared" si="5"/>
        <v>7.9019999984209333E-2</v>
      </c>
      <c r="AZ52" s="101">
        <f t="shared" si="6"/>
        <v>7.9020000037772736E-2</v>
      </c>
      <c r="BA52" s="101">
        <f t="shared" si="7"/>
        <v>7.9020000003030638E-2</v>
      </c>
      <c r="BB52" s="101">
        <f t="shared" si="8"/>
        <v>7.9019999982788289E-2</v>
      </c>
      <c r="BC52" s="101">
        <f t="shared" si="9"/>
        <v>7.9020000001950252E-2</v>
      </c>
      <c r="BD52" s="101">
        <f t="shared" si="10"/>
        <v>7.9020000006385482E-2</v>
      </c>
    </row>
    <row r="53" spans="1:56" s="91" customFormat="1" x14ac:dyDescent="0.25">
      <c r="A53" s="91" t="s">
        <v>247</v>
      </c>
      <c r="B53" s="91" t="s">
        <v>246</v>
      </c>
      <c r="C53" s="91" t="s">
        <v>245</v>
      </c>
      <c r="D53" s="91" t="s">
        <v>198</v>
      </c>
      <c r="E53" s="99">
        <f>'BPS 2019'!P57/100</f>
        <v>6.6100000000000006E-2</v>
      </c>
      <c r="F53" s="99">
        <f>'BPS 2020'!F57/100</f>
        <v>3.2500000000000001E-2</v>
      </c>
      <c r="G53" s="99">
        <f>'BPS 2021'!F57/100</f>
        <v>1.5600000000000001E-2</v>
      </c>
      <c r="H53" s="99">
        <f>'BPS 2022'!F57/100</f>
        <v>1.9299999999999998E-2</v>
      </c>
      <c r="I53" s="99">
        <f>'BPS 2023'!F57/100</f>
        <v>4.7699999999999992E-2</v>
      </c>
      <c r="J53" s="99">
        <f>'BPS 2024'!F57/100</f>
        <v>4.7400000000000005E-2</v>
      </c>
      <c r="K53" s="99">
        <f>'BPS 2025'!F57/100</f>
        <v>3.9599999999999996E-2</v>
      </c>
      <c r="L53" s="101">
        <f t="shared" si="1"/>
        <v>3.85E-2</v>
      </c>
      <c r="M53" s="101">
        <f t="shared" si="11"/>
        <v>4.3299999999999998E-2</v>
      </c>
      <c r="N53" s="101">
        <f t="shared" si="12"/>
        <v>4.2200000000000001E-2</v>
      </c>
      <c r="O53" s="101">
        <f t="shared" si="13"/>
        <v>4.0900000000000006E-2</v>
      </c>
      <c r="P53" s="101">
        <f t="shared" si="14"/>
        <v>4.1224999999999998E-2</v>
      </c>
      <c r="Q53" s="101">
        <f t="shared" si="15"/>
        <v>4.1906250000000006E-2</v>
      </c>
      <c r="R53" s="101">
        <f t="shared" si="16"/>
        <v>4.1557812499999999E-2</v>
      </c>
      <c r="S53" s="101">
        <f t="shared" si="17"/>
        <v>4.1397265624999999E-2</v>
      </c>
      <c r="T53" s="101">
        <f t="shared" si="18"/>
        <v>4.1521582031250004E-2</v>
      </c>
      <c r="U53" s="101">
        <f t="shared" si="19"/>
        <v>4.1595727539062502E-2</v>
      </c>
      <c r="V53" s="101">
        <f t="shared" si="20"/>
        <v>4.1518096923828129E-2</v>
      </c>
      <c r="W53" s="101">
        <f t="shared" si="21"/>
        <v>4.1508168029785159E-2</v>
      </c>
      <c r="X53" s="101">
        <f t="shared" si="22"/>
        <v>4.1535893630981452E-2</v>
      </c>
      <c r="Y53" s="101">
        <f t="shared" si="23"/>
        <v>4.1539471530914307E-2</v>
      </c>
      <c r="Z53" s="101">
        <f t="shared" si="24"/>
        <v>4.1525407528877262E-2</v>
      </c>
      <c r="AA53" s="101">
        <f t="shared" si="25"/>
        <v>4.1527235180139545E-2</v>
      </c>
      <c r="AB53" s="101">
        <f t="shared" si="26"/>
        <v>4.153200196772814E-2</v>
      </c>
      <c r="AC53" s="101">
        <f t="shared" si="27"/>
        <v>4.153102905191481E-2</v>
      </c>
      <c r="AD53" s="101">
        <f t="shared" si="28"/>
        <v>4.1528918432164934E-2</v>
      </c>
      <c r="AE53" s="101">
        <f t="shared" si="29"/>
        <v>4.152979615798686E-2</v>
      </c>
      <c r="AF53" s="101">
        <f t="shared" si="30"/>
        <v>4.1530436402448682E-2</v>
      </c>
      <c r="AG53" s="101">
        <f t="shared" si="31"/>
        <v>4.1530045011128822E-2</v>
      </c>
      <c r="AH53" s="101">
        <f t="shared" si="32"/>
        <v>4.152979900093233E-2</v>
      </c>
      <c r="AI53" s="101">
        <f t="shared" si="33"/>
        <v>4.1530019143124174E-2</v>
      </c>
      <c r="AJ53" s="101">
        <f t="shared" si="34"/>
        <v>4.1530074889408498E-2</v>
      </c>
      <c r="AK53" s="101">
        <f t="shared" si="35"/>
        <v>4.1529984511148456E-2</v>
      </c>
      <c r="AL53" s="101">
        <f t="shared" si="36"/>
        <v>4.1529969386153359E-2</v>
      </c>
      <c r="AM53" s="101">
        <f t="shared" si="37"/>
        <v>4.153001198245862E-2</v>
      </c>
      <c r="AN53" s="101">
        <f t="shared" si="38"/>
        <v>4.153001019229223E-2</v>
      </c>
      <c r="AO53" s="101">
        <f t="shared" si="39"/>
        <v>4.1529994018013161E-2</v>
      </c>
      <c r="AP53" s="101">
        <f t="shared" si="40"/>
        <v>4.1529996394729346E-2</v>
      </c>
      <c r="AQ53" s="101">
        <f t="shared" si="41"/>
        <v>4.1530003146873343E-2</v>
      </c>
      <c r="AR53" s="101">
        <f t="shared" si="42"/>
        <v>4.153000093797702E-2</v>
      </c>
      <c r="AS53" s="101">
        <f t="shared" si="43"/>
        <v>4.1529998624398219E-2</v>
      </c>
      <c r="AT53" s="101">
        <f t="shared" si="44"/>
        <v>4.1529999775994482E-2</v>
      </c>
      <c r="AU53" s="101">
        <f t="shared" si="45"/>
        <v>4.1530000621310764E-2</v>
      </c>
      <c r="AV53" s="101">
        <f t="shared" si="2"/>
        <v>4.1529999989920123E-2</v>
      </c>
      <c r="AW53" s="101">
        <f t="shared" si="3"/>
        <v>4.1529999752905895E-2</v>
      </c>
      <c r="AX53" s="101">
        <f t="shared" si="4"/>
        <v>4.1530000035032814E-2</v>
      </c>
      <c r="AY53" s="101">
        <f t="shared" si="5"/>
        <v>4.1530000099792401E-2</v>
      </c>
      <c r="AZ53" s="101">
        <f t="shared" si="6"/>
        <v>4.1529999969412812E-2</v>
      </c>
      <c r="BA53" s="101">
        <f t="shared" si="7"/>
        <v>4.1529999964285982E-2</v>
      </c>
      <c r="BB53" s="101">
        <f t="shared" si="8"/>
        <v>4.1530000017131002E-2</v>
      </c>
      <c r="BC53" s="101">
        <f t="shared" si="9"/>
        <v>4.1530000012655555E-2</v>
      </c>
      <c r="BD53" s="101">
        <f t="shared" si="10"/>
        <v>4.1529999990871341E-2</v>
      </c>
    </row>
    <row r="54" spans="1:56" x14ac:dyDescent="0.25">
      <c r="A54" s="89" t="s">
        <v>235</v>
      </c>
      <c r="B54" s="89" t="s">
        <v>244</v>
      </c>
      <c r="C54" s="89" t="s">
        <v>243</v>
      </c>
      <c r="D54" s="89" t="s">
        <v>242</v>
      </c>
      <c r="E54" s="100">
        <f>'BPS 2019'!P58/100</f>
        <v>6.1399999999999996E-2</v>
      </c>
      <c r="F54" s="100">
        <f>'BPS 2020'!F58/100</f>
        <v>3.9800000000000002E-2</v>
      </c>
      <c r="G54" s="100">
        <f>'BPS 2021'!F58/100</f>
        <v>2.7099999999999999E-2</v>
      </c>
      <c r="H54" s="100">
        <f>'BPS 2022'!F58/100</f>
        <v>2.4399999999999998E-2</v>
      </c>
      <c r="I54" s="100">
        <f>'BPS 2023'!F58/100</f>
        <v>7.0099999999999996E-2</v>
      </c>
      <c r="J54" s="100">
        <f>'BPS 2024'!F58/100</f>
        <v>6.8000000000000005E-2</v>
      </c>
      <c r="K54" s="100">
        <f>'BPS 2025'!F58/100</f>
        <v>3.4000000000000002E-2</v>
      </c>
      <c r="L54" s="101">
        <f t="shared" si="1"/>
        <v>4.9125000000000002E-2</v>
      </c>
      <c r="M54" s="101">
        <f t="shared" si="11"/>
        <v>5.5306250000000001E-2</v>
      </c>
      <c r="N54" s="101">
        <f t="shared" si="12"/>
        <v>5.1607812500000003E-2</v>
      </c>
      <c r="O54" s="101">
        <f t="shared" si="13"/>
        <v>4.7509765625000006E-2</v>
      </c>
      <c r="P54" s="101">
        <f t="shared" si="14"/>
        <v>5.0887207031249999E-2</v>
      </c>
      <c r="Q54" s="101">
        <f t="shared" si="15"/>
        <v>5.1327758789062497E-2</v>
      </c>
      <c r="R54" s="101">
        <f t="shared" si="16"/>
        <v>5.0333135986328131E-2</v>
      </c>
      <c r="S54" s="101">
        <f t="shared" si="17"/>
        <v>5.001446685791016E-2</v>
      </c>
      <c r="T54" s="101">
        <f t="shared" si="18"/>
        <v>5.06406421661377E-2</v>
      </c>
      <c r="U54" s="101">
        <f t="shared" si="19"/>
        <v>5.057900094985962E-2</v>
      </c>
      <c r="V54" s="101">
        <f t="shared" si="20"/>
        <v>5.0391811490058905E-2</v>
      </c>
      <c r="W54" s="101">
        <f t="shared" si="21"/>
        <v>5.0406480365991602E-2</v>
      </c>
      <c r="X54" s="101">
        <f t="shared" si="22"/>
        <v>5.050448374301196E-2</v>
      </c>
      <c r="Y54" s="101">
        <f t="shared" si="23"/>
        <v>5.0470444137230522E-2</v>
      </c>
      <c r="Z54" s="101">
        <f t="shared" si="24"/>
        <v>5.0443304934073244E-2</v>
      </c>
      <c r="AA54" s="101">
        <f t="shared" si="25"/>
        <v>5.0456178295076828E-2</v>
      </c>
      <c r="AB54" s="101">
        <f t="shared" si="26"/>
        <v>5.0468602777348132E-2</v>
      </c>
      <c r="AC54" s="101">
        <f t="shared" si="27"/>
        <v>5.0459632535932185E-2</v>
      </c>
      <c r="AD54" s="101">
        <f t="shared" si="28"/>
        <v>5.0456929635607599E-2</v>
      </c>
      <c r="AE54" s="101">
        <f t="shared" si="29"/>
        <v>5.0460335810991186E-2</v>
      </c>
      <c r="AF54" s="101">
        <f t="shared" si="30"/>
        <v>5.0461375189969779E-2</v>
      </c>
      <c r="AG54" s="101">
        <f t="shared" si="31"/>
        <v>5.0459568293125187E-2</v>
      </c>
      <c r="AH54" s="101">
        <f t="shared" si="32"/>
        <v>5.0459552232423446E-2</v>
      </c>
      <c r="AI54" s="101">
        <f t="shared" si="33"/>
        <v>5.0460207881627403E-2</v>
      </c>
      <c r="AJ54" s="101">
        <f t="shared" si="34"/>
        <v>5.0460175899286461E-2</v>
      </c>
      <c r="AK54" s="101">
        <f t="shared" si="35"/>
        <v>5.0459876076615631E-2</v>
      </c>
      <c r="AL54" s="101">
        <f t="shared" si="36"/>
        <v>5.0459953022488235E-2</v>
      </c>
      <c r="AM54" s="101">
        <f t="shared" si="37"/>
        <v>5.0460053220004436E-2</v>
      </c>
      <c r="AN54" s="101">
        <f t="shared" si="38"/>
        <v>5.0460014554598691E-2</v>
      </c>
      <c r="AO54" s="101">
        <f t="shared" si="39"/>
        <v>5.0459974218426754E-2</v>
      </c>
      <c r="AP54" s="101">
        <f t="shared" si="40"/>
        <v>5.0459998753879534E-2</v>
      </c>
      <c r="AQ54" s="101">
        <f t="shared" si="41"/>
        <v>5.0460010186727355E-2</v>
      </c>
      <c r="AR54" s="101">
        <f t="shared" si="42"/>
        <v>5.0459999428408078E-2</v>
      </c>
      <c r="AS54" s="101">
        <f t="shared" si="43"/>
        <v>5.0459995646860434E-2</v>
      </c>
      <c r="AT54" s="101">
        <f t="shared" si="44"/>
        <v>5.046000100396885E-2</v>
      </c>
      <c r="AU54" s="101">
        <f t="shared" si="45"/>
        <v>5.0460001566491178E-2</v>
      </c>
      <c r="AV54" s="101">
        <f t="shared" si="2"/>
        <v>5.045999941143213E-2</v>
      </c>
      <c r="AW54" s="101">
        <f t="shared" si="3"/>
        <v>5.045999940718815E-2</v>
      </c>
      <c r="AX54" s="101">
        <f t="shared" si="4"/>
        <v>5.0460000347270079E-2</v>
      </c>
      <c r="AY54" s="101">
        <f t="shared" si="5"/>
        <v>5.0460000183095384E-2</v>
      </c>
      <c r="AZ54" s="101">
        <f t="shared" si="6"/>
        <v>5.045999983724643E-2</v>
      </c>
      <c r="BA54" s="101">
        <f t="shared" si="7"/>
        <v>5.0459999943700012E-2</v>
      </c>
      <c r="BB54" s="101">
        <f t="shared" si="8"/>
        <v>5.0460000077827978E-2</v>
      </c>
      <c r="BC54" s="101">
        <f t="shared" si="9"/>
        <v>5.0460000010467451E-2</v>
      </c>
      <c r="BD54" s="101">
        <f t="shared" si="10"/>
        <v>5.0459999967310473E-2</v>
      </c>
    </row>
    <row r="55" spans="1:56" x14ac:dyDescent="0.25">
      <c r="A55" s="89" t="s">
        <v>235</v>
      </c>
      <c r="B55" s="89" t="s">
        <v>241</v>
      </c>
      <c r="C55" s="89" t="s">
        <v>240</v>
      </c>
      <c r="D55" s="89" t="s">
        <v>239</v>
      </c>
      <c r="E55" s="100">
        <f>'BPS 2019'!P59/100</f>
        <v>5.67E-2</v>
      </c>
      <c r="F55" s="100">
        <f>'BPS 2020'!F59/100</f>
        <v>4.0300000000000002E-2</v>
      </c>
      <c r="G55" s="100">
        <f>'BPS 2021'!F59/100</f>
        <v>7.0999999999999995E-3</v>
      </c>
      <c r="H55" s="100">
        <f>'BPS 2022'!F59/100</f>
        <v>-9.8999999999999991E-3</v>
      </c>
      <c r="I55" s="100">
        <f>'BPS 2023'!F59/100</f>
        <v>-5.0000000000000001E-3</v>
      </c>
      <c r="J55" s="100">
        <f>'BPS 2024'!F59/100</f>
        <v>-1.0200000000000001E-2</v>
      </c>
      <c r="K55" s="100">
        <f>'BPS 2025'!F59/100</f>
        <v>3.4799999999999998E-2</v>
      </c>
      <c r="L55" s="101">
        <f t="shared" si="1"/>
        <v>2.4249999999999992E-3</v>
      </c>
      <c r="M55" s="101">
        <f t="shared" si="11"/>
        <v>5.506249999999999E-3</v>
      </c>
      <c r="N55" s="101">
        <f t="shared" si="12"/>
        <v>8.1328124999999994E-3</v>
      </c>
      <c r="O55" s="101">
        <f t="shared" si="13"/>
        <v>1.2716015624999997E-2</v>
      </c>
      <c r="P55" s="101">
        <f t="shared" si="14"/>
        <v>7.1950195312499984E-3</v>
      </c>
      <c r="Q55" s="101">
        <f t="shared" si="15"/>
        <v>8.3875244140624982E-3</v>
      </c>
      <c r="R55" s="101">
        <f t="shared" si="16"/>
        <v>9.1078430175781239E-3</v>
      </c>
      <c r="S55" s="101">
        <f t="shared" si="17"/>
        <v>9.3516006469726541E-3</v>
      </c>
      <c r="T55" s="101">
        <f t="shared" si="18"/>
        <v>8.5104969024658184E-3</v>
      </c>
      <c r="U55" s="101">
        <f t="shared" si="19"/>
        <v>8.8393662452697745E-3</v>
      </c>
      <c r="V55" s="101">
        <f t="shared" si="20"/>
        <v>8.952326703071594E-3</v>
      </c>
      <c r="W55" s="101">
        <f t="shared" si="21"/>
        <v>8.9134476244449607E-3</v>
      </c>
      <c r="X55" s="101">
        <f t="shared" si="22"/>
        <v>8.8039093688130378E-3</v>
      </c>
      <c r="Y55" s="101">
        <f t="shared" si="23"/>
        <v>8.8772624853998422E-3</v>
      </c>
      <c r="Z55" s="101">
        <f t="shared" si="24"/>
        <v>8.8867365454323582E-3</v>
      </c>
      <c r="AA55" s="101">
        <f t="shared" si="25"/>
        <v>8.8703390060225502E-3</v>
      </c>
      <c r="AB55" s="101">
        <f t="shared" si="26"/>
        <v>8.8595618514169475E-3</v>
      </c>
      <c r="AC55" s="101">
        <f t="shared" si="27"/>
        <v>8.8734749720679237E-3</v>
      </c>
      <c r="AD55" s="101">
        <f t="shared" si="28"/>
        <v>8.8725280937349445E-3</v>
      </c>
      <c r="AE55" s="101">
        <f t="shared" si="29"/>
        <v>8.8689759808105902E-3</v>
      </c>
      <c r="AF55" s="101">
        <f t="shared" si="30"/>
        <v>8.8686352245076015E-3</v>
      </c>
      <c r="AG55" s="101">
        <f t="shared" si="31"/>
        <v>8.8709035677802649E-3</v>
      </c>
      <c r="AH55" s="101">
        <f t="shared" si="32"/>
        <v>8.8702607167083503E-3</v>
      </c>
      <c r="AI55" s="101">
        <f t="shared" si="33"/>
        <v>8.8696938724517026E-3</v>
      </c>
      <c r="AJ55" s="101">
        <f t="shared" si="34"/>
        <v>8.8698733453619789E-3</v>
      </c>
      <c r="AK55" s="101">
        <f t="shared" si="35"/>
        <v>8.8701828755755746E-3</v>
      </c>
      <c r="AL55" s="101">
        <f t="shared" si="36"/>
        <v>8.8700027025244016E-3</v>
      </c>
      <c r="AM55" s="101">
        <f t="shared" si="37"/>
        <v>8.8699381989784144E-3</v>
      </c>
      <c r="AN55" s="101">
        <f t="shared" si="38"/>
        <v>8.8699992806100924E-3</v>
      </c>
      <c r="AO55" s="101">
        <f t="shared" si="39"/>
        <v>8.8700307644221203E-3</v>
      </c>
      <c r="AP55" s="101">
        <f t="shared" si="40"/>
        <v>8.8699927366337576E-3</v>
      </c>
      <c r="AQ55" s="101">
        <f t="shared" si="41"/>
        <v>8.8699902451610958E-3</v>
      </c>
      <c r="AR55" s="101">
        <f t="shared" si="42"/>
        <v>8.8700032567067665E-3</v>
      </c>
      <c r="AS55" s="101">
        <f t="shared" si="43"/>
        <v>8.8700042507309351E-3</v>
      </c>
      <c r="AT55" s="101">
        <f t="shared" si="44"/>
        <v>8.86999762230814E-3</v>
      </c>
      <c r="AU55" s="101">
        <f t="shared" si="45"/>
        <v>8.8699988437267348E-3</v>
      </c>
      <c r="AV55" s="101">
        <f t="shared" si="2"/>
        <v>8.8700009933681441E-3</v>
      </c>
      <c r="AW55" s="101">
        <f t="shared" si="3"/>
        <v>8.8700004275334889E-3</v>
      </c>
      <c r="AX55" s="101">
        <f t="shared" si="4"/>
        <v>8.8699994717341274E-3</v>
      </c>
      <c r="AY55" s="101">
        <f t="shared" si="5"/>
        <v>8.8699999340906242E-3</v>
      </c>
      <c r="AZ55" s="101">
        <f t="shared" si="6"/>
        <v>8.8700002066815949E-3</v>
      </c>
      <c r="BA55" s="101">
        <f t="shared" si="7"/>
        <v>8.8700000100099593E-3</v>
      </c>
      <c r="BB55" s="101">
        <f t="shared" si="8"/>
        <v>8.8699999056290769E-3</v>
      </c>
      <c r="BC55" s="101">
        <f t="shared" si="9"/>
        <v>8.8700000141028138E-3</v>
      </c>
      <c r="BD55" s="101">
        <f t="shared" si="10"/>
        <v>8.8700000341058599E-3</v>
      </c>
    </row>
    <row r="56" spans="1:56" x14ac:dyDescent="0.25">
      <c r="A56" s="89" t="s">
        <v>235</v>
      </c>
      <c r="B56" s="89" t="s">
        <v>238</v>
      </c>
      <c r="C56" s="89" t="s">
        <v>237</v>
      </c>
      <c r="D56" s="89" t="s">
        <v>236</v>
      </c>
      <c r="E56" s="100">
        <f>'BPS 2019'!P60/100</f>
        <v>0.10630000000000001</v>
      </c>
      <c r="F56" s="100">
        <f>'BPS 2020'!F60/100</f>
        <v>-5.6999999999999993E-3</v>
      </c>
      <c r="G56" s="100">
        <f>'BPS 2021'!F60/100</f>
        <v>-2.3900000000000001E-2</v>
      </c>
      <c r="H56" s="100">
        <f>'BPS 2022'!F60/100</f>
        <v>4.5100000000000001E-2</v>
      </c>
      <c r="I56" s="100">
        <f>'BPS 2023'!F60/100</f>
        <v>4.0300000000000002E-2</v>
      </c>
      <c r="J56" s="100">
        <f>'BPS 2024'!F60/100</f>
        <v>4.5999999999999999E-2</v>
      </c>
      <c r="K56" s="100">
        <f>'BPS 2025'!F60/100</f>
        <v>6.7500000000000004E-2</v>
      </c>
      <c r="L56" s="101">
        <f t="shared" si="1"/>
        <v>4.9725000000000005E-2</v>
      </c>
      <c r="M56" s="101">
        <f t="shared" si="11"/>
        <v>5.0881250000000003E-2</v>
      </c>
      <c r="N56" s="101">
        <f t="shared" si="12"/>
        <v>5.3526562499999999E-2</v>
      </c>
      <c r="O56" s="101">
        <f t="shared" si="13"/>
        <v>5.5408203125E-2</v>
      </c>
      <c r="P56" s="101">
        <f t="shared" si="14"/>
        <v>5.2385253906249998E-2</v>
      </c>
      <c r="Q56" s="101">
        <f t="shared" si="15"/>
        <v>5.3050317382812504E-2</v>
      </c>
      <c r="R56" s="101">
        <f t="shared" si="16"/>
        <v>5.3592584228515622E-2</v>
      </c>
      <c r="S56" s="101">
        <f t="shared" si="17"/>
        <v>5.3609089660644531E-2</v>
      </c>
      <c r="T56" s="101">
        <f t="shared" si="18"/>
        <v>5.3159311294555665E-2</v>
      </c>
      <c r="U56" s="101">
        <f t="shared" si="19"/>
        <v>5.335282564163208E-2</v>
      </c>
      <c r="V56" s="101">
        <f t="shared" si="20"/>
        <v>5.3428452706336976E-2</v>
      </c>
      <c r="W56" s="101">
        <f t="shared" si="21"/>
        <v>5.3387419825792315E-2</v>
      </c>
      <c r="X56" s="101">
        <f t="shared" si="22"/>
        <v>5.3332002367079259E-2</v>
      </c>
      <c r="Y56" s="101">
        <f t="shared" si="23"/>
        <v>5.3375175135210159E-2</v>
      </c>
      <c r="Z56" s="101">
        <f t="shared" si="24"/>
        <v>5.3380762508604684E-2</v>
      </c>
      <c r="AA56" s="101">
        <f t="shared" si="25"/>
        <v>5.3368839959171605E-2</v>
      </c>
      <c r="AB56" s="101">
        <f t="shared" si="26"/>
        <v>5.3364194992516427E-2</v>
      </c>
      <c r="AC56" s="101">
        <f t="shared" si="27"/>
        <v>5.3372243148875717E-2</v>
      </c>
      <c r="AD56" s="101">
        <f t="shared" si="28"/>
        <v>5.3371510152292106E-2</v>
      </c>
      <c r="AE56" s="101">
        <f t="shared" si="29"/>
        <v>5.3369197063213962E-2</v>
      </c>
      <c r="AF56" s="101">
        <f t="shared" si="30"/>
        <v>5.3369286339224553E-2</v>
      </c>
      <c r="AG56" s="101">
        <f t="shared" si="31"/>
        <v>5.3370559175901583E-2</v>
      </c>
      <c r="AH56" s="101">
        <f t="shared" si="32"/>
        <v>5.3370138182658053E-2</v>
      </c>
      <c r="AI56" s="101">
        <f t="shared" si="33"/>
        <v>5.3369795190249536E-2</v>
      </c>
      <c r="AJ56" s="101">
        <f t="shared" si="34"/>
        <v>5.3369944722008428E-2</v>
      </c>
      <c r="AK56" s="101">
        <f t="shared" si="35"/>
        <v>5.3370109317704396E-2</v>
      </c>
      <c r="AL56" s="101">
        <f t="shared" si="36"/>
        <v>5.3369996853155098E-2</v>
      </c>
      <c r="AM56" s="101">
        <f t="shared" si="37"/>
        <v>5.3369961520779365E-2</v>
      </c>
      <c r="AN56" s="101">
        <f t="shared" si="38"/>
        <v>5.337000310341182E-2</v>
      </c>
      <c r="AO56" s="101">
        <f t="shared" si="39"/>
        <v>5.3370017698762665E-2</v>
      </c>
      <c r="AP56" s="101">
        <f t="shared" si="40"/>
        <v>5.3369994794027237E-2</v>
      </c>
      <c r="AQ56" s="101">
        <f t="shared" si="41"/>
        <v>5.3369994279245277E-2</v>
      </c>
      <c r="AR56" s="101">
        <f t="shared" si="42"/>
        <v>5.3370002468861748E-2</v>
      </c>
      <c r="AS56" s="101">
        <f t="shared" si="43"/>
        <v>5.3370002310224235E-2</v>
      </c>
      <c r="AT56" s="101">
        <f t="shared" si="44"/>
        <v>5.3369998463089624E-2</v>
      </c>
      <c r="AU56" s="101">
        <f t="shared" si="45"/>
        <v>5.3369999380355221E-2</v>
      </c>
      <c r="AV56" s="101">
        <f t="shared" si="2"/>
        <v>5.3370000655632709E-2</v>
      </c>
      <c r="AW56" s="101">
        <f t="shared" si="3"/>
        <v>5.3370000202325449E-2</v>
      </c>
      <c r="AX56" s="101">
        <f t="shared" si="4"/>
        <v>5.3369999675350749E-2</v>
      </c>
      <c r="AY56" s="101">
        <f t="shared" si="5"/>
        <v>5.3369999978416037E-2</v>
      </c>
      <c r="AZ56" s="101">
        <f t="shared" si="6"/>
        <v>5.3370000127931236E-2</v>
      </c>
      <c r="BA56" s="101">
        <f t="shared" si="7"/>
        <v>5.3369999996005862E-2</v>
      </c>
      <c r="BB56" s="101">
        <f t="shared" si="8"/>
        <v>5.3369999944425976E-2</v>
      </c>
      <c r="BC56" s="101">
        <f t="shared" si="9"/>
        <v>5.3370000011694778E-2</v>
      </c>
      <c r="BD56" s="101">
        <f t="shared" si="10"/>
        <v>5.3370000020014463E-2</v>
      </c>
    </row>
    <row r="57" spans="1:56" x14ac:dyDescent="0.25">
      <c r="A57" s="89" t="s">
        <v>235</v>
      </c>
      <c r="B57" s="89" t="s">
        <v>234</v>
      </c>
      <c r="C57" s="89" t="s">
        <v>233</v>
      </c>
      <c r="D57" s="89" t="s">
        <v>232</v>
      </c>
      <c r="E57" s="100">
        <f>'BPS 2019'!P61/100</f>
        <v>2.0799999999999999E-2</v>
      </c>
      <c r="F57" s="100">
        <f>'BPS 2020'!F61/100</f>
        <v>1.8600000000000002E-2</v>
      </c>
      <c r="G57" s="100">
        <f>'BPS 2021'!F61/100</f>
        <v>5.1799999999999999E-2</v>
      </c>
      <c r="H57" s="100">
        <f>'BPS 2022'!F61/100</f>
        <v>6.3E-3</v>
      </c>
      <c r="I57" s="100">
        <f>'BPS 2023'!F61/100</f>
        <v>-1.5300000000000001E-2</v>
      </c>
      <c r="J57" s="100">
        <f>'BPS 2024'!F61/100</f>
        <v>-5.6000000000000008E-3</v>
      </c>
      <c r="K57" s="100">
        <f>'BPS 2025'!F61/100</f>
        <v>6.3200000000000006E-2</v>
      </c>
      <c r="L57" s="101">
        <f t="shared" si="1"/>
        <v>1.2150000000000001E-2</v>
      </c>
      <c r="M57" s="101">
        <f t="shared" si="11"/>
        <v>1.3612500000000001E-2</v>
      </c>
      <c r="N57" s="101">
        <f t="shared" si="12"/>
        <v>2.0840625000000002E-2</v>
      </c>
      <c r="O57" s="101">
        <f t="shared" si="13"/>
        <v>2.745078125E-2</v>
      </c>
      <c r="P57" s="101">
        <f t="shared" si="14"/>
        <v>1.8513476562499999E-2</v>
      </c>
      <c r="Q57" s="101">
        <f t="shared" si="15"/>
        <v>2.0104345703124998E-2</v>
      </c>
      <c r="R57" s="101">
        <f t="shared" si="16"/>
        <v>2.1727307128906248E-2</v>
      </c>
      <c r="S57" s="101">
        <f t="shared" si="17"/>
        <v>2.194897766113281E-2</v>
      </c>
      <c r="T57" s="101">
        <f t="shared" si="18"/>
        <v>2.0573526763916015E-2</v>
      </c>
      <c r="U57" s="101">
        <f t="shared" si="19"/>
        <v>2.1088539314270016E-2</v>
      </c>
      <c r="V57" s="101">
        <f t="shared" si="20"/>
        <v>2.1334587717056271E-2</v>
      </c>
      <c r="W57" s="101">
        <f t="shared" si="21"/>
        <v>2.1236407864093775E-2</v>
      </c>
      <c r="X57" s="101">
        <f t="shared" si="22"/>
        <v>2.1058265414834021E-2</v>
      </c>
      <c r="Y57" s="101">
        <f t="shared" si="23"/>
        <v>2.1179450077563521E-2</v>
      </c>
      <c r="Z57" s="101">
        <f t="shared" si="24"/>
        <v>2.1202177768386898E-2</v>
      </c>
      <c r="AA57" s="101">
        <f t="shared" si="25"/>
        <v>2.1169075281219554E-2</v>
      </c>
      <c r="AB57" s="101">
        <f t="shared" si="26"/>
        <v>2.1152242135501001E-2</v>
      </c>
      <c r="AC57" s="101">
        <f t="shared" si="27"/>
        <v>2.1175736315667743E-2</v>
      </c>
      <c r="AD57" s="101">
        <f t="shared" si="28"/>
        <v>2.11748078751938E-2</v>
      </c>
      <c r="AE57" s="101">
        <f t="shared" si="29"/>
        <v>2.1167965401895524E-2</v>
      </c>
      <c r="AF57" s="101">
        <f t="shared" si="30"/>
        <v>2.1167687932064517E-2</v>
      </c>
      <c r="AG57" s="101">
        <f t="shared" si="31"/>
        <v>2.1171549381205395E-2</v>
      </c>
      <c r="AH57" s="101">
        <f t="shared" si="32"/>
        <v>2.1170502647589809E-2</v>
      </c>
      <c r="AI57" s="101">
        <f t="shared" si="33"/>
        <v>2.1169426340688812E-2</v>
      </c>
      <c r="AJ57" s="101">
        <f t="shared" si="34"/>
        <v>2.1169791575387134E-2</v>
      </c>
      <c r="AK57" s="101">
        <f t="shared" si="35"/>
        <v>2.1170317486217789E-2</v>
      </c>
      <c r="AL57" s="101">
        <f t="shared" si="36"/>
        <v>2.1170009512470889E-2</v>
      </c>
      <c r="AM57" s="101">
        <f t="shared" si="37"/>
        <v>2.1169886228691155E-2</v>
      </c>
      <c r="AN57" s="101">
        <f t="shared" si="38"/>
        <v>2.1170001200691742E-2</v>
      </c>
      <c r="AO57" s="101">
        <f t="shared" si="39"/>
        <v>2.1170053607017895E-2</v>
      </c>
      <c r="AP57" s="101">
        <f t="shared" si="40"/>
        <v>2.1169987637217919E-2</v>
      </c>
      <c r="AQ57" s="101">
        <f t="shared" si="41"/>
        <v>2.1169982168404676E-2</v>
      </c>
      <c r="AR57" s="101">
        <f t="shared" si="42"/>
        <v>2.117000615333306E-2</v>
      </c>
      <c r="AS57" s="101">
        <f t="shared" si="43"/>
        <v>2.1170007391493387E-2</v>
      </c>
      <c r="AT57" s="101">
        <f t="shared" si="44"/>
        <v>2.1169995837612261E-2</v>
      </c>
      <c r="AU57" s="101">
        <f t="shared" si="45"/>
        <v>2.1169997887710845E-2</v>
      </c>
      <c r="AV57" s="101">
        <f t="shared" si="2"/>
        <v>2.1170001817537386E-2</v>
      </c>
      <c r="AW57" s="101">
        <f t="shared" si="3"/>
        <v>2.1170000733588469E-2</v>
      </c>
      <c r="AX57" s="101">
        <f t="shared" si="4"/>
        <v>2.1169999069112239E-2</v>
      </c>
      <c r="AY57" s="101">
        <f t="shared" si="5"/>
        <v>2.1169999876987235E-2</v>
      </c>
      <c r="AZ57" s="101">
        <f t="shared" si="6"/>
        <v>2.117000037430633E-2</v>
      </c>
      <c r="BA57" s="101">
        <f t="shared" si="7"/>
        <v>2.1170000013498568E-2</v>
      </c>
      <c r="BB57" s="101">
        <f t="shared" si="8"/>
        <v>2.1169999833476092E-2</v>
      </c>
      <c r="BC57" s="101">
        <f t="shared" si="9"/>
        <v>2.1170000024567055E-2</v>
      </c>
      <c r="BD57" s="101">
        <f t="shared" si="10"/>
        <v>2.117000006146201E-2</v>
      </c>
    </row>
    <row r="58" spans="1:56" s="91" customFormat="1" x14ac:dyDescent="0.25">
      <c r="A58" s="91" t="s">
        <v>231</v>
      </c>
      <c r="B58" s="91" t="s">
        <v>230</v>
      </c>
      <c r="C58" s="91" t="s">
        <v>199</v>
      </c>
      <c r="D58" s="91" t="s">
        <v>199</v>
      </c>
      <c r="E58" s="99">
        <f>'BPS 2019'!P62/100</f>
        <v>5.7599999999999998E-2</v>
      </c>
      <c r="F58" s="99">
        <f>'BPS 2020'!F62/100</f>
        <v>2.3199999999999998E-2</v>
      </c>
      <c r="G58" s="99">
        <f>'BPS 2021'!F62/100</f>
        <v>2.7799999999999998E-2</v>
      </c>
      <c r="H58" s="99">
        <f>'BPS 2022'!F62/100</f>
        <v>1.72E-2</v>
      </c>
      <c r="I58" s="99">
        <f>'BPS 2023'!F62/100</f>
        <v>1.43E-2</v>
      </c>
      <c r="J58" s="99">
        <f>'BPS 2024'!F62/100</f>
        <v>2.5000000000000001E-2</v>
      </c>
      <c r="K58" s="99">
        <f>'BPS 2025'!F62/100</f>
        <v>3.5799999999999998E-2</v>
      </c>
      <c r="L58" s="101">
        <f t="shared" si="1"/>
        <v>2.3074999999999998E-2</v>
      </c>
      <c r="M58" s="101">
        <f t="shared" si="11"/>
        <v>2.454375E-2</v>
      </c>
      <c r="N58" s="101">
        <f t="shared" si="12"/>
        <v>2.7104687500000002E-2</v>
      </c>
      <c r="O58" s="101">
        <f t="shared" si="13"/>
        <v>2.7630859375E-2</v>
      </c>
      <c r="P58" s="101">
        <f t="shared" si="14"/>
        <v>2.558857421875E-2</v>
      </c>
      <c r="Q58" s="101">
        <f t="shared" si="15"/>
        <v>2.6216967773437502E-2</v>
      </c>
      <c r="R58" s="101">
        <f t="shared" si="16"/>
        <v>2.6635272216796877E-2</v>
      </c>
      <c r="S58" s="101">
        <f t="shared" si="17"/>
        <v>2.6517918395996095E-2</v>
      </c>
      <c r="T58" s="101">
        <f t="shared" si="18"/>
        <v>2.623968315124512E-2</v>
      </c>
      <c r="U58" s="101">
        <f t="shared" si="19"/>
        <v>2.64024603843689E-2</v>
      </c>
      <c r="V58" s="101">
        <f t="shared" si="20"/>
        <v>2.6448833537101746E-2</v>
      </c>
      <c r="W58" s="101">
        <f t="shared" si="21"/>
        <v>2.6402223867177964E-2</v>
      </c>
      <c r="X58" s="101">
        <f t="shared" si="22"/>
        <v>2.6373300234973432E-2</v>
      </c>
      <c r="Y58" s="101">
        <f t="shared" si="23"/>
        <v>2.6406704505905512E-2</v>
      </c>
      <c r="Z58" s="101">
        <f t="shared" si="24"/>
        <v>2.6407765536289665E-2</v>
      </c>
      <c r="AA58" s="101">
        <f t="shared" si="25"/>
        <v>2.6397498536086642E-2</v>
      </c>
      <c r="AB58" s="101">
        <f t="shared" si="26"/>
        <v>2.6396317203313813E-2</v>
      </c>
      <c r="AC58" s="101">
        <f t="shared" si="27"/>
        <v>2.6402071445398908E-2</v>
      </c>
      <c r="AD58" s="101">
        <f t="shared" si="28"/>
        <v>2.6400913180272257E-2</v>
      </c>
      <c r="AE58" s="101">
        <f t="shared" si="29"/>
        <v>2.6399200091267904E-2</v>
      </c>
      <c r="AF58" s="101">
        <f t="shared" si="30"/>
        <v>2.6399625480063221E-2</v>
      </c>
      <c r="AG58" s="101">
        <f t="shared" si="31"/>
        <v>2.6400452549250573E-2</v>
      </c>
      <c r="AH58" s="101">
        <f t="shared" si="32"/>
        <v>2.6400047825213491E-2</v>
      </c>
      <c r="AI58" s="101">
        <f t="shared" si="33"/>
        <v>2.6399831486448797E-2</v>
      </c>
      <c r="AJ58" s="101">
        <f t="shared" si="34"/>
        <v>2.6399989335244022E-2</v>
      </c>
      <c r="AK58" s="101">
        <f t="shared" si="35"/>
        <v>2.640008029903922E-2</v>
      </c>
      <c r="AL58" s="101">
        <f t="shared" si="36"/>
        <v>2.6399987236486382E-2</v>
      </c>
      <c r="AM58" s="101">
        <f t="shared" si="37"/>
        <v>2.6399972089304606E-2</v>
      </c>
      <c r="AN58" s="101">
        <f t="shared" si="38"/>
        <v>2.6400007240018557E-2</v>
      </c>
      <c r="AO58" s="101">
        <f t="shared" si="39"/>
        <v>2.6400011716212195E-2</v>
      </c>
      <c r="AP58" s="101">
        <f t="shared" si="40"/>
        <v>2.6399994570505438E-2</v>
      </c>
      <c r="AQ58" s="101">
        <f t="shared" si="41"/>
        <v>2.6399996404010195E-2</v>
      </c>
      <c r="AR58" s="101">
        <f t="shared" si="42"/>
        <v>2.6400002482686598E-2</v>
      </c>
      <c r="AS58" s="101">
        <f t="shared" si="43"/>
        <v>2.6400001293353605E-2</v>
      </c>
      <c r="AT58" s="101">
        <f t="shared" si="44"/>
        <v>2.6399998687638961E-2</v>
      </c>
      <c r="AU58" s="101">
        <f t="shared" si="45"/>
        <v>2.6399999716922341E-2</v>
      </c>
      <c r="AV58" s="101">
        <f t="shared" si="2"/>
        <v>2.6400000545150376E-2</v>
      </c>
      <c r="AW58" s="101">
        <f t="shared" si="3"/>
        <v>2.6400000060766322E-2</v>
      </c>
      <c r="AX58" s="101">
        <f t="shared" si="4"/>
        <v>2.6399999752619502E-2</v>
      </c>
      <c r="AY58" s="101">
        <f t="shared" si="5"/>
        <v>2.6400000018864635E-2</v>
      </c>
      <c r="AZ58" s="101">
        <f t="shared" si="6"/>
        <v>2.6400000094350208E-2</v>
      </c>
      <c r="BA58" s="101">
        <f t="shared" si="7"/>
        <v>2.6399999981650164E-2</v>
      </c>
      <c r="BB58" s="101">
        <f t="shared" si="8"/>
        <v>2.6399999961871125E-2</v>
      </c>
      <c r="BC58" s="101">
        <f t="shared" si="9"/>
        <v>2.6400000014184029E-2</v>
      </c>
      <c r="BD58" s="101">
        <f t="shared" si="10"/>
        <v>2.6400000013013881E-2</v>
      </c>
    </row>
    <row r="59" spans="1:56" s="91" customFormat="1" x14ac:dyDescent="0.25">
      <c r="A59" s="91" t="s">
        <v>229</v>
      </c>
      <c r="B59" s="91" t="s">
        <v>228</v>
      </c>
      <c r="C59" s="91" t="s">
        <v>227</v>
      </c>
      <c r="D59" s="91" t="s">
        <v>226</v>
      </c>
      <c r="E59" s="99">
        <f>'BPS 2019'!P63/100</f>
        <v>0.10249999999999999</v>
      </c>
      <c r="F59" s="99">
        <f>'BPS 2020'!F63/100</f>
        <v>-5.4400000000000004E-2</v>
      </c>
      <c r="G59" s="99">
        <f>'BPS 2021'!F63/100</f>
        <v>7.3000000000000001E-3</v>
      </c>
      <c r="H59" s="99">
        <f>'BPS 2022'!F63/100</f>
        <v>8.77E-2</v>
      </c>
      <c r="I59" s="99">
        <f>'BPS 2023'!F63/100</f>
        <v>8.2400000000000001E-2</v>
      </c>
      <c r="J59" s="99">
        <f>'BPS 2024'!F63/100</f>
        <v>8.3800000000000013E-2</v>
      </c>
      <c r="K59" s="99">
        <f>'BPS 2025'!F63/100</f>
        <v>9.0999999999999998E-2</v>
      </c>
      <c r="L59" s="101">
        <f t="shared" si="1"/>
        <v>8.6224999999999996E-2</v>
      </c>
      <c r="M59" s="101">
        <f t="shared" si="11"/>
        <v>8.5856249999999995E-2</v>
      </c>
      <c r="N59" s="101">
        <f t="shared" si="12"/>
        <v>8.6720312500000007E-2</v>
      </c>
      <c r="O59" s="101">
        <f t="shared" si="13"/>
        <v>8.7450390624999999E-2</v>
      </c>
      <c r="P59" s="101">
        <f t="shared" si="14"/>
        <v>8.6562988281249989E-2</v>
      </c>
      <c r="Q59" s="101">
        <f t="shared" si="15"/>
        <v>8.6647485351562498E-2</v>
      </c>
      <c r="R59" s="101">
        <f t="shared" si="16"/>
        <v>8.6845294189453109E-2</v>
      </c>
      <c r="S59" s="101">
        <f t="shared" si="17"/>
        <v>8.6876539611816406E-2</v>
      </c>
      <c r="T59" s="101">
        <f t="shared" si="18"/>
        <v>8.6733076858520497E-2</v>
      </c>
      <c r="U59" s="101">
        <f t="shared" si="19"/>
        <v>8.6775599002838127E-2</v>
      </c>
      <c r="V59" s="101">
        <f t="shared" si="20"/>
        <v>8.6807627415657035E-2</v>
      </c>
      <c r="W59" s="101">
        <f t="shared" si="21"/>
        <v>8.679821072220803E-2</v>
      </c>
      <c r="X59" s="101">
        <f t="shared" si="22"/>
        <v>8.6778628499805915E-2</v>
      </c>
      <c r="Y59" s="101">
        <f t="shared" si="23"/>
        <v>8.6790016410127263E-2</v>
      </c>
      <c r="Z59" s="101">
        <f t="shared" si="24"/>
        <v>8.6793620761949575E-2</v>
      </c>
      <c r="AA59" s="101">
        <f t="shared" si="25"/>
        <v>8.6790119098522703E-2</v>
      </c>
      <c r="AB59" s="101">
        <f t="shared" si="26"/>
        <v>8.6788096192601361E-2</v>
      </c>
      <c r="AC59" s="101">
        <f t="shared" si="27"/>
        <v>8.6790463115800229E-2</v>
      </c>
      <c r="AD59" s="101">
        <f t="shared" si="28"/>
        <v>8.6790574792218467E-2</v>
      </c>
      <c r="AE59" s="101">
        <f t="shared" si="29"/>
        <v>8.678981329978569E-2</v>
      </c>
      <c r="AF59" s="101">
        <f t="shared" si="30"/>
        <v>8.678973685010144E-2</v>
      </c>
      <c r="AG59" s="101">
        <f t="shared" si="31"/>
        <v>8.679014701447646E-2</v>
      </c>
      <c r="AH59" s="101">
        <f t="shared" si="32"/>
        <v>8.6790067989145514E-2</v>
      </c>
      <c r="AI59" s="101">
        <f t="shared" si="33"/>
        <v>8.6789941288377276E-2</v>
      </c>
      <c r="AJ59" s="101">
        <f t="shared" si="34"/>
        <v>8.6789973285525179E-2</v>
      </c>
      <c r="AK59" s="101">
        <f t="shared" si="35"/>
        <v>8.67900323943811E-2</v>
      </c>
      <c r="AL59" s="101">
        <f t="shared" si="36"/>
        <v>8.6790003739357274E-2</v>
      </c>
      <c r="AM59" s="101">
        <f t="shared" si="37"/>
        <v>8.6789987676910207E-2</v>
      </c>
      <c r="AN59" s="101">
        <f t="shared" si="38"/>
        <v>8.6789999274043447E-2</v>
      </c>
      <c r="AO59" s="101">
        <f t="shared" si="39"/>
        <v>8.6790005771173004E-2</v>
      </c>
      <c r="AP59" s="101">
        <f t="shared" si="40"/>
        <v>8.6789999115370983E-2</v>
      </c>
      <c r="AQ59" s="101">
        <f t="shared" si="41"/>
        <v>8.6789997959374421E-2</v>
      </c>
      <c r="AR59" s="101">
        <f t="shared" si="42"/>
        <v>8.679000052999046E-2</v>
      </c>
      <c r="AS59" s="101">
        <f t="shared" si="43"/>
        <v>8.6790000843977214E-2</v>
      </c>
      <c r="AT59" s="101">
        <f t="shared" si="44"/>
        <v>8.6789999612178273E-2</v>
      </c>
      <c r="AU59" s="101">
        <f t="shared" si="45"/>
        <v>8.6789999736380088E-2</v>
      </c>
      <c r="AV59" s="101">
        <f t="shared" si="2"/>
        <v>8.6790000180631502E-2</v>
      </c>
      <c r="AW59" s="101">
        <f t="shared" si="3"/>
        <v>8.6790000093291769E-2</v>
      </c>
      <c r="AX59" s="101">
        <f t="shared" si="4"/>
        <v>8.6789999905620419E-2</v>
      </c>
      <c r="AY59" s="101">
        <f t="shared" si="5"/>
        <v>8.6789999978980945E-2</v>
      </c>
      <c r="AZ59" s="101">
        <f t="shared" si="6"/>
        <v>8.6790000039631165E-2</v>
      </c>
      <c r="BA59" s="101">
        <f t="shared" si="7"/>
        <v>8.6790000004381071E-2</v>
      </c>
      <c r="BB59" s="101">
        <f t="shared" si="8"/>
        <v>8.6789999982153407E-2</v>
      </c>
      <c r="BC59" s="101">
        <f t="shared" si="9"/>
        <v>8.6790000001286657E-2</v>
      </c>
      <c r="BD59" s="101">
        <f t="shared" si="10"/>
        <v>8.6790000006863086E-2</v>
      </c>
    </row>
    <row r="60" spans="1:56" s="91" customFormat="1" x14ac:dyDescent="0.25">
      <c r="A60" s="91" t="s">
        <v>225</v>
      </c>
      <c r="B60" s="91" t="s">
        <v>224</v>
      </c>
      <c r="C60" s="91" t="s">
        <v>223</v>
      </c>
      <c r="D60" s="91" t="s">
        <v>200</v>
      </c>
      <c r="E60" s="99">
        <f>'BPS 2019'!P64/100</f>
        <v>4.6600000000000003E-2</v>
      </c>
      <c r="F60" s="99">
        <f>'BPS 2020'!F64/100</f>
        <v>-2.9999999999999997E-4</v>
      </c>
      <c r="G60" s="99">
        <f>'BPS 2021'!F64/100</f>
        <v>-3.3E-3</v>
      </c>
      <c r="H60" s="99">
        <f>'BPS 2022'!F64/100</f>
        <v>2.52E-2</v>
      </c>
      <c r="I60" s="99">
        <f>'BPS 2023'!F64/100</f>
        <v>1.5100000000000001E-2</v>
      </c>
      <c r="J60" s="99">
        <f>'BPS 2024'!F64/100</f>
        <v>6.4299999999999996E-2</v>
      </c>
      <c r="K60" s="99">
        <f>'BPS 2025'!F64/100</f>
        <v>3.8599999999999995E-2</v>
      </c>
      <c r="L60" s="101">
        <f t="shared" si="1"/>
        <v>3.5799999999999998E-2</v>
      </c>
      <c r="M60" s="101">
        <f t="shared" si="11"/>
        <v>3.8449999999999998E-2</v>
      </c>
      <c r="N60" s="101">
        <f t="shared" si="12"/>
        <v>4.4287499999999994E-2</v>
      </c>
      <c r="O60" s="101">
        <f t="shared" si="13"/>
        <v>3.9284374999999996E-2</v>
      </c>
      <c r="P60" s="101">
        <f t="shared" si="14"/>
        <v>3.945546875E-2</v>
      </c>
      <c r="Q60" s="101">
        <f t="shared" si="15"/>
        <v>4.03693359375E-2</v>
      </c>
      <c r="R60" s="101">
        <f t="shared" si="16"/>
        <v>4.0849169921874998E-2</v>
      </c>
      <c r="S60" s="101">
        <f t="shared" si="17"/>
        <v>3.9989587402343749E-2</v>
      </c>
      <c r="T60" s="101">
        <f t="shared" si="18"/>
        <v>4.0165890502929687E-2</v>
      </c>
      <c r="U60" s="101">
        <f t="shared" si="19"/>
        <v>4.0343495941162107E-2</v>
      </c>
      <c r="V60" s="101">
        <f t="shared" si="20"/>
        <v>4.0337035942077631E-2</v>
      </c>
      <c r="W60" s="101">
        <f t="shared" si="21"/>
        <v>4.0209002447128293E-2</v>
      </c>
      <c r="X60" s="101">
        <f t="shared" si="22"/>
        <v>4.0263856208324428E-2</v>
      </c>
      <c r="Y60" s="101">
        <f t="shared" si="23"/>
        <v>4.0288347634673115E-2</v>
      </c>
      <c r="Z60" s="101">
        <f t="shared" si="24"/>
        <v>4.027456055805087E-2</v>
      </c>
      <c r="AA60" s="101">
        <f t="shared" si="25"/>
        <v>4.025894171204418E-2</v>
      </c>
      <c r="AB60" s="101">
        <f t="shared" si="26"/>
        <v>4.0271426528273147E-2</v>
      </c>
      <c r="AC60" s="101">
        <f t="shared" si="27"/>
        <v>4.0273319108260333E-2</v>
      </c>
      <c r="AD60" s="101">
        <f t="shared" si="28"/>
        <v>4.0269561976657132E-2</v>
      </c>
      <c r="AE60" s="101">
        <f t="shared" si="29"/>
        <v>4.0268312331308696E-2</v>
      </c>
      <c r="AF60" s="101">
        <f t="shared" si="30"/>
        <v>4.0270654986124831E-2</v>
      </c>
      <c r="AG60" s="101">
        <f t="shared" si="31"/>
        <v>4.0270462100587753E-2</v>
      </c>
      <c r="AH60" s="101">
        <f t="shared" si="32"/>
        <v>4.0269747848669601E-2</v>
      </c>
      <c r="AI60" s="101">
        <f t="shared" si="33"/>
        <v>4.026979431667272E-2</v>
      </c>
      <c r="AJ60" s="101">
        <f t="shared" si="34"/>
        <v>4.0270164813013723E-2</v>
      </c>
      <c r="AK60" s="101">
        <f t="shared" si="35"/>
        <v>4.0270042269735948E-2</v>
      </c>
      <c r="AL60" s="101">
        <f t="shared" si="36"/>
        <v>4.0269937312022996E-2</v>
      </c>
      <c r="AM60" s="101">
        <f t="shared" si="37"/>
        <v>4.0269984677861345E-2</v>
      </c>
      <c r="AN60" s="101">
        <f t="shared" si="38"/>
        <v>4.0270032268158507E-2</v>
      </c>
      <c r="AO60" s="101">
        <f t="shared" si="39"/>
        <v>4.0269999131944699E-2</v>
      </c>
      <c r="AP60" s="101">
        <f t="shared" si="40"/>
        <v>4.0269988347496885E-2</v>
      </c>
      <c r="AQ60" s="101">
        <f t="shared" si="41"/>
        <v>4.0270001106365361E-2</v>
      </c>
      <c r="AR60" s="101">
        <f t="shared" si="42"/>
        <v>4.0270005213491361E-2</v>
      </c>
      <c r="AS60" s="101">
        <f t="shared" si="43"/>
        <v>4.0269998449824575E-2</v>
      </c>
      <c r="AT60" s="101">
        <f t="shared" si="44"/>
        <v>4.0269998279294547E-2</v>
      </c>
      <c r="AU60" s="101">
        <f t="shared" si="45"/>
        <v>4.0270000762243963E-2</v>
      </c>
      <c r="AV60" s="101">
        <f t="shared" si="2"/>
        <v>4.0270000676213613E-2</v>
      </c>
      <c r="AW60" s="101">
        <f t="shared" si="3"/>
        <v>4.0269999541894176E-2</v>
      </c>
      <c r="AX60" s="101">
        <f t="shared" si="4"/>
        <v>4.0269999814911576E-2</v>
      </c>
      <c r="AY60" s="101">
        <f t="shared" si="5"/>
        <v>4.0270000198815832E-2</v>
      </c>
      <c r="AZ60" s="101">
        <f t="shared" si="6"/>
        <v>4.0270000057958798E-2</v>
      </c>
      <c r="BA60" s="101">
        <f t="shared" si="7"/>
        <v>4.0269999903395096E-2</v>
      </c>
      <c r="BB60" s="101">
        <f t="shared" si="8"/>
        <v>4.0269999993770331E-2</v>
      </c>
      <c r="BC60" s="101">
        <f t="shared" si="9"/>
        <v>4.0270000038485014E-2</v>
      </c>
      <c r="BD60" s="101">
        <f t="shared" si="10"/>
        <v>4.0269999998402306E-2</v>
      </c>
    </row>
    <row r="61" spans="1:56" s="91" customFormat="1" x14ac:dyDescent="0.25">
      <c r="A61" s="91" t="s">
        <v>222</v>
      </c>
      <c r="B61" s="91" t="s">
        <v>221</v>
      </c>
      <c r="C61" s="91" t="s">
        <v>220</v>
      </c>
      <c r="D61" s="91" t="s">
        <v>201</v>
      </c>
      <c r="E61" s="99">
        <f>'BPS 2019'!P65/100</f>
        <v>6.3E-2</v>
      </c>
      <c r="F61" s="99">
        <f>'BPS 2020'!F65/100</f>
        <v>2.6099999999999998E-2</v>
      </c>
      <c r="G61" s="99">
        <f>'BPS 2021'!F65/100</f>
        <v>1.1000000000000001E-3</v>
      </c>
      <c r="H61" s="99">
        <f>'BPS 2022'!F65/100</f>
        <v>5.5000000000000005E-3</v>
      </c>
      <c r="I61" s="99">
        <f>'BPS 2023'!F65/100</f>
        <v>1.77E-2</v>
      </c>
      <c r="J61" s="99">
        <f>'BPS 2024'!F65/100</f>
        <v>3.7599999999999995E-2</v>
      </c>
      <c r="K61" s="99">
        <f>'BPS 2025'!F65/100</f>
        <v>4.99E-2</v>
      </c>
      <c r="L61" s="101">
        <f t="shared" si="1"/>
        <v>2.7674999999999998E-2</v>
      </c>
      <c r="M61" s="101">
        <f t="shared" si="11"/>
        <v>3.3218749999999998E-2</v>
      </c>
      <c r="N61" s="101">
        <f t="shared" si="12"/>
        <v>3.7098437499999998E-2</v>
      </c>
      <c r="O61" s="101">
        <f t="shared" si="13"/>
        <v>3.6973046874999999E-2</v>
      </c>
      <c r="P61" s="101">
        <f t="shared" si="14"/>
        <v>3.3741308593749998E-2</v>
      </c>
      <c r="Q61" s="101">
        <f t="shared" si="15"/>
        <v>3.5257885742187495E-2</v>
      </c>
      <c r="R61" s="101">
        <f t="shared" si="16"/>
        <v>3.5767669677734371E-2</v>
      </c>
      <c r="S61" s="101">
        <f t="shared" si="17"/>
        <v>3.5434977722167964E-2</v>
      </c>
      <c r="T61" s="101">
        <f t="shared" si="18"/>
        <v>3.5050460433959957E-2</v>
      </c>
      <c r="U61" s="101">
        <f t="shared" si="19"/>
        <v>3.5377748394012448E-2</v>
      </c>
      <c r="V61" s="101">
        <f t="shared" si="20"/>
        <v>3.5407714056968687E-2</v>
      </c>
      <c r="W61" s="101">
        <f t="shared" si="21"/>
        <v>3.5317725151777266E-2</v>
      </c>
      <c r="X61" s="101">
        <f t="shared" si="22"/>
        <v>3.5288412009179593E-2</v>
      </c>
      <c r="Y61" s="101">
        <f t="shared" si="23"/>
        <v>3.5347899902984495E-2</v>
      </c>
      <c r="Z61" s="101">
        <f t="shared" si="24"/>
        <v>3.534043778022751E-2</v>
      </c>
      <c r="AA61" s="101">
        <f t="shared" si="25"/>
        <v>3.5323618711042212E-2</v>
      </c>
      <c r="AB61" s="101">
        <f t="shared" si="26"/>
        <v>3.5325092100858449E-2</v>
      </c>
      <c r="AC61" s="101">
        <f t="shared" si="27"/>
        <v>3.5334262123778166E-2</v>
      </c>
      <c r="AD61" s="101">
        <f t="shared" si="28"/>
        <v>3.5330852678976586E-2</v>
      </c>
      <c r="AE61" s="101">
        <f t="shared" si="29"/>
        <v>3.5328456403663853E-2</v>
      </c>
      <c r="AF61" s="101">
        <f t="shared" si="30"/>
        <v>3.5329665826819269E-2</v>
      </c>
      <c r="AG61" s="101">
        <f t="shared" si="31"/>
        <v>3.5330809258309469E-2</v>
      </c>
      <c r="AH61" s="101">
        <f t="shared" si="32"/>
        <v>3.5329946041942298E-2</v>
      </c>
      <c r="AI61" s="101">
        <f t="shared" si="33"/>
        <v>3.5329719382683727E-2</v>
      </c>
      <c r="AJ61" s="101">
        <f t="shared" si="34"/>
        <v>3.5330035127438694E-2</v>
      </c>
      <c r="AK61" s="101">
        <f t="shared" si="35"/>
        <v>3.5330127452593549E-2</v>
      </c>
      <c r="AL61" s="101">
        <f t="shared" si="36"/>
        <v>3.5329957001164564E-2</v>
      </c>
      <c r="AM61" s="101">
        <f t="shared" si="37"/>
        <v>3.5329959740970134E-2</v>
      </c>
      <c r="AN61" s="101">
        <f t="shared" si="38"/>
        <v>3.5330019830541737E-2</v>
      </c>
      <c r="AO61" s="101">
        <f t="shared" si="39"/>
        <v>3.5330016006317494E-2</v>
      </c>
      <c r="AP61" s="101">
        <f t="shared" si="40"/>
        <v>3.5329988144748484E-2</v>
      </c>
      <c r="AQ61" s="101">
        <f t="shared" si="41"/>
        <v>3.5329995930644467E-2</v>
      </c>
      <c r="AR61" s="101">
        <f t="shared" si="42"/>
        <v>3.5330004978063045E-2</v>
      </c>
      <c r="AS61" s="101">
        <f t="shared" si="43"/>
        <v>3.5330001264943373E-2</v>
      </c>
      <c r="AT61" s="101">
        <f t="shared" si="44"/>
        <v>3.5329997579599842E-2</v>
      </c>
      <c r="AU61" s="101">
        <f t="shared" si="45"/>
        <v>3.5329999938312678E-2</v>
      </c>
      <c r="AV61" s="101">
        <f t="shared" si="2"/>
        <v>3.5330000940229735E-2</v>
      </c>
      <c r="AW61" s="101">
        <f t="shared" si="3"/>
        <v>3.5329999930771405E-2</v>
      </c>
      <c r="AX61" s="101">
        <f t="shared" si="4"/>
        <v>3.5329999597228413E-2</v>
      </c>
      <c r="AY61" s="101">
        <f t="shared" si="5"/>
        <v>3.5330000101635554E-2</v>
      </c>
      <c r="AZ61" s="101">
        <f t="shared" si="6"/>
        <v>3.5330000142466275E-2</v>
      </c>
      <c r="BA61" s="101">
        <f t="shared" si="7"/>
        <v>3.5329999943025409E-2</v>
      </c>
      <c r="BB61" s="101">
        <f t="shared" si="8"/>
        <v>3.5329999946088916E-2</v>
      </c>
      <c r="BC61" s="101">
        <f t="shared" si="9"/>
        <v>3.533000003330404E-2</v>
      </c>
      <c r="BD61" s="101">
        <f t="shared" si="10"/>
        <v>3.5330000016221164E-2</v>
      </c>
    </row>
    <row r="62" spans="1:56" s="91" customFormat="1" x14ac:dyDescent="0.25">
      <c r="A62" s="91" t="s">
        <v>219</v>
      </c>
      <c r="B62" s="91" t="s">
        <v>218</v>
      </c>
      <c r="C62" s="91" t="s">
        <v>217</v>
      </c>
      <c r="D62" s="91" t="s">
        <v>202</v>
      </c>
      <c r="E62" s="99">
        <f>'BPS 2019'!P66/100</f>
        <v>8.6599999999999996E-2</v>
      </c>
      <c r="F62" s="99">
        <f>'BPS 2020'!F66/100</f>
        <v>0.11560000000000001</v>
      </c>
      <c r="G62" s="99">
        <f>'BPS 2021'!F66/100</f>
        <v>0.1045</v>
      </c>
      <c r="H62" s="99">
        <f>'BPS 2022'!F66/100</f>
        <v>2.75E-2</v>
      </c>
      <c r="I62" s="99">
        <f>'BPS 2023'!F66/100</f>
        <v>4.6699999999999998E-2</v>
      </c>
      <c r="J62" s="99">
        <f>'BPS 2024'!F66/100</f>
        <v>8.1300000000000011E-2</v>
      </c>
      <c r="K62" s="99">
        <f>'BPS 2025'!F66/100</f>
        <v>5.5899999999999998E-2</v>
      </c>
      <c r="L62" s="101">
        <f t="shared" si="1"/>
        <v>5.2850000000000008E-2</v>
      </c>
      <c r="M62" s="101">
        <f t="shared" si="11"/>
        <v>5.9187500000000004E-2</v>
      </c>
      <c r="N62" s="101">
        <f t="shared" si="12"/>
        <v>6.2309375000000007E-2</v>
      </c>
      <c r="O62" s="101">
        <f t="shared" si="13"/>
        <v>5.7561718750000004E-2</v>
      </c>
      <c r="P62" s="101">
        <f t="shared" si="14"/>
        <v>5.7977148437500001E-2</v>
      </c>
      <c r="Q62" s="101">
        <f t="shared" si="15"/>
        <v>5.9258935546875002E-2</v>
      </c>
      <c r="R62" s="101">
        <f t="shared" si="16"/>
        <v>5.9276794433593752E-2</v>
      </c>
      <c r="S62" s="101">
        <f t="shared" si="17"/>
        <v>5.8518649291992186E-2</v>
      </c>
      <c r="T62" s="101">
        <f t="shared" si="18"/>
        <v>5.8757881927490235E-2</v>
      </c>
      <c r="U62" s="101">
        <f t="shared" si="19"/>
        <v>5.895306529998779E-2</v>
      </c>
      <c r="V62" s="101">
        <f t="shared" si="20"/>
        <v>5.8876597738265993E-2</v>
      </c>
      <c r="W62" s="101">
        <f t="shared" si="21"/>
        <v>5.8776548564434053E-2</v>
      </c>
      <c r="X62" s="101">
        <f t="shared" si="22"/>
        <v>5.8841023382544516E-2</v>
      </c>
      <c r="Y62" s="101">
        <f t="shared" si="23"/>
        <v>5.8861808746308093E-2</v>
      </c>
      <c r="Z62" s="101">
        <f t="shared" si="24"/>
        <v>5.8838994607888162E-2</v>
      </c>
      <c r="AA62" s="101">
        <f t="shared" si="25"/>
        <v>5.8829593825293708E-2</v>
      </c>
      <c r="AB62" s="101">
        <f t="shared" si="26"/>
        <v>5.8842855140508618E-2</v>
      </c>
      <c r="AC62" s="101">
        <f t="shared" si="27"/>
        <v>5.884331307999964E-2</v>
      </c>
      <c r="AD62" s="101">
        <f t="shared" si="28"/>
        <v>5.8838689163422525E-2</v>
      </c>
      <c r="AE62" s="101">
        <f t="shared" si="29"/>
        <v>5.8838612802306123E-2</v>
      </c>
      <c r="AF62" s="101">
        <f t="shared" si="30"/>
        <v>5.8840867546559227E-2</v>
      </c>
      <c r="AG62" s="101">
        <f t="shared" si="31"/>
        <v>5.8840370648071884E-2</v>
      </c>
      <c r="AH62" s="101">
        <f t="shared" si="32"/>
        <v>5.883963504008994E-2</v>
      </c>
      <c r="AI62" s="101">
        <f t="shared" si="33"/>
        <v>5.8839871509256791E-2</v>
      </c>
      <c r="AJ62" s="101">
        <f t="shared" si="34"/>
        <v>5.8840186185994459E-2</v>
      </c>
      <c r="AK62" s="101">
        <f t="shared" si="35"/>
        <v>5.8840015845853272E-2</v>
      </c>
      <c r="AL62" s="101">
        <f t="shared" si="36"/>
        <v>5.8839927145298614E-2</v>
      </c>
      <c r="AM62" s="101">
        <f t="shared" si="37"/>
        <v>5.8840000171600786E-2</v>
      </c>
      <c r="AN62" s="101">
        <f t="shared" si="38"/>
        <v>5.8840032337186786E-2</v>
      </c>
      <c r="AO62" s="101">
        <f t="shared" si="39"/>
        <v>5.8839993874984869E-2</v>
      </c>
      <c r="AP62" s="101">
        <f t="shared" si="40"/>
        <v>5.8839988382267762E-2</v>
      </c>
      <c r="AQ62" s="101">
        <f t="shared" si="41"/>
        <v>5.8840003691510052E-2</v>
      </c>
      <c r="AR62" s="101">
        <f t="shared" si="42"/>
        <v>5.8840004571487366E-2</v>
      </c>
      <c r="AS62" s="101">
        <f t="shared" si="43"/>
        <v>5.8839997630062507E-2</v>
      </c>
      <c r="AT62" s="101">
        <f t="shared" si="44"/>
        <v>5.8839998568831924E-2</v>
      </c>
      <c r="AU62" s="101">
        <f t="shared" si="45"/>
        <v>5.8840001115472967E-2</v>
      </c>
      <c r="AV62" s="101">
        <f t="shared" si="2"/>
        <v>5.8840000471463691E-2</v>
      </c>
      <c r="AW62" s="101">
        <f t="shared" si="3"/>
        <v>5.8839999446457777E-2</v>
      </c>
      <c r="AX62" s="101">
        <f t="shared" si="4"/>
        <v>5.8839999900556592E-2</v>
      </c>
      <c r="AY62" s="101">
        <f t="shared" si="5"/>
        <v>5.884000023348776E-2</v>
      </c>
      <c r="AZ62" s="101">
        <f t="shared" si="6"/>
        <v>5.8840000012991452E-2</v>
      </c>
      <c r="BA62" s="101">
        <f t="shared" si="7"/>
        <v>5.8839999898373394E-2</v>
      </c>
      <c r="BB62" s="101">
        <f t="shared" si="8"/>
        <v>5.8840000011352298E-2</v>
      </c>
      <c r="BC62" s="101">
        <f t="shared" si="9"/>
        <v>5.8840000039051224E-2</v>
      </c>
      <c r="BD62" s="101">
        <f t="shared" si="10"/>
        <v>5.8839999990442093E-2</v>
      </c>
    </row>
    <row r="63" spans="1:56" s="91" customFormat="1" x14ac:dyDescent="0.25">
      <c r="A63" s="91" t="s">
        <v>216</v>
      </c>
      <c r="B63" s="91" t="s">
        <v>215</v>
      </c>
      <c r="C63" s="91" t="s">
        <v>214</v>
      </c>
      <c r="D63" s="91" t="s">
        <v>203</v>
      </c>
      <c r="E63" s="99">
        <f>'BPS 2019'!P67/100</f>
        <v>0.1057</v>
      </c>
      <c r="F63" s="99">
        <f>'BPS 2020'!F67/100</f>
        <v>-4.0999999999999995E-2</v>
      </c>
      <c r="G63" s="99">
        <f>'BPS 2021'!F67/100</f>
        <v>2.12E-2</v>
      </c>
      <c r="H63" s="99">
        <f>'BPS 2022'!F67/100</f>
        <v>9.4700000000000006E-2</v>
      </c>
      <c r="I63" s="99">
        <f>'BPS 2023'!F67/100</f>
        <v>0.1052</v>
      </c>
      <c r="J63" s="99">
        <f>'BPS 2024'!F67/100</f>
        <v>9.8000000000000004E-2</v>
      </c>
      <c r="K63" s="99">
        <f>'BPS 2025'!F67/100</f>
        <v>9.9299999999999999E-2</v>
      </c>
      <c r="L63" s="101">
        <f t="shared" si="1"/>
        <v>9.9300000000000013E-2</v>
      </c>
      <c r="M63" s="101">
        <f t="shared" si="11"/>
        <v>0.10045</v>
      </c>
      <c r="N63" s="101">
        <f t="shared" si="12"/>
        <v>9.9262500000000004E-2</v>
      </c>
      <c r="O63" s="101">
        <f t="shared" si="13"/>
        <v>9.957812499999999E-2</v>
      </c>
      <c r="P63" s="101">
        <f t="shared" si="14"/>
        <v>9.9647656249999994E-2</v>
      </c>
      <c r="Q63" s="101">
        <f t="shared" si="15"/>
        <v>9.9734570312500007E-2</v>
      </c>
      <c r="R63" s="101">
        <f t="shared" si="16"/>
        <v>9.9555712890624995E-2</v>
      </c>
      <c r="S63" s="101">
        <f t="shared" si="17"/>
        <v>9.9629016113281246E-2</v>
      </c>
      <c r="T63" s="101">
        <f t="shared" si="18"/>
        <v>9.964173889160155E-2</v>
      </c>
      <c r="U63" s="101">
        <f t="shared" si="19"/>
        <v>9.9640259552001953E-2</v>
      </c>
      <c r="V63" s="101">
        <f t="shared" si="20"/>
        <v>9.9616681861877443E-2</v>
      </c>
      <c r="W63" s="101">
        <f t="shared" si="21"/>
        <v>9.9631924104690545E-2</v>
      </c>
      <c r="X63" s="101">
        <f t="shared" si="22"/>
        <v>9.963265110254288E-2</v>
      </c>
      <c r="Y63" s="101">
        <f t="shared" si="23"/>
        <v>9.9630379155278212E-2</v>
      </c>
      <c r="Z63" s="101">
        <f t="shared" si="24"/>
        <v>9.9627909056097266E-2</v>
      </c>
      <c r="AA63" s="101">
        <f t="shared" si="25"/>
        <v>9.9630715854652219E-2</v>
      </c>
      <c r="AB63" s="101">
        <f t="shared" si="26"/>
        <v>9.9630413792142644E-2</v>
      </c>
      <c r="AC63" s="101">
        <f t="shared" si="27"/>
        <v>9.9629854464542589E-2</v>
      </c>
      <c r="AD63" s="101">
        <f t="shared" si="28"/>
        <v>9.9629723291858679E-2</v>
      </c>
      <c r="AE63" s="101">
        <f t="shared" si="29"/>
        <v>9.9630176850799029E-2</v>
      </c>
      <c r="AF63" s="101">
        <f t="shared" si="30"/>
        <v>9.9630042099835725E-2</v>
      </c>
      <c r="AG63" s="101">
        <f t="shared" si="31"/>
        <v>9.9629949176759006E-2</v>
      </c>
      <c r="AH63" s="101">
        <f t="shared" si="32"/>
        <v>9.9629972854813106E-2</v>
      </c>
      <c r="AI63" s="101">
        <f t="shared" si="33"/>
        <v>9.9630035245551724E-2</v>
      </c>
      <c r="AJ63" s="101">
        <f t="shared" si="34"/>
        <v>9.9629999844239897E-2</v>
      </c>
      <c r="AK63" s="101">
        <f t="shared" si="35"/>
        <v>9.9629989280340947E-2</v>
      </c>
      <c r="AL63" s="101">
        <f t="shared" si="36"/>
        <v>9.9629999306236422E-2</v>
      </c>
      <c r="AM63" s="101">
        <f t="shared" si="37"/>
        <v>9.963000591909224E-2</v>
      </c>
      <c r="AN63" s="101">
        <f t="shared" si="38"/>
        <v>9.962999858747737E-2</v>
      </c>
      <c r="AO63" s="101">
        <f t="shared" si="39"/>
        <v>9.9629998273286752E-2</v>
      </c>
      <c r="AP63" s="101">
        <f t="shared" si="40"/>
        <v>9.963000052152321E-2</v>
      </c>
      <c r="AQ63" s="101">
        <f t="shared" si="41"/>
        <v>9.9630000825344886E-2</v>
      </c>
      <c r="AR63" s="101">
        <f t="shared" si="42"/>
        <v>9.9629999551908058E-2</v>
      </c>
      <c r="AS63" s="101">
        <f t="shared" si="43"/>
        <v>9.9629999793015719E-2</v>
      </c>
      <c r="AT63" s="101">
        <f t="shared" si="44"/>
        <v>9.9630000172947972E-2</v>
      </c>
      <c r="AU63" s="101">
        <f t="shared" si="45"/>
        <v>9.9630000085804166E-2</v>
      </c>
      <c r="AV63" s="101">
        <f t="shared" si="2"/>
        <v>9.9629999900918975E-2</v>
      </c>
      <c r="AW63" s="101">
        <f t="shared" si="3"/>
        <v>9.9629999988171708E-2</v>
      </c>
      <c r="AX63" s="101">
        <f t="shared" si="4"/>
        <v>9.9630000036960709E-2</v>
      </c>
      <c r="AY63" s="101">
        <f t="shared" si="5"/>
        <v>9.9630000002963889E-2</v>
      </c>
      <c r="AZ63" s="101">
        <f t="shared" si="6"/>
        <v>9.9629999982253817E-2</v>
      </c>
      <c r="BA63" s="101">
        <f t="shared" si="7"/>
        <v>9.9630000002587524E-2</v>
      </c>
      <c r="BB63" s="101">
        <f t="shared" si="8"/>
        <v>9.9630000006191488E-2</v>
      </c>
      <c r="BC63" s="101">
        <f t="shared" si="9"/>
        <v>9.9629999998499183E-2</v>
      </c>
      <c r="BD63" s="101">
        <f t="shared" si="10"/>
        <v>9.9629999997383006E-2</v>
      </c>
    </row>
    <row r="64" spans="1:56" s="91" customFormat="1" x14ac:dyDescent="0.25">
      <c r="E64" s="99"/>
      <c r="F64" s="99"/>
      <c r="G64" s="99"/>
      <c r="H64" s="99"/>
      <c r="I64" s="99"/>
      <c r="J64" s="99"/>
      <c r="K64" s="99"/>
      <c r="L64" s="101" t="e">
        <f t="shared" si="1"/>
        <v>#DIV/0!</v>
      </c>
      <c r="M64" s="101" t="e">
        <f t="shared" si="11"/>
        <v>#DIV/0!</v>
      </c>
      <c r="N64" s="101" t="e">
        <f t="shared" si="12"/>
        <v>#DIV/0!</v>
      </c>
      <c r="O64" s="101" t="e">
        <f t="shared" si="13"/>
        <v>#DIV/0!</v>
      </c>
      <c r="P64" s="101" t="e">
        <f t="shared" si="14"/>
        <v>#DIV/0!</v>
      </c>
      <c r="Q64" s="101" t="e">
        <f t="shared" si="15"/>
        <v>#DIV/0!</v>
      </c>
      <c r="R64" s="101" t="e">
        <f t="shared" si="16"/>
        <v>#DIV/0!</v>
      </c>
      <c r="S64" s="101" t="e">
        <f t="shared" si="17"/>
        <v>#DIV/0!</v>
      </c>
      <c r="T64" s="101" t="e">
        <f t="shared" si="18"/>
        <v>#DIV/0!</v>
      </c>
      <c r="U64" s="101" t="e">
        <f t="shared" si="19"/>
        <v>#DIV/0!</v>
      </c>
      <c r="V64" s="101" t="e">
        <f t="shared" si="20"/>
        <v>#DIV/0!</v>
      </c>
      <c r="W64" s="101" t="e">
        <f t="shared" si="21"/>
        <v>#DIV/0!</v>
      </c>
      <c r="X64" s="101" t="e">
        <f t="shared" si="22"/>
        <v>#DIV/0!</v>
      </c>
      <c r="Y64" s="101" t="e">
        <f t="shared" si="23"/>
        <v>#DIV/0!</v>
      </c>
      <c r="Z64" s="101" t="e">
        <f t="shared" si="24"/>
        <v>#DIV/0!</v>
      </c>
      <c r="AA64" s="101" t="e">
        <f t="shared" si="25"/>
        <v>#DIV/0!</v>
      </c>
      <c r="AB64" s="101" t="e">
        <f t="shared" si="26"/>
        <v>#DIV/0!</v>
      </c>
      <c r="AC64" s="101" t="e">
        <f t="shared" si="27"/>
        <v>#DIV/0!</v>
      </c>
      <c r="AD64" s="101" t="e">
        <f t="shared" si="28"/>
        <v>#DIV/0!</v>
      </c>
      <c r="AE64" s="101" t="e">
        <f t="shared" si="29"/>
        <v>#DIV/0!</v>
      </c>
      <c r="AF64" s="101" t="e">
        <f t="shared" si="30"/>
        <v>#DIV/0!</v>
      </c>
      <c r="AG64" s="101" t="e">
        <f t="shared" si="31"/>
        <v>#DIV/0!</v>
      </c>
      <c r="AH64" s="101" t="e">
        <f t="shared" si="32"/>
        <v>#DIV/0!</v>
      </c>
      <c r="AI64" s="101" t="e">
        <f t="shared" si="33"/>
        <v>#DIV/0!</v>
      </c>
      <c r="AJ64" s="101" t="e">
        <f t="shared" si="34"/>
        <v>#DIV/0!</v>
      </c>
      <c r="AK64" s="101" t="e">
        <f t="shared" si="35"/>
        <v>#DIV/0!</v>
      </c>
      <c r="AL64" s="101" t="e">
        <f t="shared" si="36"/>
        <v>#DIV/0!</v>
      </c>
      <c r="AM64" s="101" t="e">
        <f t="shared" si="37"/>
        <v>#DIV/0!</v>
      </c>
      <c r="AN64" s="101" t="e">
        <f t="shared" si="38"/>
        <v>#DIV/0!</v>
      </c>
      <c r="AO64" s="101" t="e">
        <f t="shared" si="39"/>
        <v>#DIV/0!</v>
      </c>
      <c r="AP64" s="101" t="e">
        <f t="shared" si="40"/>
        <v>#DIV/0!</v>
      </c>
      <c r="AQ64" s="101" t="e">
        <f t="shared" si="41"/>
        <v>#DIV/0!</v>
      </c>
      <c r="AR64" s="101" t="e">
        <f t="shared" si="42"/>
        <v>#DIV/0!</v>
      </c>
      <c r="AS64" s="101" t="e">
        <f t="shared" si="43"/>
        <v>#DIV/0!</v>
      </c>
      <c r="AT64" s="101" t="e">
        <f t="shared" si="44"/>
        <v>#DIV/0!</v>
      </c>
      <c r="AU64" s="101" t="e">
        <f t="shared" si="45"/>
        <v>#DIV/0!</v>
      </c>
      <c r="AV64" s="101" t="e">
        <f t="shared" si="2"/>
        <v>#DIV/0!</v>
      </c>
      <c r="AW64" s="101" t="e">
        <f t="shared" si="3"/>
        <v>#DIV/0!</v>
      </c>
      <c r="AX64" s="101" t="e">
        <f t="shared" si="4"/>
        <v>#DIV/0!</v>
      </c>
      <c r="AY64" s="101" t="e">
        <f t="shared" si="5"/>
        <v>#DIV/0!</v>
      </c>
      <c r="AZ64" s="101" t="e">
        <f t="shared" si="6"/>
        <v>#DIV/0!</v>
      </c>
      <c r="BA64" s="101" t="e">
        <f t="shared" si="7"/>
        <v>#DIV/0!</v>
      </c>
      <c r="BB64" s="101" t="e">
        <f t="shared" si="8"/>
        <v>#DIV/0!</v>
      </c>
      <c r="BC64" s="101" t="e">
        <f t="shared" si="9"/>
        <v>#DIV/0!</v>
      </c>
      <c r="BD64" s="101" t="e">
        <f t="shared" si="10"/>
        <v>#DIV/0!</v>
      </c>
    </row>
    <row r="65" spans="1:56" x14ac:dyDescent="0.25">
      <c r="A65" s="89" t="s">
        <v>213</v>
      </c>
      <c r="C65" s="89" t="s">
        <v>212</v>
      </c>
      <c r="D65" s="89" t="s">
        <v>211</v>
      </c>
      <c r="E65" s="100">
        <f>'BPS 2019'!P68/100</f>
        <v>4.9599999999999998E-2</v>
      </c>
      <c r="F65" s="100">
        <f>'BPS 2020'!F68/100</f>
        <v>-1.5900000000000001E-2</v>
      </c>
      <c r="G65" s="100">
        <f>'BPS 2021'!F68/100</f>
        <v>3.27E-2</v>
      </c>
      <c r="H65" s="100">
        <f>'BPS 2022'!F68/100</f>
        <v>4.9500000000000002E-2</v>
      </c>
      <c r="I65" s="100">
        <f>'BPS 2023'!F68/100</f>
        <v>5.0499999999999996E-2</v>
      </c>
      <c r="J65" s="100">
        <f>'BPS 2024'!F68/100</f>
        <v>5.1100000000000007E-2</v>
      </c>
      <c r="K65" s="100">
        <f>'BPS 2025'!F68/100</f>
        <v>5.16E-2</v>
      </c>
      <c r="L65" s="101">
        <f t="shared" si="1"/>
        <v>5.0675000000000005E-2</v>
      </c>
      <c r="M65" s="101">
        <f t="shared" si="11"/>
        <v>5.096875E-2</v>
      </c>
      <c r="N65" s="101">
        <f t="shared" si="12"/>
        <v>5.1085937500000005E-2</v>
      </c>
      <c r="O65" s="101">
        <f t="shared" si="13"/>
        <v>5.1082421875000006E-2</v>
      </c>
      <c r="P65" s="101">
        <f t="shared" si="14"/>
        <v>5.0953027343750006E-2</v>
      </c>
      <c r="Q65" s="101">
        <f t="shared" si="15"/>
        <v>5.1022534179687509E-2</v>
      </c>
      <c r="R65" s="101">
        <f t="shared" si="16"/>
        <v>5.1035980224609381E-2</v>
      </c>
      <c r="S65" s="101">
        <f t="shared" si="17"/>
        <v>5.102349090576172E-2</v>
      </c>
      <c r="T65" s="101">
        <f t="shared" si="18"/>
        <v>5.1008758163452149E-2</v>
      </c>
      <c r="U65" s="101">
        <f t="shared" si="19"/>
        <v>5.1022690868377692E-2</v>
      </c>
      <c r="V65" s="101">
        <f t="shared" si="20"/>
        <v>5.1022730040550232E-2</v>
      </c>
      <c r="W65" s="101">
        <f t="shared" si="21"/>
        <v>5.1019417494535452E-2</v>
      </c>
      <c r="X65" s="101">
        <f t="shared" si="22"/>
        <v>5.1018399141728878E-2</v>
      </c>
      <c r="Y65" s="101">
        <f t="shared" si="23"/>
        <v>5.1020809386298063E-2</v>
      </c>
      <c r="Z65" s="101">
        <f t="shared" si="24"/>
        <v>5.1020339015778154E-2</v>
      </c>
      <c r="AA65" s="101">
        <f t="shared" si="25"/>
        <v>5.1019741259585132E-2</v>
      </c>
      <c r="AB65" s="101">
        <f t="shared" si="26"/>
        <v>5.101982220084756E-2</v>
      </c>
      <c r="AC65" s="101">
        <f t="shared" si="27"/>
        <v>5.1020177965627224E-2</v>
      </c>
      <c r="AD65" s="101">
        <f t="shared" si="28"/>
        <v>5.1020020110459516E-2</v>
      </c>
      <c r="AE65" s="101">
        <f t="shared" si="29"/>
        <v>5.1019940384129853E-2</v>
      </c>
      <c r="AF65" s="101">
        <f t="shared" si="30"/>
        <v>5.1019990165266038E-2</v>
      </c>
      <c r="AG65" s="101">
        <f t="shared" si="31"/>
        <v>5.1020032156370659E-2</v>
      </c>
      <c r="AH65" s="101">
        <f t="shared" si="32"/>
        <v>5.1019995704056513E-2</v>
      </c>
      <c r="AI65" s="101">
        <f t="shared" si="33"/>
        <v>5.1019989602455768E-2</v>
      </c>
      <c r="AJ65" s="101">
        <f t="shared" si="34"/>
        <v>5.1020001907037246E-2</v>
      </c>
      <c r="AK65" s="101">
        <f t="shared" si="35"/>
        <v>5.1020004842480052E-2</v>
      </c>
      <c r="AL65" s="101">
        <f t="shared" si="36"/>
        <v>5.1019998014007389E-2</v>
      </c>
      <c r="AM65" s="101">
        <f t="shared" si="37"/>
        <v>5.1019998591495114E-2</v>
      </c>
      <c r="AN65" s="101">
        <f t="shared" si="38"/>
        <v>5.102000083875495E-2</v>
      </c>
      <c r="AO65" s="101">
        <f t="shared" si="39"/>
        <v>5.1020000571684376E-2</v>
      </c>
      <c r="AP65" s="101">
        <f t="shared" si="40"/>
        <v>5.1019999503985461E-2</v>
      </c>
      <c r="AQ65" s="101">
        <f t="shared" si="41"/>
        <v>5.1019999876479968E-2</v>
      </c>
      <c r="AR65" s="101">
        <f t="shared" si="42"/>
        <v>5.1020000197726192E-2</v>
      </c>
      <c r="AS65" s="101">
        <f t="shared" si="43"/>
        <v>5.1020000037468996E-2</v>
      </c>
      <c r="AT65" s="101">
        <f t="shared" si="44"/>
        <v>5.1019999903915147E-2</v>
      </c>
      <c r="AU65" s="101">
        <f t="shared" si="45"/>
        <v>5.1020000003897573E-2</v>
      </c>
      <c r="AV65" s="101">
        <f t="shared" si="2"/>
        <v>5.1020000035751981E-2</v>
      </c>
      <c r="AW65" s="101">
        <f t="shared" si="3"/>
        <v>5.1019999995258428E-2</v>
      </c>
      <c r="AX65" s="101">
        <f t="shared" si="4"/>
        <v>5.1019999984705786E-2</v>
      </c>
      <c r="AY65" s="101">
        <f t="shared" si="5"/>
        <v>5.1020000004903449E-2</v>
      </c>
      <c r="AZ65" s="101">
        <f t="shared" si="6"/>
        <v>5.1020000005154907E-2</v>
      </c>
      <c r="BA65" s="101">
        <f t="shared" si="7"/>
        <v>5.1019999997505644E-2</v>
      </c>
      <c r="BB65" s="101">
        <f t="shared" si="8"/>
        <v>5.1019999998067445E-2</v>
      </c>
      <c r="BC65" s="101">
        <f t="shared" si="9"/>
        <v>5.1020000001407863E-2</v>
      </c>
      <c r="BD65" s="101">
        <f t="shared" si="10"/>
        <v>5.1020000000533965E-2</v>
      </c>
    </row>
    <row r="66" spans="1:56" x14ac:dyDescent="0.25">
      <c r="A66" s="89" t="s">
        <v>210</v>
      </c>
      <c r="C66" s="89" t="s">
        <v>209</v>
      </c>
      <c r="D66" s="89" t="s">
        <v>208</v>
      </c>
      <c r="E66" s="100">
        <f>'BPS 2019'!P69/100</f>
        <v>6.5199999999999994E-2</v>
      </c>
      <c r="F66" s="100">
        <f>'BPS 2020'!F69/100</f>
        <v>-0.1313</v>
      </c>
      <c r="G66" s="100">
        <f>'BPS 2021'!F69/100</f>
        <v>0.15140000000000001</v>
      </c>
      <c r="H66" s="100">
        <f>'BPS 2022'!F69/100</f>
        <v>0.13830000000000001</v>
      </c>
      <c r="I66" s="100">
        <f>'BPS 2023'!F69/100</f>
        <v>4.9400000000000006E-2</v>
      </c>
      <c r="J66" s="100">
        <f>'BPS 2024'!F69/100</f>
        <v>3.2400000000000005E-2</v>
      </c>
      <c r="K66" s="100">
        <f>'BPS 2025'!F69/100</f>
        <v>3.8900000000000004E-2</v>
      </c>
      <c r="L66" s="101">
        <f t="shared" si="1"/>
        <v>6.4750000000000002E-2</v>
      </c>
      <c r="M66" s="101">
        <f t="shared" si="11"/>
        <v>4.6362500000000001E-2</v>
      </c>
      <c r="N66" s="101">
        <f t="shared" si="12"/>
        <v>4.5603125000000001E-2</v>
      </c>
      <c r="O66" s="101">
        <f t="shared" si="13"/>
        <v>4.8903906249999997E-2</v>
      </c>
      <c r="P66" s="101">
        <f t="shared" si="14"/>
        <v>5.1404882812499997E-2</v>
      </c>
      <c r="Q66" s="101">
        <f t="shared" si="15"/>
        <v>4.8068603515624996E-2</v>
      </c>
      <c r="R66" s="101">
        <f t="shared" si="16"/>
        <v>4.8495129394531246E-2</v>
      </c>
      <c r="S66" s="101">
        <f t="shared" si="17"/>
        <v>4.9218130493164057E-2</v>
      </c>
      <c r="T66" s="101">
        <f t="shared" si="18"/>
        <v>4.9296686553955076E-2</v>
      </c>
      <c r="U66" s="101">
        <f t="shared" si="19"/>
        <v>4.8769637489318847E-2</v>
      </c>
      <c r="V66" s="101">
        <f t="shared" si="20"/>
        <v>4.8944895982742306E-2</v>
      </c>
      <c r="W66" s="101">
        <f t="shared" si="21"/>
        <v>4.905733762979507E-2</v>
      </c>
      <c r="X66" s="101">
        <f t="shared" si="22"/>
        <v>4.9017139413952832E-2</v>
      </c>
      <c r="Y66" s="101">
        <f t="shared" si="23"/>
        <v>4.8947252628952269E-2</v>
      </c>
      <c r="Z66" s="101">
        <f t="shared" si="24"/>
        <v>4.8991656413860621E-2</v>
      </c>
      <c r="AA66" s="101">
        <f t="shared" si="25"/>
        <v>4.9003346521640193E-2</v>
      </c>
      <c r="AB66" s="101">
        <f t="shared" si="26"/>
        <v>4.898984874460148E-2</v>
      </c>
      <c r="AC66" s="101">
        <f t="shared" si="27"/>
        <v>4.8983026077263639E-2</v>
      </c>
      <c r="AD66" s="101">
        <f t="shared" si="28"/>
        <v>4.8991969439341476E-2</v>
      </c>
      <c r="AE66" s="101">
        <f t="shared" si="29"/>
        <v>4.8992047695711693E-2</v>
      </c>
      <c r="AF66" s="101">
        <f t="shared" si="30"/>
        <v>4.8989222989229572E-2</v>
      </c>
      <c r="AG66" s="101">
        <f t="shared" si="31"/>
        <v>4.8989066550386595E-2</v>
      </c>
      <c r="AH66" s="101">
        <f t="shared" si="32"/>
        <v>4.8990576668667338E-2</v>
      </c>
      <c r="AI66" s="101">
        <f t="shared" si="33"/>
        <v>4.8990228475998807E-2</v>
      </c>
      <c r="AJ66" s="101">
        <f t="shared" si="34"/>
        <v>4.8989773671070574E-2</v>
      </c>
      <c r="AK66" s="101">
        <f t="shared" si="35"/>
        <v>4.8989911341530828E-2</v>
      </c>
      <c r="AL66" s="101">
        <f t="shared" si="36"/>
        <v>4.8990122539316887E-2</v>
      </c>
      <c r="AM66" s="101">
        <f t="shared" si="37"/>
        <v>4.8990009006979279E-2</v>
      </c>
      <c r="AN66" s="101">
        <f t="shared" si="38"/>
        <v>4.8989954139724394E-2</v>
      </c>
      <c r="AO66" s="101">
        <f t="shared" si="39"/>
        <v>4.8989999256887851E-2</v>
      </c>
      <c r="AP66" s="101">
        <f t="shared" si="40"/>
        <v>4.8990021235727106E-2</v>
      </c>
      <c r="AQ66" s="101">
        <f t="shared" si="41"/>
        <v>4.8989995909829658E-2</v>
      </c>
      <c r="AR66" s="101">
        <f t="shared" si="42"/>
        <v>4.8989992635542254E-2</v>
      </c>
      <c r="AS66" s="101">
        <f t="shared" si="43"/>
        <v>4.899000225949672E-2</v>
      </c>
      <c r="AT66" s="101">
        <f t="shared" si="44"/>
        <v>4.8990003010148941E-2</v>
      </c>
      <c r="AU66" s="101">
        <f t="shared" si="45"/>
        <v>4.8989998453754388E-2</v>
      </c>
      <c r="AV66" s="101">
        <f t="shared" si="2"/>
        <v>4.8989999089735572E-2</v>
      </c>
      <c r="AW66" s="101">
        <f t="shared" si="3"/>
        <v>4.8990000703283909E-2</v>
      </c>
      <c r="AX66" s="101">
        <f t="shared" si="4"/>
        <v>4.8990000314230703E-2</v>
      </c>
      <c r="AY66" s="101">
        <f t="shared" si="5"/>
        <v>4.8989999640251143E-2</v>
      </c>
      <c r="AZ66" s="101">
        <f t="shared" si="6"/>
        <v>4.8989999936875334E-2</v>
      </c>
      <c r="BA66" s="101">
        <f t="shared" si="7"/>
        <v>4.899000014866027E-2</v>
      </c>
      <c r="BB66" s="101">
        <f t="shared" si="8"/>
        <v>4.8990000010004364E-2</v>
      </c>
      <c r="BC66" s="101">
        <f t="shared" si="9"/>
        <v>4.8989999933947773E-2</v>
      </c>
      <c r="BD66" s="101">
        <f t="shared" si="10"/>
        <v>4.8990000007371928E-2</v>
      </c>
    </row>
    <row r="67" spans="1:56" x14ac:dyDescent="0.25">
      <c r="A67" s="89" t="s">
        <v>206</v>
      </c>
      <c r="C67" s="89" t="s">
        <v>207</v>
      </c>
      <c r="D67" s="89" t="s">
        <v>206</v>
      </c>
      <c r="E67" s="100">
        <f>'BPS 2019'!P70/100</f>
        <v>5.0199999999999995E-2</v>
      </c>
      <c r="F67" s="100">
        <f>'BPS 2020'!F70/100</f>
        <v>-2.07E-2</v>
      </c>
      <c r="G67" s="100">
        <f>'BPS 2021'!F70/100</f>
        <v>3.7000000000000005E-2</v>
      </c>
      <c r="H67" s="100">
        <f>'BPS 2022'!F70/100</f>
        <v>5.3099999999999994E-2</v>
      </c>
      <c r="I67" s="100">
        <f>'BPS 2023'!F70/100</f>
        <v>5.0499999999999996E-2</v>
      </c>
      <c r="J67" s="100">
        <f>'BPS 2024'!F70/100</f>
        <v>5.0300000000000004E-2</v>
      </c>
      <c r="K67" s="100">
        <f>'BPS 2025'!F70/100</f>
        <v>5.1100000000000007E-2</v>
      </c>
      <c r="L67" s="101">
        <f t="shared" ref="L67" si="46">AVERAGE(H67:K67)</f>
        <v>5.1250000000000004E-2</v>
      </c>
      <c r="M67" s="101">
        <f t="shared" si="11"/>
        <v>5.0787499999999999E-2</v>
      </c>
      <c r="N67" s="101">
        <f t="shared" si="12"/>
        <v>5.0859374999999998E-2</v>
      </c>
      <c r="O67" s="101">
        <f t="shared" si="13"/>
        <v>5.0999218750000005E-2</v>
      </c>
      <c r="P67" s="101">
        <f t="shared" si="14"/>
        <v>5.0974023437500002E-2</v>
      </c>
      <c r="Q67" s="101">
        <f t="shared" si="15"/>
        <v>5.0905029296875001E-2</v>
      </c>
      <c r="R67" s="101">
        <f t="shared" si="16"/>
        <v>5.0934411621093759E-2</v>
      </c>
      <c r="S67" s="101">
        <f t="shared" si="17"/>
        <v>5.0953170776367185E-2</v>
      </c>
      <c r="T67" s="101">
        <f t="shared" si="18"/>
        <v>5.094165878295899E-2</v>
      </c>
      <c r="U67" s="101">
        <f t="shared" si="19"/>
        <v>5.093356761932373E-2</v>
      </c>
      <c r="V67" s="101">
        <f t="shared" si="20"/>
        <v>5.0940702199935919E-2</v>
      </c>
      <c r="W67" s="101">
        <f t="shared" si="21"/>
        <v>5.094227484464646E-2</v>
      </c>
      <c r="X67" s="101">
        <f t="shared" si="22"/>
        <v>5.0939550861716282E-2</v>
      </c>
      <c r="Y67" s="101">
        <f t="shared" si="23"/>
        <v>5.0939023881405594E-2</v>
      </c>
      <c r="Z67" s="101">
        <f t="shared" si="24"/>
        <v>5.0940387946926062E-2</v>
      </c>
      <c r="AA67" s="101">
        <f t="shared" si="25"/>
        <v>5.0940309383673603E-2</v>
      </c>
      <c r="AB67" s="101">
        <f t="shared" si="26"/>
        <v>5.0939818018430387E-2</v>
      </c>
      <c r="AC67" s="101">
        <f t="shared" si="27"/>
        <v>5.0939884807608915E-2</v>
      </c>
      <c r="AD67" s="101">
        <f t="shared" si="28"/>
        <v>5.094010003915974E-2</v>
      </c>
      <c r="AE67" s="101">
        <f t="shared" si="29"/>
        <v>5.0940028062218166E-2</v>
      </c>
      <c r="AF67" s="101">
        <f t="shared" si="30"/>
        <v>5.0939957731854307E-2</v>
      </c>
      <c r="AG67" s="101">
        <f t="shared" si="31"/>
        <v>5.0939992660210286E-2</v>
      </c>
      <c r="AH67" s="101">
        <f t="shared" si="32"/>
        <v>5.0940019623360623E-2</v>
      </c>
      <c r="AI67" s="101">
        <f t="shared" si="33"/>
        <v>5.0939999519410847E-2</v>
      </c>
      <c r="AJ67" s="101">
        <f t="shared" si="34"/>
        <v>5.0939992383709012E-2</v>
      </c>
      <c r="AK67" s="101">
        <f t="shared" si="35"/>
        <v>5.0940001046672692E-2</v>
      </c>
      <c r="AL67" s="101">
        <f t="shared" si="36"/>
        <v>5.0940003143288295E-2</v>
      </c>
      <c r="AM67" s="101">
        <f t="shared" si="37"/>
        <v>5.0939999023270205E-2</v>
      </c>
      <c r="AN67" s="101">
        <f t="shared" si="38"/>
        <v>5.0939998899235055E-2</v>
      </c>
      <c r="AO67" s="101">
        <f t="shared" si="39"/>
        <v>5.0940000528116564E-2</v>
      </c>
      <c r="AP67" s="101">
        <f t="shared" si="40"/>
        <v>5.0940000398477528E-2</v>
      </c>
      <c r="AQ67" s="101">
        <f t="shared" si="41"/>
        <v>5.0939999712274836E-2</v>
      </c>
      <c r="AR67" s="101">
        <f t="shared" si="42"/>
        <v>5.0939999884526001E-2</v>
      </c>
      <c r="AS67" s="101">
        <f t="shared" si="43"/>
        <v>5.0940000130848727E-2</v>
      </c>
      <c r="AT67" s="101">
        <f t="shared" si="44"/>
        <v>5.0940000031531776E-2</v>
      </c>
      <c r="AU67" s="101">
        <f t="shared" si="45"/>
        <v>5.0939999939795338E-2</v>
      </c>
      <c r="AV67" s="101">
        <f t="shared" si="2"/>
        <v>5.0939999996675457E-2</v>
      </c>
      <c r="AW67" s="101">
        <f t="shared" si="3"/>
        <v>5.0940000024712821E-2</v>
      </c>
      <c r="AX67" s="101">
        <f t="shared" si="4"/>
        <v>5.0939999998178852E-2</v>
      </c>
      <c r="AY67" s="101">
        <f t="shared" si="5"/>
        <v>5.0939999989840619E-2</v>
      </c>
      <c r="AZ67" s="101">
        <f t="shared" si="6"/>
        <v>5.0940000002351937E-2</v>
      </c>
      <c r="BA67" s="101">
        <f t="shared" si="7"/>
        <v>5.0940000003771059E-2</v>
      </c>
      <c r="BB67" s="101">
        <f t="shared" si="8"/>
        <v>5.0939999998535615E-2</v>
      </c>
      <c r="BC67" s="101">
        <f t="shared" si="9"/>
        <v>5.0939999998624808E-2</v>
      </c>
      <c r="BD67" s="101">
        <f t="shared" si="10"/>
        <v>5.0940000000820856E-2</v>
      </c>
    </row>
    <row r="68" spans="1:56" x14ac:dyDescent="0.25">
      <c r="E68" s="90"/>
      <c r="F68" s="90"/>
      <c r="G68" s="90"/>
      <c r="H68" s="90"/>
      <c r="I68" s="90"/>
      <c r="J68" s="90"/>
      <c r="K68" s="90"/>
    </row>
    <row r="69" spans="1:56" x14ac:dyDescent="0.25">
      <c r="E69" s="90"/>
      <c r="F69" s="90"/>
      <c r="G69" s="90"/>
      <c r="H69" s="90"/>
      <c r="I69" s="90"/>
      <c r="J69" s="90"/>
      <c r="K69" s="90"/>
    </row>
    <row r="70" spans="1:56" x14ac:dyDescent="0.25">
      <c r="E70" s="90"/>
      <c r="F70" s="90"/>
      <c r="G70" s="90"/>
      <c r="H70" s="90"/>
      <c r="I70" s="90"/>
      <c r="J70" s="90"/>
      <c r="K70" s="90"/>
    </row>
    <row r="71" spans="1:56" x14ac:dyDescent="0.25">
      <c r="E71" s="90"/>
      <c r="F71" s="90"/>
      <c r="G71" s="90"/>
      <c r="H71" s="90"/>
      <c r="I71" s="90"/>
      <c r="J71" s="90"/>
      <c r="K71" s="90"/>
    </row>
  </sheetData>
  <autoFilter ref="A1:K63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7" t="s">
        <v>999</v>
      </c>
      <c r="C4" s="107"/>
      <c r="D4" s="107"/>
      <c r="E4" s="107"/>
      <c r="F4" s="107"/>
      <c r="G4" s="106" t="s">
        <v>999</v>
      </c>
      <c r="H4" s="106"/>
      <c r="I4" s="106"/>
      <c r="J4" s="106"/>
      <c r="K4" s="106"/>
      <c r="L4" s="106" t="s">
        <v>999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576</v>
      </c>
      <c r="C6" s="89" t="s">
        <v>993</v>
      </c>
      <c r="D6" s="89" t="s">
        <v>992</v>
      </c>
      <c r="E6" s="89" t="s">
        <v>670</v>
      </c>
      <c r="F6" s="89" t="s">
        <v>670</v>
      </c>
      <c r="G6" s="89" t="s">
        <v>991</v>
      </c>
      <c r="H6" s="89" t="s">
        <v>990</v>
      </c>
      <c r="I6" s="89" t="s">
        <v>989</v>
      </c>
      <c r="J6" s="89" t="s">
        <v>988</v>
      </c>
      <c r="K6" s="89" t="s">
        <v>670</v>
      </c>
      <c r="L6" s="89" t="s">
        <v>576</v>
      </c>
      <c r="M6" s="89" t="s">
        <v>768</v>
      </c>
      <c r="N6" s="89" t="s">
        <v>985</v>
      </c>
      <c r="O6" s="89" t="s">
        <v>987</v>
      </c>
      <c r="P6" s="89" t="s">
        <v>670</v>
      </c>
    </row>
    <row r="7" spans="1:16" x14ac:dyDescent="0.25">
      <c r="A7" s="89" t="s">
        <v>392</v>
      </c>
      <c r="B7" s="89" t="s">
        <v>980</v>
      </c>
      <c r="C7" s="89" t="s">
        <v>986</v>
      </c>
      <c r="D7" s="89" t="s">
        <v>985</v>
      </c>
      <c r="E7" s="89" t="s">
        <v>979</v>
      </c>
      <c r="F7" s="89" t="s">
        <v>979</v>
      </c>
      <c r="G7" s="89" t="s">
        <v>984</v>
      </c>
      <c r="H7" s="89" t="s">
        <v>983</v>
      </c>
      <c r="I7" s="89" t="s">
        <v>982</v>
      </c>
      <c r="J7" s="89" t="s">
        <v>981</v>
      </c>
      <c r="K7" s="89" t="s">
        <v>979</v>
      </c>
      <c r="L7" s="89" t="s">
        <v>980</v>
      </c>
      <c r="M7" s="89" t="s">
        <v>579</v>
      </c>
      <c r="N7" s="89" t="s">
        <v>657</v>
      </c>
      <c r="O7" s="89" t="s">
        <v>517</v>
      </c>
      <c r="P7" s="89" t="s">
        <v>979</v>
      </c>
    </row>
    <row r="8" spans="1:16" x14ac:dyDescent="0.25">
      <c r="A8" s="89" t="s">
        <v>389</v>
      </c>
      <c r="B8" s="89" t="s">
        <v>972</v>
      </c>
      <c r="C8" s="89" t="s">
        <v>978</v>
      </c>
      <c r="D8" s="89" t="s">
        <v>977</v>
      </c>
      <c r="E8" s="89" t="s">
        <v>969</v>
      </c>
      <c r="F8" s="89" t="s">
        <v>969</v>
      </c>
      <c r="G8" s="89" t="s">
        <v>976</v>
      </c>
      <c r="H8" s="89" t="s">
        <v>975</v>
      </c>
      <c r="I8" s="89" t="s">
        <v>974</v>
      </c>
      <c r="J8" s="89" t="s">
        <v>973</v>
      </c>
      <c r="K8" s="89" t="s">
        <v>969</v>
      </c>
      <c r="L8" s="89" t="s">
        <v>972</v>
      </c>
      <c r="M8" s="89" t="s">
        <v>971</v>
      </c>
      <c r="N8" s="89" t="s">
        <v>767</v>
      </c>
      <c r="O8" s="89" t="s">
        <v>970</v>
      </c>
      <c r="P8" s="89" t="s">
        <v>969</v>
      </c>
    </row>
    <row r="9" spans="1:16" x14ac:dyDescent="0.25">
      <c r="A9" s="89" t="s">
        <v>386</v>
      </c>
      <c r="B9" s="89" t="s">
        <v>883</v>
      </c>
      <c r="C9" s="89" t="s">
        <v>968</v>
      </c>
      <c r="D9" s="89" t="s">
        <v>491</v>
      </c>
      <c r="E9" s="89" t="s">
        <v>580</v>
      </c>
      <c r="F9" s="89" t="s">
        <v>580</v>
      </c>
      <c r="G9" s="89" t="s">
        <v>967</v>
      </c>
      <c r="H9" s="89" t="s">
        <v>966</v>
      </c>
      <c r="I9" s="89" t="s">
        <v>602</v>
      </c>
      <c r="J9" s="89" t="s">
        <v>965</v>
      </c>
      <c r="K9" s="89" t="s">
        <v>580</v>
      </c>
      <c r="L9" s="89" t="s">
        <v>883</v>
      </c>
      <c r="M9" s="89" t="s">
        <v>964</v>
      </c>
      <c r="N9" s="89" t="s">
        <v>963</v>
      </c>
      <c r="O9" s="89" t="s">
        <v>420</v>
      </c>
      <c r="P9" s="89" t="s">
        <v>580</v>
      </c>
    </row>
    <row r="10" spans="1:16" x14ac:dyDescent="0.25">
      <c r="A10" s="89" t="s">
        <v>383</v>
      </c>
      <c r="B10" s="89" t="s">
        <v>844</v>
      </c>
      <c r="C10" s="89" t="s">
        <v>962</v>
      </c>
      <c r="D10" s="89" t="s">
        <v>961</v>
      </c>
      <c r="E10" s="89" t="s">
        <v>956</v>
      </c>
      <c r="F10" s="89" t="s">
        <v>956</v>
      </c>
      <c r="G10" s="89" t="s">
        <v>500</v>
      </c>
      <c r="H10" s="89" t="s">
        <v>960</v>
      </c>
      <c r="I10" s="89" t="s">
        <v>959</v>
      </c>
      <c r="J10" s="89" t="s">
        <v>958</v>
      </c>
      <c r="K10" s="89" t="s">
        <v>956</v>
      </c>
      <c r="L10" s="89" t="s">
        <v>844</v>
      </c>
      <c r="M10" s="89" t="s">
        <v>538</v>
      </c>
      <c r="N10" s="89" t="s">
        <v>400</v>
      </c>
      <c r="O10" s="89" t="s">
        <v>957</v>
      </c>
      <c r="P10" s="89" t="s">
        <v>956</v>
      </c>
    </row>
    <row r="11" spans="1:16" x14ac:dyDescent="0.25">
      <c r="A11" s="89" t="s">
        <v>380</v>
      </c>
      <c r="B11" s="89" t="s">
        <v>951</v>
      </c>
      <c r="C11" s="89" t="s">
        <v>439</v>
      </c>
      <c r="D11" s="89" t="s">
        <v>955</v>
      </c>
      <c r="E11" s="89" t="s">
        <v>439</v>
      </c>
      <c r="F11" s="89" t="s">
        <v>439</v>
      </c>
      <c r="G11" s="89" t="s">
        <v>954</v>
      </c>
      <c r="H11" s="89" t="s">
        <v>653</v>
      </c>
      <c r="I11" s="89" t="s">
        <v>953</v>
      </c>
      <c r="J11" s="89" t="s">
        <v>952</v>
      </c>
      <c r="K11" s="89" t="s">
        <v>439</v>
      </c>
      <c r="L11" s="89" t="s">
        <v>951</v>
      </c>
      <c r="M11" s="89" t="s">
        <v>950</v>
      </c>
      <c r="N11" s="89" t="s">
        <v>622</v>
      </c>
      <c r="O11" s="89" t="s">
        <v>949</v>
      </c>
      <c r="P11" s="89" t="s">
        <v>439</v>
      </c>
    </row>
    <row r="12" spans="1:16" x14ac:dyDescent="0.25">
      <c r="A12" s="89" t="s">
        <v>377</v>
      </c>
      <c r="B12" s="89" t="s">
        <v>944</v>
      </c>
      <c r="C12" s="89" t="s">
        <v>648</v>
      </c>
      <c r="D12" s="89" t="s">
        <v>948</v>
      </c>
      <c r="E12" s="89" t="s">
        <v>941</v>
      </c>
      <c r="F12" s="89" t="s">
        <v>941</v>
      </c>
      <c r="G12" s="89" t="s">
        <v>947</v>
      </c>
      <c r="H12" s="89" t="s">
        <v>946</v>
      </c>
      <c r="I12" s="89" t="s">
        <v>444</v>
      </c>
      <c r="J12" s="89" t="s">
        <v>945</v>
      </c>
      <c r="K12" s="89" t="s">
        <v>941</v>
      </c>
      <c r="L12" s="89" t="s">
        <v>944</v>
      </c>
      <c r="M12" s="89" t="s">
        <v>943</v>
      </c>
      <c r="N12" s="89" t="s">
        <v>942</v>
      </c>
      <c r="O12" s="89" t="s">
        <v>648</v>
      </c>
      <c r="P12" s="89" t="s">
        <v>941</v>
      </c>
    </row>
    <row r="13" spans="1:16" x14ac:dyDescent="0.25">
      <c r="A13" s="89" t="s">
        <v>374</v>
      </c>
      <c r="B13" s="89" t="s">
        <v>935</v>
      </c>
      <c r="C13" s="89" t="s">
        <v>940</v>
      </c>
      <c r="D13" s="89" t="s">
        <v>939</v>
      </c>
      <c r="E13" s="89" t="s">
        <v>881</v>
      </c>
      <c r="F13" s="89" t="s">
        <v>881</v>
      </c>
      <c r="G13" s="89" t="s">
        <v>938</v>
      </c>
      <c r="H13" s="89" t="s">
        <v>937</v>
      </c>
      <c r="I13" s="89" t="s">
        <v>577</v>
      </c>
      <c r="J13" s="89" t="s">
        <v>936</v>
      </c>
      <c r="K13" s="89" t="s">
        <v>881</v>
      </c>
      <c r="L13" s="89" t="s">
        <v>935</v>
      </c>
      <c r="M13" s="89" t="s">
        <v>570</v>
      </c>
      <c r="N13" s="89" t="s">
        <v>934</v>
      </c>
      <c r="O13" s="89" t="s">
        <v>933</v>
      </c>
      <c r="P13" s="89" t="s">
        <v>881</v>
      </c>
    </row>
    <row r="14" spans="1:16" x14ac:dyDescent="0.25">
      <c r="A14" s="89" t="s">
        <v>371</v>
      </c>
      <c r="B14" s="89" t="s">
        <v>469</v>
      </c>
      <c r="C14" s="89" t="s">
        <v>932</v>
      </c>
      <c r="D14" s="89" t="s">
        <v>686</v>
      </c>
      <c r="E14" s="89" t="s">
        <v>485</v>
      </c>
      <c r="F14" s="89" t="s">
        <v>485</v>
      </c>
      <c r="G14" s="89" t="s">
        <v>931</v>
      </c>
      <c r="H14" s="89" t="s">
        <v>817</v>
      </c>
      <c r="I14" s="89" t="s">
        <v>845</v>
      </c>
      <c r="J14" s="89" t="s">
        <v>931</v>
      </c>
      <c r="K14" s="89" t="s">
        <v>485</v>
      </c>
      <c r="L14" s="89" t="s">
        <v>469</v>
      </c>
      <c r="M14" s="89" t="s">
        <v>930</v>
      </c>
      <c r="N14" s="89" t="s">
        <v>929</v>
      </c>
      <c r="O14" s="89" t="s">
        <v>928</v>
      </c>
      <c r="P14" s="89" t="s">
        <v>485</v>
      </c>
    </row>
    <row r="15" spans="1:16" x14ac:dyDescent="0.25">
      <c r="A15" s="89" t="s">
        <v>368</v>
      </c>
      <c r="B15" s="89" t="s">
        <v>922</v>
      </c>
      <c r="C15" s="89" t="s">
        <v>927</v>
      </c>
      <c r="D15" s="89" t="s">
        <v>926</v>
      </c>
      <c r="E15" s="89" t="s">
        <v>568</v>
      </c>
      <c r="F15" s="89" t="s">
        <v>568</v>
      </c>
      <c r="G15" s="89" t="s">
        <v>925</v>
      </c>
      <c r="H15" s="89" t="s">
        <v>700</v>
      </c>
      <c r="I15" s="89" t="s">
        <v>924</v>
      </c>
      <c r="J15" s="89" t="s">
        <v>923</v>
      </c>
      <c r="K15" s="89" t="s">
        <v>568</v>
      </c>
      <c r="L15" s="89" t="s">
        <v>922</v>
      </c>
      <c r="M15" s="89" t="s">
        <v>921</v>
      </c>
      <c r="N15" s="89" t="s">
        <v>494</v>
      </c>
      <c r="O15" s="89" t="s">
        <v>920</v>
      </c>
      <c r="P15" s="89" t="s">
        <v>568</v>
      </c>
    </row>
    <row r="16" spans="1:16" x14ac:dyDescent="0.25">
      <c r="A16" s="89" t="s">
        <v>366</v>
      </c>
      <c r="B16" s="89" t="s">
        <v>915</v>
      </c>
      <c r="C16" s="89" t="s">
        <v>919</v>
      </c>
      <c r="D16" s="89" t="s">
        <v>918</v>
      </c>
      <c r="E16" s="89" t="s">
        <v>911</v>
      </c>
      <c r="F16" s="89" t="s">
        <v>911</v>
      </c>
      <c r="G16" s="89" t="s">
        <v>917</v>
      </c>
      <c r="H16" s="89" t="s">
        <v>916</v>
      </c>
      <c r="I16" s="89" t="s">
        <v>602</v>
      </c>
      <c r="J16" s="89" t="s">
        <v>830</v>
      </c>
      <c r="K16" s="89" t="s">
        <v>911</v>
      </c>
      <c r="L16" s="89" t="s">
        <v>915</v>
      </c>
      <c r="M16" s="89" t="s">
        <v>914</v>
      </c>
      <c r="N16" s="89" t="s">
        <v>913</v>
      </c>
      <c r="O16" s="89" t="s">
        <v>912</v>
      </c>
      <c r="P16" s="89" t="s">
        <v>911</v>
      </c>
    </row>
    <row r="17" spans="1:16" x14ac:dyDescent="0.25">
      <c r="A17" s="89" t="s">
        <v>363</v>
      </c>
      <c r="B17" s="89" t="s">
        <v>906</v>
      </c>
      <c r="C17" s="89" t="s">
        <v>910</v>
      </c>
      <c r="D17" s="89" t="s">
        <v>909</v>
      </c>
      <c r="E17" s="89" t="s">
        <v>902</v>
      </c>
      <c r="F17" s="89" t="s">
        <v>902</v>
      </c>
      <c r="G17" s="89" t="s">
        <v>908</v>
      </c>
      <c r="H17" s="89" t="s">
        <v>765</v>
      </c>
      <c r="I17" s="89" t="s">
        <v>907</v>
      </c>
      <c r="J17" s="89" t="s">
        <v>521</v>
      </c>
      <c r="K17" s="89" t="s">
        <v>902</v>
      </c>
      <c r="L17" s="89" t="s">
        <v>906</v>
      </c>
      <c r="M17" s="89" t="s">
        <v>905</v>
      </c>
      <c r="N17" s="89" t="s">
        <v>904</v>
      </c>
      <c r="O17" s="89" t="s">
        <v>903</v>
      </c>
      <c r="P17" s="89" t="s">
        <v>902</v>
      </c>
    </row>
    <row r="18" spans="1:16" x14ac:dyDescent="0.25">
      <c r="A18" s="89" t="s">
        <v>360</v>
      </c>
      <c r="B18" s="89" t="s">
        <v>896</v>
      </c>
      <c r="C18" s="89" t="s">
        <v>901</v>
      </c>
      <c r="D18" s="89" t="s">
        <v>900</v>
      </c>
      <c r="E18" s="89" t="s">
        <v>892</v>
      </c>
      <c r="F18" s="89" t="s">
        <v>892</v>
      </c>
      <c r="G18" s="89" t="s">
        <v>899</v>
      </c>
      <c r="H18" s="89" t="s">
        <v>769</v>
      </c>
      <c r="I18" s="89" t="s">
        <v>898</v>
      </c>
      <c r="J18" s="89" t="s">
        <v>897</v>
      </c>
      <c r="K18" s="89" t="s">
        <v>892</v>
      </c>
      <c r="L18" s="89" t="s">
        <v>896</v>
      </c>
      <c r="M18" s="89" t="s">
        <v>895</v>
      </c>
      <c r="N18" s="89" t="s">
        <v>894</v>
      </c>
      <c r="O18" s="89" t="s">
        <v>893</v>
      </c>
      <c r="P18" s="89" t="s">
        <v>892</v>
      </c>
    </row>
    <row r="19" spans="1:16" x14ac:dyDescent="0.25">
      <c r="A19" s="89" t="s">
        <v>357</v>
      </c>
      <c r="B19" s="89" t="s">
        <v>886</v>
      </c>
      <c r="C19" s="89" t="s">
        <v>891</v>
      </c>
      <c r="D19" s="89" t="s">
        <v>604</v>
      </c>
      <c r="E19" s="89" t="s">
        <v>883</v>
      </c>
      <c r="F19" s="89" t="s">
        <v>883</v>
      </c>
      <c r="G19" s="89" t="s">
        <v>890</v>
      </c>
      <c r="H19" s="89" t="s">
        <v>889</v>
      </c>
      <c r="I19" s="89" t="s">
        <v>888</v>
      </c>
      <c r="J19" s="89" t="s">
        <v>887</v>
      </c>
      <c r="K19" s="89" t="s">
        <v>883</v>
      </c>
      <c r="L19" s="89" t="s">
        <v>886</v>
      </c>
      <c r="M19" s="89" t="s">
        <v>885</v>
      </c>
      <c r="N19" s="89" t="s">
        <v>449</v>
      </c>
      <c r="O19" s="89" t="s">
        <v>884</v>
      </c>
      <c r="P19" s="89" t="s">
        <v>883</v>
      </c>
    </row>
    <row r="20" spans="1:16" x14ac:dyDescent="0.25">
      <c r="A20" s="89" t="s">
        <v>353</v>
      </c>
      <c r="B20" s="89" t="s">
        <v>878</v>
      </c>
      <c r="C20" s="89" t="s">
        <v>882</v>
      </c>
      <c r="D20" s="89" t="s">
        <v>467</v>
      </c>
      <c r="E20" s="89" t="s">
        <v>865</v>
      </c>
      <c r="F20" s="89" t="s">
        <v>865</v>
      </c>
      <c r="G20" s="89" t="s">
        <v>881</v>
      </c>
      <c r="H20" s="89" t="s">
        <v>880</v>
      </c>
      <c r="I20" s="89" t="s">
        <v>708</v>
      </c>
      <c r="J20" s="89" t="s">
        <v>879</v>
      </c>
      <c r="K20" s="89" t="s">
        <v>865</v>
      </c>
      <c r="L20" s="89" t="s">
        <v>878</v>
      </c>
      <c r="M20" s="89" t="s">
        <v>877</v>
      </c>
      <c r="N20" s="89" t="s">
        <v>876</v>
      </c>
      <c r="O20" s="89" t="s">
        <v>875</v>
      </c>
      <c r="P20" s="89" t="s">
        <v>865</v>
      </c>
    </row>
    <row r="21" spans="1:16" x14ac:dyDescent="0.25">
      <c r="A21" s="89" t="s">
        <v>351</v>
      </c>
      <c r="B21" s="89" t="s">
        <v>871</v>
      </c>
      <c r="C21" s="89" t="s">
        <v>677</v>
      </c>
      <c r="D21" s="89" t="s">
        <v>874</v>
      </c>
      <c r="E21" s="89" t="s">
        <v>868</v>
      </c>
      <c r="F21" s="89" t="s">
        <v>868</v>
      </c>
      <c r="G21" s="89" t="s">
        <v>803</v>
      </c>
      <c r="H21" s="89" t="s">
        <v>873</v>
      </c>
      <c r="I21" s="89" t="s">
        <v>872</v>
      </c>
      <c r="J21" s="89" t="s">
        <v>693</v>
      </c>
      <c r="K21" s="89" t="s">
        <v>868</v>
      </c>
      <c r="L21" s="89" t="s">
        <v>871</v>
      </c>
      <c r="M21" s="89" t="s">
        <v>870</v>
      </c>
      <c r="N21" s="89" t="s">
        <v>869</v>
      </c>
      <c r="O21" s="89" t="s">
        <v>712</v>
      </c>
      <c r="P21" s="89" t="s">
        <v>868</v>
      </c>
    </row>
    <row r="22" spans="1:16" x14ac:dyDescent="0.25">
      <c r="A22" s="89" t="s">
        <v>348</v>
      </c>
      <c r="B22" s="89" t="s">
        <v>652</v>
      </c>
      <c r="C22" s="89" t="s">
        <v>867</v>
      </c>
      <c r="D22" s="89" t="s">
        <v>654</v>
      </c>
      <c r="E22" s="89" t="s">
        <v>668</v>
      </c>
      <c r="F22" s="89" t="s">
        <v>668</v>
      </c>
      <c r="G22" s="89" t="s">
        <v>866</v>
      </c>
      <c r="H22" s="89" t="s">
        <v>659</v>
      </c>
      <c r="I22" s="89" t="s">
        <v>865</v>
      </c>
      <c r="J22" s="89" t="s">
        <v>825</v>
      </c>
      <c r="K22" s="89" t="s">
        <v>668</v>
      </c>
      <c r="L22" s="89" t="s">
        <v>652</v>
      </c>
      <c r="M22" s="89" t="s">
        <v>864</v>
      </c>
      <c r="N22" s="89" t="s">
        <v>863</v>
      </c>
      <c r="O22" s="89" t="s">
        <v>862</v>
      </c>
      <c r="P22" s="89" t="s">
        <v>668</v>
      </c>
    </row>
    <row r="23" spans="1:16" x14ac:dyDescent="0.25">
      <c r="A23" s="89" t="s">
        <v>345</v>
      </c>
      <c r="B23" s="89" t="s">
        <v>856</v>
      </c>
      <c r="C23" s="89" t="s">
        <v>861</v>
      </c>
      <c r="D23" s="89" t="s">
        <v>860</v>
      </c>
      <c r="E23" s="89" t="s">
        <v>439</v>
      </c>
      <c r="F23" s="89" t="s">
        <v>439</v>
      </c>
      <c r="G23" s="89" t="s">
        <v>859</v>
      </c>
      <c r="H23" s="89" t="s">
        <v>453</v>
      </c>
      <c r="I23" s="89" t="s">
        <v>858</v>
      </c>
      <c r="J23" s="89" t="s">
        <v>857</v>
      </c>
      <c r="K23" s="89" t="s">
        <v>439</v>
      </c>
      <c r="L23" s="89" t="s">
        <v>856</v>
      </c>
      <c r="M23" s="89" t="s">
        <v>855</v>
      </c>
      <c r="N23" s="89" t="s">
        <v>854</v>
      </c>
      <c r="O23" s="89" t="s">
        <v>853</v>
      </c>
      <c r="P23" s="89" t="s">
        <v>439</v>
      </c>
    </row>
    <row r="24" spans="1:16" x14ac:dyDescent="0.25">
      <c r="A24" s="89" t="s">
        <v>342</v>
      </c>
      <c r="B24" s="89" t="s">
        <v>847</v>
      </c>
      <c r="C24" s="89" t="s">
        <v>852</v>
      </c>
      <c r="D24" s="89" t="s">
        <v>851</v>
      </c>
      <c r="E24" s="89" t="s">
        <v>844</v>
      </c>
      <c r="F24" s="89" t="s">
        <v>844</v>
      </c>
      <c r="G24" s="89" t="s">
        <v>850</v>
      </c>
      <c r="H24" s="89" t="s">
        <v>849</v>
      </c>
      <c r="I24" s="89" t="s">
        <v>422</v>
      </c>
      <c r="J24" s="89" t="s">
        <v>848</v>
      </c>
      <c r="K24" s="89" t="s">
        <v>844</v>
      </c>
      <c r="L24" s="89" t="s">
        <v>847</v>
      </c>
      <c r="M24" s="89" t="s">
        <v>846</v>
      </c>
      <c r="N24" s="89" t="s">
        <v>750</v>
      </c>
      <c r="O24" s="89" t="s">
        <v>845</v>
      </c>
      <c r="P24" s="89" t="s">
        <v>844</v>
      </c>
    </row>
    <row r="25" spans="1:16" x14ac:dyDescent="0.25">
      <c r="A25" s="89" t="s">
        <v>339</v>
      </c>
      <c r="B25" s="89" t="s">
        <v>837</v>
      </c>
      <c r="C25" s="89" t="s">
        <v>843</v>
      </c>
      <c r="D25" s="89" t="s">
        <v>842</v>
      </c>
      <c r="E25" s="89" t="s">
        <v>834</v>
      </c>
      <c r="F25" s="89" t="s">
        <v>834</v>
      </c>
      <c r="G25" s="89" t="s">
        <v>841</v>
      </c>
      <c r="H25" s="89" t="s">
        <v>840</v>
      </c>
      <c r="I25" s="89" t="s">
        <v>839</v>
      </c>
      <c r="J25" s="89" t="s">
        <v>838</v>
      </c>
      <c r="K25" s="89" t="s">
        <v>834</v>
      </c>
      <c r="L25" s="89" t="s">
        <v>837</v>
      </c>
      <c r="M25" s="89" t="s">
        <v>836</v>
      </c>
      <c r="N25" s="89" t="s">
        <v>835</v>
      </c>
      <c r="O25" s="89" t="s">
        <v>616</v>
      </c>
      <c r="P25" s="89" t="s">
        <v>834</v>
      </c>
    </row>
    <row r="26" spans="1:16" x14ac:dyDescent="0.25">
      <c r="A26" s="89" t="s">
        <v>336</v>
      </c>
      <c r="B26" s="89" t="s">
        <v>828</v>
      </c>
      <c r="C26" s="89" t="s">
        <v>833</v>
      </c>
      <c r="D26" s="89" t="s">
        <v>832</v>
      </c>
      <c r="E26" s="89" t="s">
        <v>824</v>
      </c>
      <c r="F26" s="89" t="s">
        <v>824</v>
      </c>
      <c r="G26" s="89" t="s">
        <v>831</v>
      </c>
      <c r="H26" s="89" t="s">
        <v>830</v>
      </c>
      <c r="I26" s="89" t="s">
        <v>829</v>
      </c>
      <c r="J26" s="89" t="s">
        <v>743</v>
      </c>
      <c r="K26" s="89" t="s">
        <v>824</v>
      </c>
      <c r="L26" s="89" t="s">
        <v>828</v>
      </c>
      <c r="M26" s="89" t="s">
        <v>827</v>
      </c>
      <c r="N26" s="89" t="s">
        <v>826</v>
      </c>
      <c r="O26" s="89" t="s">
        <v>825</v>
      </c>
      <c r="P26" s="89" t="s">
        <v>824</v>
      </c>
    </row>
    <row r="27" spans="1:16" x14ac:dyDescent="0.25">
      <c r="A27" s="89" t="s">
        <v>333</v>
      </c>
      <c r="B27" s="89" t="s">
        <v>819</v>
      </c>
      <c r="C27" s="89" t="s">
        <v>823</v>
      </c>
      <c r="D27" s="89" t="s">
        <v>822</v>
      </c>
      <c r="E27" s="89" t="s">
        <v>816</v>
      </c>
      <c r="F27" s="89" t="s">
        <v>816</v>
      </c>
      <c r="G27" s="89" t="s">
        <v>821</v>
      </c>
      <c r="H27" s="89" t="s">
        <v>593</v>
      </c>
      <c r="I27" s="89" t="s">
        <v>717</v>
      </c>
      <c r="J27" s="89" t="s">
        <v>820</v>
      </c>
      <c r="K27" s="89" t="s">
        <v>816</v>
      </c>
      <c r="L27" s="89" t="s">
        <v>819</v>
      </c>
      <c r="M27" s="89" t="s">
        <v>818</v>
      </c>
      <c r="N27" s="89" t="s">
        <v>761</v>
      </c>
      <c r="O27" s="89" t="s">
        <v>817</v>
      </c>
      <c r="P27" s="89" t="s">
        <v>816</v>
      </c>
    </row>
    <row r="28" spans="1:16" x14ac:dyDescent="0.25">
      <c r="A28" s="89" t="s">
        <v>330</v>
      </c>
      <c r="B28" s="89" t="s">
        <v>810</v>
      </c>
      <c r="C28" s="89" t="s">
        <v>815</v>
      </c>
      <c r="D28" s="89" t="s">
        <v>814</v>
      </c>
      <c r="E28" s="89" t="s">
        <v>463</v>
      </c>
      <c r="F28" s="89" t="s">
        <v>463</v>
      </c>
      <c r="G28" s="89" t="s">
        <v>813</v>
      </c>
      <c r="H28" s="89" t="s">
        <v>672</v>
      </c>
      <c r="I28" s="89" t="s">
        <v>812</v>
      </c>
      <c r="J28" s="89" t="s">
        <v>811</v>
      </c>
      <c r="K28" s="89" t="s">
        <v>463</v>
      </c>
      <c r="L28" s="89" t="s">
        <v>810</v>
      </c>
      <c r="M28" s="89" t="s">
        <v>809</v>
      </c>
      <c r="N28" s="89" t="s">
        <v>808</v>
      </c>
      <c r="O28" s="89" t="s">
        <v>807</v>
      </c>
      <c r="P28" s="89" t="s">
        <v>463</v>
      </c>
    </row>
    <row r="29" spans="1:16" x14ac:dyDescent="0.25">
      <c r="A29" s="89" t="s">
        <v>327</v>
      </c>
      <c r="B29" s="89" t="s">
        <v>801</v>
      </c>
      <c r="C29" s="89" t="s">
        <v>806</v>
      </c>
      <c r="D29" s="89" t="s">
        <v>805</v>
      </c>
      <c r="E29" s="89" t="s">
        <v>799</v>
      </c>
      <c r="F29" s="89" t="s">
        <v>799</v>
      </c>
      <c r="G29" s="89" t="s">
        <v>804</v>
      </c>
      <c r="H29" s="89" t="s">
        <v>521</v>
      </c>
      <c r="I29" s="89" t="s">
        <v>803</v>
      </c>
      <c r="J29" s="89" t="s">
        <v>802</v>
      </c>
      <c r="K29" s="89" t="s">
        <v>799</v>
      </c>
      <c r="L29" s="89" t="s">
        <v>801</v>
      </c>
      <c r="M29" s="89" t="s">
        <v>408</v>
      </c>
      <c r="N29" s="89" t="s">
        <v>600</v>
      </c>
      <c r="O29" s="89" t="s">
        <v>800</v>
      </c>
      <c r="P29" s="89" t="s">
        <v>799</v>
      </c>
    </row>
    <row r="30" spans="1:16" x14ac:dyDescent="0.25">
      <c r="A30" s="89" t="s">
        <v>324</v>
      </c>
      <c r="B30" s="89" t="s">
        <v>638</v>
      </c>
      <c r="C30" s="89" t="s">
        <v>798</v>
      </c>
      <c r="D30" s="89" t="s">
        <v>797</v>
      </c>
      <c r="E30" s="89" t="s">
        <v>789</v>
      </c>
      <c r="F30" s="89" t="s">
        <v>789</v>
      </c>
      <c r="G30" s="89" t="s">
        <v>796</v>
      </c>
      <c r="H30" s="89" t="s">
        <v>795</v>
      </c>
      <c r="I30" s="89" t="s">
        <v>794</v>
      </c>
      <c r="J30" s="89" t="s">
        <v>793</v>
      </c>
      <c r="K30" s="89" t="s">
        <v>789</v>
      </c>
      <c r="L30" s="89" t="s">
        <v>638</v>
      </c>
      <c r="M30" s="89" t="s">
        <v>792</v>
      </c>
      <c r="N30" s="89" t="s">
        <v>791</v>
      </c>
      <c r="O30" s="89" t="s">
        <v>790</v>
      </c>
      <c r="P30" s="89" t="s">
        <v>789</v>
      </c>
    </row>
    <row r="31" spans="1:16" x14ac:dyDescent="0.25">
      <c r="A31" s="89" t="s">
        <v>321</v>
      </c>
      <c r="B31" s="89" t="s">
        <v>783</v>
      </c>
      <c r="C31" s="89" t="s">
        <v>788</v>
      </c>
      <c r="D31" s="89" t="s">
        <v>787</v>
      </c>
      <c r="E31" s="89" t="s">
        <v>780</v>
      </c>
      <c r="F31" s="89" t="s">
        <v>780</v>
      </c>
      <c r="G31" s="89" t="s">
        <v>786</v>
      </c>
      <c r="H31" s="89" t="s">
        <v>785</v>
      </c>
      <c r="I31" s="89" t="s">
        <v>784</v>
      </c>
      <c r="J31" s="89" t="s">
        <v>756</v>
      </c>
      <c r="K31" s="89" t="s">
        <v>780</v>
      </c>
      <c r="L31" s="89" t="s">
        <v>783</v>
      </c>
      <c r="M31" s="89" t="s">
        <v>782</v>
      </c>
      <c r="N31" s="89" t="s">
        <v>781</v>
      </c>
      <c r="O31" s="89" t="s">
        <v>720</v>
      </c>
      <c r="P31" s="89" t="s">
        <v>780</v>
      </c>
    </row>
    <row r="32" spans="1:16" x14ac:dyDescent="0.25">
      <c r="A32" s="89" t="s">
        <v>318</v>
      </c>
      <c r="B32" s="89" t="s">
        <v>774</v>
      </c>
      <c r="C32" s="89" t="s">
        <v>779</v>
      </c>
      <c r="D32" s="89" t="s">
        <v>580</v>
      </c>
      <c r="E32" s="89" t="s">
        <v>678</v>
      </c>
      <c r="F32" s="89" t="s">
        <v>678</v>
      </c>
      <c r="G32" s="89" t="s">
        <v>778</v>
      </c>
      <c r="H32" s="89" t="s">
        <v>777</v>
      </c>
      <c r="I32" s="89" t="s">
        <v>776</v>
      </c>
      <c r="J32" s="89" t="s">
        <v>775</v>
      </c>
      <c r="K32" s="89" t="s">
        <v>678</v>
      </c>
      <c r="L32" s="89" t="s">
        <v>774</v>
      </c>
      <c r="M32" s="89" t="s">
        <v>773</v>
      </c>
      <c r="N32" s="89" t="s">
        <v>675</v>
      </c>
      <c r="O32" s="89" t="s">
        <v>772</v>
      </c>
      <c r="P32" s="89" t="s">
        <v>678</v>
      </c>
    </row>
    <row r="33" spans="1:16" x14ac:dyDescent="0.25">
      <c r="A33" s="89" t="s">
        <v>315</v>
      </c>
      <c r="B33" s="89" t="s">
        <v>766</v>
      </c>
      <c r="C33" s="89" t="s">
        <v>573</v>
      </c>
      <c r="D33" s="89" t="s">
        <v>771</v>
      </c>
      <c r="E33" s="89" t="s">
        <v>762</v>
      </c>
      <c r="F33" s="89" t="s">
        <v>762</v>
      </c>
      <c r="G33" s="89" t="s">
        <v>770</v>
      </c>
      <c r="H33" s="89" t="s">
        <v>769</v>
      </c>
      <c r="I33" s="89" t="s">
        <v>768</v>
      </c>
      <c r="J33" s="89" t="s">
        <v>767</v>
      </c>
      <c r="K33" s="89" t="s">
        <v>762</v>
      </c>
      <c r="L33" s="89" t="s">
        <v>766</v>
      </c>
      <c r="M33" s="89" t="s">
        <v>765</v>
      </c>
      <c r="N33" s="89" t="s">
        <v>764</v>
      </c>
      <c r="O33" s="89" t="s">
        <v>763</v>
      </c>
      <c r="P33" s="89" t="s">
        <v>762</v>
      </c>
    </row>
    <row r="34" spans="1:16" x14ac:dyDescent="0.25">
      <c r="A34" s="89" t="s">
        <v>312</v>
      </c>
      <c r="B34" s="89" t="s">
        <v>488</v>
      </c>
      <c r="C34" s="89" t="s">
        <v>761</v>
      </c>
      <c r="D34" s="89" t="s">
        <v>760</v>
      </c>
      <c r="E34" s="89" t="s">
        <v>752</v>
      </c>
      <c r="F34" s="89" t="s">
        <v>752</v>
      </c>
      <c r="G34" s="89" t="s">
        <v>759</v>
      </c>
      <c r="H34" s="89" t="s">
        <v>758</v>
      </c>
      <c r="I34" s="89" t="s">
        <v>757</v>
      </c>
      <c r="J34" s="89" t="s">
        <v>756</v>
      </c>
      <c r="K34" s="89" t="s">
        <v>752</v>
      </c>
      <c r="L34" s="89" t="s">
        <v>488</v>
      </c>
      <c r="M34" s="89" t="s">
        <v>755</v>
      </c>
      <c r="N34" s="89" t="s">
        <v>754</v>
      </c>
      <c r="O34" s="89" t="s">
        <v>753</v>
      </c>
      <c r="P34" s="89" t="s">
        <v>752</v>
      </c>
    </row>
    <row r="35" spans="1:16" x14ac:dyDescent="0.25">
      <c r="A35" s="89" t="s">
        <v>309</v>
      </c>
      <c r="B35" s="89" t="s">
        <v>746</v>
      </c>
      <c r="C35" s="89" t="s">
        <v>751</v>
      </c>
      <c r="D35" s="89" t="s">
        <v>750</v>
      </c>
      <c r="E35" s="89" t="s">
        <v>742</v>
      </c>
      <c r="F35" s="89" t="s">
        <v>742</v>
      </c>
      <c r="G35" s="89" t="s">
        <v>749</v>
      </c>
      <c r="H35" s="89" t="s">
        <v>748</v>
      </c>
      <c r="I35" s="89" t="s">
        <v>471</v>
      </c>
      <c r="J35" s="89" t="s">
        <v>747</v>
      </c>
      <c r="K35" s="89" t="s">
        <v>742</v>
      </c>
      <c r="L35" s="89" t="s">
        <v>746</v>
      </c>
      <c r="M35" s="89" t="s">
        <v>745</v>
      </c>
      <c r="N35" s="89" t="s">
        <v>744</v>
      </c>
      <c r="O35" s="89" t="s">
        <v>743</v>
      </c>
      <c r="P35" s="89" t="s">
        <v>742</v>
      </c>
    </row>
    <row r="36" spans="1:16" x14ac:dyDescent="0.25">
      <c r="A36" s="89" t="s">
        <v>306</v>
      </c>
      <c r="B36" s="89" t="s">
        <v>735</v>
      </c>
      <c r="C36" s="89" t="s">
        <v>741</v>
      </c>
      <c r="D36" s="89" t="s">
        <v>740</v>
      </c>
      <c r="E36" s="89" t="s">
        <v>732</v>
      </c>
      <c r="F36" s="89" t="s">
        <v>732</v>
      </c>
      <c r="G36" s="89" t="s">
        <v>739</v>
      </c>
      <c r="H36" s="89" t="s">
        <v>738</v>
      </c>
      <c r="I36" s="89" t="s">
        <v>737</v>
      </c>
      <c r="J36" s="89" t="s">
        <v>736</v>
      </c>
      <c r="K36" s="89" t="s">
        <v>732</v>
      </c>
      <c r="L36" s="89" t="s">
        <v>735</v>
      </c>
      <c r="M36" s="89" t="s">
        <v>734</v>
      </c>
      <c r="N36" s="89" t="s">
        <v>733</v>
      </c>
      <c r="O36" s="89" t="s">
        <v>525</v>
      </c>
      <c r="P36" s="89" t="s">
        <v>732</v>
      </c>
    </row>
    <row r="37" spans="1:16" x14ac:dyDescent="0.25">
      <c r="A37" s="89" t="s">
        <v>303</v>
      </c>
      <c r="B37" s="89" t="s">
        <v>727</v>
      </c>
      <c r="C37" s="89" t="s">
        <v>731</v>
      </c>
      <c r="D37" s="89" t="s">
        <v>730</v>
      </c>
      <c r="E37" s="89" t="s">
        <v>523</v>
      </c>
      <c r="F37" s="89" t="s">
        <v>523</v>
      </c>
      <c r="G37" s="89" t="s">
        <v>729</v>
      </c>
      <c r="H37" s="89" t="s">
        <v>520</v>
      </c>
      <c r="I37" s="89" t="s">
        <v>461</v>
      </c>
      <c r="J37" s="89" t="s">
        <v>728</v>
      </c>
      <c r="K37" s="89" t="s">
        <v>523</v>
      </c>
      <c r="L37" s="89" t="s">
        <v>727</v>
      </c>
      <c r="M37" s="89" t="s">
        <v>726</v>
      </c>
      <c r="N37" s="89" t="s">
        <v>725</v>
      </c>
      <c r="O37" s="89" t="s">
        <v>656</v>
      </c>
      <c r="P37" s="89" t="s">
        <v>523</v>
      </c>
    </row>
    <row r="38" spans="1:16" x14ac:dyDescent="0.25">
      <c r="A38" s="89" t="s">
        <v>299</v>
      </c>
      <c r="B38" s="89" t="s">
        <v>719</v>
      </c>
      <c r="C38" s="89" t="s">
        <v>724</v>
      </c>
      <c r="D38" s="89" t="s">
        <v>723</v>
      </c>
      <c r="E38" s="89" t="s">
        <v>716</v>
      </c>
      <c r="F38" s="89" t="s">
        <v>716</v>
      </c>
      <c r="G38" s="89" t="s">
        <v>722</v>
      </c>
      <c r="H38" s="89" t="s">
        <v>680</v>
      </c>
      <c r="I38" s="89" t="s">
        <v>721</v>
      </c>
      <c r="J38" s="89" t="s">
        <v>720</v>
      </c>
      <c r="K38" s="89" t="s">
        <v>716</v>
      </c>
      <c r="L38" s="89" t="s">
        <v>719</v>
      </c>
      <c r="M38" s="89" t="s">
        <v>563</v>
      </c>
      <c r="N38" s="89" t="s">
        <v>718</v>
      </c>
      <c r="O38" s="89" t="s">
        <v>717</v>
      </c>
      <c r="P38" s="89" t="s">
        <v>716</v>
      </c>
    </row>
    <row r="39" spans="1:16" x14ac:dyDescent="0.25">
      <c r="A39" s="89" t="s">
        <v>297</v>
      </c>
      <c r="B39" s="89" t="s">
        <v>709</v>
      </c>
      <c r="C39" s="89" t="s">
        <v>715</v>
      </c>
      <c r="D39" s="89" t="s">
        <v>714</v>
      </c>
      <c r="E39" s="89" t="s">
        <v>706</v>
      </c>
      <c r="F39" s="89" t="s">
        <v>706</v>
      </c>
      <c r="G39" s="89" t="s">
        <v>713</v>
      </c>
      <c r="H39" s="89" t="s">
        <v>712</v>
      </c>
      <c r="I39" s="89" t="s">
        <v>711</v>
      </c>
      <c r="J39" s="89" t="s">
        <v>710</v>
      </c>
      <c r="K39" s="89" t="s">
        <v>706</v>
      </c>
      <c r="L39" s="89" t="s">
        <v>709</v>
      </c>
      <c r="M39" s="89" t="s">
        <v>708</v>
      </c>
      <c r="N39" s="89" t="s">
        <v>707</v>
      </c>
      <c r="O39" s="89" t="s">
        <v>639</v>
      </c>
      <c r="P39" s="89" t="s">
        <v>706</v>
      </c>
    </row>
    <row r="40" spans="1:16" x14ac:dyDescent="0.25">
      <c r="A40" s="89" t="s">
        <v>294</v>
      </c>
      <c r="B40" s="89" t="s">
        <v>699</v>
      </c>
      <c r="C40" s="89" t="s">
        <v>705</v>
      </c>
      <c r="D40" s="89" t="s">
        <v>704</v>
      </c>
      <c r="E40" s="89" t="s">
        <v>696</v>
      </c>
      <c r="F40" s="89" t="s">
        <v>696</v>
      </c>
      <c r="G40" s="89" t="s">
        <v>703</v>
      </c>
      <c r="H40" s="89" t="s">
        <v>702</v>
      </c>
      <c r="I40" s="89" t="s">
        <v>701</v>
      </c>
      <c r="J40" s="89" t="s">
        <v>700</v>
      </c>
      <c r="K40" s="89" t="s">
        <v>696</v>
      </c>
      <c r="L40" s="89" t="s">
        <v>699</v>
      </c>
      <c r="M40" s="89" t="s">
        <v>698</v>
      </c>
      <c r="N40" s="89" t="s">
        <v>697</v>
      </c>
      <c r="O40" s="89" t="s">
        <v>447</v>
      </c>
      <c r="P40" s="89" t="s">
        <v>696</v>
      </c>
    </row>
    <row r="41" spans="1:16" x14ac:dyDescent="0.25">
      <c r="A41" s="89" t="s">
        <v>290</v>
      </c>
      <c r="B41" s="89" t="s">
        <v>626</v>
      </c>
      <c r="C41" s="89" t="s">
        <v>695</v>
      </c>
      <c r="D41" s="89" t="s">
        <v>694</v>
      </c>
      <c r="E41" s="89" t="s">
        <v>687</v>
      </c>
      <c r="F41" s="89" t="s">
        <v>687</v>
      </c>
      <c r="G41" s="89" t="s">
        <v>693</v>
      </c>
      <c r="H41" s="89" t="s">
        <v>692</v>
      </c>
      <c r="I41" s="89" t="s">
        <v>691</v>
      </c>
      <c r="J41" s="89" t="s">
        <v>664</v>
      </c>
      <c r="K41" s="89" t="s">
        <v>687</v>
      </c>
      <c r="L41" s="89" t="s">
        <v>626</v>
      </c>
      <c r="M41" s="89" t="s">
        <v>690</v>
      </c>
      <c r="N41" s="89" t="s">
        <v>689</v>
      </c>
      <c r="O41" s="89" t="s">
        <v>688</v>
      </c>
      <c r="P41" s="89" t="s">
        <v>687</v>
      </c>
    </row>
    <row r="42" spans="1:16" x14ac:dyDescent="0.25">
      <c r="A42" s="89" t="s">
        <v>288</v>
      </c>
      <c r="B42" s="89" t="s">
        <v>682</v>
      </c>
      <c r="C42" s="89" t="s">
        <v>686</v>
      </c>
      <c r="D42" s="89" t="s">
        <v>685</v>
      </c>
      <c r="E42" s="89" t="s">
        <v>482</v>
      </c>
      <c r="F42" s="89" t="s">
        <v>482</v>
      </c>
      <c r="G42" s="89" t="s">
        <v>684</v>
      </c>
      <c r="H42" s="89" t="s">
        <v>569</v>
      </c>
      <c r="I42" s="89" t="s">
        <v>600</v>
      </c>
      <c r="J42" s="89" t="s">
        <v>683</v>
      </c>
      <c r="K42" s="89" t="s">
        <v>482</v>
      </c>
      <c r="L42" s="89" t="s">
        <v>682</v>
      </c>
      <c r="M42" s="89" t="s">
        <v>584</v>
      </c>
      <c r="N42" s="89" t="s">
        <v>453</v>
      </c>
      <c r="O42" s="89" t="s">
        <v>577</v>
      </c>
      <c r="P42" s="89" t="s">
        <v>482</v>
      </c>
    </row>
    <row r="43" spans="1:16" x14ac:dyDescent="0.25">
      <c r="A43" s="89" t="s">
        <v>286</v>
      </c>
      <c r="B43" s="89" t="s">
        <v>676</v>
      </c>
      <c r="C43" s="89" t="s">
        <v>655</v>
      </c>
      <c r="D43" s="89" t="s">
        <v>681</v>
      </c>
      <c r="E43" s="89" t="s">
        <v>672</v>
      </c>
      <c r="F43" s="89" t="s">
        <v>672</v>
      </c>
      <c r="G43" s="89" t="s">
        <v>680</v>
      </c>
      <c r="H43" s="89" t="s">
        <v>679</v>
      </c>
      <c r="I43" s="89" t="s">
        <v>678</v>
      </c>
      <c r="J43" s="89" t="s">
        <v>677</v>
      </c>
      <c r="K43" s="89" t="s">
        <v>672</v>
      </c>
      <c r="L43" s="89" t="s">
        <v>676</v>
      </c>
      <c r="M43" s="89" t="s">
        <v>675</v>
      </c>
      <c r="N43" s="89" t="s">
        <v>674</v>
      </c>
      <c r="O43" s="89" t="s">
        <v>673</v>
      </c>
      <c r="P43" s="89" t="s">
        <v>672</v>
      </c>
    </row>
    <row r="44" spans="1:16" x14ac:dyDescent="0.25">
      <c r="A44" s="89" t="s">
        <v>284</v>
      </c>
      <c r="B44" s="89" t="s">
        <v>666</v>
      </c>
      <c r="C44" s="89" t="s">
        <v>671</v>
      </c>
      <c r="D44" s="89" t="s">
        <v>670</v>
      </c>
      <c r="E44" s="89" t="s">
        <v>662</v>
      </c>
      <c r="F44" s="89" t="s">
        <v>662</v>
      </c>
      <c r="G44" s="89" t="s">
        <v>669</v>
      </c>
      <c r="H44" s="89" t="s">
        <v>498</v>
      </c>
      <c r="I44" s="89" t="s">
        <v>668</v>
      </c>
      <c r="J44" s="89" t="s">
        <v>667</v>
      </c>
      <c r="K44" s="89" t="s">
        <v>662</v>
      </c>
      <c r="L44" s="89" t="s">
        <v>666</v>
      </c>
      <c r="M44" s="89" t="s">
        <v>665</v>
      </c>
      <c r="N44" s="89" t="s">
        <v>664</v>
      </c>
      <c r="O44" s="89" t="s">
        <v>663</v>
      </c>
      <c r="P44" s="89" t="s">
        <v>662</v>
      </c>
    </row>
    <row r="45" spans="1:16" x14ac:dyDescent="0.25">
      <c r="A45" s="89" t="s">
        <v>281</v>
      </c>
      <c r="B45" s="89" t="s">
        <v>453</v>
      </c>
      <c r="C45" s="89" t="s">
        <v>661</v>
      </c>
      <c r="D45" s="89" t="s">
        <v>660</v>
      </c>
      <c r="E45" s="89" t="s">
        <v>652</v>
      </c>
      <c r="F45" s="89" t="s">
        <v>652</v>
      </c>
      <c r="G45" s="89" t="s">
        <v>659</v>
      </c>
      <c r="H45" s="89" t="s">
        <v>658</v>
      </c>
      <c r="I45" s="89" t="s">
        <v>657</v>
      </c>
      <c r="J45" s="89" t="s">
        <v>656</v>
      </c>
      <c r="K45" s="89" t="s">
        <v>652</v>
      </c>
      <c r="L45" s="89" t="s">
        <v>453</v>
      </c>
      <c r="M45" s="89" t="s">
        <v>655</v>
      </c>
      <c r="N45" s="89" t="s">
        <v>654</v>
      </c>
      <c r="O45" s="89" t="s">
        <v>653</v>
      </c>
      <c r="P45" s="89" t="s">
        <v>652</v>
      </c>
    </row>
    <row r="46" spans="1:16" x14ac:dyDescent="0.25">
      <c r="A46" s="89" t="s">
        <v>277</v>
      </c>
      <c r="B46" s="89" t="s">
        <v>645</v>
      </c>
      <c r="C46" s="89" t="s">
        <v>651</v>
      </c>
      <c r="D46" s="89" t="s">
        <v>650</v>
      </c>
      <c r="E46" s="89" t="s">
        <v>641</v>
      </c>
      <c r="F46" s="89" t="s">
        <v>641</v>
      </c>
      <c r="G46" s="89" t="s">
        <v>649</v>
      </c>
      <c r="H46" s="89" t="s">
        <v>648</v>
      </c>
      <c r="I46" s="89" t="s">
        <v>647</v>
      </c>
      <c r="J46" s="89" t="s">
        <v>646</v>
      </c>
      <c r="K46" s="89" t="s">
        <v>641</v>
      </c>
      <c r="L46" s="89" t="s">
        <v>645</v>
      </c>
      <c r="M46" s="89" t="s">
        <v>644</v>
      </c>
      <c r="N46" s="89" t="s">
        <v>643</v>
      </c>
      <c r="O46" s="89" t="s">
        <v>642</v>
      </c>
      <c r="P46" s="89" t="s">
        <v>641</v>
      </c>
    </row>
    <row r="47" spans="1:16" x14ac:dyDescent="0.25">
      <c r="A47" s="89" t="s">
        <v>275</v>
      </c>
      <c r="B47" s="89" t="s">
        <v>635</v>
      </c>
      <c r="C47" s="89" t="s">
        <v>640</v>
      </c>
      <c r="D47" s="89" t="s">
        <v>639</v>
      </c>
      <c r="E47" s="89" t="s">
        <v>632</v>
      </c>
      <c r="F47" s="89" t="s">
        <v>632</v>
      </c>
      <c r="G47" s="89" t="s">
        <v>638</v>
      </c>
      <c r="H47" s="89" t="s">
        <v>532</v>
      </c>
      <c r="I47" s="89" t="s">
        <v>637</v>
      </c>
      <c r="J47" s="89" t="s">
        <v>636</v>
      </c>
      <c r="K47" s="89" t="s">
        <v>632</v>
      </c>
      <c r="L47" s="89" t="s">
        <v>635</v>
      </c>
      <c r="M47" s="89" t="s">
        <v>634</v>
      </c>
      <c r="N47" s="89" t="s">
        <v>633</v>
      </c>
      <c r="O47" s="89" t="s">
        <v>496</v>
      </c>
      <c r="P47" s="89" t="s">
        <v>632</v>
      </c>
    </row>
    <row r="48" spans="1:16" x14ac:dyDescent="0.25">
      <c r="A48" s="89" t="s">
        <v>272</v>
      </c>
      <c r="B48" s="89" t="s">
        <v>626</v>
      </c>
      <c r="C48" s="89" t="s">
        <v>631</v>
      </c>
      <c r="D48" s="89" t="s">
        <v>630</v>
      </c>
      <c r="E48" s="89" t="s">
        <v>623</v>
      </c>
      <c r="F48" s="89" t="s">
        <v>623</v>
      </c>
      <c r="G48" s="89" t="s">
        <v>629</v>
      </c>
      <c r="H48" s="89" t="s">
        <v>628</v>
      </c>
      <c r="I48" s="89" t="s">
        <v>432</v>
      </c>
      <c r="J48" s="89" t="s">
        <v>627</v>
      </c>
      <c r="K48" s="89" t="s">
        <v>623</v>
      </c>
      <c r="L48" s="89" t="s">
        <v>626</v>
      </c>
      <c r="M48" s="89" t="s">
        <v>472</v>
      </c>
      <c r="N48" s="89" t="s">
        <v>625</v>
      </c>
      <c r="O48" s="89" t="s">
        <v>624</v>
      </c>
      <c r="P48" s="89" t="s">
        <v>623</v>
      </c>
    </row>
    <row r="49" spans="1:16" x14ac:dyDescent="0.25">
      <c r="A49" s="89" t="s">
        <v>269</v>
      </c>
      <c r="B49" s="89" t="s">
        <v>616</v>
      </c>
      <c r="C49" s="89" t="s">
        <v>622</v>
      </c>
      <c r="D49" s="89" t="s">
        <v>621</v>
      </c>
      <c r="E49" s="89" t="s">
        <v>612</v>
      </c>
      <c r="F49" s="89" t="s">
        <v>612</v>
      </c>
      <c r="G49" s="89" t="s">
        <v>620</v>
      </c>
      <c r="H49" s="89" t="s">
        <v>619</v>
      </c>
      <c r="I49" s="89" t="s">
        <v>618</v>
      </c>
      <c r="J49" s="89" t="s">
        <v>617</v>
      </c>
      <c r="K49" s="89" t="s">
        <v>612</v>
      </c>
      <c r="L49" s="89" t="s">
        <v>616</v>
      </c>
      <c r="M49" s="89" t="s">
        <v>615</v>
      </c>
      <c r="N49" s="89" t="s">
        <v>614</v>
      </c>
      <c r="O49" s="89" t="s">
        <v>613</v>
      </c>
      <c r="P49" s="89" t="s">
        <v>612</v>
      </c>
    </row>
    <row r="50" spans="1:16" x14ac:dyDescent="0.25">
      <c r="A50" s="89" t="s">
        <v>266</v>
      </c>
      <c r="B50" s="89" t="s">
        <v>606</v>
      </c>
      <c r="C50" s="89" t="s">
        <v>450</v>
      </c>
      <c r="D50" s="89" t="s">
        <v>611</v>
      </c>
      <c r="E50" s="89" t="s">
        <v>604</v>
      </c>
      <c r="F50" s="89" t="s">
        <v>604</v>
      </c>
      <c r="G50" s="89" t="s">
        <v>610</v>
      </c>
      <c r="H50" s="89" t="s">
        <v>609</v>
      </c>
      <c r="I50" s="89" t="s">
        <v>608</v>
      </c>
      <c r="J50" s="89" t="s">
        <v>607</v>
      </c>
      <c r="K50" s="89" t="s">
        <v>604</v>
      </c>
      <c r="L50" s="89" t="s">
        <v>606</v>
      </c>
      <c r="M50" s="89" t="s">
        <v>558</v>
      </c>
      <c r="N50" s="89" t="s">
        <v>605</v>
      </c>
      <c r="O50" s="89" t="s">
        <v>514</v>
      </c>
      <c r="P50" s="89" t="s">
        <v>604</v>
      </c>
    </row>
    <row r="51" spans="1:16" x14ac:dyDescent="0.25">
      <c r="A51" s="89" t="s">
        <v>263</v>
      </c>
      <c r="B51" s="89" t="s">
        <v>599</v>
      </c>
      <c r="C51" s="89" t="s">
        <v>597</v>
      </c>
      <c r="D51" s="89" t="s">
        <v>597</v>
      </c>
      <c r="E51" s="89" t="s">
        <v>595</v>
      </c>
      <c r="F51" s="89" t="s">
        <v>595</v>
      </c>
      <c r="G51" s="89" t="s">
        <v>603</v>
      </c>
      <c r="H51" s="89" t="s">
        <v>602</v>
      </c>
      <c r="I51" s="89" t="s">
        <v>601</v>
      </c>
      <c r="J51" s="89" t="s">
        <v>600</v>
      </c>
      <c r="K51" s="89" t="s">
        <v>595</v>
      </c>
      <c r="L51" s="89" t="s">
        <v>599</v>
      </c>
      <c r="M51" s="89" t="s">
        <v>598</v>
      </c>
      <c r="N51" s="89" t="s">
        <v>597</v>
      </c>
      <c r="O51" s="89" t="s">
        <v>596</v>
      </c>
      <c r="P51" s="89" t="s">
        <v>595</v>
      </c>
    </row>
    <row r="52" spans="1:16" x14ac:dyDescent="0.25">
      <c r="A52" s="89" t="s">
        <v>260</v>
      </c>
      <c r="B52" s="89" t="s">
        <v>589</v>
      </c>
      <c r="C52" s="89" t="s">
        <v>555</v>
      </c>
      <c r="D52" s="89" t="s">
        <v>594</v>
      </c>
      <c r="E52" s="89" t="s">
        <v>585</v>
      </c>
      <c r="F52" s="89" t="s">
        <v>585</v>
      </c>
      <c r="G52" s="89" t="s">
        <v>593</v>
      </c>
      <c r="H52" s="89" t="s">
        <v>592</v>
      </c>
      <c r="I52" s="89" t="s">
        <v>591</v>
      </c>
      <c r="J52" s="89" t="s">
        <v>590</v>
      </c>
      <c r="K52" s="89" t="s">
        <v>585</v>
      </c>
      <c r="L52" s="89" t="s">
        <v>589</v>
      </c>
      <c r="M52" s="89" t="s">
        <v>588</v>
      </c>
      <c r="N52" s="89" t="s">
        <v>587</v>
      </c>
      <c r="O52" s="89" t="s">
        <v>586</v>
      </c>
      <c r="P52" s="89" t="s">
        <v>585</v>
      </c>
    </row>
    <row r="53" spans="1:16" x14ac:dyDescent="0.25">
      <c r="A53" s="89" t="s">
        <v>256</v>
      </c>
      <c r="B53" s="89" t="s">
        <v>545</v>
      </c>
      <c r="C53" s="89" t="s">
        <v>584</v>
      </c>
      <c r="D53" s="89" t="s">
        <v>533</v>
      </c>
      <c r="E53" s="89" t="s">
        <v>577</v>
      </c>
      <c r="F53" s="89" t="s">
        <v>577</v>
      </c>
      <c r="G53" s="89" t="s">
        <v>583</v>
      </c>
      <c r="H53" s="89" t="s">
        <v>582</v>
      </c>
      <c r="I53" s="89" t="s">
        <v>581</v>
      </c>
      <c r="J53" s="89" t="s">
        <v>479</v>
      </c>
      <c r="K53" s="89" t="s">
        <v>577</v>
      </c>
      <c r="L53" s="89" t="s">
        <v>545</v>
      </c>
      <c r="M53" s="89" t="s">
        <v>580</v>
      </c>
      <c r="N53" s="89" t="s">
        <v>579</v>
      </c>
      <c r="O53" s="89" t="s">
        <v>578</v>
      </c>
      <c r="P53" s="89" t="s">
        <v>577</v>
      </c>
    </row>
    <row r="54" spans="1:16" x14ac:dyDescent="0.25">
      <c r="A54" s="89" t="s">
        <v>254</v>
      </c>
      <c r="B54" s="89" t="s">
        <v>571</v>
      </c>
      <c r="C54" s="89" t="s">
        <v>576</v>
      </c>
      <c r="D54" s="89" t="s">
        <v>575</v>
      </c>
      <c r="E54" s="89" t="s">
        <v>567</v>
      </c>
      <c r="F54" s="89" t="s">
        <v>567</v>
      </c>
      <c r="G54" s="89" t="s">
        <v>574</v>
      </c>
      <c r="H54" s="89" t="s">
        <v>573</v>
      </c>
      <c r="I54" s="89" t="s">
        <v>563</v>
      </c>
      <c r="J54" s="89" t="s">
        <v>572</v>
      </c>
      <c r="K54" s="89" t="s">
        <v>567</v>
      </c>
      <c r="L54" s="89" t="s">
        <v>571</v>
      </c>
      <c r="M54" s="89" t="s">
        <v>570</v>
      </c>
      <c r="N54" s="89" t="s">
        <v>569</v>
      </c>
      <c r="O54" s="89" t="s">
        <v>568</v>
      </c>
      <c r="P54" s="89" t="s">
        <v>567</v>
      </c>
    </row>
    <row r="55" spans="1:16" x14ac:dyDescent="0.25">
      <c r="A55" s="89" t="s">
        <v>251</v>
      </c>
      <c r="B55" s="89" t="s">
        <v>560</v>
      </c>
      <c r="C55" s="89" t="s">
        <v>566</v>
      </c>
      <c r="D55" s="89" t="s">
        <v>565</v>
      </c>
      <c r="E55" s="89" t="s">
        <v>411</v>
      </c>
      <c r="F55" s="89" t="s">
        <v>411</v>
      </c>
      <c r="G55" s="89" t="s">
        <v>564</v>
      </c>
      <c r="H55" s="89" t="s">
        <v>563</v>
      </c>
      <c r="I55" s="89" t="s">
        <v>562</v>
      </c>
      <c r="J55" s="89" t="s">
        <v>561</v>
      </c>
      <c r="K55" s="89" t="s">
        <v>411</v>
      </c>
      <c r="L55" s="89" t="s">
        <v>560</v>
      </c>
      <c r="M55" s="89" t="s">
        <v>559</v>
      </c>
      <c r="N55" s="89" t="s">
        <v>558</v>
      </c>
      <c r="O55" s="89" t="s">
        <v>557</v>
      </c>
      <c r="P55" s="89" t="s">
        <v>411</v>
      </c>
    </row>
    <row r="56" spans="1:16" x14ac:dyDescent="0.25">
      <c r="A56" s="89" t="s">
        <v>248</v>
      </c>
      <c r="B56" s="89" t="s">
        <v>550</v>
      </c>
      <c r="C56" s="89" t="s">
        <v>556</v>
      </c>
      <c r="D56" s="89" t="s">
        <v>555</v>
      </c>
      <c r="E56" s="89" t="s">
        <v>546</v>
      </c>
      <c r="F56" s="89" t="s">
        <v>546</v>
      </c>
      <c r="G56" s="89" t="s">
        <v>554</v>
      </c>
      <c r="H56" s="89" t="s">
        <v>553</v>
      </c>
      <c r="I56" s="89" t="s">
        <v>552</v>
      </c>
      <c r="J56" s="89" t="s">
        <v>551</v>
      </c>
      <c r="K56" s="89" t="s">
        <v>546</v>
      </c>
      <c r="L56" s="89" t="s">
        <v>550</v>
      </c>
      <c r="M56" s="89" t="s">
        <v>549</v>
      </c>
      <c r="N56" s="89" t="s">
        <v>548</v>
      </c>
      <c r="O56" s="89" t="s">
        <v>547</v>
      </c>
      <c r="P56" s="89" t="s">
        <v>546</v>
      </c>
    </row>
    <row r="57" spans="1:16" x14ac:dyDescent="0.25">
      <c r="A57" s="89" t="s">
        <v>245</v>
      </c>
      <c r="B57" s="89" t="s">
        <v>539</v>
      </c>
      <c r="C57" s="89" t="s">
        <v>545</v>
      </c>
      <c r="D57" s="89" t="s">
        <v>544</v>
      </c>
      <c r="E57" s="89" t="s">
        <v>535</v>
      </c>
      <c r="F57" s="89" t="s">
        <v>535</v>
      </c>
      <c r="G57" s="89" t="s">
        <v>543</v>
      </c>
      <c r="H57" s="89" t="s">
        <v>542</v>
      </c>
      <c r="I57" s="89" t="s">
        <v>541</v>
      </c>
      <c r="J57" s="89" t="s">
        <v>540</v>
      </c>
      <c r="K57" s="89" t="s">
        <v>535</v>
      </c>
      <c r="L57" s="89" t="s">
        <v>539</v>
      </c>
      <c r="M57" s="89" t="s">
        <v>538</v>
      </c>
      <c r="N57" s="89" t="s">
        <v>537</v>
      </c>
      <c r="O57" s="89" t="s">
        <v>536</v>
      </c>
      <c r="P57" s="89" t="s">
        <v>535</v>
      </c>
    </row>
    <row r="58" spans="1:16" x14ac:dyDescent="0.25">
      <c r="A58" s="89" t="s">
        <v>243</v>
      </c>
      <c r="B58" s="89" t="s">
        <v>528</v>
      </c>
      <c r="C58" s="89" t="s">
        <v>534</v>
      </c>
      <c r="D58" s="89" t="s">
        <v>533</v>
      </c>
      <c r="E58" s="89" t="s">
        <v>524</v>
      </c>
      <c r="F58" s="89" t="s">
        <v>524</v>
      </c>
      <c r="G58" s="89" t="s">
        <v>532</v>
      </c>
      <c r="H58" s="89" t="s">
        <v>531</v>
      </c>
      <c r="I58" s="89" t="s">
        <v>530</v>
      </c>
      <c r="J58" s="89" t="s">
        <v>529</v>
      </c>
      <c r="K58" s="89" t="s">
        <v>524</v>
      </c>
      <c r="L58" s="89" t="s">
        <v>528</v>
      </c>
      <c r="M58" s="89" t="s">
        <v>527</v>
      </c>
      <c r="N58" s="89" t="s">
        <v>526</v>
      </c>
      <c r="O58" s="89" t="s">
        <v>525</v>
      </c>
      <c r="P58" s="89" t="s">
        <v>524</v>
      </c>
    </row>
    <row r="59" spans="1:16" x14ac:dyDescent="0.25">
      <c r="A59" s="89" t="s">
        <v>240</v>
      </c>
      <c r="B59" s="89" t="s">
        <v>518</v>
      </c>
      <c r="C59" s="89" t="s">
        <v>523</v>
      </c>
      <c r="D59" s="89" t="s">
        <v>522</v>
      </c>
      <c r="E59" s="89" t="s">
        <v>514</v>
      </c>
      <c r="F59" s="89" t="s">
        <v>514</v>
      </c>
      <c r="G59" s="89" t="s">
        <v>500</v>
      </c>
      <c r="H59" s="89" t="s">
        <v>521</v>
      </c>
      <c r="I59" s="89" t="s">
        <v>520</v>
      </c>
      <c r="J59" s="89" t="s">
        <v>519</v>
      </c>
      <c r="K59" s="89" t="s">
        <v>514</v>
      </c>
      <c r="L59" s="89" t="s">
        <v>518</v>
      </c>
      <c r="M59" s="89" t="s">
        <v>517</v>
      </c>
      <c r="N59" s="89" t="s">
        <v>516</v>
      </c>
      <c r="O59" s="89" t="s">
        <v>515</v>
      </c>
      <c r="P59" s="89" t="s">
        <v>514</v>
      </c>
    </row>
    <row r="60" spans="1:16" x14ac:dyDescent="0.25">
      <c r="A60" s="89" t="s">
        <v>237</v>
      </c>
      <c r="B60" s="89" t="s">
        <v>508</v>
      </c>
      <c r="C60" s="89" t="s">
        <v>513</v>
      </c>
      <c r="D60" s="89" t="s">
        <v>430</v>
      </c>
      <c r="E60" s="89" t="s">
        <v>504</v>
      </c>
      <c r="F60" s="89" t="s">
        <v>504</v>
      </c>
      <c r="G60" s="89" t="s">
        <v>512</v>
      </c>
      <c r="H60" s="89" t="s">
        <v>511</v>
      </c>
      <c r="I60" s="89" t="s">
        <v>510</v>
      </c>
      <c r="J60" s="89" t="s">
        <v>509</v>
      </c>
      <c r="K60" s="89" t="s">
        <v>504</v>
      </c>
      <c r="L60" s="89" t="s">
        <v>508</v>
      </c>
      <c r="M60" s="89" t="s">
        <v>507</v>
      </c>
      <c r="N60" s="89" t="s">
        <v>506</v>
      </c>
      <c r="O60" s="89" t="s">
        <v>505</v>
      </c>
      <c r="P60" s="89" t="s">
        <v>504</v>
      </c>
    </row>
    <row r="61" spans="1:16" x14ac:dyDescent="0.25">
      <c r="A61" s="89" t="s">
        <v>233</v>
      </c>
      <c r="B61" s="89" t="s">
        <v>497</v>
      </c>
      <c r="C61" s="89" t="s">
        <v>503</v>
      </c>
      <c r="D61" s="89" t="s">
        <v>502</v>
      </c>
      <c r="E61" s="89" t="s">
        <v>493</v>
      </c>
      <c r="F61" s="89" t="s">
        <v>493</v>
      </c>
      <c r="G61" s="89" t="s">
        <v>501</v>
      </c>
      <c r="H61" s="89" t="s">
        <v>500</v>
      </c>
      <c r="I61" s="89" t="s">
        <v>499</v>
      </c>
      <c r="J61" s="89" t="s">
        <v>498</v>
      </c>
      <c r="K61" s="89" t="s">
        <v>493</v>
      </c>
      <c r="L61" s="89" t="s">
        <v>497</v>
      </c>
      <c r="M61" s="89" t="s">
        <v>496</v>
      </c>
      <c r="N61" s="89" t="s">
        <v>495</v>
      </c>
      <c r="O61" s="89" t="s">
        <v>494</v>
      </c>
      <c r="P61" s="89" t="s">
        <v>493</v>
      </c>
    </row>
    <row r="62" spans="1:16" x14ac:dyDescent="0.25">
      <c r="A62" s="89" t="s">
        <v>199</v>
      </c>
      <c r="B62" s="89" t="s">
        <v>486</v>
      </c>
      <c r="C62" s="89" t="s">
        <v>492</v>
      </c>
      <c r="D62" s="89" t="s">
        <v>491</v>
      </c>
      <c r="E62" s="89" t="s">
        <v>482</v>
      </c>
      <c r="F62" s="89" t="s">
        <v>482</v>
      </c>
      <c r="G62" s="89" t="s">
        <v>490</v>
      </c>
      <c r="H62" s="89" t="s">
        <v>489</v>
      </c>
      <c r="I62" s="89" t="s">
        <v>488</v>
      </c>
      <c r="J62" s="89" t="s">
        <v>487</v>
      </c>
      <c r="K62" s="89" t="s">
        <v>482</v>
      </c>
      <c r="L62" s="89" t="s">
        <v>486</v>
      </c>
      <c r="M62" s="89" t="s">
        <v>485</v>
      </c>
      <c r="N62" s="89" t="s">
        <v>484</v>
      </c>
      <c r="O62" s="89" t="s">
        <v>483</v>
      </c>
      <c r="P62" s="89" t="s">
        <v>482</v>
      </c>
    </row>
    <row r="63" spans="1:16" x14ac:dyDescent="0.25">
      <c r="A63" s="89" t="s">
        <v>227</v>
      </c>
      <c r="B63" s="89" t="s">
        <v>475</v>
      </c>
      <c r="C63" s="89" t="s">
        <v>481</v>
      </c>
      <c r="D63" s="89" t="s">
        <v>480</v>
      </c>
      <c r="E63" s="89" t="s">
        <v>471</v>
      </c>
      <c r="F63" s="89" t="s">
        <v>471</v>
      </c>
      <c r="G63" s="89" t="s">
        <v>479</v>
      </c>
      <c r="H63" s="89" t="s">
        <v>478</v>
      </c>
      <c r="I63" s="89" t="s">
        <v>477</v>
      </c>
      <c r="J63" s="89" t="s">
        <v>476</v>
      </c>
      <c r="K63" s="89" t="s">
        <v>471</v>
      </c>
      <c r="L63" s="89" t="s">
        <v>475</v>
      </c>
      <c r="M63" s="89" t="s">
        <v>474</v>
      </c>
      <c r="N63" s="89" t="s">
        <v>473</v>
      </c>
      <c r="O63" s="89" t="s">
        <v>472</v>
      </c>
      <c r="P63" s="89" t="s">
        <v>471</v>
      </c>
    </row>
    <row r="64" spans="1:16" x14ac:dyDescent="0.25">
      <c r="A64" s="89" t="s">
        <v>223</v>
      </c>
      <c r="B64" s="89" t="s">
        <v>464</v>
      </c>
      <c r="C64" s="89" t="s">
        <v>470</v>
      </c>
      <c r="D64" s="89" t="s">
        <v>469</v>
      </c>
      <c r="E64" s="89" t="s">
        <v>460</v>
      </c>
      <c r="F64" s="89" t="s">
        <v>460</v>
      </c>
      <c r="G64" s="89" t="s">
        <v>468</v>
      </c>
      <c r="H64" s="89" t="s">
        <v>467</v>
      </c>
      <c r="I64" s="89" t="s">
        <v>466</v>
      </c>
      <c r="J64" s="89" t="s">
        <v>465</v>
      </c>
      <c r="K64" s="89" t="s">
        <v>460</v>
      </c>
      <c r="L64" s="89" t="s">
        <v>464</v>
      </c>
      <c r="M64" s="89" t="s">
        <v>463</v>
      </c>
      <c r="N64" s="89" t="s">
        <v>462</v>
      </c>
      <c r="O64" s="89" t="s">
        <v>461</v>
      </c>
      <c r="P64" s="89" t="s">
        <v>460</v>
      </c>
    </row>
    <row r="65" spans="1:16" x14ac:dyDescent="0.25">
      <c r="A65" s="89" t="s">
        <v>220</v>
      </c>
      <c r="B65" s="89" t="s">
        <v>453</v>
      </c>
      <c r="C65" s="89" t="s">
        <v>459</v>
      </c>
      <c r="D65" s="89" t="s">
        <v>458</v>
      </c>
      <c r="E65" s="89" t="s">
        <v>449</v>
      </c>
      <c r="F65" s="89" t="s">
        <v>449</v>
      </c>
      <c r="G65" s="89" t="s">
        <v>457</v>
      </c>
      <c r="H65" s="89" t="s">
        <v>456</v>
      </c>
      <c r="I65" s="89" t="s">
        <v>455</v>
      </c>
      <c r="J65" s="89" t="s">
        <v>454</v>
      </c>
      <c r="K65" s="89" t="s">
        <v>449</v>
      </c>
      <c r="L65" s="89" t="s">
        <v>453</v>
      </c>
      <c r="M65" s="89" t="s">
        <v>452</v>
      </c>
      <c r="N65" s="89" t="s">
        <v>451</v>
      </c>
      <c r="O65" s="89" t="s">
        <v>450</v>
      </c>
      <c r="P65" s="89" t="s">
        <v>449</v>
      </c>
    </row>
    <row r="66" spans="1:16" x14ac:dyDescent="0.25">
      <c r="A66" s="89" t="s">
        <v>217</v>
      </c>
      <c r="B66" s="89" t="s">
        <v>442</v>
      </c>
      <c r="C66" s="89" t="s">
        <v>448</v>
      </c>
      <c r="D66" s="89" t="s">
        <v>447</v>
      </c>
      <c r="E66" s="89" t="s">
        <v>438</v>
      </c>
      <c r="F66" s="89" t="s">
        <v>438</v>
      </c>
      <c r="G66" s="89" t="s">
        <v>446</v>
      </c>
      <c r="H66" s="89" t="s">
        <v>445</v>
      </c>
      <c r="I66" s="89" t="s">
        <v>444</v>
      </c>
      <c r="J66" s="89" t="s">
        <v>443</v>
      </c>
      <c r="K66" s="89" t="s">
        <v>438</v>
      </c>
      <c r="L66" s="89" t="s">
        <v>442</v>
      </c>
      <c r="M66" s="89" t="s">
        <v>441</v>
      </c>
      <c r="N66" s="89" t="s">
        <v>440</v>
      </c>
      <c r="O66" s="89" t="s">
        <v>439</v>
      </c>
      <c r="P66" s="89" t="s">
        <v>438</v>
      </c>
    </row>
    <row r="67" spans="1:16" x14ac:dyDescent="0.25">
      <c r="A67" s="89" t="s">
        <v>214</v>
      </c>
      <c r="B67" s="89" t="s">
        <v>431</v>
      </c>
      <c r="C67" s="89" t="s">
        <v>437</v>
      </c>
      <c r="D67" s="89" t="s">
        <v>436</v>
      </c>
      <c r="E67" s="89" t="s">
        <v>427</v>
      </c>
      <c r="F67" s="89" t="s">
        <v>427</v>
      </c>
      <c r="G67" s="89" t="s">
        <v>435</v>
      </c>
      <c r="H67" s="89" t="s">
        <v>434</v>
      </c>
      <c r="I67" s="89" t="s">
        <v>433</v>
      </c>
      <c r="J67" s="89" t="s">
        <v>432</v>
      </c>
      <c r="K67" s="89" t="s">
        <v>427</v>
      </c>
      <c r="L67" s="89" t="s">
        <v>431</v>
      </c>
      <c r="M67" s="89" t="s">
        <v>430</v>
      </c>
      <c r="N67" s="89" t="s">
        <v>429</v>
      </c>
      <c r="O67" s="89" t="s">
        <v>428</v>
      </c>
      <c r="P67" s="89" t="s">
        <v>427</v>
      </c>
    </row>
    <row r="68" spans="1:16" x14ac:dyDescent="0.25">
      <c r="A68" s="89" t="s">
        <v>212</v>
      </c>
      <c r="B68" s="89" t="s">
        <v>421</v>
      </c>
      <c r="C68" s="89" t="s">
        <v>426</v>
      </c>
      <c r="D68" s="89" t="s">
        <v>426</v>
      </c>
      <c r="E68" s="89" t="s">
        <v>400</v>
      </c>
      <c r="F68" s="89" t="s">
        <v>400</v>
      </c>
      <c r="G68" s="89" t="s">
        <v>425</v>
      </c>
      <c r="H68" s="89" t="s">
        <v>424</v>
      </c>
      <c r="I68" s="89" t="s">
        <v>423</v>
      </c>
      <c r="J68" s="89" t="s">
        <v>422</v>
      </c>
      <c r="K68" s="89" t="s">
        <v>400</v>
      </c>
      <c r="L68" s="89" t="s">
        <v>421</v>
      </c>
      <c r="M68" s="89" t="s">
        <v>400</v>
      </c>
      <c r="N68" s="89" t="s">
        <v>420</v>
      </c>
      <c r="O68" s="89" t="s">
        <v>419</v>
      </c>
      <c r="P68" s="89" t="s">
        <v>400</v>
      </c>
    </row>
    <row r="69" spans="1:16" x14ac:dyDescent="0.25">
      <c r="A69" s="89" t="s">
        <v>209</v>
      </c>
      <c r="B69" s="89" t="s">
        <v>413</v>
      </c>
      <c r="C69" s="89" t="s">
        <v>418</v>
      </c>
      <c r="D69" s="89" t="s">
        <v>417</v>
      </c>
      <c r="E69" s="89" t="s">
        <v>409</v>
      </c>
      <c r="F69" s="89" t="s">
        <v>409</v>
      </c>
      <c r="G69" s="89" t="s">
        <v>416</v>
      </c>
      <c r="H69" s="89" t="s">
        <v>415</v>
      </c>
      <c r="I69" s="89" t="s">
        <v>414</v>
      </c>
      <c r="J69" s="89" t="s">
        <v>405</v>
      </c>
      <c r="K69" s="89" t="s">
        <v>409</v>
      </c>
      <c r="L69" s="89" t="s">
        <v>413</v>
      </c>
      <c r="M69" s="89" t="s">
        <v>412</v>
      </c>
      <c r="N69" s="89" t="s">
        <v>411</v>
      </c>
      <c r="O69" s="89" t="s">
        <v>410</v>
      </c>
      <c r="P69" s="89" t="s">
        <v>409</v>
      </c>
    </row>
    <row r="70" spans="1:16" x14ac:dyDescent="0.25">
      <c r="A70" s="89" t="s">
        <v>207</v>
      </c>
      <c r="B70" s="89" t="s">
        <v>403</v>
      </c>
      <c r="C70" s="89" t="s">
        <v>403</v>
      </c>
      <c r="D70" s="89" t="s">
        <v>408</v>
      </c>
      <c r="E70" s="89" t="s">
        <v>399</v>
      </c>
      <c r="F70" s="89" t="s">
        <v>399</v>
      </c>
      <c r="G70" s="89" t="s">
        <v>407</v>
      </c>
      <c r="H70" s="89" t="s">
        <v>406</v>
      </c>
      <c r="I70" s="89" t="s">
        <v>405</v>
      </c>
      <c r="J70" s="89" t="s">
        <v>404</v>
      </c>
      <c r="K70" s="89" t="s">
        <v>399</v>
      </c>
      <c r="L70" s="89" t="s">
        <v>403</v>
      </c>
      <c r="M70" s="89" t="s">
        <v>402</v>
      </c>
      <c r="N70" s="89" t="s">
        <v>401</v>
      </c>
      <c r="O70" s="89" t="s">
        <v>400</v>
      </c>
      <c r="P70" s="89" t="s">
        <v>399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opLeftCell="A14"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6" t="s">
        <v>1498</v>
      </c>
      <c r="C4" s="106"/>
      <c r="D4" s="106"/>
      <c r="E4" s="106"/>
      <c r="F4" s="106"/>
      <c r="G4" s="106" t="s">
        <v>1498</v>
      </c>
      <c r="H4" s="106"/>
      <c r="I4" s="106"/>
      <c r="J4" s="106"/>
      <c r="K4" s="106"/>
      <c r="L4" s="106" t="s">
        <v>1498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1493</v>
      </c>
      <c r="C6" s="89" t="s">
        <v>1049</v>
      </c>
      <c r="D6" s="89" t="s">
        <v>432</v>
      </c>
      <c r="E6" s="89" t="s">
        <v>1492</v>
      </c>
      <c r="F6" s="89" t="s">
        <v>1492</v>
      </c>
      <c r="G6" s="89" t="s">
        <v>1497</v>
      </c>
      <c r="H6" s="89" t="s">
        <v>1496</v>
      </c>
      <c r="I6" s="89" t="s">
        <v>1495</v>
      </c>
      <c r="J6" s="89" t="s">
        <v>1494</v>
      </c>
      <c r="K6" s="89" t="s">
        <v>1492</v>
      </c>
      <c r="L6" s="89" t="s">
        <v>1493</v>
      </c>
      <c r="M6" s="89" t="s">
        <v>563</v>
      </c>
      <c r="N6" s="89" t="s">
        <v>540</v>
      </c>
      <c r="O6" s="89" t="s">
        <v>433</v>
      </c>
      <c r="P6" s="89" t="s">
        <v>1492</v>
      </c>
    </row>
    <row r="7" spans="1:16" x14ac:dyDescent="0.25">
      <c r="A7" s="89" t="s">
        <v>392</v>
      </c>
      <c r="B7" s="89" t="s">
        <v>1487</v>
      </c>
      <c r="C7" s="89" t="s">
        <v>425</v>
      </c>
      <c r="D7" s="89" t="s">
        <v>880</v>
      </c>
      <c r="E7" s="89" t="s">
        <v>1484</v>
      </c>
      <c r="F7" s="89" t="s">
        <v>1484</v>
      </c>
      <c r="G7" s="89" t="s">
        <v>1491</v>
      </c>
      <c r="H7" s="89" t="s">
        <v>1490</v>
      </c>
      <c r="I7" s="89" t="s">
        <v>1489</v>
      </c>
      <c r="J7" s="89" t="s">
        <v>1488</v>
      </c>
      <c r="K7" s="89" t="s">
        <v>1484</v>
      </c>
      <c r="L7" s="89" t="s">
        <v>1487</v>
      </c>
      <c r="M7" s="89" t="s">
        <v>1486</v>
      </c>
      <c r="N7" s="89" t="s">
        <v>1054</v>
      </c>
      <c r="O7" s="89" t="s">
        <v>1485</v>
      </c>
      <c r="P7" s="89" t="s">
        <v>1484</v>
      </c>
    </row>
    <row r="8" spans="1:16" x14ac:dyDescent="0.25">
      <c r="A8" s="89" t="s">
        <v>389</v>
      </c>
      <c r="B8" s="89" t="s">
        <v>1477</v>
      </c>
      <c r="C8" s="89" t="s">
        <v>1483</v>
      </c>
      <c r="D8" s="89" t="s">
        <v>1482</v>
      </c>
      <c r="E8" s="89" t="s">
        <v>670</v>
      </c>
      <c r="F8" s="89" t="s">
        <v>670</v>
      </c>
      <c r="G8" s="89" t="s">
        <v>1481</v>
      </c>
      <c r="H8" s="89" t="s">
        <v>1480</v>
      </c>
      <c r="I8" s="89" t="s">
        <v>1479</v>
      </c>
      <c r="J8" s="89" t="s">
        <v>1478</v>
      </c>
      <c r="K8" s="89" t="s">
        <v>670</v>
      </c>
      <c r="L8" s="89" t="s">
        <v>1477</v>
      </c>
      <c r="M8" s="89" t="s">
        <v>548</v>
      </c>
      <c r="N8" s="89" t="s">
        <v>1476</v>
      </c>
      <c r="O8" s="89" t="s">
        <v>429</v>
      </c>
      <c r="P8" s="89" t="s">
        <v>670</v>
      </c>
    </row>
    <row r="9" spans="1:16" x14ac:dyDescent="0.25">
      <c r="A9" s="89" t="s">
        <v>386</v>
      </c>
      <c r="B9" s="89" t="s">
        <v>1046</v>
      </c>
      <c r="C9" s="89" t="s">
        <v>1475</v>
      </c>
      <c r="D9" s="89" t="s">
        <v>859</v>
      </c>
      <c r="E9" s="89" t="s">
        <v>1256</v>
      </c>
      <c r="F9" s="89" t="s">
        <v>1256</v>
      </c>
      <c r="G9" s="89" t="s">
        <v>1474</v>
      </c>
      <c r="H9" s="89" t="s">
        <v>1473</v>
      </c>
      <c r="I9" s="89" t="s">
        <v>460</v>
      </c>
      <c r="J9" s="89" t="s">
        <v>1472</v>
      </c>
      <c r="K9" s="89" t="s">
        <v>1256</v>
      </c>
      <c r="L9" s="89" t="s">
        <v>1046</v>
      </c>
      <c r="M9" s="89" t="s">
        <v>920</v>
      </c>
      <c r="N9" s="89" t="s">
        <v>1471</v>
      </c>
      <c r="O9" s="89" t="s">
        <v>1470</v>
      </c>
      <c r="P9" s="89" t="s">
        <v>1256</v>
      </c>
    </row>
    <row r="10" spans="1:16" x14ac:dyDescent="0.25">
      <c r="A10" s="89" t="s">
        <v>383</v>
      </c>
      <c r="B10" s="89" t="s">
        <v>1466</v>
      </c>
      <c r="C10" s="89" t="s">
        <v>889</v>
      </c>
      <c r="D10" s="89" t="s">
        <v>496</v>
      </c>
      <c r="E10" s="89" t="s">
        <v>1465</v>
      </c>
      <c r="F10" s="89" t="s">
        <v>1465</v>
      </c>
      <c r="G10" s="89" t="s">
        <v>1402</v>
      </c>
      <c r="H10" s="89" t="s">
        <v>1469</v>
      </c>
      <c r="I10" s="89" t="s">
        <v>1468</v>
      </c>
      <c r="J10" s="89" t="s">
        <v>1467</v>
      </c>
      <c r="K10" s="89" t="s">
        <v>1465</v>
      </c>
      <c r="L10" s="89" t="s">
        <v>1466</v>
      </c>
      <c r="M10" s="89" t="s">
        <v>1463</v>
      </c>
      <c r="N10" s="89" t="s">
        <v>846</v>
      </c>
      <c r="O10" s="89" t="s">
        <v>980</v>
      </c>
      <c r="P10" s="89" t="s">
        <v>1465</v>
      </c>
    </row>
    <row r="11" spans="1:16" x14ac:dyDescent="0.25">
      <c r="A11" s="89" t="s">
        <v>380</v>
      </c>
      <c r="B11" s="89" t="s">
        <v>1459</v>
      </c>
      <c r="C11" s="89" t="s">
        <v>1464</v>
      </c>
      <c r="D11" s="89" t="s">
        <v>1463</v>
      </c>
      <c r="E11" s="89" t="s">
        <v>1456</v>
      </c>
      <c r="F11" s="89" t="s">
        <v>1456</v>
      </c>
      <c r="G11" s="89" t="s">
        <v>1462</v>
      </c>
      <c r="H11" s="89" t="s">
        <v>1461</v>
      </c>
      <c r="I11" s="89" t="s">
        <v>563</v>
      </c>
      <c r="J11" s="89" t="s">
        <v>1460</v>
      </c>
      <c r="K11" s="89" t="s">
        <v>1456</v>
      </c>
      <c r="L11" s="89" t="s">
        <v>1459</v>
      </c>
      <c r="M11" s="89" t="s">
        <v>1458</v>
      </c>
      <c r="N11" s="89" t="s">
        <v>1457</v>
      </c>
      <c r="O11" s="89" t="s">
        <v>977</v>
      </c>
      <c r="P11" s="89" t="s">
        <v>1456</v>
      </c>
    </row>
    <row r="12" spans="1:16" x14ac:dyDescent="0.25">
      <c r="A12" s="89" t="s">
        <v>377</v>
      </c>
      <c r="B12" s="89" t="s">
        <v>1451</v>
      </c>
      <c r="C12" s="89" t="s">
        <v>1061</v>
      </c>
      <c r="D12" s="89" t="s">
        <v>489</v>
      </c>
      <c r="E12" s="89" t="s">
        <v>1437</v>
      </c>
      <c r="F12" s="89" t="s">
        <v>1437</v>
      </c>
      <c r="G12" s="89" t="s">
        <v>1455</v>
      </c>
      <c r="H12" s="89" t="s">
        <v>1454</v>
      </c>
      <c r="I12" s="89" t="s">
        <v>1453</v>
      </c>
      <c r="J12" s="89" t="s">
        <v>1452</v>
      </c>
      <c r="K12" s="89" t="s">
        <v>1437</v>
      </c>
      <c r="L12" s="89" t="s">
        <v>1451</v>
      </c>
      <c r="M12" s="89" t="s">
        <v>1103</v>
      </c>
      <c r="N12" s="89" t="s">
        <v>1450</v>
      </c>
      <c r="O12" s="89" t="s">
        <v>424</v>
      </c>
      <c r="P12" s="89" t="s">
        <v>1437</v>
      </c>
    </row>
    <row r="13" spans="1:16" x14ac:dyDescent="0.25">
      <c r="A13" s="89" t="s">
        <v>374</v>
      </c>
      <c r="B13" s="89" t="s">
        <v>1446</v>
      </c>
      <c r="C13" s="89" t="s">
        <v>1449</v>
      </c>
      <c r="D13" s="89" t="s">
        <v>576</v>
      </c>
      <c r="E13" s="89" t="s">
        <v>500</v>
      </c>
      <c r="F13" s="89" t="s">
        <v>500</v>
      </c>
      <c r="G13" s="89" t="s">
        <v>1032</v>
      </c>
      <c r="H13" s="89" t="s">
        <v>690</v>
      </c>
      <c r="I13" s="89" t="s">
        <v>1448</v>
      </c>
      <c r="J13" s="89" t="s">
        <v>1447</v>
      </c>
      <c r="K13" s="89" t="s">
        <v>500</v>
      </c>
      <c r="L13" s="89" t="s">
        <v>1446</v>
      </c>
      <c r="M13" s="89" t="s">
        <v>511</v>
      </c>
      <c r="N13" s="89" t="s">
        <v>879</v>
      </c>
      <c r="O13" s="89" t="s">
        <v>1445</v>
      </c>
      <c r="P13" s="89" t="s">
        <v>500</v>
      </c>
    </row>
    <row r="14" spans="1:16" x14ac:dyDescent="0.25">
      <c r="A14" s="89" t="s">
        <v>371</v>
      </c>
      <c r="B14" s="89" t="s">
        <v>877</v>
      </c>
      <c r="C14" s="89" t="s">
        <v>1444</v>
      </c>
      <c r="D14" s="89" t="s">
        <v>1443</v>
      </c>
      <c r="E14" s="89" t="s">
        <v>1441</v>
      </c>
      <c r="F14" s="89" t="s">
        <v>1441</v>
      </c>
      <c r="G14" s="89" t="s">
        <v>500</v>
      </c>
      <c r="H14" s="89" t="s">
        <v>1178</v>
      </c>
      <c r="I14" s="89" t="s">
        <v>1229</v>
      </c>
      <c r="J14" s="89" t="s">
        <v>1088</v>
      </c>
      <c r="K14" s="89" t="s">
        <v>1441</v>
      </c>
      <c r="L14" s="89" t="s">
        <v>877</v>
      </c>
      <c r="M14" s="89" t="s">
        <v>1442</v>
      </c>
      <c r="N14" s="89" t="s">
        <v>780</v>
      </c>
      <c r="O14" s="89" t="s">
        <v>1104</v>
      </c>
      <c r="P14" s="89" t="s">
        <v>1441</v>
      </c>
    </row>
    <row r="15" spans="1:16" x14ac:dyDescent="0.25">
      <c r="A15" s="89" t="s">
        <v>368</v>
      </c>
      <c r="B15" s="89" t="s">
        <v>1436</v>
      </c>
      <c r="C15" s="89" t="s">
        <v>1440</v>
      </c>
      <c r="D15" s="89" t="s">
        <v>1439</v>
      </c>
      <c r="E15" s="89" t="s">
        <v>1434</v>
      </c>
      <c r="F15" s="89" t="s">
        <v>1434</v>
      </c>
      <c r="G15" s="89" t="s">
        <v>832</v>
      </c>
      <c r="H15" s="89" t="s">
        <v>1438</v>
      </c>
      <c r="I15" s="89" t="s">
        <v>620</v>
      </c>
      <c r="J15" s="89" t="s">
        <v>1437</v>
      </c>
      <c r="K15" s="89" t="s">
        <v>1434</v>
      </c>
      <c r="L15" s="89" t="s">
        <v>1436</v>
      </c>
      <c r="M15" s="89" t="s">
        <v>1094</v>
      </c>
      <c r="N15" s="89" t="s">
        <v>1435</v>
      </c>
      <c r="O15" s="89" t="s">
        <v>1025</v>
      </c>
      <c r="P15" s="89" t="s">
        <v>1434</v>
      </c>
    </row>
    <row r="16" spans="1:16" x14ac:dyDescent="0.25">
      <c r="A16" s="89" t="s">
        <v>366</v>
      </c>
      <c r="B16" s="89" t="s">
        <v>1431</v>
      </c>
      <c r="C16" s="89" t="s">
        <v>1183</v>
      </c>
      <c r="D16" s="89" t="s">
        <v>1433</v>
      </c>
      <c r="E16" s="89" t="s">
        <v>1428</v>
      </c>
      <c r="F16" s="89" t="s">
        <v>1428</v>
      </c>
      <c r="G16" s="89" t="s">
        <v>1432</v>
      </c>
      <c r="H16" s="89" t="s">
        <v>857</v>
      </c>
      <c r="I16" s="89" t="s">
        <v>1085</v>
      </c>
      <c r="J16" s="89" t="s">
        <v>1257</v>
      </c>
      <c r="K16" s="89" t="s">
        <v>1428</v>
      </c>
      <c r="L16" s="89" t="s">
        <v>1431</v>
      </c>
      <c r="M16" s="89" t="s">
        <v>1430</v>
      </c>
      <c r="N16" s="89" t="s">
        <v>1429</v>
      </c>
      <c r="O16" s="89" t="s">
        <v>1384</v>
      </c>
      <c r="P16" s="89" t="s">
        <v>1428</v>
      </c>
    </row>
    <row r="17" spans="1:16" x14ac:dyDescent="0.25">
      <c r="A17" s="89" t="s">
        <v>363</v>
      </c>
      <c r="B17" s="89" t="s">
        <v>1424</v>
      </c>
      <c r="C17" s="89" t="s">
        <v>1427</v>
      </c>
      <c r="D17" s="89" t="s">
        <v>1426</v>
      </c>
      <c r="E17" s="89" t="s">
        <v>1420</v>
      </c>
      <c r="F17" s="89" t="s">
        <v>1420</v>
      </c>
      <c r="G17" s="89" t="s">
        <v>1257</v>
      </c>
      <c r="H17" s="89" t="s">
        <v>1425</v>
      </c>
      <c r="I17" s="89" t="s">
        <v>405</v>
      </c>
      <c r="J17" s="89" t="s">
        <v>476</v>
      </c>
      <c r="K17" s="89" t="s">
        <v>1420</v>
      </c>
      <c r="L17" s="89" t="s">
        <v>1424</v>
      </c>
      <c r="M17" s="89" t="s">
        <v>1423</v>
      </c>
      <c r="N17" s="89" t="s">
        <v>1422</v>
      </c>
      <c r="O17" s="89" t="s">
        <v>1421</v>
      </c>
      <c r="P17" s="89" t="s">
        <v>1420</v>
      </c>
    </row>
    <row r="18" spans="1:16" x14ac:dyDescent="0.25">
      <c r="A18" s="89" t="s">
        <v>360</v>
      </c>
      <c r="B18" s="89" t="s">
        <v>1413</v>
      </c>
      <c r="C18" s="89" t="s">
        <v>1419</v>
      </c>
      <c r="D18" s="89" t="s">
        <v>1418</v>
      </c>
      <c r="E18" s="89" t="s">
        <v>1409</v>
      </c>
      <c r="F18" s="89" t="s">
        <v>1409</v>
      </c>
      <c r="G18" s="89" t="s">
        <v>1417</v>
      </c>
      <c r="H18" s="89" t="s">
        <v>1416</v>
      </c>
      <c r="I18" s="89" t="s">
        <v>1415</v>
      </c>
      <c r="J18" s="89" t="s">
        <v>1414</v>
      </c>
      <c r="K18" s="89" t="s">
        <v>1409</v>
      </c>
      <c r="L18" s="89" t="s">
        <v>1413</v>
      </c>
      <c r="M18" s="89" t="s">
        <v>1412</v>
      </c>
      <c r="N18" s="89" t="s">
        <v>1411</v>
      </c>
      <c r="O18" s="89" t="s">
        <v>1410</v>
      </c>
      <c r="P18" s="89" t="s">
        <v>1409</v>
      </c>
    </row>
    <row r="19" spans="1:16" x14ac:dyDescent="0.25">
      <c r="A19" s="89" t="s">
        <v>357</v>
      </c>
      <c r="B19" s="89" t="s">
        <v>1404</v>
      </c>
      <c r="C19" s="89" t="s">
        <v>869</v>
      </c>
      <c r="D19" s="89" t="s">
        <v>1402</v>
      </c>
      <c r="E19" s="89" t="s">
        <v>1402</v>
      </c>
      <c r="F19" s="89" t="s">
        <v>1402</v>
      </c>
      <c r="G19" s="89" t="s">
        <v>1408</v>
      </c>
      <c r="H19" s="89" t="s">
        <v>1407</v>
      </c>
      <c r="I19" s="89" t="s">
        <v>1406</v>
      </c>
      <c r="J19" s="89" t="s">
        <v>1405</v>
      </c>
      <c r="K19" s="89" t="s">
        <v>1402</v>
      </c>
      <c r="L19" s="89" t="s">
        <v>1404</v>
      </c>
      <c r="M19" s="89" t="s">
        <v>1030</v>
      </c>
      <c r="N19" s="89" t="s">
        <v>820</v>
      </c>
      <c r="O19" s="89" t="s">
        <v>1403</v>
      </c>
      <c r="P19" s="89" t="s">
        <v>1402</v>
      </c>
    </row>
    <row r="20" spans="1:16" x14ac:dyDescent="0.25">
      <c r="A20" s="89" t="s">
        <v>353</v>
      </c>
      <c r="B20" s="89" t="s">
        <v>1279</v>
      </c>
      <c r="C20" s="89" t="s">
        <v>782</v>
      </c>
      <c r="D20" s="89" t="s">
        <v>1401</v>
      </c>
      <c r="E20" s="89" t="s">
        <v>1395</v>
      </c>
      <c r="F20" s="89" t="s">
        <v>1395</v>
      </c>
      <c r="G20" s="89" t="s">
        <v>1215</v>
      </c>
      <c r="H20" s="89" t="s">
        <v>1400</v>
      </c>
      <c r="I20" s="89" t="s">
        <v>676</v>
      </c>
      <c r="J20" s="89" t="s">
        <v>1399</v>
      </c>
      <c r="K20" s="89" t="s">
        <v>1395</v>
      </c>
      <c r="L20" s="89" t="s">
        <v>1279</v>
      </c>
      <c r="M20" s="89" t="s">
        <v>1398</v>
      </c>
      <c r="N20" s="89" t="s">
        <v>1397</v>
      </c>
      <c r="O20" s="89" t="s">
        <v>1396</v>
      </c>
      <c r="P20" s="89" t="s">
        <v>1395</v>
      </c>
    </row>
    <row r="21" spans="1:16" x14ac:dyDescent="0.25">
      <c r="A21" s="89" t="s">
        <v>351</v>
      </c>
      <c r="B21" s="89" t="s">
        <v>1388</v>
      </c>
      <c r="C21" s="89" t="s">
        <v>1394</v>
      </c>
      <c r="D21" s="89" t="s">
        <v>1393</v>
      </c>
      <c r="E21" s="89" t="s">
        <v>1384</v>
      </c>
      <c r="F21" s="89" t="s">
        <v>1384</v>
      </c>
      <c r="G21" s="89" t="s">
        <v>1392</v>
      </c>
      <c r="H21" s="89" t="s">
        <v>1391</v>
      </c>
      <c r="I21" s="89" t="s">
        <v>1390</v>
      </c>
      <c r="J21" s="89" t="s">
        <v>1389</v>
      </c>
      <c r="K21" s="89" t="s">
        <v>1384</v>
      </c>
      <c r="L21" s="89" t="s">
        <v>1388</v>
      </c>
      <c r="M21" s="89" t="s">
        <v>1387</v>
      </c>
      <c r="N21" s="89" t="s">
        <v>1386</v>
      </c>
      <c r="O21" s="89" t="s">
        <v>1385</v>
      </c>
      <c r="P21" s="89" t="s">
        <v>1384</v>
      </c>
    </row>
    <row r="22" spans="1:16" x14ac:dyDescent="0.25">
      <c r="A22" s="89" t="s">
        <v>348</v>
      </c>
      <c r="B22" s="89" t="s">
        <v>476</v>
      </c>
      <c r="C22" s="89" t="s">
        <v>1383</v>
      </c>
      <c r="D22" s="89" t="s">
        <v>1382</v>
      </c>
      <c r="E22" s="89" t="s">
        <v>765</v>
      </c>
      <c r="F22" s="89" t="s">
        <v>765</v>
      </c>
      <c r="G22" s="89" t="s">
        <v>1381</v>
      </c>
      <c r="H22" s="89" t="s">
        <v>1380</v>
      </c>
      <c r="I22" s="89" t="s">
        <v>584</v>
      </c>
      <c r="J22" s="89" t="s">
        <v>1075</v>
      </c>
      <c r="K22" s="89" t="s">
        <v>765</v>
      </c>
      <c r="L22" s="89" t="s">
        <v>476</v>
      </c>
      <c r="M22" s="89" t="s">
        <v>1179</v>
      </c>
      <c r="N22" s="89" t="s">
        <v>1379</v>
      </c>
      <c r="O22" s="89" t="s">
        <v>747</v>
      </c>
      <c r="P22" s="89" t="s">
        <v>765</v>
      </c>
    </row>
    <row r="23" spans="1:16" x14ac:dyDescent="0.25">
      <c r="A23" s="89" t="s">
        <v>345</v>
      </c>
      <c r="B23" s="89" t="s">
        <v>862</v>
      </c>
      <c r="C23" s="89" t="s">
        <v>1378</v>
      </c>
      <c r="D23" s="89" t="s">
        <v>581</v>
      </c>
      <c r="E23" s="89" t="s">
        <v>1374</v>
      </c>
      <c r="F23" s="89" t="s">
        <v>1374</v>
      </c>
      <c r="G23" s="89" t="s">
        <v>1377</v>
      </c>
      <c r="H23" s="89" t="s">
        <v>1376</v>
      </c>
      <c r="I23" s="89" t="s">
        <v>517</v>
      </c>
      <c r="J23" s="89" t="s">
        <v>466</v>
      </c>
      <c r="K23" s="89" t="s">
        <v>1374</v>
      </c>
      <c r="L23" s="89" t="s">
        <v>862</v>
      </c>
      <c r="M23" s="89" t="s">
        <v>1340</v>
      </c>
      <c r="N23" s="89" t="s">
        <v>607</v>
      </c>
      <c r="O23" s="89" t="s">
        <v>1375</v>
      </c>
      <c r="P23" s="89" t="s">
        <v>1374</v>
      </c>
    </row>
    <row r="24" spans="1:16" x14ac:dyDescent="0.25">
      <c r="A24" s="89" t="s">
        <v>342</v>
      </c>
      <c r="B24" s="89" t="s">
        <v>1119</v>
      </c>
      <c r="C24" s="89" t="s">
        <v>531</v>
      </c>
      <c r="D24" s="89" t="s">
        <v>1373</v>
      </c>
      <c r="E24" s="89" t="s">
        <v>1368</v>
      </c>
      <c r="F24" s="89" t="s">
        <v>1368</v>
      </c>
      <c r="G24" s="89" t="s">
        <v>1372</v>
      </c>
      <c r="H24" s="89" t="s">
        <v>1371</v>
      </c>
      <c r="I24" s="89" t="s">
        <v>987</v>
      </c>
      <c r="J24" s="89" t="s">
        <v>1370</v>
      </c>
      <c r="K24" s="89" t="s">
        <v>1368</v>
      </c>
      <c r="L24" s="89" t="s">
        <v>1119</v>
      </c>
      <c r="M24" s="89" t="s">
        <v>1250</v>
      </c>
      <c r="N24" s="89" t="s">
        <v>1269</v>
      </c>
      <c r="O24" s="89" t="s">
        <v>1369</v>
      </c>
      <c r="P24" s="89" t="s">
        <v>1368</v>
      </c>
    </row>
    <row r="25" spans="1:16" x14ac:dyDescent="0.25">
      <c r="A25" s="89" t="s">
        <v>339</v>
      </c>
      <c r="B25" s="89" t="s">
        <v>1174</v>
      </c>
      <c r="C25" s="89" t="s">
        <v>1367</v>
      </c>
      <c r="D25" s="89" t="s">
        <v>1366</v>
      </c>
      <c r="E25" s="89" t="s">
        <v>1359</v>
      </c>
      <c r="F25" s="89" t="s">
        <v>1359</v>
      </c>
      <c r="G25" s="89" t="s">
        <v>1365</v>
      </c>
      <c r="H25" s="89" t="s">
        <v>1364</v>
      </c>
      <c r="I25" s="89" t="s">
        <v>571</v>
      </c>
      <c r="J25" s="89" t="s">
        <v>1363</v>
      </c>
      <c r="K25" s="89" t="s">
        <v>1359</v>
      </c>
      <c r="L25" s="89" t="s">
        <v>1174</v>
      </c>
      <c r="M25" s="89" t="s">
        <v>1362</v>
      </c>
      <c r="N25" s="89" t="s">
        <v>1361</v>
      </c>
      <c r="O25" s="89" t="s">
        <v>1360</v>
      </c>
      <c r="P25" s="89" t="s">
        <v>1359</v>
      </c>
    </row>
    <row r="26" spans="1:16" x14ac:dyDescent="0.25">
      <c r="A26" s="89" t="s">
        <v>336</v>
      </c>
      <c r="B26" s="89" t="s">
        <v>1354</v>
      </c>
      <c r="C26" s="89" t="s">
        <v>1026</v>
      </c>
      <c r="D26" s="89" t="s">
        <v>1358</v>
      </c>
      <c r="E26" s="89" t="s">
        <v>1350</v>
      </c>
      <c r="F26" s="89" t="s">
        <v>1350</v>
      </c>
      <c r="G26" s="89" t="s">
        <v>1025</v>
      </c>
      <c r="H26" s="89" t="s">
        <v>1357</v>
      </c>
      <c r="I26" s="89" t="s">
        <v>1356</v>
      </c>
      <c r="J26" s="89" t="s">
        <v>1355</v>
      </c>
      <c r="K26" s="89" t="s">
        <v>1350</v>
      </c>
      <c r="L26" s="89" t="s">
        <v>1354</v>
      </c>
      <c r="M26" s="89" t="s">
        <v>1353</v>
      </c>
      <c r="N26" s="89" t="s">
        <v>1352</v>
      </c>
      <c r="O26" s="89" t="s">
        <v>1351</v>
      </c>
      <c r="P26" s="89" t="s">
        <v>1350</v>
      </c>
    </row>
    <row r="27" spans="1:16" x14ac:dyDescent="0.25">
      <c r="A27" s="89" t="s">
        <v>333</v>
      </c>
      <c r="B27" s="89" t="s">
        <v>941</v>
      </c>
      <c r="C27" s="89" t="s">
        <v>1349</v>
      </c>
      <c r="D27" s="89" t="s">
        <v>1342</v>
      </c>
      <c r="E27" s="89" t="s">
        <v>1345</v>
      </c>
      <c r="F27" s="89" t="s">
        <v>1345</v>
      </c>
      <c r="G27" s="89" t="s">
        <v>762</v>
      </c>
      <c r="H27" s="89" t="s">
        <v>1348</v>
      </c>
      <c r="I27" s="89" t="s">
        <v>425</v>
      </c>
      <c r="J27" s="89" t="s">
        <v>870</v>
      </c>
      <c r="K27" s="89" t="s">
        <v>1345</v>
      </c>
      <c r="L27" s="89" t="s">
        <v>941</v>
      </c>
      <c r="M27" s="89" t="s">
        <v>744</v>
      </c>
      <c r="N27" s="89" t="s">
        <v>1347</v>
      </c>
      <c r="O27" s="89" t="s">
        <v>1346</v>
      </c>
      <c r="P27" s="89" t="s">
        <v>1345</v>
      </c>
    </row>
    <row r="28" spans="1:16" x14ac:dyDescent="0.25">
      <c r="A28" s="89" t="s">
        <v>330</v>
      </c>
      <c r="B28" s="89" t="s">
        <v>538</v>
      </c>
      <c r="C28" s="89" t="s">
        <v>423</v>
      </c>
      <c r="D28" s="89" t="s">
        <v>926</v>
      </c>
      <c r="E28" s="89" t="s">
        <v>1340</v>
      </c>
      <c r="F28" s="89" t="s">
        <v>1340</v>
      </c>
      <c r="G28" s="89" t="s">
        <v>839</v>
      </c>
      <c r="H28" s="89" t="s">
        <v>1344</v>
      </c>
      <c r="I28" s="89" t="s">
        <v>501</v>
      </c>
      <c r="J28" s="89" t="s">
        <v>1261</v>
      </c>
      <c r="K28" s="89" t="s">
        <v>1340</v>
      </c>
      <c r="L28" s="89" t="s">
        <v>538</v>
      </c>
      <c r="M28" s="89" t="s">
        <v>1343</v>
      </c>
      <c r="N28" s="89" t="s">
        <v>1342</v>
      </c>
      <c r="O28" s="89" t="s">
        <v>1341</v>
      </c>
      <c r="P28" s="89" t="s">
        <v>1340</v>
      </c>
    </row>
    <row r="29" spans="1:16" x14ac:dyDescent="0.25">
      <c r="A29" s="89" t="s">
        <v>327</v>
      </c>
      <c r="B29" s="89" t="s">
        <v>533</v>
      </c>
      <c r="C29" s="89" t="s">
        <v>1339</v>
      </c>
      <c r="D29" s="89" t="s">
        <v>1338</v>
      </c>
      <c r="E29" s="89" t="s">
        <v>1335</v>
      </c>
      <c r="F29" s="89" t="s">
        <v>1335</v>
      </c>
      <c r="G29" s="89" t="s">
        <v>1337</v>
      </c>
      <c r="H29" s="89" t="s">
        <v>633</v>
      </c>
      <c r="I29" s="89" t="s">
        <v>584</v>
      </c>
      <c r="J29" s="89" t="s">
        <v>637</v>
      </c>
      <c r="K29" s="89" t="s">
        <v>1335</v>
      </c>
      <c r="L29" s="89" t="s">
        <v>533</v>
      </c>
      <c r="M29" s="89" t="s">
        <v>442</v>
      </c>
      <c r="N29" s="89" t="s">
        <v>1336</v>
      </c>
      <c r="O29" s="89" t="s">
        <v>802</v>
      </c>
      <c r="P29" s="89" t="s">
        <v>1335</v>
      </c>
    </row>
    <row r="30" spans="1:16" x14ac:dyDescent="0.25">
      <c r="A30" s="89" t="s">
        <v>324</v>
      </c>
      <c r="B30" s="89" t="s">
        <v>1328</v>
      </c>
      <c r="C30" s="89" t="s">
        <v>1334</v>
      </c>
      <c r="D30" s="89" t="s">
        <v>1333</v>
      </c>
      <c r="E30" s="89" t="s">
        <v>1325</v>
      </c>
      <c r="F30" s="89" t="s">
        <v>1325</v>
      </c>
      <c r="G30" s="89" t="s">
        <v>1332</v>
      </c>
      <c r="H30" s="89" t="s">
        <v>1331</v>
      </c>
      <c r="I30" s="89" t="s">
        <v>1330</v>
      </c>
      <c r="J30" s="89" t="s">
        <v>1329</v>
      </c>
      <c r="K30" s="89" t="s">
        <v>1325</v>
      </c>
      <c r="L30" s="89" t="s">
        <v>1328</v>
      </c>
      <c r="M30" s="89" t="s">
        <v>1327</v>
      </c>
      <c r="N30" s="89" t="s">
        <v>1326</v>
      </c>
      <c r="O30" s="89" t="s">
        <v>590</v>
      </c>
      <c r="P30" s="89" t="s">
        <v>1325</v>
      </c>
    </row>
    <row r="31" spans="1:16" x14ac:dyDescent="0.25">
      <c r="A31" s="89" t="s">
        <v>321</v>
      </c>
      <c r="B31" s="89" t="s">
        <v>1320</v>
      </c>
      <c r="C31" s="89" t="s">
        <v>1324</v>
      </c>
      <c r="D31" s="89" t="s">
        <v>818</v>
      </c>
      <c r="E31" s="89" t="s">
        <v>1317</v>
      </c>
      <c r="F31" s="89" t="s">
        <v>1317</v>
      </c>
      <c r="G31" s="89" t="s">
        <v>1323</v>
      </c>
      <c r="H31" s="89" t="s">
        <v>749</v>
      </c>
      <c r="I31" s="89" t="s">
        <v>1322</v>
      </c>
      <c r="J31" s="89" t="s">
        <v>1321</v>
      </c>
      <c r="K31" s="89" t="s">
        <v>1317</v>
      </c>
      <c r="L31" s="89" t="s">
        <v>1320</v>
      </c>
      <c r="M31" s="89" t="s">
        <v>1317</v>
      </c>
      <c r="N31" s="89" t="s">
        <v>1319</v>
      </c>
      <c r="O31" s="89" t="s">
        <v>1318</v>
      </c>
      <c r="P31" s="89" t="s">
        <v>1317</v>
      </c>
    </row>
    <row r="32" spans="1:16" x14ac:dyDescent="0.25">
      <c r="A32" s="89" t="s">
        <v>318</v>
      </c>
      <c r="B32" s="89" t="s">
        <v>864</v>
      </c>
      <c r="C32" s="89" t="s">
        <v>986</v>
      </c>
      <c r="D32" s="89" t="s">
        <v>1316</v>
      </c>
      <c r="E32" s="89" t="s">
        <v>932</v>
      </c>
      <c r="F32" s="89" t="s">
        <v>932</v>
      </c>
      <c r="G32" s="89" t="s">
        <v>1315</v>
      </c>
      <c r="H32" s="89" t="s">
        <v>818</v>
      </c>
      <c r="I32" s="89" t="s">
        <v>429</v>
      </c>
      <c r="J32" s="89" t="s">
        <v>1314</v>
      </c>
      <c r="K32" s="89" t="s">
        <v>932</v>
      </c>
      <c r="L32" s="89" t="s">
        <v>864</v>
      </c>
      <c r="M32" s="89" t="s">
        <v>423</v>
      </c>
      <c r="N32" s="89" t="s">
        <v>1313</v>
      </c>
      <c r="O32" s="89" t="s">
        <v>1312</v>
      </c>
      <c r="P32" s="89" t="s">
        <v>932</v>
      </c>
    </row>
    <row r="33" spans="1:16" x14ac:dyDescent="0.25">
      <c r="A33" s="89" t="s">
        <v>315</v>
      </c>
      <c r="B33" s="89" t="s">
        <v>913</v>
      </c>
      <c r="C33" s="89" t="s">
        <v>1311</v>
      </c>
      <c r="D33" s="89" t="s">
        <v>1310</v>
      </c>
      <c r="E33" s="89" t="s">
        <v>1262</v>
      </c>
      <c r="F33" s="89" t="s">
        <v>1262</v>
      </c>
      <c r="G33" s="89" t="s">
        <v>1309</v>
      </c>
      <c r="H33" s="89" t="s">
        <v>1308</v>
      </c>
      <c r="I33" s="89" t="s">
        <v>1307</v>
      </c>
      <c r="J33" s="89" t="s">
        <v>1306</v>
      </c>
      <c r="K33" s="89" t="s">
        <v>1262</v>
      </c>
      <c r="L33" s="89" t="s">
        <v>913</v>
      </c>
      <c r="M33" s="89" t="s">
        <v>1305</v>
      </c>
      <c r="N33" s="89" t="s">
        <v>1304</v>
      </c>
      <c r="O33" s="89" t="s">
        <v>1303</v>
      </c>
      <c r="P33" s="89" t="s">
        <v>1262</v>
      </c>
    </row>
    <row r="34" spans="1:16" x14ac:dyDescent="0.25">
      <c r="A34" s="89" t="s">
        <v>312</v>
      </c>
      <c r="B34" s="89" t="s">
        <v>1296</v>
      </c>
      <c r="C34" s="89" t="s">
        <v>1302</v>
      </c>
      <c r="D34" s="89" t="s">
        <v>1301</v>
      </c>
      <c r="E34" s="89" t="s">
        <v>1293</v>
      </c>
      <c r="F34" s="89" t="s">
        <v>1293</v>
      </c>
      <c r="G34" s="89" t="s">
        <v>1300</v>
      </c>
      <c r="H34" s="89" t="s">
        <v>1299</v>
      </c>
      <c r="I34" s="89" t="s">
        <v>1298</v>
      </c>
      <c r="J34" s="89" t="s">
        <v>1297</v>
      </c>
      <c r="K34" s="89" t="s">
        <v>1293</v>
      </c>
      <c r="L34" s="89" t="s">
        <v>1296</v>
      </c>
      <c r="M34" s="89" t="s">
        <v>1203</v>
      </c>
      <c r="N34" s="89" t="s">
        <v>1295</v>
      </c>
      <c r="O34" s="89" t="s">
        <v>1294</v>
      </c>
      <c r="P34" s="89" t="s">
        <v>1293</v>
      </c>
    </row>
    <row r="35" spans="1:16" x14ac:dyDescent="0.25">
      <c r="A35" s="89" t="s">
        <v>309</v>
      </c>
      <c r="B35" s="89" t="s">
        <v>1287</v>
      </c>
      <c r="C35" s="89" t="s">
        <v>1292</v>
      </c>
      <c r="D35" s="89" t="s">
        <v>1291</v>
      </c>
      <c r="E35" s="89" t="s">
        <v>1283</v>
      </c>
      <c r="F35" s="89" t="s">
        <v>1283</v>
      </c>
      <c r="G35" s="89" t="s">
        <v>1009</v>
      </c>
      <c r="H35" s="89" t="s">
        <v>1290</v>
      </c>
      <c r="I35" s="89" t="s">
        <v>1289</v>
      </c>
      <c r="J35" s="89" t="s">
        <v>1288</v>
      </c>
      <c r="K35" s="89" t="s">
        <v>1283</v>
      </c>
      <c r="L35" s="89" t="s">
        <v>1287</v>
      </c>
      <c r="M35" s="89" t="s">
        <v>1286</v>
      </c>
      <c r="N35" s="89" t="s">
        <v>1285</v>
      </c>
      <c r="O35" s="89" t="s">
        <v>1284</v>
      </c>
      <c r="P35" s="89" t="s">
        <v>1283</v>
      </c>
    </row>
    <row r="36" spans="1:16" x14ac:dyDescent="0.25">
      <c r="A36" s="89" t="s">
        <v>306</v>
      </c>
      <c r="B36" s="89" t="s">
        <v>1277</v>
      </c>
      <c r="C36" s="89" t="s">
        <v>785</v>
      </c>
      <c r="D36" s="89" t="s">
        <v>1282</v>
      </c>
      <c r="E36" s="89" t="s">
        <v>1274</v>
      </c>
      <c r="F36" s="89" t="s">
        <v>1274</v>
      </c>
      <c r="G36" s="89" t="s">
        <v>1281</v>
      </c>
      <c r="H36" s="89" t="s">
        <v>1280</v>
      </c>
      <c r="I36" s="89" t="s">
        <v>1279</v>
      </c>
      <c r="J36" s="89" t="s">
        <v>1278</v>
      </c>
      <c r="K36" s="89" t="s">
        <v>1274</v>
      </c>
      <c r="L36" s="89" t="s">
        <v>1277</v>
      </c>
      <c r="M36" s="89" t="s">
        <v>1060</v>
      </c>
      <c r="N36" s="89" t="s">
        <v>1276</v>
      </c>
      <c r="O36" s="89" t="s">
        <v>1275</v>
      </c>
      <c r="P36" s="89" t="s">
        <v>1274</v>
      </c>
    </row>
    <row r="37" spans="1:16" x14ac:dyDescent="0.25">
      <c r="A37" s="89" t="s">
        <v>303</v>
      </c>
      <c r="B37" s="89" t="s">
        <v>1270</v>
      </c>
      <c r="C37" s="89" t="s">
        <v>1273</v>
      </c>
      <c r="D37" s="89" t="s">
        <v>1272</v>
      </c>
      <c r="E37" s="89" t="s">
        <v>1267</v>
      </c>
      <c r="F37" s="89" t="s">
        <v>1267</v>
      </c>
      <c r="G37" s="89" t="s">
        <v>953</v>
      </c>
      <c r="H37" s="89" t="s">
        <v>795</v>
      </c>
      <c r="I37" s="89" t="s">
        <v>1271</v>
      </c>
      <c r="J37" s="89" t="s">
        <v>918</v>
      </c>
      <c r="K37" s="89" t="s">
        <v>1267</v>
      </c>
      <c r="L37" s="89" t="s">
        <v>1270</v>
      </c>
      <c r="M37" s="89" t="s">
        <v>1269</v>
      </c>
      <c r="N37" s="89" t="s">
        <v>737</v>
      </c>
      <c r="O37" s="89" t="s">
        <v>1268</v>
      </c>
      <c r="P37" s="89" t="s">
        <v>1267</v>
      </c>
    </row>
    <row r="38" spans="1:16" x14ac:dyDescent="0.25">
      <c r="A38" s="89" t="s">
        <v>299</v>
      </c>
      <c r="B38" s="89" t="s">
        <v>878</v>
      </c>
      <c r="C38" s="89" t="s">
        <v>1230</v>
      </c>
      <c r="D38" s="89" t="s">
        <v>1266</v>
      </c>
      <c r="E38" s="89" t="s">
        <v>677</v>
      </c>
      <c r="F38" s="89" t="s">
        <v>677</v>
      </c>
      <c r="G38" s="89" t="s">
        <v>1265</v>
      </c>
      <c r="H38" s="89" t="s">
        <v>1264</v>
      </c>
      <c r="I38" s="89" t="s">
        <v>1263</v>
      </c>
      <c r="J38" s="89" t="s">
        <v>920</v>
      </c>
      <c r="K38" s="89" t="s">
        <v>677</v>
      </c>
      <c r="L38" s="89" t="s">
        <v>878</v>
      </c>
      <c r="M38" s="89" t="s">
        <v>1262</v>
      </c>
      <c r="N38" s="89" t="s">
        <v>1261</v>
      </c>
      <c r="O38" s="89" t="s">
        <v>1260</v>
      </c>
      <c r="P38" s="89" t="s">
        <v>677</v>
      </c>
    </row>
    <row r="39" spans="1:16" x14ac:dyDescent="0.25">
      <c r="A39" s="89" t="s">
        <v>297</v>
      </c>
      <c r="B39" s="89" t="s">
        <v>1256</v>
      </c>
      <c r="C39" s="89" t="s">
        <v>590</v>
      </c>
      <c r="D39" s="89" t="s">
        <v>1081</v>
      </c>
      <c r="E39" s="89" t="s">
        <v>1253</v>
      </c>
      <c r="F39" s="89" t="s">
        <v>1253</v>
      </c>
      <c r="G39" s="89" t="s">
        <v>1259</v>
      </c>
      <c r="H39" s="89" t="s">
        <v>1208</v>
      </c>
      <c r="I39" s="89" t="s">
        <v>1258</v>
      </c>
      <c r="J39" s="89" t="s">
        <v>1257</v>
      </c>
      <c r="K39" s="89" t="s">
        <v>1253</v>
      </c>
      <c r="L39" s="89" t="s">
        <v>1256</v>
      </c>
      <c r="M39" s="89" t="s">
        <v>1255</v>
      </c>
      <c r="N39" s="89" t="s">
        <v>813</v>
      </c>
      <c r="O39" s="89" t="s">
        <v>1254</v>
      </c>
      <c r="P39" s="89" t="s">
        <v>1253</v>
      </c>
    </row>
    <row r="40" spans="1:16" x14ac:dyDescent="0.25">
      <c r="A40" s="89" t="s">
        <v>294</v>
      </c>
      <c r="B40" s="89" t="s">
        <v>581</v>
      </c>
      <c r="C40" s="89" t="s">
        <v>1252</v>
      </c>
      <c r="D40" s="89" t="s">
        <v>1251</v>
      </c>
      <c r="E40" s="89" t="s">
        <v>1244</v>
      </c>
      <c r="F40" s="89" t="s">
        <v>1244</v>
      </c>
      <c r="G40" s="89" t="s">
        <v>1250</v>
      </c>
      <c r="H40" s="89" t="s">
        <v>1249</v>
      </c>
      <c r="I40" s="89" t="s">
        <v>1248</v>
      </c>
      <c r="J40" s="89" t="s">
        <v>650</v>
      </c>
      <c r="K40" s="89" t="s">
        <v>1244</v>
      </c>
      <c r="L40" s="89" t="s">
        <v>581</v>
      </c>
      <c r="M40" s="89" t="s">
        <v>1247</v>
      </c>
      <c r="N40" s="89" t="s">
        <v>1246</v>
      </c>
      <c r="O40" s="89" t="s">
        <v>1245</v>
      </c>
      <c r="P40" s="89" t="s">
        <v>1244</v>
      </c>
    </row>
    <row r="41" spans="1:16" x14ac:dyDescent="0.25">
      <c r="A41" s="89" t="s">
        <v>290</v>
      </c>
      <c r="B41" s="89" t="s">
        <v>867</v>
      </c>
      <c r="C41" s="89" t="s">
        <v>1243</v>
      </c>
      <c r="D41" s="89" t="s">
        <v>420</v>
      </c>
      <c r="E41" s="89" t="s">
        <v>721</v>
      </c>
      <c r="F41" s="89" t="s">
        <v>721</v>
      </c>
      <c r="G41" s="89" t="s">
        <v>940</v>
      </c>
      <c r="H41" s="89" t="s">
        <v>702</v>
      </c>
      <c r="I41" s="89" t="s">
        <v>1229</v>
      </c>
      <c r="J41" s="89" t="s">
        <v>1242</v>
      </c>
      <c r="K41" s="89" t="s">
        <v>721</v>
      </c>
      <c r="L41" s="89" t="s">
        <v>867</v>
      </c>
      <c r="M41" s="89" t="s">
        <v>618</v>
      </c>
      <c r="N41" s="89" t="s">
        <v>826</v>
      </c>
      <c r="O41" s="89" t="s">
        <v>963</v>
      </c>
      <c r="P41" s="89" t="s">
        <v>721</v>
      </c>
    </row>
    <row r="42" spans="1:16" x14ac:dyDescent="0.25">
      <c r="A42" s="89" t="s">
        <v>288</v>
      </c>
      <c r="B42" s="89" t="s">
        <v>1238</v>
      </c>
      <c r="C42" s="89" t="s">
        <v>1011</v>
      </c>
      <c r="D42" s="89" t="s">
        <v>1241</v>
      </c>
      <c r="E42" s="89" t="s">
        <v>1234</v>
      </c>
      <c r="F42" s="89" t="s">
        <v>1234</v>
      </c>
      <c r="G42" s="89" t="s">
        <v>1240</v>
      </c>
      <c r="H42" s="89" t="s">
        <v>1239</v>
      </c>
      <c r="I42" s="89" t="s">
        <v>709</v>
      </c>
      <c r="J42" s="89" t="s">
        <v>1055</v>
      </c>
      <c r="K42" s="89" t="s">
        <v>1234</v>
      </c>
      <c r="L42" s="89" t="s">
        <v>1238</v>
      </c>
      <c r="M42" s="89" t="s">
        <v>1237</v>
      </c>
      <c r="N42" s="89" t="s">
        <v>1236</v>
      </c>
      <c r="O42" s="89" t="s">
        <v>1235</v>
      </c>
      <c r="P42" s="89" t="s">
        <v>1234</v>
      </c>
    </row>
    <row r="43" spans="1:16" x14ac:dyDescent="0.25">
      <c r="A43" s="89" t="s">
        <v>286</v>
      </c>
      <c r="B43" s="89" t="s">
        <v>1229</v>
      </c>
      <c r="C43" s="89" t="s">
        <v>1233</v>
      </c>
      <c r="D43" s="89" t="s">
        <v>750</v>
      </c>
      <c r="E43" s="89" t="s">
        <v>1225</v>
      </c>
      <c r="F43" s="89" t="s">
        <v>1225</v>
      </c>
      <c r="G43" s="89" t="s">
        <v>1232</v>
      </c>
      <c r="H43" s="89" t="s">
        <v>1231</v>
      </c>
      <c r="I43" s="89" t="s">
        <v>469</v>
      </c>
      <c r="J43" s="89" t="s">
        <v>1230</v>
      </c>
      <c r="K43" s="89" t="s">
        <v>1225</v>
      </c>
      <c r="L43" s="89" t="s">
        <v>1229</v>
      </c>
      <c r="M43" s="89" t="s">
        <v>1228</v>
      </c>
      <c r="N43" s="89" t="s">
        <v>1227</v>
      </c>
      <c r="O43" s="89" t="s">
        <v>1226</v>
      </c>
      <c r="P43" s="89" t="s">
        <v>1225</v>
      </c>
    </row>
    <row r="44" spans="1:16" x14ac:dyDescent="0.25">
      <c r="A44" s="89" t="s">
        <v>284</v>
      </c>
      <c r="B44" s="89" t="s">
        <v>1220</v>
      </c>
      <c r="C44" s="89" t="s">
        <v>1224</v>
      </c>
      <c r="D44" s="89" t="s">
        <v>1223</v>
      </c>
      <c r="E44" s="89" t="s">
        <v>1069</v>
      </c>
      <c r="F44" s="89" t="s">
        <v>1069</v>
      </c>
      <c r="G44" s="89" t="s">
        <v>918</v>
      </c>
      <c r="H44" s="89" t="s">
        <v>1222</v>
      </c>
      <c r="I44" s="89" t="s">
        <v>1221</v>
      </c>
      <c r="J44" s="89" t="s">
        <v>413</v>
      </c>
      <c r="K44" s="89" t="s">
        <v>1069</v>
      </c>
      <c r="L44" s="89" t="s">
        <v>1220</v>
      </c>
      <c r="M44" s="89" t="s">
        <v>1219</v>
      </c>
      <c r="N44" s="89" t="s">
        <v>1218</v>
      </c>
      <c r="O44" s="89" t="s">
        <v>1217</v>
      </c>
      <c r="P44" s="89" t="s">
        <v>1069</v>
      </c>
    </row>
    <row r="45" spans="1:16" x14ac:dyDescent="0.25">
      <c r="A45" s="89" t="s">
        <v>281</v>
      </c>
      <c r="B45" s="89" t="s">
        <v>1213</v>
      </c>
      <c r="C45" s="89" t="s">
        <v>529</v>
      </c>
      <c r="D45" s="89" t="s">
        <v>1216</v>
      </c>
      <c r="E45" s="89" t="s">
        <v>1210</v>
      </c>
      <c r="F45" s="89" t="s">
        <v>1210</v>
      </c>
      <c r="G45" s="89" t="s">
        <v>970</v>
      </c>
      <c r="H45" s="89" t="s">
        <v>1215</v>
      </c>
      <c r="I45" s="89" t="s">
        <v>495</v>
      </c>
      <c r="J45" s="89" t="s">
        <v>1214</v>
      </c>
      <c r="K45" s="89" t="s">
        <v>1210</v>
      </c>
      <c r="L45" s="89" t="s">
        <v>1213</v>
      </c>
      <c r="M45" s="89" t="s">
        <v>1212</v>
      </c>
      <c r="N45" s="89" t="s">
        <v>1211</v>
      </c>
      <c r="O45" s="89" t="s">
        <v>747</v>
      </c>
      <c r="P45" s="89" t="s">
        <v>1210</v>
      </c>
    </row>
    <row r="46" spans="1:16" x14ac:dyDescent="0.25">
      <c r="A46" s="89" t="s">
        <v>277</v>
      </c>
      <c r="B46" s="89" t="s">
        <v>736</v>
      </c>
      <c r="C46" s="89" t="s">
        <v>1202</v>
      </c>
      <c r="D46" s="89" t="s">
        <v>1209</v>
      </c>
      <c r="E46" s="89" t="s">
        <v>1202</v>
      </c>
      <c r="F46" s="89" t="s">
        <v>1202</v>
      </c>
      <c r="G46" s="89" t="s">
        <v>1208</v>
      </c>
      <c r="H46" s="89" t="s">
        <v>1207</v>
      </c>
      <c r="I46" s="89" t="s">
        <v>1206</v>
      </c>
      <c r="J46" s="89" t="s">
        <v>971</v>
      </c>
      <c r="K46" s="89" t="s">
        <v>1202</v>
      </c>
      <c r="L46" s="89" t="s">
        <v>736</v>
      </c>
      <c r="M46" s="89" t="s">
        <v>1205</v>
      </c>
      <c r="N46" s="89" t="s">
        <v>1204</v>
      </c>
      <c r="O46" s="89" t="s">
        <v>1203</v>
      </c>
      <c r="P46" s="89" t="s">
        <v>1202</v>
      </c>
    </row>
    <row r="47" spans="1:16" x14ac:dyDescent="0.25">
      <c r="A47" s="89" t="s">
        <v>275</v>
      </c>
      <c r="B47" s="89" t="s">
        <v>1195</v>
      </c>
      <c r="C47" s="89" t="s">
        <v>1201</v>
      </c>
      <c r="D47" s="89" t="s">
        <v>1200</v>
      </c>
      <c r="E47" s="89" t="s">
        <v>1191</v>
      </c>
      <c r="F47" s="89" t="s">
        <v>1191</v>
      </c>
      <c r="G47" s="89" t="s">
        <v>1199</v>
      </c>
      <c r="H47" s="89" t="s">
        <v>1198</v>
      </c>
      <c r="I47" s="89" t="s">
        <v>1197</v>
      </c>
      <c r="J47" s="89" t="s">
        <v>1196</v>
      </c>
      <c r="K47" s="89" t="s">
        <v>1191</v>
      </c>
      <c r="L47" s="89" t="s">
        <v>1195</v>
      </c>
      <c r="M47" s="89" t="s">
        <v>1194</v>
      </c>
      <c r="N47" s="89" t="s">
        <v>1193</v>
      </c>
      <c r="O47" s="89" t="s">
        <v>1192</v>
      </c>
      <c r="P47" s="89" t="s">
        <v>1191</v>
      </c>
    </row>
    <row r="48" spans="1:16" x14ac:dyDescent="0.25">
      <c r="A48" s="89" t="s">
        <v>272</v>
      </c>
      <c r="B48" s="89" t="s">
        <v>1185</v>
      </c>
      <c r="C48" s="89" t="s">
        <v>1190</v>
      </c>
      <c r="D48" s="89" t="s">
        <v>1180</v>
      </c>
      <c r="E48" s="89" t="s">
        <v>1181</v>
      </c>
      <c r="F48" s="89" t="s">
        <v>1181</v>
      </c>
      <c r="G48" s="89" t="s">
        <v>1189</v>
      </c>
      <c r="H48" s="89" t="s">
        <v>1188</v>
      </c>
      <c r="I48" s="89" t="s">
        <v>1187</v>
      </c>
      <c r="J48" s="89" t="s">
        <v>1186</v>
      </c>
      <c r="K48" s="89" t="s">
        <v>1181</v>
      </c>
      <c r="L48" s="89" t="s">
        <v>1185</v>
      </c>
      <c r="M48" s="89" t="s">
        <v>1184</v>
      </c>
      <c r="N48" s="89" t="s">
        <v>1183</v>
      </c>
      <c r="O48" s="89" t="s">
        <v>1182</v>
      </c>
      <c r="P48" s="89" t="s">
        <v>1181</v>
      </c>
    </row>
    <row r="49" spans="1:16" x14ac:dyDescent="0.25">
      <c r="A49" s="89" t="s">
        <v>269</v>
      </c>
      <c r="B49" s="89" t="s">
        <v>644</v>
      </c>
      <c r="C49" s="89" t="s">
        <v>1180</v>
      </c>
      <c r="D49" s="89" t="s">
        <v>1179</v>
      </c>
      <c r="E49" s="89" t="s">
        <v>1129</v>
      </c>
      <c r="F49" s="89" t="s">
        <v>1129</v>
      </c>
      <c r="G49" s="89" t="s">
        <v>1178</v>
      </c>
      <c r="H49" s="89" t="s">
        <v>1177</v>
      </c>
      <c r="I49" s="89" t="s">
        <v>1176</v>
      </c>
      <c r="J49" s="89" t="s">
        <v>886</v>
      </c>
      <c r="K49" s="89" t="s">
        <v>1129</v>
      </c>
      <c r="L49" s="89" t="s">
        <v>644</v>
      </c>
      <c r="M49" s="89" t="s">
        <v>1175</v>
      </c>
      <c r="N49" s="89" t="s">
        <v>1006</v>
      </c>
      <c r="O49" s="89" t="s">
        <v>1174</v>
      </c>
      <c r="P49" s="89" t="s">
        <v>1129</v>
      </c>
    </row>
    <row r="50" spans="1:16" x14ac:dyDescent="0.25">
      <c r="A50" s="89" t="s">
        <v>266</v>
      </c>
      <c r="B50" s="89" t="s">
        <v>712</v>
      </c>
      <c r="C50" s="89" t="s">
        <v>1173</v>
      </c>
      <c r="D50" s="89" t="s">
        <v>1172</v>
      </c>
      <c r="E50" s="89" t="s">
        <v>1165</v>
      </c>
      <c r="F50" s="89" t="s">
        <v>1165</v>
      </c>
      <c r="G50" s="89" t="s">
        <v>1171</v>
      </c>
      <c r="H50" s="89" t="s">
        <v>1170</v>
      </c>
      <c r="I50" s="89" t="s">
        <v>1169</v>
      </c>
      <c r="J50" s="89" t="s">
        <v>493</v>
      </c>
      <c r="K50" s="89" t="s">
        <v>1165</v>
      </c>
      <c r="L50" s="89" t="s">
        <v>712</v>
      </c>
      <c r="M50" s="89" t="s">
        <v>1168</v>
      </c>
      <c r="N50" s="89" t="s">
        <v>1167</v>
      </c>
      <c r="O50" s="89" t="s">
        <v>1166</v>
      </c>
      <c r="P50" s="89" t="s">
        <v>1165</v>
      </c>
    </row>
    <row r="51" spans="1:16" x14ac:dyDescent="0.25">
      <c r="A51" s="89" t="s">
        <v>263</v>
      </c>
      <c r="B51" s="89" t="s">
        <v>1158</v>
      </c>
      <c r="C51" s="89" t="s">
        <v>1164</v>
      </c>
      <c r="D51" s="89" t="s">
        <v>1163</v>
      </c>
      <c r="E51" s="89" t="s">
        <v>1154</v>
      </c>
      <c r="F51" s="89" t="s">
        <v>1154</v>
      </c>
      <c r="G51" s="89" t="s">
        <v>1162</v>
      </c>
      <c r="H51" s="89" t="s">
        <v>1161</v>
      </c>
      <c r="I51" s="89" t="s">
        <v>1160</v>
      </c>
      <c r="J51" s="89" t="s">
        <v>1159</v>
      </c>
      <c r="K51" s="89" t="s">
        <v>1154</v>
      </c>
      <c r="L51" s="89" t="s">
        <v>1158</v>
      </c>
      <c r="M51" s="89" t="s">
        <v>1157</v>
      </c>
      <c r="N51" s="89" t="s">
        <v>1156</v>
      </c>
      <c r="O51" s="89" t="s">
        <v>1155</v>
      </c>
      <c r="P51" s="89" t="s">
        <v>1154</v>
      </c>
    </row>
    <row r="52" spans="1:16" x14ac:dyDescent="0.25">
      <c r="A52" s="89" t="s">
        <v>260</v>
      </c>
      <c r="B52" s="89" t="s">
        <v>1148</v>
      </c>
      <c r="C52" s="89" t="s">
        <v>1153</v>
      </c>
      <c r="D52" s="89" t="s">
        <v>1152</v>
      </c>
      <c r="E52" s="89" t="s">
        <v>1144</v>
      </c>
      <c r="F52" s="89" t="s">
        <v>1144</v>
      </c>
      <c r="G52" s="89" t="s">
        <v>1151</v>
      </c>
      <c r="H52" s="89" t="s">
        <v>1150</v>
      </c>
      <c r="I52" s="89" t="s">
        <v>1149</v>
      </c>
      <c r="J52" s="89" t="s">
        <v>619</v>
      </c>
      <c r="K52" s="89" t="s">
        <v>1144</v>
      </c>
      <c r="L52" s="89" t="s">
        <v>1148</v>
      </c>
      <c r="M52" s="89" t="s">
        <v>1147</v>
      </c>
      <c r="N52" s="89" t="s">
        <v>1146</v>
      </c>
      <c r="O52" s="89" t="s">
        <v>1145</v>
      </c>
      <c r="P52" s="89" t="s">
        <v>1144</v>
      </c>
    </row>
    <row r="53" spans="1:16" x14ac:dyDescent="0.25">
      <c r="A53" s="89" t="s">
        <v>256</v>
      </c>
      <c r="B53" s="89" t="s">
        <v>903</v>
      </c>
      <c r="C53" s="89" t="s">
        <v>894</v>
      </c>
      <c r="D53" s="89" t="s">
        <v>1143</v>
      </c>
      <c r="E53" s="89" t="s">
        <v>1136</v>
      </c>
      <c r="F53" s="89" t="s">
        <v>1136</v>
      </c>
      <c r="G53" s="89" t="s">
        <v>1142</v>
      </c>
      <c r="H53" s="89" t="s">
        <v>1141</v>
      </c>
      <c r="I53" s="89" t="s">
        <v>1140</v>
      </c>
      <c r="J53" s="89" t="s">
        <v>932</v>
      </c>
      <c r="K53" s="89" t="s">
        <v>1136</v>
      </c>
      <c r="L53" s="89" t="s">
        <v>903</v>
      </c>
      <c r="M53" s="89" t="s">
        <v>1139</v>
      </c>
      <c r="N53" s="89" t="s">
        <v>1138</v>
      </c>
      <c r="O53" s="89" t="s">
        <v>1137</v>
      </c>
      <c r="P53" s="89" t="s">
        <v>1136</v>
      </c>
    </row>
    <row r="54" spans="1:16" x14ac:dyDescent="0.25">
      <c r="A54" s="89" t="s">
        <v>254</v>
      </c>
      <c r="B54" s="89" t="s">
        <v>1129</v>
      </c>
      <c r="C54" s="89" t="s">
        <v>1135</v>
      </c>
      <c r="D54" s="89" t="s">
        <v>1134</v>
      </c>
      <c r="E54" s="89" t="s">
        <v>1125</v>
      </c>
      <c r="F54" s="89" t="s">
        <v>1125</v>
      </c>
      <c r="G54" s="89" t="s">
        <v>1133</v>
      </c>
      <c r="H54" s="89" t="s">
        <v>1132</v>
      </c>
      <c r="I54" s="89" t="s">
        <v>1131</v>
      </c>
      <c r="J54" s="89" t="s">
        <v>1130</v>
      </c>
      <c r="K54" s="89" t="s">
        <v>1125</v>
      </c>
      <c r="L54" s="89" t="s">
        <v>1129</v>
      </c>
      <c r="M54" s="89" t="s">
        <v>1128</v>
      </c>
      <c r="N54" s="89" t="s">
        <v>1127</v>
      </c>
      <c r="O54" s="89" t="s">
        <v>1126</v>
      </c>
      <c r="P54" s="89" t="s">
        <v>1125</v>
      </c>
    </row>
    <row r="55" spans="1:16" x14ac:dyDescent="0.25">
      <c r="A55" s="89" t="s">
        <v>251</v>
      </c>
      <c r="B55" s="89" t="s">
        <v>1119</v>
      </c>
      <c r="C55" s="89" t="s">
        <v>1124</v>
      </c>
      <c r="D55" s="89" t="s">
        <v>1123</v>
      </c>
      <c r="E55" s="89" t="s">
        <v>1116</v>
      </c>
      <c r="F55" s="89" t="s">
        <v>1116</v>
      </c>
      <c r="G55" s="89" t="s">
        <v>1122</v>
      </c>
      <c r="H55" s="89" t="s">
        <v>1121</v>
      </c>
      <c r="I55" s="89" t="s">
        <v>1120</v>
      </c>
      <c r="J55" s="89" t="s">
        <v>652</v>
      </c>
      <c r="K55" s="89" t="s">
        <v>1116</v>
      </c>
      <c r="L55" s="89" t="s">
        <v>1119</v>
      </c>
      <c r="M55" s="89" t="s">
        <v>1118</v>
      </c>
      <c r="N55" s="89" t="s">
        <v>1117</v>
      </c>
      <c r="O55" s="89" t="s">
        <v>972</v>
      </c>
      <c r="P55" s="89" t="s">
        <v>1116</v>
      </c>
    </row>
    <row r="56" spans="1:16" x14ac:dyDescent="0.25">
      <c r="A56" s="89" t="s">
        <v>248</v>
      </c>
      <c r="B56" s="89" t="s">
        <v>1113</v>
      </c>
      <c r="C56" s="89" t="s">
        <v>585</v>
      </c>
      <c r="D56" s="89" t="s">
        <v>612</v>
      </c>
      <c r="E56" s="89" t="s">
        <v>1109</v>
      </c>
      <c r="F56" s="89" t="s">
        <v>1109</v>
      </c>
      <c r="G56" s="89" t="s">
        <v>1115</v>
      </c>
      <c r="H56" s="89" t="s">
        <v>986</v>
      </c>
      <c r="I56" s="89" t="s">
        <v>1114</v>
      </c>
      <c r="J56" s="89" t="s">
        <v>1104</v>
      </c>
      <c r="K56" s="89" t="s">
        <v>1109</v>
      </c>
      <c r="L56" s="89" t="s">
        <v>1113</v>
      </c>
      <c r="M56" s="89" t="s">
        <v>1112</v>
      </c>
      <c r="N56" s="89" t="s">
        <v>1111</v>
      </c>
      <c r="O56" s="89" t="s">
        <v>1110</v>
      </c>
      <c r="P56" s="89" t="s">
        <v>1109</v>
      </c>
    </row>
    <row r="57" spans="1:16" x14ac:dyDescent="0.25">
      <c r="A57" s="89" t="s">
        <v>245</v>
      </c>
      <c r="B57" s="89" t="s">
        <v>504</v>
      </c>
      <c r="C57" s="89" t="s">
        <v>885</v>
      </c>
      <c r="D57" s="89" t="s">
        <v>1108</v>
      </c>
      <c r="E57" s="89" t="s">
        <v>1102</v>
      </c>
      <c r="F57" s="89" t="s">
        <v>1102</v>
      </c>
      <c r="G57" s="89" t="s">
        <v>1107</v>
      </c>
      <c r="H57" s="89" t="s">
        <v>1106</v>
      </c>
      <c r="I57" s="89" t="s">
        <v>1105</v>
      </c>
      <c r="J57" s="89" t="s">
        <v>1051</v>
      </c>
      <c r="K57" s="89" t="s">
        <v>1102</v>
      </c>
      <c r="L57" s="89" t="s">
        <v>504</v>
      </c>
      <c r="M57" s="89" t="s">
        <v>1104</v>
      </c>
      <c r="N57" s="89" t="s">
        <v>1029</v>
      </c>
      <c r="O57" s="89" t="s">
        <v>1103</v>
      </c>
      <c r="P57" s="89" t="s">
        <v>1102</v>
      </c>
    </row>
    <row r="58" spans="1:16" x14ac:dyDescent="0.25">
      <c r="A58" s="89" t="s">
        <v>243</v>
      </c>
      <c r="B58" s="89" t="s">
        <v>1096</v>
      </c>
      <c r="C58" s="89" t="s">
        <v>1101</v>
      </c>
      <c r="D58" s="89" t="s">
        <v>979</v>
      </c>
      <c r="E58" s="89" t="s">
        <v>864</v>
      </c>
      <c r="F58" s="89" t="s">
        <v>864</v>
      </c>
      <c r="G58" s="89" t="s">
        <v>1100</v>
      </c>
      <c r="H58" s="89" t="s">
        <v>1099</v>
      </c>
      <c r="I58" s="89" t="s">
        <v>1098</v>
      </c>
      <c r="J58" s="89" t="s">
        <v>1097</v>
      </c>
      <c r="K58" s="89" t="s">
        <v>864</v>
      </c>
      <c r="L58" s="89" t="s">
        <v>1096</v>
      </c>
      <c r="M58" s="89" t="s">
        <v>1095</v>
      </c>
      <c r="N58" s="89" t="s">
        <v>1094</v>
      </c>
      <c r="O58" s="89" t="s">
        <v>1093</v>
      </c>
      <c r="P58" s="89" t="s">
        <v>864</v>
      </c>
    </row>
    <row r="59" spans="1:16" x14ac:dyDescent="0.25">
      <c r="A59" s="89" t="s">
        <v>240</v>
      </c>
      <c r="B59" s="89" t="s">
        <v>408</v>
      </c>
      <c r="C59" s="89" t="s">
        <v>1092</v>
      </c>
      <c r="D59" s="89" t="s">
        <v>885</v>
      </c>
      <c r="E59" s="89" t="s">
        <v>1088</v>
      </c>
      <c r="F59" s="89" t="s">
        <v>1088</v>
      </c>
      <c r="G59" s="89" t="s">
        <v>849</v>
      </c>
      <c r="H59" s="89" t="s">
        <v>908</v>
      </c>
      <c r="I59" s="89" t="s">
        <v>1091</v>
      </c>
      <c r="J59" s="89" t="s">
        <v>829</v>
      </c>
      <c r="K59" s="89" t="s">
        <v>1088</v>
      </c>
      <c r="L59" s="89" t="s">
        <v>408</v>
      </c>
      <c r="M59" s="89" t="s">
        <v>1090</v>
      </c>
      <c r="N59" s="89" t="s">
        <v>1089</v>
      </c>
      <c r="O59" s="89" t="s">
        <v>573</v>
      </c>
      <c r="P59" s="89" t="s">
        <v>1088</v>
      </c>
    </row>
    <row r="60" spans="1:16" x14ac:dyDescent="0.25">
      <c r="A60" s="89" t="s">
        <v>237</v>
      </c>
      <c r="B60" s="89" t="s">
        <v>417</v>
      </c>
      <c r="C60" s="89" t="s">
        <v>858</v>
      </c>
      <c r="D60" s="89" t="s">
        <v>1087</v>
      </c>
      <c r="E60" s="89" t="s">
        <v>1083</v>
      </c>
      <c r="F60" s="89" t="s">
        <v>1083</v>
      </c>
      <c r="G60" s="89" t="s">
        <v>1062</v>
      </c>
      <c r="H60" s="89" t="s">
        <v>1006</v>
      </c>
      <c r="I60" s="89" t="s">
        <v>593</v>
      </c>
      <c r="J60" s="89" t="s">
        <v>1086</v>
      </c>
      <c r="K60" s="89" t="s">
        <v>1083</v>
      </c>
      <c r="L60" s="89" t="s">
        <v>417</v>
      </c>
      <c r="M60" s="89" t="s">
        <v>1085</v>
      </c>
      <c r="N60" s="89" t="s">
        <v>918</v>
      </c>
      <c r="O60" s="89" t="s">
        <v>1084</v>
      </c>
      <c r="P60" s="89" t="s">
        <v>1083</v>
      </c>
    </row>
    <row r="61" spans="1:16" x14ac:dyDescent="0.25">
      <c r="A61" s="89" t="s">
        <v>233</v>
      </c>
      <c r="B61" s="89" t="s">
        <v>680</v>
      </c>
      <c r="C61" s="89" t="s">
        <v>1082</v>
      </c>
      <c r="D61" s="89" t="s">
        <v>564</v>
      </c>
      <c r="E61" s="89" t="s">
        <v>1078</v>
      </c>
      <c r="F61" s="89" t="s">
        <v>1078</v>
      </c>
      <c r="G61" s="89" t="s">
        <v>925</v>
      </c>
      <c r="H61" s="89" t="s">
        <v>1081</v>
      </c>
      <c r="I61" s="89" t="s">
        <v>880</v>
      </c>
      <c r="J61" s="89" t="s">
        <v>1080</v>
      </c>
      <c r="K61" s="89" t="s">
        <v>1078</v>
      </c>
      <c r="L61" s="89" t="s">
        <v>680</v>
      </c>
      <c r="M61" s="89" t="s">
        <v>1079</v>
      </c>
      <c r="N61" s="89" t="s">
        <v>432</v>
      </c>
      <c r="O61" s="89" t="s">
        <v>671</v>
      </c>
      <c r="P61" s="89" t="s">
        <v>1078</v>
      </c>
    </row>
    <row r="62" spans="1:16" x14ac:dyDescent="0.25">
      <c r="A62" s="89" t="s">
        <v>199</v>
      </c>
      <c r="B62" s="89" t="s">
        <v>1074</v>
      </c>
      <c r="C62" s="89" t="s">
        <v>1077</v>
      </c>
      <c r="D62" s="89" t="s">
        <v>1076</v>
      </c>
      <c r="E62" s="89" t="s">
        <v>922</v>
      </c>
      <c r="F62" s="89" t="s">
        <v>922</v>
      </c>
      <c r="G62" s="89" t="s">
        <v>953</v>
      </c>
      <c r="H62" s="89" t="s">
        <v>817</v>
      </c>
      <c r="I62" s="89" t="s">
        <v>920</v>
      </c>
      <c r="J62" s="89" t="s">
        <v>1075</v>
      </c>
      <c r="K62" s="89" t="s">
        <v>922</v>
      </c>
      <c r="L62" s="89" t="s">
        <v>1074</v>
      </c>
      <c r="M62" s="89" t="s">
        <v>637</v>
      </c>
      <c r="N62" s="89" t="s">
        <v>1073</v>
      </c>
      <c r="O62" s="89" t="s">
        <v>1072</v>
      </c>
      <c r="P62" s="89" t="s">
        <v>922</v>
      </c>
    </row>
    <row r="63" spans="1:16" x14ac:dyDescent="0.25">
      <c r="A63" s="89" t="s">
        <v>227</v>
      </c>
      <c r="B63" s="89" t="s">
        <v>579</v>
      </c>
      <c r="C63" s="89" t="s">
        <v>1071</v>
      </c>
      <c r="D63" s="89" t="s">
        <v>1070</v>
      </c>
      <c r="E63" s="89" t="s">
        <v>1063</v>
      </c>
      <c r="F63" s="89" t="s">
        <v>1063</v>
      </c>
      <c r="G63" s="89" t="s">
        <v>912</v>
      </c>
      <c r="H63" s="89" t="s">
        <v>1069</v>
      </c>
      <c r="I63" s="89" t="s">
        <v>1068</v>
      </c>
      <c r="J63" s="89" t="s">
        <v>1067</v>
      </c>
      <c r="K63" s="89" t="s">
        <v>1063</v>
      </c>
      <c r="L63" s="89" t="s">
        <v>579</v>
      </c>
      <c r="M63" s="89" t="s">
        <v>1066</v>
      </c>
      <c r="N63" s="89" t="s">
        <v>1065</v>
      </c>
      <c r="O63" s="89" t="s">
        <v>1064</v>
      </c>
      <c r="P63" s="89" t="s">
        <v>1063</v>
      </c>
    </row>
    <row r="64" spans="1:16" x14ac:dyDescent="0.25">
      <c r="A64" s="89" t="s">
        <v>223</v>
      </c>
      <c r="B64" s="89" t="s">
        <v>1058</v>
      </c>
      <c r="C64" s="89" t="s">
        <v>1062</v>
      </c>
      <c r="D64" s="89" t="s">
        <v>1061</v>
      </c>
      <c r="E64" s="89" t="s">
        <v>500</v>
      </c>
      <c r="F64" s="89" t="s">
        <v>500</v>
      </c>
      <c r="G64" s="89" t="s">
        <v>819</v>
      </c>
      <c r="H64" s="89" t="s">
        <v>1060</v>
      </c>
      <c r="I64" s="89" t="s">
        <v>1059</v>
      </c>
      <c r="J64" s="89" t="s">
        <v>454</v>
      </c>
      <c r="K64" s="89" t="s">
        <v>500</v>
      </c>
      <c r="L64" s="89" t="s">
        <v>1058</v>
      </c>
      <c r="M64" s="89" t="s">
        <v>1057</v>
      </c>
      <c r="N64" s="89" t="s">
        <v>944</v>
      </c>
      <c r="O64" s="89" t="s">
        <v>1056</v>
      </c>
      <c r="P64" s="89" t="s">
        <v>500</v>
      </c>
    </row>
    <row r="65" spans="1:16" x14ac:dyDescent="0.25">
      <c r="A65" s="89" t="s">
        <v>220</v>
      </c>
      <c r="B65" s="89" t="s">
        <v>545</v>
      </c>
      <c r="C65" s="89" t="s">
        <v>1055</v>
      </c>
      <c r="D65" s="89" t="s">
        <v>1054</v>
      </c>
      <c r="E65" s="89" t="s">
        <v>1046</v>
      </c>
      <c r="F65" s="89" t="s">
        <v>1046</v>
      </c>
      <c r="G65" s="89" t="s">
        <v>1053</v>
      </c>
      <c r="H65" s="89" t="s">
        <v>1052</v>
      </c>
      <c r="I65" s="89" t="s">
        <v>1051</v>
      </c>
      <c r="J65" s="89" t="s">
        <v>1050</v>
      </c>
      <c r="K65" s="89" t="s">
        <v>1046</v>
      </c>
      <c r="L65" s="89" t="s">
        <v>545</v>
      </c>
      <c r="M65" s="89" t="s">
        <v>1049</v>
      </c>
      <c r="N65" s="89" t="s">
        <v>1048</v>
      </c>
      <c r="O65" s="89" t="s">
        <v>1047</v>
      </c>
      <c r="P65" s="89" t="s">
        <v>1046</v>
      </c>
    </row>
    <row r="66" spans="1:16" x14ac:dyDescent="0.25">
      <c r="A66" s="89" t="s">
        <v>217</v>
      </c>
      <c r="B66" s="89" t="s">
        <v>725</v>
      </c>
      <c r="C66" s="89" t="s">
        <v>1045</v>
      </c>
      <c r="D66" s="89" t="s">
        <v>621</v>
      </c>
      <c r="E66" s="89" t="s">
        <v>1039</v>
      </c>
      <c r="F66" s="89" t="s">
        <v>1039</v>
      </c>
      <c r="G66" s="89" t="s">
        <v>1044</v>
      </c>
      <c r="H66" s="89" t="s">
        <v>1043</v>
      </c>
      <c r="I66" s="89" t="s">
        <v>1042</v>
      </c>
      <c r="J66" s="89" t="s">
        <v>577</v>
      </c>
      <c r="K66" s="89" t="s">
        <v>1039</v>
      </c>
      <c r="L66" s="89" t="s">
        <v>725</v>
      </c>
      <c r="M66" s="89" t="s">
        <v>875</v>
      </c>
      <c r="N66" s="89" t="s">
        <v>1041</v>
      </c>
      <c r="O66" s="89" t="s">
        <v>1040</v>
      </c>
      <c r="P66" s="89" t="s">
        <v>1039</v>
      </c>
    </row>
    <row r="67" spans="1:16" x14ac:dyDescent="0.25">
      <c r="A67" s="89" t="s">
        <v>214</v>
      </c>
      <c r="B67" s="89" t="s">
        <v>640</v>
      </c>
      <c r="C67" s="89" t="s">
        <v>1038</v>
      </c>
      <c r="D67" s="89" t="s">
        <v>1037</v>
      </c>
      <c r="E67" s="89" t="s">
        <v>1030</v>
      </c>
      <c r="F67" s="89" t="s">
        <v>1030</v>
      </c>
      <c r="G67" s="89" t="s">
        <v>1025</v>
      </c>
      <c r="H67" s="89" t="s">
        <v>1036</v>
      </c>
      <c r="I67" s="89" t="s">
        <v>1035</v>
      </c>
      <c r="J67" s="89" t="s">
        <v>1034</v>
      </c>
      <c r="K67" s="89" t="s">
        <v>1030</v>
      </c>
      <c r="L67" s="89" t="s">
        <v>640</v>
      </c>
      <c r="M67" s="89" t="s">
        <v>1033</v>
      </c>
      <c r="N67" s="89" t="s">
        <v>1032</v>
      </c>
      <c r="O67" s="89" t="s">
        <v>1031</v>
      </c>
      <c r="P67" s="89" t="s">
        <v>1030</v>
      </c>
    </row>
    <row r="68" spans="1:16" x14ac:dyDescent="0.25">
      <c r="A68" s="89" t="s">
        <v>212</v>
      </c>
      <c r="B68" s="89" t="s">
        <v>1024</v>
      </c>
      <c r="C68" s="89" t="s">
        <v>1029</v>
      </c>
      <c r="D68" s="89" t="s">
        <v>1028</v>
      </c>
      <c r="E68" s="89" t="s">
        <v>1022</v>
      </c>
      <c r="F68" s="89" t="s">
        <v>1022</v>
      </c>
      <c r="G68" s="89" t="s">
        <v>1027</v>
      </c>
      <c r="H68" s="89" t="s">
        <v>1026</v>
      </c>
      <c r="I68" s="89" t="s">
        <v>403</v>
      </c>
      <c r="J68" s="89" t="s">
        <v>1025</v>
      </c>
      <c r="K68" s="89" t="s">
        <v>1022</v>
      </c>
      <c r="L68" s="89" t="s">
        <v>1024</v>
      </c>
      <c r="M68" s="89" t="s">
        <v>1023</v>
      </c>
      <c r="N68" s="89" t="s">
        <v>831</v>
      </c>
      <c r="O68" s="89" t="s">
        <v>874</v>
      </c>
      <c r="P68" s="89" t="s">
        <v>1022</v>
      </c>
    </row>
    <row r="69" spans="1:16" x14ac:dyDescent="0.25">
      <c r="A69" s="89" t="s">
        <v>209</v>
      </c>
      <c r="B69" s="89" t="s">
        <v>1016</v>
      </c>
      <c r="C69" s="89" t="s">
        <v>1021</v>
      </c>
      <c r="D69" s="89" t="s">
        <v>1020</v>
      </c>
      <c r="E69" s="89" t="s">
        <v>1012</v>
      </c>
      <c r="F69" s="89" t="s">
        <v>1012</v>
      </c>
      <c r="G69" s="89" t="s">
        <v>1019</v>
      </c>
      <c r="H69" s="89" t="s">
        <v>992</v>
      </c>
      <c r="I69" s="89" t="s">
        <v>1018</v>
      </c>
      <c r="J69" s="89" t="s">
        <v>1017</v>
      </c>
      <c r="K69" s="89" t="s">
        <v>1012</v>
      </c>
      <c r="L69" s="89" t="s">
        <v>1016</v>
      </c>
      <c r="M69" s="89" t="s">
        <v>1015</v>
      </c>
      <c r="N69" s="89" t="s">
        <v>1014</v>
      </c>
      <c r="O69" s="89" t="s">
        <v>1013</v>
      </c>
      <c r="P69" s="89" t="s">
        <v>1012</v>
      </c>
    </row>
    <row r="70" spans="1:16" x14ac:dyDescent="0.25">
      <c r="A70" s="89" t="s">
        <v>207</v>
      </c>
      <c r="B70" s="89" t="s">
        <v>571</v>
      </c>
      <c r="C70" s="89" t="s">
        <v>1011</v>
      </c>
      <c r="D70" s="89" t="s">
        <v>1010</v>
      </c>
      <c r="E70" s="89" t="s">
        <v>1004</v>
      </c>
      <c r="F70" s="89" t="s">
        <v>1004</v>
      </c>
      <c r="G70" s="89" t="s">
        <v>1009</v>
      </c>
      <c r="H70" s="89" t="s">
        <v>1008</v>
      </c>
      <c r="I70" s="89" t="s">
        <v>402</v>
      </c>
      <c r="J70" s="89" t="s">
        <v>1007</v>
      </c>
      <c r="K70" s="89" t="s">
        <v>1004</v>
      </c>
      <c r="L70" s="89" t="s">
        <v>571</v>
      </c>
      <c r="M70" s="89" t="s">
        <v>1006</v>
      </c>
      <c r="N70" s="89" t="s">
        <v>1005</v>
      </c>
      <c r="O70" s="89" t="s">
        <v>770</v>
      </c>
      <c r="P70" s="89" t="s">
        <v>1004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6" t="s">
        <v>1849</v>
      </c>
      <c r="C4" s="106"/>
      <c r="D4" s="106"/>
      <c r="E4" s="106"/>
      <c r="F4" s="106"/>
      <c r="G4" s="106" t="s">
        <v>1849</v>
      </c>
      <c r="H4" s="106"/>
      <c r="I4" s="106"/>
      <c r="J4" s="106"/>
      <c r="K4" s="106"/>
      <c r="L4" s="106" t="s">
        <v>1849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1055</v>
      </c>
      <c r="C6" s="89" t="s">
        <v>1586</v>
      </c>
      <c r="D6" s="89" t="s">
        <v>1754</v>
      </c>
      <c r="E6" s="89" t="s">
        <v>1376</v>
      </c>
      <c r="F6" s="89" t="s">
        <v>1376</v>
      </c>
      <c r="G6" s="89" t="s">
        <v>1848</v>
      </c>
      <c r="H6" s="89" t="s">
        <v>1847</v>
      </c>
      <c r="I6" s="89" t="s">
        <v>845</v>
      </c>
      <c r="J6" s="89" t="s">
        <v>1846</v>
      </c>
      <c r="K6" s="89" t="s">
        <v>1376</v>
      </c>
      <c r="L6" s="89" t="s">
        <v>1055</v>
      </c>
      <c r="M6" s="89" t="s">
        <v>1549</v>
      </c>
      <c r="N6" s="89" t="s">
        <v>575</v>
      </c>
      <c r="O6" s="89" t="s">
        <v>1845</v>
      </c>
      <c r="P6" s="89" t="s">
        <v>1376</v>
      </c>
    </row>
    <row r="7" spans="1:16" x14ac:dyDescent="0.25">
      <c r="A7" s="89" t="s">
        <v>392</v>
      </c>
      <c r="B7" s="89" t="s">
        <v>1841</v>
      </c>
      <c r="C7" s="89" t="s">
        <v>1754</v>
      </c>
      <c r="D7" s="89" t="s">
        <v>702</v>
      </c>
      <c r="E7" s="89" t="s">
        <v>1414</v>
      </c>
      <c r="F7" s="89" t="s">
        <v>1414</v>
      </c>
      <c r="G7" s="89" t="s">
        <v>1844</v>
      </c>
      <c r="H7" s="89" t="s">
        <v>1843</v>
      </c>
      <c r="I7" s="89" t="s">
        <v>1551</v>
      </c>
      <c r="J7" s="89" t="s">
        <v>1842</v>
      </c>
      <c r="K7" s="89" t="s">
        <v>1414</v>
      </c>
      <c r="L7" s="89" t="s">
        <v>1841</v>
      </c>
      <c r="M7" s="89" t="s">
        <v>744</v>
      </c>
      <c r="N7" s="89" t="s">
        <v>846</v>
      </c>
      <c r="O7" s="89" t="s">
        <v>1298</v>
      </c>
      <c r="P7" s="89" t="s">
        <v>1414</v>
      </c>
    </row>
    <row r="8" spans="1:16" x14ac:dyDescent="0.25">
      <c r="A8" s="89" t="s">
        <v>389</v>
      </c>
      <c r="B8" s="89" t="s">
        <v>1835</v>
      </c>
      <c r="C8" s="89" t="s">
        <v>1840</v>
      </c>
      <c r="D8" s="89" t="s">
        <v>761</v>
      </c>
      <c r="E8" s="89" t="s">
        <v>1832</v>
      </c>
      <c r="F8" s="89" t="s">
        <v>1832</v>
      </c>
      <c r="G8" s="89" t="s">
        <v>1839</v>
      </c>
      <c r="H8" s="89" t="s">
        <v>1838</v>
      </c>
      <c r="I8" s="89" t="s">
        <v>1837</v>
      </c>
      <c r="J8" s="89" t="s">
        <v>1836</v>
      </c>
      <c r="K8" s="89" t="s">
        <v>1832</v>
      </c>
      <c r="L8" s="89" t="s">
        <v>1835</v>
      </c>
      <c r="M8" s="89" t="s">
        <v>1834</v>
      </c>
      <c r="N8" s="89" t="s">
        <v>1032</v>
      </c>
      <c r="O8" s="89" t="s">
        <v>1833</v>
      </c>
      <c r="P8" s="89" t="s">
        <v>1832</v>
      </c>
    </row>
    <row r="9" spans="1:16" x14ac:dyDescent="0.25">
      <c r="A9" s="89" t="s">
        <v>386</v>
      </c>
      <c r="B9" s="89" t="s">
        <v>1827</v>
      </c>
      <c r="C9" s="89" t="s">
        <v>1821</v>
      </c>
      <c r="D9" s="89" t="s">
        <v>762</v>
      </c>
      <c r="E9" s="89" t="s">
        <v>1826</v>
      </c>
      <c r="F9" s="89" t="s">
        <v>1826</v>
      </c>
      <c r="G9" s="89" t="s">
        <v>1831</v>
      </c>
      <c r="H9" s="89" t="s">
        <v>1830</v>
      </c>
      <c r="I9" s="89" t="s">
        <v>1829</v>
      </c>
      <c r="J9" s="89" t="s">
        <v>1828</v>
      </c>
      <c r="K9" s="89" t="s">
        <v>1826</v>
      </c>
      <c r="L9" s="89" t="s">
        <v>1827</v>
      </c>
      <c r="M9" s="89" t="s">
        <v>1681</v>
      </c>
      <c r="N9" s="89" t="s">
        <v>705</v>
      </c>
      <c r="O9" s="89" t="s">
        <v>716</v>
      </c>
      <c r="P9" s="89" t="s">
        <v>1826</v>
      </c>
    </row>
    <row r="10" spans="1:16" x14ac:dyDescent="0.25">
      <c r="A10" s="89" t="s">
        <v>383</v>
      </c>
      <c r="B10" s="89" t="s">
        <v>572</v>
      </c>
      <c r="C10" s="89" t="s">
        <v>737</v>
      </c>
      <c r="D10" s="89" t="s">
        <v>1589</v>
      </c>
      <c r="E10" s="89" t="s">
        <v>877</v>
      </c>
      <c r="F10" s="89" t="s">
        <v>877</v>
      </c>
      <c r="G10" s="89" t="s">
        <v>1825</v>
      </c>
      <c r="H10" s="89" t="s">
        <v>1824</v>
      </c>
      <c r="I10" s="89" t="s">
        <v>1823</v>
      </c>
      <c r="J10" s="89" t="s">
        <v>1822</v>
      </c>
      <c r="K10" s="89" t="s">
        <v>877</v>
      </c>
      <c r="L10" s="89" t="s">
        <v>572</v>
      </c>
      <c r="M10" s="89" t="s">
        <v>1257</v>
      </c>
      <c r="N10" s="89" t="s">
        <v>854</v>
      </c>
      <c r="O10" s="89" t="s">
        <v>1821</v>
      </c>
      <c r="P10" s="89" t="s">
        <v>877</v>
      </c>
    </row>
    <row r="11" spans="1:16" x14ac:dyDescent="0.25">
      <c r="A11" s="89" t="s">
        <v>380</v>
      </c>
      <c r="B11" s="89" t="s">
        <v>1818</v>
      </c>
      <c r="C11" s="89" t="s">
        <v>674</v>
      </c>
      <c r="D11" s="89" t="s">
        <v>1820</v>
      </c>
      <c r="E11" s="89" t="s">
        <v>1257</v>
      </c>
      <c r="F11" s="89" t="s">
        <v>1257</v>
      </c>
      <c r="G11" s="89" t="s">
        <v>1050</v>
      </c>
      <c r="H11" s="89" t="s">
        <v>1734</v>
      </c>
      <c r="I11" s="89" t="s">
        <v>746</v>
      </c>
      <c r="J11" s="89" t="s">
        <v>1819</v>
      </c>
      <c r="K11" s="89" t="s">
        <v>1257</v>
      </c>
      <c r="L11" s="89" t="s">
        <v>1818</v>
      </c>
      <c r="M11" s="89" t="s">
        <v>1817</v>
      </c>
      <c r="N11" s="89" t="s">
        <v>1816</v>
      </c>
      <c r="O11" s="89" t="s">
        <v>1815</v>
      </c>
      <c r="P11" s="89" t="s">
        <v>1257</v>
      </c>
    </row>
    <row r="12" spans="1:16" x14ac:dyDescent="0.25">
      <c r="A12" s="89" t="s">
        <v>377</v>
      </c>
      <c r="B12" s="89" t="s">
        <v>943</v>
      </c>
      <c r="C12" s="89" t="s">
        <v>512</v>
      </c>
      <c r="D12" s="89" t="s">
        <v>462</v>
      </c>
      <c r="E12" s="89" t="s">
        <v>1332</v>
      </c>
      <c r="F12" s="89" t="s">
        <v>1332</v>
      </c>
      <c r="G12" s="89" t="s">
        <v>1814</v>
      </c>
      <c r="H12" s="89" t="s">
        <v>421</v>
      </c>
      <c r="I12" s="89" t="s">
        <v>1780</v>
      </c>
      <c r="J12" s="89" t="s">
        <v>1813</v>
      </c>
      <c r="K12" s="89" t="s">
        <v>1332</v>
      </c>
      <c r="L12" s="89" t="s">
        <v>943</v>
      </c>
      <c r="M12" s="89" t="s">
        <v>1547</v>
      </c>
      <c r="N12" s="89" t="s">
        <v>646</v>
      </c>
      <c r="O12" s="89" t="s">
        <v>1062</v>
      </c>
      <c r="P12" s="89" t="s">
        <v>1332</v>
      </c>
    </row>
    <row r="13" spans="1:16" x14ac:dyDescent="0.25">
      <c r="A13" s="89" t="s">
        <v>374</v>
      </c>
      <c r="B13" s="89" t="s">
        <v>1810</v>
      </c>
      <c r="C13" s="89" t="s">
        <v>1282</v>
      </c>
      <c r="D13" s="89" t="s">
        <v>1451</v>
      </c>
      <c r="E13" s="89" t="s">
        <v>1075</v>
      </c>
      <c r="F13" s="89" t="s">
        <v>1075</v>
      </c>
      <c r="G13" s="89" t="s">
        <v>1812</v>
      </c>
      <c r="H13" s="89" t="s">
        <v>1811</v>
      </c>
      <c r="I13" s="89" t="s">
        <v>1712</v>
      </c>
      <c r="J13" s="89" t="s">
        <v>1367</v>
      </c>
      <c r="K13" s="89" t="s">
        <v>1075</v>
      </c>
      <c r="L13" s="89" t="s">
        <v>1810</v>
      </c>
      <c r="M13" s="89" t="s">
        <v>1809</v>
      </c>
      <c r="N13" s="89" t="s">
        <v>543</v>
      </c>
      <c r="O13" s="89" t="s">
        <v>652</v>
      </c>
      <c r="P13" s="89" t="s">
        <v>1075</v>
      </c>
    </row>
    <row r="14" spans="1:16" x14ac:dyDescent="0.25">
      <c r="A14" s="89" t="s">
        <v>371</v>
      </c>
      <c r="B14" s="89" t="s">
        <v>1550</v>
      </c>
      <c r="C14" s="89" t="s">
        <v>1734</v>
      </c>
      <c r="D14" s="89" t="s">
        <v>517</v>
      </c>
      <c r="E14" s="89" t="s">
        <v>591</v>
      </c>
      <c r="F14" s="89" t="s">
        <v>591</v>
      </c>
      <c r="G14" s="89" t="s">
        <v>778</v>
      </c>
      <c r="H14" s="89" t="s">
        <v>1808</v>
      </c>
      <c r="I14" s="89" t="s">
        <v>1807</v>
      </c>
      <c r="J14" s="89" t="s">
        <v>1714</v>
      </c>
      <c r="K14" s="89" t="s">
        <v>591</v>
      </c>
      <c r="L14" s="89" t="s">
        <v>1550</v>
      </c>
      <c r="M14" s="89" t="s">
        <v>1806</v>
      </c>
      <c r="N14" s="89" t="s">
        <v>1627</v>
      </c>
      <c r="O14" s="89" t="s">
        <v>1805</v>
      </c>
      <c r="P14" s="89" t="s">
        <v>591</v>
      </c>
    </row>
    <row r="15" spans="1:16" x14ac:dyDescent="0.25">
      <c r="A15" s="89" t="s">
        <v>368</v>
      </c>
      <c r="B15" s="89" t="s">
        <v>574</v>
      </c>
      <c r="C15" s="89" t="s">
        <v>432</v>
      </c>
      <c r="D15" s="89" t="s">
        <v>670</v>
      </c>
      <c r="E15" s="89" t="s">
        <v>434</v>
      </c>
      <c r="F15" s="89" t="s">
        <v>434</v>
      </c>
      <c r="G15" s="89" t="s">
        <v>1056</v>
      </c>
      <c r="H15" s="89" t="s">
        <v>671</v>
      </c>
      <c r="I15" s="89" t="s">
        <v>406</v>
      </c>
      <c r="J15" s="89" t="s">
        <v>1230</v>
      </c>
      <c r="K15" s="89" t="s">
        <v>434</v>
      </c>
      <c r="L15" s="89" t="s">
        <v>574</v>
      </c>
      <c r="M15" s="89" t="s">
        <v>676</v>
      </c>
      <c r="N15" s="89" t="s">
        <v>439</v>
      </c>
      <c r="O15" s="89" t="s">
        <v>1185</v>
      </c>
      <c r="P15" s="89" t="s">
        <v>434</v>
      </c>
    </row>
    <row r="16" spans="1:16" x14ac:dyDescent="0.25">
      <c r="A16" s="89" t="s">
        <v>366</v>
      </c>
      <c r="B16" s="89" t="s">
        <v>798</v>
      </c>
      <c r="C16" s="89" t="s">
        <v>1804</v>
      </c>
      <c r="D16" s="89" t="s">
        <v>1803</v>
      </c>
      <c r="E16" s="89" t="s">
        <v>1799</v>
      </c>
      <c r="F16" s="89" t="s">
        <v>1799</v>
      </c>
      <c r="G16" s="89" t="s">
        <v>839</v>
      </c>
      <c r="H16" s="89" t="s">
        <v>704</v>
      </c>
      <c r="I16" s="89" t="s">
        <v>1486</v>
      </c>
      <c r="J16" s="89" t="s">
        <v>1086</v>
      </c>
      <c r="K16" s="89" t="s">
        <v>1799</v>
      </c>
      <c r="L16" s="89" t="s">
        <v>798</v>
      </c>
      <c r="M16" s="89" t="s">
        <v>1802</v>
      </c>
      <c r="N16" s="89" t="s">
        <v>1801</v>
      </c>
      <c r="O16" s="89" t="s">
        <v>1800</v>
      </c>
      <c r="P16" s="89" t="s">
        <v>1799</v>
      </c>
    </row>
    <row r="17" spans="1:16" x14ac:dyDescent="0.25">
      <c r="A17" s="89" t="s">
        <v>363</v>
      </c>
      <c r="B17" s="89" t="s">
        <v>728</v>
      </c>
      <c r="C17" s="89" t="s">
        <v>679</v>
      </c>
      <c r="D17" s="89" t="s">
        <v>560</v>
      </c>
      <c r="E17" s="89" t="s">
        <v>1795</v>
      </c>
      <c r="F17" s="89" t="s">
        <v>1795</v>
      </c>
      <c r="G17" s="89" t="s">
        <v>1504</v>
      </c>
      <c r="H17" s="89" t="s">
        <v>1798</v>
      </c>
      <c r="I17" s="89" t="s">
        <v>1768</v>
      </c>
      <c r="J17" s="89" t="s">
        <v>1742</v>
      </c>
      <c r="K17" s="89" t="s">
        <v>1795</v>
      </c>
      <c r="L17" s="89" t="s">
        <v>728</v>
      </c>
      <c r="M17" s="89" t="s">
        <v>1797</v>
      </c>
      <c r="N17" s="89" t="s">
        <v>1796</v>
      </c>
      <c r="O17" s="89" t="s">
        <v>565</v>
      </c>
      <c r="P17" s="89" t="s">
        <v>1795</v>
      </c>
    </row>
    <row r="18" spans="1:16" x14ac:dyDescent="0.25">
      <c r="A18" s="89" t="s">
        <v>360</v>
      </c>
      <c r="B18" s="89" t="s">
        <v>1789</v>
      </c>
      <c r="C18" s="89" t="s">
        <v>1794</v>
      </c>
      <c r="D18" s="89" t="s">
        <v>1793</v>
      </c>
      <c r="E18" s="89" t="s">
        <v>1785</v>
      </c>
      <c r="F18" s="89" t="s">
        <v>1785</v>
      </c>
      <c r="G18" s="89" t="s">
        <v>1792</v>
      </c>
      <c r="H18" s="89" t="s">
        <v>1791</v>
      </c>
      <c r="I18" s="89" t="s">
        <v>993</v>
      </c>
      <c r="J18" s="89" t="s">
        <v>1790</v>
      </c>
      <c r="K18" s="89" t="s">
        <v>1785</v>
      </c>
      <c r="L18" s="89" t="s">
        <v>1789</v>
      </c>
      <c r="M18" s="89" t="s">
        <v>1788</v>
      </c>
      <c r="N18" s="89" t="s">
        <v>1787</v>
      </c>
      <c r="O18" s="89" t="s">
        <v>1786</v>
      </c>
      <c r="P18" s="89" t="s">
        <v>1785</v>
      </c>
    </row>
    <row r="19" spans="1:16" x14ac:dyDescent="0.25">
      <c r="A19" s="89" t="s">
        <v>357</v>
      </c>
      <c r="B19" s="89" t="s">
        <v>1781</v>
      </c>
      <c r="C19" s="89" t="s">
        <v>1552</v>
      </c>
      <c r="D19" s="89" t="s">
        <v>568</v>
      </c>
      <c r="E19" s="89" t="s">
        <v>850</v>
      </c>
      <c r="F19" s="89" t="s">
        <v>850</v>
      </c>
      <c r="G19" s="89" t="s">
        <v>857</v>
      </c>
      <c r="H19" s="89" t="s">
        <v>1784</v>
      </c>
      <c r="I19" s="89" t="s">
        <v>1783</v>
      </c>
      <c r="J19" s="89" t="s">
        <v>1782</v>
      </c>
      <c r="K19" s="89" t="s">
        <v>850</v>
      </c>
      <c r="L19" s="89" t="s">
        <v>1781</v>
      </c>
      <c r="M19" s="89" t="s">
        <v>944</v>
      </c>
      <c r="N19" s="89" t="s">
        <v>657</v>
      </c>
      <c r="O19" s="89" t="s">
        <v>1780</v>
      </c>
      <c r="P19" s="89" t="s">
        <v>850</v>
      </c>
    </row>
    <row r="20" spans="1:16" x14ac:dyDescent="0.25">
      <c r="A20" s="89" t="s">
        <v>353</v>
      </c>
      <c r="B20" s="89" t="s">
        <v>1210</v>
      </c>
      <c r="C20" s="89" t="s">
        <v>1779</v>
      </c>
      <c r="D20" s="89" t="s">
        <v>633</v>
      </c>
      <c r="E20" s="89" t="s">
        <v>986</v>
      </c>
      <c r="F20" s="89" t="s">
        <v>986</v>
      </c>
      <c r="G20" s="89" t="s">
        <v>1443</v>
      </c>
      <c r="H20" s="89" t="s">
        <v>1220</v>
      </c>
      <c r="I20" s="89" t="s">
        <v>1453</v>
      </c>
      <c r="J20" s="89" t="s">
        <v>1778</v>
      </c>
      <c r="K20" s="89" t="s">
        <v>986</v>
      </c>
      <c r="L20" s="89" t="s">
        <v>1210</v>
      </c>
      <c r="M20" s="89" t="s">
        <v>1777</v>
      </c>
      <c r="N20" s="89" t="s">
        <v>720</v>
      </c>
      <c r="O20" s="89" t="s">
        <v>420</v>
      </c>
      <c r="P20" s="89" t="s">
        <v>986</v>
      </c>
    </row>
    <row r="21" spans="1:16" x14ac:dyDescent="0.25">
      <c r="A21" s="89" t="s">
        <v>351</v>
      </c>
      <c r="B21" s="89" t="s">
        <v>1774</v>
      </c>
      <c r="C21" s="89" t="s">
        <v>1548</v>
      </c>
      <c r="D21" s="89" t="s">
        <v>1415</v>
      </c>
      <c r="E21" s="89" t="s">
        <v>1552</v>
      </c>
      <c r="F21" s="89" t="s">
        <v>1552</v>
      </c>
      <c r="G21" s="89" t="s">
        <v>1776</v>
      </c>
      <c r="H21" s="89" t="s">
        <v>1448</v>
      </c>
      <c r="I21" s="89" t="s">
        <v>1775</v>
      </c>
      <c r="J21" s="89" t="s">
        <v>1466</v>
      </c>
      <c r="K21" s="89" t="s">
        <v>1552</v>
      </c>
      <c r="L21" s="89" t="s">
        <v>1774</v>
      </c>
      <c r="M21" s="89" t="s">
        <v>671</v>
      </c>
      <c r="N21" s="89" t="s">
        <v>1773</v>
      </c>
      <c r="O21" s="89" t="s">
        <v>1772</v>
      </c>
      <c r="P21" s="89" t="s">
        <v>1552</v>
      </c>
    </row>
    <row r="22" spans="1:16" x14ac:dyDescent="0.25">
      <c r="A22" s="89" t="s">
        <v>348</v>
      </c>
      <c r="B22" s="89" t="s">
        <v>921</v>
      </c>
      <c r="C22" s="89" t="s">
        <v>478</v>
      </c>
      <c r="D22" s="89" t="s">
        <v>671</v>
      </c>
      <c r="E22" s="89" t="s">
        <v>875</v>
      </c>
      <c r="F22" s="89" t="s">
        <v>875</v>
      </c>
      <c r="G22" s="89" t="s">
        <v>1771</v>
      </c>
      <c r="H22" s="89" t="s">
        <v>1538</v>
      </c>
      <c r="I22" s="89" t="s">
        <v>1770</v>
      </c>
      <c r="J22" s="89" t="s">
        <v>1726</v>
      </c>
      <c r="K22" s="89" t="s">
        <v>875</v>
      </c>
      <c r="L22" s="89" t="s">
        <v>921</v>
      </c>
      <c r="M22" s="89" t="s">
        <v>1769</v>
      </c>
      <c r="N22" s="89" t="s">
        <v>719</v>
      </c>
      <c r="O22" s="89" t="s">
        <v>1768</v>
      </c>
      <c r="P22" s="89" t="s">
        <v>875</v>
      </c>
    </row>
    <row r="23" spans="1:16" x14ac:dyDescent="0.25">
      <c r="A23" s="89" t="s">
        <v>345</v>
      </c>
      <c r="B23" s="89" t="s">
        <v>729</v>
      </c>
      <c r="C23" s="89" t="s">
        <v>1671</v>
      </c>
      <c r="D23" s="89" t="s">
        <v>571</v>
      </c>
      <c r="E23" s="89" t="s">
        <v>1765</v>
      </c>
      <c r="F23" s="89" t="s">
        <v>1765</v>
      </c>
      <c r="G23" s="89" t="s">
        <v>1075</v>
      </c>
      <c r="H23" s="89" t="s">
        <v>1103</v>
      </c>
      <c r="I23" s="89" t="s">
        <v>1623</v>
      </c>
      <c r="J23" s="89" t="s">
        <v>1767</v>
      </c>
      <c r="K23" s="89" t="s">
        <v>1765</v>
      </c>
      <c r="L23" s="89" t="s">
        <v>729</v>
      </c>
      <c r="M23" s="89" t="s">
        <v>1515</v>
      </c>
      <c r="N23" s="89" t="s">
        <v>1119</v>
      </c>
      <c r="O23" s="89" t="s">
        <v>1766</v>
      </c>
      <c r="P23" s="89" t="s">
        <v>1765</v>
      </c>
    </row>
    <row r="24" spans="1:16" x14ac:dyDescent="0.25">
      <c r="A24" s="89" t="s">
        <v>342</v>
      </c>
      <c r="B24" s="89" t="s">
        <v>1761</v>
      </c>
      <c r="C24" s="89" t="s">
        <v>1179</v>
      </c>
      <c r="D24" s="89" t="s">
        <v>1764</v>
      </c>
      <c r="E24" s="89" t="s">
        <v>1758</v>
      </c>
      <c r="F24" s="89" t="s">
        <v>1758</v>
      </c>
      <c r="G24" s="89" t="s">
        <v>721</v>
      </c>
      <c r="H24" s="89" t="s">
        <v>1763</v>
      </c>
      <c r="I24" s="89" t="s">
        <v>1762</v>
      </c>
      <c r="J24" s="89" t="s">
        <v>1577</v>
      </c>
      <c r="K24" s="89" t="s">
        <v>1758</v>
      </c>
      <c r="L24" s="89" t="s">
        <v>1761</v>
      </c>
      <c r="M24" s="89" t="s">
        <v>573</v>
      </c>
      <c r="N24" s="89" t="s">
        <v>1760</v>
      </c>
      <c r="O24" s="89" t="s">
        <v>1759</v>
      </c>
      <c r="P24" s="89" t="s">
        <v>1758</v>
      </c>
    </row>
    <row r="25" spans="1:16" x14ac:dyDescent="0.25">
      <c r="A25" s="89" t="s">
        <v>339</v>
      </c>
      <c r="B25" s="89" t="s">
        <v>1756</v>
      </c>
      <c r="C25" s="89" t="s">
        <v>1319</v>
      </c>
      <c r="D25" s="89" t="s">
        <v>1757</v>
      </c>
      <c r="E25" s="89" t="s">
        <v>1713</v>
      </c>
      <c r="F25" s="89" t="s">
        <v>1713</v>
      </c>
      <c r="G25" s="89" t="s">
        <v>1212</v>
      </c>
      <c r="H25" s="89" t="s">
        <v>1365</v>
      </c>
      <c r="I25" s="89" t="s">
        <v>714</v>
      </c>
      <c r="J25" s="89" t="s">
        <v>851</v>
      </c>
      <c r="K25" s="89" t="s">
        <v>1713</v>
      </c>
      <c r="L25" s="89" t="s">
        <v>1756</v>
      </c>
      <c r="M25" s="89" t="s">
        <v>857</v>
      </c>
      <c r="N25" s="89" t="s">
        <v>1745</v>
      </c>
      <c r="O25" s="89" t="s">
        <v>826</v>
      </c>
      <c r="P25" s="89" t="s">
        <v>1713</v>
      </c>
    </row>
    <row r="26" spans="1:16" x14ac:dyDescent="0.25">
      <c r="A26" s="89" t="s">
        <v>336</v>
      </c>
      <c r="B26" s="89" t="s">
        <v>1754</v>
      </c>
      <c r="C26" s="89" t="s">
        <v>1631</v>
      </c>
      <c r="D26" s="89" t="s">
        <v>1755</v>
      </c>
      <c r="E26" s="89" t="s">
        <v>955</v>
      </c>
      <c r="F26" s="89" t="s">
        <v>955</v>
      </c>
      <c r="G26" s="89" t="s">
        <v>805</v>
      </c>
      <c r="H26" s="89" t="s">
        <v>1116</v>
      </c>
      <c r="I26" s="89" t="s">
        <v>670</v>
      </c>
      <c r="J26" s="89" t="s">
        <v>682</v>
      </c>
      <c r="K26" s="89" t="s">
        <v>955</v>
      </c>
      <c r="L26" s="89" t="s">
        <v>1754</v>
      </c>
      <c r="M26" s="89" t="s">
        <v>1753</v>
      </c>
      <c r="N26" s="89" t="s">
        <v>1752</v>
      </c>
      <c r="O26" s="89" t="s">
        <v>741</v>
      </c>
      <c r="P26" s="89" t="s">
        <v>955</v>
      </c>
    </row>
    <row r="27" spans="1:16" x14ac:dyDescent="0.25">
      <c r="A27" s="89" t="s">
        <v>333</v>
      </c>
      <c r="B27" s="89" t="s">
        <v>1748</v>
      </c>
      <c r="C27" s="89" t="s">
        <v>1751</v>
      </c>
      <c r="D27" s="89" t="s">
        <v>1750</v>
      </c>
      <c r="E27" s="89" t="s">
        <v>1746</v>
      </c>
      <c r="F27" s="89" t="s">
        <v>1746</v>
      </c>
      <c r="G27" s="89" t="s">
        <v>1749</v>
      </c>
      <c r="H27" s="89" t="s">
        <v>977</v>
      </c>
      <c r="I27" s="89" t="s">
        <v>1092</v>
      </c>
      <c r="J27" s="89" t="s">
        <v>850</v>
      </c>
      <c r="K27" s="89" t="s">
        <v>1746</v>
      </c>
      <c r="L27" s="89" t="s">
        <v>1748</v>
      </c>
      <c r="M27" s="89" t="s">
        <v>1351</v>
      </c>
      <c r="N27" s="89" t="s">
        <v>1174</v>
      </c>
      <c r="O27" s="89" t="s">
        <v>1747</v>
      </c>
      <c r="P27" s="89" t="s">
        <v>1746</v>
      </c>
    </row>
    <row r="28" spans="1:16" x14ac:dyDescent="0.25">
      <c r="A28" s="89" t="s">
        <v>330</v>
      </c>
      <c r="B28" s="89" t="s">
        <v>1743</v>
      </c>
      <c r="C28" s="89" t="s">
        <v>1745</v>
      </c>
      <c r="D28" s="89" t="s">
        <v>1379</v>
      </c>
      <c r="E28" s="89" t="s">
        <v>759</v>
      </c>
      <c r="F28" s="89" t="s">
        <v>759</v>
      </c>
      <c r="G28" s="89" t="s">
        <v>1744</v>
      </c>
      <c r="H28" s="89" t="s">
        <v>1564</v>
      </c>
      <c r="I28" s="89" t="s">
        <v>795</v>
      </c>
      <c r="J28" s="89" t="s">
        <v>875</v>
      </c>
      <c r="K28" s="89" t="s">
        <v>759</v>
      </c>
      <c r="L28" s="89" t="s">
        <v>1743</v>
      </c>
      <c r="M28" s="89" t="s">
        <v>1254</v>
      </c>
      <c r="N28" s="89" t="s">
        <v>1742</v>
      </c>
      <c r="O28" s="89" t="s">
        <v>1549</v>
      </c>
      <c r="P28" s="89" t="s">
        <v>759</v>
      </c>
    </row>
    <row r="29" spans="1:16" x14ac:dyDescent="0.25">
      <c r="A29" s="89" t="s">
        <v>327</v>
      </c>
      <c r="B29" s="89" t="s">
        <v>1312</v>
      </c>
      <c r="C29" s="89" t="s">
        <v>1741</v>
      </c>
      <c r="D29" s="89" t="s">
        <v>413</v>
      </c>
      <c r="E29" s="89" t="s">
        <v>1736</v>
      </c>
      <c r="F29" s="89" t="s">
        <v>1736</v>
      </c>
      <c r="G29" s="89" t="s">
        <v>1298</v>
      </c>
      <c r="H29" s="89" t="s">
        <v>1740</v>
      </c>
      <c r="I29" s="89" t="s">
        <v>634</v>
      </c>
      <c r="J29" s="89" t="s">
        <v>1349</v>
      </c>
      <c r="K29" s="89" t="s">
        <v>1736</v>
      </c>
      <c r="L29" s="89" t="s">
        <v>1312</v>
      </c>
      <c r="M29" s="89" t="s">
        <v>1739</v>
      </c>
      <c r="N29" s="89" t="s">
        <v>1738</v>
      </c>
      <c r="O29" s="89" t="s">
        <v>1737</v>
      </c>
      <c r="P29" s="89" t="s">
        <v>1736</v>
      </c>
    </row>
    <row r="30" spans="1:16" x14ac:dyDescent="0.25">
      <c r="A30" s="89" t="s">
        <v>324</v>
      </c>
      <c r="B30" s="89" t="s">
        <v>467</v>
      </c>
      <c r="C30" s="89" t="s">
        <v>1735</v>
      </c>
      <c r="D30" s="89" t="s">
        <v>1734</v>
      </c>
      <c r="E30" s="89" t="s">
        <v>1044</v>
      </c>
      <c r="F30" s="89" t="s">
        <v>1044</v>
      </c>
      <c r="G30" s="89" t="s">
        <v>1555</v>
      </c>
      <c r="H30" s="89" t="s">
        <v>1183</v>
      </c>
      <c r="I30" s="89" t="s">
        <v>1733</v>
      </c>
      <c r="J30" s="89" t="s">
        <v>1732</v>
      </c>
      <c r="K30" s="89" t="s">
        <v>1044</v>
      </c>
      <c r="L30" s="89" t="s">
        <v>467</v>
      </c>
      <c r="M30" s="89" t="s">
        <v>1731</v>
      </c>
      <c r="N30" s="89" t="s">
        <v>1730</v>
      </c>
      <c r="O30" s="89" t="s">
        <v>1729</v>
      </c>
      <c r="P30" s="89" t="s">
        <v>1044</v>
      </c>
    </row>
    <row r="31" spans="1:16" x14ac:dyDescent="0.25">
      <c r="A31" s="89" t="s">
        <v>321</v>
      </c>
      <c r="B31" s="89" t="s">
        <v>1277</v>
      </c>
      <c r="C31" s="89" t="s">
        <v>1493</v>
      </c>
      <c r="D31" s="89" t="s">
        <v>1502</v>
      </c>
      <c r="E31" s="89" t="s">
        <v>501</v>
      </c>
      <c r="F31" s="89" t="s">
        <v>501</v>
      </c>
      <c r="G31" s="89" t="s">
        <v>1728</v>
      </c>
      <c r="H31" s="89" t="s">
        <v>1573</v>
      </c>
      <c r="I31" s="89" t="s">
        <v>1727</v>
      </c>
      <c r="J31" s="89" t="s">
        <v>1726</v>
      </c>
      <c r="K31" s="89" t="s">
        <v>501</v>
      </c>
      <c r="L31" s="89" t="s">
        <v>1277</v>
      </c>
      <c r="M31" s="89" t="s">
        <v>1725</v>
      </c>
      <c r="N31" s="89" t="s">
        <v>1724</v>
      </c>
      <c r="O31" s="89" t="s">
        <v>1723</v>
      </c>
      <c r="P31" s="89" t="s">
        <v>501</v>
      </c>
    </row>
    <row r="32" spans="1:16" x14ac:dyDescent="0.25">
      <c r="A32" s="89" t="s">
        <v>318</v>
      </c>
      <c r="B32" s="89" t="s">
        <v>1719</v>
      </c>
      <c r="C32" s="89" t="s">
        <v>1722</v>
      </c>
      <c r="D32" s="89" t="s">
        <v>1721</v>
      </c>
      <c r="E32" s="89" t="s">
        <v>1716</v>
      </c>
      <c r="F32" s="89" t="s">
        <v>1716</v>
      </c>
      <c r="G32" s="89" t="s">
        <v>1720</v>
      </c>
      <c r="H32" s="89" t="s">
        <v>1349</v>
      </c>
      <c r="I32" s="89" t="s">
        <v>1314</v>
      </c>
      <c r="J32" s="89" t="s">
        <v>1666</v>
      </c>
      <c r="K32" s="89" t="s">
        <v>1716</v>
      </c>
      <c r="L32" s="89" t="s">
        <v>1719</v>
      </c>
      <c r="M32" s="89" t="s">
        <v>1718</v>
      </c>
      <c r="N32" s="89" t="s">
        <v>1717</v>
      </c>
      <c r="O32" s="89" t="s">
        <v>586</v>
      </c>
      <c r="P32" s="89" t="s">
        <v>1716</v>
      </c>
    </row>
    <row r="33" spans="1:16" x14ac:dyDescent="0.25">
      <c r="A33" s="89" t="s">
        <v>315</v>
      </c>
      <c r="B33" s="89" t="s">
        <v>1713</v>
      </c>
      <c r="C33" s="89" t="s">
        <v>737</v>
      </c>
      <c r="D33" s="89" t="s">
        <v>574</v>
      </c>
      <c r="E33" s="89" t="s">
        <v>879</v>
      </c>
      <c r="F33" s="89" t="s">
        <v>879</v>
      </c>
      <c r="G33" s="89" t="s">
        <v>1715</v>
      </c>
      <c r="H33" s="89" t="s">
        <v>714</v>
      </c>
      <c r="I33" s="89" t="s">
        <v>798</v>
      </c>
      <c r="J33" s="89" t="s">
        <v>1714</v>
      </c>
      <c r="K33" s="89" t="s">
        <v>879</v>
      </c>
      <c r="L33" s="89" t="s">
        <v>1713</v>
      </c>
      <c r="M33" s="89" t="s">
        <v>1712</v>
      </c>
      <c r="N33" s="89" t="s">
        <v>1711</v>
      </c>
      <c r="O33" s="89" t="s">
        <v>1557</v>
      </c>
      <c r="P33" s="89" t="s">
        <v>879</v>
      </c>
    </row>
    <row r="34" spans="1:16" x14ac:dyDescent="0.25">
      <c r="A34" s="89" t="s">
        <v>312</v>
      </c>
      <c r="B34" s="89" t="s">
        <v>1114</v>
      </c>
      <c r="C34" s="89" t="s">
        <v>1710</v>
      </c>
      <c r="D34" s="89" t="s">
        <v>1039</v>
      </c>
      <c r="E34" s="89" t="s">
        <v>1705</v>
      </c>
      <c r="F34" s="89" t="s">
        <v>1705</v>
      </c>
      <c r="G34" s="89" t="s">
        <v>651</v>
      </c>
      <c r="H34" s="89" t="s">
        <v>1709</v>
      </c>
      <c r="I34" s="89" t="s">
        <v>610</v>
      </c>
      <c r="J34" s="89" t="s">
        <v>518</v>
      </c>
      <c r="K34" s="89" t="s">
        <v>1705</v>
      </c>
      <c r="L34" s="89" t="s">
        <v>1114</v>
      </c>
      <c r="M34" s="89" t="s">
        <v>1708</v>
      </c>
      <c r="N34" s="89" t="s">
        <v>1707</v>
      </c>
      <c r="O34" s="89" t="s">
        <v>1706</v>
      </c>
      <c r="P34" s="89" t="s">
        <v>1705</v>
      </c>
    </row>
    <row r="35" spans="1:16" x14ac:dyDescent="0.25">
      <c r="A35" s="89" t="s">
        <v>309</v>
      </c>
      <c r="B35" s="89" t="s">
        <v>1700</v>
      </c>
      <c r="C35" s="89" t="s">
        <v>1704</v>
      </c>
      <c r="D35" s="89" t="s">
        <v>1703</v>
      </c>
      <c r="E35" s="89" t="s">
        <v>1696</v>
      </c>
      <c r="F35" s="89" t="s">
        <v>1696</v>
      </c>
      <c r="G35" s="89" t="s">
        <v>1702</v>
      </c>
      <c r="H35" s="89" t="s">
        <v>540</v>
      </c>
      <c r="I35" s="89" t="s">
        <v>1701</v>
      </c>
      <c r="J35" s="89" t="s">
        <v>536</v>
      </c>
      <c r="K35" s="89" t="s">
        <v>1696</v>
      </c>
      <c r="L35" s="89" t="s">
        <v>1700</v>
      </c>
      <c r="M35" s="89" t="s">
        <v>1699</v>
      </c>
      <c r="N35" s="89" t="s">
        <v>1698</v>
      </c>
      <c r="O35" s="89" t="s">
        <v>1697</v>
      </c>
      <c r="P35" s="89" t="s">
        <v>1696</v>
      </c>
    </row>
    <row r="36" spans="1:16" x14ac:dyDescent="0.25">
      <c r="A36" s="89" t="s">
        <v>306</v>
      </c>
      <c r="B36" s="89" t="s">
        <v>1691</v>
      </c>
      <c r="C36" s="89" t="s">
        <v>1695</v>
      </c>
      <c r="D36" s="89" t="s">
        <v>1694</v>
      </c>
      <c r="E36" s="89" t="s">
        <v>1689</v>
      </c>
      <c r="F36" s="89" t="s">
        <v>1689</v>
      </c>
      <c r="G36" s="89" t="s">
        <v>1693</v>
      </c>
      <c r="H36" s="89" t="s">
        <v>1692</v>
      </c>
      <c r="I36" s="89" t="s">
        <v>1586</v>
      </c>
      <c r="J36" s="89" t="s">
        <v>1666</v>
      </c>
      <c r="K36" s="89" t="s">
        <v>1689</v>
      </c>
      <c r="L36" s="89" t="s">
        <v>1691</v>
      </c>
      <c r="M36" s="89" t="s">
        <v>1690</v>
      </c>
      <c r="N36" s="89" t="s">
        <v>805</v>
      </c>
      <c r="O36" s="89" t="s">
        <v>437</v>
      </c>
      <c r="P36" s="89" t="s">
        <v>1689</v>
      </c>
    </row>
    <row r="37" spans="1:16" x14ac:dyDescent="0.25">
      <c r="A37" s="89" t="s">
        <v>303</v>
      </c>
      <c r="B37" s="89" t="s">
        <v>1278</v>
      </c>
      <c r="C37" s="89" t="s">
        <v>1220</v>
      </c>
      <c r="D37" s="89" t="s">
        <v>1022</v>
      </c>
      <c r="E37" s="89" t="s">
        <v>1683</v>
      </c>
      <c r="F37" s="89" t="s">
        <v>1683</v>
      </c>
      <c r="G37" s="89" t="s">
        <v>1688</v>
      </c>
      <c r="H37" s="89" t="s">
        <v>811</v>
      </c>
      <c r="I37" s="89" t="s">
        <v>1687</v>
      </c>
      <c r="J37" s="89" t="s">
        <v>1686</v>
      </c>
      <c r="K37" s="89" t="s">
        <v>1683</v>
      </c>
      <c r="L37" s="89" t="s">
        <v>1278</v>
      </c>
      <c r="M37" s="89" t="s">
        <v>1685</v>
      </c>
      <c r="N37" s="89" t="s">
        <v>1684</v>
      </c>
      <c r="O37" s="89" t="s">
        <v>1674</v>
      </c>
      <c r="P37" s="89" t="s">
        <v>1683</v>
      </c>
    </row>
    <row r="38" spans="1:16" x14ac:dyDescent="0.25">
      <c r="A38" s="89" t="s">
        <v>299</v>
      </c>
      <c r="B38" s="89" t="s">
        <v>1681</v>
      </c>
      <c r="C38" s="89" t="s">
        <v>957</v>
      </c>
      <c r="D38" s="89" t="s">
        <v>600</v>
      </c>
      <c r="E38" s="89" t="s">
        <v>611</v>
      </c>
      <c r="F38" s="89" t="s">
        <v>611</v>
      </c>
      <c r="G38" s="89" t="s">
        <v>425</v>
      </c>
      <c r="H38" s="89" t="s">
        <v>1487</v>
      </c>
      <c r="I38" s="89" t="s">
        <v>1054</v>
      </c>
      <c r="J38" s="89" t="s">
        <v>1682</v>
      </c>
      <c r="K38" s="89" t="s">
        <v>611</v>
      </c>
      <c r="L38" s="89" t="s">
        <v>1681</v>
      </c>
      <c r="M38" s="89" t="s">
        <v>1680</v>
      </c>
      <c r="N38" s="89" t="s">
        <v>878</v>
      </c>
      <c r="O38" s="89" t="s">
        <v>1679</v>
      </c>
      <c r="P38" s="89" t="s">
        <v>611</v>
      </c>
    </row>
    <row r="39" spans="1:16" x14ac:dyDescent="0.25">
      <c r="A39" s="89" t="s">
        <v>297</v>
      </c>
      <c r="B39" s="89" t="s">
        <v>1437</v>
      </c>
      <c r="C39" s="89" t="s">
        <v>1634</v>
      </c>
      <c r="D39" s="89" t="s">
        <v>1666</v>
      </c>
      <c r="E39" s="89" t="s">
        <v>1051</v>
      </c>
      <c r="F39" s="89" t="s">
        <v>1051</v>
      </c>
      <c r="G39" s="89" t="s">
        <v>583</v>
      </c>
      <c r="H39" s="89" t="s">
        <v>1617</v>
      </c>
      <c r="I39" s="89" t="s">
        <v>678</v>
      </c>
      <c r="J39" s="89" t="s">
        <v>453</v>
      </c>
      <c r="K39" s="89" t="s">
        <v>1051</v>
      </c>
      <c r="L39" s="89" t="s">
        <v>1437</v>
      </c>
      <c r="M39" s="89" t="s">
        <v>1263</v>
      </c>
      <c r="N39" s="89" t="s">
        <v>1372</v>
      </c>
      <c r="O39" s="89" t="s">
        <v>1678</v>
      </c>
      <c r="P39" s="89" t="s">
        <v>1051</v>
      </c>
    </row>
    <row r="40" spans="1:16" x14ac:dyDescent="0.25">
      <c r="A40" s="89" t="s">
        <v>294</v>
      </c>
      <c r="B40" s="89" t="s">
        <v>903</v>
      </c>
      <c r="C40" s="89" t="s">
        <v>806</v>
      </c>
      <c r="D40" s="89" t="s">
        <v>1330</v>
      </c>
      <c r="E40" s="89" t="s">
        <v>402</v>
      </c>
      <c r="F40" s="89" t="s">
        <v>402</v>
      </c>
      <c r="G40" s="89" t="s">
        <v>552</v>
      </c>
      <c r="H40" s="89" t="s">
        <v>1677</v>
      </c>
      <c r="I40" s="89" t="s">
        <v>957</v>
      </c>
      <c r="J40" s="89" t="s">
        <v>574</v>
      </c>
      <c r="K40" s="89" t="s">
        <v>402</v>
      </c>
      <c r="L40" s="89" t="s">
        <v>903</v>
      </c>
      <c r="M40" s="89" t="s">
        <v>1676</v>
      </c>
      <c r="N40" s="89" t="s">
        <v>1675</v>
      </c>
      <c r="O40" s="89" t="s">
        <v>1674</v>
      </c>
      <c r="P40" s="89" t="s">
        <v>402</v>
      </c>
    </row>
    <row r="41" spans="1:16" x14ac:dyDescent="0.25">
      <c r="A41" s="89" t="s">
        <v>290</v>
      </c>
      <c r="B41" s="89" t="s">
        <v>592</v>
      </c>
      <c r="C41" s="89" t="s">
        <v>1577</v>
      </c>
      <c r="D41" s="89" t="s">
        <v>661</v>
      </c>
      <c r="E41" s="89" t="s">
        <v>534</v>
      </c>
      <c r="F41" s="89" t="s">
        <v>534</v>
      </c>
      <c r="G41" s="89" t="s">
        <v>1547</v>
      </c>
      <c r="H41" s="89" t="s">
        <v>1673</v>
      </c>
      <c r="I41" s="89" t="s">
        <v>1672</v>
      </c>
      <c r="J41" s="89" t="s">
        <v>1671</v>
      </c>
      <c r="K41" s="89" t="s">
        <v>534</v>
      </c>
      <c r="L41" s="89" t="s">
        <v>592</v>
      </c>
      <c r="M41" s="89" t="s">
        <v>605</v>
      </c>
      <c r="N41" s="89" t="s">
        <v>956</v>
      </c>
      <c r="O41" s="89" t="s">
        <v>876</v>
      </c>
      <c r="P41" s="89" t="s">
        <v>534</v>
      </c>
    </row>
    <row r="42" spans="1:16" x14ac:dyDescent="0.25">
      <c r="A42" s="89" t="s">
        <v>288</v>
      </c>
      <c r="B42" s="89" t="s">
        <v>1667</v>
      </c>
      <c r="C42" s="89" t="s">
        <v>620</v>
      </c>
      <c r="D42" s="89" t="s">
        <v>553</v>
      </c>
      <c r="E42" s="89" t="s">
        <v>1486</v>
      </c>
      <c r="F42" s="89" t="s">
        <v>1486</v>
      </c>
      <c r="G42" s="89" t="s">
        <v>1670</v>
      </c>
      <c r="H42" s="89" t="s">
        <v>1669</v>
      </c>
      <c r="I42" s="89" t="s">
        <v>1668</v>
      </c>
      <c r="J42" s="89" t="s">
        <v>1372</v>
      </c>
      <c r="K42" s="89" t="s">
        <v>1486</v>
      </c>
      <c r="L42" s="89" t="s">
        <v>1667</v>
      </c>
      <c r="M42" s="89" t="s">
        <v>1666</v>
      </c>
      <c r="N42" s="89" t="s">
        <v>467</v>
      </c>
      <c r="O42" s="89" t="s">
        <v>1665</v>
      </c>
      <c r="P42" s="89" t="s">
        <v>1486</v>
      </c>
    </row>
    <row r="43" spans="1:16" x14ac:dyDescent="0.25">
      <c r="A43" s="89" t="s">
        <v>286</v>
      </c>
      <c r="B43" s="89" t="s">
        <v>1662</v>
      </c>
      <c r="C43" s="89" t="s">
        <v>1653</v>
      </c>
      <c r="D43" s="89" t="s">
        <v>1664</v>
      </c>
      <c r="E43" s="89" t="s">
        <v>443</v>
      </c>
      <c r="F43" s="89" t="s">
        <v>443</v>
      </c>
      <c r="G43" s="89" t="s">
        <v>1495</v>
      </c>
      <c r="H43" s="89" t="s">
        <v>1663</v>
      </c>
      <c r="I43" s="89" t="s">
        <v>575</v>
      </c>
      <c r="J43" s="89" t="s">
        <v>870</v>
      </c>
      <c r="K43" s="89" t="s">
        <v>443</v>
      </c>
      <c r="L43" s="89" t="s">
        <v>1662</v>
      </c>
      <c r="M43" s="89" t="s">
        <v>1661</v>
      </c>
      <c r="N43" s="89" t="s">
        <v>840</v>
      </c>
      <c r="O43" s="89" t="s">
        <v>1268</v>
      </c>
      <c r="P43" s="89" t="s">
        <v>443</v>
      </c>
    </row>
    <row r="44" spans="1:16" x14ac:dyDescent="0.25">
      <c r="A44" s="89" t="s">
        <v>284</v>
      </c>
      <c r="B44" s="89" t="s">
        <v>1658</v>
      </c>
      <c r="C44" s="89" t="s">
        <v>1660</v>
      </c>
      <c r="D44" s="89" t="s">
        <v>1659</v>
      </c>
      <c r="E44" s="89" t="s">
        <v>1654</v>
      </c>
      <c r="F44" s="89" t="s">
        <v>1654</v>
      </c>
      <c r="G44" s="89" t="s">
        <v>1503</v>
      </c>
      <c r="H44" s="89" t="s">
        <v>1047</v>
      </c>
      <c r="I44" s="89" t="s">
        <v>575</v>
      </c>
      <c r="J44" s="89" t="s">
        <v>460</v>
      </c>
      <c r="K44" s="89" t="s">
        <v>1654</v>
      </c>
      <c r="L44" s="89" t="s">
        <v>1658</v>
      </c>
      <c r="M44" s="89" t="s">
        <v>1657</v>
      </c>
      <c r="N44" s="89" t="s">
        <v>1656</v>
      </c>
      <c r="O44" s="89" t="s">
        <v>1655</v>
      </c>
      <c r="P44" s="89" t="s">
        <v>1654</v>
      </c>
    </row>
    <row r="45" spans="1:16" x14ac:dyDescent="0.25">
      <c r="A45" s="89" t="s">
        <v>281</v>
      </c>
      <c r="B45" s="89" t="s">
        <v>1516</v>
      </c>
      <c r="C45" s="89" t="s">
        <v>444</v>
      </c>
      <c r="D45" s="89" t="s">
        <v>1388</v>
      </c>
      <c r="E45" s="89" t="s">
        <v>1242</v>
      </c>
      <c r="F45" s="89" t="s">
        <v>1242</v>
      </c>
      <c r="G45" s="89" t="s">
        <v>501</v>
      </c>
      <c r="H45" s="89" t="s">
        <v>1653</v>
      </c>
      <c r="I45" s="89" t="s">
        <v>575</v>
      </c>
      <c r="J45" s="89" t="s">
        <v>1652</v>
      </c>
      <c r="K45" s="89" t="s">
        <v>1242</v>
      </c>
      <c r="L45" s="89" t="s">
        <v>1516</v>
      </c>
      <c r="M45" s="89" t="s">
        <v>1651</v>
      </c>
      <c r="N45" s="89" t="s">
        <v>1114</v>
      </c>
      <c r="O45" s="89" t="s">
        <v>1511</v>
      </c>
      <c r="P45" s="89" t="s">
        <v>1242</v>
      </c>
    </row>
    <row r="46" spans="1:16" x14ac:dyDescent="0.25">
      <c r="A46" s="89" t="s">
        <v>277</v>
      </c>
      <c r="B46" s="89" t="s">
        <v>1647</v>
      </c>
      <c r="C46" s="89" t="s">
        <v>1314</v>
      </c>
      <c r="D46" s="89" t="s">
        <v>1503</v>
      </c>
      <c r="E46" s="89" t="s">
        <v>424</v>
      </c>
      <c r="F46" s="89" t="s">
        <v>424</v>
      </c>
      <c r="G46" s="89" t="s">
        <v>1650</v>
      </c>
      <c r="H46" s="89" t="s">
        <v>1073</v>
      </c>
      <c r="I46" s="89" t="s">
        <v>1649</v>
      </c>
      <c r="J46" s="89" t="s">
        <v>1648</v>
      </c>
      <c r="K46" s="89" t="s">
        <v>424</v>
      </c>
      <c r="L46" s="89" t="s">
        <v>1647</v>
      </c>
      <c r="M46" s="89" t="s">
        <v>1646</v>
      </c>
      <c r="N46" s="89" t="s">
        <v>1600</v>
      </c>
      <c r="O46" s="89" t="s">
        <v>1645</v>
      </c>
      <c r="P46" s="89" t="s">
        <v>424</v>
      </c>
    </row>
    <row r="47" spans="1:16" x14ac:dyDescent="0.25">
      <c r="A47" s="89" t="s">
        <v>275</v>
      </c>
      <c r="B47" s="89" t="s">
        <v>1639</v>
      </c>
      <c r="C47" s="89" t="s">
        <v>1644</v>
      </c>
      <c r="D47" s="89" t="s">
        <v>1301</v>
      </c>
      <c r="E47" s="89" t="s">
        <v>1636</v>
      </c>
      <c r="F47" s="89" t="s">
        <v>1636</v>
      </c>
      <c r="G47" s="89" t="s">
        <v>1643</v>
      </c>
      <c r="H47" s="89" t="s">
        <v>1642</v>
      </c>
      <c r="I47" s="89" t="s">
        <v>1641</v>
      </c>
      <c r="J47" s="89" t="s">
        <v>1640</v>
      </c>
      <c r="K47" s="89" t="s">
        <v>1636</v>
      </c>
      <c r="L47" s="89" t="s">
        <v>1639</v>
      </c>
      <c r="M47" s="89" t="s">
        <v>1638</v>
      </c>
      <c r="N47" s="89" t="s">
        <v>1367</v>
      </c>
      <c r="O47" s="89" t="s">
        <v>1637</v>
      </c>
      <c r="P47" s="89" t="s">
        <v>1636</v>
      </c>
    </row>
    <row r="48" spans="1:16" x14ac:dyDescent="0.25">
      <c r="A48" s="89" t="s">
        <v>272</v>
      </c>
      <c r="B48" s="89" t="s">
        <v>1630</v>
      </c>
      <c r="C48" s="89" t="s">
        <v>1635</v>
      </c>
      <c r="D48" s="89" t="s">
        <v>1634</v>
      </c>
      <c r="E48" s="89" t="s">
        <v>1627</v>
      </c>
      <c r="F48" s="89" t="s">
        <v>1627</v>
      </c>
      <c r="G48" s="89" t="s">
        <v>1633</v>
      </c>
      <c r="H48" s="89" t="s">
        <v>766</v>
      </c>
      <c r="I48" s="89" t="s">
        <v>1632</v>
      </c>
      <c r="J48" s="89" t="s">
        <v>1631</v>
      </c>
      <c r="K48" s="89" t="s">
        <v>1627</v>
      </c>
      <c r="L48" s="89" t="s">
        <v>1630</v>
      </c>
      <c r="M48" s="89" t="s">
        <v>1629</v>
      </c>
      <c r="N48" s="89" t="s">
        <v>1628</v>
      </c>
      <c r="O48" s="89" t="s">
        <v>934</v>
      </c>
      <c r="P48" s="89" t="s">
        <v>1627</v>
      </c>
    </row>
    <row r="49" spans="1:16" x14ac:dyDescent="0.25">
      <c r="A49" s="89" t="s">
        <v>269</v>
      </c>
      <c r="B49" s="89" t="s">
        <v>893</v>
      </c>
      <c r="C49" s="89" t="s">
        <v>1313</v>
      </c>
      <c r="D49" s="89" t="s">
        <v>1405</v>
      </c>
      <c r="E49" s="89" t="s">
        <v>1620</v>
      </c>
      <c r="F49" s="89" t="s">
        <v>1620</v>
      </c>
      <c r="G49" s="89" t="s">
        <v>1626</v>
      </c>
      <c r="H49" s="89" t="s">
        <v>1625</v>
      </c>
      <c r="I49" s="89" t="s">
        <v>1624</v>
      </c>
      <c r="J49" s="89" t="s">
        <v>1623</v>
      </c>
      <c r="K49" s="89" t="s">
        <v>1620</v>
      </c>
      <c r="L49" s="89" t="s">
        <v>893</v>
      </c>
      <c r="M49" s="89" t="s">
        <v>1622</v>
      </c>
      <c r="N49" s="89" t="s">
        <v>583</v>
      </c>
      <c r="O49" s="89" t="s">
        <v>1621</v>
      </c>
      <c r="P49" s="89" t="s">
        <v>1620</v>
      </c>
    </row>
    <row r="50" spans="1:16" x14ac:dyDescent="0.25">
      <c r="A50" s="89" t="s">
        <v>266</v>
      </c>
      <c r="B50" s="89" t="s">
        <v>1615</v>
      </c>
      <c r="C50" s="89" t="s">
        <v>1065</v>
      </c>
      <c r="D50" s="89" t="s">
        <v>1619</v>
      </c>
      <c r="E50" s="89" t="s">
        <v>1612</v>
      </c>
      <c r="F50" s="89" t="s">
        <v>1612</v>
      </c>
      <c r="G50" s="89" t="s">
        <v>1618</v>
      </c>
      <c r="H50" s="89" t="s">
        <v>1617</v>
      </c>
      <c r="I50" s="89" t="s">
        <v>401</v>
      </c>
      <c r="J50" s="89" t="s">
        <v>1616</v>
      </c>
      <c r="K50" s="89" t="s">
        <v>1612</v>
      </c>
      <c r="L50" s="89" t="s">
        <v>1615</v>
      </c>
      <c r="M50" s="89" t="s">
        <v>558</v>
      </c>
      <c r="N50" s="89" t="s">
        <v>1614</v>
      </c>
      <c r="O50" s="89" t="s">
        <v>1613</v>
      </c>
      <c r="P50" s="89" t="s">
        <v>1612</v>
      </c>
    </row>
    <row r="51" spans="1:16" x14ac:dyDescent="0.25">
      <c r="A51" s="89" t="s">
        <v>263</v>
      </c>
      <c r="B51" s="89" t="s">
        <v>1605</v>
      </c>
      <c r="C51" s="89" t="s">
        <v>1611</v>
      </c>
      <c r="D51" s="89" t="s">
        <v>1610</v>
      </c>
      <c r="E51" s="89" t="s">
        <v>1601</v>
      </c>
      <c r="F51" s="89" t="s">
        <v>1601</v>
      </c>
      <c r="G51" s="89" t="s">
        <v>1609</v>
      </c>
      <c r="H51" s="89" t="s">
        <v>1608</v>
      </c>
      <c r="I51" s="89" t="s">
        <v>1607</v>
      </c>
      <c r="J51" s="89" t="s">
        <v>1606</v>
      </c>
      <c r="K51" s="89" t="s">
        <v>1601</v>
      </c>
      <c r="L51" s="89" t="s">
        <v>1605</v>
      </c>
      <c r="M51" s="89" t="s">
        <v>1604</v>
      </c>
      <c r="N51" s="89" t="s">
        <v>1603</v>
      </c>
      <c r="O51" s="89" t="s">
        <v>1602</v>
      </c>
      <c r="P51" s="89" t="s">
        <v>1601</v>
      </c>
    </row>
    <row r="52" spans="1:16" x14ac:dyDescent="0.25">
      <c r="A52" s="89" t="s">
        <v>260</v>
      </c>
      <c r="B52" s="89" t="s">
        <v>1595</v>
      </c>
      <c r="C52" s="89" t="s">
        <v>875</v>
      </c>
      <c r="D52" s="89" t="s">
        <v>1600</v>
      </c>
      <c r="E52" s="89" t="s">
        <v>419</v>
      </c>
      <c r="F52" s="89" t="s">
        <v>419</v>
      </c>
      <c r="G52" s="89" t="s">
        <v>1599</v>
      </c>
      <c r="H52" s="89" t="s">
        <v>1598</v>
      </c>
      <c r="I52" s="89" t="s">
        <v>1597</v>
      </c>
      <c r="J52" s="89" t="s">
        <v>1596</v>
      </c>
      <c r="K52" s="89" t="s">
        <v>419</v>
      </c>
      <c r="L52" s="89" t="s">
        <v>1595</v>
      </c>
      <c r="M52" s="89" t="s">
        <v>1594</v>
      </c>
      <c r="N52" s="89" t="s">
        <v>819</v>
      </c>
      <c r="O52" s="89" t="s">
        <v>1593</v>
      </c>
      <c r="P52" s="89" t="s">
        <v>419</v>
      </c>
    </row>
    <row r="53" spans="1:16" x14ac:dyDescent="0.25">
      <c r="A53" s="89" t="s">
        <v>256</v>
      </c>
      <c r="B53" s="89" t="s">
        <v>1277</v>
      </c>
      <c r="C53" s="89" t="s">
        <v>1588</v>
      </c>
      <c r="D53" s="89" t="s">
        <v>1592</v>
      </c>
      <c r="E53" s="89" t="s">
        <v>1589</v>
      </c>
      <c r="F53" s="89" t="s">
        <v>1589</v>
      </c>
      <c r="G53" s="89" t="s">
        <v>542</v>
      </c>
      <c r="H53" s="89" t="s">
        <v>1078</v>
      </c>
      <c r="I53" s="89" t="s">
        <v>797</v>
      </c>
      <c r="J53" s="89" t="s">
        <v>1591</v>
      </c>
      <c r="K53" s="89" t="s">
        <v>1589</v>
      </c>
      <c r="L53" s="89" t="s">
        <v>1277</v>
      </c>
      <c r="M53" s="89" t="s">
        <v>1590</v>
      </c>
      <c r="N53" s="89" t="s">
        <v>593</v>
      </c>
      <c r="O53" s="89" t="s">
        <v>534</v>
      </c>
      <c r="P53" s="89" t="s">
        <v>1589</v>
      </c>
    </row>
    <row r="54" spans="1:16" x14ac:dyDescent="0.25">
      <c r="A54" s="89" t="s">
        <v>254</v>
      </c>
      <c r="B54" s="89" t="s">
        <v>1583</v>
      </c>
      <c r="C54" s="89" t="s">
        <v>1588</v>
      </c>
      <c r="D54" s="89" t="s">
        <v>1587</v>
      </c>
      <c r="E54" s="89" t="s">
        <v>1579</v>
      </c>
      <c r="F54" s="89" t="s">
        <v>1579</v>
      </c>
      <c r="G54" s="89" t="s">
        <v>1234</v>
      </c>
      <c r="H54" s="89" t="s">
        <v>1586</v>
      </c>
      <c r="I54" s="89" t="s">
        <v>1585</v>
      </c>
      <c r="J54" s="89" t="s">
        <v>1584</v>
      </c>
      <c r="K54" s="89" t="s">
        <v>1579</v>
      </c>
      <c r="L54" s="89" t="s">
        <v>1583</v>
      </c>
      <c r="M54" s="89" t="s">
        <v>1582</v>
      </c>
      <c r="N54" s="89" t="s">
        <v>1581</v>
      </c>
      <c r="O54" s="89" t="s">
        <v>1580</v>
      </c>
      <c r="P54" s="89" t="s">
        <v>1579</v>
      </c>
    </row>
    <row r="55" spans="1:16" x14ac:dyDescent="0.25">
      <c r="A55" s="89" t="s">
        <v>251</v>
      </c>
      <c r="B55" s="89" t="s">
        <v>1273</v>
      </c>
      <c r="C55" s="89" t="s">
        <v>1446</v>
      </c>
      <c r="D55" s="89" t="s">
        <v>434</v>
      </c>
      <c r="E55" s="89" t="s">
        <v>877</v>
      </c>
      <c r="F55" s="89" t="s">
        <v>877</v>
      </c>
      <c r="G55" s="89" t="s">
        <v>1028</v>
      </c>
      <c r="H55" s="89" t="s">
        <v>462</v>
      </c>
      <c r="I55" s="89" t="s">
        <v>1578</v>
      </c>
      <c r="J55" s="89" t="s">
        <v>1577</v>
      </c>
      <c r="K55" s="89" t="s">
        <v>877</v>
      </c>
      <c r="L55" s="89" t="s">
        <v>1273</v>
      </c>
      <c r="M55" s="89" t="s">
        <v>1576</v>
      </c>
      <c r="N55" s="89" t="s">
        <v>567</v>
      </c>
      <c r="O55" s="89" t="s">
        <v>1537</v>
      </c>
      <c r="P55" s="89" t="s">
        <v>877</v>
      </c>
    </row>
    <row r="56" spans="1:16" x14ac:dyDescent="0.25">
      <c r="A56" s="89" t="s">
        <v>248</v>
      </c>
      <c r="B56" s="89" t="s">
        <v>1575</v>
      </c>
      <c r="C56" s="89" t="s">
        <v>525</v>
      </c>
      <c r="D56" s="89" t="s">
        <v>805</v>
      </c>
      <c r="E56" s="89" t="s">
        <v>731</v>
      </c>
      <c r="F56" s="89" t="s">
        <v>731</v>
      </c>
      <c r="G56" s="89" t="s">
        <v>551</v>
      </c>
      <c r="H56" s="89" t="s">
        <v>1375</v>
      </c>
      <c r="I56" s="89" t="s">
        <v>845</v>
      </c>
      <c r="J56" s="89" t="s">
        <v>880</v>
      </c>
      <c r="K56" s="89" t="s">
        <v>731</v>
      </c>
      <c r="L56" s="89" t="s">
        <v>1575</v>
      </c>
      <c r="M56" s="89" t="s">
        <v>1574</v>
      </c>
      <c r="N56" s="89" t="s">
        <v>1268</v>
      </c>
      <c r="O56" s="89" t="s">
        <v>1573</v>
      </c>
      <c r="P56" s="89" t="s">
        <v>731</v>
      </c>
    </row>
    <row r="57" spans="1:16" x14ac:dyDescent="0.25">
      <c r="A57" s="89" t="s">
        <v>245</v>
      </c>
      <c r="B57" s="89" t="s">
        <v>1569</v>
      </c>
      <c r="C57" s="89" t="s">
        <v>1103</v>
      </c>
      <c r="D57" s="89" t="s">
        <v>1572</v>
      </c>
      <c r="E57" s="89" t="s">
        <v>582</v>
      </c>
      <c r="F57" s="89" t="s">
        <v>582</v>
      </c>
      <c r="G57" s="89" t="s">
        <v>1571</v>
      </c>
      <c r="H57" s="89" t="s">
        <v>1570</v>
      </c>
      <c r="I57" s="89" t="s">
        <v>1174</v>
      </c>
      <c r="J57" s="89" t="s">
        <v>915</v>
      </c>
      <c r="K57" s="89" t="s">
        <v>582</v>
      </c>
      <c r="L57" s="89" t="s">
        <v>1569</v>
      </c>
      <c r="M57" s="89" t="s">
        <v>854</v>
      </c>
      <c r="N57" s="89" t="s">
        <v>606</v>
      </c>
      <c r="O57" s="89" t="s">
        <v>831</v>
      </c>
      <c r="P57" s="89" t="s">
        <v>582</v>
      </c>
    </row>
    <row r="58" spans="1:16" x14ac:dyDescent="0.25">
      <c r="A58" s="89" t="s">
        <v>243</v>
      </c>
      <c r="B58" s="89" t="s">
        <v>1568</v>
      </c>
      <c r="C58" s="89" t="s">
        <v>1287</v>
      </c>
      <c r="D58" s="89" t="s">
        <v>957</v>
      </c>
      <c r="E58" s="89" t="s">
        <v>1520</v>
      </c>
      <c r="F58" s="89" t="s">
        <v>1520</v>
      </c>
      <c r="G58" s="89" t="s">
        <v>1549</v>
      </c>
      <c r="H58" s="89" t="s">
        <v>1424</v>
      </c>
      <c r="I58" s="89" t="s">
        <v>677</v>
      </c>
      <c r="J58" s="89" t="s">
        <v>935</v>
      </c>
      <c r="K58" s="89" t="s">
        <v>1520</v>
      </c>
      <c r="L58" s="89" t="s">
        <v>1568</v>
      </c>
      <c r="M58" s="89" t="s">
        <v>1567</v>
      </c>
      <c r="N58" s="89" t="s">
        <v>1566</v>
      </c>
      <c r="O58" s="89" t="s">
        <v>1565</v>
      </c>
      <c r="P58" s="89" t="s">
        <v>1520</v>
      </c>
    </row>
    <row r="59" spans="1:16" x14ac:dyDescent="0.25">
      <c r="A59" s="89" t="s">
        <v>240</v>
      </c>
      <c r="B59" s="89" t="s">
        <v>435</v>
      </c>
      <c r="C59" s="89" t="s">
        <v>1104</v>
      </c>
      <c r="D59" s="89" t="s">
        <v>646</v>
      </c>
      <c r="E59" s="89" t="s">
        <v>1529</v>
      </c>
      <c r="F59" s="89" t="s">
        <v>1529</v>
      </c>
      <c r="G59" s="89" t="s">
        <v>1487</v>
      </c>
      <c r="H59" s="89" t="s">
        <v>1564</v>
      </c>
      <c r="I59" s="89" t="s">
        <v>1148</v>
      </c>
      <c r="J59" s="89" t="s">
        <v>1563</v>
      </c>
      <c r="K59" s="89" t="s">
        <v>1529</v>
      </c>
      <c r="L59" s="89" t="s">
        <v>435</v>
      </c>
      <c r="M59" s="89" t="s">
        <v>602</v>
      </c>
      <c r="N59" s="89" t="s">
        <v>737</v>
      </c>
      <c r="O59" s="89" t="s">
        <v>1007</v>
      </c>
      <c r="P59" s="89" t="s">
        <v>1529</v>
      </c>
    </row>
    <row r="60" spans="1:16" x14ac:dyDescent="0.25">
      <c r="A60" s="89" t="s">
        <v>237</v>
      </c>
      <c r="B60" s="89" t="s">
        <v>1560</v>
      </c>
      <c r="C60" s="89" t="s">
        <v>1562</v>
      </c>
      <c r="D60" s="89" t="s">
        <v>1182</v>
      </c>
      <c r="E60" s="89" t="s">
        <v>1241</v>
      </c>
      <c r="F60" s="89" t="s">
        <v>1241</v>
      </c>
      <c r="G60" s="89" t="s">
        <v>782</v>
      </c>
      <c r="H60" s="89" t="s">
        <v>1561</v>
      </c>
      <c r="I60" s="89" t="s">
        <v>1034</v>
      </c>
      <c r="J60" s="89" t="s">
        <v>830</v>
      </c>
      <c r="K60" s="89" t="s">
        <v>1241</v>
      </c>
      <c r="L60" s="89" t="s">
        <v>1560</v>
      </c>
      <c r="M60" s="89" t="s">
        <v>1559</v>
      </c>
      <c r="N60" s="89" t="s">
        <v>1306</v>
      </c>
      <c r="O60" s="89" t="s">
        <v>1558</v>
      </c>
      <c r="P60" s="89" t="s">
        <v>1241</v>
      </c>
    </row>
    <row r="61" spans="1:16" x14ac:dyDescent="0.25">
      <c r="A61" s="89" t="s">
        <v>233</v>
      </c>
      <c r="B61" s="89" t="s">
        <v>1556</v>
      </c>
      <c r="C61" s="89" t="s">
        <v>1268</v>
      </c>
      <c r="D61" s="89" t="s">
        <v>688</v>
      </c>
      <c r="E61" s="89" t="s">
        <v>1554</v>
      </c>
      <c r="F61" s="89" t="s">
        <v>1554</v>
      </c>
      <c r="G61" s="89" t="s">
        <v>1537</v>
      </c>
      <c r="H61" s="89" t="s">
        <v>1557</v>
      </c>
      <c r="I61" s="89" t="s">
        <v>1374</v>
      </c>
      <c r="J61" s="89" t="s">
        <v>692</v>
      </c>
      <c r="K61" s="89" t="s">
        <v>1554</v>
      </c>
      <c r="L61" s="89" t="s">
        <v>1556</v>
      </c>
      <c r="M61" s="89" t="s">
        <v>957</v>
      </c>
      <c r="N61" s="89" t="s">
        <v>1555</v>
      </c>
      <c r="O61" s="89" t="s">
        <v>706</v>
      </c>
      <c r="P61" s="89" t="s">
        <v>1554</v>
      </c>
    </row>
    <row r="62" spans="1:16" x14ac:dyDescent="0.25">
      <c r="A62" s="89" t="s">
        <v>199</v>
      </c>
      <c r="B62" s="89" t="s">
        <v>920</v>
      </c>
      <c r="C62" s="89" t="s">
        <v>931</v>
      </c>
      <c r="D62" s="89" t="s">
        <v>697</v>
      </c>
      <c r="E62" s="89" t="s">
        <v>510</v>
      </c>
      <c r="F62" s="89" t="s">
        <v>510</v>
      </c>
      <c r="G62" s="89" t="s">
        <v>1463</v>
      </c>
      <c r="H62" s="89" t="s">
        <v>1553</v>
      </c>
      <c r="I62" s="89" t="s">
        <v>497</v>
      </c>
      <c r="J62" s="89" t="s">
        <v>1552</v>
      </c>
      <c r="K62" s="89" t="s">
        <v>510</v>
      </c>
      <c r="L62" s="89" t="s">
        <v>920</v>
      </c>
      <c r="M62" s="89" t="s">
        <v>1551</v>
      </c>
      <c r="N62" s="89" t="s">
        <v>410</v>
      </c>
      <c r="O62" s="89" t="s">
        <v>862</v>
      </c>
      <c r="P62" s="89" t="s">
        <v>510</v>
      </c>
    </row>
    <row r="63" spans="1:16" x14ac:dyDescent="0.25">
      <c r="A63" s="89" t="s">
        <v>227</v>
      </c>
      <c r="B63" s="89" t="s">
        <v>793</v>
      </c>
      <c r="C63" s="89" t="s">
        <v>926</v>
      </c>
      <c r="D63" s="89" t="s">
        <v>846</v>
      </c>
      <c r="E63" s="89" t="s">
        <v>1441</v>
      </c>
      <c r="F63" s="89" t="s">
        <v>1441</v>
      </c>
      <c r="G63" s="89" t="s">
        <v>1550</v>
      </c>
      <c r="H63" s="89" t="s">
        <v>1549</v>
      </c>
      <c r="I63" s="89" t="s">
        <v>1548</v>
      </c>
      <c r="J63" s="89" t="s">
        <v>673</v>
      </c>
      <c r="K63" s="89" t="s">
        <v>1441</v>
      </c>
      <c r="L63" s="89" t="s">
        <v>793</v>
      </c>
      <c r="M63" s="89" t="s">
        <v>474</v>
      </c>
      <c r="N63" s="89" t="s">
        <v>1547</v>
      </c>
      <c r="O63" s="89" t="s">
        <v>501</v>
      </c>
      <c r="P63" s="89" t="s">
        <v>1441</v>
      </c>
    </row>
    <row r="64" spans="1:16" x14ac:dyDescent="0.25">
      <c r="A64" s="89" t="s">
        <v>223</v>
      </c>
      <c r="B64" s="89" t="s">
        <v>1540</v>
      </c>
      <c r="C64" s="89" t="s">
        <v>1546</v>
      </c>
      <c r="D64" s="89" t="s">
        <v>1545</v>
      </c>
      <c r="E64" s="89" t="s">
        <v>769</v>
      </c>
      <c r="F64" s="89" t="s">
        <v>769</v>
      </c>
      <c r="G64" s="89" t="s">
        <v>1544</v>
      </c>
      <c r="H64" s="89" t="s">
        <v>1543</v>
      </c>
      <c r="I64" s="89" t="s">
        <v>1542</v>
      </c>
      <c r="J64" s="89" t="s">
        <v>1541</v>
      </c>
      <c r="K64" s="89" t="s">
        <v>769</v>
      </c>
      <c r="L64" s="89" t="s">
        <v>1540</v>
      </c>
      <c r="M64" s="89" t="s">
        <v>474</v>
      </c>
      <c r="N64" s="89" t="s">
        <v>1539</v>
      </c>
      <c r="O64" s="89" t="s">
        <v>1538</v>
      </c>
      <c r="P64" s="89" t="s">
        <v>769</v>
      </c>
    </row>
    <row r="65" spans="1:16" x14ac:dyDescent="0.25">
      <c r="A65" s="89" t="s">
        <v>220</v>
      </c>
      <c r="B65" s="89" t="s">
        <v>1531</v>
      </c>
      <c r="C65" s="89" t="s">
        <v>1537</v>
      </c>
      <c r="D65" s="89" t="s">
        <v>1536</v>
      </c>
      <c r="E65" s="89" t="s">
        <v>1528</v>
      </c>
      <c r="F65" s="89" t="s">
        <v>1528</v>
      </c>
      <c r="G65" s="89" t="s">
        <v>1535</v>
      </c>
      <c r="H65" s="89" t="s">
        <v>1534</v>
      </c>
      <c r="I65" s="89" t="s">
        <v>1533</v>
      </c>
      <c r="J65" s="89" t="s">
        <v>1532</v>
      </c>
      <c r="K65" s="89" t="s">
        <v>1528</v>
      </c>
      <c r="L65" s="89" t="s">
        <v>1531</v>
      </c>
      <c r="M65" s="89" t="s">
        <v>885</v>
      </c>
      <c r="N65" s="89" t="s">
        <v>1530</v>
      </c>
      <c r="O65" s="89" t="s">
        <v>1529</v>
      </c>
      <c r="P65" s="89" t="s">
        <v>1528</v>
      </c>
    </row>
    <row r="66" spans="1:16" x14ac:dyDescent="0.25">
      <c r="A66" s="89" t="s">
        <v>217</v>
      </c>
      <c r="B66" s="89" t="s">
        <v>924</v>
      </c>
      <c r="C66" s="89" t="s">
        <v>1527</v>
      </c>
      <c r="D66" s="89" t="s">
        <v>515</v>
      </c>
      <c r="E66" s="89" t="s">
        <v>1521</v>
      </c>
      <c r="F66" s="89" t="s">
        <v>1521</v>
      </c>
      <c r="G66" s="89" t="s">
        <v>1526</v>
      </c>
      <c r="H66" s="89" t="s">
        <v>1372</v>
      </c>
      <c r="I66" s="89" t="s">
        <v>1525</v>
      </c>
      <c r="J66" s="89" t="s">
        <v>716</v>
      </c>
      <c r="K66" s="89" t="s">
        <v>1521</v>
      </c>
      <c r="L66" s="89" t="s">
        <v>924</v>
      </c>
      <c r="M66" s="89" t="s">
        <v>1524</v>
      </c>
      <c r="N66" s="89" t="s">
        <v>1523</v>
      </c>
      <c r="O66" s="89" t="s">
        <v>1522</v>
      </c>
      <c r="P66" s="89" t="s">
        <v>1521</v>
      </c>
    </row>
    <row r="67" spans="1:16" x14ac:dyDescent="0.25">
      <c r="A67" s="89" t="s">
        <v>214</v>
      </c>
      <c r="B67" s="89" t="s">
        <v>1518</v>
      </c>
      <c r="C67" s="89" t="s">
        <v>1520</v>
      </c>
      <c r="D67" s="89" t="s">
        <v>1475</v>
      </c>
      <c r="E67" s="89" t="s">
        <v>908</v>
      </c>
      <c r="F67" s="89" t="s">
        <v>908</v>
      </c>
      <c r="G67" s="89" t="s">
        <v>923</v>
      </c>
      <c r="H67" s="89" t="s">
        <v>1298</v>
      </c>
      <c r="I67" s="89" t="s">
        <v>744</v>
      </c>
      <c r="J67" s="89" t="s">
        <v>1519</v>
      </c>
      <c r="K67" s="89" t="s">
        <v>908</v>
      </c>
      <c r="L67" s="89" t="s">
        <v>1518</v>
      </c>
      <c r="M67" s="89" t="s">
        <v>1517</v>
      </c>
      <c r="N67" s="89" t="s">
        <v>1516</v>
      </c>
      <c r="O67" s="89" t="s">
        <v>723</v>
      </c>
      <c r="P67" s="89" t="s">
        <v>908</v>
      </c>
    </row>
    <row r="68" spans="1:16" x14ac:dyDescent="0.25">
      <c r="A68" s="89" t="s">
        <v>212</v>
      </c>
      <c r="B68" s="89" t="s">
        <v>1029</v>
      </c>
      <c r="C68" s="89" t="s">
        <v>1515</v>
      </c>
      <c r="D68" s="89" t="s">
        <v>571</v>
      </c>
      <c r="E68" s="89" t="s">
        <v>647</v>
      </c>
      <c r="F68" s="89" t="s">
        <v>647</v>
      </c>
      <c r="G68" s="89" t="s">
        <v>593</v>
      </c>
      <c r="H68" s="89" t="s">
        <v>1102</v>
      </c>
      <c r="I68" s="89" t="s">
        <v>1343</v>
      </c>
      <c r="J68" s="89" t="s">
        <v>498</v>
      </c>
      <c r="K68" s="89" t="s">
        <v>647</v>
      </c>
      <c r="L68" s="89" t="s">
        <v>1029</v>
      </c>
      <c r="M68" s="89" t="s">
        <v>1514</v>
      </c>
      <c r="N68" s="89" t="s">
        <v>527</v>
      </c>
      <c r="O68" s="89" t="s">
        <v>1513</v>
      </c>
      <c r="P68" s="89" t="s">
        <v>647</v>
      </c>
    </row>
    <row r="69" spans="1:16" x14ac:dyDescent="0.25">
      <c r="A69" s="89" t="s">
        <v>209</v>
      </c>
      <c r="B69" s="89" t="s">
        <v>805</v>
      </c>
      <c r="C69" s="89" t="s">
        <v>950</v>
      </c>
      <c r="D69" s="89" t="s">
        <v>1322</v>
      </c>
      <c r="E69" s="89" t="s">
        <v>1505</v>
      </c>
      <c r="F69" s="89" t="s">
        <v>1505</v>
      </c>
      <c r="G69" s="89" t="s">
        <v>1512</v>
      </c>
      <c r="H69" s="89" t="s">
        <v>1511</v>
      </c>
      <c r="I69" s="89" t="s">
        <v>1510</v>
      </c>
      <c r="J69" s="89" t="s">
        <v>1509</v>
      </c>
      <c r="K69" s="89" t="s">
        <v>1505</v>
      </c>
      <c r="L69" s="89" t="s">
        <v>805</v>
      </c>
      <c r="M69" s="89" t="s">
        <v>1508</v>
      </c>
      <c r="N69" s="89" t="s">
        <v>1507</v>
      </c>
      <c r="O69" s="89" t="s">
        <v>1506</v>
      </c>
      <c r="P69" s="89" t="s">
        <v>1505</v>
      </c>
    </row>
    <row r="70" spans="1:16" x14ac:dyDescent="0.25">
      <c r="A70" s="89" t="s">
        <v>207</v>
      </c>
      <c r="B70" s="89" t="s">
        <v>1501</v>
      </c>
      <c r="C70" s="89" t="s">
        <v>1242</v>
      </c>
      <c r="D70" s="89" t="s">
        <v>1102</v>
      </c>
      <c r="E70" s="89" t="s">
        <v>1449</v>
      </c>
      <c r="F70" s="89" t="s">
        <v>1449</v>
      </c>
      <c r="G70" s="89" t="s">
        <v>1504</v>
      </c>
      <c r="H70" s="89" t="s">
        <v>888</v>
      </c>
      <c r="I70" s="89" t="s">
        <v>1503</v>
      </c>
      <c r="J70" s="89" t="s">
        <v>1502</v>
      </c>
      <c r="K70" s="89" t="s">
        <v>1449</v>
      </c>
      <c r="L70" s="89" t="s">
        <v>1501</v>
      </c>
      <c r="M70" s="89" t="s">
        <v>1500</v>
      </c>
      <c r="N70" s="89" t="s">
        <v>1499</v>
      </c>
      <c r="O70" s="89" t="s">
        <v>419</v>
      </c>
      <c r="P70" s="89" t="s">
        <v>1449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6" t="s">
        <v>2120</v>
      </c>
      <c r="C4" s="106"/>
      <c r="D4" s="106"/>
      <c r="E4" s="106"/>
      <c r="F4" s="106"/>
      <c r="G4" s="106" t="s">
        <v>2120</v>
      </c>
      <c r="H4" s="106"/>
      <c r="I4" s="106"/>
      <c r="J4" s="106"/>
      <c r="K4" s="106"/>
      <c r="L4" s="106" t="s">
        <v>2120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712</v>
      </c>
      <c r="C6" s="89" t="s">
        <v>1332</v>
      </c>
      <c r="D6" s="89" t="s">
        <v>1563</v>
      </c>
      <c r="E6" s="89" t="s">
        <v>444</v>
      </c>
      <c r="F6" s="89" t="s">
        <v>444</v>
      </c>
      <c r="G6" s="89" t="s">
        <v>2119</v>
      </c>
      <c r="H6" s="89" t="s">
        <v>2118</v>
      </c>
      <c r="I6" s="89" t="s">
        <v>540</v>
      </c>
      <c r="J6" s="89" t="s">
        <v>2117</v>
      </c>
      <c r="K6" s="89" t="s">
        <v>444</v>
      </c>
      <c r="L6" s="89" t="s">
        <v>712</v>
      </c>
      <c r="M6" s="89" t="s">
        <v>1681</v>
      </c>
      <c r="N6" s="89" t="s">
        <v>2116</v>
      </c>
      <c r="O6" s="89" t="s">
        <v>886</v>
      </c>
      <c r="P6" s="89" t="s">
        <v>444</v>
      </c>
    </row>
    <row r="7" spans="1:16" x14ac:dyDescent="0.25">
      <c r="A7" s="89" t="s">
        <v>392</v>
      </c>
      <c r="B7" s="89" t="s">
        <v>582</v>
      </c>
      <c r="C7" s="89" t="s">
        <v>1503</v>
      </c>
      <c r="D7" s="89" t="s">
        <v>2091</v>
      </c>
      <c r="E7" s="89" t="s">
        <v>1845</v>
      </c>
      <c r="F7" s="89" t="s">
        <v>1845</v>
      </c>
      <c r="G7" s="89" t="s">
        <v>2115</v>
      </c>
      <c r="H7" s="89" t="s">
        <v>2114</v>
      </c>
      <c r="I7" s="89" t="s">
        <v>2107</v>
      </c>
      <c r="J7" s="89" t="s">
        <v>2113</v>
      </c>
      <c r="K7" s="89" t="s">
        <v>1845</v>
      </c>
      <c r="L7" s="89" t="s">
        <v>582</v>
      </c>
      <c r="M7" s="89" t="s">
        <v>1553</v>
      </c>
      <c r="N7" s="89" t="s">
        <v>1079</v>
      </c>
      <c r="O7" s="89" t="s">
        <v>2112</v>
      </c>
      <c r="P7" s="89" t="s">
        <v>1845</v>
      </c>
    </row>
    <row r="8" spans="1:16" x14ac:dyDescent="0.25">
      <c r="A8" s="89" t="s">
        <v>389</v>
      </c>
      <c r="B8" s="89" t="s">
        <v>1062</v>
      </c>
      <c r="C8" s="89" t="s">
        <v>692</v>
      </c>
      <c r="D8" s="89" t="s">
        <v>1943</v>
      </c>
      <c r="E8" s="89" t="s">
        <v>1771</v>
      </c>
      <c r="F8" s="89" t="s">
        <v>1771</v>
      </c>
      <c r="G8" s="89" t="s">
        <v>2111</v>
      </c>
      <c r="H8" s="89" t="s">
        <v>2110</v>
      </c>
      <c r="I8" s="89" t="s">
        <v>2109</v>
      </c>
      <c r="J8" s="89" t="s">
        <v>2108</v>
      </c>
      <c r="K8" s="89" t="s">
        <v>1771</v>
      </c>
      <c r="L8" s="89" t="s">
        <v>1062</v>
      </c>
      <c r="M8" s="89" t="s">
        <v>2107</v>
      </c>
      <c r="N8" s="89" t="s">
        <v>1445</v>
      </c>
      <c r="O8" s="89" t="s">
        <v>794</v>
      </c>
      <c r="P8" s="89" t="s">
        <v>1771</v>
      </c>
    </row>
    <row r="9" spans="1:16" x14ac:dyDescent="0.25">
      <c r="A9" s="89" t="s">
        <v>386</v>
      </c>
      <c r="B9" s="89" t="s">
        <v>875</v>
      </c>
      <c r="C9" s="89" t="s">
        <v>1878</v>
      </c>
      <c r="D9" s="89" t="s">
        <v>1449</v>
      </c>
      <c r="E9" s="89" t="s">
        <v>653</v>
      </c>
      <c r="F9" s="89" t="s">
        <v>653</v>
      </c>
      <c r="G9" s="89" t="s">
        <v>916</v>
      </c>
      <c r="H9" s="89" t="s">
        <v>2093</v>
      </c>
      <c r="I9" s="89" t="s">
        <v>1553</v>
      </c>
      <c r="J9" s="89" t="s">
        <v>2106</v>
      </c>
      <c r="K9" s="89" t="s">
        <v>653</v>
      </c>
      <c r="L9" s="89" t="s">
        <v>875</v>
      </c>
      <c r="M9" s="89" t="s">
        <v>582</v>
      </c>
      <c r="N9" s="89" t="s">
        <v>1093</v>
      </c>
      <c r="O9" s="89" t="s">
        <v>682</v>
      </c>
      <c r="P9" s="89" t="s">
        <v>653</v>
      </c>
    </row>
    <row r="10" spans="1:16" x14ac:dyDescent="0.25">
      <c r="A10" s="89" t="s">
        <v>383</v>
      </c>
      <c r="B10" s="89" t="s">
        <v>2100</v>
      </c>
      <c r="C10" s="89" t="s">
        <v>2105</v>
      </c>
      <c r="D10" s="89" t="s">
        <v>1621</v>
      </c>
      <c r="E10" s="89" t="s">
        <v>1898</v>
      </c>
      <c r="F10" s="89" t="s">
        <v>1898</v>
      </c>
      <c r="G10" s="89" t="s">
        <v>2104</v>
      </c>
      <c r="H10" s="89" t="s">
        <v>2103</v>
      </c>
      <c r="I10" s="89" t="s">
        <v>2102</v>
      </c>
      <c r="J10" s="89" t="s">
        <v>2101</v>
      </c>
      <c r="K10" s="89" t="s">
        <v>1898</v>
      </c>
      <c r="L10" s="89" t="s">
        <v>2100</v>
      </c>
      <c r="M10" s="89" t="s">
        <v>2099</v>
      </c>
      <c r="N10" s="89" t="s">
        <v>1453</v>
      </c>
      <c r="O10" s="89" t="s">
        <v>1513</v>
      </c>
      <c r="P10" s="89" t="s">
        <v>1898</v>
      </c>
    </row>
    <row r="11" spans="1:16" x14ac:dyDescent="0.25">
      <c r="A11" s="89" t="s">
        <v>380</v>
      </c>
      <c r="B11" s="89" t="s">
        <v>731</v>
      </c>
      <c r="C11" s="89" t="s">
        <v>2098</v>
      </c>
      <c r="D11" s="89" t="s">
        <v>1853</v>
      </c>
      <c r="E11" s="89" t="s">
        <v>1573</v>
      </c>
      <c r="F11" s="89" t="s">
        <v>1573</v>
      </c>
      <c r="G11" s="89" t="s">
        <v>2097</v>
      </c>
      <c r="H11" s="89" t="s">
        <v>2096</v>
      </c>
      <c r="I11" s="89" t="s">
        <v>1688</v>
      </c>
      <c r="J11" s="89" t="s">
        <v>2095</v>
      </c>
      <c r="K11" s="89" t="s">
        <v>1573</v>
      </c>
      <c r="L11" s="89" t="s">
        <v>731</v>
      </c>
      <c r="M11" s="89" t="s">
        <v>554</v>
      </c>
      <c r="N11" s="89" t="s">
        <v>1776</v>
      </c>
      <c r="O11" s="89" t="s">
        <v>1736</v>
      </c>
      <c r="P11" s="89" t="s">
        <v>1573</v>
      </c>
    </row>
    <row r="12" spans="1:16" x14ac:dyDescent="0.25">
      <c r="A12" s="89" t="s">
        <v>377</v>
      </c>
      <c r="B12" s="89" t="s">
        <v>1374</v>
      </c>
      <c r="C12" s="89" t="s">
        <v>1894</v>
      </c>
      <c r="D12" s="89" t="s">
        <v>2094</v>
      </c>
      <c r="E12" s="89" t="s">
        <v>2089</v>
      </c>
      <c r="F12" s="89" t="s">
        <v>2089</v>
      </c>
      <c r="G12" s="89" t="s">
        <v>2093</v>
      </c>
      <c r="H12" s="89" t="s">
        <v>523</v>
      </c>
      <c r="I12" s="89" t="s">
        <v>662</v>
      </c>
      <c r="J12" s="89" t="s">
        <v>2092</v>
      </c>
      <c r="K12" s="89" t="s">
        <v>2089</v>
      </c>
      <c r="L12" s="89" t="s">
        <v>1374</v>
      </c>
      <c r="M12" s="89" t="s">
        <v>889</v>
      </c>
      <c r="N12" s="89" t="s">
        <v>2091</v>
      </c>
      <c r="O12" s="89" t="s">
        <v>2090</v>
      </c>
      <c r="P12" s="89" t="s">
        <v>2089</v>
      </c>
    </row>
    <row r="13" spans="1:16" x14ac:dyDescent="0.25">
      <c r="A13" s="89" t="s">
        <v>374</v>
      </c>
      <c r="B13" s="89" t="s">
        <v>1820</v>
      </c>
      <c r="C13" s="89" t="s">
        <v>2088</v>
      </c>
      <c r="D13" s="89" t="s">
        <v>868</v>
      </c>
      <c r="E13" s="89" t="s">
        <v>1011</v>
      </c>
      <c r="F13" s="89" t="s">
        <v>1011</v>
      </c>
      <c r="G13" s="89" t="s">
        <v>2087</v>
      </c>
      <c r="H13" s="89" t="s">
        <v>1886</v>
      </c>
      <c r="I13" s="89" t="s">
        <v>865</v>
      </c>
      <c r="J13" s="89" t="s">
        <v>822</v>
      </c>
      <c r="K13" s="89" t="s">
        <v>1011</v>
      </c>
      <c r="L13" s="89" t="s">
        <v>1820</v>
      </c>
      <c r="M13" s="89" t="s">
        <v>1709</v>
      </c>
      <c r="N13" s="89" t="s">
        <v>2086</v>
      </c>
      <c r="O13" s="89" t="s">
        <v>2085</v>
      </c>
      <c r="P13" s="89" t="s">
        <v>1011</v>
      </c>
    </row>
    <row r="14" spans="1:16" x14ac:dyDescent="0.25">
      <c r="A14" s="89" t="s">
        <v>371</v>
      </c>
      <c r="B14" s="89" t="s">
        <v>1148</v>
      </c>
      <c r="C14" s="89" t="s">
        <v>1343</v>
      </c>
      <c r="D14" s="89" t="s">
        <v>2084</v>
      </c>
      <c r="E14" s="89" t="s">
        <v>2081</v>
      </c>
      <c r="F14" s="89" t="s">
        <v>2081</v>
      </c>
      <c r="G14" s="89" t="s">
        <v>2083</v>
      </c>
      <c r="H14" s="89" t="s">
        <v>2082</v>
      </c>
      <c r="I14" s="89" t="s">
        <v>617</v>
      </c>
      <c r="J14" s="89" t="s">
        <v>706</v>
      </c>
      <c r="K14" s="89" t="s">
        <v>2081</v>
      </c>
      <c r="L14" s="89" t="s">
        <v>1148</v>
      </c>
      <c r="M14" s="89" t="s">
        <v>887</v>
      </c>
      <c r="N14" s="89" t="s">
        <v>641</v>
      </c>
      <c r="O14" s="89" t="s">
        <v>1890</v>
      </c>
      <c r="P14" s="89" t="s">
        <v>2081</v>
      </c>
    </row>
    <row r="15" spans="1:16" x14ac:dyDescent="0.25">
      <c r="A15" s="89" t="s">
        <v>368</v>
      </c>
      <c r="B15" s="89" t="s">
        <v>711</v>
      </c>
      <c r="C15" s="89" t="s">
        <v>1665</v>
      </c>
      <c r="D15" s="89" t="s">
        <v>875</v>
      </c>
      <c r="E15" s="89" t="s">
        <v>867</v>
      </c>
      <c r="F15" s="89" t="s">
        <v>867</v>
      </c>
      <c r="G15" s="89" t="s">
        <v>2080</v>
      </c>
      <c r="H15" s="89" t="s">
        <v>1372</v>
      </c>
      <c r="I15" s="89" t="s">
        <v>773</v>
      </c>
      <c r="J15" s="89" t="s">
        <v>1821</v>
      </c>
      <c r="K15" s="89" t="s">
        <v>867</v>
      </c>
      <c r="L15" s="89" t="s">
        <v>711</v>
      </c>
      <c r="M15" s="89" t="s">
        <v>1316</v>
      </c>
      <c r="N15" s="89" t="s">
        <v>1114</v>
      </c>
      <c r="O15" s="89" t="s">
        <v>2079</v>
      </c>
      <c r="P15" s="89" t="s">
        <v>867</v>
      </c>
    </row>
    <row r="16" spans="1:16" x14ac:dyDescent="0.25">
      <c r="A16" s="89" t="s">
        <v>366</v>
      </c>
      <c r="B16" s="89" t="s">
        <v>2076</v>
      </c>
      <c r="C16" s="89" t="s">
        <v>2078</v>
      </c>
      <c r="D16" s="89" t="s">
        <v>1408</v>
      </c>
      <c r="E16" s="89" t="s">
        <v>1749</v>
      </c>
      <c r="F16" s="89" t="s">
        <v>1749</v>
      </c>
      <c r="G16" s="89" t="s">
        <v>2077</v>
      </c>
      <c r="H16" s="89" t="s">
        <v>890</v>
      </c>
      <c r="I16" s="89" t="s">
        <v>736</v>
      </c>
      <c r="J16" s="89" t="s">
        <v>953</v>
      </c>
      <c r="K16" s="89" t="s">
        <v>1749</v>
      </c>
      <c r="L16" s="89" t="s">
        <v>2076</v>
      </c>
      <c r="M16" s="89" t="s">
        <v>2075</v>
      </c>
      <c r="N16" s="89" t="s">
        <v>2074</v>
      </c>
      <c r="O16" s="89" t="s">
        <v>1892</v>
      </c>
      <c r="P16" s="89" t="s">
        <v>1749</v>
      </c>
    </row>
    <row r="17" spans="1:16" x14ac:dyDescent="0.25">
      <c r="A17" s="89" t="s">
        <v>363</v>
      </c>
      <c r="B17" s="89" t="s">
        <v>1016</v>
      </c>
      <c r="C17" s="89" t="s">
        <v>1926</v>
      </c>
      <c r="D17" s="89" t="s">
        <v>483</v>
      </c>
      <c r="E17" s="89" t="s">
        <v>1307</v>
      </c>
      <c r="F17" s="89" t="s">
        <v>1307</v>
      </c>
      <c r="G17" s="89" t="s">
        <v>722</v>
      </c>
      <c r="H17" s="89" t="s">
        <v>1335</v>
      </c>
      <c r="I17" s="89" t="s">
        <v>2073</v>
      </c>
      <c r="J17" s="89" t="s">
        <v>1600</v>
      </c>
      <c r="K17" s="89" t="s">
        <v>1307</v>
      </c>
      <c r="L17" s="89" t="s">
        <v>1016</v>
      </c>
      <c r="M17" s="89" t="s">
        <v>987</v>
      </c>
      <c r="N17" s="89" t="s">
        <v>2072</v>
      </c>
      <c r="O17" s="89" t="s">
        <v>2019</v>
      </c>
      <c r="P17" s="89" t="s">
        <v>1307</v>
      </c>
    </row>
    <row r="18" spans="1:16" x14ac:dyDescent="0.25">
      <c r="A18" s="89" t="s">
        <v>360</v>
      </c>
      <c r="B18" s="89" t="s">
        <v>2067</v>
      </c>
      <c r="C18" s="89" t="s">
        <v>2071</v>
      </c>
      <c r="D18" s="89" t="s">
        <v>2070</v>
      </c>
      <c r="E18" s="89" t="s">
        <v>2063</v>
      </c>
      <c r="F18" s="89" t="s">
        <v>2063</v>
      </c>
      <c r="G18" s="89" t="s">
        <v>450</v>
      </c>
      <c r="H18" s="89" t="s">
        <v>2069</v>
      </c>
      <c r="I18" s="89" t="s">
        <v>1228</v>
      </c>
      <c r="J18" s="89" t="s">
        <v>2068</v>
      </c>
      <c r="K18" s="89" t="s">
        <v>2063</v>
      </c>
      <c r="L18" s="89" t="s">
        <v>2067</v>
      </c>
      <c r="M18" s="89" t="s">
        <v>2066</v>
      </c>
      <c r="N18" s="89" t="s">
        <v>2065</v>
      </c>
      <c r="O18" s="89" t="s">
        <v>2064</v>
      </c>
      <c r="P18" s="89" t="s">
        <v>2063</v>
      </c>
    </row>
    <row r="19" spans="1:16" x14ac:dyDescent="0.25">
      <c r="A19" s="89" t="s">
        <v>357</v>
      </c>
      <c r="B19" s="89" t="s">
        <v>1682</v>
      </c>
      <c r="C19" s="89" t="s">
        <v>1024</v>
      </c>
      <c r="D19" s="89" t="s">
        <v>1631</v>
      </c>
      <c r="E19" s="89" t="s">
        <v>1845</v>
      </c>
      <c r="F19" s="89" t="s">
        <v>1845</v>
      </c>
      <c r="G19" s="89" t="s">
        <v>2062</v>
      </c>
      <c r="H19" s="89" t="s">
        <v>1347</v>
      </c>
      <c r="I19" s="89" t="s">
        <v>1970</v>
      </c>
      <c r="J19" s="89" t="s">
        <v>639</v>
      </c>
      <c r="K19" s="89" t="s">
        <v>1845</v>
      </c>
      <c r="L19" s="89" t="s">
        <v>1682</v>
      </c>
      <c r="M19" s="89" t="s">
        <v>989</v>
      </c>
      <c r="N19" s="89" t="s">
        <v>1374</v>
      </c>
      <c r="O19" s="89" t="s">
        <v>1073</v>
      </c>
      <c r="P19" s="89" t="s">
        <v>1845</v>
      </c>
    </row>
    <row r="20" spans="1:16" x14ac:dyDescent="0.25">
      <c r="A20" s="89" t="s">
        <v>353</v>
      </c>
      <c r="B20" s="89" t="s">
        <v>1555</v>
      </c>
      <c r="C20" s="89" t="s">
        <v>2061</v>
      </c>
      <c r="D20" s="89" t="s">
        <v>1287</v>
      </c>
      <c r="E20" s="89" t="s">
        <v>2058</v>
      </c>
      <c r="F20" s="89" t="s">
        <v>2058</v>
      </c>
      <c r="G20" s="89" t="s">
        <v>569</v>
      </c>
      <c r="H20" s="89" t="s">
        <v>771</v>
      </c>
      <c r="I20" s="89" t="s">
        <v>1058</v>
      </c>
      <c r="J20" s="89" t="s">
        <v>1213</v>
      </c>
      <c r="K20" s="89" t="s">
        <v>2058</v>
      </c>
      <c r="L20" s="89" t="s">
        <v>1555</v>
      </c>
      <c r="M20" s="89" t="s">
        <v>1316</v>
      </c>
      <c r="N20" s="89" t="s">
        <v>1982</v>
      </c>
      <c r="O20" s="89" t="s">
        <v>619</v>
      </c>
      <c r="P20" s="89" t="s">
        <v>2058</v>
      </c>
    </row>
    <row r="21" spans="1:16" x14ac:dyDescent="0.25">
      <c r="A21" s="89" t="s">
        <v>351</v>
      </c>
      <c r="B21" s="89" t="s">
        <v>737</v>
      </c>
      <c r="C21" s="89" t="s">
        <v>2060</v>
      </c>
      <c r="D21" s="89" t="s">
        <v>1378</v>
      </c>
      <c r="E21" s="89" t="s">
        <v>662</v>
      </c>
      <c r="F21" s="89" t="s">
        <v>662</v>
      </c>
      <c r="G21" s="89" t="s">
        <v>2059</v>
      </c>
      <c r="H21" s="89" t="s">
        <v>496</v>
      </c>
      <c r="I21" s="89" t="s">
        <v>521</v>
      </c>
      <c r="J21" s="89" t="s">
        <v>732</v>
      </c>
      <c r="K21" s="89" t="s">
        <v>662</v>
      </c>
      <c r="L21" s="89" t="s">
        <v>737</v>
      </c>
      <c r="M21" s="89" t="s">
        <v>569</v>
      </c>
      <c r="N21" s="89" t="s">
        <v>1985</v>
      </c>
      <c r="O21" s="89" t="s">
        <v>442</v>
      </c>
      <c r="P21" s="89" t="s">
        <v>662</v>
      </c>
    </row>
    <row r="22" spans="1:16" x14ac:dyDescent="0.25">
      <c r="A22" s="89" t="s">
        <v>348</v>
      </c>
      <c r="B22" s="89" t="s">
        <v>2056</v>
      </c>
      <c r="C22" s="89" t="s">
        <v>421</v>
      </c>
      <c r="D22" s="89" t="s">
        <v>2058</v>
      </c>
      <c r="E22" s="89" t="s">
        <v>401</v>
      </c>
      <c r="F22" s="89" t="s">
        <v>401</v>
      </c>
      <c r="G22" s="89" t="s">
        <v>1621</v>
      </c>
      <c r="H22" s="89" t="s">
        <v>602</v>
      </c>
      <c r="I22" s="89" t="s">
        <v>812</v>
      </c>
      <c r="J22" s="89" t="s">
        <v>2057</v>
      </c>
      <c r="K22" s="89" t="s">
        <v>401</v>
      </c>
      <c r="L22" s="89" t="s">
        <v>2056</v>
      </c>
      <c r="M22" s="89" t="s">
        <v>1664</v>
      </c>
      <c r="N22" s="89" t="s">
        <v>1998</v>
      </c>
      <c r="O22" s="89" t="s">
        <v>1089</v>
      </c>
      <c r="P22" s="89" t="s">
        <v>401</v>
      </c>
    </row>
    <row r="23" spans="1:16" x14ac:dyDescent="0.25">
      <c r="A23" s="89" t="s">
        <v>345</v>
      </c>
      <c r="B23" s="89" t="s">
        <v>718</v>
      </c>
      <c r="C23" s="89" t="s">
        <v>1485</v>
      </c>
      <c r="D23" s="89" t="s">
        <v>1462</v>
      </c>
      <c r="E23" s="89" t="s">
        <v>421</v>
      </c>
      <c r="F23" s="89" t="s">
        <v>421</v>
      </c>
      <c r="G23" s="89" t="s">
        <v>1404</v>
      </c>
      <c r="H23" s="89" t="s">
        <v>1482</v>
      </c>
      <c r="I23" s="89" t="s">
        <v>541</v>
      </c>
      <c r="J23" s="89" t="s">
        <v>780</v>
      </c>
      <c r="K23" s="89" t="s">
        <v>421</v>
      </c>
      <c r="L23" s="89" t="s">
        <v>718</v>
      </c>
      <c r="M23" s="89" t="s">
        <v>720</v>
      </c>
      <c r="N23" s="89" t="s">
        <v>2055</v>
      </c>
      <c r="O23" s="89" t="s">
        <v>2054</v>
      </c>
      <c r="P23" s="89" t="s">
        <v>421</v>
      </c>
    </row>
    <row r="24" spans="1:16" x14ac:dyDescent="0.25">
      <c r="A24" s="89" t="s">
        <v>342</v>
      </c>
      <c r="B24" s="89" t="s">
        <v>425</v>
      </c>
      <c r="C24" s="89" t="s">
        <v>627</v>
      </c>
      <c r="D24" s="89" t="s">
        <v>2053</v>
      </c>
      <c r="E24" s="89" t="s">
        <v>677</v>
      </c>
      <c r="F24" s="89" t="s">
        <v>677</v>
      </c>
      <c r="G24" s="89" t="s">
        <v>498</v>
      </c>
      <c r="H24" s="89" t="s">
        <v>2052</v>
      </c>
      <c r="I24" s="89" t="s">
        <v>1827</v>
      </c>
      <c r="J24" s="89" t="s">
        <v>1044</v>
      </c>
      <c r="K24" s="89" t="s">
        <v>677</v>
      </c>
      <c r="L24" s="89" t="s">
        <v>425</v>
      </c>
      <c r="M24" s="89" t="s">
        <v>500</v>
      </c>
      <c r="N24" s="89" t="s">
        <v>1214</v>
      </c>
      <c r="O24" s="89" t="s">
        <v>2051</v>
      </c>
      <c r="P24" s="89" t="s">
        <v>677</v>
      </c>
    </row>
    <row r="25" spans="1:16" x14ac:dyDescent="0.25">
      <c r="A25" s="89" t="s">
        <v>339</v>
      </c>
      <c r="B25" s="89" t="s">
        <v>613</v>
      </c>
      <c r="C25" s="89" t="s">
        <v>2050</v>
      </c>
      <c r="D25" s="89" t="s">
        <v>2049</v>
      </c>
      <c r="E25" s="89" t="s">
        <v>2047</v>
      </c>
      <c r="F25" s="89" t="s">
        <v>2047</v>
      </c>
      <c r="G25" s="89" t="s">
        <v>552</v>
      </c>
      <c r="H25" s="89" t="s">
        <v>1898</v>
      </c>
      <c r="I25" s="89" t="s">
        <v>1732</v>
      </c>
      <c r="J25" s="89" t="s">
        <v>870</v>
      </c>
      <c r="K25" s="89" t="s">
        <v>2047</v>
      </c>
      <c r="L25" s="89" t="s">
        <v>613</v>
      </c>
      <c r="M25" s="89" t="s">
        <v>2048</v>
      </c>
      <c r="N25" s="89" t="s">
        <v>1991</v>
      </c>
      <c r="O25" s="89" t="s">
        <v>670</v>
      </c>
      <c r="P25" s="89" t="s">
        <v>2047</v>
      </c>
    </row>
    <row r="26" spans="1:16" x14ac:dyDescent="0.25">
      <c r="A26" s="89" t="s">
        <v>336</v>
      </c>
      <c r="B26" s="89" t="s">
        <v>1867</v>
      </c>
      <c r="C26" s="89" t="s">
        <v>2046</v>
      </c>
      <c r="D26" s="89" t="s">
        <v>2045</v>
      </c>
      <c r="E26" s="89" t="s">
        <v>1710</v>
      </c>
      <c r="F26" s="89" t="s">
        <v>1710</v>
      </c>
      <c r="G26" s="89" t="s">
        <v>826</v>
      </c>
      <c r="H26" s="89" t="s">
        <v>2044</v>
      </c>
      <c r="I26" s="89" t="s">
        <v>1665</v>
      </c>
      <c r="J26" s="89" t="s">
        <v>722</v>
      </c>
      <c r="K26" s="89" t="s">
        <v>1710</v>
      </c>
      <c r="L26" s="89" t="s">
        <v>1867</v>
      </c>
      <c r="M26" s="89" t="s">
        <v>2043</v>
      </c>
      <c r="N26" s="89" t="s">
        <v>1455</v>
      </c>
      <c r="O26" s="89" t="s">
        <v>1058</v>
      </c>
      <c r="P26" s="89" t="s">
        <v>1710</v>
      </c>
    </row>
    <row r="27" spans="1:16" x14ac:dyDescent="0.25">
      <c r="A27" s="89" t="s">
        <v>333</v>
      </c>
      <c r="B27" s="89" t="s">
        <v>1097</v>
      </c>
      <c r="C27" s="89" t="s">
        <v>687</v>
      </c>
      <c r="D27" s="89" t="s">
        <v>527</v>
      </c>
      <c r="E27" s="89" t="s">
        <v>982</v>
      </c>
      <c r="F27" s="89" t="s">
        <v>982</v>
      </c>
      <c r="G27" s="89" t="s">
        <v>942</v>
      </c>
      <c r="H27" s="89" t="s">
        <v>2042</v>
      </c>
      <c r="I27" s="89" t="s">
        <v>2041</v>
      </c>
      <c r="J27" s="89" t="s">
        <v>667</v>
      </c>
      <c r="K27" s="89" t="s">
        <v>982</v>
      </c>
      <c r="L27" s="89" t="s">
        <v>1097</v>
      </c>
      <c r="M27" s="89" t="s">
        <v>727</v>
      </c>
      <c r="N27" s="89" t="s">
        <v>703</v>
      </c>
      <c r="O27" s="89" t="s">
        <v>2040</v>
      </c>
      <c r="P27" s="89" t="s">
        <v>982</v>
      </c>
    </row>
    <row r="28" spans="1:16" x14ac:dyDescent="0.25">
      <c r="A28" s="89" t="s">
        <v>330</v>
      </c>
      <c r="B28" s="89" t="s">
        <v>1515</v>
      </c>
      <c r="C28" s="89" t="s">
        <v>992</v>
      </c>
      <c r="D28" s="89" t="s">
        <v>2039</v>
      </c>
      <c r="E28" s="89" t="s">
        <v>1598</v>
      </c>
      <c r="F28" s="89" t="s">
        <v>1598</v>
      </c>
      <c r="G28" s="89" t="s">
        <v>1493</v>
      </c>
      <c r="H28" s="89" t="s">
        <v>1740</v>
      </c>
      <c r="I28" s="89" t="s">
        <v>1378</v>
      </c>
      <c r="J28" s="89" t="s">
        <v>1025</v>
      </c>
      <c r="K28" s="89" t="s">
        <v>1598</v>
      </c>
      <c r="L28" s="89" t="s">
        <v>1515</v>
      </c>
      <c r="M28" s="89" t="s">
        <v>1665</v>
      </c>
      <c r="N28" s="89" t="s">
        <v>1777</v>
      </c>
      <c r="O28" s="89" t="s">
        <v>1503</v>
      </c>
      <c r="P28" s="89" t="s">
        <v>1598</v>
      </c>
    </row>
    <row r="29" spans="1:16" x14ac:dyDescent="0.25">
      <c r="A29" s="89" t="s">
        <v>327</v>
      </c>
      <c r="B29" s="89" t="s">
        <v>1566</v>
      </c>
      <c r="C29" s="89" t="s">
        <v>1792</v>
      </c>
      <c r="D29" s="89" t="s">
        <v>1503</v>
      </c>
      <c r="E29" s="89" t="s">
        <v>1760</v>
      </c>
      <c r="F29" s="89" t="s">
        <v>1760</v>
      </c>
      <c r="G29" s="89" t="s">
        <v>2038</v>
      </c>
      <c r="H29" s="89" t="s">
        <v>2037</v>
      </c>
      <c r="I29" s="89" t="s">
        <v>766</v>
      </c>
      <c r="J29" s="89" t="s">
        <v>1459</v>
      </c>
      <c r="K29" s="89" t="s">
        <v>1760</v>
      </c>
      <c r="L29" s="89" t="s">
        <v>1566</v>
      </c>
      <c r="M29" s="89" t="s">
        <v>2036</v>
      </c>
      <c r="N29" s="89" t="s">
        <v>1182</v>
      </c>
      <c r="O29" s="89" t="s">
        <v>874</v>
      </c>
      <c r="P29" s="89" t="s">
        <v>1760</v>
      </c>
    </row>
    <row r="30" spans="1:16" x14ac:dyDescent="0.25">
      <c r="A30" s="89" t="s">
        <v>324</v>
      </c>
      <c r="B30" s="89" t="s">
        <v>2034</v>
      </c>
      <c r="C30" s="89" t="s">
        <v>2035</v>
      </c>
      <c r="D30" s="89" t="s">
        <v>1262</v>
      </c>
      <c r="E30" s="89" t="s">
        <v>1030</v>
      </c>
      <c r="F30" s="89" t="s">
        <v>1030</v>
      </c>
      <c r="G30" s="89" t="s">
        <v>813</v>
      </c>
      <c r="H30" s="89" t="s">
        <v>1863</v>
      </c>
      <c r="I30" s="89" t="s">
        <v>788</v>
      </c>
      <c r="J30" s="89" t="s">
        <v>1456</v>
      </c>
      <c r="K30" s="89" t="s">
        <v>1030</v>
      </c>
      <c r="L30" s="89" t="s">
        <v>2034</v>
      </c>
      <c r="M30" s="89" t="s">
        <v>2033</v>
      </c>
      <c r="N30" s="89" t="s">
        <v>769</v>
      </c>
      <c r="O30" s="89" t="s">
        <v>2032</v>
      </c>
      <c r="P30" s="89" t="s">
        <v>1030</v>
      </c>
    </row>
    <row r="31" spans="1:16" x14ac:dyDescent="0.25">
      <c r="A31" s="89" t="s">
        <v>321</v>
      </c>
      <c r="B31" s="89" t="s">
        <v>564</v>
      </c>
      <c r="C31" s="89" t="s">
        <v>977</v>
      </c>
      <c r="D31" s="89" t="s">
        <v>1383</v>
      </c>
      <c r="E31" s="89" t="s">
        <v>2026</v>
      </c>
      <c r="F31" s="89" t="s">
        <v>2026</v>
      </c>
      <c r="G31" s="89" t="s">
        <v>2031</v>
      </c>
      <c r="H31" s="89" t="s">
        <v>2030</v>
      </c>
      <c r="I31" s="89" t="s">
        <v>1710</v>
      </c>
      <c r="J31" s="89" t="s">
        <v>1463</v>
      </c>
      <c r="K31" s="89" t="s">
        <v>2026</v>
      </c>
      <c r="L31" s="89" t="s">
        <v>564</v>
      </c>
      <c r="M31" s="89" t="s">
        <v>2029</v>
      </c>
      <c r="N31" s="89" t="s">
        <v>2028</v>
      </c>
      <c r="O31" s="89" t="s">
        <v>2027</v>
      </c>
      <c r="P31" s="89" t="s">
        <v>2026</v>
      </c>
    </row>
    <row r="32" spans="1:16" x14ac:dyDescent="0.25">
      <c r="A32" s="89" t="s">
        <v>318</v>
      </c>
      <c r="B32" s="89" t="s">
        <v>2022</v>
      </c>
      <c r="C32" s="89" t="s">
        <v>2025</v>
      </c>
      <c r="D32" s="89" t="s">
        <v>2024</v>
      </c>
      <c r="E32" s="89" t="s">
        <v>2019</v>
      </c>
      <c r="F32" s="89" t="s">
        <v>2019</v>
      </c>
      <c r="G32" s="89" t="s">
        <v>608</v>
      </c>
      <c r="H32" s="89" t="s">
        <v>1508</v>
      </c>
      <c r="I32" s="89" t="s">
        <v>565</v>
      </c>
      <c r="J32" s="89" t="s">
        <v>2023</v>
      </c>
      <c r="K32" s="89" t="s">
        <v>2019</v>
      </c>
      <c r="L32" s="89" t="s">
        <v>2022</v>
      </c>
      <c r="M32" s="89" t="s">
        <v>1969</v>
      </c>
      <c r="N32" s="89" t="s">
        <v>2021</v>
      </c>
      <c r="O32" s="89" t="s">
        <v>2020</v>
      </c>
      <c r="P32" s="89" t="s">
        <v>2019</v>
      </c>
    </row>
    <row r="33" spans="1:16" x14ac:dyDescent="0.25">
      <c r="A33" s="89" t="s">
        <v>315</v>
      </c>
      <c r="B33" s="89" t="s">
        <v>2018</v>
      </c>
      <c r="C33" s="89" t="s">
        <v>812</v>
      </c>
      <c r="D33" s="89" t="s">
        <v>464</v>
      </c>
      <c r="E33" s="89" t="s">
        <v>1817</v>
      </c>
      <c r="F33" s="89" t="s">
        <v>1817</v>
      </c>
      <c r="G33" s="89" t="s">
        <v>1059</v>
      </c>
      <c r="H33" s="89" t="s">
        <v>1692</v>
      </c>
      <c r="I33" s="89" t="s">
        <v>1627</v>
      </c>
      <c r="J33" s="89" t="s">
        <v>882</v>
      </c>
      <c r="K33" s="89" t="s">
        <v>1817</v>
      </c>
      <c r="L33" s="89" t="s">
        <v>2018</v>
      </c>
      <c r="M33" s="89" t="s">
        <v>1864</v>
      </c>
      <c r="N33" s="89" t="s">
        <v>2017</v>
      </c>
      <c r="O33" s="89" t="s">
        <v>2016</v>
      </c>
      <c r="P33" s="89" t="s">
        <v>1817</v>
      </c>
    </row>
    <row r="34" spans="1:16" x14ac:dyDescent="0.25">
      <c r="A34" s="89" t="s">
        <v>312</v>
      </c>
      <c r="B34" s="89" t="s">
        <v>2011</v>
      </c>
      <c r="C34" s="89" t="s">
        <v>2015</v>
      </c>
      <c r="D34" s="89" t="s">
        <v>2014</v>
      </c>
      <c r="E34" s="89" t="s">
        <v>1322</v>
      </c>
      <c r="F34" s="89" t="s">
        <v>1322</v>
      </c>
      <c r="G34" s="89" t="s">
        <v>1627</v>
      </c>
      <c r="H34" s="89" t="s">
        <v>1528</v>
      </c>
      <c r="I34" s="89" t="s">
        <v>2013</v>
      </c>
      <c r="J34" s="89" t="s">
        <v>2012</v>
      </c>
      <c r="K34" s="89" t="s">
        <v>1322</v>
      </c>
      <c r="L34" s="89" t="s">
        <v>2011</v>
      </c>
      <c r="M34" s="89" t="s">
        <v>2010</v>
      </c>
      <c r="N34" s="89" t="s">
        <v>1613</v>
      </c>
      <c r="O34" s="89" t="s">
        <v>2009</v>
      </c>
      <c r="P34" s="89" t="s">
        <v>1322</v>
      </c>
    </row>
    <row r="35" spans="1:16" x14ac:dyDescent="0.25">
      <c r="A35" s="89" t="s">
        <v>309</v>
      </c>
      <c r="B35" s="89" t="s">
        <v>2007</v>
      </c>
      <c r="C35" s="89" t="s">
        <v>430</v>
      </c>
      <c r="D35" s="89" t="s">
        <v>427</v>
      </c>
      <c r="E35" s="89" t="s">
        <v>2003</v>
      </c>
      <c r="F35" s="89" t="s">
        <v>2003</v>
      </c>
      <c r="G35" s="89" t="s">
        <v>1062</v>
      </c>
      <c r="H35" s="89" t="s">
        <v>755</v>
      </c>
      <c r="I35" s="89" t="s">
        <v>483</v>
      </c>
      <c r="J35" s="89" t="s">
        <v>2008</v>
      </c>
      <c r="K35" s="89" t="s">
        <v>2003</v>
      </c>
      <c r="L35" s="89" t="s">
        <v>2007</v>
      </c>
      <c r="M35" s="89" t="s">
        <v>2006</v>
      </c>
      <c r="N35" s="89" t="s">
        <v>2005</v>
      </c>
      <c r="O35" s="89" t="s">
        <v>2004</v>
      </c>
      <c r="P35" s="89" t="s">
        <v>2003</v>
      </c>
    </row>
    <row r="36" spans="1:16" x14ac:dyDescent="0.25">
      <c r="A36" s="89" t="s">
        <v>306</v>
      </c>
      <c r="B36" s="89" t="s">
        <v>961</v>
      </c>
      <c r="C36" s="89" t="s">
        <v>908</v>
      </c>
      <c r="D36" s="89" t="s">
        <v>610</v>
      </c>
      <c r="E36" s="89" t="s">
        <v>1999</v>
      </c>
      <c r="F36" s="89" t="s">
        <v>1999</v>
      </c>
      <c r="G36" s="89" t="s">
        <v>1306</v>
      </c>
      <c r="H36" s="89" t="s">
        <v>2002</v>
      </c>
      <c r="I36" s="89" t="s">
        <v>1091</v>
      </c>
      <c r="J36" s="89" t="s">
        <v>803</v>
      </c>
      <c r="K36" s="89" t="s">
        <v>1999</v>
      </c>
      <c r="L36" s="89" t="s">
        <v>961</v>
      </c>
      <c r="M36" s="89" t="s">
        <v>1571</v>
      </c>
      <c r="N36" s="89" t="s">
        <v>2001</v>
      </c>
      <c r="O36" s="89" t="s">
        <v>2000</v>
      </c>
      <c r="P36" s="89" t="s">
        <v>1999</v>
      </c>
    </row>
    <row r="37" spans="1:16" x14ac:dyDescent="0.25">
      <c r="A37" s="89" t="s">
        <v>303</v>
      </c>
      <c r="B37" s="89" t="s">
        <v>1997</v>
      </c>
      <c r="C37" s="89" t="s">
        <v>1770</v>
      </c>
      <c r="D37" s="89" t="s">
        <v>1998</v>
      </c>
      <c r="E37" s="89" t="s">
        <v>1996</v>
      </c>
      <c r="F37" s="89" t="s">
        <v>1996</v>
      </c>
      <c r="G37" s="89" t="s">
        <v>1075</v>
      </c>
      <c r="H37" s="89" t="s">
        <v>1104</v>
      </c>
      <c r="I37" s="89" t="s">
        <v>1051</v>
      </c>
      <c r="J37" s="89" t="s">
        <v>1046</v>
      </c>
      <c r="K37" s="89" t="s">
        <v>1996</v>
      </c>
      <c r="L37" s="89" t="s">
        <v>1997</v>
      </c>
      <c r="M37" s="89" t="s">
        <v>456</v>
      </c>
      <c r="N37" s="89" t="s">
        <v>1884</v>
      </c>
      <c r="O37" s="89" t="s">
        <v>549</v>
      </c>
      <c r="P37" s="89" t="s">
        <v>1996</v>
      </c>
    </row>
    <row r="38" spans="1:16" x14ac:dyDescent="0.25">
      <c r="A38" s="89" t="s">
        <v>299</v>
      </c>
      <c r="B38" s="89" t="s">
        <v>530</v>
      </c>
      <c r="C38" s="89" t="s">
        <v>776</v>
      </c>
      <c r="D38" s="89" t="s">
        <v>1995</v>
      </c>
      <c r="E38" s="89" t="s">
        <v>535</v>
      </c>
      <c r="F38" s="89" t="s">
        <v>535</v>
      </c>
      <c r="G38" s="89" t="s">
        <v>1864</v>
      </c>
      <c r="H38" s="89" t="s">
        <v>920</v>
      </c>
      <c r="I38" s="89" t="s">
        <v>942</v>
      </c>
      <c r="J38" s="89" t="s">
        <v>1994</v>
      </c>
      <c r="K38" s="89" t="s">
        <v>535</v>
      </c>
      <c r="L38" s="89" t="s">
        <v>530</v>
      </c>
      <c r="M38" s="89" t="s">
        <v>556</v>
      </c>
      <c r="N38" s="89" t="s">
        <v>1725</v>
      </c>
      <c r="O38" s="89" t="s">
        <v>637</v>
      </c>
      <c r="P38" s="89" t="s">
        <v>535</v>
      </c>
    </row>
    <row r="39" spans="1:16" x14ac:dyDescent="0.25">
      <c r="A39" s="89" t="s">
        <v>297</v>
      </c>
      <c r="B39" s="89" t="s">
        <v>1991</v>
      </c>
      <c r="C39" s="89" t="s">
        <v>1993</v>
      </c>
      <c r="D39" s="89" t="s">
        <v>1993</v>
      </c>
      <c r="E39" s="89" t="s">
        <v>967</v>
      </c>
      <c r="F39" s="89" t="s">
        <v>967</v>
      </c>
      <c r="G39" s="89" t="s">
        <v>933</v>
      </c>
      <c r="H39" s="89" t="s">
        <v>1278</v>
      </c>
      <c r="I39" s="89" t="s">
        <v>1820</v>
      </c>
      <c r="J39" s="89" t="s">
        <v>1992</v>
      </c>
      <c r="K39" s="89" t="s">
        <v>967</v>
      </c>
      <c r="L39" s="89" t="s">
        <v>1991</v>
      </c>
      <c r="M39" s="89" t="s">
        <v>1990</v>
      </c>
      <c r="N39" s="89" t="s">
        <v>1989</v>
      </c>
      <c r="O39" s="89" t="s">
        <v>1376</v>
      </c>
      <c r="P39" s="89" t="s">
        <v>967</v>
      </c>
    </row>
    <row r="40" spans="1:16" x14ac:dyDescent="0.25">
      <c r="A40" s="89" t="s">
        <v>294</v>
      </c>
      <c r="B40" s="89" t="s">
        <v>1328</v>
      </c>
      <c r="C40" s="89" t="s">
        <v>1631</v>
      </c>
      <c r="D40" s="89" t="s">
        <v>445</v>
      </c>
      <c r="E40" s="89" t="s">
        <v>1827</v>
      </c>
      <c r="F40" s="89" t="s">
        <v>1827</v>
      </c>
      <c r="G40" s="89" t="s">
        <v>867</v>
      </c>
      <c r="H40" s="89" t="s">
        <v>1988</v>
      </c>
      <c r="I40" s="89" t="s">
        <v>1851</v>
      </c>
      <c r="J40" s="89" t="s">
        <v>887</v>
      </c>
      <c r="K40" s="89" t="s">
        <v>1827</v>
      </c>
      <c r="L40" s="89" t="s">
        <v>1328</v>
      </c>
      <c r="M40" s="89" t="s">
        <v>1759</v>
      </c>
      <c r="N40" s="89" t="s">
        <v>1414</v>
      </c>
      <c r="O40" s="89" t="s">
        <v>1759</v>
      </c>
      <c r="P40" s="89" t="s">
        <v>1827</v>
      </c>
    </row>
    <row r="41" spans="1:16" x14ac:dyDescent="0.25">
      <c r="A41" s="89" t="s">
        <v>290</v>
      </c>
      <c r="B41" s="89" t="s">
        <v>564</v>
      </c>
      <c r="C41" s="89" t="s">
        <v>1115</v>
      </c>
      <c r="D41" s="89" t="s">
        <v>671</v>
      </c>
      <c r="E41" s="89" t="s">
        <v>1983</v>
      </c>
      <c r="F41" s="89" t="s">
        <v>1983</v>
      </c>
      <c r="G41" s="89" t="s">
        <v>1987</v>
      </c>
      <c r="H41" s="89" t="s">
        <v>1682</v>
      </c>
      <c r="I41" s="89" t="s">
        <v>1424</v>
      </c>
      <c r="J41" s="89" t="s">
        <v>692</v>
      </c>
      <c r="K41" s="89" t="s">
        <v>1983</v>
      </c>
      <c r="L41" s="89" t="s">
        <v>564</v>
      </c>
      <c r="M41" s="89" t="s">
        <v>1986</v>
      </c>
      <c r="N41" s="89" t="s">
        <v>1985</v>
      </c>
      <c r="O41" s="89" t="s">
        <v>1984</v>
      </c>
      <c r="P41" s="89" t="s">
        <v>1983</v>
      </c>
    </row>
    <row r="42" spans="1:16" x14ac:dyDescent="0.25">
      <c r="A42" s="89" t="s">
        <v>288</v>
      </c>
      <c r="B42" s="89" t="s">
        <v>1982</v>
      </c>
      <c r="C42" s="89" t="s">
        <v>1515</v>
      </c>
      <c r="D42" s="89" t="s">
        <v>1537</v>
      </c>
      <c r="E42" s="89" t="s">
        <v>476</v>
      </c>
      <c r="F42" s="89" t="s">
        <v>476</v>
      </c>
      <c r="G42" s="89" t="s">
        <v>1174</v>
      </c>
      <c r="H42" s="89" t="s">
        <v>1650</v>
      </c>
      <c r="I42" s="89" t="s">
        <v>1511</v>
      </c>
      <c r="J42" s="89" t="s">
        <v>1018</v>
      </c>
      <c r="K42" s="89" t="s">
        <v>476</v>
      </c>
      <c r="L42" s="89" t="s">
        <v>1982</v>
      </c>
      <c r="M42" s="89" t="s">
        <v>636</v>
      </c>
      <c r="N42" s="89" t="s">
        <v>570</v>
      </c>
      <c r="O42" s="89" t="s">
        <v>1981</v>
      </c>
      <c r="P42" s="89" t="s">
        <v>476</v>
      </c>
    </row>
    <row r="43" spans="1:16" x14ac:dyDescent="0.25">
      <c r="A43" s="89" t="s">
        <v>286</v>
      </c>
      <c r="B43" s="89" t="s">
        <v>1471</v>
      </c>
      <c r="C43" s="89" t="s">
        <v>971</v>
      </c>
      <c r="D43" s="89" t="s">
        <v>1554</v>
      </c>
      <c r="E43" s="89" t="s">
        <v>580</v>
      </c>
      <c r="F43" s="89" t="s">
        <v>580</v>
      </c>
      <c r="G43" s="89" t="s">
        <v>1344</v>
      </c>
      <c r="H43" s="89" t="s">
        <v>540</v>
      </c>
      <c r="I43" s="89" t="s">
        <v>1453</v>
      </c>
      <c r="J43" s="89" t="s">
        <v>1760</v>
      </c>
      <c r="K43" s="89" t="s">
        <v>580</v>
      </c>
      <c r="L43" s="89" t="s">
        <v>1471</v>
      </c>
      <c r="M43" s="89" t="s">
        <v>618</v>
      </c>
      <c r="N43" s="89" t="s">
        <v>1841</v>
      </c>
      <c r="O43" s="89" t="s">
        <v>848</v>
      </c>
      <c r="P43" s="89" t="s">
        <v>580</v>
      </c>
    </row>
    <row r="44" spans="1:16" x14ac:dyDescent="0.25">
      <c r="A44" s="89" t="s">
        <v>284</v>
      </c>
      <c r="B44" s="89" t="s">
        <v>1978</v>
      </c>
      <c r="C44" s="89" t="s">
        <v>688</v>
      </c>
      <c r="D44" s="89" t="s">
        <v>639</v>
      </c>
      <c r="E44" s="89" t="s">
        <v>826</v>
      </c>
      <c r="F44" s="89" t="s">
        <v>826</v>
      </c>
      <c r="G44" s="89" t="s">
        <v>1536</v>
      </c>
      <c r="H44" s="89" t="s">
        <v>1980</v>
      </c>
      <c r="I44" s="89" t="s">
        <v>1979</v>
      </c>
      <c r="J44" s="89" t="s">
        <v>928</v>
      </c>
      <c r="K44" s="89" t="s">
        <v>826</v>
      </c>
      <c r="L44" s="89" t="s">
        <v>1978</v>
      </c>
      <c r="M44" s="89" t="s">
        <v>665</v>
      </c>
      <c r="N44" s="89" t="s">
        <v>1759</v>
      </c>
      <c r="O44" s="89" t="s">
        <v>1977</v>
      </c>
      <c r="P44" s="89" t="s">
        <v>826</v>
      </c>
    </row>
    <row r="45" spans="1:16" x14ac:dyDescent="0.25">
      <c r="A45" s="89" t="s">
        <v>281</v>
      </c>
      <c r="B45" s="89" t="s">
        <v>727</v>
      </c>
      <c r="C45" s="89" t="s">
        <v>401</v>
      </c>
      <c r="D45" s="89" t="s">
        <v>1976</v>
      </c>
      <c r="E45" s="89" t="s">
        <v>450</v>
      </c>
      <c r="F45" s="89" t="s">
        <v>450</v>
      </c>
      <c r="G45" s="89" t="s">
        <v>1229</v>
      </c>
      <c r="H45" s="89" t="s">
        <v>1102</v>
      </c>
      <c r="I45" s="89" t="s">
        <v>1975</v>
      </c>
      <c r="J45" s="89" t="s">
        <v>916</v>
      </c>
      <c r="K45" s="89" t="s">
        <v>450</v>
      </c>
      <c r="L45" s="89" t="s">
        <v>727</v>
      </c>
      <c r="M45" s="89" t="s">
        <v>863</v>
      </c>
      <c r="N45" s="89" t="s">
        <v>957</v>
      </c>
      <c r="O45" s="89" t="s">
        <v>1974</v>
      </c>
      <c r="P45" s="89" t="s">
        <v>450</v>
      </c>
    </row>
    <row r="46" spans="1:16" x14ac:dyDescent="0.25">
      <c r="A46" s="89" t="s">
        <v>277</v>
      </c>
      <c r="B46" s="89" t="s">
        <v>1969</v>
      </c>
      <c r="C46" s="89" t="s">
        <v>1973</v>
      </c>
      <c r="D46" s="89" t="s">
        <v>1972</v>
      </c>
      <c r="E46" s="89" t="s">
        <v>1965</v>
      </c>
      <c r="F46" s="89" t="s">
        <v>1965</v>
      </c>
      <c r="G46" s="89" t="s">
        <v>1971</v>
      </c>
      <c r="H46" s="89" t="s">
        <v>1970</v>
      </c>
      <c r="I46" s="89" t="s">
        <v>637</v>
      </c>
      <c r="J46" s="89" t="s">
        <v>1573</v>
      </c>
      <c r="K46" s="89" t="s">
        <v>1965</v>
      </c>
      <c r="L46" s="89" t="s">
        <v>1969</v>
      </c>
      <c r="M46" s="89" t="s">
        <v>1968</v>
      </c>
      <c r="N46" s="89" t="s">
        <v>1967</v>
      </c>
      <c r="O46" s="89" t="s">
        <v>1966</v>
      </c>
      <c r="P46" s="89" t="s">
        <v>1965</v>
      </c>
    </row>
    <row r="47" spans="1:16" x14ac:dyDescent="0.25">
      <c r="A47" s="89" t="s">
        <v>275</v>
      </c>
      <c r="B47" s="89" t="s">
        <v>1961</v>
      </c>
      <c r="C47" s="89" t="s">
        <v>1964</v>
      </c>
      <c r="D47" s="89" t="s">
        <v>1963</v>
      </c>
      <c r="E47" s="89" t="s">
        <v>1957</v>
      </c>
      <c r="F47" s="89" t="s">
        <v>1957</v>
      </c>
      <c r="G47" s="89" t="s">
        <v>509</v>
      </c>
      <c r="H47" s="89" t="s">
        <v>1962</v>
      </c>
      <c r="I47" s="89" t="s">
        <v>631</v>
      </c>
      <c r="J47" s="89" t="s">
        <v>727</v>
      </c>
      <c r="K47" s="89" t="s">
        <v>1957</v>
      </c>
      <c r="L47" s="89" t="s">
        <v>1961</v>
      </c>
      <c r="M47" s="89" t="s">
        <v>1960</v>
      </c>
      <c r="N47" s="89" t="s">
        <v>1959</v>
      </c>
      <c r="O47" s="89" t="s">
        <v>1958</v>
      </c>
      <c r="P47" s="89" t="s">
        <v>1957</v>
      </c>
    </row>
    <row r="48" spans="1:16" x14ac:dyDescent="0.25">
      <c r="A48" s="89" t="s">
        <v>272</v>
      </c>
      <c r="B48" s="89" t="s">
        <v>1953</v>
      </c>
      <c r="C48" s="89" t="s">
        <v>1956</v>
      </c>
      <c r="D48" s="89" t="s">
        <v>1955</v>
      </c>
      <c r="E48" s="89" t="s">
        <v>1951</v>
      </c>
      <c r="F48" s="89" t="s">
        <v>1951</v>
      </c>
      <c r="G48" s="89" t="s">
        <v>503</v>
      </c>
      <c r="H48" s="89" t="s">
        <v>658</v>
      </c>
      <c r="I48" s="89" t="s">
        <v>1954</v>
      </c>
      <c r="J48" s="89" t="s">
        <v>1114</v>
      </c>
      <c r="K48" s="89" t="s">
        <v>1951</v>
      </c>
      <c r="L48" s="89" t="s">
        <v>1953</v>
      </c>
      <c r="M48" s="89" t="s">
        <v>1952</v>
      </c>
      <c r="N48" s="89" t="s">
        <v>1575</v>
      </c>
      <c r="O48" s="89" t="s">
        <v>1717</v>
      </c>
      <c r="P48" s="89" t="s">
        <v>1951</v>
      </c>
    </row>
    <row r="49" spans="1:16" x14ac:dyDescent="0.25">
      <c r="A49" s="89" t="s">
        <v>269</v>
      </c>
      <c r="B49" s="89" t="s">
        <v>1536</v>
      </c>
      <c r="C49" s="89" t="s">
        <v>1950</v>
      </c>
      <c r="D49" s="89" t="s">
        <v>1108</v>
      </c>
      <c r="E49" s="89" t="s">
        <v>840</v>
      </c>
      <c r="F49" s="89" t="s">
        <v>840</v>
      </c>
      <c r="G49" s="89" t="s">
        <v>1949</v>
      </c>
      <c r="H49" s="89" t="s">
        <v>523</v>
      </c>
      <c r="I49" s="89" t="s">
        <v>1018</v>
      </c>
      <c r="J49" s="89" t="s">
        <v>1948</v>
      </c>
      <c r="K49" s="89" t="s">
        <v>840</v>
      </c>
      <c r="L49" s="89" t="s">
        <v>1536</v>
      </c>
      <c r="M49" s="89" t="s">
        <v>1287</v>
      </c>
      <c r="N49" s="89" t="s">
        <v>1759</v>
      </c>
      <c r="O49" s="89" t="s">
        <v>1947</v>
      </c>
      <c r="P49" s="89" t="s">
        <v>840</v>
      </c>
    </row>
    <row r="50" spans="1:16" x14ac:dyDescent="0.25">
      <c r="A50" s="89" t="s">
        <v>266</v>
      </c>
      <c r="B50" s="89" t="s">
        <v>1942</v>
      </c>
      <c r="C50" s="89" t="s">
        <v>1946</v>
      </c>
      <c r="D50" s="89" t="s">
        <v>1945</v>
      </c>
      <c r="E50" s="89" t="s">
        <v>1938</v>
      </c>
      <c r="F50" s="89" t="s">
        <v>1938</v>
      </c>
      <c r="G50" s="89" t="s">
        <v>1927</v>
      </c>
      <c r="H50" s="89" t="s">
        <v>1944</v>
      </c>
      <c r="I50" s="89" t="s">
        <v>610</v>
      </c>
      <c r="J50" s="89" t="s">
        <v>1943</v>
      </c>
      <c r="K50" s="89" t="s">
        <v>1938</v>
      </c>
      <c r="L50" s="89" t="s">
        <v>1942</v>
      </c>
      <c r="M50" s="89" t="s">
        <v>1941</v>
      </c>
      <c r="N50" s="89" t="s">
        <v>1940</v>
      </c>
      <c r="O50" s="89" t="s">
        <v>1939</v>
      </c>
      <c r="P50" s="89" t="s">
        <v>1938</v>
      </c>
    </row>
    <row r="51" spans="1:16" x14ac:dyDescent="0.25">
      <c r="A51" s="89" t="s">
        <v>263</v>
      </c>
      <c r="B51" s="89" t="s">
        <v>1934</v>
      </c>
      <c r="C51" s="89" t="s">
        <v>1937</v>
      </c>
      <c r="D51" s="89" t="s">
        <v>1936</v>
      </c>
      <c r="E51" s="89" t="s">
        <v>1930</v>
      </c>
      <c r="F51" s="89" t="s">
        <v>1930</v>
      </c>
      <c r="G51" s="89" t="s">
        <v>1492</v>
      </c>
      <c r="H51" s="89" t="s">
        <v>1935</v>
      </c>
      <c r="I51" s="89" t="s">
        <v>859</v>
      </c>
      <c r="J51" s="89" t="s">
        <v>983</v>
      </c>
      <c r="K51" s="89" t="s">
        <v>1930</v>
      </c>
      <c r="L51" s="89" t="s">
        <v>1934</v>
      </c>
      <c r="M51" s="89" t="s">
        <v>1933</v>
      </c>
      <c r="N51" s="89" t="s">
        <v>1932</v>
      </c>
      <c r="O51" s="89" t="s">
        <v>1931</v>
      </c>
      <c r="P51" s="89" t="s">
        <v>1930</v>
      </c>
    </row>
    <row r="52" spans="1:16" x14ac:dyDescent="0.25">
      <c r="A52" s="89" t="s">
        <v>260</v>
      </c>
      <c r="B52" s="89" t="s">
        <v>1924</v>
      </c>
      <c r="C52" s="89" t="s">
        <v>1929</v>
      </c>
      <c r="D52" s="89" t="s">
        <v>1928</v>
      </c>
      <c r="E52" s="89" t="s">
        <v>1920</v>
      </c>
      <c r="F52" s="89" t="s">
        <v>1920</v>
      </c>
      <c r="G52" s="89" t="s">
        <v>1049</v>
      </c>
      <c r="H52" s="89" t="s">
        <v>1927</v>
      </c>
      <c r="I52" s="89" t="s">
        <v>1926</v>
      </c>
      <c r="J52" s="89" t="s">
        <v>1925</v>
      </c>
      <c r="K52" s="89" t="s">
        <v>1920</v>
      </c>
      <c r="L52" s="89" t="s">
        <v>1924</v>
      </c>
      <c r="M52" s="89" t="s">
        <v>1923</v>
      </c>
      <c r="N52" s="89" t="s">
        <v>1922</v>
      </c>
      <c r="O52" s="89" t="s">
        <v>1921</v>
      </c>
      <c r="P52" s="89" t="s">
        <v>1920</v>
      </c>
    </row>
    <row r="53" spans="1:16" x14ac:dyDescent="0.25">
      <c r="A53" s="89" t="s">
        <v>256</v>
      </c>
      <c r="B53" s="89" t="s">
        <v>848</v>
      </c>
      <c r="C53" s="89" t="s">
        <v>806</v>
      </c>
      <c r="D53" s="89" t="s">
        <v>1591</v>
      </c>
      <c r="E53" s="89" t="s">
        <v>1915</v>
      </c>
      <c r="F53" s="89" t="s">
        <v>1915</v>
      </c>
      <c r="G53" s="89" t="s">
        <v>1516</v>
      </c>
      <c r="H53" s="89" t="s">
        <v>721</v>
      </c>
      <c r="I53" s="89" t="s">
        <v>1919</v>
      </c>
      <c r="J53" s="89" t="s">
        <v>1918</v>
      </c>
      <c r="K53" s="89" t="s">
        <v>1915</v>
      </c>
      <c r="L53" s="89" t="s">
        <v>848</v>
      </c>
      <c r="M53" s="89" t="s">
        <v>621</v>
      </c>
      <c r="N53" s="89" t="s">
        <v>1917</v>
      </c>
      <c r="O53" s="89" t="s">
        <v>1916</v>
      </c>
      <c r="P53" s="89" t="s">
        <v>1915</v>
      </c>
    </row>
    <row r="54" spans="1:16" x14ac:dyDescent="0.25">
      <c r="A54" s="89" t="s">
        <v>254</v>
      </c>
      <c r="B54" s="89" t="s">
        <v>1910</v>
      </c>
      <c r="C54" s="89" t="s">
        <v>1914</v>
      </c>
      <c r="D54" s="89" t="s">
        <v>1913</v>
      </c>
      <c r="E54" s="89" t="s">
        <v>1906</v>
      </c>
      <c r="F54" s="89" t="s">
        <v>1906</v>
      </c>
      <c r="G54" s="89" t="s">
        <v>744</v>
      </c>
      <c r="H54" s="89" t="s">
        <v>1912</v>
      </c>
      <c r="I54" s="89" t="s">
        <v>639</v>
      </c>
      <c r="J54" s="89" t="s">
        <v>1911</v>
      </c>
      <c r="K54" s="89" t="s">
        <v>1906</v>
      </c>
      <c r="L54" s="89" t="s">
        <v>1910</v>
      </c>
      <c r="M54" s="89" t="s">
        <v>1909</v>
      </c>
      <c r="N54" s="89" t="s">
        <v>1908</v>
      </c>
      <c r="O54" s="89" t="s">
        <v>1907</v>
      </c>
      <c r="P54" s="89" t="s">
        <v>1906</v>
      </c>
    </row>
    <row r="55" spans="1:16" x14ac:dyDescent="0.25">
      <c r="A55" s="89" t="s">
        <v>251</v>
      </c>
      <c r="B55" s="89" t="s">
        <v>1016</v>
      </c>
      <c r="C55" s="89" t="s">
        <v>721</v>
      </c>
      <c r="D55" s="89" t="s">
        <v>1905</v>
      </c>
      <c r="E55" s="89" t="s">
        <v>1887</v>
      </c>
      <c r="F55" s="89" t="s">
        <v>1887</v>
      </c>
      <c r="G55" s="89" t="s">
        <v>1062</v>
      </c>
      <c r="H55" s="89" t="s">
        <v>1904</v>
      </c>
      <c r="I55" s="89" t="s">
        <v>1424</v>
      </c>
      <c r="J55" s="89" t="s">
        <v>1679</v>
      </c>
      <c r="K55" s="89" t="s">
        <v>1887</v>
      </c>
      <c r="L55" s="89" t="s">
        <v>1016</v>
      </c>
      <c r="M55" s="89" t="s">
        <v>1783</v>
      </c>
      <c r="N55" s="89" t="s">
        <v>1903</v>
      </c>
      <c r="O55" s="89" t="s">
        <v>1902</v>
      </c>
      <c r="P55" s="89" t="s">
        <v>1887</v>
      </c>
    </row>
    <row r="56" spans="1:16" x14ac:dyDescent="0.25">
      <c r="A56" s="89" t="s">
        <v>248</v>
      </c>
      <c r="B56" s="89" t="s">
        <v>946</v>
      </c>
      <c r="C56" s="89" t="s">
        <v>1695</v>
      </c>
      <c r="D56" s="89" t="s">
        <v>1901</v>
      </c>
      <c r="E56" s="89" t="s">
        <v>1899</v>
      </c>
      <c r="F56" s="89" t="s">
        <v>1899</v>
      </c>
      <c r="G56" s="89" t="s">
        <v>1681</v>
      </c>
      <c r="H56" s="89" t="s">
        <v>1878</v>
      </c>
      <c r="I56" s="89" t="s">
        <v>1790</v>
      </c>
      <c r="J56" s="89" t="s">
        <v>992</v>
      </c>
      <c r="K56" s="89" t="s">
        <v>1899</v>
      </c>
      <c r="L56" s="89" t="s">
        <v>946</v>
      </c>
      <c r="M56" s="89" t="s">
        <v>1900</v>
      </c>
      <c r="N56" s="89" t="s">
        <v>808</v>
      </c>
      <c r="O56" s="89" t="s">
        <v>1575</v>
      </c>
      <c r="P56" s="89" t="s">
        <v>1899</v>
      </c>
    </row>
    <row r="57" spans="1:16" x14ac:dyDescent="0.25">
      <c r="A57" s="89" t="s">
        <v>245</v>
      </c>
      <c r="B57" s="89" t="s">
        <v>1898</v>
      </c>
      <c r="C57" s="89" t="s">
        <v>1503</v>
      </c>
      <c r="D57" s="89" t="s">
        <v>1465</v>
      </c>
      <c r="E57" s="89" t="s">
        <v>1896</v>
      </c>
      <c r="F57" s="89" t="s">
        <v>1896</v>
      </c>
      <c r="G57" s="89" t="s">
        <v>1256</v>
      </c>
      <c r="H57" s="89" t="s">
        <v>1888</v>
      </c>
      <c r="I57" s="89" t="s">
        <v>977</v>
      </c>
      <c r="J57" s="89" t="s">
        <v>503</v>
      </c>
      <c r="K57" s="89" t="s">
        <v>1896</v>
      </c>
      <c r="L57" s="89" t="s">
        <v>1898</v>
      </c>
      <c r="M57" s="89" t="s">
        <v>1229</v>
      </c>
      <c r="N57" s="89" t="s">
        <v>1489</v>
      </c>
      <c r="O57" s="89" t="s">
        <v>1897</v>
      </c>
      <c r="P57" s="89" t="s">
        <v>1896</v>
      </c>
    </row>
    <row r="58" spans="1:16" x14ac:dyDescent="0.25">
      <c r="A58" s="89" t="s">
        <v>243</v>
      </c>
      <c r="B58" s="89" t="s">
        <v>1820</v>
      </c>
      <c r="C58" s="89" t="s">
        <v>1895</v>
      </c>
      <c r="D58" s="89" t="s">
        <v>1894</v>
      </c>
      <c r="E58" s="89" t="s">
        <v>479</v>
      </c>
      <c r="F58" s="89" t="s">
        <v>479</v>
      </c>
      <c r="G58" s="89" t="s">
        <v>1893</v>
      </c>
      <c r="H58" s="89" t="s">
        <v>866</v>
      </c>
      <c r="I58" s="89" t="s">
        <v>1892</v>
      </c>
      <c r="J58" s="89" t="s">
        <v>646</v>
      </c>
      <c r="K58" s="89" t="s">
        <v>479</v>
      </c>
      <c r="L58" s="89" t="s">
        <v>1820</v>
      </c>
      <c r="M58" s="89" t="s">
        <v>1632</v>
      </c>
      <c r="N58" s="89" t="s">
        <v>846</v>
      </c>
      <c r="O58" s="89" t="s">
        <v>683</v>
      </c>
      <c r="P58" s="89" t="s">
        <v>479</v>
      </c>
    </row>
    <row r="59" spans="1:16" x14ac:dyDescent="0.25">
      <c r="A59" s="89" t="s">
        <v>240</v>
      </c>
      <c r="B59" s="89" t="s">
        <v>407</v>
      </c>
      <c r="C59" s="89" t="s">
        <v>868</v>
      </c>
      <c r="D59" s="89" t="s">
        <v>1891</v>
      </c>
      <c r="E59" s="89" t="s">
        <v>824</v>
      </c>
      <c r="F59" s="89" t="s">
        <v>824</v>
      </c>
      <c r="G59" s="89" t="s">
        <v>1879</v>
      </c>
      <c r="H59" s="89" t="s">
        <v>1210</v>
      </c>
      <c r="I59" s="89" t="s">
        <v>1502</v>
      </c>
      <c r="J59" s="89" t="s">
        <v>693</v>
      </c>
      <c r="K59" s="89" t="s">
        <v>824</v>
      </c>
      <c r="L59" s="89" t="s">
        <v>407</v>
      </c>
      <c r="M59" s="89" t="s">
        <v>1869</v>
      </c>
      <c r="N59" s="89" t="s">
        <v>500</v>
      </c>
      <c r="O59" s="89" t="s">
        <v>1275</v>
      </c>
      <c r="P59" s="89" t="s">
        <v>824</v>
      </c>
    </row>
    <row r="60" spans="1:16" x14ac:dyDescent="0.25">
      <c r="A60" s="89" t="s">
        <v>237</v>
      </c>
      <c r="B60" s="89" t="s">
        <v>1102</v>
      </c>
      <c r="C60" s="89" t="s">
        <v>571</v>
      </c>
      <c r="D60" s="89" t="s">
        <v>527</v>
      </c>
      <c r="E60" s="89" t="s">
        <v>886</v>
      </c>
      <c r="F60" s="89" t="s">
        <v>886</v>
      </c>
      <c r="G60" s="89" t="s">
        <v>691</v>
      </c>
      <c r="H60" s="89" t="s">
        <v>881</v>
      </c>
      <c r="I60" s="89" t="s">
        <v>1890</v>
      </c>
      <c r="J60" s="89" t="s">
        <v>482</v>
      </c>
      <c r="K60" s="89" t="s">
        <v>886</v>
      </c>
      <c r="L60" s="89" t="s">
        <v>1102</v>
      </c>
      <c r="M60" s="89" t="s">
        <v>1076</v>
      </c>
      <c r="N60" s="89" t="s">
        <v>1321</v>
      </c>
      <c r="O60" s="89" t="s">
        <v>1805</v>
      </c>
      <c r="P60" s="89" t="s">
        <v>886</v>
      </c>
    </row>
    <row r="61" spans="1:16" x14ac:dyDescent="0.25">
      <c r="A61" s="89" t="s">
        <v>233</v>
      </c>
      <c r="B61" s="89" t="s">
        <v>1558</v>
      </c>
      <c r="C61" s="89" t="s">
        <v>1072</v>
      </c>
      <c r="D61" s="89" t="s">
        <v>489</v>
      </c>
      <c r="E61" s="89" t="s">
        <v>570</v>
      </c>
      <c r="F61" s="89" t="s">
        <v>570</v>
      </c>
      <c r="G61" s="89" t="s">
        <v>1889</v>
      </c>
      <c r="H61" s="89" t="s">
        <v>498</v>
      </c>
      <c r="I61" s="89" t="s">
        <v>1082</v>
      </c>
      <c r="J61" s="89" t="s">
        <v>1732</v>
      </c>
      <c r="K61" s="89" t="s">
        <v>570</v>
      </c>
      <c r="L61" s="89" t="s">
        <v>1558</v>
      </c>
      <c r="M61" s="89" t="s">
        <v>1087</v>
      </c>
      <c r="N61" s="89" t="s">
        <v>737</v>
      </c>
      <c r="O61" s="89" t="s">
        <v>1709</v>
      </c>
      <c r="P61" s="89" t="s">
        <v>570</v>
      </c>
    </row>
    <row r="62" spans="1:16" x14ac:dyDescent="0.25">
      <c r="A62" s="89" t="s">
        <v>199</v>
      </c>
      <c r="B62" s="89" t="s">
        <v>858</v>
      </c>
      <c r="C62" s="89" t="s">
        <v>1724</v>
      </c>
      <c r="D62" s="89" t="s">
        <v>572</v>
      </c>
      <c r="E62" s="89" t="s">
        <v>620</v>
      </c>
      <c r="F62" s="89" t="s">
        <v>620</v>
      </c>
      <c r="G62" s="89" t="s">
        <v>1493</v>
      </c>
      <c r="H62" s="89" t="s">
        <v>1831</v>
      </c>
      <c r="I62" s="89" t="s">
        <v>1888</v>
      </c>
      <c r="J62" s="89" t="s">
        <v>1257</v>
      </c>
      <c r="K62" s="89" t="s">
        <v>620</v>
      </c>
      <c r="L62" s="89" t="s">
        <v>858</v>
      </c>
      <c r="M62" s="89" t="s">
        <v>1537</v>
      </c>
      <c r="N62" s="89" t="s">
        <v>570</v>
      </c>
      <c r="O62" s="89" t="s">
        <v>1625</v>
      </c>
      <c r="P62" s="89" t="s">
        <v>620</v>
      </c>
    </row>
    <row r="63" spans="1:16" x14ac:dyDescent="0.25">
      <c r="A63" s="89" t="s">
        <v>227</v>
      </c>
      <c r="B63" s="89" t="s">
        <v>544</v>
      </c>
      <c r="C63" s="89" t="s">
        <v>808</v>
      </c>
      <c r="D63" s="89" t="s">
        <v>1887</v>
      </c>
      <c r="E63" s="89" t="s">
        <v>1884</v>
      </c>
      <c r="F63" s="89" t="s">
        <v>1884</v>
      </c>
      <c r="G63" s="89" t="s">
        <v>1016</v>
      </c>
      <c r="H63" s="89" t="s">
        <v>553</v>
      </c>
      <c r="I63" s="89" t="s">
        <v>1463</v>
      </c>
      <c r="J63" s="89" t="s">
        <v>467</v>
      </c>
      <c r="K63" s="89" t="s">
        <v>1884</v>
      </c>
      <c r="L63" s="89" t="s">
        <v>544</v>
      </c>
      <c r="M63" s="89" t="s">
        <v>1068</v>
      </c>
      <c r="N63" s="89" t="s">
        <v>1886</v>
      </c>
      <c r="O63" s="89" t="s">
        <v>1885</v>
      </c>
      <c r="P63" s="89" t="s">
        <v>1884</v>
      </c>
    </row>
    <row r="64" spans="1:16" x14ac:dyDescent="0.25">
      <c r="A64" s="89" t="s">
        <v>223</v>
      </c>
      <c r="B64" s="89" t="s">
        <v>1879</v>
      </c>
      <c r="C64" s="89" t="s">
        <v>1451</v>
      </c>
      <c r="D64" s="89" t="s">
        <v>1883</v>
      </c>
      <c r="E64" s="89" t="s">
        <v>1878</v>
      </c>
      <c r="F64" s="89" t="s">
        <v>1878</v>
      </c>
      <c r="G64" s="89" t="s">
        <v>1882</v>
      </c>
      <c r="H64" s="89" t="s">
        <v>1881</v>
      </c>
      <c r="I64" s="89" t="s">
        <v>1880</v>
      </c>
      <c r="J64" s="89" t="s">
        <v>1838</v>
      </c>
      <c r="K64" s="89" t="s">
        <v>1878</v>
      </c>
      <c r="L64" s="89" t="s">
        <v>1879</v>
      </c>
      <c r="M64" s="89" t="s">
        <v>923</v>
      </c>
      <c r="N64" s="89" t="s">
        <v>1196</v>
      </c>
      <c r="O64" s="89" t="s">
        <v>1492</v>
      </c>
      <c r="P64" s="89" t="s">
        <v>1878</v>
      </c>
    </row>
    <row r="65" spans="1:16" x14ac:dyDescent="0.25">
      <c r="A65" s="89" t="s">
        <v>220</v>
      </c>
      <c r="B65" s="89" t="s">
        <v>1381</v>
      </c>
      <c r="C65" s="89" t="s">
        <v>1877</v>
      </c>
      <c r="D65" s="89" t="s">
        <v>1443</v>
      </c>
      <c r="E65" s="89" t="s">
        <v>1874</v>
      </c>
      <c r="F65" s="89" t="s">
        <v>1874</v>
      </c>
      <c r="G65" s="89" t="s">
        <v>1876</v>
      </c>
      <c r="H65" s="89" t="s">
        <v>1875</v>
      </c>
      <c r="I65" s="89" t="s">
        <v>1390</v>
      </c>
      <c r="J65" s="89" t="s">
        <v>1411</v>
      </c>
      <c r="K65" s="89" t="s">
        <v>1874</v>
      </c>
      <c r="L65" s="89" t="s">
        <v>1381</v>
      </c>
      <c r="M65" s="89" t="s">
        <v>868</v>
      </c>
      <c r="N65" s="89" t="s">
        <v>1666</v>
      </c>
      <c r="O65" s="89" t="s">
        <v>1464</v>
      </c>
      <c r="P65" s="89" t="s">
        <v>1874</v>
      </c>
    </row>
    <row r="66" spans="1:16" x14ac:dyDescent="0.25">
      <c r="A66" s="89" t="s">
        <v>217</v>
      </c>
      <c r="B66" s="89" t="s">
        <v>1871</v>
      </c>
      <c r="C66" s="89" t="s">
        <v>1268</v>
      </c>
      <c r="D66" s="89" t="s">
        <v>1873</v>
      </c>
      <c r="E66" s="89" t="s">
        <v>1314</v>
      </c>
      <c r="F66" s="89" t="s">
        <v>1314</v>
      </c>
      <c r="G66" s="89" t="s">
        <v>1872</v>
      </c>
      <c r="H66" s="89" t="s">
        <v>1406</v>
      </c>
      <c r="I66" s="89" t="s">
        <v>412</v>
      </c>
      <c r="J66" s="89" t="s">
        <v>799</v>
      </c>
      <c r="K66" s="89" t="s">
        <v>1314</v>
      </c>
      <c r="L66" s="89" t="s">
        <v>1871</v>
      </c>
      <c r="M66" s="89" t="s">
        <v>1870</v>
      </c>
      <c r="N66" s="89" t="s">
        <v>1869</v>
      </c>
      <c r="O66" s="89" t="s">
        <v>657</v>
      </c>
      <c r="P66" s="89" t="s">
        <v>1314</v>
      </c>
    </row>
    <row r="67" spans="1:16" x14ac:dyDescent="0.25">
      <c r="A67" s="89" t="s">
        <v>214</v>
      </c>
      <c r="B67" s="89" t="s">
        <v>1867</v>
      </c>
      <c r="C67" s="89" t="s">
        <v>1868</v>
      </c>
      <c r="D67" s="89" t="s">
        <v>1271</v>
      </c>
      <c r="E67" s="89" t="s">
        <v>1865</v>
      </c>
      <c r="F67" s="89" t="s">
        <v>1865</v>
      </c>
      <c r="G67" s="89" t="s">
        <v>658</v>
      </c>
      <c r="H67" s="89" t="s">
        <v>980</v>
      </c>
      <c r="I67" s="89" t="s">
        <v>1280</v>
      </c>
      <c r="J67" s="89" t="s">
        <v>855</v>
      </c>
      <c r="K67" s="89" t="s">
        <v>1865</v>
      </c>
      <c r="L67" s="89" t="s">
        <v>1867</v>
      </c>
      <c r="M67" s="89" t="s">
        <v>1655</v>
      </c>
      <c r="N67" s="89" t="s">
        <v>441</v>
      </c>
      <c r="O67" s="89" t="s">
        <v>1866</v>
      </c>
      <c r="P67" s="89" t="s">
        <v>1865</v>
      </c>
    </row>
    <row r="68" spans="1:16" x14ac:dyDescent="0.25">
      <c r="A68" s="89" t="s">
        <v>212</v>
      </c>
      <c r="B68" s="89" t="s">
        <v>1863</v>
      </c>
      <c r="C68" s="89" t="s">
        <v>1243</v>
      </c>
      <c r="D68" s="89" t="s">
        <v>863</v>
      </c>
      <c r="E68" s="89" t="s">
        <v>532</v>
      </c>
      <c r="F68" s="89" t="s">
        <v>532</v>
      </c>
      <c r="G68" s="89" t="s">
        <v>1864</v>
      </c>
      <c r="H68" s="89" t="s">
        <v>1238</v>
      </c>
      <c r="I68" s="89" t="s">
        <v>461</v>
      </c>
      <c r="J68" s="89" t="s">
        <v>866</v>
      </c>
      <c r="K68" s="89" t="s">
        <v>532</v>
      </c>
      <c r="L68" s="89" t="s">
        <v>1863</v>
      </c>
      <c r="M68" s="89" t="s">
        <v>522</v>
      </c>
      <c r="N68" s="89" t="s">
        <v>676</v>
      </c>
      <c r="O68" s="89" t="s">
        <v>709</v>
      </c>
      <c r="P68" s="89" t="s">
        <v>532</v>
      </c>
    </row>
    <row r="69" spans="1:16" x14ac:dyDescent="0.25">
      <c r="A69" s="89" t="s">
        <v>209</v>
      </c>
      <c r="B69" s="89" t="s">
        <v>1857</v>
      </c>
      <c r="C69" s="89" t="s">
        <v>1862</v>
      </c>
      <c r="D69" s="89" t="s">
        <v>1642</v>
      </c>
      <c r="E69" s="89" t="s">
        <v>1854</v>
      </c>
      <c r="F69" s="89" t="s">
        <v>1854</v>
      </c>
      <c r="G69" s="89" t="s">
        <v>1861</v>
      </c>
      <c r="H69" s="89" t="s">
        <v>1860</v>
      </c>
      <c r="I69" s="89" t="s">
        <v>1859</v>
      </c>
      <c r="J69" s="89" t="s">
        <v>1858</v>
      </c>
      <c r="K69" s="89" t="s">
        <v>1854</v>
      </c>
      <c r="L69" s="89" t="s">
        <v>1857</v>
      </c>
      <c r="M69" s="89" t="s">
        <v>1856</v>
      </c>
      <c r="N69" s="89" t="s">
        <v>1718</v>
      </c>
      <c r="O69" s="89" t="s">
        <v>1855</v>
      </c>
      <c r="P69" s="89" t="s">
        <v>1854</v>
      </c>
    </row>
    <row r="70" spans="1:16" x14ac:dyDescent="0.25">
      <c r="A70" s="89" t="s">
        <v>207</v>
      </c>
      <c r="B70" s="89" t="s">
        <v>399</v>
      </c>
      <c r="C70" s="89" t="s">
        <v>1853</v>
      </c>
      <c r="D70" s="89" t="s">
        <v>486</v>
      </c>
      <c r="E70" s="89" t="s">
        <v>1850</v>
      </c>
      <c r="F70" s="89" t="s">
        <v>1850</v>
      </c>
      <c r="G70" s="89" t="s">
        <v>1852</v>
      </c>
      <c r="H70" s="89" t="s">
        <v>1598</v>
      </c>
      <c r="I70" s="89" t="s">
        <v>1686</v>
      </c>
      <c r="J70" s="89" t="s">
        <v>1851</v>
      </c>
      <c r="K70" s="89" t="s">
        <v>1850</v>
      </c>
      <c r="L70" s="89" t="s">
        <v>399</v>
      </c>
      <c r="M70" s="89" t="s">
        <v>592</v>
      </c>
      <c r="N70" s="89" t="s">
        <v>485</v>
      </c>
      <c r="O70" s="89" t="s">
        <v>401</v>
      </c>
      <c r="P70" s="89" t="s">
        <v>1850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6" t="s">
        <v>2341</v>
      </c>
      <c r="C4" s="106"/>
      <c r="D4" s="106"/>
      <c r="E4" s="106"/>
      <c r="F4" s="106"/>
      <c r="G4" s="106" t="s">
        <v>2341</v>
      </c>
      <c r="H4" s="106"/>
      <c r="I4" s="106"/>
      <c r="J4" s="106"/>
      <c r="K4" s="106"/>
      <c r="L4" s="106" t="s">
        <v>2341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2338</v>
      </c>
      <c r="C6" s="89" t="s">
        <v>488</v>
      </c>
      <c r="D6" s="89" t="s">
        <v>702</v>
      </c>
      <c r="E6" s="89" t="s">
        <v>926</v>
      </c>
      <c r="F6" s="89" t="s">
        <v>926</v>
      </c>
      <c r="G6" s="89" t="s">
        <v>1651</v>
      </c>
      <c r="H6" s="89" t="s">
        <v>2340</v>
      </c>
      <c r="I6" s="89" t="s">
        <v>1898</v>
      </c>
      <c r="J6" s="89" t="s">
        <v>2339</v>
      </c>
      <c r="K6" s="89" t="s">
        <v>926</v>
      </c>
      <c r="L6" s="89" t="s">
        <v>2338</v>
      </c>
      <c r="M6" s="89" t="s">
        <v>1378</v>
      </c>
      <c r="N6" s="89" t="s">
        <v>2337</v>
      </c>
      <c r="O6" s="89" t="s">
        <v>1747</v>
      </c>
      <c r="P6" s="89" t="s">
        <v>926</v>
      </c>
    </row>
    <row r="7" spans="1:16" x14ac:dyDescent="0.25">
      <c r="A7" s="89" t="s">
        <v>392</v>
      </c>
      <c r="B7" s="89" t="s">
        <v>2287</v>
      </c>
      <c r="C7" s="89" t="s">
        <v>2336</v>
      </c>
      <c r="D7" s="89" t="s">
        <v>2313</v>
      </c>
      <c r="E7" s="89" t="s">
        <v>1463</v>
      </c>
      <c r="F7" s="89" t="s">
        <v>1463</v>
      </c>
      <c r="G7" s="89" t="s">
        <v>2335</v>
      </c>
      <c r="H7" s="89" t="s">
        <v>2334</v>
      </c>
      <c r="I7" s="89" t="s">
        <v>2333</v>
      </c>
      <c r="J7" s="89" t="s">
        <v>2332</v>
      </c>
      <c r="K7" s="89" t="s">
        <v>1463</v>
      </c>
      <c r="L7" s="89" t="s">
        <v>2287</v>
      </c>
      <c r="M7" s="89" t="s">
        <v>590</v>
      </c>
      <c r="N7" s="89" t="s">
        <v>1075</v>
      </c>
      <c r="O7" s="89" t="s">
        <v>667</v>
      </c>
      <c r="P7" s="89" t="s">
        <v>1463</v>
      </c>
    </row>
    <row r="8" spans="1:16" x14ac:dyDescent="0.25">
      <c r="A8" s="89" t="s">
        <v>389</v>
      </c>
      <c r="B8" s="89" t="s">
        <v>2328</v>
      </c>
      <c r="C8" s="89" t="s">
        <v>1396</v>
      </c>
      <c r="D8" s="89" t="s">
        <v>1829</v>
      </c>
      <c r="E8" s="89" t="s">
        <v>833</v>
      </c>
      <c r="F8" s="89" t="s">
        <v>833</v>
      </c>
      <c r="G8" s="89" t="s">
        <v>2331</v>
      </c>
      <c r="H8" s="89" t="s">
        <v>1288</v>
      </c>
      <c r="I8" s="89" t="s">
        <v>2330</v>
      </c>
      <c r="J8" s="89" t="s">
        <v>2329</v>
      </c>
      <c r="K8" s="89" t="s">
        <v>833</v>
      </c>
      <c r="L8" s="89" t="s">
        <v>2328</v>
      </c>
      <c r="M8" s="89" t="s">
        <v>2327</v>
      </c>
      <c r="N8" s="89" t="s">
        <v>1879</v>
      </c>
      <c r="O8" s="89" t="s">
        <v>2326</v>
      </c>
      <c r="P8" s="89" t="s">
        <v>833</v>
      </c>
    </row>
    <row r="9" spans="1:16" x14ac:dyDescent="0.25">
      <c r="A9" s="89" t="s">
        <v>386</v>
      </c>
      <c r="B9" s="89" t="s">
        <v>1212</v>
      </c>
      <c r="C9" s="89" t="s">
        <v>2325</v>
      </c>
      <c r="D9" s="89" t="s">
        <v>1528</v>
      </c>
      <c r="E9" s="89" t="s">
        <v>2321</v>
      </c>
      <c r="F9" s="89" t="s">
        <v>2321</v>
      </c>
      <c r="G9" s="89" t="s">
        <v>2324</v>
      </c>
      <c r="H9" s="89" t="s">
        <v>2323</v>
      </c>
      <c r="I9" s="89" t="s">
        <v>682</v>
      </c>
      <c r="J9" s="89" t="s">
        <v>2322</v>
      </c>
      <c r="K9" s="89" t="s">
        <v>2321</v>
      </c>
      <c r="L9" s="89" t="s">
        <v>1212</v>
      </c>
      <c r="M9" s="89" t="s">
        <v>1943</v>
      </c>
      <c r="N9" s="89" t="s">
        <v>671</v>
      </c>
      <c r="O9" s="89" t="s">
        <v>1869</v>
      </c>
      <c r="P9" s="89" t="s">
        <v>2321</v>
      </c>
    </row>
    <row r="10" spans="1:16" x14ac:dyDescent="0.25">
      <c r="A10" s="89" t="s">
        <v>383</v>
      </c>
      <c r="B10" s="89" t="s">
        <v>541</v>
      </c>
      <c r="C10" s="89" t="s">
        <v>1598</v>
      </c>
      <c r="D10" s="89" t="s">
        <v>576</v>
      </c>
      <c r="E10" s="89" t="s">
        <v>620</v>
      </c>
      <c r="F10" s="89" t="s">
        <v>620</v>
      </c>
      <c r="G10" s="89" t="s">
        <v>2320</v>
      </c>
      <c r="H10" s="89" t="s">
        <v>2319</v>
      </c>
      <c r="I10" s="89" t="s">
        <v>2318</v>
      </c>
      <c r="J10" s="89" t="s">
        <v>2317</v>
      </c>
      <c r="K10" s="89" t="s">
        <v>620</v>
      </c>
      <c r="L10" s="89" t="s">
        <v>541</v>
      </c>
      <c r="M10" s="89" t="s">
        <v>1724</v>
      </c>
      <c r="N10" s="89" t="s">
        <v>1216</v>
      </c>
      <c r="O10" s="89" t="s">
        <v>1229</v>
      </c>
      <c r="P10" s="89" t="s">
        <v>620</v>
      </c>
    </row>
    <row r="11" spans="1:16" x14ac:dyDescent="0.25">
      <c r="A11" s="89" t="s">
        <v>380</v>
      </c>
      <c r="B11" s="89" t="s">
        <v>551</v>
      </c>
      <c r="C11" s="89" t="s">
        <v>488</v>
      </c>
      <c r="D11" s="89" t="s">
        <v>880</v>
      </c>
      <c r="E11" s="89" t="s">
        <v>1485</v>
      </c>
      <c r="F11" s="89" t="s">
        <v>1485</v>
      </c>
      <c r="G11" s="89" t="s">
        <v>2316</v>
      </c>
      <c r="H11" s="89" t="s">
        <v>1919</v>
      </c>
      <c r="I11" s="89" t="s">
        <v>919</v>
      </c>
      <c r="J11" s="89" t="s">
        <v>1463</v>
      </c>
      <c r="K11" s="89" t="s">
        <v>1485</v>
      </c>
      <c r="L11" s="89" t="s">
        <v>551</v>
      </c>
      <c r="M11" s="89" t="s">
        <v>2315</v>
      </c>
      <c r="N11" s="89" t="s">
        <v>1067</v>
      </c>
      <c r="O11" s="89" t="s">
        <v>2314</v>
      </c>
      <c r="P11" s="89" t="s">
        <v>1485</v>
      </c>
    </row>
    <row r="12" spans="1:16" x14ac:dyDescent="0.25">
      <c r="A12" s="89" t="s">
        <v>377</v>
      </c>
      <c r="B12" s="89" t="s">
        <v>2235</v>
      </c>
      <c r="C12" s="89" t="s">
        <v>982</v>
      </c>
      <c r="D12" s="89" t="s">
        <v>2313</v>
      </c>
      <c r="E12" s="89" t="s">
        <v>2168</v>
      </c>
      <c r="F12" s="89" t="s">
        <v>2168</v>
      </c>
      <c r="G12" s="89" t="s">
        <v>507</v>
      </c>
      <c r="H12" s="89" t="s">
        <v>675</v>
      </c>
      <c r="I12" s="89" t="s">
        <v>1515</v>
      </c>
      <c r="J12" s="89" t="s">
        <v>2312</v>
      </c>
      <c r="K12" s="89" t="s">
        <v>2168</v>
      </c>
      <c r="L12" s="89" t="s">
        <v>2235</v>
      </c>
      <c r="M12" s="89" t="s">
        <v>2283</v>
      </c>
      <c r="N12" s="89" t="s">
        <v>1007</v>
      </c>
      <c r="O12" s="89" t="s">
        <v>693</v>
      </c>
      <c r="P12" s="89" t="s">
        <v>2168</v>
      </c>
    </row>
    <row r="13" spans="1:16" x14ac:dyDescent="0.25">
      <c r="A13" s="89" t="s">
        <v>374</v>
      </c>
      <c r="B13" s="89" t="s">
        <v>2309</v>
      </c>
      <c r="C13" s="89" t="s">
        <v>1954</v>
      </c>
      <c r="D13" s="89" t="s">
        <v>423</v>
      </c>
      <c r="E13" s="89" t="s">
        <v>1046</v>
      </c>
      <c r="F13" s="89" t="s">
        <v>1046</v>
      </c>
      <c r="G13" s="89" t="s">
        <v>2311</v>
      </c>
      <c r="H13" s="89" t="s">
        <v>2310</v>
      </c>
      <c r="I13" s="89" t="s">
        <v>1867</v>
      </c>
      <c r="J13" s="89" t="s">
        <v>1350</v>
      </c>
      <c r="K13" s="89" t="s">
        <v>1046</v>
      </c>
      <c r="L13" s="89" t="s">
        <v>2309</v>
      </c>
      <c r="M13" s="89" t="s">
        <v>425</v>
      </c>
      <c r="N13" s="89" t="s">
        <v>1850</v>
      </c>
      <c r="O13" s="89" t="s">
        <v>1484</v>
      </c>
      <c r="P13" s="89" t="s">
        <v>1046</v>
      </c>
    </row>
    <row r="14" spans="1:16" x14ac:dyDescent="0.25">
      <c r="A14" s="89" t="s">
        <v>371</v>
      </c>
      <c r="B14" s="89" t="s">
        <v>1493</v>
      </c>
      <c r="C14" s="89" t="s">
        <v>1782</v>
      </c>
      <c r="D14" s="89" t="s">
        <v>685</v>
      </c>
      <c r="E14" s="89" t="s">
        <v>2273</v>
      </c>
      <c r="F14" s="89" t="s">
        <v>2273</v>
      </c>
      <c r="G14" s="89" t="s">
        <v>2308</v>
      </c>
      <c r="H14" s="89" t="s">
        <v>2307</v>
      </c>
      <c r="I14" s="89" t="s">
        <v>704</v>
      </c>
      <c r="J14" s="89" t="s">
        <v>2138</v>
      </c>
      <c r="K14" s="89" t="s">
        <v>2273</v>
      </c>
      <c r="L14" s="89" t="s">
        <v>1493</v>
      </c>
      <c r="M14" s="89" t="s">
        <v>2306</v>
      </c>
      <c r="N14" s="89" t="s">
        <v>1970</v>
      </c>
      <c r="O14" s="89" t="s">
        <v>600</v>
      </c>
      <c r="P14" s="89" t="s">
        <v>2273</v>
      </c>
    </row>
    <row r="15" spans="1:16" x14ac:dyDescent="0.25">
      <c r="A15" s="89" t="s">
        <v>368</v>
      </c>
      <c r="B15" s="89" t="s">
        <v>420</v>
      </c>
      <c r="C15" s="89" t="s">
        <v>534</v>
      </c>
      <c r="D15" s="89" t="s">
        <v>453</v>
      </c>
      <c r="E15" s="89" t="s">
        <v>1727</v>
      </c>
      <c r="F15" s="89" t="s">
        <v>1727</v>
      </c>
      <c r="G15" s="89" t="s">
        <v>2305</v>
      </c>
      <c r="H15" s="89" t="s">
        <v>648</v>
      </c>
      <c r="I15" s="89" t="s">
        <v>1850</v>
      </c>
      <c r="J15" s="89" t="s">
        <v>423</v>
      </c>
      <c r="K15" s="89" t="s">
        <v>1727</v>
      </c>
      <c r="L15" s="89" t="s">
        <v>420</v>
      </c>
      <c r="M15" s="89" t="s">
        <v>401</v>
      </c>
      <c r="N15" s="89" t="s">
        <v>2009</v>
      </c>
      <c r="O15" s="89" t="s">
        <v>2304</v>
      </c>
      <c r="P15" s="89" t="s">
        <v>1727</v>
      </c>
    </row>
    <row r="16" spans="1:16" x14ac:dyDescent="0.25">
      <c r="A16" s="89" t="s">
        <v>366</v>
      </c>
      <c r="B16" s="89" t="s">
        <v>2057</v>
      </c>
      <c r="C16" s="89" t="s">
        <v>1687</v>
      </c>
      <c r="D16" s="89" t="s">
        <v>1538</v>
      </c>
      <c r="E16" s="89" t="s">
        <v>1441</v>
      </c>
      <c r="F16" s="89" t="s">
        <v>1441</v>
      </c>
      <c r="G16" s="89" t="s">
        <v>1052</v>
      </c>
      <c r="H16" s="89" t="s">
        <v>2282</v>
      </c>
      <c r="I16" s="89" t="s">
        <v>432</v>
      </c>
      <c r="J16" s="89" t="s">
        <v>1189</v>
      </c>
      <c r="K16" s="89" t="s">
        <v>1441</v>
      </c>
      <c r="L16" s="89" t="s">
        <v>2057</v>
      </c>
      <c r="M16" s="89" t="s">
        <v>1587</v>
      </c>
      <c r="N16" s="89" t="s">
        <v>1747</v>
      </c>
      <c r="O16" s="89" t="s">
        <v>830</v>
      </c>
      <c r="P16" s="89" t="s">
        <v>1441</v>
      </c>
    </row>
    <row r="17" spans="1:16" x14ac:dyDescent="0.25">
      <c r="A17" s="89" t="s">
        <v>363</v>
      </c>
      <c r="B17" s="89" t="s">
        <v>2301</v>
      </c>
      <c r="C17" s="89" t="s">
        <v>2303</v>
      </c>
      <c r="D17" s="89" t="s">
        <v>2069</v>
      </c>
      <c r="E17" s="89" t="s">
        <v>2298</v>
      </c>
      <c r="F17" s="89" t="s">
        <v>2298</v>
      </c>
      <c r="G17" s="89" t="s">
        <v>2302</v>
      </c>
      <c r="H17" s="89" t="s">
        <v>554</v>
      </c>
      <c r="I17" s="89" t="s">
        <v>932</v>
      </c>
      <c r="J17" s="89" t="s">
        <v>602</v>
      </c>
      <c r="K17" s="89" t="s">
        <v>2298</v>
      </c>
      <c r="L17" s="89" t="s">
        <v>2301</v>
      </c>
      <c r="M17" s="89" t="s">
        <v>437</v>
      </c>
      <c r="N17" s="89" t="s">
        <v>2300</v>
      </c>
      <c r="O17" s="89" t="s">
        <v>2299</v>
      </c>
      <c r="P17" s="89" t="s">
        <v>2298</v>
      </c>
    </row>
    <row r="18" spans="1:16" x14ac:dyDescent="0.25">
      <c r="A18" s="89" t="s">
        <v>360</v>
      </c>
      <c r="B18" s="89" t="s">
        <v>1445</v>
      </c>
      <c r="C18" s="89" t="s">
        <v>2297</v>
      </c>
      <c r="D18" s="89" t="s">
        <v>654</v>
      </c>
      <c r="E18" s="89" t="s">
        <v>2292</v>
      </c>
      <c r="F18" s="89" t="s">
        <v>2292</v>
      </c>
      <c r="G18" s="89" t="s">
        <v>2296</v>
      </c>
      <c r="H18" s="89" t="s">
        <v>2070</v>
      </c>
      <c r="I18" s="89" t="s">
        <v>2295</v>
      </c>
      <c r="J18" s="89" t="s">
        <v>2294</v>
      </c>
      <c r="K18" s="89" t="s">
        <v>2292</v>
      </c>
      <c r="L18" s="89" t="s">
        <v>1445</v>
      </c>
      <c r="M18" s="89" t="s">
        <v>1502</v>
      </c>
      <c r="N18" s="89" t="s">
        <v>1576</v>
      </c>
      <c r="O18" s="89" t="s">
        <v>2293</v>
      </c>
      <c r="P18" s="89" t="s">
        <v>2292</v>
      </c>
    </row>
    <row r="19" spans="1:16" x14ac:dyDescent="0.25">
      <c r="A19" s="89" t="s">
        <v>357</v>
      </c>
      <c r="B19" s="89" t="s">
        <v>1044</v>
      </c>
      <c r="C19" s="89" t="s">
        <v>1592</v>
      </c>
      <c r="D19" s="89" t="s">
        <v>2172</v>
      </c>
      <c r="E19" s="89" t="s">
        <v>1841</v>
      </c>
      <c r="F19" s="89" t="s">
        <v>1841</v>
      </c>
      <c r="G19" s="89" t="s">
        <v>2291</v>
      </c>
      <c r="H19" s="89" t="s">
        <v>1662</v>
      </c>
      <c r="I19" s="89" t="s">
        <v>2290</v>
      </c>
      <c r="J19" s="89" t="s">
        <v>2289</v>
      </c>
      <c r="K19" s="89" t="s">
        <v>1841</v>
      </c>
      <c r="L19" s="89" t="s">
        <v>1044</v>
      </c>
      <c r="M19" s="89" t="s">
        <v>1996</v>
      </c>
      <c r="N19" s="89" t="s">
        <v>2288</v>
      </c>
      <c r="O19" s="89" t="s">
        <v>1912</v>
      </c>
      <c r="P19" s="89" t="s">
        <v>1841</v>
      </c>
    </row>
    <row r="20" spans="1:16" x14ac:dyDescent="0.25">
      <c r="A20" s="89" t="s">
        <v>353</v>
      </c>
      <c r="B20" s="89" t="s">
        <v>715</v>
      </c>
      <c r="C20" s="89" t="s">
        <v>2172</v>
      </c>
      <c r="D20" s="89" t="s">
        <v>1651</v>
      </c>
      <c r="E20" s="89" t="s">
        <v>1287</v>
      </c>
      <c r="F20" s="89" t="s">
        <v>1287</v>
      </c>
      <c r="G20" s="89" t="s">
        <v>1007</v>
      </c>
      <c r="H20" s="89" t="s">
        <v>2287</v>
      </c>
      <c r="I20" s="89" t="s">
        <v>812</v>
      </c>
      <c r="J20" s="89" t="s">
        <v>627</v>
      </c>
      <c r="K20" s="89" t="s">
        <v>1287</v>
      </c>
      <c r="L20" s="89" t="s">
        <v>715</v>
      </c>
      <c r="M20" s="89" t="s">
        <v>1998</v>
      </c>
      <c r="N20" s="89" t="s">
        <v>1313</v>
      </c>
      <c r="O20" s="89" t="s">
        <v>1734</v>
      </c>
      <c r="P20" s="89" t="s">
        <v>1287</v>
      </c>
    </row>
    <row r="21" spans="1:16" x14ac:dyDescent="0.25">
      <c r="A21" s="89" t="s">
        <v>351</v>
      </c>
      <c r="B21" s="89" t="s">
        <v>1997</v>
      </c>
      <c r="C21" s="89" t="s">
        <v>1555</v>
      </c>
      <c r="D21" s="89" t="s">
        <v>485</v>
      </c>
      <c r="E21" s="89" t="s">
        <v>2285</v>
      </c>
      <c r="F21" s="89" t="s">
        <v>2285</v>
      </c>
      <c r="G21" s="89" t="s">
        <v>1123</v>
      </c>
      <c r="H21" s="89" t="s">
        <v>2286</v>
      </c>
      <c r="I21" s="89" t="s">
        <v>1709</v>
      </c>
      <c r="J21" s="89" t="s">
        <v>1104</v>
      </c>
      <c r="K21" s="89" t="s">
        <v>2285</v>
      </c>
      <c r="L21" s="89" t="s">
        <v>1997</v>
      </c>
      <c r="M21" s="89" t="s">
        <v>1689</v>
      </c>
      <c r="N21" s="89" t="s">
        <v>530</v>
      </c>
      <c r="O21" s="89" t="s">
        <v>1571</v>
      </c>
      <c r="P21" s="89" t="s">
        <v>2285</v>
      </c>
    </row>
    <row r="22" spans="1:16" x14ac:dyDescent="0.25">
      <c r="A22" s="89" t="s">
        <v>348</v>
      </c>
      <c r="B22" s="89" t="s">
        <v>541</v>
      </c>
      <c r="C22" s="89" t="s">
        <v>706</v>
      </c>
      <c r="D22" s="89" t="s">
        <v>2226</v>
      </c>
      <c r="E22" s="89" t="s">
        <v>2284</v>
      </c>
      <c r="F22" s="89" t="s">
        <v>2284</v>
      </c>
      <c r="G22" s="89" t="s">
        <v>2150</v>
      </c>
      <c r="H22" s="89" t="s">
        <v>1564</v>
      </c>
      <c r="I22" s="89" t="s">
        <v>456</v>
      </c>
      <c r="J22" s="89" t="s">
        <v>1723</v>
      </c>
      <c r="K22" s="89" t="s">
        <v>2284</v>
      </c>
      <c r="L22" s="89" t="s">
        <v>541</v>
      </c>
      <c r="M22" s="89" t="s">
        <v>956</v>
      </c>
      <c r="N22" s="89" t="s">
        <v>399</v>
      </c>
      <c r="O22" s="89" t="s">
        <v>632</v>
      </c>
      <c r="P22" s="89" t="s">
        <v>2284</v>
      </c>
    </row>
    <row r="23" spans="1:16" x14ac:dyDescent="0.25">
      <c r="A23" s="89" t="s">
        <v>345</v>
      </c>
      <c r="B23" s="89" t="s">
        <v>1588</v>
      </c>
      <c r="C23" s="89" t="s">
        <v>534</v>
      </c>
      <c r="D23" s="89" t="s">
        <v>1904</v>
      </c>
      <c r="E23" s="89" t="s">
        <v>2039</v>
      </c>
      <c r="F23" s="89" t="s">
        <v>2039</v>
      </c>
      <c r="G23" s="89" t="s">
        <v>700</v>
      </c>
      <c r="H23" s="89" t="s">
        <v>1981</v>
      </c>
      <c r="I23" s="89" t="s">
        <v>543</v>
      </c>
      <c r="J23" s="89" t="s">
        <v>2283</v>
      </c>
      <c r="K23" s="89" t="s">
        <v>2039</v>
      </c>
      <c r="L23" s="89" t="s">
        <v>1588</v>
      </c>
      <c r="M23" s="89" t="s">
        <v>675</v>
      </c>
      <c r="N23" s="89" t="s">
        <v>1628</v>
      </c>
      <c r="O23" s="89" t="s">
        <v>1474</v>
      </c>
      <c r="P23" s="89" t="s">
        <v>2039</v>
      </c>
    </row>
    <row r="24" spans="1:16" x14ac:dyDescent="0.25">
      <c r="A24" s="89" t="s">
        <v>342</v>
      </c>
      <c r="B24" s="89" t="s">
        <v>2281</v>
      </c>
      <c r="C24" s="89" t="s">
        <v>1212</v>
      </c>
      <c r="D24" s="89" t="s">
        <v>1404</v>
      </c>
      <c r="E24" s="89" t="s">
        <v>652</v>
      </c>
      <c r="F24" s="89" t="s">
        <v>652</v>
      </c>
      <c r="G24" s="89" t="s">
        <v>2282</v>
      </c>
      <c r="H24" s="89" t="s">
        <v>1280</v>
      </c>
      <c r="I24" s="89" t="s">
        <v>1854</v>
      </c>
      <c r="J24" s="89" t="s">
        <v>1461</v>
      </c>
      <c r="K24" s="89" t="s">
        <v>652</v>
      </c>
      <c r="L24" s="89" t="s">
        <v>2281</v>
      </c>
      <c r="M24" s="89" t="s">
        <v>561</v>
      </c>
      <c r="N24" s="89" t="s">
        <v>2280</v>
      </c>
      <c r="O24" s="89" t="s">
        <v>2279</v>
      </c>
      <c r="P24" s="89" t="s">
        <v>652</v>
      </c>
    </row>
    <row r="25" spans="1:16" x14ac:dyDescent="0.25">
      <c r="A25" s="89" t="s">
        <v>339</v>
      </c>
      <c r="B25" s="89" t="s">
        <v>667</v>
      </c>
      <c r="C25" s="89" t="s">
        <v>781</v>
      </c>
      <c r="D25" s="89" t="s">
        <v>2278</v>
      </c>
      <c r="E25" s="89" t="s">
        <v>2277</v>
      </c>
      <c r="F25" s="89" t="s">
        <v>2277</v>
      </c>
      <c r="G25" s="89" t="s">
        <v>2100</v>
      </c>
      <c r="H25" s="89" t="s">
        <v>521</v>
      </c>
      <c r="I25" s="89" t="s">
        <v>1434</v>
      </c>
      <c r="J25" s="89" t="s">
        <v>828</v>
      </c>
      <c r="K25" s="89" t="s">
        <v>2277</v>
      </c>
      <c r="L25" s="89" t="s">
        <v>667</v>
      </c>
      <c r="M25" s="89" t="s">
        <v>1869</v>
      </c>
      <c r="N25" s="89" t="s">
        <v>1094</v>
      </c>
      <c r="O25" s="89" t="s">
        <v>791</v>
      </c>
      <c r="P25" s="89" t="s">
        <v>2277</v>
      </c>
    </row>
    <row r="26" spans="1:16" x14ac:dyDescent="0.25">
      <c r="A26" s="89" t="s">
        <v>336</v>
      </c>
      <c r="B26" s="89" t="s">
        <v>919</v>
      </c>
      <c r="C26" s="89" t="s">
        <v>2276</v>
      </c>
      <c r="D26" s="89" t="s">
        <v>2275</v>
      </c>
      <c r="E26" s="89" t="s">
        <v>2100</v>
      </c>
      <c r="F26" s="89" t="s">
        <v>2100</v>
      </c>
      <c r="G26" s="89" t="s">
        <v>803</v>
      </c>
      <c r="H26" s="89" t="s">
        <v>769</v>
      </c>
      <c r="I26" s="89" t="s">
        <v>489</v>
      </c>
      <c r="J26" s="89" t="s">
        <v>719</v>
      </c>
      <c r="K26" s="89" t="s">
        <v>2100</v>
      </c>
      <c r="L26" s="89" t="s">
        <v>919</v>
      </c>
      <c r="M26" s="89" t="s">
        <v>1399</v>
      </c>
      <c r="N26" s="89" t="s">
        <v>2274</v>
      </c>
      <c r="O26" s="89" t="s">
        <v>655</v>
      </c>
      <c r="P26" s="89" t="s">
        <v>2100</v>
      </c>
    </row>
    <row r="27" spans="1:16" x14ac:dyDescent="0.25">
      <c r="A27" s="89" t="s">
        <v>333</v>
      </c>
      <c r="B27" s="89" t="s">
        <v>2040</v>
      </c>
      <c r="C27" s="89" t="s">
        <v>1030</v>
      </c>
      <c r="D27" s="89" t="s">
        <v>1399</v>
      </c>
      <c r="E27" s="89" t="s">
        <v>1344</v>
      </c>
      <c r="F27" s="89" t="s">
        <v>1344</v>
      </c>
      <c r="G27" s="89" t="s">
        <v>942</v>
      </c>
      <c r="H27" s="89" t="s">
        <v>500</v>
      </c>
      <c r="I27" s="89" t="s">
        <v>1577</v>
      </c>
      <c r="J27" s="89" t="s">
        <v>915</v>
      </c>
      <c r="K27" s="89" t="s">
        <v>1344</v>
      </c>
      <c r="L27" s="89" t="s">
        <v>2040</v>
      </c>
      <c r="M27" s="89" t="s">
        <v>1091</v>
      </c>
      <c r="N27" s="89" t="s">
        <v>2068</v>
      </c>
      <c r="O27" s="89" t="s">
        <v>1727</v>
      </c>
      <c r="P27" s="89" t="s">
        <v>1344</v>
      </c>
    </row>
    <row r="28" spans="1:16" x14ac:dyDescent="0.25">
      <c r="A28" s="89" t="s">
        <v>330</v>
      </c>
      <c r="B28" s="89" t="s">
        <v>1895</v>
      </c>
      <c r="C28" s="89" t="s">
        <v>844</v>
      </c>
      <c r="D28" s="89" t="s">
        <v>1979</v>
      </c>
      <c r="E28" s="89" t="s">
        <v>2271</v>
      </c>
      <c r="F28" s="89" t="s">
        <v>2271</v>
      </c>
      <c r="G28" s="89" t="s">
        <v>583</v>
      </c>
      <c r="H28" s="89" t="s">
        <v>478</v>
      </c>
      <c r="I28" s="89" t="s">
        <v>1572</v>
      </c>
      <c r="J28" s="89" t="s">
        <v>781</v>
      </c>
      <c r="K28" s="89" t="s">
        <v>2271</v>
      </c>
      <c r="L28" s="89" t="s">
        <v>1895</v>
      </c>
      <c r="M28" s="89" t="s">
        <v>538</v>
      </c>
      <c r="N28" s="89" t="s">
        <v>2273</v>
      </c>
      <c r="O28" s="89" t="s">
        <v>2272</v>
      </c>
      <c r="P28" s="89" t="s">
        <v>2271</v>
      </c>
    </row>
    <row r="29" spans="1:16" x14ac:dyDescent="0.25">
      <c r="A29" s="89" t="s">
        <v>327</v>
      </c>
      <c r="B29" s="89" t="s">
        <v>913</v>
      </c>
      <c r="C29" s="89" t="s">
        <v>2270</v>
      </c>
      <c r="D29" s="89" t="s">
        <v>669</v>
      </c>
      <c r="E29" s="89" t="s">
        <v>1528</v>
      </c>
      <c r="F29" s="89" t="s">
        <v>1528</v>
      </c>
      <c r="G29" s="89" t="s">
        <v>2269</v>
      </c>
      <c r="H29" s="89" t="s">
        <v>1174</v>
      </c>
      <c r="I29" s="89" t="s">
        <v>464</v>
      </c>
      <c r="J29" s="89" t="s">
        <v>781</v>
      </c>
      <c r="K29" s="89" t="s">
        <v>1528</v>
      </c>
      <c r="L29" s="89" t="s">
        <v>913</v>
      </c>
      <c r="M29" s="89" t="s">
        <v>915</v>
      </c>
      <c r="N29" s="89" t="s">
        <v>1871</v>
      </c>
      <c r="O29" s="89" t="s">
        <v>1790</v>
      </c>
      <c r="P29" s="89" t="s">
        <v>1528</v>
      </c>
    </row>
    <row r="30" spans="1:16" x14ac:dyDescent="0.25">
      <c r="A30" s="89" t="s">
        <v>324</v>
      </c>
      <c r="B30" s="89" t="s">
        <v>1375</v>
      </c>
      <c r="C30" s="89" t="s">
        <v>1401</v>
      </c>
      <c r="D30" s="89" t="s">
        <v>2268</v>
      </c>
      <c r="E30" s="89" t="s">
        <v>1255</v>
      </c>
      <c r="F30" s="89" t="s">
        <v>1255</v>
      </c>
      <c r="G30" s="89" t="s">
        <v>680</v>
      </c>
      <c r="H30" s="89" t="s">
        <v>772</v>
      </c>
      <c r="I30" s="89" t="s">
        <v>1501</v>
      </c>
      <c r="J30" s="89" t="s">
        <v>2128</v>
      </c>
      <c r="K30" s="89" t="s">
        <v>1255</v>
      </c>
      <c r="L30" s="89" t="s">
        <v>1375</v>
      </c>
      <c r="M30" s="89" t="s">
        <v>2267</v>
      </c>
      <c r="N30" s="89" t="s">
        <v>1397</v>
      </c>
      <c r="O30" s="89" t="s">
        <v>2042</v>
      </c>
      <c r="P30" s="89" t="s">
        <v>1255</v>
      </c>
    </row>
    <row r="31" spans="1:16" x14ac:dyDescent="0.25">
      <c r="A31" s="89" t="s">
        <v>321</v>
      </c>
      <c r="B31" s="89" t="s">
        <v>1670</v>
      </c>
      <c r="C31" s="89" t="s">
        <v>2100</v>
      </c>
      <c r="D31" s="89" t="s">
        <v>922</v>
      </c>
      <c r="E31" s="89" t="s">
        <v>2262</v>
      </c>
      <c r="F31" s="89" t="s">
        <v>2262</v>
      </c>
      <c r="G31" s="89" t="s">
        <v>2266</v>
      </c>
      <c r="H31" s="89" t="s">
        <v>2265</v>
      </c>
      <c r="I31" s="89" t="s">
        <v>2264</v>
      </c>
      <c r="J31" s="89" t="s">
        <v>445</v>
      </c>
      <c r="K31" s="89" t="s">
        <v>2262</v>
      </c>
      <c r="L31" s="89" t="s">
        <v>1670</v>
      </c>
      <c r="M31" s="89" t="s">
        <v>1059</v>
      </c>
      <c r="N31" s="89" t="s">
        <v>1755</v>
      </c>
      <c r="O31" s="89" t="s">
        <v>2263</v>
      </c>
      <c r="P31" s="89" t="s">
        <v>2262</v>
      </c>
    </row>
    <row r="32" spans="1:16" x14ac:dyDescent="0.25">
      <c r="A32" s="89" t="s">
        <v>318</v>
      </c>
      <c r="B32" s="89" t="s">
        <v>2260</v>
      </c>
      <c r="C32" s="89" t="s">
        <v>1491</v>
      </c>
      <c r="D32" s="89" t="s">
        <v>2261</v>
      </c>
      <c r="E32" s="89" t="s">
        <v>2258</v>
      </c>
      <c r="F32" s="89" t="s">
        <v>2258</v>
      </c>
      <c r="G32" s="89" t="s">
        <v>1062</v>
      </c>
      <c r="H32" s="89" t="s">
        <v>1863</v>
      </c>
      <c r="I32" s="89" t="s">
        <v>779</v>
      </c>
      <c r="J32" s="89" t="s">
        <v>1476</v>
      </c>
      <c r="K32" s="89" t="s">
        <v>2258</v>
      </c>
      <c r="L32" s="89" t="s">
        <v>2260</v>
      </c>
      <c r="M32" s="89" t="s">
        <v>1417</v>
      </c>
      <c r="N32" s="89" t="s">
        <v>2259</v>
      </c>
      <c r="O32" s="89" t="s">
        <v>2189</v>
      </c>
      <c r="P32" s="89" t="s">
        <v>2258</v>
      </c>
    </row>
    <row r="33" spans="1:16" x14ac:dyDescent="0.25">
      <c r="A33" s="89" t="s">
        <v>315</v>
      </c>
      <c r="B33" s="89" t="s">
        <v>2255</v>
      </c>
      <c r="C33" s="89" t="s">
        <v>2178</v>
      </c>
      <c r="D33" s="89" t="s">
        <v>2257</v>
      </c>
      <c r="E33" s="89" t="s">
        <v>1096</v>
      </c>
      <c r="F33" s="89" t="s">
        <v>1096</v>
      </c>
      <c r="G33" s="89" t="s">
        <v>2256</v>
      </c>
      <c r="H33" s="89" t="s">
        <v>944</v>
      </c>
      <c r="I33" s="89" t="s">
        <v>1079</v>
      </c>
      <c r="J33" s="89" t="s">
        <v>564</v>
      </c>
      <c r="K33" s="89" t="s">
        <v>1096</v>
      </c>
      <c r="L33" s="89" t="s">
        <v>2255</v>
      </c>
      <c r="M33" s="89" t="s">
        <v>2254</v>
      </c>
      <c r="N33" s="89" t="s">
        <v>1042</v>
      </c>
      <c r="O33" s="89" t="s">
        <v>2253</v>
      </c>
      <c r="P33" s="89" t="s">
        <v>1096</v>
      </c>
    </row>
    <row r="34" spans="1:16" x14ac:dyDescent="0.25">
      <c r="A34" s="89" t="s">
        <v>312</v>
      </c>
      <c r="B34" s="89" t="s">
        <v>1495</v>
      </c>
      <c r="C34" s="89" t="s">
        <v>2252</v>
      </c>
      <c r="D34" s="89" t="s">
        <v>1349</v>
      </c>
      <c r="E34" s="89" t="s">
        <v>500</v>
      </c>
      <c r="F34" s="89" t="s">
        <v>500</v>
      </c>
      <c r="G34" s="89" t="s">
        <v>1011</v>
      </c>
      <c r="H34" s="89" t="s">
        <v>2251</v>
      </c>
      <c r="I34" s="89" t="s">
        <v>2250</v>
      </c>
      <c r="J34" s="89" t="s">
        <v>2249</v>
      </c>
      <c r="K34" s="89" t="s">
        <v>500</v>
      </c>
      <c r="L34" s="89" t="s">
        <v>1495</v>
      </c>
      <c r="M34" s="89" t="s">
        <v>521</v>
      </c>
      <c r="N34" s="89" t="s">
        <v>1078</v>
      </c>
      <c r="O34" s="89" t="s">
        <v>775</v>
      </c>
      <c r="P34" s="89" t="s">
        <v>500</v>
      </c>
    </row>
    <row r="35" spans="1:16" x14ac:dyDescent="0.25">
      <c r="A35" s="89" t="s">
        <v>309</v>
      </c>
      <c r="B35" s="89" t="s">
        <v>2246</v>
      </c>
      <c r="C35" s="89" t="s">
        <v>2201</v>
      </c>
      <c r="D35" s="89" t="s">
        <v>2248</v>
      </c>
      <c r="E35" s="89" t="s">
        <v>2244</v>
      </c>
      <c r="F35" s="89" t="s">
        <v>2244</v>
      </c>
      <c r="G35" s="89" t="s">
        <v>1051</v>
      </c>
      <c r="H35" s="89" t="s">
        <v>2247</v>
      </c>
      <c r="I35" s="89" t="s">
        <v>1405</v>
      </c>
      <c r="J35" s="89" t="s">
        <v>1545</v>
      </c>
      <c r="K35" s="89" t="s">
        <v>2244</v>
      </c>
      <c r="L35" s="89" t="s">
        <v>2246</v>
      </c>
      <c r="M35" s="89" t="s">
        <v>2210</v>
      </c>
      <c r="N35" s="89" t="s">
        <v>2245</v>
      </c>
      <c r="O35" s="89" t="s">
        <v>765</v>
      </c>
      <c r="P35" s="89" t="s">
        <v>2244</v>
      </c>
    </row>
    <row r="36" spans="1:16" x14ac:dyDescent="0.25">
      <c r="A36" s="89" t="s">
        <v>306</v>
      </c>
      <c r="B36" s="89" t="s">
        <v>2240</v>
      </c>
      <c r="C36" s="89" t="s">
        <v>2243</v>
      </c>
      <c r="D36" s="89" t="s">
        <v>2242</v>
      </c>
      <c r="E36" s="89" t="s">
        <v>820</v>
      </c>
      <c r="F36" s="89" t="s">
        <v>820</v>
      </c>
      <c r="G36" s="89" t="s">
        <v>1564</v>
      </c>
      <c r="H36" s="89" t="s">
        <v>748</v>
      </c>
      <c r="I36" s="89" t="s">
        <v>2241</v>
      </c>
      <c r="J36" s="89" t="s">
        <v>1798</v>
      </c>
      <c r="K36" s="89" t="s">
        <v>820</v>
      </c>
      <c r="L36" s="89" t="s">
        <v>2240</v>
      </c>
      <c r="M36" s="89" t="s">
        <v>787</v>
      </c>
      <c r="N36" s="89" t="s">
        <v>831</v>
      </c>
      <c r="O36" s="89" t="s">
        <v>930</v>
      </c>
      <c r="P36" s="89" t="s">
        <v>820</v>
      </c>
    </row>
    <row r="37" spans="1:16" x14ac:dyDescent="0.25">
      <c r="A37" s="89" t="s">
        <v>303</v>
      </c>
      <c r="B37" s="89" t="s">
        <v>1894</v>
      </c>
      <c r="C37" s="89" t="s">
        <v>1370</v>
      </c>
      <c r="D37" s="89" t="s">
        <v>1230</v>
      </c>
      <c r="E37" s="89" t="s">
        <v>1670</v>
      </c>
      <c r="F37" s="89" t="s">
        <v>1670</v>
      </c>
      <c r="G37" s="89" t="s">
        <v>2239</v>
      </c>
      <c r="H37" s="89" t="s">
        <v>1869</v>
      </c>
      <c r="I37" s="89" t="s">
        <v>2238</v>
      </c>
      <c r="J37" s="89" t="s">
        <v>2229</v>
      </c>
      <c r="K37" s="89" t="s">
        <v>1670</v>
      </c>
      <c r="L37" s="89" t="s">
        <v>1894</v>
      </c>
      <c r="M37" s="89" t="s">
        <v>573</v>
      </c>
      <c r="N37" s="89" t="s">
        <v>1569</v>
      </c>
      <c r="O37" s="89" t="s">
        <v>1767</v>
      </c>
      <c r="P37" s="89" t="s">
        <v>1670</v>
      </c>
    </row>
    <row r="38" spans="1:16" x14ac:dyDescent="0.25">
      <c r="A38" s="89" t="s">
        <v>299</v>
      </c>
      <c r="B38" s="89" t="s">
        <v>509</v>
      </c>
      <c r="C38" s="89" t="s">
        <v>2157</v>
      </c>
      <c r="D38" s="89" t="s">
        <v>1016</v>
      </c>
      <c r="E38" s="89" t="s">
        <v>655</v>
      </c>
      <c r="F38" s="89" t="s">
        <v>655</v>
      </c>
      <c r="G38" s="89" t="s">
        <v>1443</v>
      </c>
      <c r="H38" s="89" t="s">
        <v>1059</v>
      </c>
      <c r="I38" s="89" t="s">
        <v>1546</v>
      </c>
      <c r="J38" s="89" t="s">
        <v>2138</v>
      </c>
      <c r="K38" s="89" t="s">
        <v>655</v>
      </c>
      <c r="L38" s="89" t="s">
        <v>509</v>
      </c>
      <c r="M38" s="89" t="s">
        <v>724</v>
      </c>
      <c r="N38" s="89" t="s">
        <v>403</v>
      </c>
      <c r="O38" s="89" t="s">
        <v>2054</v>
      </c>
      <c r="P38" s="89" t="s">
        <v>655</v>
      </c>
    </row>
    <row r="39" spans="1:16" x14ac:dyDescent="0.25">
      <c r="A39" s="89" t="s">
        <v>297</v>
      </c>
      <c r="B39" s="89" t="s">
        <v>476</v>
      </c>
      <c r="C39" s="89" t="s">
        <v>1459</v>
      </c>
      <c r="D39" s="89" t="s">
        <v>2127</v>
      </c>
      <c r="E39" s="89" t="s">
        <v>1555</v>
      </c>
      <c r="F39" s="89" t="s">
        <v>1555</v>
      </c>
      <c r="G39" s="89" t="s">
        <v>602</v>
      </c>
      <c r="H39" s="89" t="s">
        <v>433</v>
      </c>
      <c r="I39" s="89" t="s">
        <v>2237</v>
      </c>
      <c r="J39" s="89" t="s">
        <v>993</v>
      </c>
      <c r="K39" s="89" t="s">
        <v>1555</v>
      </c>
      <c r="L39" s="89" t="s">
        <v>476</v>
      </c>
      <c r="M39" s="89" t="s">
        <v>992</v>
      </c>
      <c r="N39" s="89" t="s">
        <v>1982</v>
      </c>
      <c r="O39" s="89" t="s">
        <v>474</v>
      </c>
      <c r="P39" s="89" t="s">
        <v>1555</v>
      </c>
    </row>
    <row r="40" spans="1:16" x14ac:dyDescent="0.25">
      <c r="A40" s="89" t="s">
        <v>294</v>
      </c>
      <c r="B40" s="89" t="s">
        <v>2166</v>
      </c>
      <c r="C40" s="89" t="s">
        <v>2039</v>
      </c>
      <c r="D40" s="89" t="s">
        <v>1446</v>
      </c>
      <c r="E40" s="89" t="s">
        <v>2233</v>
      </c>
      <c r="F40" s="89" t="s">
        <v>2233</v>
      </c>
      <c r="G40" s="89" t="s">
        <v>2236</v>
      </c>
      <c r="H40" s="89" t="s">
        <v>1601</v>
      </c>
      <c r="I40" s="89" t="s">
        <v>1101</v>
      </c>
      <c r="J40" s="89" t="s">
        <v>1325</v>
      </c>
      <c r="K40" s="89" t="s">
        <v>2233</v>
      </c>
      <c r="L40" s="89" t="s">
        <v>2166</v>
      </c>
      <c r="M40" s="89" t="s">
        <v>2235</v>
      </c>
      <c r="N40" s="89" t="s">
        <v>2155</v>
      </c>
      <c r="O40" s="89" t="s">
        <v>2234</v>
      </c>
      <c r="P40" s="89" t="s">
        <v>2233</v>
      </c>
    </row>
    <row r="41" spans="1:16" x14ac:dyDescent="0.25">
      <c r="A41" s="89" t="s">
        <v>290</v>
      </c>
      <c r="B41" s="89" t="s">
        <v>1635</v>
      </c>
      <c r="C41" s="89" t="s">
        <v>957</v>
      </c>
      <c r="D41" s="89" t="s">
        <v>963</v>
      </c>
      <c r="E41" s="89" t="s">
        <v>421</v>
      </c>
      <c r="F41" s="89" t="s">
        <v>421</v>
      </c>
      <c r="G41" s="89" t="s">
        <v>2232</v>
      </c>
      <c r="H41" s="89" t="s">
        <v>851</v>
      </c>
      <c r="I41" s="89" t="s">
        <v>593</v>
      </c>
      <c r="J41" s="89" t="s">
        <v>1087</v>
      </c>
      <c r="K41" s="89" t="s">
        <v>421</v>
      </c>
      <c r="L41" s="89" t="s">
        <v>1635</v>
      </c>
      <c r="M41" s="89" t="s">
        <v>1623</v>
      </c>
      <c r="N41" s="89" t="s">
        <v>632</v>
      </c>
      <c r="O41" s="89" t="s">
        <v>460</v>
      </c>
      <c r="P41" s="89" t="s">
        <v>421</v>
      </c>
    </row>
    <row r="42" spans="1:16" x14ac:dyDescent="0.25">
      <c r="A42" s="89" t="s">
        <v>288</v>
      </c>
      <c r="B42" s="89" t="s">
        <v>1257</v>
      </c>
      <c r="C42" s="89" t="s">
        <v>1671</v>
      </c>
      <c r="D42" s="89" t="s">
        <v>862</v>
      </c>
      <c r="E42" s="89" t="s">
        <v>655</v>
      </c>
      <c r="F42" s="89" t="s">
        <v>655</v>
      </c>
      <c r="G42" s="89" t="s">
        <v>1816</v>
      </c>
      <c r="H42" s="89" t="s">
        <v>1381</v>
      </c>
      <c r="I42" s="89" t="s">
        <v>932</v>
      </c>
      <c r="J42" s="89" t="s">
        <v>644</v>
      </c>
      <c r="K42" s="89" t="s">
        <v>655</v>
      </c>
      <c r="L42" s="89" t="s">
        <v>1257</v>
      </c>
      <c r="M42" s="89" t="s">
        <v>957</v>
      </c>
      <c r="N42" s="89" t="s">
        <v>2231</v>
      </c>
      <c r="O42" s="89" t="s">
        <v>2230</v>
      </c>
      <c r="P42" s="89" t="s">
        <v>655</v>
      </c>
    </row>
    <row r="43" spans="1:16" x14ac:dyDescent="0.25">
      <c r="A43" s="89" t="s">
        <v>286</v>
      </c>
      <c r="B43" s="89" t="s">
        <v>721</v>
      </c>
      <c r="C43" s="89" t="s">
        <v>840</v>
      </c>
      <c r="D43" s="89" t="s">
        <v>2123</v>
      </c>
      <c r="E43" s="89" t="s">
        <v>689</v>
      </c>
      <c r="F43" s="89" t="s">
        <v>689</v>
      </c>
      <c r="G43" s="89" t="s">
        <v>2100</v>
      </c>
      <c r="H43" s="89" t="s">
        <v>1878</v>
      </c>
      <c r="I43" s="89" t="s">
        <v>1537</v>
      </c>
      <c r="J43" s="89" t="s">
        <v>2229</v>
      </c>
      <c r="K43" s="89" t="s">
        <v>689</v>
      </c>
      <c r="L43" s="89" t="s">
        <v>721</v>
      </c>
      <c r="M43" s="89" t="s">
        <v>609</v>
      </c>
      <c r="N43" s="89" t="s">
        <v>1976</v>
      </c>
      <c r="O43" s="89" t="s">
        <v>1979</v>
      </c>
      <c r="P43" s="89" t="s">
        <v>689</v>
      </c>
    </row>
    <row r="44" spans="1:16" x14ac:dyDescent="0.25">
      <c r="A44" s="89" t="s">
        <v>284</v>
      </c>
      <c r="B44" s="89" t="s">
        <v>808</v>
      </c>
      <c r="C44" s="89" t="s">
        <v>526</v>
      </c>
      <c r="D44" s="89" t="s">
        <v>449</v>
      </c>
      <c r="E44" s="89" t="s">
        <v>538</v>
      </c>
      <c r="F44" s="89" t="s">
        <v>538</v>
      </c>
      <c r="G44" s="89" t="s">
        <v>498</v>
      </c>
      <c r="H44" s="89" t="s">
        <v>911</v>
      </c>
      <c r="I44" s="89" t="s">
        <v>1551</v>
      </c>
      <c r="J44" s="89" t="s">
        <v>2228</v>
      </c>
      <c r="K44" s="89" t="s">
        <v>538</v>
      </c>
      <c r="L44" s="89" t="s">
        <v>808</v>
      </c>
      <c r="M44" s="89" t="s">
        <v>2227</v>
      </c>
      <c r="N44" s="89" t="s">
        <v>1107</v>
      </c>
      <c r="O44" s="89" t="s">
        <v>407</v>
      </c>
      <c r="P44" s="89" t="s">
        <v>538</v>
      </c>
    </row>
    <row r="45" spans="1:16" x14ac:dyDescent="0.25">
      <c r="A45" s="89" t="s">
        <v>281</v>
      </c>
      <c r="B45" s="89" t="s">
        <v>632</v>
      </c>
      <c r="C45" s="89" t="s">
        <v>2226</v>
      </c>
      <c r="D45" s="89" t="s">
        <v>689</v>
      </c>
      <c r="E45" s="89" t="s">
        <v>426</v>
      </c>
      <c r="F45" s="89" t="s">
        <v>426</v>
      </c>
      <c r="G45" s="89" t="s">
        <v>608</v>
      </c>
      <c r="H45" s="89" t="s">
        <v>1897</v>
      </c>
      <c r="I45" s="89" t="s">
        <v>476</v>
      </c>
      <c r="J45" s="89" t="s">
        <v>925</v>
      </c>
      <c r="K45" s="89" t="s">
        <v>426</v>
      </c>
      <c r="L45" s="89" t="s">
        <v>632</v>
      </c>
      <c r="M45" s="89" t="s">
        <v>401</v>
      </c>
      <c r="N45" s="89" t="s">
        <v>408</v>
      </c>
      <c r="O45" s="89" t="s">
        <v>2152</v>
      </c>
      <c r="P45" s="89" t="s">
        <v>426</v>
      </c>
    </row>
    <row r="46" spans="1:16" x14ac:dyDescent="0.25">
      <c r="A46" s="89" t="s">
        <v>277</v>
      </c>
      <c r="B46" s="89" t="s">
        <v>2222</v>
      </c>
      <c r="C46" s="89" t="s">
        <v>2225</v>
      </c>
      <c r="D46" s="89" t="s">
        <v>2224</v>
      </c>
      <c r="E46" s="89" t="s">
        <v>2219</v>
      </c>
      <c r="F46" s="89" t="s">
        <v>2219</v>
      </c>
      <c r="G46" s="89" t="s">
        <v>1536</v>
      </c>
      <c r="H46" s="89" t="s">
        <v>883</v>
      </c>
      <c r="I46" s="89" t="s">
        <v>889</v>
      </c>
      <c r="J46" s="89" t="s">
        <v>2223</v>
      </c>
      <c r="K46" s="89" t="s">
        <v>2219</v>
      </c>
      <c r="L46" s="89" t="s">
        <v>2222</v>
      </c>
      <c r="M46" s="89" t="s">
        <v>2221</v>
      </c>
      <c r="N46" s="89" t="s">
        <v>2220</v>
      </c>
      <c r="O46" s="89" t="s">
        <v>725</v>
      </c>
      <c r="P46" s="89" t="s">
        <v>2219</v>
      </c>
    </row>
    <row r="47" spans="1:16" x14ac:dyDescent="0.25">
      <c r="A47" s="89" t="s">
        <v>275</v>
      </c>
      <c r="B47" s="89" t="s">
        <v>2216</v>
      </c>
      <c r="C47" s="89" t="s">
        <v>2218</v>
      </c>
      <c r="D47" s="89" t="s">
        <v>2217</v>
      </c>
      <c r="E47" s="89" t="s">
        <v>2212</v>
      </c>
      <c r="F47" s="89" t="s">
        <v>2212</v>
      </c>
      <c r="G47" s="89" t="s">
        <v>1008</v>
      </c>
      <c r="H47" s="89" t="s">
        <v>417</v>
      </c>
      <c r="I47" s="89" t="s">
        <v>412</v>
      </c>
      <c r="J47" s="89" t="s">
        <v>1635</v>
      </c>
      <c r="K47" s="89" t="s">
        <v>2212</v>
      </c>
      <c r="L47" s="89" t="s">
        <v>2216</v>
      </c>
      <c r="M47" s="89" t="s">
        <v>2215</v>
      </c>
      <c r="N47" s="89" t="s">
        <v>2214</v>
      </c>
      <c r="O47" s="89" t="s">
        <v>2213</v>
      </c>
      <c r="P47" s="89" t="s">
        <v>2212</v>
      </c>
    </row>
    <row r="48" spans="1:16" x14ac:dyDescent="0.25">
      <c r="A48" s="89" t="s">
        <v>272</v>
      </c>
      <c r="B48" s="89" t="s">
        <v>949</v>
      </c>
      <c r="C48" s="89" t="s">
        <v>1739</v>
      </c>
      <c r="D48" s="89" t="s">
        <v>2211</v>
      </c>
      <c r="E48" s="89" t="s">
        <v>2210</v>
      </c>
      <c r="F48" s="89" t="s">
        <v>2210</v>
      </c>
      <c r="G48" s="89" t="s">
        <v>498</v>
      </c>
      <c r="H48" s="89" t="s">
        <v>604</v>
      </c>
      <c r="I48" s="89" t="s">
        <v>567</v>
      </c>
      <c r="J48" s="89" t="s">
        <v>887</v>
      </c>
      <c r="K48" s="89" t="s">
        <v>2210</v>
      </c>
      <c r="L48" s="89" t="s">
        <v>949</v>
      </c>
      <c r="M48" s="89" t="s">
        <v>959</v>
      </c>
      <c r="N48" s="89" t="s">
        <v>959</v>
      </c>
      <c r="O48" s="89" t="s">
        <v>588</v>
      </c>
      <c r="P48" s="89" t="s">
        <v>2210</v>
      </c>
    </row>
    <row r="49" spans="1:16" x14ac:dyDescent="0.25">
      <c r="A49" s="89" t="s">
        <v>269</v>
      </c>
      <c r="B49" s="89" t="s">
        <v>2207</v>
      </c>
      <c r="C49" s="89" t="s">
        <v>2209</v>
      </c>
      <c r="D49" s="89" t="s">
        <v>2208</v>
      </c>
      <c r="E49" s="89" t="s">
        <v>2205</v>
      </c>
      <c r="F49" s="89" t="s">
        <v>2205</v>
      </c>
      <c r="G49" s="89" t="s">
        <v>521</v>
      </c>
      <c r="H49" s="89" t="s">
        <v>886</v>
      </c>
      <c r="I49" s="89" t="s">
        <v>1088</v>
      </c>
      <c r="J49" s="89" t="s">
        <v>1781</v>
      </c>
      <c r="K49" s="89" t="s">
        <v>2205</v>
      </c>
      <c r="L49" s="89" t="s">
        <v>2207</v>
      </c>
      <c r="M49" s="89" t="s">
        <v>1507</v>
      </c>
      <c r="N49" s="89" t="s">
        <v>2206</v>
      </c>
      <c r="O49" s="89" t="s">
        <v>1691</v>
      </c>
      <c r="P49" s="89" t="s">
        <v>2205</v>
      </c>
    </row>
    <row r="50" spans="1:16" x14ac:dyDescent="0.25">
      <c r="A50" s="89" t="s">
        <v>266</v>
      </c>
      <c r="B50" s="89" t="s">
        <v>2202</v>
      </c>
      <c r="C50" s="89" t="s">
        <v>2204</v>
      </c>
      <c r="D50" s="89" t="s">
        <v>1041</v>
      </c>
      <c r="E50" s="89" t="s">
        <v>2201</v>
      </c>
      <c r="F50" s="89" t="s">
        <v>2201</v>
      </c>
      <c r="G50" s="89" t="s">
        <v>500</v>
      </c>
      <c r="H50" s="89" t="s">
        <v>1884</v>
      </c>
      <c r="I50" s="89" t="s">
        <v>2203</v>
      </c>
      <c r="J50" s="89" t="s">
        <v>1486</v>
      </c>
      <c r="K50" s="89" t="s">
        <v>2201</v>
      </c>
      <c r="L50" s="89" t="s">
        <v>2202</v>
      </c>
      <c r="M50" s="89" t="s">
        <v>853</v>
      </c>
      <c r="N50" s="89" t="s">
        <v>963</v>
      </c>
      <c r="O50" s="89" t="s">
        <v>954</v>
      </c>
      <c r="P50" s="89" t="s">
        <v>2201</v>
      </c>
    </row>
    <row r="51" spans="1:16" x14ac:dyDescent="0.25">
      <c r="A51" s="89" t="s">
        <v>263</v>
      </c>
      <c r="B51" s="89" t="s">
        <v>2197</v>
      </c>
      <c r="C51" s="89" t="s">
        <v>2200</v>
      </c>
      <c r="D51" s="89" t="s">
        <v>2199</v>
      </c>
      <c r="E51" s="89" t="s">
        <v>2194</v>
      </c>
      <c r="F51" s="89" t="s">
        <v>2194</v>
      </c>
      <c r="G51" s="89" t="s">
        <v>769</v>
      </c>
      <c r="H51" s="89" t="s">
        <v>2198</v>
      </c>
      <c r="I51" s="89" t="s">
        <v>1827</v>
      </c>
      <c r="J51" s="89" t="s">
        <v>1971</v>
      </c>
      <c r="K51" s="89" t="s">
        <v>2194</v>
      </c>
      <c r="L51" s="89" t="s">
        <v>2197</v>
      </c>
      <c r="M51" s="89" t="s">
        <v>2196</v>
      </c>
      <c r="N51" s="89" t="s">
        <v>2195</v>
      </c>
      <c r="O51" s="89" t="s">
        <v>614</v>
      </c>
      <c r="P51" s="89" t="s">
        <v>2194</v>
      </c>
    </row>
    <row r="52" spans="1:16" x14ac:dyDescent="0.25">
      <c r="A52" s="89" t="s">
        <v>260</v>
      </c>
      <c r="B52" s="89" t="s">
        <v>2191</v>
      </c>
      <c r="C52" s="89" t="s">
        <v>2193</v>
      </c>
      <c r="D52" s="89" t="s">
        <v>2192</v>
      </c>
      <c r="E52" s="89" t="s">
        <v>2187</v>
      </c>
      <c r="F52" s="89" t="s">
        <v>2187</v>
      </c>
      <c r="G52" s="89" t="s">
        <v>1483</v>
      </c>
      <c r="H52" s="89" t="s">
        <v>605</v>
      </c>
      <c r="I52" s="89" t="s">
        <v>1537</v>
      </c>
      <c r="J52" s="89" t="s">
        <v>764</v>
      </c>
      <c r="K52" s="89" t="s">
        <v>2187</v>
      </c>
      <c r="L52" s="89" t="s">
        <v>2191</v>
      </c>
      <c r="M52" s="89" t="s">
        <v>2190</v>
      </c>
      <c r="N52" s="89" t="s">
        <v>2189</v>
      </c>
      <c r="O52" s="89" t="s">
        <v>2188</v>
      </c>
      <c r="P52" s="89" t="s">
        <v>2187</v>
      </c>
    </row>
    <row r="53" spans="1:16" x14ac:dyDescent="0.25">
      <c r="A53" s="89" t="s">
        <v>256</v>
      </c>
      <c r="B53" s="89" t="s">
        <v>2045</v>
      </c>
      <c r="C53" s="89" t="s">
        <v>2186</v>
      </c>
      <c r="D53" s="89" t="s">
        <v>2185</v>
      </c>
      <c r="E53" s="89" t="s">
        <v>594</v>
      </c>
      <c r="F53" s="89" t="s">
        <v>594</v>
      </c>
      <c r="G53" s="89" t="s">
        <v>743</v>
      </c>
      <c r="H53" s="89" t="s">
        <v>773</v>
      </c>
      <c r="I53" s="89" t="s">
        <v>2036</v>
      </c>
      <c r="J53" s="89" t="s">
        <v>1871</v>
      </c>
      <c r="K53" s="89" t="s">
        <v>594</v>
      </c>
      <c r="L53" s="89" t="s">
        <v>2045</v>
      </c>
      <c r="M53" s="89" t="s">
        <v>2184</v>
      </c>
      <c r="N53" s="89" t="s">
        <v>1035</v>
      </c>
      <c r="O53" s="89" t="s">
        <v>2183</v>
      </c>
      <c r="P53" s="89" t="s">
        <v>594</v>
      </c>
    </row>
    <row r="54" spans="1:16" x14ac:dyDescent="0.25">
      <c r="A54" s="89" t="s">
        <v>254</v>
      </c>
      <c r="B54" s="89" t="s">
        <v>2178</v>
      </c>
      <c r="C54" s="89" t="s">
        <v>2182</v>
      </c>
      <c r="D54" s="89" t="s">
        <v>2181</v>
      </c>
      <c r="E54" s="89" t="s">
        <v>2174</v>
      </c>
      <c r="F54" s="89" t="s">
        <v>2174</v>
      </c>
      <c r="G54" s="89" t="s">
        <v>2180</v>
      </c>
      <c r="H54" s="89" t="s">
        <v>421</v>
      </c>
      <c r="I54" s="89" t="s">
        <v>2179</v>
      </c>
      <c r="J54" s="89" t="s">
        <v>1780</v>
      </c>
      <c r="K54" s="89" t="s">
        <v>2174</v>
      </c>
      <c r="L54" s="89" t="s">
        <v>2178</v>
      </c>
      <c r="M54" s="89" t="s">
        <v>2177</v>
      </c>
      <c r="N54" s="89" t="s">
        <v>2176</v>
      </c>
      <c r="O54" s="89" t="s">
        <v>2175</v>
      </c>
      <c r="P54" s="89" t="s">
        <v>2174</v>
      </c>
    </row>
    <row r="55" spans="1:16" x14ac:dyDescent="0.25">
      <c r="A55" s="89" t="s">
        <v>251</v>
      </c>
      <c r="B55" s="89" t="s">
        <v>2171</v>
      </c>
      <c r="C55" s="89" t="s">
        <v>2173</v>
      </c>
      <c r="D55" s="89" t="s">
        <v>413</v>
      </c>
      <c r="E55" s="89" t="s">
        <v>1655</v>
      </c>
      <c r="F55" s="89" t="s">
        <v>1655</v>
      </c>
      <c r="G55" s="89" t="s">
        <v>2085</v>
      </c>
      <c r="H55" s="89" t="s">
        <v>405</v>
      </c>
      <c r="I55" s="89" t="s">
        <v>1687</v>
      </c>
      <c r="J55" s="89" t="s">
        <v>2172</v>
      </c>
      <c r="K55" s="89" t="s">
        <v>1655</v>
      </c>
      <c r="L55" s="89" t="s">
        <v>2171</v>
      </c>
      <c r="M55" s="89" t="s">
        <v>2047</v>
      </c>
      <c r="N55" s="89" t="s">
        <v>902</v>
      </c>
      <c r="O55" s="89" t="s">
        <v>1045</v>
      </c>
      <c r="P55" s="89" t="s">
        <v>1655</v>
      </c>
    </row>
    <row r="56" spans="1:16" x14ac:dyDescent="0.25">
      <c r="A56" s="89" t="s">
        <v>248</v>
      </c>
      <c r="B56" s="89" t="s">
        <v>2167</v>
      </c>
      <c r="C56" s="89" t="s">
        <v>2170</v>
      </c>
      <c r="D56" s="89" t="s">
        <v>2169</v>
      </c>
      <c r="E56" s="89" t="s">
        <v>2164</v>
      </c>
      <c r="F56" s="89" t="s">
        <v>2164</v>
      </c>
      <c r="G56" s="89" t="s">
        <v>2168</v>
      </c>
      <c r="H56" s="89" t="s">
        <v>986</v>
      </c>
      <c r="I56" s="89" t="s">
        <v>692</v>
      </c>
      <c r="J56" s="89" t="s">
        <v>1754</v>
      </c>
      <c r="K56" s="89" t="s">
        <v>2164</v>
      </c>
      <c r="L56" s="89" t="s">
        <v>2167</v>
      </c>
      <c r="M56" s="89" t="s">
        <v>2166</v>
      </c>
      <c r="N56" s="89" t="s">
        <v>536</v>
      </c>
      <c r="O56" s="89" t="s">
        <v>2165</v>
      </c>
      <c r="P56" s="89" t="s">
        <v>2164</v>
      </c>
    </row>
    <row r="57" spans="1:16" x14ac:dyDescent="0.25">
      <c r="A57" s="89" t="s">
        <v>245</v>
      </c>
      <c r="B57" s="89" t="s">
        <v>2161</v>
      </c>
      <c r="C57" s="89" t="s">
        <v>648</v>
      </c>
      <c r="D57" s="89" t="s">
        <v>1513</v>
      </c>
      <c r="E57" s="89" t="s">
        <v>2135</v>
      </c>
      <c r="F57" s="89" t="s">
        <v>2135</v>
      </c>
      <c r="G57" s="89" t="s">
        <v>2163</v>
      </c>
      <c r="H57" s="89" t="s">
        <v>1028</v>
      </c>
      <c r="I57" s="89" t="s">
        <v>2162</v>
      </c>
      <c r="J57" s="89" t="s">
        <v>1720</v>
      </c>
      <c r="K57" s="89" t="s">
        <v>2135</v>
      </c>
      <c r="L57" s="89" t="s">
        <v>2161</v>
      </c>
      <c r="M57" s="89" t="s">
        <v>2084</v>
      </c>
      <c r="N57" s="89" t="s">
        <v>2160</v>
      </c>
      <c r="O57" s="89" t="s">
        <v>2159</v>
      </c>
      <c r="P57" s="89" t="s">
        <v>2135</v>
      </c>
    </row>
    <row r="58" spans="1:16" x14ac:dyDescent="0.25">
      <c r="A58" s="89" t="s">
        <v>243</v>
      </c>
      <c r="B58" s="89" t="s">
        <v>2158</v>
      </c>
      <c r="C58" s="89" t="s">
        <v>794</v>
      </c>
      <c r="D58" s="89" t="s">
        <v>492</v>
      </c>
      <c r="E58" s="89" t="s">
        <v>2155</v>
      </c>
      <c r="F58" s="89" t="s">
        <v>2155</v>
      </c>
      <c r="G58" s="89" t="s">
        <v>1411</v>
      </c>
      <c r="H58" s="89" t="s">
        <v>1569</v>
      </c>
      <c r="I58" s="89" t="s">
        <v>590</v>
      </c>
      <c r="J58" s="89" t="s">
        <v>689</v>
      </c>
      <c r="K58" s="89" t="s">
        <v>2155</v>
      </c>
      <c r="L58" s="89" t="s">
        <v>2158</v>
      </c>
      <c r="M58" s="89" t="s">
        <v>2157</v>
      </c>
      <c r="N58" s="89" t="s">
        <v>2156</v>
      </c>
      <c r="O58" s="89" t="s">
        <v>2049</v>
      </c>
      <c r="P58" s="89" t="s">
        <v>2155</v>
      </c>
    </row>
    <row r="59" spans="1:16" x14ac:dyDescent="0.25">
      <c r="A59" s="89" t="s">
        <v>240</v>
      </c>
      <c r="B59" s="89" t="s">
        <v>1189</v>
      </c>
      <c r="C59" s="89" t="s">
        <v>1257</v>
      </c>
      <c r="D59" s="89" t="s">
        <v>1081</v>
      </c>
      <c r="E59" s="89" t="s">
        <v>2153</v>
      </c>
      <c r="F59" s="89" t="s">
        <v>2153</v>
      </c>
      <c r="G59" s="89" t="s">
        <v>925</v>
      </c>
      <c r="H59" s="89" t="s">
        <v>1443</v>
      </c>
      <c r="I59" s="89" t="s">
        <v>1781</v>
      </c>
      <c r="J59" s="89" t="s">
        <v>899</v>
      </c>
      <c r="K59" s="89" t="s">
        <v>2153</v>
      </c>
      <c r="L59" s="89" t="s">
        <v>1189</v>
      </c>
      <c r="M59" s="89" t="s">
        <v>1047</v>
      </c>
      <c r="N59" s="89" t="s">
        <v>916</v>
      </c>
      <c r="O59" s="89" t="s">
        <v>2154</v>
      </c>
      <c r="P59" s="89" t="s">
        <v>2153</v>
      </c>
    </row>
    <row r="60" spans="1:16" x14ac:dyDescent="0.25">
      <c r="A60" s="89" t="s">
        <v>237</v>
      </c>
      <c r="B60" s="89" t="s">
        <v>1780</v>
      </c>
      <c r="C60" s="89" t="s">
        <v>1998</v>
      </c>
      <c r="D60" s="89" t="s">
        <v>2152</v>
      </c>
      <c r="E60" s="89" t="s">
        <v>1088</v>
      </c>
      <c r="F60" s="89" t="s">
        <v>1088</v>
      </c>
      <c r="G60" s="89" t="s">
        <v>1026</v>
      </c>
      <c r="H60" s="89" t="s">
        <v>903</v>
      </c>
      <c r="I60" s="89" t="s">
        <v>2089</v>
      </c>
      <c r="J60" s="89" t="s">
        <v>1561</v>
      </c>
      <c r="K60" s="89" t="s">
        <v>1088</v>
      </c>
      <c r="L60" s="89" t="s">
        <v>1780</v>
      </c>
      <c r="M60" s="89" t="s">
        <v>929</v>
      </c>
      <c r="N60" s="89" t="s">
        <v>491</v>
      </c>
      <c r="O60" s="89" t="s">
        <v>1489</v>
      </c>
      <c r="P60" s="89" t="s">
        <v>1088</v>
      </c>
    </row>
    <row r="61" spans="1:16" x14ac:dyDescent="0.25">
      <c r="A61" s="89" t="s">
        <v>233</v>
      </c>
      <c r="B61" s="89" t="s">
        <v>1649</v>
      </c>
      <c r="C61" s="89" t="s">
        <v>1275</v>
      </c>
      <c r="D61" s="89" t="s">
        <v>2151</v>
      </c>
      <c r="E61" s="89" t="s">
        <v>1652</v>
      </c>
      <c r="F61" s="89" t="s">
        <v>1652</v>
      </c>
      <c r="G61" s="89" t="s">
        <v>1683</v>
      </c>
      <c r="H61" s="89" t="s">
        <v>1773</v>
      </c>
      <c r="I61" s="89" t="s">
        <v>1059</v>
      </c>
      <c r="J61" s="89" t="s">
        <v>2150</v>
      </c>
      <c r="K61" s="89" t="s">
        <v>1652</v>
      </c>
      <c r="L61" s="89" t="s">
        <v>1649</v>
      </c>
      <c r="M61" s="89" t="s">
        <v>1004</v>
      </c>
      <c r="N61" s="89" t="s">
        <v>1833</v>
      </c>
      <c r="O61" s="89" t="s">
        <v>2149</v>
      </c>
      <c r="P61" s="89" t="s">
        <v>1652</v>
      </c>
    </row>
    <row r="62" spans="1:16" x14ac:dyDescent="0.25">
      <c r="A62" s="89" t="s">
        <v>199</v>
      </c>
      <c r="B62" s="89" t="s">
        <v>881</v>
      </c>
      <c r="C62" s="89" t="s">
        <v>583</v>
      </c>
      <c r="D62" s="89" t="s">
        <v>1049</v>
      </c>
      <c r="E62" s="89" t="s">
        <v>1332</v>
      </c>
      <c r="F62" s="89" t="s">
        <v>1332</v>
      </c>
      <c r="G62" s="89" t="s">
        <v>1831</v>
      </c>
      <c r="H62" s="89" t="s">
        <v>2148</v>
      </c>
      <c r="I62" s="89" t="s">
        <v>1072</v>
      </c>
      <c r="J62" s="89" t="s">
        <v>2032</v>
      </c>
      <c r="K62" s="89" t="s">
        <v>1332</v>
      </c>
      <c r="L62" s="89" t="s">
        <v>881</v>
      </c>
      <c r="M62" s="89" t="s">
        <v>2057</v>
      </c>
      <c r="N62" s="89" t="s">
        <v>764</v>
      </c>
      <c r="O62" s="89" t="s">
        <v>540</v>
      </c>
      <c r="P62" s="89" t="s">
        <v>1332</v>
      </c>
    </row>
    <row r="63" spans="1:16" x14ac:dyDescent="0.25">
      <c r="A63" s="89" t="s">
        <v>227</v>
      </c>
      <c r="B63" s="89" t="s">
        <v>2090</v>
      </c>
      <c r="C63" s="89" t="s">
        <v>2147</v>
      </c>
      <c r="D63" s="89" t="s">
        <v>1955</v>
      </c>
      <c r="E63" s="89" t="s">
        <v>2144</v>
      </c>
      <c r="F63" s="89" t="s">
        <v>2144</v>
      </c>
      <c r="G63" s="89" t="s">
        <v>1571</v>
      </c>
      <c r="H63" s="89" t="s">
        <v>580</v>
      </c>
      <c r="I63" s="89" t="s">
        <v>500</v>
      </c>
      <c r="J63" s="89" t="s">
        <v>540</v>
      </c>
      <c r="K63" s="89" t="s">
        <v>2144</v>
      </c>
      <c r="L63" s="89" t="s">
        <v>2090</v>
      </c>
      <c r="M63" s="89" t="s">
        <v>2146</v>
      </c>
      <c r="N63" s="89" t="s">
        <v>2145</v>
      </c>
      <c r="O63" s="89" t="s">
        <v>2016</v>
      </c>
      <c r="P63" s="89" t="s">
        <v>2144</v>
      </c>
    </row>
    <row r="64" spans="1:16" x14ac:dyDescent="0.25">
      <c r="A64" s="89" t="s">
        <v>223</v>
      </c>
      <c r="B64" s="89" t="s">
        <v>1186</v>
      </c>
      <c r="C64" s="89" t="s">
        <v>609</v>
      </c>
      <c r="D64" s="89" t="s">
        <v>503</v>
      </c>
      <c r="E64" s="89" t="s">
        <v>659</v>
      </c>
      <c r="F64" s="89" t="s">
        <v>659</v>
      </c>
      <c r="G64" s="89" t="s">
        <v>1700</v>
      </c>
      <c r="H64" s="89" t="s">
        <v>2143</v>
      </c>
      <c r="I64" s="89" t="s">
        <v>2142</v>
      </c>
      <c r="J64" s="89" t="s">
        <v>1823</v>
      </c>
      <c r="K64" s="89" t="s">
        <v>659</v>
      </c>
      <c r="L64" s="89" t="s">
        <v>1186</v>
      </c>
      <c r="M64" s="89" t="s">
        <v>776</v>
      </c>
      <c r="N64" s="89" t="s">
        <v>2141</v>
      </c>
      <c r="O64" s="89" t="s">
        <v>2094</v>
      </c>
      <c r="P64" s="89" t="s">
        <v>659</v>
      </c>
    </row>
    <row r="65" spans="1:16" x14ac:dyDescent="0.25">
      <c r="A65" s="89" t="s">
        <v>220</v>
      </c>
      <c r="B65" s="89" t="s">
        <v>636</v>
      </c>
      <c r="C65" s="89" t="s">
        <v>888</v>
      </c>
      <c r="D65" s="89" t="s">
        <v>1444</v>
      </c>
      <c r="E65" s="89" t="s">
        <v>1492</v>
      </c>
      <c r="F65" s="89" t="s">
        <v>1492</v>
      </c>
      <c r="G65" s="89" t="s">
        <v>2140</v>
      </c>
      <c r="H65" s="89" t="s">
        <v>2025</v>
      </c>
      <c r="I65" s="89" t="s">
        <v>638</v>
      </c>
      <c r="J65" s="89" t="s">
        <v>2139</v>
      </c>
      <c r="K65" s="89" t="s">
        <v>1492</v>
      </c>
      <c r="L65" s="89" t="s">
        <v>636</v>
      </c>
      <c r="M65" s="89" t="s">
        <v>645</v>
      </c>
      <c r="N65" s="89" t="s">
        <v>782</v>
      </c>
      <c r="O65" s="89" t="s">
        <v>2138</v>
      </c>
      <c r="P65" s="89" t="s">
        <v>1492</v>
      </c>
    </row>
    <row r="66" spans="1:16" x14ac:dyDescent="0.25">
      <c r="A66" s="89" t="s">
        <v>217</v>
      </c>
      <c r="B66" s="89" t="s">
        <v>2135</v>
      </c>
      <c r="C66" s="89" t="s">
        <v>848</v>
      </c>
      <c r="D66" s="89" t="s">
        <v>661</v>
      </c>
      <c r="E66" s="89" t="s">
        <v>541</v>
      </c>
      <c r="F66" s="89" t="s">
        <v>541</v>
      </c>
      <c r="G66" s="89" t="s">
        <v>2137</v>
      </c>
      <c r="H66" s="89" t="s">
        <v>2136</v>
      </c>
      <c r="I66" s="89" t="s">
        <v>889</v>
      </c>
      <c r="J66" s="89" t="s">
        <v>438</v>
      </c>
      <c r="K66" s="89" t="s">
        <v>541</v>
      </c>
      <c r="L66" s="89" t="s">
        <v>2135</v>
      </c>
      <c r="M66" s="89" t="s">
        <v>1097</v>
      </c>
      <c r="N66" s="89" t="s">
        <v>1115</v>
      </c>
      <c r="O66" s="89" t="s">
        <v>2134</v>
      </c>
      <c r="P66" s="89" t="s">
        <v>541</v>
      </c>
    </row>
    <row r="67" spans="1:16" x14ac:dyDescent="0.25">
      <c r="A67" s="89" t="s">
        <v>214</v>
      </c>
      <c r="B67" s="89" t="s">
        <v>2132</v>
      </c>
      <c r="C67" s="89" t="s">
        <v>625</v>
      </c>
      <c r="D67" s="89" t="s">
        <v>2133</v>
      </c>
      <c r="E67" s="89" t="s">
        <v>2130</v>
      </c>
      <c r="F67" s="89" t="s">
        <v>2130</v>
      </c>
      <c r="G67" s="89" t="s">
        <v>1220</v>
      </c>
      <c r="H67" s="89" t="s">
        <v>1665</v>
      </c>
      <c r="I67" s="89" t="s">
        <v>2026</v>
      </c>
      <c r="J67" s="89" t="s">
        <v>805</v>
      </c>
      <c r="K67" s="89" t="s">
        <v>2130</v>
      </c>
      <c r="L67" s="89" t="s">
        <v>2132</v>
      </c>
      <c r="M67" s="89" t="s">
        <v>2131</v>
      </c>
      <c r="N67" s="89" t="s">
        <v>1866</v>
      </c>
      <c r="O67" s="89" t="s">
        <v>481</v>
      </c>
      <c r="P67" s="89" t="s">
        <v>2130</v>
      </c>
    </row>
    <row r="68" spans="1:16" x14ac:dyDescent="0.25">
      <c r="A68" s="89" t="s">
        <v>212</v>
      </c>
      <c r="B68" s="89" t="s">
        <v>606</v>
      </c>
      <c r="C68" s="89" t="s">
        <v>532</v>
      </c>
      <c r="D68" s="89" t="s">
        <v>408</v>
      </c>
      <c r="E68" s="89" t="s">
        <v>402</v>
      </c>
      <c r="F68" s="89" t="s">
        <v>402</v>
      </c>
      <c r="G68" s="89" t="s">
        <v>1216</v>
      </c>
      <c r="H68" s="89" t="s">
        <v>1513</v>
      </c>
      <c r="I68" s="89" t="s">
        <v>1475</v>
      </c>
      <c r="J68" s="89" t="s">
        <v>1257</v>
      </c>
      <c r="K68" s="89" t="s">
        <v>402</v>
      </c>
      <c r="L68" s="89" t="s">
        <v>606</v>
      </c>
      <c r="M68" s="89" t="s">
        <v>604</v>
      </c>
      <c r="N68" s="89" t="s">
        <v>1782</v>
      </c>
      <c r="O68" s="89" t="s">
        <v>2123</v>
      </c>
      <c r="P68" s="89" t="s">
        <v>402</v>
      </c>
    </row>
    <row r="69" spans="1:16" x14ac:dyDescent="0.25">
      <c r="A69" s="89" t="s">
        <v>209</v>
      </c>
      <c r="B69" s="89" t="s">
        <v>2126</v>
      </c>
      <c r="C69" s="89" t="s">
        <v>2129</v>
      </c>
      <c r="D69" s="89" t="s">
        <v>486</v>
      </c>
      <c r="E69" s="89" t="s">
        <v>721</v>
      </c>
      <c r="F69" s="89" t="s">
        <v>721</v>
      </c>
      <c r="G69" s="89" t="s">
        <v>2127</v>
      </c>
      <c r="H69" s="89" t="s">
        <v>919</v>
      </c>
      <c r="I69" s="89" t="s">
        <v>2128</v>
      </c>
      <c r="J69" s="89" t="s">
        <v>2127</v>
      </c>
      <c r="K69" s="89" t="s">
        <v>721</v>
      </c>
      <c r="L69" s="89" t="s">
        <v>2126</v>
      </c>
      <c r="M69" s="89" t="s">
        <v>2125</v>
      </c>
      <c r="N69" s="89" t="s">
        <v>2124</v>
      </c>
      <c r="O69" s="89" t="s">
        <v>1372</v>
      </c>
      <c r="P69" s="89" t="s">
        <v>721</v>
      </c>
    </row>
    <row r="70" spans="1:16" x14ac:dyDescent="0.25">
      <c r="A70" s="89" t="s">
        <v>207</v>
      </c>
      <c r="B70" s="89" t="s">
        <v>408</v>
      </c>
      <c r="C70" s="89" t="s">
        <v>2123</v>
      </c>
      <c r="D70" s="89" t="s">
        <v>402</v>
      </c>
      <c r="E70" s="89" t="s">
        <v>402</v>
      </c>
      <c r="F70" s="89" t="s">
        <v>402</v>
      </c>
      <c r="G70" s="89" t="s">
        <v>2122</v>
      </c>
      <c r="H70" s="89" t="s">
        <v>2121</v>
      </c>
      <c r="I70" s="89" t="s">
        <v>1213</v>
      </c>
      <c r="J70" s="89" t="s">
        <v>1436</v>
      </c>
      <c r="K70" s="89" t="s">
        <v>402</v>
      </c>
      <c r="L70" s="89" t="s">
        <v>408</v>
      </c>
      <c r="M70" s="89" t="s">
        <v>523</v>
      </c>
      <c r="N70" s="89" t="s">
        <v>721</v>
      </c>
      <c r="O70" s="89" t="s">
        <v>408</v>
      </c>
      <c r="P70" s="89" t="s">
        <v>402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8" t="s">
        <v>397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x14ac:dyDescent="0.25">
      <c r="A2" s="108"/>
      <c r="B2" s="108" t="s">
        <v>1003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spans="1:16" x14ac:dyDescent="0.25">
      <c r="A3" s="108"/>
      <c r="B3" s="108" t="s">
        <v>1002</v>
      </c>
      <c r="C3" s="108"/>
      <c r="D3" s="108"/>
      <c r="E3" s="108"/>
      <c r="F3" s="108"/>
      <c r="G3" s="108" t="s">
        <v>1001</v>
      </c>
      <c r="H3" s="108"/>
      <c r="I3" s="108"/>
      <c r="J3" s="108"/>
      <c r="K3" s="108"/>
      <c r="L3" s="108" t="s">
        <v>1000</v>
      </c>
      <c r="M3" s="108"/>
      <c r="N3" s="108"/>
      <c r="O3" s="108"/>
      <c r="P3" s="108"/>
    </row>
    <row r="4" spans="1:16" x14ac:dyDescent="0.25">
      <c r="A4" s="108"/>
      <c r="B4" s="108">
        <v>2024</v>
      </c>
      <c r="C4" s="108"/>
      <c r="D4" s="108"/>
      <c r="E4" s="108"/>
      <c r="F4" s="108"/>
      <c r="G4" s="108">
        <v>2024</v>
      </c>
      <c r="H4" s="108"/>
      <c r="I4" s="108"/>
      <c r="J4" s="108"/>
      <c r="K4" s="108"/>
      <c r="L4" s="108">
        <v>2024</v>
      </c>
      <c r="M4" s="108"/>
      <c r="N4" s="108"/>
      <c r="O4" s="108"/>
      <c r="P4" s="108"/>
    </row>
    <row r="5" spans="1:16" x14ac:dyDescent="0.25">
      <c r="A5" s="108"/>
      <c r="B5" s="94" t="s">
        <v>998</v>
      </c>
      <c r="C5" s="94" t="s">
        <v>997</v>
      </c>
      <c r="D5" s="94" t="s">
        <v>996</v>
      </c>
      <c r="E5" s="94" t="s">
        <v>995</v>
      </c>
      <c r="F5" s="94" t="s">
        <v>994</v>
      </c>
      <c r="G5" s="94" t="s">
        <v>998</v>
      </c>
      <c r="H5" s="94" t="s">
        <v>997</v>
      </c>
      <c r="I5" s="94" t="s">
        <v>996</v>
      </c>
      <c r="J5" s="94" t="s">
        <v>995</v>
      </c>
      <c r="K5" s="94" t="s">
        <v>994</v>
      </c>
      <c r="L5" s="94" t="s">
        <v>998</v>
      </c>
      <c r="M5" s="94" t="s">
        <v>997</v>
      </c>
      <c r="N5" s="94" t="s">
        <v>996</v>
      </c>
      <c r="O5" s="94" t="s">
        <v>995</v>
      </c>
      <c r="P5" s="94" t="s">
        <v>994</v>
      </c>
    </row>
    <row r="6" spans="1:16" x14ac:dyDescent="0.25">
      <c r="A6" s="94" t="s">
        <v>394</v>
      </c>
      <c r="B6" s="94">
        <v>-3.54</v>
      </c>
      <c r="C6" s="94">
        <v>0.1</v>
      </c>
      <c r="D6" s="94">
        <v>0.66</v>
      </c>
      <c r="E6" s="94">
        <v>0.68</v>
      </c>
      <c r="F6" s="94">
        <v>0.68</v>
      </c>
      <c r="G6" s="94">
        <v>0</v>
      </c>
      <c r="H6" s="94">
        <v>23.43</v>
      </c>
      <c r="I6" s="94">
        <v>0.11</v>
      </c>
      <c r="J6" s="94">
        <v>-18.489999999999998</v>
      </c>
      <c r="K6" s="94">
        <v>0.68</v>
      </c>
      <c r="L6" s="94">
        <v>-3.54</v>
      </c>
      <c r="M6" s="94">
        <v>3.25</v>
      </c>
      <c r="N6" s="94">
        <v>1.7</v>
      </c>
      <c r="O6" s="94">
        <v>0.72</v>
      </c>
      <c r="P6" s="94">
        <v>0.68</v>
      </c>
    </row>
    <row r="7" spans="1:16" x14ac:dyDescent="0.25">
      <c r="A7" s="94" t="s">
        <v>392</v>
      </c>
      <c r="B7" s="94">
        <v>-5.51</v>
      </c>
      <c r="C7" s="94">
        <v>0.19</v>
      </c>
      <c r="D7" s="94">
        <v>0.79</v>
      </c>
      <c r="E7" s="94">
        <v>0.83</v>
      </c>
      <c r="F7" s="94">
        <v>0.83</v>
      </c>
      <c r="G7" s="94">
        <v>5.1100000000000003</v>
      </c>
      <c r="H7" s="94">
        <v>27.2</v>
      </c>
      <c r="I7" s="94">
        <v>-0.83</v>
      </c>
      <c r="J7" s="94">
        <v>-23.84</v>
      </c>
      <c r="K7" s="94">
        <v>0.83</v>
      </c>
      <c r="L7" s="94">
        <v>-5.51</v>
      </c>
      <c r="M7" s="94">
        <v>5.19</v>
      </c>
      <c r="N7" s="94">
        <v>1.89</v>
      </c>
      <c r="O7" s="94">
        <v>0.99</v>
      </c>
      <c r="P7" s="94">
        <v>0.83</v>
      </c>
    </row>
    <row r="8" spans="1:16" x14ac:dyDescent="0.25">
      <c r="A8" s="94" t="s">
        <v>389</v>
      </c>
      <c r="B8" s="94">
        <v>-24.72</v>
      </c>
      <c r="C8" s="94">
        <v>-4.95</v>
      </c>
      <c r="D8" s="94">
        <v>-2.0299999999999998</v>
      </c>
      <c r="E8" s="94">
        <v>-0.19</v>
      </c>
      <c r="F8" s="94">
        <v>-0.19</v>
      </c>
      <c r="G8" s="94">
        <v>26.1</v>
      </c>
      <c r="H8" s="94">
        <v>69.11</v>
      </c>
      <c r="I8" s="94">
        <v>-22</v>
      </c>
      <c r="J8" s="94">
        <v>-34.29</v>
      </c>
      <c r="K8" s="94">
        <v>-0.19</v>
      </c>
      <c r="L8" s="94">
        <v>-24.72</v>
      </c>
      <c r="M8" s="94">
        <v>12.52</v>
      </c>
      <c r="N8" s="94">
        <v>4.53</v>
      </c>
      <c r="O8" s="94">
        <v>9.2799999999999994</v>
      </c>
      <c r="P8" s="94">
        <v>-0.19</v>
      </c>
    </row>
    <row r="9" spans="1:16" x14ac:dyDescent="0.25">
      <c r="A9" s="94" t="s">
        <v>386</v>
      </c>
      <c r="B9" s="94">
        <v>-0.31</v>
      </c>
      <c r="C9" s="94">
        <v>0.47</v>
      </c>
      <c r="D9" s="94">
        <v>0.22</v>
      </c>
      <c r="E9" s="94">
        <v>0.86</v>
      </c>
      <c r="F9" s="94">
        <v>0.86</v>
      </c>
      <c r="G9" s="94">
        <v>-7.12</v>
      </c>
      <c r="H9" s="94">
        <v>21.69</v>
      </c>
      <c r="I9" s="94">
        <v>4.5199999999999996</v>
      </c>
      <c r="J9" s="94">
        <v>-12.89</v>
      </c>
      <c r="K9" s="94">
        <v>0.86</v>
      </c>
      <c r="L9" s="94">
        <v>-0.31</v>
      </c>
      <c r="M9" s="94">
        <v>1.1200000000000001</v>
      </c>
      <c r="N9" s="94">
        <v>-0.2</v>
      </c>
      <c r="O9" s="94">
        <v>2.91</v>
      </c>
      <c r="P9" s="94">
        <v>0.86</v>
      </c>
    </row>
    <row r="10" spans="1:16" x14ac:dyDescent="0.25">
      <c r="A10" s="94" t="s">
        <v>383</v>
      </c>
      <c r="B10" s="94">
        <v>3.05</v>
      </c>
      <c r="C10" s="94">
        <v>2.02</v>
      </c>
      <c r="D10" s="94">
        <v>1.41</v>
      </c>
      <c r="E10" s="94">
        <v>0.68</v>
      </c>
      <c r="F10" s="94">
        <v>0.68</v>
      </c>
      <c r="G10" s="94">
        <v>-0.82</v>
      </c>
      <c r="H10" s="94">
        <v>17.760000000000002</v>
      </c>
      <c r="I10" s="94">
        <v>16.72</v>
      </c>
      <c r="J10" s="94">
        <v>-28.02</v>
      </c>
      <c r="K10" s="94">
        <v>0.68</v>
      </c>
      <c r="L10" s="94">
        <v>3.05</v>
      </c>
      <c r="M10" s="94">
        <v>1.1499999999999999</v>
      </c>
      <c r="N10" s="94">
        <v>0.48</v>
      </c>
      <c r="O10" s="94">
        <v>-1.88</v>
      </c>
      <c r="P10" s="94">
        <v>0.68</v>
      </c>
    </row>
    <row r="11" spans="1:16" x14ac:dyDescent="0.25">
      <c r="A11" s="94" t="s">
        <v>380</v>
      </c>
      <c r="B11" s="94">
        <v>5.22</v>
      </c>
      <c r="C11" s="94">
        <v>5.07</v>
      </c>
      <c r="D11" s="94">
        <v>4.66</v>
      </c>
      <c r="E11" s="94">
        <v>2.78</v>
      </c>
      <c r="F11" s="94">
        <v>2.78</v>
      </c>
      <c r="G11" s="94">
        <v>6.75</v>
      </c>
      <c r="H11" s="94">
        <v>0.89</v>
      </c>
      <c r="I11" s="94">
        <v>-3.77</v>
      </c>
      <c r="J11" s="94">
        <v>-6.33</v>
      </c>
      <c r="K11" s="94">
        <v>2.78</v>
      </c>
      <c r="L11" s="94">
        <v>5.22</v>
      </c>
      <c r="M11" s="94">
        <v>4.93</v>
      </c>
      <c r="N11" s="94">
        <v>3.83</v>
      </c>
      <c r="O11" s="94">
        <v>-2.92</v>
      </c>
      <c r="P11" s="94">
        <v>2.78</v>
      </c>
    </row>
    <row r="12" spans="1:16" x14ac:dyDescent="0.25">
      <c r="A12" s="94" t="s">
        <v>377</v>
      </c>
      <c r="B12" s="94">
        <v>-4.29</v>
      </c>
      <c r="C12" s="94">
        <v>0.45</v>
      </c>
      <c r="D12" s="94">
        <v>0.97</v>
      </c>
      <c r="E12" s="94">
        <v>0.87</v>
      </c>
      <c r="F12" s="94">
        <v>0.87</v>
      </c>
      <c r="G12" s="94">
        <v>6.98</v>
      </c>
      <c r="H12" s="94">
        <v>14.77</v>
      </c>
      <c r="I12" s="94">
        <v>0</v>
      </c>
      <c r="J12" s="94">
        <v>-18.13</v>
      </c>
      <c r="K12" s="94">
        <v>0.87</v>
      </c>
      <c r="L12" s="94">
        <v>-4.29</v>
      </c>
      <c r="M12" s="94">
        <v>4.99</v>
      </c>
      <c r="N12" s="94">
        <v>1.97</v>
      </c>
      <c r="O12" s="94">
        <v>0.52</v>
      </c>
      <c r="P12" s="94">
        <v>0.87</v>
      </c>
    </row>
    <row r="13" spans="1:16" x14ac:dyDescent="0.25">
      <c r="A13" s="94" t="s">
        <v>374</v>
      </c>
      <c r="B13" s="94">
        <v>1.19</v>
      </c>
      <c r="C13" s="94">
        <v>-0.85</v>
      </c>
      <c r="D13" s="94">
        <v>-1.34</v>
      </c>
      <c r="E13" s="94">
        <v>-2.06</v>
      </c>
      <c r="F13" s="94">
        <v>-2.06</v>
      </c>
      <c r="G13" s="94">
        <v>-6.76</v>
      </c>
      <c r="H13" s="94">
        <v>5.64</v>
      </c>
      <c r="I13" s="94">
        <v>8.85</v>
      </c>
      <c r="J13" s="94">
        <v>-10.68</v>
      </c>
      <c r="K13" s="94">
        <v>-2.06</v>
      </c>
      <c r="L13" s="94">
        <v>1.19</v>
      </c>
      <c r="M13" s="94">
        <v>-2.72</v>
      </c>
      <c r="N13" s="94">
        <v>-2.19</v>
      </c>
      <c r="O13" s="94">
        <v>-4.24</v>
      </c>
      <c r="P13" s="94">
        <v>-2.06</v>
      </c>
    </row>
    <row r="14" spans="1:16" x14ac:dyDescent="0.25">
      <c r="A14" s="94" t="s">
        <v>371</v>
      </c>
      <c r="B14" s="94">
        <v>3.49</v>
      </c>
      <c r="C14" s="94">
        <v>-0.09</v>
      </c>
      <c r="D14" s="94">
        <v>0.59</v>
      </c>
      <c r="E14" s="94">
        <v>0.68</v>
      </c>
      <c r="F14" s="94">
        <v>0.68</v>
      </c>
      <c r="G14" s="94">
        <v>-14.3</v>
      </c>
      <c r="H14" s="94">
        <v>13.26</v>
      </c>
      <c r="I14" s="94">
        <v>2.25</v>
      </c>
      <c r="J14" s="94">
        <v>1.72</v>
      </c>
      <c r="K14" s="94">
        <v>0.68</v>
      </c>
      <c r="L14" s="94">
        <v>3.49</v>
      </c>
      <c r="M14" s="94">
        <v>-3.05</v>
      </c>
      <c r="N14" s="94">
        <v>1.86</v>
      </c>
      <c r="O14" s="94">
        <v>0.95</v>
      </c>
      <c r="P14" s="94">
        <v>0.68</v>
      </c>
    </row>
    <row r="15" spans="1:16" x14ac:dyDescent="0.25">
      <c r="A15" s="94" t="s">
        <v>368</v>
      </c>
      <c r="B15" s="94">
        <v>9.31</v>
      </c>
      <c r="C15" s="94">
        <v>6.18</v>
      </c>
      <c r="D15" s="94">
        <v>5.23</v>
      </c>
      <c r="E15" s="94">
        <v>4.9000000000000004</v>
      </c>
      <c r="F15" s="94">
        <v>4.9000000000000004</v>
      </c>
      <c r="G15" s="94">
        <v>-2.56</v>
      </c>
      <c r="H15" s="94">
        <v>-2.17</v>
      </c>
      <c r="I15" s="94">
        <v>5.62</v>
      </c>
      <c r="J15" s="94">
        <v>3.25</v>
      </c>
      <c r="K15" s="94">
        <v>4.9000000000000004</v>
      </c>
      <c r="L15" s="94">
        <v>9.31</v>
      </c>
      <c r="M15" s="94">
        <v>3.17</v>
      </c>
      <c r="N15" s="94">
        <v>3.46</v>
      </c>
      <c r="O15" s="94">
        <v>3.95</v>
      </c>
      <c r="P15" s="94">
        <v>4.9000000000000004</v>
      </c>
    </row>
    <row r="16" spans="1:16" x14ac:dyDescent="0.25">
      <c r="A16" s="94" t="s">
        <v>366</v>
      </c>
      <c r="B16" s="94">
        <v>-3.52</v>
      </c>
      <c r="C16" s="94">
        <v>-1.85</v>
      </c>
      <c r="D16" s="94">
        <v>-0.93</v>
      </c>
      <c r="E16" s="94">
        <v>-0.78</v>
      </c>
      <c r="F16" s="94">
        <v>-0.78</v>
      </c>
      <c r="G16" s="94">
        <v>-4.12</v>
      </c>
      <c r="H16" s="94">
        <v>3.25</v>
      </c>
      <c r="I16" s="94">
        <v>2.59</v>
      </c>
      <c r="J16" s="94">
        <v>-1.85</v>
      </c>
      <c r="K16" s="94">
        <v>-0.78</v>
      </c>
      <c r="L16" s="94">
        <v>-3.52</v>
      </c>
      <c r="M16" s="94">
        <v>-0.18</v>
      </c>
      <c r="N16" s="94">
        <v>0.87</v>
      </c>
      <c r="O16" s="94">
        <v>-0.32</v>
      </c>
      <c r="P16" s="94">
        <v>-0.78</v>
      </c>
    </row>
    <row r="17" spans="1:16" x14ac:dyDescent="0.25">
      <c r="A17" s="94" t="s">
        <v>363</v>
      </c>
      <c r="B17" s="94">
        <v>9.7200000000000006</v>
      </c>
      <c r="C17" s="94">
        <v>4.6900000000000004</v>
      </c>
      <c r="D17" s="94">
        <v>4.24</v>
      </c>
      <c r="E17" s="94">
        <v>6.82</v>
      </c>
      <c r="F17" s="94">
        <v>6.82</v>
      </c>
      <c r="G17" s="94">
        <v>0.83</v>
      </c>
      <c r="H17" s="94">
        <v>-6.41</v>
      </c>
      <c r="I17" s="94">
        <v>9.69</v>
      </c>
      <c r="J17" s="94">
        <v>10.34</v>
      </c>
      <c r="K17" s="94">
        <v>6.82</v>
      </c>
      <c r="L17" s="94">
        <v>9.7200000000000006</v>
      </c>
      <c r="M17" s="94">
        <v>-0.19</v>
      </c>
      <c r="N17" s="94">
        <v>3.41</v>
      </c>
      <c r="O17" s="94">
        <v>14.21</v>
      </c>
      <c r="P17" s="94">
        <v>6.82</v>
      </c>
    </row>
    <row r="18" spans="1:16" x14ac:dyDescent="0.25">
      <c r="A18" s="94" t="s">
        <v>360</v>
      </c>
      <c r="B18" s="94">
        <v>34.36</v>
      </c>
      <c r="C18" s="94">
        <v>21.57</v>
      </c>
      <c r="D18" s="94">
        <v>14.89</v>
      </c>
      <c r="E18" s="94">
        <v>8.3000000000000007</v>
      </c>
      <c r="F18" s="94">
        <v>8.3000000000000007</v>
      </c>
      <c r="G18" s="94">
        <v>-3.88</v>
      </c>
      <c r="H18" s="94">
        <v>-2.17</v>
      </c>
      <c r="I18" s="94">
        <v>0.54</v>
      </c>
      <c r="J18" s="94">
        <v>-2.71</v>
      </c>
      <c r="K18" s="94">
        <v>8.3000000000000007</v>
      </c>
      <c r="L18" s="94">
        <v>34.36</v>
      </c>
      <c r="M18" s="94">
        <v>10.79</v>
      </c>
      <c r="N18" s="94">
        <v>3.46</v>
      </c>
      <c r="O18" s="94">
        <v>-8.02</v>
      </c>
      <c r="P18" s="94">
        <v>8.3000000000000007</v>
      </c>
    </row>
    <row r="19" spans="1:16" x14ac:dyDescent="0.25">
      <c r="A19" s="94" t="s">
        <v>357</v>
      </c>
      <c r="B19" s="94">
        <v>7.25</v>
      </c>
      <c r="C19" s="94">
        <v>6.98</v>
      </c>
      <c r="D19" s="94">
        <v>7.01</v>
      </c>
      <c r="E19" s="94">
        <v>6.27</v>
      </c>
      <c r="F19" s="94">
        <v>6.27</v>
      </c>
      <c r="G19" s="94">
        <v>-4.8099999999999996</v>
      </c>
      <c r="H19" s="94">
        <v>-1.78</v>
      </c>
      <c r="I19" s="94">
        <v>7.93</v>
      </c>
      <c r="J19" s="94">
        <v>3.31</v>
      </c>
      <c r="K19" s="94">
        <v>6.27</v>
      </c>
      <c r="L19" s="94">
        <v>7.25</v>
      </c>
      <c r="M19" s="94">
        <v>6.71</v>
      </c>
      <c r="N19" s="94">
        <v>7.06</v>
      </c>
      <c r="O19" s="94">
        <v>4.26</v>
      </c>
      <c r="P19" s="94">
        <v>6.27</v>
      </c>
    </row>
    <row r="20" spans="1:16" x14ac:dyDescent="0.25">
      <c r="A20" s="94" t="s">
        <v>353</v>
      </c>
      <c r="B20" s="94">
        <v>4.13</v>
      </c>
      <c r="C20" s="94">
        <v>4.04</v>
      </c>
      <c r="D20" s="94">
        <v>4.2699999999999996</v>
      </c>
      <c r="E20" s="94">
        <v>4.43</v>
      </c>
      <c r="F20" s="94">
        <v>4.43</v>
      </c>
      <c r="G20" s="94">
        <v>-0.35</v>
      </c>
      <c r="H20" s="94">
        <v>0.3</v>
      </c>
      <c r="I20" s="94">
        <v>4.24</v>
      </c>
      <c r="J20" s="94">
        <v>0.68</v>
      </c>
      <c r="K20" s="94">
        <v>4.43</v>
      </c>
      <c r="L20" s="94">
        <v>4.13</v>
      </c>
      <c r="M20" s="94">
        <v>3.95</v>
      </c>
      <c r="N20" s="94">
        <v>4.72</v>
      </c>
      <c r="O20" s="94">
        <v>4.8899999999999997</v>
      </c>
      <c r="P20" s="94">
        <v>4.43</v>
      </c>
    </row>
    <row r="21" spans="1:16" x14ac:dyDescent="0.25">
      <c r="A21" s="94" t="s">
        <v>351</v>
      </c>
      <c r="B21" s="94">
        <v>-1.41</v>
      </c>
      <c r="C21" s="94">
        <v>-2.14</v>
      </c>
      <c r="D21" s="94">
        <v>-0.26</v>
      </c>
      <c r="E21" s="94">
        <v>1.04</v>
      </c>
      <c r="F21" s="94">
        <v>1.04</v>
      </c>
      <c r="G21" s="94">
        <v>-8.36</v>
      </c>
      <c r="H21" s="94">
        <v>6.06</v>
      </c>
      <c r="I21" s="94">
        <v>5.28</v>
      </c>
      <c r="J21" s="94">
        <v>2.44</v>
      </c>
      <c r="K21" s="94">
        <v>1.04</v>
      </c>
      <c r="L21" s="94">
        <v>-1.41</v>
      </c>
      <c r="M21" s="94">
        <v>-2.82</v>
      </c>
      <c r="N21" s="94">
        <v>3.41</v>
      </c>
      <c r="O21" s="94">
        <v>4.82</v>
      </c>
      <c r="P21" s="94">
        <v>1.04</v>
      </c>
    </row>
    <row r="22" spans="1:16" x14ac:dyDescent="0.25">
      <c r="A22" s="94" t="s">
        <v>348</v>
      </c>
      <c r="B22" s="94">
        <v>4.6399999999999997</v>
      </c>
      <c r="C22" s="94">
        <v>4.6399999999999997</v>
      </c>
      <c r="D22" s="94">
        <v>4.71</v>
      </c>
      <c r="E22" s="94">
        <v>4.75</v>
      </c>
      <c r="F22" s="94">
        <v>4.75</v>
      </c>
      <c r="G22" s="94">
        <v>0.42</v>
      </c>
      <c r="H22" s="94">
        <v>-0.21</v>
      </c>
      <c r="I22" s="94">
        <v>4.1399999999999997</v>
      </c>
      <c r="J22" s="94">
        <v>0.51</v>
      </c>
      <c r="K22" s="94">
        <v>4.75</v>
      </c>
      <c r="L22" s="94">
        <v>4.6399999999999997</v>
      </c>
      <c r="M22" s="94">
        <v>4.63</v>
      </c>
      <c r="N22" s="94">
        <v>4.84</v>
      </c>
      <c r="O22" s="94">
        <v>4.8899999999999997</v>
      </c>
      <c r="P22" s="94">
        <v>4.75</v>
      </c>
    </row>
    <row r="23" spans="1:16" x14ac:dyDescent="0.25">
      <c r="A23" s="94" t="s">
        <v>345</v>
      </c>
      <c r="B23" s="94">
        <v>5.87</v>
      </c>
      <c r="C23" s="94">
        <v>5.7</v>
      </c>
      <c r="D23" s="94">
        <v>5.74</v>
      </c>
      <c r="E23" s="94">
        <v>5.9</v>
      </c>
      <c r="F23" s="94">
        <v>5.9</v>
      </c>
      <c r="G23" s="94">
        <v>0.49</v>
      </c>
      <c r="H23" s="94">
        <v>1.29</v>
      </c>
      <c r="I23" s="94">
        <v>3.6</v>
      </c>
      <c r="J23" s="94">
        <v>0.85</v>
      </c>
      <c r="K23" s="94">
        <v>5.9</v>
      </c>
      <c r="L23" s="94">
        <v>5.87</v>
      </c>
      <c r="M23" s="94">
        <v>5.53</v>
      </c>
      <c r="N23" s="94">
        <v>5.82</v>
      </c>
      <c r="O23" s="94">
        <v>6.35</v>
      </c>
      <c r="P23" s="94">
        <v>5.9</v>
      </c>
    </row>
    <row r="24" spans="1:16" x14ac:dyDescent="0.25">
      <c r="A24" s="94" t="s">
        <v>342</v>
      </c>
      <c r="B24" s="94">
        <v>7.63</v>
      </c>
      <c r="C24" s="94">
        <v>6.35</v>
      </c>
      <c r="D24" s="94">
        <v>4.07</v>
      </c>
      <c r="E24" s="94">
        <v>3.49</v>
      </c>
      <c r="F24" s="94">
        <v>3.49</v>
      </c>
      <c r="G24" s="94">
        <v>-3.74</v>
      </c>
      <c r="H24" s="94">
        <v>-3.7</v>
      </c>
      <c r="I24" s="94">
        <v>8.39</v>
      </c>
      <c r="J24" s="94">
        <v>1.41</v>
      </c>
      <c r="K24" s="94">
        <v>3.49</v>
      </c>
      <c r="L24" s="94">
        <v>7.63</v>
      </c>
      <c r="M24" s="94">
        <v>5.05</v>
      </c>
      <c r="N24" s="94">
        <v>0.03</v>
      </c>
      <c r="O24" s="94">
        <v>1.89</v>
      </c>
      <c r="P24" s="94">
        <v>3.49</v>
      </c>
    </row>
    <row r="25" spans="1:16" x14ac:dyDescent="0.25">
      <c r="A25" s="94" t="s">
        <v>339</v>
      </c>
      <c r="B25" s="94">
        <v>2.64</v>
      </c>
      <c r="C25" s="94">
        <v>1.3</v>
      </c>
      <c r="D25" s="94">
        <v>3.32</v>
      </c>
      <c r="E25" s="94">
        <v>4.26</v>
      </c>
      <c r="F25" s="94">
        <v>4.26</v>
      </c>
      <c r="G25" s="94">
        <v>5.92</v>
      </c>
      <c r="H25" s="94">
        <v>-2.63</v>
      </c>
      <c r="I25" s="94">
        <v>5.37</v>
      </c>
      <c r="J25" s="94">
        <v>-1.38</v>
      </c>
      <c r="K25" s="94">
        <v>4.26</v>
      </c>
      <c r="L25" s="94">
        <v>2.64</v>
      </c>
      <c r="M25" s="94">
        <v>-0.03</v>
      </c>
      <c r="N25" s="94">
        <v>7.43</v>
      </c>
      <c r="O25" s="94">
        <v>7.17</v>
      </c>
      <c r="P25" s="94">
        <v>4.26</v>
      </c>
    </row>
    <row r="26" spans="1:16" x14ac:dyDescent="0.25">
      <c r="A26" s="94" t="s">
        <v>336</v>
      </c>
      <c r="B26" s="94">
        <v>5.9</v>
      </c>
      <c r="C26" s="94">
        <v>3.92</v>
      </c>
      <c r="D26" s="94">
        <v>6.01</v>
      </c>
      <c r="E26" s="94">
        <v>6.83</v>
      </c>
      <c r="F26" s="94">
        <v>6.83</v>
      </c>
      <c r="G26" s="94">
        <v>0.82</v>
      </c>
      <c r="H26" s="94">
        <v>-4.0599999999999996</v>
      </c>
      <c r="I26" s="94">
        <v>9.3699999999999992</v>
      </c>
      <c r="J26" s="94">
        <v>3.19</v>
      </c>
      <c r="K26" s="94">
        <v>6.83</v>
      </c>
      <c r="L26" s="94">
        <v>5.9</v>
      </c>
      <c r="M26" s="94">
        <v>1.93</v>
      </c>
      <c r="N26" s="94">
        <v>10.15</v>
      </c>
      <c r="O26" s="94">
        <v>9.16</v>
      </c>
      <c r="P26" s="94">
        <v>6.83</v>
      </c>
    </row>
    <row r="27" spans="1:16" x14ac:dyDescent="0.25">
      <c r="A27" s="94" t="s">
        <v>333</v>
      </c>
      <c r="B27" s="94">
        <v>3.97</v>
      </c>
      <c r="C27" s="94">
        <v>4.04</v>
      </c>
      <c r="D27" s="94">
        <v>3.73</v>
      </c>
      <c r="E27" s="94">
        <v>2.79</v>
      </c>
      <c r="F27" s="94">
        <v>2.79</v>
      </c>
      <c r="G27" s="94">
        <v>-0.18</v>
      </c>
      <c r="H27" s="94">
        <v>0.12</v>
      </c>
      <c r="I27" s="94">
        <v>4.62</v>
      </c>
      <c r="J27" s="94">
        <v>-4.3099999999999996</v>
      </c>
      <c r="K27" s="94">
        <v>2.79</v>
      </c>
      <c r="L27" s="94">
        <v>3.97</v>
      </c>
      <c r="M27" s="94">
        <v>4.12</v>
      </c>
      <c r="N27" s="94">
        <v>3.13</v>
      </c>
      <c r="O27" s="94">
        <v>0.04</v>
      </c>
      <c r="P27" s="94">
        <v>2.79</v>
      </c>
    </row>
    <row r="28" spans="1:16" x14ac:dyDescent="0.25">
      <c r="A28" s="94" t="s">
        <v>330</v>
      </c>
      <c r="B28" s="94">
        <v>6.13</v>
      </c>
      <c r="C28" s="94">
        <v>3.03</v>
      </c>
      <c r="D28" s="94">
        <v>2.93</v>
      </c>
      <c r="E28" s="94">
        <v>2.61</v>
      </c>
      <c r="F28" s="94">
        <v>2.61</v>
      </c>
      <c r="G28" s="94">
        <v>0.95</v>
      </c>
      <c r="H28" s="94">
        <v>-2.94</v>
      </c>
      <c r="I28" s="94">
        <v>5.79</v>
      </c>
      <c r="J28" s="94">
        <v>-1.92</v>
      </c>
      <c r="K28" s="94">
        <v>2.61</v>
      </c>
      <c r="L28" s="94">
        <v>6.13</v>
      </c>
      <c r="M28" s="94">
        <v>0.03</v>
      </c>
      <c r="N28" s="94">
        <v>2.74</v>
      </c>
      <c r="O28" s="94">
        <v>1.67</v>
      </c>
      <c r="P28" s="94">
        <v>2.61</v>
      </c>
    </row>
    <row r="29" spans="1:16" x14ac:dyDescent="0.25">
      <c r="A29" s="94" t="s">
        <v>327</v>
      </c>
      <c r="B29" s="94">
        <v>8.1</v>
      </c>
      <c r="C29" s="94">
        <v>8.06</v>
      </c>
      <c r="D29" s="94">
        <v>6.33</v>
      </c>
      <c r="E29" s="94">
        <v>5.86</v>
      </c>
      <c r="F29" s="94">
        <v>5.86</v>
      </c>
      <c r="G29" s="94">
        <v>3.8</v>
      </c>
      <c r="H29" s="94">
        <v>-1.33</v>
      </c>
      <c r="I29" s="94">
        <v>1.54</v>
      </c>
      <c r="J29" s="94">
        <v>0.45</v>
      </c>
      <c r="K29" s="94">
        <v>5.86</v>
      </c>
      <c r="L29" s="94">
        <v>8.1</v>
      </c>
      <c r="M29" s="94">
        <v>8.01</v>
      </c>
      <c r="N29" s="94">
        <v>3.08</v>
      </c>
      <c r="O29" s="94">
        <v>4.47</v>
      </c>
      <c r="P29" s="94">
        <v>5.86</v>
      </c>
    </row>
    <row r="30" spans="1:16" x14ac:dyDescent="0.25">
      <c r="A30" s="94" t="s">
        <v>324</v>
      </c>
      <c r="B30" s="94">
        <v>-5.24</v>
      </c>
      <c r="C30" s="94">
        <v>-1.64</v>
      </c>
      <c r="D30" s="94">
        <v>0.03</v>
      </c>
      <c r="E30" s="94">
        <v>1.75</v>
      </c>
      <c r="F30" s="94">
        <v>1.75</v>
      </c>
      <c r="G30" s="94">
        <v>0.39</v>
      </c>
      <c r="H30" s="94">
        <v>2.92</v>
      </c>
      <c r="I30" s="94">
        <v>0.61</v>
      </c>
      <c r="J30" s="94">
        <v>2.96</v>
      </c>
      <c r="K30" s="94">
        <v>1.75</v>
      </c>
      <c r="L30" s="94">
        <v>-5.24</v>
      </c>
      <c r="M30" s="94">
        <v>2.13</v>
      </c>
      <c r="N30" s="94">
        <v>3.46</v>
      </c>
      <c r="O30" s="94">
        <v>7.03</v>
      </c>
      <c r="P30" s="94">
        <v>1.75</v>
      </c>
    </row>
    <row r="31" spans="1:16" x14ac:dyDescent="0.25">
      <c r="A31" s="94" t="s">
        <v>321</v>
      </c>
      <c r="B31" s="94">
        <v>9.98</v>
      </c>
      <c r="C31" s="94">
        <v>4.8499999999999996</v>
      </c>
      <c r="D31" s="94">
        <v>1.63</v>
      </c>
      <c r="E31" s="94">
        <v>-0.6</v>
      </c>
      <c r="F31" s="94">
        <v>-0.6</v>
      </c>
      <c r="G31" s="94">
        <v>-9.7100000000000009</v>
      </c>
      <c r="H31" s="94">
        <v>-6.2</v>
      </c>
      <c r="I31" s="94">
        <v>11.26</v>
      </c>
      <c r="J31" s="94">
        <v>-0.79</v>
      </c>
      <c r="K31" s="94">
        <v>-0.6</v>
      </c>
      <c r="L31" s="94">
        <v>9.98</v>
      </c>
      <c r="M31" s="94">
        <v>-0.12</v>
      </c>
      <c r="N31" s="94">
        <v>-3.86</v>
      </c>
      <c r="O31" s="94">
        <v>-6.51</v>
      </c>
      <c r="P31" s="94">
        <v>-0.6</v>
      </c>
    </row>
    <row r="32" spans="1:16" x14ac:dyDescent="0.25">
      <c r="A32" s="94" t="s">
        <v>318</v>
      </c>
      <c r="B32" s="94">
        <v>16.57</v>
      </c>
      <c r="C32" s="94">
        <v>17.34</v>
      </c>
      <c r="D32" s="94">
        <v>15.59</v>
      </c>
      <c r="E32" s="94">
        <v>13.34</v>
      </c>
      <c r="F32" s="94">
        <v>13.34</v>
      </c>
      <c r="G32" s="94">
        <v>-1.97</v>
      </c>
      <c r="H32" s="94">
        <v>5.94</v>
      </c>
      <c r="I32" s="94">
        <v>0.9</v>
      </c>
      <c r="J32" s="94">
        <v>2.4700000000000002</v>
      </c>
      <c r="K32" s="94">
        <v>13.34</v>
      </c>
      <c r="L32" s="94">
        <v>16.57</v>
      </c>
      <c r="M32" s="94">
        <v>18.07</v>
      </c>
      <c r="N32" s="94">
        <v>12.36</v>
      </c>
      <c r="O32" s="94">
        <v>7.36</v>
      </c>
      <c r="P32" s="94">
        <v>13.34</v>
      </c>
    </row>
    <row r="33" spans="1:16" x14ac:dyDescent="0.25">
      <c r="A33" s="94" t="s">
        <v>315</v>
      </c>
      <c r="B33" s="94">
        <v>2.78</v>
      </c>
      <c r="C33" s="94">
        <v>3.45</v>
      </c>
      <c r="D33" s="94">
        <v>4.75</v>
      </c>
      <c r="E33" s="94">
        <v>6.16</v>
      </c>
      <c r="F33" s="94">
        <v>6.16</v>
      </c>
      <c r="G33" s="94">
        <v>-1.7</v>
      </c>
      <c r="H33" s="94">
        <v>3.14</v>
      </c>
      <c r="I33" s="94">
        <v>4.41</v>
      </c>
      <c r="J33" s="94">
        <v>4.18</v>
      </c>
      <c r="K33" s="94">
        <v>6.16</v>
      </c>
      <c r="L33" s="94">
        <v>2.78</v>
      </c>
      <c r="M33" s="94">
        <v>4.1100000000000003</v>
      </c>
      <c r="N33" s="94">
        <v>7.29</v>
      </c>
      <c r="O33" s="94">
        <v>10.28</v>
      </c>
      <c r="P33" s="94">
        <v>6.16</v>
      </c>
    </row>
    <row r="34" spans="1:16" x14ac:dyDescent="0.25">
      <c r="A34" s="94" t="s">
        <v>312</v>
      </c>
      <c r="B34" s="94">
        <v>-1.34</v>
      </c>
      <c r="C34" s="94">
        <v>-1.57</v>
      </c>
      <c r="D34" s="94">
        <v>-0.13</v>
      </c>
      <c r="E34" s="94">
        <v>-0.42</v>
      </c>
      <c r="F34" s="94">
        <v>-0.42</v>
      </c>
      <c r="G34" s="94">
        <v>0.46</v>
      </c>
      <c r="H34" s="94">
        <v>-1.37</v>
      </c>
      <c r="I34" s="94">
        <v>12.7</v>
      </c>
      <c r="J34" s="94">
        <v>-11.61</v>
      </c>
      <c r="K34" s="94">
        <v>-0.42</v>
      </c>
      <c r="L34" s="94">
        <v>-1.34</v>
      </c>
      <c r="M34" s="94">
        <v>-1.8</v>
      </c>
      <c r="N34" s="94">
        <v>2.5499999999999998</v>
      </c>
      <c r="O34" s="94">
        <v>-1.3</v>
      </c>
      <c r="P34" s="94">
        <v>-0.42</v>
      </c>
    </row>
    <row r="35" spans="1:16" x14ac:dyDescent="0.25">
      <c r="A35" s="94" t="s">
        <v>309</v>
      </c>
      <c r="B35" s="94">
        <v>-5.26</v>
      </c>
      <c r="C35" s="94">
        <v>-3.52</v>
      </c>
      <c r="D35" s="94">
        <v>-2.39</v>
      </c>
      <c r="E35" s="94">
        <v>-2.1</v>
      </c>
      <c r="F35" s="94">
        <v>-2.1</v>
      </c>
      <c r="G35" s="94">
        <v>2.64</v>
      </c>
      <c r="H35" s="94">
        <v>-6.69</v>
      </c>
      <c r="I35" s="94">
        <v>5.19</v>
      </c>
      <c r="J35" s="94">
        <v>-1.98</v>
      </c>
      <c r="K35" s="94">
        <v>-2.1</v>
      </c>
      <c r="L35" s="94">
        <v>-5.26</v>
      </c>
      <c r="M35" s="94">
        <v>-1.58</v>
      </c>
      <c r="N35" s="94">
        <v>-7.0000000000000007E-2</v>
      </c>
      <c r="O35" s="94">
        <v>-1.25</v>
      </c>
      <c r="P35" s="94">
        <v>-2.1</v>
      </c>
    </row>
    <row r="36" spans="1:16" x14ac:dyDescent="0.25">
      <c r="A36" s="94" t="s">
        <v>306</v>
      </c>
      <c r="B36" s="94">
        <v>1.66</v>
      </c>
      <c r="C36" s="94">
        <v>0.5</v>
      </c>
      <c r="D36" s="94">
        <v>2.56</v>
      </c>
      <c r="E36" s="94">
        <v>2.0699999999999998</v>
      </c>
      <c r="F36" s="94">
        <v>2.0699999999999998</v>
      </c>
      <c r="G36" s="94">
        <v>-4.33</v>
      </c>
      <c r="H36" s="94">
        <v>-2.81</v>
      </c>
      <c r="I36" s="94">
        <v>5.58</v>
      </c>
      <c r="J36" s="94">
        <v>2.58</v>
      </c>
      <c r="K36" s="94">
        <v>2.0699999999999998</v>
      </c>
      <c r="L36" s="94">
        <v>1.66</v>
      </c>
      <c r="M36" s="94">
        <v>-0.66</v>
      </c>
      <c r="N36" s="94">
        <v>6.76</v>
      </c>
      <c r="O36" s="94">
        <v>0.7</v>
      </c>
      <c r="P36" s="94">
        <v>2.0699999999999998</v>
      </c>
    </row>
    <row r="37" spans="1:16" x14ac:dyDescent="0.25">
      <c r="A37" s="94" t="s">
        <v>303</v>
      </c>
      <c r="B37" s="94">
        <v>2.68</v>
      </c>
      <c r="C37" s="94">
        <v>4.04</v>
      </c>
      <c r="D37" s="94">
        <v>3.77</v>
      </c>
      <c r="E37" s="94">
        <v>3.54</v>
      </c>
      <c r="F37" s="94">
        <v>3.54</v>
      </c>
      <c r="G37" s="94">
        <v>1.1100000000000001</v>
      </c>
      <c r="H37" s="94">
        <v>0.94</v>
      </c>
      <c r="I37" s="94">
        <v>1.44</v>
      </c>
      <c r="J37" s="94">
        <v>-0.64</v>
      </c>
      <c r="K37" s="94">
        <v>3.54</v>
      </c>
      <c r="L37" s="94">
        <v>2.68</v>
      </c>
      <c r="M37" s="94">
        <v>5.43</v>
      </c>
      <c r="N37" s="94">
        <v>3.25</v>
      </c>
      <c r="O37" s="94">
        <v>2.86</v>
      </c>
      <c r="P37" s="94">
        <v>3.54</v>
      </c>
    </row>
    <row r="38" spans="1:16" x14ac:dyDescent="0.25">
      <c r="A38" s="94" t="s">
        <v>299</v>
      </c>
      <c r="B38" s="94">
        <v>5.35</v>
      </c>
      <c r="C38" s="94">
        <v>5.37</v>
      </c>
      <c r="D38" s="94">
        <v>5.25</v>
      </c>
      <c r="E38" s="94">
        <v>4.7699999999999996</v>
      </c>
      <c r="F38" s="94">
        <v>4.7699999999999996</v>
      </c>
      <c r="G38" s="94">
        <v>-2.4700000000000002</v>
      </c>
      <c r="H38" s="94">
        <v>1.46</v>
      </c>
      <c r="I38" s="94">
        <v>3.42</v>
      </c>
      <c r="J38" s="94">
        <v>1.07</v>
      </c>
      <c r="K38" s="94">
        <v>4.7699999999999996</v>
      </c>
      <c r="L38" s="94">
        <v>5.35</v>
      </c>
      <c r="M38" s="94">
        <v>5.39</v>
      </c>
      <c r="N38" s="94">
        <v>5.0199999999999996</v>
      </c>
      <c r="O38" s="94">
        <v>3.42</v>
      </c>
      <c r="P38" s="94">
        <v>4.7699999999999996</v>
      </c>
    </row>
    <row r="39" spans="1:16" x14ac:dyDescent="0.25">
      <c r="A39" s="94" t="s">
        <v>297</v>
      </c>
      <c r="B39" s="94">
        <v>7.78</v>
      </c>
      <c r="C39" s="94">
        <v>7.42</v>
      </c>
      <c r="D39" s="94">
        <v>7.14</v>
      </c>
      <c r="E39" s="94">
        <v>6.47</v>
      </c>
      <c r="F39" s="94">
        <v>6.47</v>
      </c>
      <c r="G39" s="94">
        <v>-2.06</v>
      </c>
      <c r="H39" s="94">
        <v>1.97</v>
      </c>
      <c r="I39" s="94">
        <v>3.01</v>
      </c>
      <c r="J39" s="94">
        <v>1.65</v>
      </c>
      <c r="K39" s="94">
        <v>6.47</v>
      </c>
      <c r="L39" s="94">
        <v>7.78</v>
      </c>
      <c r="M39" s="94">
        <v>7.07</v>
      </c>
      <c r="N39" s="94">
        <v>6.61</v>
      </c>
      <c r="O39" s="94">
        <v>4.59</v>
      </c>
      <c r="P39" s="94">
        <v>6.47</v>
      </c>
    </row>
    <row r="40" spans="1:16" x14ac:dyDescent="0.25">
      <c r="A40" s="94" t="s">
        <v>294</v>
      </c>
      <c r="B40" s="94">
        <v>-13.34</v>
      </c>
      <c r="C40" s="94">
        <v>-11.29</v>
      </c>
      <c r="D40" s="94">
        <v>-10.25</v>
      </c>
      <c r="E40" s="94">
        <v>-9.51</v>
      </c>
      <c r="F40" s="94">
        <v>-9.51</v>
      </c>
      <c r="G40" s="94">
        <v>-6.27</v>
      </c>
      <c r="H40" s="94">
        <v>-3.46</v>
      </c>
      <c r="I40" s="94">
        <v>7.48</v>
      </c>
      <c r="J40" s="94">
        <v>-4.58</v>
      </c>
      <c r="K40" s="94">
        <v>-9.51</v>
      </c>
      <c r="L40" s="94">
        <v>-13.34</v>
      </c>
      <c r="M40" s="94">
        <v>-9.0500000000000007</v>
      </c>
      <c r="N40" s="94">
        <v>-8.1999999999999993</v>
      </c>
      <c r="O40" s="94">
        <v>-7.2</v>
      </c>
      <c r="P40" s="94">
        <v>-9.51</v>
      </c>
    </row>
    <row r="41" spans="1:16" x14ac:dyDescent="0.25">
      <c r="A41" s="94" t="s">
        <v>290</v>
      </c>
      <c r="B41" s="94">
        <v>4.4400000000000004</v>
      </c>
      <c r="C41" s="94">
        <v>2.61</v>
      </c>
      <c r="D41" s="94">
        <v>1.74</v>
      </c>
      <c r="E41" s="94">
        <v>1.57</v>
      </c>
      <c r="F41" s="94">
        <v>1.57</v>
      </c>
      <c r="G41" s="94">
        <v>-0.76</v>
      </c>
      <c r="H41" s="94">
        <v>0.3</v>
      </c>
      <c r="I41" s="94">
        <v>-0.94</v>
      </c>
      <c r="J41" s="94">
        <v>2.5</v>
      </c>
      <c r="K41" s="94">
        <v>1.57</v>
      </c>
      <c r="L41" s="94">
        <v>4.4400000000000004</v>
      </c>
      <c r="M41" s="94">
        <v>0.85</v>
      </c>
      <c r="N41" s="94">
        <v>0.04</v>
      </c>
      <c r="O41" s="94">
        <v>1.06</v>
      </c>
      <c r="P41" s="94">
        <v>1.57</v>
      </c>
    </row>
    <row r="42" spans="1:16" x14ac:dyDescent="0.25">
      <c r="A42" s="94" t="s">
        <v>288</v>
      </c>
      <c r="B42" s="94">
        <v>7.59</v>
      </c>
      <c r="C42" s="94">
        <v>7.44</v>
      </c>
      <c r="D42" s="94">
        <v>7.46</v>
      </c>
      <c r="E42" s="94">
        <v>7.02</v>
      </c>
      <c r="F42" s="94">
        <v>7.02</v>
      </c>
      <c r="G42" s="94">
        <v>-2.57</v>
      </c>
      <c r="H42" s="94">
        <v>-1.72</v>
      </c>
      <c r="I42" s="94">
        <v>6.06</v>
      </c>
      <c r="J42" s="94">
        <v>4.1900000000000004</v>
      </c>
      <c r="K42" s="94">
        <v>7.02</v>
      </c>
      <c r="L42" s="94">
        <v>7.59</v>
      </c>
      <c r="M42" s="94">
        <v>7.29</v>
      </c>
      <c r="N42" s="94">
        <v>7.48</v>
      </c>
      <c r="O42" s="94">
        <v>5.81</v>
      </c>
      <c r="P42" s="94">
        <v>7.02</v>
      </c>
    </row>
    <row r="43" spans="1:16" x14ac:dyDescent="0.25">
      <c r="A43" s="94" t="s">
        <v>286</v>
      </c>
      <c r="B43" s="94">
        <v>4.58</v>
      </c>
      <c r="C43" s="94">
        <v>4.7300000000000004</v>
      </c>
      <c r="D43" s="94">
        <v>4.7699999999999996</v>
      </c>
      <c r="E43" s="94">
        <v>4.8899999999999997</v>
      </c>
      <c r="F43" s="94">
        <v>4.8899999999999997</v>
      </c>
      <c r="G43" s="94">
        <v>0.12</v>
      </c>
      <c r="H43" s="94">
        <v>2.81</v>
      </c>
      <c r="I43" s="94">
        <v>2.13</v>
      </c>
      <c r="J43" s="94">
        <v>0.1</v>
      </c>
      <c r="K43" s="94">
        <v>4.8899999999999997</v>
      </c>
      <c r="L43" s="94">
        <v>4.58</v>
      </c>
      <c r="M43" s="94">
        <v>4.87</v>
      </c>
      <c r="N43" s="94">
        <v>4.8499999999999996</v>
      </c>
      <c r="O43" s="94">
        <v>5.23</v>
      </c>
      <c r="P43" s="94">
        <v>4.8899999999999997</v>
      </c>
    </row>
    <row r="44" spans="1:16" x14ac:dyDescent="0.25">
      <c r="A44" s="94" t="s">
        <v>284</v>
      </c>
      <c r="B44" s="94">
        <v>-0.1</v>
      </c>
      <c r="C44" s="94">
        <v>-0.06</v>
      </c>
      <c r="D44" s="94">
        <v>-0.01</v>
      </c>
      <c r="E44" s="94">
        <v>-0.04</v>
      </c>
      <c r="F44" s="94">
        <v>-0.04</v>
      </c>
      <c r="G44" s="94">
        <v>0.36</v>
      </c>
      <c r="H44" s="94">
        <v>-2.76</v>
      </c>
      <c r="I44" s="94">
        <v>2.95</v>
      </c>
      <c r="J44" s="94">
        <v>-0.6</v>
      </c>
      <c r="K44" s="94">
        <v>-0.04</v>
      </c>
      <c r="L44" s="94">
        <v>-0.1</v>
      </c>
      <c r="M44" s="94">
        <v>-0.03</v>
      </c>
      <c r="N44" s="94">
        <v>0.11</v>
      </c>
      <c r="O44" s="94">
        <v>-0.12</v>
      </c>
      <c r="P44" s="94">
        <v>-0.04</v>
      </c>
    </row>
    <row r="45" spans="1:16" x14ac:dyDescent="0.25">
      <c r="A45" s="94" t="s">
        <v>281</v>
      </c>
      <c r="B45" s="94">
        <v>5.67</v>
      </c>
      <c r="C45" s="94">
        <v>5.8</v>
      </c>
      <c r="D45" s="94">
        <v>5.83</v>
      </c>
      <c r="E45" s="94">
        <v>5.98</v>
      </c>
      <c r="F45" s="94">
        <v>5.98</v>
      </c>
      <c r="G45" s="94">
        <v>7.0000000000000007E-2</v>
      </c>
      <c r="H45" s="94">
        <v>4.0199999999999996</v>
      </c>
      <c r="I45" s="94">
        <v>1.96</v>
      </c>
      <c r="J45" s="94">
        <v>0.25</v>
      </c>
      <c r="K45" s="94">
        <v>5.98</v>
      </c>
      <c r="L45" s="94">
        <v>5.67</v>
      </c>
      <c r="M45" s="94">
        <v>5.93</v>
      </c>
      <c r="N45" s="94">
        <v>5.88</v>
      </c>
      <c r="O45" s="94">
        <v>6.4</v>
      </c>
      <c r="P45" s="94">
        <v>5.98</v>
      </c>
    </row>
    <row r="46" spans="1:16" x14ac:dyDescent="0.25">
      <c r="A46" s="94" t="s">
        <v>277</v>
      </c>
      <c r="B46" s="94">
        <v>8.66</v>
      </c>
      <c r="C46" s="94">
        <v>9.1199999999999992</v>
      </c>
      <c r="D46" s="94">
        <v>8.9600000000000009</v>
      </c>
      <c r="E46" s="94">
        <v>8.69</v>
      </c>
      <c r="F46" s="94">
        <v>8.69</v>
      </c>
      <c r="G46" s="94">
        <v>-1.62</v>
      </c>
      <c r="H46" s="94">
        <v>7.05</v>
      </c>
      <c r="I46" s="94">
        <v>0.98</v>
      </c>
      <c r="J46" s="94">
        <v>1.47</v>
      </c>
      <c r="K46" s="94">
        <v>8.69</v>
      </c>
      <c r="L46" s="94">
        <v>8.66</v>
      </c>
      <c r="M46" s="94">
        <v>9.56</v>
      </c>
      <c r="N46" s="94">
        <v>8.64</v>
      </c>
      <c r="O46" s="94">
        <v>7.92</v>
      </c>
      <c r="P46" s="94">
        <v>8.69</v>
      </c>
    </row>
    <row r="47" spans="1:16" x14ac:dyDescent="0.25">
      <c r="A47" s="94" t="s">
        <v>275</v>
      </c>
      <c r="B47" s="94">
        <v>18.16</v>
      </c>
      <c r="C47" s="94">
        <v>21.25</v>
      </c>
      <c r="D47" s="94">
        <v>18.77</v>
      </c>
      <c r="E47" s="94">
        <v>18.61</v>
      </c>
      <c r="F47" s="94">
        <v>18.61</v>
      </c>
      <c r="G47" s="94">
        <v>-3.2</v>
      </c>
      <c r="H47" s="94">
        <v>13.23</v>
      </c>
      <c r="I47" s="94">
        <v>-1.33</v>
      </c>
      <c r="J47" s="94">
        <v>9.2799999999999994</v>
      </c>
      <c r="K47" s="94">
        <v>18.61</v>
      </c>
      <c r="L47" s="94">
        <v>18.16</v>
      </c>
      <c r="M47" s="94">
        <v>24.11</v>
      </c>
      <c r="N47" s="94">
        <v>14.31</v>
      </c>
      <c r="O47" s="94">
        <v>18.190000000000001</v>
      </c>
      <c r="P47" s="94">
        <v>18.61</v>
      </c>
    </row>
    <row r="48" spans="1:16" x14ac:dyDescent="0.25">
      <c r="A48" s="94" t="s">
        <v>272</v>
      </c>
      <c r="B48" s="94">
        <v>9.93</v>
      </c>
      <c r="C48" s="94">
        <v>10.1</v>
      </c>
      <c r="D48" s="94">
        <v>10.06</v>
      </c>
      <c r="E48" s="94">
        <v>9.89</v>
      </c>
      <c r="F48" s="94">
        <v>9.89</v>
      </c>
      <c r="G48" s="94">
        <v>-0.03</v>
      </c>
      <c r="H48" s="94">
        <v>5.91</v>
      </c>
      <c r="I48" s="94">
        <v>1.1000000000000001</v>
      </c>
      <c r="J48" s="94">
        <v>2.19</v>
      </c>
      <c r="K48" s="94">
        <v>9.89</v>
      </c>
      <c r="L48" s="94">
        <v>9.93</v>
      </c>
      <c r="M48" s="94">
        <v>10.27</v>
      </c>
      <c r="N48" s="94">
        <v>9.9700000000000006</v>
      </c>
      <c r="O48" s="94">
        <v>9.4</v>
      </c>
      <c r="P48" s="94">
        <v>9.89</v>
      </c>
    </row>
    <row r="49" spans="1:16" x14ac:dyDescent="0.25">
      <c r="A49" s="94" t="s">
        <v>269</v>
      </c>
      <c r="B49" s="94">
        <v>3.99</v>
      </c>
      <c r="C49" s="94">
        <v>3.14</v>
      </c>
      <c r="D49" s="94">
        <v>2.2599999999999998</v>
      </c>
      <c r="E49" s="94">
        <v>2.42</v>
      </c>
      <c r="F49" s="94">
        <v>2.42</v>
      </c>
      <c r="G49" s="94">
        <v>-3.76</v>
      </c>
      <c r="H49" s="94">
        <v>2.84</v>
      </c>
      <c r="I49" s="94">
        <v>2.27</v>
      </c>
      <c r="J49" s="94">
        <v>1.63</v>
      </c>
      <c r="K49" s="94">
        <v>2.42</v>
      </c>
      <c r="L49" s="94">
        <v>3.99</v>
      </c>
      <c r="M49" s="94">
        <v>2.33</v>
      </c>
      <c r="N49" s="94">
        <v>0.6</v>
      </c>
      <c r="O49" s="94">
        <v>2.87</v>
      </c>
      <c r="P49" s="94">
        <v>2.42</v>
      </c>
    </row>
    <row r="50" spans="1:16" x14ac:dyDescent="0.25">
      <c r="A50" s="94" t="s">
        <v>266</v>
      </c>
      <c r="B50" s="94">
        <v>5.65</v>
      </c>
      <c r="C50" s="94">
        <v>5.48</v>
      </c>
      <c r="D50" s="94">
        <v>5.07</v>
      </c>
      <c r="E50" s="94">
        <v>4.4400000000000004</v>
      </c>
      <c r="F50" s="94">
        <v>4.4400000000000004</v>
      </c>
      <c r="G50" s="94">
        <v>-2.97</v>
      </c>
      <c r="H50" s="94">
        <v>8.44</v>
      </c>
      <c r="I50" s="94">
        <v>-3.61</v>
      </c>
      <c r="J50" s="94">
        <v>1.18</v>
      </c>
      <c r="K50" s="94">
        <v>4.4400000000000004</v>
      </c>
      <c r="L50" s="94">
        <v>5.65</v>
      </c>
      <c r="M50" s="94">
        <v>5.32</v>
      </c>
      <c r="N50" s="94">
        <v>4.2699999999999996</v>
      </c>
      <c r="O50" s="94">
        <v>2.61</v>
      </c>
      <c r="P50" s="94">
        <v>4.4400000000000004</v>
      </c>
    </row>
    <row r="51" spans="1:16" x14ac:dyDescent="0.25">
      <c r="A51" s="94" t="s">
        <v>263</v>
      </c>
      <c r="B51" s="94">
        <v>4.91</v>
      </c>
      <c r="C51" s="94">
        <v>6.73</v>
      </c>
      <c r="D51" s="94">
        <v>7.61</v>
      </c>
      <c r="E51" s="94">
        <v>6.75</v>
      </c>
      <c r="F51" s="94">
        <v>6.75</v>
      </c>
      <c r="G51" s="94">
        <v>-8.2200000000000006</v>
      </c>
      <c r="H51" s="94">
        <v>13.72</v>
      </c>
      <c r="I51" s="94">
        <v>3.82</v>
      </c>
      <c r="J51" s="94">
        <v>-3.74</v>
      </c>
      <c r="K51" s="94">
        <v>6.75</v>
      </c>
      <c r="L51" s="94">
        <v>4.91</v>
      </c>
      <c r="M51" s="94">
        <v>8.3800000000000008</v>
      </c>
      <c r="N51" s="94">
        <v>9.23</v>
      </c>
      <c r="O51" s="94">
        <v>4.32</v>
      </c>
      <c r="P51" s="94">
        <v>6.75</v>
      </c>
    </row>
    <row r="52" spans="1:16" x14ac:dyDescent="0.25">
      <c r="A52" s="94" t="s">
        <v>260</v>
      </c>
      <c r="B52" s="94">
        <v>9.32</v>
      </c>
      <c r="C52" s="94">
        <v>10.37</v>
      </c>
      <c r="D52" s="94">
        <v>9.6999999999999993</v>
      </c>
      <c r="E52" s="94">
        <v>9.3699999999999992</v>
      </c>
      <c r="F52" s="94">
        <v>9.3699999999999992</v>
      </c>
      <c r="G52" s="94">
        <v>-1.01</v>
      </c>
      <c r="H52" s="94">
        <v>7.75</v>
      </c>
      <c r="I52" s="94">
        <v>-0.54</v>
      </c>
      <c r="J52" s="94">
        <v>2.21</v>
      </c>
      <c r="K52" s="94">
        <v>9.3699999999999992</v>
      </c>
      <c r="L52" s="94">
        <v>9.32</v>
      </c>
      <c r="M52" s="94">
        <v>11.37</v>
      </c>
      <c r="N52" s="94">
        <v>8.43</v>
      </c>
      <c r="O52" s="94">
        <v>8.42</v>
      </c>
      <c r="P52" s="94">
        <v>9.3699999999999992</v>
      </c>
    </row>
    <row r="53" spans="1:16" x14ac:dyDescent="0.25">
      <c r="A53" s="94" t="s">
        <v>256</v>
      </c>
      <c r="B53" s="94">
        <v>9.34</v>
      </c>
      <c r="C53" s="94">
        <v>9.67</v>
      </c>
      <c r="D53" s="94">
        <v>9.17</v>
      </c>
      <c r="E53" s="94">
        <v>8.4600000000000009</v>
      </c>
      <c r="F53" s="94">
        <v>8.4600000000000009</v>
      </c>
      <c r="G53" s="94">
        <v>-0.93</v>
      </c>
      <c r="H53" s="94">
        <v>4.03</v>
      </c>
      <c r="I53" s="94">
        <v>0.44</v>
      </c>
      <c r="J53" s="94">
        <v>2.85</v>
      </c>
      <c r="K53" s="94">
        <v>8.4600000000000009</v>
      </c>
      <c r="L53" s="94">
        <v>9.34</v>
      </c>
      <c r="M53" s="94">
        <v>10</v>
      </c>
      <c r="N53" s="94">
        <v>8.2100000000000009</v>
      </c>
      <c r="O53" s="94">
        <v>6.47</v>
      </c>
      <c r="P53" s="94">
        <v>8.4600000000000009</v>
      </c>
    </row>
    <row r="54" spans="1:16" x14ac:dyDescent="0.25">
      <c r="A54" s="94" t="s">
        <v>254</v>
      </c>
      <c r="B54" s="94">
        <v>8.73</v>
      </c>
      <c r="C54" s="94">
        <v>10.77</v>
      </c>
      <c r="D54" s="94">
        <v>9.75</v>
      </c>
      <c r="E54" s="94">
        <v>8.61</v>
      </c>
      <c r="F54" s="94">
        <v>8.61</v>
      </c>
      <c r="G54" s="94">
        <v>-6.91</v>
      </c>
      <c r="H54" s="94">
        <v>8.73</v>
      </c>
      <c r="I54" s="94">
        <v>2.42</v>
      </c>
      <c r="J54" s="94">
        <v>1.79</v>
      </c>
      <c r="K54" s="94">
        <v>8.61</v>
      </c>
      <c r="L54" s="94">
        <v>8.73</v>
      </c>
      <c r="M54" s="94">
        <v>12.7</v>
      </c>
      <c r="N54" s="94">
        <v>7.89</v>
      </c>
      <c r="O54" s="94">
        <v>5.52</v>
      </c>
      <c r="P54" s="94">
        <v>8.61</v>
      </c>
    </row>
    <row r="55" spans="1:16" x14ac:dyDescent="0.25">
      <c r="A55" s="94" t="s">
        <v>251</v>
      </c>
      <c r="B55" s="94">
        <v>9.48</v>
      </c>
      <c r="C55" s="94">
        <v>9.41</v>
      </c>
      <c r="D55" s="94">
        <v>9.0299999999999994</v>
      </c>
      <c r="E55" s="94">
        <v>8.42</v>
      </c>
      <c r="F55" s="94">
        <v>8.42</v>
      </c>
      <c r="G55" s="94">
        <v>0.59</v>
      </c>
      <c r="H55" s="94">
        <v>2.92</v>
      </c>
      <c r="I55" s="94">
        <v>-0.06</v>
      </c>
      <c r="J55" s="94">
        <v>3.12</v>
      </c>
      <c r="K55" s="94">
        <v>8.42</v>
      </c>
      <c r="L55" s="94">
        <v>9.48</v>
      </c>
      <c r="M55" s="94">
        <v>9.35</v>
      </c>
      <c r="N55" s="94">
        <v>8.2899999999999991</v>
      </c>
      <c r="O55" s="94">
        <v>6.7</v>
      </c>
      <c r="P55" s="94">
        <v>8.42</v>
      </c>
    </row>
    <row r="56" spans="1:16" x14ac:dyDescent="0.25">
      <c r="A56" s="94" t="s">
        <v>248</v>
      </c>
      <c r="B56" s="94">
        <v>8.41</v>
      </c>
      <c r="C56" s="94">
        <v>8.0299999999999994</v>
      </c>
      <c r="D56" s="94">
        <v>7.62</v>
      </c>
      <c r="E56" s="94">
        <v>7.57</v>
      </c>
      <c r="F56" s="94">
        <v>7.57</v>
      </c>
      <c r="G56" s="94">
        <v>1.73</v>
      </c>
      <c r="H56" s="94">
        <v>2.67</v>
      </c>
      <c r="I56" s="94">
        <v>0.51</v>
      </c>
      <c r="J56" s="94">
        <v>2.35</v>
      </c>
      <c r="K56" s="94">
        <v>7.57</v>
      </c>
      <c r="L56" s="94">
        <v>8.41</v>
      </c>
      <c r="M56" s="94">
        <v>7.66</v>
      </c>
      <c r="N56" s="94">
        <v>6.82</v>
      </c>
      <c r="O56" s="94">
        <v>7.45</v>
      </c>
      <c r="P56" s="94">
        <v>7.57</v>
      </c>
    </row>
    <row r="57" spans="1:16" x14ac:dyDescent="0.25">
      <c r="A57" s="94" t="s">
        <v>245</v>
      </c>
      <c r="B57" s="94">
        <v>3.93</v>
      </c>
      <c r="C57" s="94">
        <v>5.9</v>
      </c>
      <c r="D57" s="94">
        <v>5.76</v>
      </c>
      <c r="E57" s="94">
        <v>4.74</v>
      </c>
      <c r="F57" s="94">
        <v>4.74</v>
      </c>
      <c r="G57" s="94">
        <v>2.27</v>
      </c>
      <c r="H57" s="94">
        <v>2.25</v>
      </c>
      <c r="I57" s="94">
        <v>-1.81</v>
      </c>
      <c r="J57" s="94">
        <v>-0.91</v>
      </c>
      <c r="K57" s="94">
        <v>4.74</v>
      </c>
      <c r="L57" s="94">
        <v>3.93</v>
      </c>
      <c r="M57" s="94">
        <v>7.9</v>
      </c>
      <c r="N57" s="94">
        <v>5.49</v>
      </c>
      <c r="O57" s="94">
        <v>1.74</v>
      </c>
      <c r="P57" s="94">
        <v>4.74</v>
      </c>
    </row>
    <row r="58" spans="1:16" x14ac:dyDescent="0.25">
      <c r="A58" s="94" t="s">
        <v>243</v>
      </c>
      <c r="B58" s="94">
        <v>5.15</v>
      </c>
      <c r="C58" s="94">
        <v>8.82</v>
      </c>
      <c r="D58" s="94">
        <v>8.56</v>
      </c>
      <c r="E58" s="94">
        <v>6.8</v>
      </c>
      <c r="F58" s="94">
        <v>6.8</v>
      </c>
      <c r="G58" s="94">
        <v>3.11</v>
      </c>
      <c r="H58" s="94">
        <v>3.91</v>
      </c>
      <c r="I58" s="94">
        <v>-3.84</v>
      </c>
      <c r="J58" s="94">
        <v>-1.27</v>
      </c>
      <c r="K58" s="94">
        <v>6.8</v>
      </c>
      <c r="L58" s="94">
        <v>5.15</v>
      </c>
      <c r="M58" s="94">
        <v>12.6</v>
      </c>
      <c r="N58" s="94">
        <v>8.0299999999999994</v>
      </c>
      <c r="O58" s="94">
        <v>1.73</v>
      </c>
      <c r="P58" s="94">
        <v>6.8</v>
      </c>
    </row>
    <row r="59" spans="1:16" x14ac:dyDescent="0.25">
      <c r="A59" s="94" t="s">
        <v>240</v>
      </c>
      <c r="B59" s="94">
        <v>-0.24</v>
      </c>
      <c r="C59" s="94">
        <v>-1.62</v>
      </c>
      <c r="D59" s="94">
        <v>-1.21</v>
      </c>
      <c r="E59" s="94">
        <v>-1.02</v>
      </c>
      <c r="F59" s="94">
        <v>-1.02</v>
      </c>
      <c r="G59" s="94">
        <v>1.87</v>
      </c>
      <c r="H59" s="94">
        <v>-2.16</v>
      </c>
      <c r="I59" s="94">
        <v>2.0499999999999998</v>
      </c>
      <c r="J59" s="94">
        <v>-2.11</v>
      </c>
      <c r="K59" s="94">
        <v>-1.02</v>
      </c>
      <c r="L59" s="94">
        <v>-0.24</v>
      </c>
      <c r="M59" s="94">
        <v>-2.98</v>
      </c>
      <c r="N59" s="94">
        <v>-0.39</v>
      </c>
      <c r="O59" s="94">
        <v>-0.43</v>
      </c>
      <c r="P59" s="94">
        <v>-1.02</v>
      </c>
    </row>
    <row r="60" spans="1:16" x14ac:dyDescent="0.25">
      <c r="A60" s="94" t="s">
        <v>237</v>
      </c>
      <c r="B60" s="94">
        <v>5.29</v>
      </c>
      <c r="C60" s="94">
        <v>4.88</v>
      </c>
      <c r="D60" s="94">
        <v>4.4800000000000004</v>
      </c>
      <c r="E60" s="94">
        <v>4.5999999999999996</v>
      </c>
      <c r="F60" s="94">
        <v>4.5999999999999996</v>
      </c>
      <c r="G60" s="94">
        <v>-0.27</v>
      </c>
      <c r="H60" s="94">
        <v>1.1399999999999999</v>
      </c>
      <c r="I60" s="94">
        <v>1.89</v>
      </c>
      <c r="J60" s="94">
        <v>2.13</v>
      </c>
      <c r="K60" s="94">
        <v>4.5999999999999996</v>
      </c>
      <c r="L60" s="94">
        <v>5.29</v>
      </c>
      <c r="M60" s="94">
        <v>4.4800000000000004</v>
      </c>
      <c r="N60" s="94">
        <v>3.71</v>
      </c>
      <c r="O60" s="94">
        <v>4.96</v>
      </c>
      <c r="P60" s="94">
        <v>4.5999999999999996</v>
      </c>
    </row>
    <row r="61" spans="1:16" x14ac:dyDescent="0.25">
      <c r="A61" s="94" t="s">
        <v>233</v>
      </c>
      <c r="B61" s="94">
        <v>-1.49</v>
      </c>
      <c r="C61" s="94">
        <v>-1.17</v>
      </c>
      <c r="D61" s="94">
        <v>-0.77</v>
      </c>
      <c r="E61" s="94">
        <v>-0.56000000000000005</v>
      </c>
      <c r="F61" s="94">
        <v>-0.56000000000000005</v>
      </c>
      <c r="G61" s="94">
        <v>-2.39</v>
      </c>
      <c r="H61" s="94">
        <v>-0.11</v>
      </c>
      <c r="I61" s="94">
        <v>2.2999999999999998</v>
      </c>
      <c r="J61" s="94">
        <v>0.3</v>
      </c>
      <c r="K61" s="94">
        <v>-0.56000000000000005</v>
      </c>
      <c r="L61" s="94">
        <v>-1.49</v>
      </c>
      <c r="M61" s="94">
        <v>-0.84</v>
      </c>
      <c r="N61" s="94">
        <v>0.02</v>
      </c>
      <c r="O61" s="94">
        <v>0.04</v>
      </c>
      <c r="P61" s="94">
        <v>-0.56000000000000005</v>
      </c>
    </row>
    <row r="62" spans="1:16" x14ac:dyDescent="0.25">
      <c r="A62" s="94" t="s">
        <v>199</v>
      </c>
      <c r="B62" s="94">
        <v>2.54</v>
      </c>
      <c r="C62" s="94">
        <v>2.35</v>
      </c>
      <c r="D62" s="94">
        <v>2.34</v>
      </c>
      <c r="E62" s="94">
        <v>2.5</v>
      </c>
      <c r="F62" s="94">
        <v>2.5</v>
      </c>
      <c r="G62" s="94">
        <v>0.37</v>
      </c>
      <c r="H62" s="94">
        <v>0.24</v>
      </c>
      <c r="I62" s="94">
        <v>1.41</v>
      </c>
      <c r="J62" s="94">
        <v>0.93</v>
      </c>
      <c r="K62" s="94">
        <v>2.5</v>
      </c>
      <c r="L62" s="94">
        <v>2.54</v>
      </c>
      <c r="M62" s="94">
        <v>2.16</v>
      </c>
      <c r="N62" s="94">
        <v>2.3199999999999998</v>
      </c>
      <c r="O62" s="94">
        <v>2.97</v>
      </c>
      <c r="P62" s="94">
        <v>2.5</v>
      </c>
    </row>
    <row r="63" spans="1:16" x14ac:dyDescent="0.25">
      <c r="A63" s="94" t="s">
        <v>227</v>
      </c>
      <c r="B63" s="94">
        <v>9.6300000000000008</v>
      </c>
      <c r="C63" s="94">
        <v>8.77</v>
      </c>
      <c r="D63" s="94">
        <v>8.49</v>
      </c>
      <c r="E63" s="94">
        <v>8.3800000000000008</v>
      </c>
      <c r="F63" s="94">
        <v>8.3800000000000008</v>
      </c>
      <c r="G63" s="94">
        <v>1.7</v>
      </c>
      <c r="H63" s="94">
        <v>3.92</v>
      </c>
      <c r="I63" s="94">
        <v>-0.06</v>
      </c>
      <c r="J63" s="94">
        <v>2.3199999999999998</v>
      </c>
      <c r="K63" s="94">
        <v>8.3800000000000008</v>
      </c>
      <c r="L63" s="94">
        <v>9.6300000000000008</v>
      </c>
      <c r="M63" s="94">
        <v>7.96</v>
      </c>
      <c r="N63" s="94">
        <v>7.93</v>
      </c>
      <c r="O63" s="94">
        <v>8.08</v>
      </c>
      <c r="P63" s="94">
        <v>8.3800000000000008</v>
      </c>
    </row>
    <row r="64" spans="1:16" x14ac:dyDescent="0.25">
      <c r="A64" s="94" t="s">
        <v>223</v>
      </c>
      <c r="B64" s="94">
        <v>18.89</v>
      </c>
      <c r="C64" s="94">
        <v>10.31</v>
      </c>
      <c r="D64" s="94">
        <v>8.36</v>
      </c>
      <c r="E64" s="94">
        <v>6.43</v>
      </c>
      <c r="F64" s="94">
        <v>6.43</v>
      </c>
      <c r="G64" s="94">
        <v>4.1900000000000004</v>
      </c>
      <c r="H64" s="94">
        <v>0.23</v>
      </c>
      <c r="I64" s="94">
        <v>-16.93</v>
      </c>
      <c r="J64" s="94">
        <v>16.61</v>
      </c>
      <c r="K64" s="94">
        <v>6.43</v>
      </c>
      <c r="L64" s="94">
        <v>18.89</v>
      </c>
      <c r="M64" s="94">
        <v>2.9</v>
      </c>
      <c r="N64" s="94">
        <v>3.96</v>
      </c>
      <c r="O64" s="94">
        <v>1.1599999999999999</v>
      </c>
      <c r="P64" s="94">
        <v>6.43</v>
      </c>
    </row>
    <row r="65" spans="1:16" x14ac:dyDescent="0.25">
      <c r="A65" s="94" t="s">
        <v>220</v>
      </c>
      <c r="B65" s="94">
        <v>7.43</v>
      </c>
      <c r="C65" s="94">
        <v>4.8</v>
      </c>
      <c r="D65" s="94">
        <v>4.07</v>
      </c>
      <c r="E65" s="94">
        <v>3.76</v>
      </c>
      <c r="F65" s="94">
        <v>3.76</v>
      </c>
      <c r="G65" s="94">
        <v>-10.27</v>
      </c>
      <c r="H65" s="94">
        <v>6.68</v>
      </c>
      <c r="I65" s="94">
        <v>-6.41</v>
      </c>
      <c r="J65" s="94">
        <v>14.92</v>
      </c>
      <c r="K65" s="94">
        <v>3.76</v>
      </c>
      <c r="L65" s="94">
        <v>7.43</v>
      </c>
      <c r="M65" s="94">
        <v>2.46</v>
      </c>
      <c r="N65" s="94">
        <v>2.58</v>
      </c>
      <c r="O65" s="94">
        <v>2.95</v>
      </c>
      <c r="P65" s="94">
        <v>3.76</v>
      </c>
    </row>
    <row r="66" spans="1:16" x14ac:dyDescent="0.25">
      <c r="A66" s="94" t="s">
        <v>217</v>
      </c>
      <c r="B66" s="94">
        <v>11.65</v>
      </c>
      <c r="C66" s="94">
        <v>10.06</v>
      </c>
      <c r="D66" s="94">
        <v>9.23</v>
      </c>
      <c r="E66" s="94">
        <v>8.1300000000000008</v>
      </c>
      <c r="F66" s="94">
        <v>8.1300000000000008</v>
      </c>
      <c r="G66" s="94">
        <v>-7.48</v>
      </c>
      <c r="H66" s="94">
        <v>6.07</v>
      </c>
      <c r="I66" s="94">
        <v>0.97</v>
      </c>
      <c r="J66" s="94">
        <v>6.17</v>
      </c>
      <c r="K66" s="94">
        <v>8.1300000000000008</v>
      </c>
      <c r="L66" s="94">
        <v>11.65</v>
      </c>
      <c r="M66" s="94">
        <v>8.59</v>
      </c>
      <c r="N66" s="94">
        <v>7.67</v>
      </c>
      <c r="O66" s="94">
        <v>5.2</v>
      </c>
      <c r="P66" s="94">
        <v>8.1300000000000008</v>
      </c>
    </row>
    <row r="67" spans="1:16" x14ac:dyDescent="0.25">
      <c r="A67" s="94" t="s">
        <v>214</v>
      </c>
      <c r="B67" s="94">
        <v>8.92</v>
      </c>
      <c r="C67" s="94">
        <v>8.89</v>
      </c>
      <c r="D67" s="94">
        <v>9.24</v>
      </c>
      <c r="E67" s="94">
        <v>9.8000000000000007</v>
      </c>
      <c r="F67" s="94">
        <v>9.8000000000000007</v>
      </c>
      <c r="G67" s="94">
        <v>-0.06</v>
      </c>
      <c r="H67" s="94">
        <v>3.85</v>
      </c>
      <c r="I67" s="94">
        <v>-1.01</v>
      </c>
      <c r="J67" s="94">
        <v>8.4</v>
      </c>
      <c r="K67" s="94">
        <v>9.8000000000000007</v>
      </c>
      <c r="L67" s="94">
        <v>8.92</v>
      </c>
      <c r="M67" s="94">
        <v>8.85</v>
      </c>
      <c r="N67" s="94">
        <v>9.9499999999999993</v>
      </c>
      <c r="O67" s="94">
        <v>11.36</v>
      </c>
      <c r="P67" s="94">
        <v>9.8000000000000007</v>
      </c>
    </row>
    <row r="68" spans="1:16" x14ac:dyDescent="0.25">
      <c r="A68" s="94" t="s">
        <v>212</v>
      </c>
      <c r="B68" s="94">
        <v>5.51</v>
      </c>
      <c r="C68" s="94">
        <v>5.38</v>
      </c>
      <c r="D68" s="94">
        <v>5.26</v>
      </c>
      <c r="E68" s="94">
        <v>5.1100000000000003</v>
      </c>
      <c r="F68" s="94">
        <v>5.1100000000000003</v>
      </c>
      <c r="G68" s="94">
        <v>-0.72</v>
      </c>
      <c r="H68" s="94">
        <v>3.91</v>
      </c>
      <c r="I68" s="94">
        <v>1.5</v>
      </c>
      <c r="J68" s="94">
        <v>-0.01</v>
      </c>
      <c r="K68" s="94">
        <v>5.1100000000000003</v>
      </c>
      <c r="L68" s="94">
        <v>5.51</v>
      </c>
      <c r="M68" s="94">
        <v>5.24</v>
      </c>
      <c r="N68" s="94">
        <v>5.04</v>
      </c>
      <c r="O68" s="94">
        <v>4.6900000000000004</v>
      </c>
      <c r="P68" s="94">
        <v>5.1100000000000003</v>
      </c>
    </row>
    <row r="69" spans="1:16" x14ac:dyDescent="0.25">
      <c r="A69" s="94" t="s">
        <v>209</v>
      </c>
      <c r="B69" s="94">
        <v>-3.16</v>
      </c>
      <c r="C69" s="94">
        <v>-1.22</v>
      </c>
      <c r="D69" s="94">
        <v>0.13</v>
      </c>
      <c r="E69" s="94">
        <v>3.24</v>
      </c>
      <c r="F69" s="94">
        <v>3.24</v>
      </c>
      <c r="G69" s="94">
        <v>-3.28</v>
      </c>
      <c r="H69" s="94">
        <v>1.2</v>
      </c>
      <c r="I69" s="94">
        <v>1.63</v>
      </c>
      <c r="J69" s="94">
        <v>12.96</v>
      </c>
      <c r="K69" s="94">
        <v>3.24</v>
      </c>
      <c r="L69" s="94">
        <v>-3.16</v>
      </c>
      <c r="M69" s="94">
        <v>0.77</v>
      </c>
      <c r="N69" s="94">
        <v>2.9</v>
      </c>
      <c r="O69" s="94">
        <v>12.37</v>
      </c>
      <c r="P69" s="94">
        <v>3.24</v>
      </c>
    </row>
    <row r="70" spans="1:16" x14ac:dyDescent="0.25">
      <c r="A70" s="94" t="s">
        <v>207</v>
      </c>
      <c r="B70" s="94">
        <v>5.1100000000000003</v>
      </c>
      <c r="C70" s="94">
        <v>5.08</v>
      </c>
      <c r="D70" s="94">
        <v>5.04</v>
      </c>
      <c r="E70" s="94">
        <v>5.03</v>
      </c>
      <c r="F70" s="94">
        <v>5.03</v>
      </c>
      <c r="G70" s="94">
        <v>-0.83</v>
      </c>
      <c r="H70" s="94">
        <v>3.79</v>
      </c>
      <c r="I70" s="94">
        <v>1.5</v>
      </c>
      <c r="J70" s="94">
        <v>0.52</v>
      </c>
      <c r="K70" s="94">
        <v>5.03</v>
      </c>
      <c r="L70" s="94">
        <v>5.1100000000000003</v>
      </c>
      <c r="M70" s="94">
        <v>5.05</v>
      </c>
      <c r="N70" s="94">
        <v>4.95</v>
      </c>
      <c r="O70" s="94">
        <v>5.0199999999999996</v>
      </c>
      <c r="P70" s="94">
        <v>5.03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6" t="s">
        <v>2494</v>
      </c>
      <c r="C4" s="106"/>
      <c r="D4" s="106"/>
      <c r="E4" s="106"/>
      <c r="F4" s="106"/>
      <c r="G4" s="106" t="s">
        <v>2494</v>
      </c>
      <c r="H4" s="106"/>
      <c r="I4" s="106"/>
      <c r="J4" s="106"/>
      <c r="K4" s="106"/>
      <c r="L4" s="106" t="s">
        <v>2494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2491</v>
      </c>
      <c r="C6" s="89" t="s">
        <v>651</v>
      </c>
      <c r="D6" s="89" t="s">
        <v>688</v>
      </c>
      <c r="E6" s="89" t="s">
        <v>1588</v>
      </c>
      <c r="F6" s="89" t="s">
        <v>1588</v>
      </c>
      <c r="G6" s="89" t="s">
        <v>1990</v>
      </c>
      <c r="H6" s="89" t="s">
        <v>2493</v>
      </c>
      <c r="I6" s="89" t="s">
        <v>552</v>
      </c>
      <c r="J6" s="89" t="s">
        <v>2492</v>
      </c>
      <c r="K6" s="89" t="s">
        <v>1588</v>
      </c>
      <c r="L6" s="89" t="s">
        <v>2491</v>
      </c>
      <c r="M6" s="89" t="s">
        <v>1375</v>
      </c>
      <c r="N6" s="89" t="s">
        <v>426</v>
      </c>
      <c r="O6" s="89" t="s">
        <v>1098</v>
      </c>
      <c r="P6" s="89" t="s">
        <v>1588</v>
      </c>
    </row>
    <row r="7" spans="1:16" x14ac:dyDescent="0.25">
      <c r="A7" s="89" t="s">
        <v>392</v>
      </c>
      <c r="B7" s="89" t="s">
        <v>2487</v>
      </c>
      <c r="C7" s="89" t="s">
        <v>1977</v>
      </c>
      <c r="D7" s="89" t="s">
        <v>409</v>
      </c>
      <c r="E7" s="89" t="s">
        <v>1471</v>
      </c>
      <c r="F7" s="89" t="s">
        <v>1471</v>
      </c>
      <c r="G7" s="89" t="s">
        <v>2490</v>
      </c>
      <c r="H7" s="89" t="s">
        <v>2489</v>
      </c>
      <c r="I7" s="89" t="s">
        <v>723</v>
      </c>
      <c r="J7" s="89" t="s">
        <v>2488</v>
      </c>
      <c r="K7" s="89" t="s">
        <v>1471</v>
      </c>
      <c r="L7" s="89" t="s">
        <v>2487</v>
      </c>
      <c r="M7" s="89" t="s">
        <v>1213</v>
      </c>
      <c r="N7" s="89" t="s">
        <v>483</v>
      </c>
      <c r="O7" s="89" t="s">
        <v>633</v>
      </c>
      <c r="P7" s="89" t="s">
        <v>1471</v>
      </c>
    </row>
    <row r="8" spans="1:16" x14ac:dyDescent="0.25">
      <c r="A8" s="89" t="s">
        <v>389</v>
      </c>
      <c r="B8" s="89" t="s">
        <v>2481</v>
      </c>
      <c r="C8" s="89" t="s">
        <v>2486</v>
      </c>
      <c r="D8" s="89" t="s">
        <v>2485</v>
      </c>
      <c r="E8" s="89" t="s">
        <v>474</v>
      </c>
      <c r="F8" s="89" t="s">
        <v>474</v>
      </c>
      <c r="G8" s="89" t="s">
        <v>2484</v>
      </c>
      <c r="H8" s="89" t="s">
        <v>2409</v>
      </c>
      <c r="I8" s="89" t="s">
        <v>2483</v>
      </c>
      <c r="J8" s="89" t="s">
        <v>2482</v>
      </c>
      <c r="K8" s="89" t="s">
        <v>474</v>
      </c>
      <c r="L8" s="89" t="s">
        <v>2481</v>
      </c>
      <c r="M8" s="89" t="s">
        <v>2480</v>
      </c>
      <c r="N8" s="89" t="s">
        <v>2011</v>
      </c>
      <c r="O8" s="89" t="s">
        <v>1074</v>
      </c>
      <c r="P8" s="89" t="s">
        <v>474</v>
      </c>
    </row>
    <row r="9" spans="1:16" x14ac:dyDescent="0.25">
      <c r="A9" s="89" t="s">
        <v>386</v>
      </c>
      <c r="B9" s="89" t="s">
        <v>1686</v>
      </c>
      <c r="C9" s="89" t="s">
        <v>653</v>
      </c>
      <c r="D9" s="89" t="s">
        <v>1055</v>
      </c>
      <c r="E9" s="89" t="s">
        <v>2055</v>
      </c>
      <c r="F9" s="89" t="s">
        <v>2055</v>
      </c>
      <c r="G9" s="89" t="s">
        <v>2479</v>
      </c>
      <c r="H9" s="89" t="s">
        <v>2478</v>
      </c>
      <c r="I9" s="89" t="s">
        <v>2148</v>
      </c>
      <c r="J9" s="89" t="s">
        <v>2477</v>
      </c>
      <c r="K9" s="89" t="s">
        <v>2055</v>
      </c>
      <c r="L9" s="89" t="s">
        <v>1686</v>
      </c>
      <c r="M9" s="89" t="s">
        <v>883</v>
      </c>
      <c r="N9" s="89" t="s">
        <v>2426</v>
      </c>
      <c r="O9" s="89" t="s">
        <v>878</v>
      </c>
      <c r="P9" s="89" t="s">
        <v>2055</v>
      </c>
    </row>
    <row r="10" spans="1:16" x14ac:dyDescent="0.25">
      <c r="A10" s="89" t="s">
        <v>383</v>
      </c>
      <c r="B10" s="89" t="s">
        <v>658</v>
      </c>
      <c r="C10" s="89" t="s">
        <v>829</v>
      </c>
      <c r="D10" s="89" t="s">
        <v>628</v>
      </c>
      <c r="E10" s="89" t="s">
        <v>1515</v>
      </c>
      <c r="F10" s="89" t="s">
        <v>1515</v>
      </c>
      <c r="G10" s="89" t="s">
        <v>1985</v>
      </c>
      <c r="H10" s="89" t="s">
        <v>2476</v>
      </c>
      <c r="I10" s="89" t="s">
        <v>2475</v>
      </c>
      <c r="J10" s="89" t="s">
        <v>2474</v>
      </c>
      <c r="K10" s="89" t="s">
        <v>1515</v>
      </c>
      <c r="L10" s="89" t="s">
        <v>658</v>
      </c>
      <c r="M10" s="89" t="s">
        <v>1753</v>
      </c>
      <c r="N10" s="89" t="s">
        <v>1018</v>
      </c>
      <c r="O10" s="89" t="s">
        <v>2356</v>
      </c>
      <c r="P10" s="89" t="s">
        <v>1515</v>
      </c>
    </row>
    <row r="11" spans="1:16" x14ac:dyDescent="0.25">
      <c r="A11" s="89" t="s">
        <v>380</v>
      </c>
      <c r="B11" s="89" t="s">
        <v>2468</v>
      </c>
      <c r="C11" s="89" t="s">
        <v>2473</v>
      </c>
      <c r="D11" s="89" t="s">
        <v>2472</v>
      </c>
      <c r="E11" s="89" t="s">
        <v>439</v>
      </c>
      <c r="F11" s="89" t="s">
        <v>439</v>
      </c>
      <c r="G11" s="89" t="s">
        <v>2471</v>
      </c>
      <c r="H11" s="89" t="s">
        <v>1349</v>
      </c>
      <c r="I11" s="89" t="s">
        <v>2470</v>
      </c>
      <c r="J11" s="89" t="s">
        <v>2469</v>
      </c>
      <c r="K11" s="89" t="s">
        <v>439</v>
      </c>
      <c r="L11" s="89" t="s">
        <v>2468</v>
      </c>
      <c r="M11" s="89" t="s">
        <v>1993</v>
      </c>
      <c r="N11" s="89" t="s">
        <v>1870</v>
      </c>
      <c r="O11" s="89" t="s">
        <v>2467</v>
      </c>
      <c r="P11" s="89" t="s">
        <v>439</v>
      </c>
    </row>
    <row r="12" spans="1:16" x14ac:dyDescent="0.25">
      <c r="A12" s="89" t="s">
        <v>377</v>
      </c>
      <c r="B12" s="89" t="s">
        <v>2465</v>
      </c>
      <c r="C12" s="89" t="s">
        <v>2179</v>
      </c>
      <c r="D12" s="89" t="s">
        <v>1712</v>
      </c>
      <c r="E12" s="89" t="s">
        <v>518</v>
      </c>
      <c r="F12" s="89" t="s">
        <v>518</v>
      </c>
      <c r="G12" s="89" t="s">
        <v>1965</v>
      </c>
      <c r="H12" s="89" t="s">
        <v>1316</v>
      </c>
      <c r="I12" s="89" t="s">
        <v>1780</v>
      </c>
      <c r="J12" s="89" t="s">
        <v>2466</v>
      </c>
      <c r="K12" s="89" t="s">
        <v>518</v>
      </c>
      <c r="L12" s="89" t="s">
        <v>2465</v>
      </c>
      <c r="M12" s="89" t="s">
        <v>493</v>
      </c>
      <c r="N12" s="89" t="s">
        <v>1573</v>
      </c>
      <c r="O12" s="89" t="s">
        <v>1088</v>
      </c>
      <c r="P12" s="89" t="s">
        <v>518</v>
      </c>
    </row>
    <row r="13" spans="1:16" x14ac:dyDescent="0.25">
      <c r="A13" s="89" t="s">
        <v>374</v>
      </c>
      <c r="B13" s="89" t="s">
        <v>2461</v>
      </c>
      <c r="C13" s="89" t="s">
        <v>2464</v>
      </c>
      <c r="D13" s="89" t="s">
        <v>1683</v>
      </c>
      <c r="E13" s="89" t="s">
        <v>2030</v>
      </c>
      <c r="F13" s="89" t="s">
        <v>2030</v>
      </c>
      <c r="G13" s="89" t="s">
        <v>2463</v>
      </c>
      <c r="H13" s="89" t="s">
        <v>413</v>
      </c>
      <c r="I13" s="89" t="s">
        <v>1955</v>
      </c>
      <c r="J13" s="89" t="s">
        <v>2462</v>
      </c>
      <c r="K13" s="89" t="s">
        <v>2030</v>
      </c>
      <c r="L13" s="89" t="s">
        <v>2461</v>
      </c>
      <c r="M13" s="89" t="s">
        <v>2431</v>
      </c>
      <c r="N13" s="89" t="s">
        <v>649</v>
      </c>
      <c r="O13" s="89" t="s">
        <v>1653</v>
      </c>
      <c r="P13" s="89" t="s">
        <v>2030</v>
      </c>
    </row>
    <row r="14" spans="1:16" x14ac:dyDescent="0.25">
      <c r="A14" s="89" t="s">
        <v>371</v>
      </c>
      <c r="B14" s="89" t="s">
        <v>1482</v>
      </c>
      <c r="C14" s="89" t="s">
        <v>637</v>
      </c>
      <c r="D14" s="89" t="s">
        <v>1482</v>
      </c>
      <c r="E14" s="89" t="s">
        <v>532</v>
      </c>
      <c r="F14" s="89" t="s">
        <v>532</v>
      </c>
      <c r="G14" s="89" t="s">
        <v>2460</v>
      </c>
      <c r="H14" s="89" t="s">
        <v>2459</v>
      </c>
      <c r="I14" s="89" t="s">
        <v>563</v>
      </c>
      <c r="J14" s="89" t="s">
        <v>2458</v>
      </c>
      <c r="K14" s="89" t="s">
        <v>532</v>
      </c>
      <c r="L14" s="89" t="s">
        <v>1482</v>
      </c>
      <c r="M14" s="89" t="s">
        <v>1845</v>
      </c>
      <c r="N14" s="89" t="s">
        <v>1950</v>
      </c>
      <c r="O14" s="89" t="s">
        <v>2457</v>
      </c>
      <c r="P14" s="89" t="s">
        <v>532</v>
      </c>
    </row>
    <row r="15" spans="1:16" x14ac:dyDescent="0.25">
      <c r="A15" s="89" t="s">
        <v>368</v>
      </c>
      <c r="B15" s="89" t="s">
        <v>744</v>
      </c>
      <c r="C15" s="89" t="s">
        <v>1464</v>
      </c>
      <c r="D15" s="89" t="s">
        <v>870</v>
      </c>
      <c r="E15" s="89" t="s">
        <v>1052</v>
      </c>
      <c r="F15" s="89" t="s">
        <v>1052</v>
      </c>
      <c r="G15" s="89" t="s">
        <v>2456</v>
      </c>
      <c r="H15" s="89" t="s">
        <v>1104</v>
      </c>
      <c r="I15" s="89" t="s">
        <v>503</v>
      </c>
      <c r="J15" s="89" t="s">
        <v>1926</v>
      </c>
      <c r="K15" s="89" t="s">
        <v>1052</v>
      </c>
      <c r="L15" s="89" t="s">
        <v>744</v>
      </c>
      <c r="M15" s="89" t="s">
        <v>1378</v>
      </c>
      <c r="N15" s="89" t="s">
        <v>2277</v>
      </c>
      <c r="O15" s="89" t="s">
        <v>1550</v>
      </c>
      <c r="P15" s="89" t="s">
        <v>1052</v>
      </c>
    </row>
    <row r="16" spans="1:16" x14ac:dyDescent="0.25">
      <c r="A16" s="89" t="s">
        <v>366</v>
      </c>
      <c r="B16" s="89" t="s">
        <v>1105</v>
      </c>
      <c r="C16" s="89" t="s">
        <v>1080</v>
      </c>
      <c r="D16" s="89" t="s">
        <v>425</v>
      </c>
      <c r="E16" s="89" t="s">
        <v>980</v>
      </c>
      <c r="F16" s="89" t="s">
        <v>980</v>
      </c>
      <c r="G16" s="89" t="s">
        <v>1758</v>
      </c>
      <c r="H16" s="89" t="s">
        <v>1503</v>
      </c>
      <c r="I16" s="89" t="s">
        <v>737</v>
      </c>
      <c r="J16" s="89" t="s">
        <v>2096</v>
      </c>
      <c r="K16" s="89" t="s">
        <v>980</v>
      </c>
      <c r="L16" s="89" t="s">
        <v>1105</v>
      </c>
      <c r="M16" s="89" t="s">
        <v>1621</v>
      </c>
      <c r="N16" s="89" t="s">
        <v>1557</v>
      </c>
      <c r="O16" s="89" t="s">
        <v>1981</v>
      </c>
      <c r="P16" s="89" t="s">
        <v>980</v>
      </c>
    </row>
    <row r="17" spans="1:16" x14ac:dyDescent="0.25">
      <c r="A17" s="89" t="s">
        <v>363</v>
      </c>
      <c r="B17" s="89" t="s">
        <v>2251</v>
      </c>
      <c r="C17" s="89" t="s">
        <v>407</v>
      </c>
      <c r="D17" s="89" t="s">
        <v>656</v>
      </c>
      <c r="E17" s="89" t="s">
        <v>1011</v>
      </c>
      <c r="F17" s="89" t="s">
        <v>1011</v>
      </c>
      <c r="G17" s="89" t="s">
        <v>1318</v>
      </c>
      <c r="H17" s="89" t="s">
        <v>2455</v>
      </c>
      <c r="I17" s="89" t="s">
        <v>576</v>
      </c>
      <c r="J17" s="89" t="s">
        <v>2454</v>
      </c>
      <c r="K17" s="89" t="s">
        <v>1011</v>
      </c>
      <c r="L17" s="89" t="s">
        <v>2251</v>
      </c>
      <c r="M17" s="89" t="s">
        <v>693</v>
      </c>
      <c r="N17" s="89" t="s">
        <v>2453</v>
      </c>
      <c r="O17" s="89" t="s">
        <v>1724</v>
      </c>
      <c r="P17" s="89" t="s">
        <v>1011</v>
      </c>
    </row>
    <row r="18" spans="1:16" x14ac:dyDescent="0.25">
      <c r="A18" s="89" t="s">
        <v>360</v>
      </c>
      <c r="B18" s="89" t="s">
        <v>2447</v>
      </c>
      <c r="C18" s="89" t="s">
        <v>2434</v>
      </c>
      <c r="D18" s="89" t="s">
        <v>2452</v>
      </c>
      <c r="E18" s="89" t="s">
        <v>2444</v>
      </c>
      <c r="F18" s="89" t="s">
        <v>2444</v>
      </c>
      <c r="G18" s="89" t="s">
        <v>2451</v>
      </c>
      <c r="H18" s="89" t="s">
        <v>2450</v>
      </c>
      <c r="I18" s="89" t="s">
        <v>2449</v>
      </c>
      <c r="J18" s="89" t="s">
        <v>2448</v>
      </c>
      <c r="K18" s="89" t="s">
        <v>2444</v>
      </c>
      <c r="L18" s="89" t="s">
        <v>2447</v>
      </c>
      <c r="M18" s="89" t="s">
        <v>1279</v>
      </c>
      <c r="N18" s="89" t="s">
        <v>2446</v>
      </c>
      <c r="O18" s="89" t="s">
        <v>2445</v>
      </c>
      <c r="P18" s="89" t="s">
        <v>2444</v>
      </c>
    </row>
    <row r="19" spans="1:16" x14ac:dyDescent="0.25">
      <c r="A19" s="89" t="s">
        <v>357</v>
      </c>
      <c r="B19" s="89" t="s">
        <v>1449</v>
      </c>
      <c r="C19" s="89" t="s">
        <v>1446</v>
      </c>
      <c r="D19" s="89" t="s">
        <v>533</v>
      </c>
      <c r="E19" s="89" t="s">
        <v>1682</v>
      </c>
      <c r="F19" s="89" t="s">
        <v>1682</v>
      </c>
      <c r="G19" s="89" t="s">
        <v>1006</v>
      </c>
      <c r="H19" s="89" t="s">
        <v>1079</v>
      </c>
      <c r="I19" s="89" t="s">
        <v>530</v>
      </c>
      <c r="J19" s="89" t="s">
        <v>1536</v>
      </c>
      <c r="K19" s="89" t="s">
        <v>1682</v>
      </c>
      <c r="L19" s="89" t="s">
        <v>1449</v>
      </c>
      <c r="M19" s="89" t="s">
        <v>1045</v>
      </c>
      <c r="N19" s="89" t="s">
        <v>2289</v>
      </c>
      <c r="O19" s="89" t="s">
        <v>1388</v>
      </c>
      <c r="P19" s="89" t="s">
        <v>1682</v>
      </c>
    </row>
    <row r="20" spans="1:16" x14ac:dyDescent="0.25">
      <c r="A20" s="89" t="s">
        <v>353</v>
      </c>
      <c r="B20" s="89" t="s">
        <v>1627</v>
      </c>
      <c r="C20" s="89" t="s">
        <v>840</v>
      </c>
      <c r="D20" s="89" t="s">
        <v>2443</v>
      </c>
      <c r="E20" s="89" t="s">
        <v>2347</v>
      </c>
      <c r="F20" s="89" t="s">
        <v>2347</v>
      </c>
      <c r="G20" s="89" t="s">
        <v>1189</v>
      </c>
      <c r="H20" s="89" t="s">
        <v>567</v>
      </c>
      <c r="I20" s="89" t="s">
        <v>1979</v>
      </c>
      <c r="J20" s="89" t="s">
        <v>1874</v>
      </c>
      <c r="K20" s="89" t="s">
        <v>2347</v>
      </c>
      <c r="L20" s="89" t="s">
        <v>1627</v>
      </c>
      <c r="M20" s="89" t="s">
        <v>929</v>
      </c>
      <c r="N20" s="89" t="s">
        <v>1268</v>
      </c>
      <c r="O20" s="89" t="s">
        <v>2442</v>
      </c>
      <c r="P20" s="89" t="s">
        <v>2347</v>
      </c>
    </row>
    <row r="21" spans="1:16" x14ac:dyDescent="0.25">
      <c r="A21" s="89" t="s">
        <v>351</v>
      </c>
      <c r="B21" s="89" t="s">
        <v>1702</v>
      </c>
      <c r="C21" s="89" t="s">
        <v>1574</v>
      </c>
      <c r="D21" s="89" t="s">
        <v>2441</v>
      </c>
      <c r="E21" s="89" t="s">
        <v>2439</v>
      </c>
      <c r="F21" s="89" t="s">
        <v>2439</v>
      </c>
      <c r="G21" s="89" t="s">
        <v>1380</v>
      </c>
      <c r="H21" s="89" t="s">
        <v>1446</v>
      </c>
      <c r="I21" s="89" t="s">
        <v>629</v>
      </c>
      <c r="J21" s="89" t="s">
        <v>826</v>
      </c>
      <c r="K21" s="89" t="s">
        <v>2439</v>
      </c>
      <c r="L21" s="89" t="s">
        <v>1702</v>
      </c>
      <c r="M21" s="89" t="s">
        <v>2440</v>
      </c>
      <c r="N21" s="89" t="s">
        <v>1668</v>
      </c>
      <c r="O21" s="89" t="s">
        <v>1575</v>
      </c>
      <c r="P21" s="89" t="s">
        <v>2439</v>
      </c>
    </row>
    <row r="22" spans="1:16" x14ac:dyDescent="0.25">
      <c r="A22" s="89" t="s">
        <v>348</v>
      </c>
      <c r="B22" s="89" t="s">
        <v>2438</v>
      </c>
      <c r="C22" s="89" t="s">
        <v>400</v>
      </c>
      <c r="D22" s="89" t="s">
        <v>523</v>
      </c>
      <c r="E22" s="89" t="s">
        <v>1185</v>
      </c>
      <c r="F22" s="89" t="s">
        <v>1185</v>
      </c>
      <c r="G22" s="89" t="s">
        <v>890</v>
      </c>
      <c r="H22" s="89" t="s">
        <v>1558</v>
      </c>
      <c r="I22" s="89" t="s">
        <v>2262</v>
      </c>
      <c r="J22" s="89" t="s">
        <v>771</v>
      </c>
      <c r="K22" s="89" t="s">
        <v>1185</v>
      </c>
      <c r="L22" s="89" t="s">
        <v>2438</v>
      </c>
      <c r="M22" s="89" t="s">
        <v>639</v>
      </c>
      <c r="N22" s="89" t="s">
        <v>604</v>
      </c>
      <c r="O22" s="89" t="s">
        <v>971</v>
      </c>
      <c r="P22" s="89" t="s">
        <v>1185</v>
      </c>
    </row>
    <row r="23" spans="1:16" x14ac:dyDescent="0.25">
      <c r="A23" s="89" t="s">
        <v>345</v>
      </c>
      <c r="B23" s="89" t="s">
        <v>1519</v>
      </c>
      <c r="C23" s="89" t="s">
        <v>2289</v>
      </c>
      <c r="D23" s="89" t="s">
        <v>634</v>
      </c>
      <c r="E23" s="89" t="s">
        <v>641</v>
      </c>
      <c r="F23" s="89" t="s">
        <v>641</v>
      </c>
      <c r="G23" s="89" t="s">
        <v>617</v>
      </c>
      <c r="H23" s="89" t="s">
        <v>496</v>
      </c>
      <c r="I23" s="89" t="s">
        <v>456</v>
      </c>
      <c r="J23" s="89" t="s">
        <v>712</v>
      </c>
      <c r="K23" s="89" t="s">
        <v>641</v>
      </c>
      <c r="L23" s="89" t="s">
        <v>1519</v>
      </c>
      <c r="M23" s="89" t="s">
        <v>2437</v>
      </c>
      <c r="N23" s="89" t="s">
        <v>1974</v>
      </c>
      <c r="O23" s="89" t="s">
        <v>2436</v>
      </c>
      <c r="P23" s="89" t="s">
        <v>641</v>
      </c>
    </row>
    <row r="24" spans="1:16" x14ac:dyDescent="0.25">
      <c r="A24" s="89" t="s">
        <v>342</v>
      </c>
      <c r="B24" s="89" t="s">
        <v>2086</v>
      </c>
      <c r="C24" s="89" t="s">
        <v>1672</v>
      </c>
      <c r="D24" s="89" t="s">
        <v>1536</v>
      </c>
      <c r="E24" s="89" t="s">
        <v>1649</v>
      </c>
      <c r="F24" s="89" t="s">
        <v>1649</v>
      </c>
      <c r="G24" s="89" t="s">
        <v>2435</v>
      </c>
      <c r="H24" s="89" t="s">
        <v>541</v>
      </c>
      <c r="I24" s="89" t="s">
        <v>509</v>
      </c>
      <c r="J24" s="89" t="s">
        <v>1094</v>
      </c>
      <c r="K24" s="89" t="s">
        <v>1649</v>
      </c>
      <c r="L24" s="89" t="s">
        <v>2086</v>
      </c>
      <c r="M24" s="89" t="s">
        <v>1863</v>
      </c>
      <c r="N24" s="89" t="s">
        <v>1504</v>
      </c>
      <c r="O24" s="89" t="s">
        <v>2434</v>
      </c>
      <c r="P24" s="89" t="s">
        <v>1649</v>
      </c>
    </row>
    <row r="25" spans="1:16" x14ac:dyDescent="0.25">
      <c r="A25" s="89" t="s">
        <v>339</v>
      </c>
      <c r="B25" s="89" t="s">
        <v>1287</v>
      </c>
      <c r="C25" s="89" t="s">
        <v>538</v>
      </c>
      <c r="D25" s="89" t="s">
        <v>1628</v>
      </c>
      <c r="E25" s="89" t="s">
        <v>1108</v>
      </c>
      <c r="F25" s="89" t="s">
        <v>1108</v>
      </c>
      <c r="G25" s="89" t="s">
        <v>410</v>
      </c>
      <c r="H25" s="89" t="s">
        <v>759</v>
      </c>
      <c r="I25" s="89" t="s">
        <v>1586</v>
      </c>
      <c r="J25" s="89" t="s">
        <v>1975</v>
      </c>
      <c r="K25" s="89" t="s">
        <v>1108</v>
      </c>
      <c r="L25" s="89" t="s">
        <v>1287</v>
      </c>
      <c r="M25" s="89" t="s">
        <v>2433</v>
      </c>
      <c r="N25" s="89" t="s">
        <v>1621</v>
      </c>
      <c r="O25" s="89" t="s">
        <v>455</v>
      </c>
      <c r="P25" s="89" t="s">
        <v>1108</v>
      </c>
    </row>
    <row r="26" spans="1:16" x14ac:dyDescent="0.25">
      <c r="A26" s="89" t="s">
        <v>336</v>
      </c>
      <c r="B26" s="89" t="s">
        <v>2009</v>
      </c>
      <c r="C26" s="89" t="s">
        <v>2016</v>
      </c>
      <c r="D26" s="89" t="s">
        <v>1634</v>
      </c>
      <c r="E26" s="89" t="s">
        <v>979</v>
      </c>
      <c r="F26" s="89" t="s">
        <v>979</v>
      </c>
      <c r="G26" s="89" t="s">
        <v>1402</v>
      </c>
      <c r="H26" s="89" t="s">
        <v>935</v>
      </c>
      <c r="I26" s="89" t="s">
        <v>2432</v>
      </c>
      <c r="J26" s="89" t="s">
        <v>2333</v>
      </c>
      <c r="K26" s="89" t="s">
        <v>979</v>
      </c>
      <c r="L26" s="89" t="s">
        <v>2009</v>
      </c>
      <c r="M26" s="89" t="s">
        <v>726</v>
      </c>
      <c r="N26" s="89" t="s">
        <v>2431</v>
      </c>
      <c r="O26" s="89" t="s">
        <v>780</v>
      </c>
      <c r="P26" s="89" t="s">
        <v>979</v>
      </c>
    </row>
    <row r="27" spans="1:16" x14ac:dyDescent="0.25">
      <c r="A27" s="89" t="s">
        <v>333</v>
      </c>
      <c r="B27" s="89" t="s">
        <v>1528</v>
      </c>
      <c r="C27" s="89" t="s">
        <v>542</v>
      </c>
      <c r="D27" s="89" t="s">
        <v>698</v>
      </c>
      <c r="E27" s="89" t="s">
        <v>2428</v>
      </c>
      <c r="F27" s="89" t="s">
        <v>2428</v>
      </c>
      <c r="G27" s="89" t="s">
        <v>1536</v>
      </c>
      <c r="H27" s="89" t="s">
        <v>722</v>
      </c>
      <c r="I27" s="89" t="s">
        <v>2430</v>
      </c>
      <c r="J27" s="89" t="s">
        <v>1776</v>
      </c>
      <c r="K27" s="89" t="s">
        <v>2428</v>
      </c>
      <c r="L27" s="89" t="s">
        <v>1528</v>
      </c>
      <c r="M27" s="89" t="s">
        <v>1746</v>
      </c>
      <c r="N27" s="89" t="s">
        <v>2429</v>
      </c>
      <c r="O27" s="89" t="s">
        <v>1672</v>
      </c>
      <c r="P27" s="89" t="s">
        <v>2428</v>
      </c>
    </row>
    <row r="28" spans="1:16" x14ac:dyDescent="0.25">
      <c r="A28" s="89" t="s">
        <v>330</v>
      </c>
      <c r="B28" s="89" t="s">
        <v>1104</v>
      </c>
      <c r="C28" s="89" t="s">
        <v>527</v>
      </c>
      <c r="D28" s="89" t="s">
        <v>1459</v>
      </c>
      <c r="E28" s="89" t="s">
        <v>844</v>
      </c>
      <c r="F28" s="89" t="s">
        <v>844</v>
      </c>
      <c r="G28" s="89" t="s">
        <v>2336</v>
      </c>
      <c r="H28" s="89" t="s">
        <v>2427</v>
      </c>
      <c r="I28" s="89" t="s">
        <v>571</v>
      </c>
      <c r="J28" s="89" t="s">
        <v>1502</v>
      </c>
      <c r="K28" s="89" t="s">
        <v>844</v>
      </c>
      <c r="L28" s="89" t="s">
        <v>1104</v>
      </c>
      <c r="M28" s="89" t="s">
        <v>2353</v>
      </c>
      <c r="N28" s="89" t="s">
        <v>2426</v>
      </c>
      <c r="O28" s="89" t="s">
        <v>609</v>
      </c>
      <c r="P28" s="89" t="s">
        <v>844</v>
      </c>
    </row>
    <row r="29" spans="1:16" x14ac:dyDescent="0.25">
      <c r="A29" s="89" t="s">
        <v>327</v>
      </c>
      <c r="B29" s="89" t="s">
        <v>720</v>
      </c>
      <c r="C29" s="89" t="s">
        <v>409</v>
      </c>
      <c r="D29" s="89" t="s">
        <v>2144</v>
      </c>
      <c r="E29" s="89" t="s">
        <v>732</v>
      </c>
      <c r="F29" s="89" t="s">
        <v>732</v>
      </c>
      <c r="G29" s="89" t="s">
        <v>1321</v>
      </c>
      <c r="H29" s="89" t="s">
        <v>2262</v>
      </c>
      <c r="I29" s="89" t="s">
        <v>934</v>
      </c>
      <c r="J29" s="89" t="s">
        <v>1801</v>
      </c>
      <c r="K29" s="89" t="s">
        <v>732</v>
      </c>
      <c r="L29" s="89" t="s">
        <v>720</v>
      </c>
      <c r="M29" s="89" t="s">
        <v>1335</v>
      </c>
      <c r="N29" s="89" t="s">
        <v>2425</v>
      </c>
      <c r="O29" s="89" t="s">
        <v>2054</v>
      </c>
      <c r="P29" s="89" t="s">
        <v>732</v>
      </c>
    </row>
    <row r="30" spans="1:16" x14ac:dyDescent="0.25">
      <c r="A30" s="89" t="s">
        <v>324</v>
      </c>
      <c r="B30" s="89" t="s">
        <v>729</v>
      </c>
      <c r="C30" s="89" t="s">
        <v>667</v>
      </c>
      <c r="D30" s="89" t="s">
        <v>1440</v>
      </c>
      <c r="E30" s="89" t="s">
        <v>2420</v>
      </c>
      <c r="F30" s="89" t="s">
        <v>2420</v>
      </c>
      <c r="G30" s="89" t="s">
        <v>2424</v>
      </c>
      <c r="H30" s="89" t="s">
        <v>2423</v>
      </c>
      <c r="I30" s="89" t="s">
        <v>602</v>
      </c>
      <c r="J30" s="89" t="s">
        <v>2352</v>
      </c>
      <c r="K30" s="89" t="s">
        <v>2420</v>
      </c>
      <c r="L30" s="89" t="s">
        <v>729</v>
      </c>
      <c r="M30" s="89" t="s">
        <v>765</v>
      </c>
      <c r="N30" s="89" t="s">
        <v>2422</v>
      </c>
      <c r="O30" s="89" t="s">
        <v>2421</v>
      </c>
      <c r="P30" s="89" t="s">
        <v>2420</v>
      </c>
    </row>
    <row r="31" spans="1:16" x14ac:dyDescent="0.25">
      <c r="A31" s="89" t="s">
        <v>321</v>
      </c>
      <c r="B31" s="89" t="s">
        <v>2234</v>
      </c>
      <c r="C31" s="89" t="s">
        <v>1316</v>
      </c>
      <c r="D31" s="89" t="s">
        <v>523</v>
      </c>
      <c r="E31" s="89" t="s">
        <v>537</v>
      </c>
      <c r="F31" s="89" t="s">
        <v>537</v>
      </c>
      <c r="G31" s="89" t="s">
        <v>2078</v>
      </c>
      <c r="H31" s="89" t="s">
        <v>401</v>
      </c>
      <c r="I31" s="89" t="s">
        <v>2292</v>
      </c>
      <c r="J31" s="89" t="s">
        <v>1441</v>
      </c>
      <c r="K31" s="89" t="s">
        <v>537</v>
      </c>
      <c r="L31" s="89" t="s">
        <v>2234</v>
      </c>
      <c r="M31" s="89" t="s">
        <v>2367</v>
      </c>
      <c r="N31" s="89" t="s">
        <v>694</v>
      </c>
      <c r="O31" s="89" t="s">
        <v>447</v>
      </c>
      <c r="P31" s="89" t="s">
        <v>537</v>
      </c>
    </row>
    <row r="32" spans="1:16" x14ac:dyDescent="0.25">
      <c r="A32" s="89" t="s">
        <v>318</v>
      </c>
      <c r="B32" s="89" t="s">
        <v>2417</v>
      </c>
      <c r="C32" s="89" t="s">
        <v>2419</v>
      </c>
      <c r="D32" s="89" t="s">
        <v>2418</v>
      </c>
      <c r="E32" s="89" t="s">
        <v>2415</v>
      </c>
      <c r="F32" s="89" t="s">
        <v>2415</v>
      </c>
      <c r="G32" s="89" t="s">
        <v>2271</v>
      </c>
      <c r="H32" s="89" t="s">
        <v>2236</v>
      </c>
      <c r="I32" s="89" t="s">
        <v>2285</v>
      </c>
      <c r="J32" s="89" t="s">
        <v>811</v>
      </c>
      <c r="K32" s="89" t="s">
        <v>2415</v>
      </c>
      <c r="L32" s="89" t="s">
        <v>2417</v>
      </c>
      <c r="M32" s="89" t="s">
        <v>2416</v>
      </c>
      <c r="N32" s="89" t="s">
        <v>2209</v>
      </c>
      <c r="O32" s="89" t="s">
        <v>1140</v>
      </c>
      <c r="P32" s="89" t="s">
        <v>2415</v>
      </c>
    </row>
    <row r="33" spans="1:16" x14ac:dyDescent="0.25">
      <c r="A33" s="89" t="s">
        <v>315</v>
      </c>
      <c r="B33" s="89" t="s">
        <v>883</v>
      </c>
      <c r="C33" s="89" t="s">
        <v>1780</v>
      </c>
      <c r="D33" s="89" t="s">
        <v>683</v>
      </c>
      <c r="E33" s="89" t="s">
        <v>1768</v>
      </c>
      <c r="F33" s="89" t="s">
        <v>1768</v>
      </c>
      <c r="G33" s="89" t="s">
        <v>2414</v>
      </c>
      <c r="H33" s="89" t="s">
        <v>1267</v>
      </c>
      <c r="I33" s="89" t="s">
        <v>1714</v>
      </c>
      <c r="J33" s="89" t="s">
        <v>1103</v>
      </c>
      <c r="K33" s="89" t="s">
        <v>1768</v>
      </c>
      <c r="L33" s="89" t="s">
        <v>883</v>
      </c>
      <c r="M33" s="89" t="s">
        <v>2413</v>
      </c>
      <c r="N33" s="89" t="s">
        <v>650</v>
      </c>
      <c r="O33" s="89" t="s">
        <v>1329</v>
      </c>
      <c r="P33" s="89" t="s">
        <v>1768</v>
      </c>
    </row>
    <row r="34" spans="1:16" x14ac:dyDescent="0.25">
      <c r="A34" s="89" t="s">
        <v>312</v>
      </c>
      <c r="B34" s="89" t="s">
        <v>2053</v>
      </c>
      <c r="C34" s="89" t="s">
        <v>447</v>
      </c>
      <c r="D34" s="89" t="s">
        <v>1925</v>
      </c>
      <c r="E34" s="89" t="s">
        <v>2407</v>
      </c>
      <c r="F34" s="89" t="s">
        <v>2407</v>
      </c>
      <c r="G34" s="89" t="s">
        <v>1747</v>
      </c>
      <c r="H34" s="89" t="s">
        <v>2412</v>
      </c>
      <c r="I34" s="89" t="s">
        <v>2411</v>
      </c>
      <c r="J34" s="89" t="s">
        <v>2356</v>
      </c>
      <c r="K34" s="89" t="s">
        <v>2407</v>
      </c>
      <c r="L34" s="89" t="s">
        <v>2053</v>
      </c>
      <c r="M34" s="89" t="s">
        <v>2410</v>
      </c>
      <c r="N34" s="89" t="s">
        <v>2409</v>
      </c>
      <c r="O34" s="89" t="s">
        <v>2408</v>
      </c>
      <c r="P34" s="89" t="s">
        <v>2407</v>
      </c>
    </row>
    <row r="35" spans="1:16" x14ac:dyDescent="0.25">
      <c r="A35" s="89" t="s">
        <v>309</v>
      </c>
      <c r="B35" s="89" t="s">
        <v>2406</v>
      </c>
      <c r="C35" s="89" t="s">
        <v>743</v>
      </c>
      <c r="D35" s="89" t="s">
        <v>1434</v>
      </c>
      <c r="E35" s="89" t="s">
        <v>2203</v>
      </c>
      <c r="F35" s="89" t="s">
        <v>2203</v>
      </c>
      <c r="G35" s="89" t="s">
        <v>2283</v>
      </c>
      <c r="H35" s="89" t="s">
        <v>1178</v>
      </c>
      <c r="I35" s="89" t="s">
        <v>683</v>
      </c>
      <c r="J35" s="89" t="s">
        <v>1006</v>
      </c>
      <c r="K35" s="89" t="s">
        <v>2203</v>
      </c>
      <c r="L35" s="89" t="s">
        <v>2406</v>
      </c>
      <c r="M35" s="89" t="s">
        <v>1029</v>
      </c>
      <c r="N35" s="89" t="s">
        <v>1649</v>
      </c>
      <c r="O35" s="89" t="s">
        <v>1270</v>
      </c>
      <c r="P35" s="89" t="s">
        <v>2203</v>
      </c>
    </row>
    <row r="36" spans="1:16" x14ac:dyDescent="0.25">
      <c r="A36" s="89" t="s">
        <v>306</v>
      </c>
      <c r="B36" s="89" t="s">
        <v>2403</v>
      </c>
      <c r="C36" s="89" t="s">
        <v>963</v>
      </c>
      <c r="D36" s="89" t="s">
        <v>576</v>
      </c>
      <c r="E36" s="89" t="s">
        <v>1213</v>
      </c>
      <c r="F36" s="89" t="s">
        <v>1213</v>
      </c>
      <c r="G36" s="89" t="s">
        <v>455</v>
      </c>
      <c r="H36" s="89" t="s">
        <v>2405</v>
      </c>
      <c r="I36" s="89" t="s">
        <v>989</v>
      </c>
      <c r="J36" s="89" t="s">
        <v>2404</v>
      </c>
      <c r="K36" s="89" t="s">
        <v>1213</v>
      </c>
      <c r="L36" s="89" t="s">
        <v>2403</v>
      </c>
      <c r="M36" s="89" t="s">
        <v>520</v>
      </c>
      <c r="N36" s="89" t="s">
        <v>1397</v>
      </c>
      <c r="O36" s="89" t="s">
        <v>1104</v>
      </c>
      <c r="P36" s="89" t="s">
        <v>1213</v>
      </c>
    </row>
    <row r="37" spans="1:16" x14ac:dyDescent="0.25">
      <c r="A37" s="89" t="s">
        <v>303</v>
      </c>
      <c r="B37" s="89" t="s">
        <v>1258</v>
      </c>
      <c r="C37" s="89" t="s">
        <v>2402</v>
      </c>
      <c r="D37" s="89" t="s">
        <v>2401</v>
      </c>
      <c r="E37" s="89" t="s">
        <v>548</v>
      </c>
      <c r="F37" s="89" t="s">
        <v>548</v>
      </c>
      <c r="G37" s="89" t="s">
        <v>491</v>
      </c>
      <c r="H37" s="89" t="s">
        <v>1874</v>
      </c>
      <c r="I37" s="89" t="s">
        <v>1470</v>
      </c>
      <c r="J37" s="89" t="s">
        <v>789</v>
      </c>
      <c r="K37" s="89" t="s">
        <v>548</v>
      </c>
      <c r="L37" s="89" t="s">
        <v>1258</v>
      </c>
      <c r="M37" s="89" t="s">
        <v>2299</v>
      </c>
      <c r="N37" s="89" t="s">
        <v>2382</v>
      </c>
      <c r="O37" s="89" t="s">
        <v>726</v>
      </c>
      <c r="P37" s="89" t="s">
        <v>548</v>
      </c>
    </row>
    <row r="38" spans="1:16" x14ac:dyDescent="0.25">
      <c r="A38" s="89" t="s">
        <v>299</v>
      </c>
      <c r="B38" s="89" t="s">
        <v>2123</v>
      </c>
      <c r="C38" s="89" t="s">
        <v>527</v>
      </c>
      <c r="D38" s="89" t="s">
        <v>1515</v>
      </c>
      <c r="E38" s="89" t="s">
        <v>1054</v>
      </c>
      <c r="F38" s="89" t="s">
        <v>1054</v>
      </c>
      <c r="G38" s="89" t="s">
        <v>1267</v>
      </c>
      <c r="H38" s="89" t="s">
        <v>2400</v>
      </c>
      <c r="I38" s="89" t="s">
        <v>645</v>
      </c>
      <c r="J38" s="89" t="s">
        <v>1080</v>
      </c>
      <c r="K38" s="89" t="s">
        <v>1054</v>
      </c>
      <c r="L38" s="89" t="s">
        <v>2123</v>
      </c>
      <c r="M38" s="89" t="s">
        <v>1685</v>
      </c>
      <c r="N38" s="89" t="s">
        <v>2084</v>
      </c>
      <c r="O38" s="89" t="s">
        <v>1108</v>
      </c>
      <c r="P38" s="89" t="s">
        <v>1054</v>
      </c>
    </row>
    <row r="39" spans="1:16" x14ac:dyDescent="0.25">
      <c r="A39" s="89" t="s">
        <v>297</v>
      </c>
      <c r="B39" s="89" t="s">
        <v>639</v>
      </c>
      <c r="C39" s="89" t="s">
        <v>986</v>
      </c>
      <c r="D39" s="89" t="s">
        <v>986</v>
      </c>
      <c r="E39" s="89" t="s">
        <v>2127</v>
      </c>
      <c r="F39" s="89" t="s">
        <v>2127</v>
      </c>
      <c r="G39" s="89" t="s">
        <v>868</v>
      </c>
      <c r="H39" s="89" t="s">
        <v>743</v>
      </c>
      <c r="I39" s="89" t="s">
        <v>957</v>
      </c>
      <c r="J39" s="89" t="s">
        <v>889</v>
      </c>
      <c r="K39" s="89" t="s">
        <v>2127</v>
      </c>
      <c r="L39" s="89" t="s">
        <v>639</v>
      </c>
      <c r="M39" s="89" t="s">
        <v>1766</v>
      </c>
      <c r="N39" s="89" t="s">
        <v>773</v>
      </c>
      <c r="O39" s="89" t="s">
        <v>2371</v>
      </c>
      <c r="P39" s="89" t="s">
        <v>2127</v>
      </c>
    </row>
    <row r="40" spans="1:16" x14ac:dyDescent="0.25">
      <c r="A40" s="89" t="s">
        <v>294</v>
      </c>
      <c r="B40" s="89" t="s">
        <v>953</v>
      </c>
      <c r="C40" s="89" t="s">
        <v>1732</v>
      </c>
      <c r="D40" s="89" t="s">
        <v>1381</v>
      </c>
      <c r="E40" s="89" t="s">
        <v>1456</v>
      </c>
      <c r="F40" s="89" t="s">
        <v>1456</v>
      </c>
      <c r="G40" s="89" t="s">
        <v>1229</v>
      </c>
      <c r="H40" s="89" t="s">
        <v>699</v>
      </c>
      <c r="I40" s="89" t="s">
        <v>2399</v>
      </c>
      <c r="J40" s="89" t="s">
        <v>2235</v>
      </c>
      <c r="K40" s="89" t="s">
        <v>1456</v>
      </c>
      <c r="L40" s="89" t="s">
        <v>953</v>
      </c>
      <c r="M40" s="89" t="s">
        <v>2398</v>
      </c>
      <c r="N40" s="89" t="s">
        <v>1784</v>
      </c>
      <c r="O40" s="89" t="s">
        <v>658</v>
      </c>
      <c r="P40" s="89" t="s">
        <v>1456</v>
      </c>
    </row>
    <row r="41" spans="1:16" x14ac:dyDescent="0.25">
      <c r="A41" s="89" t="s">
        <v>290</v>
      </c>
      <c r="B41" s="89" t="s">
        <v>1463</v>
      </c>
      <c r="C41" s="89" t="s">
        <v>2252</v>
      </c>
      <c r="D41" s="89" t="s">
        <v>1332</v>
      </c>
      <c r="E41" s="89" t="s">
        <v>920</v>
      </c>
      <c r="F41" s="89" t="s">
        <v>920</v>
      </c>
      <c r="G41" s="89" t="s">
        <v>2397</v>
      </c>
      <c r="H41" s="89" t="s">
        <v>920</v>
      </c>
      <c r="I41" s="89" t="s">
        <v>499</v>
      </c>
      <c r="J41" s="89" t="s">
        <v>761</v>
      </c>
      <c r="K41" s="89" t="s">
        <v>920</v>
      </c>
      <c r="L41" s="89" t="s">
        <v>1463</v>
      </c>
      <c r="M41" s="89" t="s">
        <v>1778</v>
      </c>
      <c r="N41" s="89" t="s">
        <v>543</v>
      </c>
      <c r="O41" s="89" t="s">
        <v>762</v>
      </c>
      <c r="P41" s="89" t="s">
        <v>920</v>
      </c>
    </row>
    <row r="42" spans="1:16" x14ac:dyDescent="0.25">
      <c r="A42" s="89" t="s">
        <v>288</v>
      </c>
      <c r="B42" s="89" t="s">
        <v>540</v>
      </c>
      <c r="C42" s="89" t="s">
        <v>2055</v>
      </c>
      <c r="D42" s="89" t="s">
        <v>2396</v>
      </c>
      <c r="E42" s="89" t="s">
        <v>1074</v>
      </c>
      <c r="F42" s="89" t="s">
        <v>1074</v>
      </c>
      <c r="G42" s="89" t="s">
        <v>1347</v>
      </c>
      <c r="H42" s="89" t="s">
        <v>425</v>
      </c>
      <c r="I42" s="89" t="s">
        <v>768</v>
      </c>
      <c r="J42" s="89" t="s">
        <v>1589</v>
      </c>
      <c r="K42" s="89" t="s">
        <v>1074</v>
      </c>
      <c r="L42" s="89" t="s">
        <v>540</v>
      </c>
      <c r="M42" s="89" t="s">
        <v>963</v>
      </c>
      <c r="N42" s="89" t="s">
        <v>2395</v>
      </c>
      <c r="O42" s="89" t="s">
        <v>629</v>
      </c>
      <c r="P42" s="89" t="s">
        <v>1074</v>
      </c>
    </row>
    <row r="43" spans="1:16" x14ac:dyDescent="0.25">
      <c r="A43" s="89" t="s">
        <v>286</v>
      </c>
      <c r="B43" s="89" t="s">
        <v>408</v>
      </c>
      <c r="C43" s="89" t="s">
        <v>1782</v>
      </c>
      <c r="D43" s="89" t="s">
        <v>2347</v>
      </c>
      <c r="E43" s="89" t="s">
        <v>2273</v>
      </c>
      <c r="F43" s="89" t="s">
        <v>2273</v>
      </c>
      <c r="G43" s="89" t="s">
        <v>498</v>
      </c>
      <c r="H43" s="89" t="s">
        <v>658</v>
      </c>
      <c r="I43" s="89" t="s">
        <v>764</v>
      </c>
      <c r="J43" s="89" t="s">
        <v>846</v>
      </c>
      <c r="K43" s="89" t="s">
        <v>2273</v>
      </c>
      <c r="L43" s="89" t="s">
        <v>408</v>
      </c>
      <c r="M43" s="89" t="s">
        <v>688</v>
      </c>
      <c r="N43" s="89" t="s">
        <v>592</v>
      </c>
      <c r="O43" s="89" t="s">
        <v>930</v>
      </c>
      <c r="P43" s="89" t="s">
        <v>2273</v>
      </c>
    </row>
    <row r="44" spans="1:16" x14ac:dyDescent="0.25">
      <c r="A44" s="89" t="s">
        <v>284</v>
      </c>
      <c r="B44" s="89" t="s">
        <v>2232</v>
      </c>
      <c r="C44" s="89" t="s">
        <v>2100</v>
      </c>
      <c r="D44" s="89" t="s">
        <v>916</v>
      </c>
      <c r="E44" s="89" t="s">
        <v>2088</v>
      </c>
      <c r="F44" s="89" t="s">
        <v>2088</v>
      </c>
      <c r="G44" s="89" t="s">
        <v>667</v>
      </c>
      <c r="H44" s="89" t="s">
        <v>677</v>
      </c>
      <c r="I44" s="89" t="s">
        <v>1671</v>
      </c>
      <c r="J44" s="89" t="s">
        <v>553</v>
      </c>
      <c r="K44" s="89" t="s">
        <v>2088</v>
      </c>
      <c r="L44" s="89" t="s">
        <v>2232</v>
      </c>
      <c r="M44" s="89" t="s">
        <v>890</v>
      </c>
      <c r="N44" s="89" t="s">
        <v>1399</v>
      </c>
      <c r="O44" s="89" t="s">
        <v>2089</v>
      </c>
      <c r="P44" s="89" t="s">
        <v>2088</v>
      </c>
    </row>
    <row r="45" spans="1:16" x14ac:dyDescent="0.25">
      <c r="A45" s="89" t="s">
        <v>281</v>
      </c>
      <c r="B45" s="89" t="s">
        <v>2394</v>
      </c>
      <c r="C45" s="89" t="s">
        <v>2231</v>
      </c>
      <c r="D45" s="89" t="s">
        <v>1101</v>
      </c>
      <c r="E45" s="89" t="s">
        <v>558</v>
      </c>
      <c r="F45" s="89" t="s">
        <v>558</v>
      </c>
      <c r="G45" s="89" t="s">
        <v>498</v>
      </c>
      <c r="H45" s="89" t="s">
        <v>1985</v>
      </c>
      <c r="I45" s="89" t="s">
        <v>908</v>
      </c>
      <c r="J45" s="89" t="s">
        <v>2283</v>
      </c>
      <c r="K45" s="89" t="s">
        <v>558</v>
      </c>
      <c r="L45" s="89" t="s">
        <v>2394</v>
      </c>
      <c r="M45" s="89" t="s">
        <v>2158</v>
      </c>
      <c r="N45" s="89" t="s">
        <v>566</v>
      </c>
      <c r="O45" s="89" t="s">
        <v>856</v>
      </c>
      <c r="P45" s="89" t="s">
        <v>558</v>
      </c>
    </row>
    <row r="46" spans="1:16" x14ac:dyDescent="0.25">
      <c r="A46" s="89" t="s">
        <v>277</v>
      </c>
      <c r="B46" s="89" t="s">
        <v>2393</v>
      </c>
      <c r="C46" s="89" t="s">
        <v>1868</v>
      </c>
      <c r="D46" s="89" t="s">
        <v>2348</v>
      </c>
      <c r="E46" s="89" t="s">
        <v>2390</v>
      </c>
      <c r="F46" s="89" t="s">
        <v>2390</v>
      </c>
      <c r="G46" s="89" t="s">
        <v>1442</v>
      </c>
      <c r="H46" s="89" t="s">
        <v>1777</v>
      </c>
      <c r="I46" s="89" t="s">
        <v>1044</v>
      </c>
      <c r="J46" s="89" t="s">
        <v>2309</v>
      </c>
      <c r="K46" s="89" t="s">
        <v>2390</v>
      </c>
      <c r="L46" s="89" t="s">
        <v>2393</v>
      </c>
      <c r="M46" s="89" t="s">
        <v>2392</v>
      </c>
      <c r="N46" s="89" t="s">
        <v>2391</v>
      </c>
      <c r="O46" s="89" t="s">
        <v>447</v>
      </c>
      <c r="P46" s="89" t="s">
        <v>2390</v>
      </c>
    </row>
    <row r="47" spans="1:16" x14ac:dyDescent="0.25">
      <c r="A47" s="89" t="s">
        <v>275</v>
      </c>
      <c r="B47" s="89" t="s">
        <v>2386</v>
      </c>
      <c r="C47" s="89" t="s">
        <v>2389</v>
      </c>
      <c r="D47" s="89" t="s">
        <v>975</v>
      </c>
      <c r="E47" s="89" t="s">
        <v>2385</v>
      </c>
      <c r="F47" s="89" t="s">
        <v>2385</v>
      </c>
      <c r="G47" s="89" t="s">
        <v>1746</v>
      </c>
      <c r="H47" s="89" t="s">
        <v>402</v>
      </c>
      <c r="I47" s="89" t="s">
        <v>2388</v>
      </c>
      <c r="J47" s="89" t="s">
        <v>2387</v>
      </c>
      <c r="K47" s="89" t="s">
        <v>2385</v>
      </c>
      <c r="L47" s="89" t="s">
        <v>2386</v>
      </c>
      <c r="M47" s="89" t="s">
        <v>1678</v>
      </c>
      <c r="N47" s="89" t="s">
        <v>1776</v>
      </c>
      <c r="O47" s="89" t="s">
        <v>401</v>
      </c>
      <c r="P47" s="89" t="s">
        <v>2385</v>
      </c>
    </row>
    <row r="48" spans="1:16" x14ac:dyDescent="0.25">
      <c r="A48" s="89" t="s">
        <v>272</v>
      </c>
      <c r="B48" s="89" t="s">
        <v>588</v>
      </c>
      <c r="C48" s="89" t="s">
        <v>474</v>
      </c>
      <c r="D48" s="89" t="s">
        <v>2306</v>
      </c>
      <c r="E48" s="89" t="s">
        <v>2384</v>
      </c>
      <c r="F48" s="89" t="s">
        <v>2384</v>
      </c>
      <c r="G48" s="89" t="s">
        <v>866</v>
      </c>
      <c r="H48" s="89" t="s">
        <v>484</v>
      </c>
      <c r="I48" s="89" t="s">
        <v>1502</v>
      </c>
      <c r="J48" s="89" t="s">
        <v>581</v>
      </c>
      <c r="K48" s="89" t="s">
        <v>2384</v>
      </c>
      <c r="L48" s="89" t="s">
        <v>588</v>
      </c>
      <c r="M48" s="89" t="s">
        <v>624</v>
      </c>
      <c r="N48" s="89" t="s">
        <v>2011</v>
      </c>
      <c r="O48" s="89" t="s">
        <v>548</v>
      </c>
      <c r="P48" s="89" t="s">
        <v>2384</v>
      </c>
    </row>
    <row r="49" spans="1:16" x14ac:dyDescent="0.25">
      <c r="A49" s="89" t="s">
        <v>269</v>
      </c>
      <c r="B49" s="89" t="s">
        <v>1953</v>
      </c>
      <c r="C49" s="89" t="s">
        <v>732</v>
      </c>
      <c r="D49" s="89" t="s">
        <v>447</v>
      </c>
      <c r="E49" s="89" t="s">
        <v>471</v>
      </c>
      <c r="F49" s="89" t="s">
        <v>471</v>
      </c>
      <c r="G49" s="89" t="s">
        <v>521</v>
      </c>
      <c r="H49" s="89" t="s">
        <v>514</v>
      </c>
      <c r="I49" s="89" t="s">
        <v>2138</v>
      </c>
      <c r="J49" s="89" t="s">
        <v>402</v>
      </c>
      <c r="K49" s="89" t="s">
        <v>471</v>
      </c>
      <c r="L49" s="89" t="s">
        <v>1953</v>
      </c>
      <c r="M49" s="89" t="s">
        <v>515</v>
      </c>
      <c r="N49" s="89" t="s">
        <v>2383</v>
      </c>
      <c r="O49" s="89" t="s">
        <v>2382</v>
      </c>
      <c r="P49" s="89" t="s">
        <v>471</v>
      </c>
    </row>
    <row r="50" spans="1:16" x14ac:dyDescent="0.25">
      <c r="A50" s="89" t="s">
        <v>266</v>
      </c>
      <c r="B50" s="89" t="s">
        <v>2156</v>
      </c>
      <c r="C50" s="89" t="s">
        <v>2009</v>
      </c>
      <c r="D50" s="89" t="s">
        <v>539</v>
      </c>
      <c r="E50" s="89" t="s">
        <v>640</v>
      </c>
      <c r="F50" s="89" t="s">
        <v>640</v>
      </c>
      <c r="G50" s="89" t="s">
        <v>581</v>
      </c>
      <c r="H50" s="89" t="s">
        <v>2170</v>
      </c>
      <c r="I50" s="89" t="s">
        <v>2270</v>
      </c>
      <c r="J50" s="89" t="s">
        <v>610</v>
      </c>
      <c r="K50" s="89" t="s">
        <v>640</v>
      </c>
      <c r="L50" s="89" t="s">
        <v>2156</v>
      </c>
      <c r="M50" s="89" t="s">
        <v>2381</v>
      </c>
      <c r="N50" s="89" t="s">
        <v>1679</v>
      </c>
      <c r="O50" s="89" t="s">
        <v>2380</v>
      </c>
      <c r="P50" s="89" t="s">
        <v>640</v>
      </c>
    </row>
    <row r="51" spans="1:16" x14ac:dyDescent="0.25">
      <c r="A51" s="89" t="s">
        <v>263</v>
      </c>
      <c r="B51" s="89" t="s">
        <v>1634</v>
      </c>
      <c r="C51" s="89" t="s">
        <v>764</v>
      </c>
      <c r="D51" s="89" t="s">
        <v>564</v>
      </c>
      <c r="E51" s="89" t="s">
        <v>502</v>
      </c>
      <c r="F51" s="89" t="s">
        <v>502</v>
      </c>
      <c r="G51" s="89" t="s">
        <v>2379</v>
      </c>
      <c r="H51" s="89" t="s">
        <v>726</v>
      </c>
      <c r="I51" s="89" t="s">
        <v>662</v>
      </c>
      <c r="J51" s="89" t="s">
        <v>2096</v>
      </c>
      <c r="K51" s="89" t="s">
        <v>502</v>
      </c>
      <c r="L51" s="89" t="s">
        <v>1634</v>
      </c>
      <c r="M51" s="89" t="s">
        <v>803</v>
      </c>
      <c r="N51" s="89" t="s">
        <v>933</v>
      </c>
      <c r="O51" s="89" t="s">
        <v>1589</v>
      </c>
      <c r="P51" s="89" t="s">
        <v>502</v>
      </c>
    </row>
    <row r="52" spans="1:16" x14ac:dyDescent="0.25">
      <c r="A52" s="89" t="s">
        <v>260</v>
      </c>
      <c r="B52" s="89" t="s">
        <v>1947</v>
      </c>
      <c r="C52" s="89" t="s">
        <v>2378</v>
      </c>
      <c r="D52" s="89" t="s">
        <v>2211</v>
      </c>
      <c r="E52" s="89" t="s">
        <v>2210</v>
      </c>
      <c r="F52" s="89" t="s">
        <v>2210</v>
      </c>
      <c r="G52" s="89" t="s">
        <v>521</v>
      </c>
      <c r="H52" s="89" t="s">
        <v>1258</v>
      </c>
      <c r="I52" s="89" t="s">
        <v>2023</v>
      </c>
      <c r="J52" s="89" t="s">
        <v>1484</v>
      </c>
      <c r="K52" s="89" t="s">
        <v>2210</v>
      </c>
      <c r="L52" s="89" t="s">
        <v>1947</v>
      </c>
      <c r="M52" s="89" t="s">
        <v>555</v>
      </c>
      <c r="N52" s="89" t="s">
        <v>630</v>
      </c>
      <c r="O52" s="89" t="s">
        <v>2310</v>
      </c>
      <c r="P52" s="89" t="s">
        <v>2210</v>
      </c>
    </row>
    <row r="53" spans="1:16" x14ac:dyDescent="0.25">
      <c r="A53" s="89" t="s">
        <v>256</v>
      </c>
      <c r="B53" s="89" t="s">
        <v>685</v>
      </c>
      <c r="C53" s="89" t="s">
        <v>2179</v>
      </c>
      <c r="D53" s="89" t="s">
        <v>2377</v>
      </c>
      <c r="E53" s="89" t="s">
        <v>1694</v>
      </c>
      <c r="F53" s="89" t="s">
        <v>1694</v>
      </c>
      <c r="G53" s="89" t="s">
        <v>1022</v>
      </c>
      <c r="H53" s="89" t="s">
        <v>2376</v>
      </c>
      <c r="I53" s="89" t="s">
        <v>1441</v>
      </c>
      <c r="J53" s="89" t="s">
        <v>1503</v>
      </c>
      <c r="K53" s="89" t="s">
        <v>1694</v>
      </c>
      <c r="L53" s="89" t="s">
        <v>685</v>
      </c>
      <c r="M53" s="89" t="s">
        <v>776</v>
      </c>
      <c r="N53" s="89" t="s">
        <v>2292</v>
      </c>
      <c r="O53" s="89" t="s">
        <v>946</v>
      </c>
      <c r="P53" s="89" t="s">
        <v>1694</v>
      </c>
    </row>
    <row r="54" spans="1:16" x14ac:dyDescent="0.25">
      <c r="A54" s="89" t="s">
        <v>254</v>
      </c>
      <c r="B54" s="89" t="s">
        <v>700</v>
      </c>
      <c r="C54" s="89" t="s">
        <v>649</v>
      </c>
      <c r="D54" s="89" t="s">
        <v>1557</v>
      </c>
      <c r="E54" s="89" t="s">
        <v>1007</v>
      </c>
      <c r="F54" s="89" t="s">
        <v>1007</v>
      </c>
      <c r="G54" s="89" t="s">
        <v>2375</v>
      </c>
      <c r="H54" s="89" t="s">
        <v>1798</v>
      </c>
      <c r="I54" s="89" t="s">
        <v>1720</v>
      </c>
      <c r="J54" s="89" t="s">
        <v>845</v>
      </c>
      <c r="K54" s="89" t="s">
        <v>1007</v>
      </c>
      <c r="L54" s="89" t="s">
        <v>700</v>
      </c>
      <c r="M54" s="89" t="s">
        <v>1547</v>
      </c>
      <c r="N54" s="89" t="s">
        <v>1617</v>
      </c>
      <c r="O54" s="89" t="s">
        <v>1085</v>
      </c>
      <c r="P54" s="89" t="s">
        <v>1007</v>
      </c>
    </row>
    <row r="55" spans="1:16" x14ac:dyDescent="0.25">
      <c r="A55" s="89" t="s">
        <v>251</v>
      </c>
      <c r="B55" s="89" t="s">
        <v>1476</v>
      </c>
      <c r="C55" s="89" t="s">
        <v>2374</v>
      </c>
      <c r="D55" s="89" t="s">
        <v>2373</v>
      </c>
      <c r="E55" s="89" t="s">
        <v>2047</v>
      </c>
      <c r="F55" s="89" t="s">
        <v>2047</v>
      </c>
      <c r="G55" s="89" t="s">
        <v>646</v>
      </c>
      <c r="H55" s="89" t="s">
        <v>1093</v>
      </c>
      <c r="I55" s="89" t="s">
        <v>2150</v>
      </c>
      <c r="J55" s="89" t="s">
        <v>2337</v>
      </c>
      <c r="K55" s="89" t="s">
        <v>2047</v>
      </c>
      <c r="L55" s="89" t="s">
        <v>1476</v>
      </c>
      <c r="M55" s="89" t="s">
        <v>1848</v>
      </c>
      <c r="N55" s="89" t="s">
        <v>429</v>
      </c>
      <c r="O55" s="89" t="s">
        <v>447</v>
      </c>
      <c r="P55" s="89" t="s">
        <v>2047</v>
      </c>
    </row>
    <row r="56" spans="1:16" x14ac:dyDescent="0.25">
      <c r="A56" s="89" t="s">
        <v>248</v>
      </c>
      <c r="B56" s="89" t="s">
        <v>860</v>
      </c>
      <c r="C56" s="89" t="s">
        <v>1050</v>
      </c>
      <c r="D56" s="89" t="s">
        <v>1714</v>
      </c>
      <c r="E56" s="89" t="s">
        <v>732</v>
      </c>
      <c r="F56" s="89" t="s">
        <v>732</v>
      </c>
      <c r="G56" s="89" t="s">
        <v>502</v>
      </c>
      <c r="H56" s="89" t="s">
        <v>633</v>
      </c>
      <c r="I56" s="89" t="s">
        <v>908</v>
      </c>
      <c r="J56" s="89" t="s">
        <v>501</v>
      </c>
      <c r="K56" s="89" t="s">
        <v>732</v>
      </c>
      <c r="L56" s="89" t="s">
        <v>860</v>
      </c>
      <c r="M56" s="89" t="s">
        <v>1068</v>
      </c>
      <c r="N56" s="89" t="s">
        <v>2372</v>
      </c>
      <c r="O56" s="89" t="s">
        <v>1991</v>
      </c>
      <c r="P56" s="89" t="s">
        <v>732</v>
      </c>
    </row>
    <row r="57" spans="1:16" x14ac:dyDescent="0.25">
      <c r="A57" s="89" t="s">
        <v>245</v>
      </c>
      <c r="B57" s="89" t="s">
        <v>864</v>
      </c>
      <c r="C57" s="89" t="s">
        <v>2371</v>
      </c>
      <c r="D57" s="89" t="s">
        <v>2089</v>
      </c>
      <c r="E57" s="89" t="s">
        <v>1926</v>
      </c>
      <c r="F57" s="89" t="s">
        <v>1926</v>
      </c>
      <c r="G57" s="89" t="s">
        <v>2271</v>
      </c>
      <c r="H57" s="89" t="s">
        <v>2091</v>
      </c>
      <c r="I57" s="89" t="s">
        <v>752</v>
      </c>
      <c r="J57" s="89" t="s">
        <v>518</v>
      </c>
      <c r="K57" s="89" t="s">
        <v>1926</v>
      </c>
      <c r="L57" s="89" t="s">
        <v>864</v>
      </c>
      <c r="M57" s="89" t="s">
        <v>1624</v>
      </c>
      <c r="N57" s="89" t="s">
        <v>2370</v>
      </c>
      <c r="O57" s="89" t="s">
        <v>1068</v>
      </c>
      <c r="P57" s="89" t="s">
        <v>1926</v>
      </c>
    </row>
    <row r="58" spans="1:16" x14ac:dyDescent="0.25">
      <c r="A58" s="89" t="s">
        <v>243</v>
      </c>
      <c r="B58" s="89" t="s">
        <v>957</v>
      </c>
      <c r="C58" s="89" t="s">
        <v>658</v>
      </c>
      <c r="D58" s="89" t="s">
        <v>2091</v>
      </c>
      <c r="E58" s="89" t="s">
        <v>773</v>
      </c>
      <c r="F58" s="89" t="s">
        <v>773</v>
      </c>
      <c r="G58" s="89" t="s">
        <v>2369</v>
      </c>
      <c r="H58" s="89" t="s">
        <v>593</v>
      </c>
      <c r="I58" s="89" t="s">
        <v>2368</v>
      </c>
      <c r="J58" s="89" t="s">
        <v>2367</v>
      </c>
      <c r="K58" s="89" t="s">
        <v>773</v>
      </c>
      <c r="L58" s="89" t="s">
        <v>957</v>
      </c>
      <c r="M58" s="89" t="s">
        <v>1747</v>
      </c>
      <c r="N58" s="89" t="s">
        <v>1833</v>
      </c>
      <c r="O58" s="89" t="s">
        <v>2047</v>
      </c>
      <c r="P58" s="89" t="s">
        <v>773</v>
      </c>
    </row>
    <row r="59" spans="1:16" x14ac:dyDescent="0.25">
      <c r="A59" s="89" t="s">
        <v>240</v>
      </c>
      <c r="B59" s="89" t="s">
        <v>1261</v>
      </c>
      <c r="C59" s="89" t="s">
        <v>1896</v>
      </c>
      <c r="D59" s="89" t="s">
        <v>1404</v>
      </c>
      <c r="E59" s="89" t="s">
        <v>1055</v>
      </c>
      <c r="F59" s="89" t="s">
        <v>1055</v>
      </c>
      <c r="G59" s="89" t="s">
        <v>813</v>
      </c>
      <c r="H59" s="89" t="s">
        <v>1905</v>
      </c>
      <c r="I59" s="89" t="s">
        <v>1461</v>
      </c>
      <c r="J59" s="89" t="s">
        <v>590</v>
      </c>
      <c r="K59" s="89" t="s">
        <v>1055</v>
      </c>
      <c r="L59" s="89" t="s">
        <v>1261</v>
      </c>
      <c r="M59" s="89" t="s">
        <v>2231</v>
      </c>
      <c r="N59" s="89" t="s">
        <v>865</v>
      </c>
      <c r="O59" s="89" t="s">
        <v>2366</v>
      </c>
      <c r="P59" s="89" t="s">
        <v>1055</v>
      </c>
    </row>
    <row r="60" spans="1:16" x14ac:dyDescent="0.25">
      <c r="A60" s="89" t="s">
        <v>237</v>
      </c>
      <c r="B60" s="89" t="s">
        <v>1899</v>
      </c>
      <c r="C60" s="89" t="s">
        <v>776</v>
      </c>
      <c r="D60" s="89" t="s">
        <v>2022</v>
      </c>
      <c r="E60" s="89" t="s">
        <v>559</v>
      </c>
      <c r="F60" s="89" t="s">
        <v>559</v>
      </c>
      <c r="G60" s="89" t="s">
        <v>1632</v>
      </c>
      <c r="H60" s="89" t="s">
        <v>1975</v>
      </c>
      <c r="I60" s="89" t="s">
        <v>2365</v>
      </c>
      <c r="J60" s="89" t="s">
        <v>1633</v>
      </c>
      <c r="K60" s="89" t="s">
        <v>559</v>
      </c>
      <c r="L60" s="89" t="s">
        <v>1899</v>
      </c>
      <c r="M60" s="89" t="s">
        <v>2364</v>
      </c>
      <c r="N60" s="89" t="s">
        <v>2006</v>
      </c>
      <c r="O60" s="89" t="s">
        <v>2127</v>
      </c>
      <c r="P60" s="89" t="s">
        <v>559</v>
      </c>
    </row>
    <row r="61" spans="1:16" x14ac:dyDescent="0.25">
      <c r="A61" s="89" t="s">
        <v>233</v>
      </c>
      <c r="B61" s="89" t="s">
        <v>1306</v>
      </c>
      <c r="C61" s="89" t="s">
        <v>1437</v>
      </c>
      <c r="D61" s="89" t="s">
        <v>668</v>
      </c>
      <c r="E61" s="89" t="s">
        <v>2361</v>
      </c>
      <c r="F61" s="89" t="s">
        <v>2361</v>
      </c>
      <c r="G61" s="89" t="s">
        <v>1540</v>
      </c>
      <c r="H61" s="89" t="s">
        <v>510</v>
      </c>
      <c r="I61" s="89" t="s">
        <v>1798</v>
      </c>
      <c r="J61" s="89" t="s">
        <v>1890</v>
      </c>
      <c r="K61" s="89" t="s">
        <v>2361</v>
      </c>
      <c r="L61" s="89" t="s">
        <v>1306</v>
      </c>
      <c r="M61" s="89" t="s">
        <v>1054</v>
      </c>
      <c r="N61" s="89" t="s">
        <v>2363</v>
      </c>
      <c r="O61" s="89" t="s">
        <v>2362</v>
      </c>
      <c r="P61" s="89" t="s">
        <v>2361</v>
      </c>
    </row>
    <row r="62" spans="1:16" x14ac:dyDescent="0.25">
      <c r="A62" s="89" t="s">
        <v>199</v>
      </c>
      <c r="B62" s="89" t="s">
        <v>1024</v>
      </c>
      <c r="C62" s="89" t="s">
        <v>543</v>
      </c>
      <c r="D62" s="89" t="s">
        <v>2233</v>
      </c>
      <c r="E62" s="89" t="s">
        <v>2238</v>
      </c>
      <c r="F62" s="89" t="s">
        <v>2238</v>
      </c>
      <c r="G62" s="89" t="s">
        <v>2283</v>
      </c>
      <c r="H62" s="89" t="s">
        <v>425</v>
      </c>
      <c r="I62" s="89" t="s">
        <v>1437</v>
      </c>
      <c r="J62" s="89" t="s">
        <v>1760</v>
      </c>
      <c r="K62" s="89" t="s">
        <v>2238</v>
      </c>
      <c r="L62" s="89" t="s">
        <v>1024</v>
      </c>
      <c r="M62" s="89" t="s">
        <v>1485</v>
      </c>
      <c r="N62" s="89" t="s">
        <v>707</v>
      </c>
      <c r="O62" s="89" t="s">
        <v>1485</v>
      </c>
      <c r="P62" s="89" t="s">
        <v>2238</v>
      </c>
    </row>
    <row r="63" spans="1:16" x14ac:dyDescent="0.25">
      <c r="A63" s="89" t="s">
        <v>227</v>
      </c>
      <c r="B63" s="89" t="s">
        <v>2359</v>
      </c>
      <c r="C63" s="89" t="s">
        <v>2360</v>
      </c>
      <c r="D63" s="89" t="s">
        <v>1947</v>
      </c>
      <c r="E63" s="89" t="s">
        <v>2357</v>
      </c>
      <c r="F63" s="89" t="s">
        <v>2357</v>
      </c>
      <c r="G63" s="89" t="s">
        <v>1486</v>
      </c>
      <c r="H63" s="89" t="s">
        <v>1466</v>
      </c>
      <c r="I63" s="89" t="s">
        <v>1726</v>
      </c>
      <c r="J63" s="89" t="s">
        <v>866</v>
      </c>
      <c r="K63" s="89" t="s">
        <v>2357</v>
      </c>
      <c r="L63" s="89" t="s">
        <v>2359</v>
      </c>
      <c r="M63" s="89" t="s">
        <v>2358</v>
      </c>
      <c r="N63" s="89" t="s">
        <v>474</v>
      </c>
      <c r="O63" s="89" t="s">
        <v>2022</v>
      </c>
      <c r="P63" s="89" t="s">
        <v>2357</v>
      </c>
    </row>
    <row r="64" spans="1:16" x14ac:dyDescent="0.25">
      <c r="A64" s="89" t="s">
        <v>223</v>
      </c>
      <c r="B64" s="89" t="s">
        <v>1682</v>
      </c>
      <c r="C64" s="89" t="s">
        <v>683</v>
      </c>
      <c r="D64" s="89" t="s">
        <v>675</v>
      </c>
      <c r="E64" s="89" t="s">
        <v>2121</v>
      </c>
      <c r="F64" s="89" t="s">
        <v>2121</v>
      </c>
      <c r="G64" s="89" t="s">
        <v>1645</v>
      </c>
      <c r="H64" s="89" t="s">
        <v>2356</v>
      </c>
      <c r="I64" s="89" t="s">
        <v>2355</v>
      </c>
      <c r="J64" s="89" t="s">
        <v>2354</v>
      </c>
      <c r="K64" s="89" t="s">
        <v>2121</v>
      </c>
      <c r="L64" s="89" t="s">
        <v>1682</v>
      </c>
      <c r="M64" s="89" t="s">
        <v>794</v>
      </c>
      <c r="N64" s="89" t="s">
        <v>1664</v>
      </c>
      <c r="O64" s="89" t="s">
        <v>2094</v>
      </c>
      <c r="P64" s="89" t="s">
        <v>2121</v>
      </c>
    </row>
    <row r="65" spans="1:16" x14ac:dyDescent="0.25">
      <c r="A65" s="89" t="s">
        <v>220</v>
      </c>
      <c r="B65" s="89" t="s">
        <v>408</v>
      </c>
      <c r="C65" s="89" t="s">
        <v>1058</v>
      </c>
      <c r="D65" s="89" t="s">
        <v>604</v>
      </c>
      <c r="E65" s="89" t="s">
        <v>2353</v>
      </c>
      <c r="F65" s="89" t="s">
        <v>2353</v>
      </c>
      <c r="G65" s="89" t="s">
        <v>1855</v>
      </c>
      <c r="H65" s="89" t="s">
        <v>478</v>
      </c>
      <c r="I65" s="89" t="s">
        <v>1820</v>
      </c>
      <c r="J65" s="89" t="s">
        <v>1927</v>
      </c>
      <c r="K65" s="89" t="s">
        <v>2353</v>
      </c>
      <c r="L65" s="89" t="s">
        <v>408</v>
      </c>
      <c r="M65" s="89" t="s">
        <v>496</v>
      </c>
      <c r="N65" s="89" t="s">
        <v>2350</v>
      </c>
      <c r="O65" s="89" t="s">
        <v>992</v>
      </c>
      <c r="P65" s="89" t="s">
        <v>2353</v>
      </c>
    </row>
    <row r="66" spans="1:16" x14ac:dyDescent="0.25">
      <c r="A66" s="89" t="s">
        <v>217</v>
      </c>
      <c r="B66" s="89" t="s">
        <v>605</v>
      </c>
      <c r="C66" s="89" t="s">
        <v>600</v>
      </c>
      <c r="D66" s="89" t="s">
        <v>2056</v>
      </c>
      <c r="E66" s="89" t="s">
        <v>533</v>
      </c>
      <c r="F66" s="89" t="s">
        <v>533</v>
      </c>
      <c r="G66" s="89" t="s">
        <v>2352</v>
      </c>
      <c r="H66" s="89" t="s">
        <v>1780</v>
      </c>
      <c r="I66" s="89" t="s">
        <v>1653</v>
      </c>
      <c r="J66" s="89" t="s">
        <v>609</v>
      </c>
      <c r="K66" s="89" t="s">
        <v>533</v>
      </c>
      <c r="L66" s="89" t="s">
        <v>605</v>
      </c>
      <c r="M66" s="89" t="s">
        <v>865</v>
      </c>
      <c r="N66" s="89" t="s">
        <v>687</v>
      </c>
      <c r="O66" s="89" t="s">
        <v>2351</v>
      </c>
      <c r="P66" s="89" t="s">
        <v>533</v>
      </c>
    </row>
    <row r="67" spans="1:16" x14ac:dyDescent="0.25">
      <c r="A67" s="89" t="s">
        <v>214</v>
      </c>
      <c r="B67" s="89" t="s">
        <v>2349</v>
      </c>
      <c r="C67" s="89" t="s">
        <v>2350</v>
      </c>
      <c r="D67" s="89" t="s">
        <v>437</v>
      </c>
      <c r="E67" s="89" t="s">
        <v>2306</v>
      </c>
      <c r="F67" s="89" t="s">
        <v>2306</v>
      </c>
      <c r="G67" s="89" t="s">
        <v>1342</v>
      </c>
      <c r="H67" s="89" t="s">
        <v>2160</v>
      </c>
      <c r="I67" s="89" t="s">
        <v>743</v>
      </c>
      <c r="J67" s="89" t="s">
        <v>1755</v>
      </c>
      <c r="K67" s="89" t="s">
        <v>2306</v>
      </c>
      <c r="L67" s="89" t="s">
        <v>2349</v>
      </c>
      <c r="M67" s="89" t="s">
        <v>586</v>
      </c>
      <c r="N67" s="89" t="s">
        <v>2011</v>
      </c>
      <c r="O67" s="89" t="s">
        <v>2348</v>
      </c>
      <c r="P67" s="89" t="s">
        <v>2306</v>
      </c>
    </row>
    <row r="68" spans="1:16" x14ac:dyDescent="0.25">
      <c r="A68" s="89" t="s">
        <v>212</v>
      </c>
      <c r="B68" s="89" t="s">
        <v>957</v>
      </c>
      <c r="C68" s="89" t="s">
        <v>971</v>
      </c>
      <c r="D68" s="89" t="s">
        <v>2152</v>
      </c>
      <c r="E68" s="89" t="s">
        <v>2152</v>
      </c>
      <c r="F68" s="89" t="s">
        <v>2152</v>
      </c>
      <c r="G68" s="89" t="s">
        <v>2282</v>
      </c>
      <c r="H68" s="89" t="s">
        <v>993</v>
      </c>
      <c r="I68" s="89" t="s">
        <v>889</v>
      </c>
      <c r="J68" s="89" t="s">
        <v>890</v>
      </c>
      <c r="K68" s="89" t="s">
        <v>2152</v>
      </c>
      <c r="L68" s="89" t="s">
        <v>957</v>
      </c>
      <c r="M68" s="89" t="s">
        <v>721</v>
      </c>
      <c r="N68" s="89" t="s">
        <v>2347</v>
      </c>
      <c r="O68" s="89" t="s">
        <v>523</v>
      </c>
      <c r="P68" s="89" t="s">
        <v>2152</v>
      </c>
    </row>
    <row r="69" spans="1:16" x14ac:dyDescent="0.25">
      <c r="A69" s="89" t="s">
        <v>209</v>
      </c>
      <c r="B69" s="89" t="s">
        <v>2342</v>
      </c>
      <c r="C69" s="89" t="s">
        <v>1827</v>
      </c>
      <c r="D69" s="89" t="s">
        <v>1898</v>
      </c>
      <c r="E69" s="89" t="s">
        <v>629</v>
      </c>
      <c r="F69" s="89" t="s">
        <v>629</v>
      </c>
      <c r="G69" s="89" t="s">
        <v>2346</v>
      </c>
      <c r="H69" s="89" t="s">
        <v>2345</v>
      </c>
      <c r="I69" s="89" t="s">
        <v>2344</v>
      </c>
      <c r="J69" s="89" t="s">
        <v>2343</v>
      </c>
      <c r="K69" s="89" t="s">
        <v>629</v>
      </c>
      <c r="L69" s="89" t="s">
        <v>2342</v>
      </c>
      <c r="M69" s="89" t="s">
        <v>1655</v>
      </c>
      <c r="N69" s="89" t="s">
        <v>780</v>
      </c>
      <c r="O69" s="89" t="s">
        <v>2073</v>
      </c>
      <c r="P69" s="89" t="s">
        <v>629</v>
      </c>
    </row>
    <row r="70" spans="1:16" x14ac:dyDescent="0.25">
      <c r="A70" s="89" t="s">
        <v>207</v>
      </c>
      <c r="B70" s="89" t="s">
        <v>1634</v>
      </c>
      <c r="C70" s="89" t="s">
        <v>660</v>
      </c>
      <c r="D70" s="89" t="s">
        <v>401</v>
      </c>
      <c r="E70" s="89" t="s">
        <v>2123</v>
      </c>
      <c r="F70" s="89" t="s">
        <v>2123</v>
      </c>
      <c r="G70" s="89" t="s">
        <v>1253</v>
      </c>
      <c r="H70" s="89" t="s">
        <v>716</v>
      </c>
      <c r="I70" s="89" t="s">
        <v>1059</v>
      </c>
      <c r="J70" s="89" t="s">
        <v>2235</v>
      </c>
      <c r="K70" s="89" t="s">
        <v>2123</v>
      </c>
      <c r="L70" s="89" t="s">
        <v>1634</v>
      </c>
      <c r="M70" s="89" t="s">
        <v>840</v>
      </c>
      <c r="N70" s="89" t="s">
        <v>408</v>
      </c>
      <c r="O70" s="89" t="s">
        <v>579</v>
      </c>
      <c r="P70" s="89" t="s">
        <v>2123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selection activeCell="E23" sqref="E23"/>
    </sheetView>
  </sheetViews>
  <sheetFormatPr baseColWidth="10" defaultColWidth="10.85546875" defaultRowHeight="15.75" x14ac:dyDescent="0.25"/>
  <cols>
    <col min="1" max="1" width="86.42578125" style="89" bestFit="1" customWidth="1"/>
    <col min="2" max="16384" width="10.85546875" style="89"/>
  </cols>
  <sheetData>
    <row r="1" spans="1:16" x14ac:dyDescent="0.25">
      <c r="A1" s="106" t="s">
        <v>397</v>
      </c>
    </row>
    <row r="2" spans="1:16" x14ac:dyDescent="0.25">
      <c r="A2" s="106"/>
      <c r="B2" s="106" t="s">
        <v>1003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x14ac:dyDescent="0.25">
      <c r="A3" s="106"/>
      <c r="B3" s="106" t="s">
        <v>1002</v>
      </c>
      <c r="C3" s="106"/>
      <c r="D3" s="106"/>
      <c r="E3" s="106"/>
      <c r="F3" s="106"/>
      <c r="G3" s="106" t="s">
        <v>1001</v>
      </c>
      <c r="H3" s="106"/>
      <c r="I3" s="106"/>
      <c r="J3" s="106"/>
      <c r="K3" s="106"/>
      <c r="L3" s="106" t="s">
        <v>1000</v>
      </c>
      <c r="M3" s="106"/>
      <c r="N3" s="106"/>
      <c r="O3" s="106"/>
      <c r="P3" s="106"/>
    </row>
    <row r="4" spans="1:16" x14ac:dyDescent="0.25">
      <c r="A4" s="106"/>
      <c r="B4" s="106" t="s">
        <v>2535</v>
      </c>
      <c r="C4" s="106"/>
      <c r="D4" s="106"/>
      <c r="E4" s="106"/>
      <c r="F4" s="106"/>
      <c r="G4" s="106" t="s">
        <v>2535</v>
      </c>
      <c r="H4" s="106"/>
      <c r="I4" s="106"/>
      <c r="J4" s="106"/>
      <c r="K4" s="106"/>
      <c r="L4" s="106" t="s">
        <v>2535</v>
      </c>
      <c r="M4" s="106"/>
      <c r="N4" s="106"/>
      <c r="O4" s="106"/>
      <c r="P4" s="106"/>
    </row>
    <row r="5" spans="1:16" x14ac:dyDescent="0.25">
      <c r="A5" s="106"/>
      <c r="B5" s="89" t="s">
        <v>998</v>
      </c>
      <c r="C5" s="89" t="s">
        <v>997</v>
      </c>
      <c r="D5" s="89" t="s">
        <v>996</v>
      </c>
      <c r="E5" s="89" t="s">
        <v>995</v>
      </c>
      <c r="F5" s="89" t="s">
        <v>994</v>
      </c>
      <c r="G5" s="89" t="s">
        <v>998</v>
      </c>
      <c r="H5" s="89" t="s">
        <v>997</v>
      </c>
      <c r="I5" s="89" t="s">
        <v>996</v>
      </c>
      <c r="J5" s="89" t="s">
        <v>995</v>
      </c>
      <c r="K5" s="89" t="s">
        <v>994</v>
      </c>
      <c r="L5" s="89" t="s">
        <v>998</v>
      </c>
      <c r="M5" s="89" t="s">
        <v>997</v>
      </c>
      <c r="N5" s="89" t="s">
        <v>996</v>
      </c>
      <c r="O5" s="89" t="s">
        <v>995</v>
      </c>
      <c r="P5" s="89" t="s">
        <v>994</v>
      </c>
    </row>
    <row r="6" spans="1:16" x14ac:dyDescent="0.25">
      <c r="A6" s="89" t="s">
        <v>394</v>
      </c>
      <c r="B6" s="89" t="s">
        <v>534</v>
      </c>
      <c r="C6" s="89" t="s">
        <v>235</v>
      </c>
      <c r="D6" s="89" t="s">
        <v>235</v>
      </c>
      <c r="E6" s="89" t="s">
        <v>235</v>
      </c>
      <c r="F6" s="89" t="s">
        <v>235</v>
      </c>
      <c r="G6" s="89" t="s">
        <v>2534</v>
      </c>
      <c r="H6" s="89" t="s">
        <v>235</v>
      </c>
      <c r="I6" s="89" t="s">
        <v>235</v>
      </c>
      <c r="J6" s="89" t="s">
        <v>235</v>
      </c>
      <c r="K6" s="89" t="s">
        <v>235</v>
      </c>
      <c r="L6" s="89" t="s">
        <v>534</v>
      </c>
      <c r="M6" s="89" t="s">
        <v>235</v>
      </c>
      <c r="N6" s="89" t="s">
        <v>235</v>
      </c>
      <c r="O6" s="89" t="s">
        <v>235</v>
      </c>
      <c r="P6" s="89" t="s">
        <v>235</v>
      </c>
    </row>
    <row r="7" spans="1:16" x14ac:dyDescent="0.25">
      <c r="A7" s="89" t="s">
        <v>392</v>
      </c>
      <c r="B7" s="89" t="s">
        <v>605</v>
      </c>
      <c r="C7" s="89" t="s">
        <v>235</v>
      </c>
      <c r="D7" s="89" t="s">
        <v>235</v>
      </c>
      <c r="E7" s="89" t="s">
        <v>235</v>
      </c>
      <c r="F7" s="89" t="s">
        <v>235</v>
      </c>
      <c r="G7" s="89" t="s">
        <v>2533</v>
      </c>
      <c r="H7" s="89" t="s">
        <v>235</v>
      </c>
      <c r="I7" s="89" t="s">
        <v>235</v>
      </c>
      <c r="J7" s="89" t="s">
        <v>235</v>
      </c>
      <c r="K7" s="89" t="s">
        <v>235</v>
      </c>
      <c r="L7" s="89" t="s">
        <v>605</v>
      </c>
      <c r="M7" s="89" t="s">
        <v>235</v>
      </c>
      <c r="N7" s="89" t="s">
        <v>235</v>
      </c>
      <c r="O7" s="89" t="s">
        <v>235</v>
      </c>
      <c r="P7" s="89" t="s">
        <v>235</v>
      </c>
    </row>
    <row r="8" spans="1:16" x14ac:dyDescent="0.25">
      <c r="A8" s="89" t="s">
        <v>389</v>
      </c>
      <c r="B8" s="89" t="s">
        <v>2170</v>
      </c>
      <c r="C8" s="89" t="s">
        <v>235</v>
      </c>
      <c r="D8" s="89" t="s">
        <v>235</v>
      </c>
      <c r="E8" s="89" t="s">
        <v>235</v>
      </c>
      <c r="F8" s="89" t="s">
        <v>235</v>
      </c>
      <c r="G8" s="89" t="s">
        <v>2532</v>
      </c>
      <c r="H8" s="89" t="s">
        <v>235</v>
      </c>
      <c r="I8" s="89" t="s">
        <v>235</v>
      </c>
      <c r="J8" s="89" t="s">
        <v>235</v>
      </c>
      <c r="K8" s="89" t="s">
        <v>235</v>
      </c>
      <c r="L8" s="89" t="s">
        <v>2170</v>
      </c>
      <c r="M8" s="89" t="s">
        <v>235</v>
      </c>
      <c r="N8" s="89" t="s">
        <v>235</v>
      </c>
      <c r="O8" s="89" t="s">
        <v>235</v>
      </c>
      <c r="P8" s="89" t="s">
        <v>235</v>
      </c>
    </row>
    <row r="9" spans="1:16" x14ac:dyDescent="0.25">
      <c r="A9" s="89" t="s">
        <v>386</v>
      </c>
      <c r="B9" s="89" t="s">
        <v>697</v>
      </c>
      <c r="C9" s="89" t="s">
        <v>235</v>
      </c>
      <c r="D9" s="89" t="s">
        <v>235</v>
      </c>
      <c r="E9" s="89" t="s">
        <v>235</v>
      </c>
      <c r="F9" s="89" t="s">
        <v>235</v>
      </c>
      <c r="G9" s="89" t="s">
        <v>2531</v>
      </c>
      <c r="H9" s="89" t="s">
        <v>235</v>
      </c>
      <c r="I9" s="89" t="s">
        <v>235</v>
      </c>
      <c r="J9" s="89" t="s">
        <v>235</v>
      </c>
      <c r="K9" s="89" t="s">
        <v>235</v>
      </c>
      <c r="L9" s="89" t="s">
        <v>697</v>
      </c>
      <c r="M9" s="89" t="s">
        <v>235</v>
      </c>
      <c r="N9" s="89" t="s">
        <v>235</v>
      </c>
      <c r="O9" s="89" t="s">
        <v>235</v>
      </c>
      <c r="P9" s="89" t="s">
        <v>235</v>
      </c>
    </row>
    <row r="10" spans="1:16" x14ac:dyDescent="0.25">
      <c r="A10" s="89" t="s">
        <v>383</v>
      </c>
      <c r="B10" s="89" t="s">
        <v>1821</v>
      </c>
      <c r="C10" s="89" t="s">
        <v>235</v>
      </c>
      <c r="D10" s="89" t="s">
        <v>235</v>
      </c>
      <c r="E10" s="89" t="s">
        <v>235</v>
      </c>
      <c r="F10" s="89" t="s">
        <v>235</v>
      </c>
      <c r="G10" s="89" t="s">
        <v>1974</v>
      </c>
      <c r="H10" s="89" t="s">
        <v>235</v>
      </c>
      <c r="I10" s="89" t="s">
        <v>235</v>
      </c>
      <c r="J10" s="89" t="s">
        <v>235</v>
      </c>
      <c r="K10" s="89" t="s">
        <v>235</v>
      </c>
      <c r="L10" s="89" t="s">
        <v>1821</v>
      </c>
      <c r="M10" s="89" t="s">
        <v>235</v>
      </c>
      <c r="N10" s="89" t="s">
        <v>235</v>
      </c>
      <c r="O10" s="89" t="s">
        <v>235</v>
      </c>
      <c r="P10" s="89" t="s">
        <v>235</v>
      </c>
    </row>
    <row r="11" spans="1:16" x14ac:dyDescent="0.25">
      <c r="A11" s="89" t="s">
        <v>380</v>
      </c>
      <c r="B11" s="89" t="s">
        <v>2529</v>
      </c>
      <c r="C11" s="89" t="s">
        <v>235</v>
      </c>
      <c r="D11" s="89" t="s">
        <v>235</v>
      </c>
      <c r="E11" s="89" t="s">
        <v>235</v>
      </c>
      <c r="F11" s="89" t="s">
        <v>235</v>
      </c>
      <c r="G11" s="89" t="s">
        <v>2530</v>
      </c>
      <c r="H11" s="89" t="s">
        <v>235</v>
      </c>
      <c r="I11" s="89" t="s">
        <v>235</v>
      </c>
      <c r="J11" s="89" t="s">
        <v>235</v>
      </c>
      <c r="K11" s="89" t="s">
        <v>235</v>
      </c>
      <c r="L11" s="89" t="s">
        <v>2529</v>
      </c>
      <c r="M11" s="89" t="s">
        <v>235</v>
      </c>
      <c r="N11" s="89" t="s">
        <v>235</v>
      </c>
      <c r="O11" s="89" t="s">
        <v>235</v>
      </c>
      <c r="P11" s="89" t="s">
        <v>235</v>
      </c>
    </row>
    <row r="12" spans="1:16" x14ac:dyDescent="0.25">
      <c r="A12" s="89" t="s">
        <v>377</v>
      </c>
      <c r="B12" s="89" t="s">
        <v>1808</v>
      </c>
      <c r="C12" s="89" t="s">
        <v>235</v>
      </c>
      <c r="D12" s="89" t="s">
        <v>235</v>
      </c>
      <c r="E12" s="89" t="s">
        <v>235</v>
      </c>
      <c r="F12" s="89" t="s">
        <v>235</v>
      </c>
      <c r="G12" s="89" t="s">
        <v>2528</v>
      </c>
      <c r="H12" s="89" t="s">
        <v>235</v>
      </c>
      <c r="I12" s="89" t="s">
        <v>235</v>
      </c>
      <c r="J12" s="89" t="s">
        <v>235</v>
      </c>
      <c r="K12" s="89" t="s">
        <v>235</v>
      </c>
      <c r="L12" s="89" t="s">
        <v>1808</v>
      </c>
      <c r="M12" s="89" t="s">
        <v>235</v>
      </c>
      <c r="N12" s="89" t="s">
        <v>235</v>
      </c>
      <c r="O12" s="89" t="s">
        <v>235</v>
      </c>
      <c r="P12" s="89" t="s">
        <v>235</v>
      </c>
    </row>
    <row r="13" spans="1:16" x14ac:dyDescent="0.25">
      <c r="A13" s="89" t="s">
        <v>374</v>
      </c>
      <c r="B13" s="89" t="s">
        <v>2053</v>
      </c>
      <c r="C13" s="89" t="s">
        <v>235</v>
      </c>
      <c r="D13" s="89" t="s">
        <v>235</v>
      </c>
      <c r="E13" s="89" t="s">
        <v>235</v>
      </c>
      <c r="F13" s="89" t="s">
        <v>235</v>
      </c>
      <c r="G13" s="89" t="s">
        <v>2527</v>
      </c>
      <c r="H13" s="89" t="s">
        <v>235</v>
      </c>
      <c r="I13" s="89" t="s">
        <v>235</v>
      </c>
      <c r="J13" s="89" t="s">
        <v>235</v>
      </c>
      <c r="K13" s="89" t="s">
        <v>235</v>
      </c>
      <c r="L13" s="89" t="s">
        <v>2053</v>
      </c>
      <c r="M13" s="89" t="s">
        <v>235</v>
      </c>
      <c r="N13" s="89" t="s">
        <v>235</v>
      </c>
      <c r="O13" s="89" t="s">
        <v>235</v>
      </c>
      <c r="P13" s="89" t="s">
        <v>235</v>
      </c>
    </row>
    <row r="14" spans="1:16" x14ac:dyDescent="0.25">
      <c r="A14" s="89" t="s">
        <v>371</v>
      </c>
      <c r="B14" s="89" t="s">
        <v>510</v>
      </c>
      <c r="C14" s="89" t="s">
        <v>235</v>
      </c>
      <c r="D14" s="89" t="s">
        <v>235</v>
      </c>
      <c r="E14" s="89" t="s">
        <v>235</v>
      </c>
      <c r="F14" s="89" t="s">
        <v>235</v>
      </c>
      <c r="G14" s="89" t="s">
        <v>2526</v>
      </c>
      <c r="H14" s="89" t="s">
        <v>235</v>
      </c>
      <c r="I14" s="89" t="s">
        <v>235</v>
      </c>
      <c r="J14" s="89" t="s">
        <v>235</v>
      </c>
      <c r="K14" s="89" t="s">
        <v>235</v>
      </c>
      <c r="L14" s="89" t="s">
        <v>510</v>
      </c>
      <c r="M14" s="89" t="s">
        <v>235</v>
      </c>
      <c r="N14" s="89" t="s">
        <v>235</v>
      </c>
      <c r="O14" s="89" t="s">
        <v>235</v>
      </c>
      <c r="P14" s="89" t="s">
        <v>235</v>
      </c>
    </row>
    <row r="15" spans="1:16" x14ac:dyDescent="0.25">
      <c r="A15" s="89" t="s">
        <v>368</v>
      </c>
      <c r="B15" s="89" t="s">
        <v>1211</v>
      </c>
      <c r="C15" s="89" t="s">
        <v>235</v>
      </c>
      <c r="D15" s="89" t="s">
        <v>235</v>
      </c>
      <c r="E15" s="89" t="s">
        <v>235</v>
      </c>
      <c r="F15" s="89" t="s">
        <v>235</v>
      </c>
      <c r="G15" s="89" t="s">
        <v>2525</v>
      </c>
      <c r="H15" s="89" t="s">
        <v>235</v>
      </c>
      <c r="I15" s="89" t="s">
        <v>235</v>
      </c>
      <c r="J15" s="89" t="s">
        <v>235</v>
      </c>
      <c r="K15" s="89" t="s">
        <v>235</v>
      </c>
      <c r="L15" s="89" t="s">
        <v>1211</v>
      </c>
      <c r="M15" s="89" t="s">
        <v>235</v>
      </c>
      <c r="N15" s="89" t="s">
        <v>235</v>
      </c>
      <c r="O15" s="89" t="s">
        <v>235</v>
      </c>
      <c r="P15" s="89" t="s">
        <v>235</v>
      </c>
    </row>
    <row r="16" spans="1:16" x14ac:dyDescent="0.25">
      <c r="A16" s="89" t="s">
        <v>366</v>
      </c>
      <c r="B16" s="89" t="s">
        <v>2524</v>
      </c>
      <c r="C16" s="89" t="s">
        <v>235</v>
      </c>
      <c r="D16" s="89" t="s">
        <v>235</v>
      </c>
      <c r="E16" s="89" t="s">
        <v>235</v>
      </c>
      <c r="F16" s="89" t="s">
        <v>235</v>
      </c>
      <c r="G16" s="89" t="s">
        <v>2470</v>
      </c>
      <c r="H16" s="89" t="s">
        <v>235</v>
      </c>
      <c r="I16" s="89" t="s">
        <v>235</v>
      </c>
      <c r="J16" s="89" t="s">
        <v>235</v>
      </c>
      <c r="K16" s="89" t="s">
        <v>235</v>
      </c>
      <c r="L16" s="89" t="s">
        <v>2524</v>
      </c>
      <c r="M16" s="89" t="s">
        <v>235</v>
      </c>
      <c r="N16" s="89" t="s">
        <v>235</v>
      </c>
      <c r="O16" s="89" t="s">
        <v>235</v>
      </c>
      <c r="P16" s="89" t="s">
        <v>235</v>
      </c>
    </row>
    <row r="17" spans="1:16" x14ac:dyDescent="0.25">
      <c r="A17" s="89" t="s">
        <v>363</v>
      </c>
      <c r="B17" s="89" t="s">
        <v>2522</v>
      </c>
      <c r="C17" s="89" t="s">
        <v>235</v>
      </c>
      <c r="D17" s="89" t="s">
        <v>235</v>
      </c>
      <c r="E17" s="89" t="s">
        <v>235</v>
      </c>
      <c r="F17" s="89" t="s">
        <v>235</v>
      </c>
      <c r="G17" s="89" t="s">
        <v>2523</v>
      </c>
      <c r="H17" s="89" t="s">
        <v>235</v>
      </c>
      <c r="I17" s="89" t="s">
        <v>235</v>
      </c>
      <c r="J17" s="89" t="s">
        <v>235</v>
      </c>
      <c r="K17" s="89" t="s">
        <v>235</v>
      </c>
      <c r="L17" s="89" t="s">
        <v>2522</v>
      </c>
      <c r="M17" s="89" t="s">
        <v>235</v>
      </c>
      <c r="N17" s="89" t="s">
        <v>235</v>
      </c>
      <c r="O17" s="89" t="s">
        <v>235</v>
      </c>
      <c r="P17" s="89" t="s">
        <v>235</v>
      </c>
    </row>
    <row r="18" spans="1:16" x14ac:dyDescent="0.25">
      <c r="A18" s="89" t="s">
        <v>360</v>
      </c>
      <c r="B18" s="89" t="s">
        <v>1299</v>
      </c>
      <c r="C18" s="89" t="s">
        <v>235</v>
      </c>
      <c r="D18" s="89" t="s">
        <v>235</v>
      </c>
      <c r="E18" s="89" t="s">
        <v>235</v>
      </c>
      <c r="F18" s="89" t="s">
        <v>235</v>
      </c>
      <c r="G18" s="89" t="s">
        <v>2229</v>
      </c>
      <c r="H18" s="89" t="s">
        <v>235</v>
      </c>
      <c r="I18" s="89" t="s">
        <v>235</v>
      </c>
      <c r="J18" s="89" t="s">
        <v>235</v>
      </c>
      <c r="K18" s="89" t="s">
        <v>235</v>
      </c>
      <c r="L18" s="89" t="s">
        <v>1299</v>
      </c>
      <c r="M18" s="89" t="s">
        <v>235</v>
      </c>
      <c r="N18" s="89" t="s">
        <v>235</v>
      </c>
      <c r="O18" s="89" t="s">
        <v>235</v>
      </c>
      <c r="P18" s="89" t="s">
        <v>235</v>
      </c>
    </row>
    <row r="19" spans="1:16" x14ac:dyDescent="0.25">
      <c r="A19" s="89" t="s">
        <v>357</v>
      </c>
      <c r="B19" s="89" t="s">
        <v>1556</v>
      </c>
      <c r="C19" s="89" t="s">
        <v>235</v>
      </c>
      <c r="D19" s="89" t="s">
        <v>235</v>
      </c>
      <c r="E19" s="89" t="s">
        <v>235</v>
      </c>
      <c r="F19" s="89" t="s">
        <v>235</v>
      </c>
      <c r="G19" s="89" t="s">
        <v>2027</v>
      </c>
      <c r="H19" s="89" t="s">
        <v>235</v>
      </c>
      <c r="I19" s="89" t="s">
        <v>235</v>
      </c>
      <c r="J19" s="89" t="s">
        <v>235</v>
      </c>
      <c r="K19" s="89" t="s">
        <v>235</v>
      </c>
      <c r="L19" s="89" t="s">
        <v>1556</v>
      </c>
      <c r="M19" s="89" t="s">
        <v>235</v>
      </c>
      <c r="N19" s="89" t="s">
        <v>235</v>
      </c>
      <c r="O19" s="89" t="s">
        <v>235</v>
      </c>
      <c r="P19" s="89" t="s">
        <v>235</v>
      </c>
    </row>
    <row r="20" spans="1:16" x14ac:dyDescent="0.25">
      <c r="A20" s="89" t="s">
        <v>353</v>
      </c>
      <c r="B20" s="89" t="s">
        <v>408</v>
      </c>
      <c r="C20" s="89" t="s">
        <v>235</v>
      </c>
      <c r="D20" s="89" t="s">
        <v>235</v>
      </c>
      <c r="E20" s="89" t="s">
        <v>235</v>
      </c>
      <c r="F20" s="89" t="s">
        <v>235</v>
      </c>
      <c r="G20" s="89" t="s">
        <v>2521</v>
      </c>
      <c r="H20" s="89" t="s">
        <v>235</v>
      </c>
      <c r="I20" s="89" t="s">
        <v>235</v>
      </c>
      <c r="J20" s="89" t="s">
        <v>235</v>
      </c>
      <c r="K20" s="89" t="s">
        <v>235</v>
      </c>
      <c r="L20" s="89" t="s">
        <v>408</v>
      </c>
      <c r="M20" s="89" t="s">
        <v>235</v>
      </c>
      <c r="N20" s="89" t="s">
        <v>235</v>
      </c>
      <c r="O20" s="89" t="s">
        <v>235</v>
      </c>
      <c r="P20" s="89" t="s">
        <v>235</v>
      </c>
    </row>
    <row r="21" spans="1:16" x14ac:dyDescent="0.25">
      <c r="A21" s="89" t="s">
        <v>351</v>
      </c>
      <c r="B21" s="89" t="s">
        <v>1589</v>
      </c>
      <c r="C21" s="89" t="s">
        <v>235</v>
      </c>
      <c r="D21" s="89" t="s">
        <v>235</v>
      </c>
      <c r="E21" s="89" t="s">
        <v>235</v>
      </c>
      <c r="F21" s="89" t="s">
        <v>235</v>
      </c>
      <c r="G21" s="89" t="s">
        <v>2520</v>
      </c>
      <c r="H21" s="89" t="s">
        <v>235</v>
      </c>
      <c r="I21" s="89" t="s">
        <v>235</v>
      </c>
      <c r="J21" s="89" t="s">
        <v>235</v>
      </c>
      <c r="K21" s="89" t="s">
        <v>235</v>
      </c>
      <c r="L21" s="89" t="s">
        <v>1589</v>
      </c>
      <c r="M21" s="89" t="s">
        <v>235</v>
      </c>
      <c r="N21" s="89" t="s">
        <v>235</v>
      </c>
      <c r="O21" s="89" t="s">
        <v>235</v>
      </c>
      <c r="P21" s="89" t="s">
        <v>235</v>
      </c>
    </row>
    <row r="22" spans="1:16" x14ac:dyDescent="0.25">
      <c r="A22" s="89" t="s">
        <v>348</v>
      </c>
      <c r="B22" s="89" t="s">
        <v>1098</v>
      </c>
      <c r="C22" s="89" t="s">
        <v>235</v>
      </c>
      <c r="D22" s="89" t="s">
        <v>235</v>
      </c>
      <c r="E22" s="89" t="s">
        <v>235</v>
      </c>
      <c r="F22" s="89" t="s">
        <v>235</v>
      </c>
      <c r="G22" s="89" t="s">
        <v>1062</v>
      </c>
      <c r="H22" s="89" t="s">
        <v>235</v>
      </c>
      <c r="I22" s="89" t="s">
        <v>235</v>
      </c>
      <c r="J22" s="89" t="s">
        <v>235</v>
      </c>
      <c r="K22" s="89" t="s">
        <v>235</v>
      </c>
      <c r="L22" s="89" t="s">
        <v>1098</v>
      </c>
      <c r="M22" s="89" t="s">
        <v>235</v>
      </c>
      <c r="N22" s="89" t="s">
        <v>235</v>
      </c>
      <c r="O22" s="89" t="s">
        <v>235</v>
      </c>
      <c r="P22" s="89" t="s">
        <v>235</v>
      </c>
    </row>
    <row r="23" spans="1:16" x14ac:dyDescent="0.25">
      <c r="A23" s="89" t="s">
        <v>345</v>
      </c>
      <c r="B23" s="89" t="s">
        <v>530</v>
      </c>
      <c r="C23" s="89" t="s">
        <v>235</v>
      </c>
      <c r="D23" s="89" t="s">
        <v>235</v>
      </c>
      <c r="E23" s="89" t="s">
        <v>235</v>
      </c>
      <c r="F23" s="89" t="s">
        <v>235</v>
      </c>
      <c r="G23" s="89" t="s">
        <v>766</v>
      </c>
      <c r="H23" s="89" t="s">
        <v>235</v>
      </c>
      <c r="I23" s="89" t="s">
        <v>235</v>
      </c>
      <c r="J23" s="89" t="s">
        <v>235</v>
      </c>
      <c r="K23" s="89" t="s">
        <v>235</v>
      </c>
      <c r="L23" s="89" t="s">
        <v>530</v>
      </c>
      <c r="M23" s="89" t="s">
        <v>235</v>
      </c>
      <c r="N23" s="89" t="s">
        <v>235</v>
      </c>
      <c r="O23" s="89" t="s">
        <v>235</v>
      </c>
      <c r="P23" s="89" t="s">
        <v>235</v>
      </c>
    </row>
    <row r="24" spans="1:16" x14ac:dyDescent="0.25">
      <c r="A24" s="89" t="s">
        <v>342</v>
      </c>
      <c r="B24" s="89" t="s">
        <v>2519</v>
      </c>
      <c r="C24" s="89" t="s">
        <v>235</v>
      </c>
      <c r="D24" s="89" t="s">
        <v>235</v>
      </c>
      <c r="E24" s="89" t="s">
        <v>235</v>
      </c>
      <c r="F24" s="89" t="s">
        <v>235</v>
      </c>
      <c r="G24" s="89" t="s">
        <v>823</v>
      </c>
      <c r="H24" s="89" t="s">
        <v>235</v>
      </c>
      <c r="I24" s="89" t="s">
        <v>235</v>
      </c>
      <c r="J24" s="89" t="s">
        <v>235</v>
      </c>
      <c r="K24" s="89" t="s">
        <v>235</v>
      </c>
      <c r="L24" s="89" t="s">
        <v>2519</v>
      </c>
      <c r="M24" s="89" t="s">
        <v>235</v>
      </c>
      <c r="N24" s="89" t="s">
        <v>235</v>
      </c>
      <c r="O24" s="89" t="s">
        <v>235</v>
      </c>
      <c r="P24" s="89" t="s">
        <v>235</v>
      </c>
    </row>
    <row r="25" spans="1:16" x14ac:dyDescent="0.25">
      <c r="A25" s="89" t="s">
        <v>339</v>
      </c>
      <c r="B25" s="89" t="s">
        <v>2163</v>
      </c>
      <c r="C25" s="89" t="s">
        <v>235</v>
      </c>
      <c r="D25" s="89" t="s">
        <v>235</v>
      </c>
      <c r="E25" s="89" t="s">
        <v>235</v>
      </c>
      <c r="F25" s="89" t="s">
        <v>235</v>
      </c>
      <c r="G25" s="89" t="s">
        <v>2518</v>
      </c>
      <c r="H25" s="89" t="s">
        <v>235</v>
      </c>
      <c r="I25" s="89" t="s">
        <v>235</v>
      </c>
      <c r="J25" s="89" t="s">
        <v>235</v>
      </c>
      <c r="K25" s="89" t="s">
        <v>235</v>
      </c>
      <c r="L25" s="89" t="s">
        <v>2163</v>
      </c>
      <c r="M25" s="89" t="s">
        <v>235</v>
      </c>
      <c r="N25" s="89" t="s">
        <v>235</v>
      </c>
      <c r="O25" s="89" t="s">
        <v>235</v>
      </c>
      <c r="P25" s="89" t="s">
        <v>235</v>
      </c>
    </row>
    <row r="26" spans="1:16" x14ac:dyDescent="0.25">
      <c r="A26" s="89" t="s">
        <v>336</v>
      </c>
      <c r="B26" s="89" t="s">
        <v>768</v>
      </c>
      <c r="C26" s="89" t="s">
        <v>235</v>
      </c>
      <c r="D26" s="89" t="s">
        <v>235</v>
      </c>
      <c r="E26" s="89" t="s">
        <v>235</v>
      </c>
      <c r="F26" s="89" t="s">
        <v>235</v>
      </c>
      <c r="G26" s="89" t="s">
        <v>971</v>
      </c>
      <c r="H26" s="89" t="s">
        <v>235</v>
      </c>
      <c r="I26" s="89" t="s">
        <v>235</v>
      </c>
      <c r="J26" s="89" t="s">
        <v>235</v>
      </c>
      <c r="K26" s="89" t="s">
        <v>235</v>
      </c>
      <c r="L26" s="89" t="s">
        <v>768</v>
      </c>
      <c r="M26" s="89" t="s">
        <v>235</v>
      </c>
      <c r="N26" s="89" t="s">
        <v>235</v>
      </c>
      <c r="O26" s="89" t="s">
        <v>235</v>
      </c>
      <c r="P26" s="89" t="s">
        <v>235</v>
      </c>
    </row>
    <row r="27" spans="1:16" x14ac:dyDescent="0.25">
      <c r="A27" s="89" t="s">
        <v>333</v>
      </c>
      <c r="B27" s="89" t="s">
        <v>521</v>
      </c>
      <c r="C27" s="89" t="s">
        <v>235</v>
      </c>
      <c r="D27" s="89" t="s">
        <v>235</v>
      </c>
      <c r="E27" s="89" t="s">
        <v>235</v>
      </c>
      <c r="F27" s="89" t="s">
        <v>235</v>
      </c>
      <c r="G27" s="89" t="s">
        <v>2517</v>
      </c>
      <c r="H27" s="89" t="s">
        <v>235</v>
      </c>
      <c r="I27" s="89" t="s">
        <v>235</v>
      </c>
      <c r="J27" s="89" t="s">
        <v>235</v>
      </c>
      <c r="K27" s="89" t="s">
        <v>235</v>
      </c>
      <c r="L27" s="89" t="s">
        <v>521</v>
      </c>
      <c r="M27" s="89" t="s">
        <v>235</v>
      </c>
      <c r="N27" s="89" t="s">
        <v>235</v>
      </c>
      <c r="O27" s="89" t="s">
        <v>235</v>
      </c>
      <c r="P27" s="89" t="s">
        <v>235</v>
      </c>
    </row>
    <row r="28" spans="1:16" x14ac:dyDescent="0.25">
      <c r="A28" s="89" t="s">
        <v>330</v>
      </c>
      <c r="B28" s="89" t="s">
        <v>1185</v>
      </c>
      <c r="C28" s="89" t="s">
        <v>235</v>
      </c>
      <c r="D28" s="89" t="s">
        <v>235</v>
      </c>
      <c r="E28" s="89" t="s">
        <v>235</v>
      </c>
      <c r="F28" s="89" t="s">
        <v>235</v>
      </c>
      <c r="G28" s="89" t="s">
        <v>1340</v>
      </c>
      <c r="H28" s="89" t="s">
        <v>235</v>
      </c>
      <c r="I28" s="89" t="s">
        <v>235</v>
      </c>
      <c r="J28" s="89" t="s">
        <v>235</v>
      </c>
      <c r="K28" s="89" t="s">
        <v>235</v>
      </c>
      <c r="L28" s="89" t="s">
        <v>1185</v>
      </c>
      <c r="M28" s="89" t="s">
        <v>235</v>
      </c>
      <c r="N28" s="89" t="s">
        <v>235</v>
      </c>
      <c r="O28" s="89" t="s">
        <v>235</v>
      </c>
      <c r="P28" s="89" t="s">
        <v>235</v>
      </c>
    </row>
    <row r="29" spans="1:16" x14ac:dyDescent="0.25">
      <c r="A29" s="89" t="s">
        <v>327</v>
      </c>
      <c r="B29" s="89" t="s">
        <v>1694</v>
      </c>
      <c r="C29" s="89" t="s">
        <v>235</v>
      </c>
      <c r="D29" s="89" t="s">
        <v>235</v>
      </c>
      <c r="E29" s="89" t="s">
        <v>235</v>
      </c>
      <c r="F29" s="89" t="s">
        <v>235</v>
      </c>
      <c r="G29" s="89" t="s">
        <v>1686</v>
      </c>
      <c r="H29" s="89" t="s">
        <v>235</v>
      </c>
      <c r="I29" s="89" t="s">
        <v>235</v>
      </c>
      <c r="J29" s="89" t="s">
        <v>235</v>
      </c>
      <c r="K29" s="89" t="s">
        <v>235</v>
      </c>
      <c r="L29" s="89" t="s">
        <v>1694</v>
      </c>
      <c r="M29" s="89" t="s">
        <v>235</v>
      </c>
      <c r="N29" s="89" t="s">
        <v>235</v>
      </c>
      <c r="O29" s="89" t="s">
        <v>235</v>
      </c>
      <c r="P29" s="89" t="s">
        <v>235</v>
      </c>
    </row>
    <row r="30" spans="1:16" x14ac:dyDescent="0.25">
      <c r="A30" s="89" t="s">
        <v>324</v>
      </c>
      <c r="B30" s="89" t="s">
        <v>2516</v>
      </c>
      <c r="C30" s="89" t="s">
        <v>235</v>
      </c>
      <c r="D30" s="89" t="s">
        <v>235</v>
      </c>
      <c r="E30" s="89" t="s">
        <v>235</v>
      </c>
      <c r="F30" s="89" t="s">
        <v>235</v>
      </c>
      <c r="G30" s="89" t="s">
        <v>500</v>
      </c>
      <c r="H30" s="89" t="s">
        <v>235</v>
      </c>
      <c r="I30" s="89" t="s">
        <v>235</v>
      </c>
      <c r="J30" s="89" t="s">
        <v>235</v>
      </c>
      <c r="K30" s="89" t="s">
        <v>235</v>
      </c>
      <c r="L30" s="89" t="s">
        <v>2516</v>
      </c>
      <c r="M30" s="89" t="s">
        <v>235</v>
      </c>
      <c r="N30" s="89" t="s">
        <v>235</v>
      </c>
      <c r="O30" s="89" t="s">
        <v>235</v>
      </c>
      <c r="P30" s="89" t="s">
        <v>235</v>
      </c>
    </row>
    <row r="31" spans="1:16" x14ac:dyDescent="0.25">
      <c r="A31" s="89" t="s">
        <v>321</v>
      </c>
      <c r="B31" s="89" t="s">
        <v>2515</v>
      </c>
      <c r="C31" s="89" t="s">
        <v>235</v>
      </c>
      <c r="D31" s="89" t="s">
        <v>235</v>
      </c>
      <c r="E31" s="89" t="s">
        <v>235</v>
      </c>
      <c r="F31" s="89" t="s">
        <v>235</v>
      </c>
      <c r="G31" s="89" t="s">
        <v>596</v>
      </c>
      <c r="H31" s="89" t="s">
        <v>235</v>
      </c>
      <c r="I31" s="89" t="s">
        <v>235</v>
      </c>
      <c r="J31" s="89" t="s">
        <v>235</v>
      </c>
      <c r="K31" s="89" t="s">
        <v>235</v>
      </c>
      <c r="L31" s="89" t="s">
        <v>2515</v>
      </c>
      <c r="M31" s="89" t="s">
        <v>235</v>
      </c>
      <c r="N31" s="89" t="s">
        <v>235</v>
      </c>
      <c r="O31" s="89" t="s">
        <v>235</v>
      </c>
      <c r="P31" s="89" t="s">
        <v>235</v>
      </c>
    </row>
    <row r="32" spans="1:16" x14ac:dyDescent="0.25">
      <c r="A32" s="89" t="s">
        <v>318</v>
      </c>
      <c r="B32" s="89" t="s">
        <v>858</v>
      </c>
      <c r="C32" s="89" t="s">
        <v>235</v>
      </c>
      <c r="D32" s="89" t="s">
        <v>235</v>
      </c>
      <c r="E32" s="89" t="s">
        <v>235</v>
      </c>
      <c r="F32" s="89" t="s">
        <v>235</v>
      </c>
      <c r="G32" s="89" t="s">
        <v>2514</v>
      </c>
      <c r="H32" s="89" t="s">
        <v>235</v>
      </c>
      <c r="I32" s="89" t="s">
        <v>235</v>
      </c>
      <c r="J32" s="89" t="s">
        <v>235</v>
      </c>
      <c r="K32" s="89" t="s">
        <v>235</v>
      </c>
      <c r="L32" s="89" t="s">
        <v>858</v>
      </c>
      <c r="M32" s="89" t="s">
        <v>235</v>
      </c>
      <c r="N32" s="89" t="s">
        <v>235</v>
      </c>
      <c r="O32" s="89" t="s">
        <v>235</v>
      </c>
      <c r="P32" s="89" t="s">
        <v>235</v>
      </c>
    </row>
    <row r="33" spans="1:16" x14ac:dyDescent="0.25">
      <c r="A33" s="89" t="s">
        <v>315</v>
      </c>
      <c r="B33" s="89" t="s">
        <v>1848</v>
      </c>
      <c r="C33" s="89" t="s">
        <v>235</v>
      </c>
      <c r="D33" s="89" t="s">
        <v>235</v>
      </c>
      <c r="E33" s="89" t="s">
        <v>235</v>
      </c>
      <c r="F33" s="89" t="s">
        <v>235</v>
      </c>
      <c r="G33" s="89" t="s">
        <v>2032</v>
      </c>
      <c r="H33" s="89" t="s">
        <v>235</v>
      </c>
      <c r="I33" s="89" t="s">
        <v>235</v>
      </c>
      <c r="J33" s="89" t="s">
        <v>235</v>
      </c>
      <c r="K33" s="89" t="s">
        <v>235</v>
      </c>
      <c r="L33" s="89" t="s">
        <v>1848</v>
      </c>
      <c r="M33" s="89" t="s">
        <v>235</v>
      </c>
      <c r="N33" s="89" t="s">
        <v>235</v>
      </c>
      <c r="O33" s="89" t="s">
        <v>235</v>
      </c>
      <c r="P33" s="89" t="s">
        <v>235</v>
      </c>
    </row>
    <row r="34" spans="1:16" x14ac:dyDescent="0.25">
      <c r="A34" s="89" t="s">
        <v>312</v>
      </c>
      <c r="B34" s="89" t="s">
        <v>2513</v>
      </c>
      <c r="C34" s="89" t="s">
        <v>235</v>
      </c>
      <c r="D34" s="89" t="s">
        <v>235</v>
      </c>
      <c r="E34" s="89" t="s">
        <v>235</v>
      </c>
      <c r="F34" s="89" t="s">
        <v>235</v>
      </c>
      <c r="G34" s="89" t="s">
        <v>839</v>
      </c>
      <c r="H34" s="89" t="s">
        <v>235</v>
      </c>
      <c r="I34" s="89" t="s">
        <v>235</v>
      </c>
      <c r="J34" s="89" t="s">
        <v>235</v>
      </c>
      <c r="K34" s="89" t="s">
        <v>235</v>
      </c>
      <c r="L34" s="89" t="s">
        <v>2513</v>
      </c>
      <c r="M34" s="89" t="s">
        <v>235</v>
      </c>
      <c r="N34" s="89" t="s">
        <v>235</v>
      </c>
      <c r="O34" s="89" t="s">
        <v>235</v>
      </c>
      <c r="P34" s="89" t="s">
        <v>235</v>
      </c>
    </row>
    <row r="35" spans="1:16" x14ac:dyDescent="0.25">
      <c r="A35" s="89" t="s">
        <v>309</v>
      </c>
      <c r="B35" s="89" t="s">
        <v>2512</v>
      </c>
      <c r="C35" s="89" t="s">
        <v>235</v>
      </c>
      <c r="D35" s="89" t="s">
        <v>235</v>
      </c>
      <c r="E35" s="89" t="s">
        <v>235</v>
      </c>
      <c r="F35" s="89" t="s">
        <v>235</v>
      </c>
      <c r="G35" s="89" t="s">
        <v>771</v>
      </c>
      <c r="H35" s="89" t="s">
        <v>235</v>
      </c>
      <c r="I35" s="89" t="s">
        <v>235</v>
      </c>
      <c r="J35" s="89" t="s">
        <v>235</v>
      </c>
      <c r="K35" s="89" t="s">
        <v>235</v>
      </c>
      <c r="L35" s="89" t="s">
        <v>2512</v>
      </c>
      <c r="M35" s="89" t="s">
        <v>235</v>
      </c>
      <c r="N35" s="89" t="s">
        <v>235</v>
      </c>
      <c r="O35" s="89" t="s">
        <v>235</v>
      </c>
      <c r="P35" s="89" t="s">
        <v>235</v>
      </c>
    </row>
    <row r="36" spans="1:16" x14ac:dyDescent="0.25">
      <c r="A36" s="89" t="s">
        <v>306</v>
      </c>
      <c r="B36" s="89" t="s">
        <v>710</v>
      </c>
      <c r="C36" s="89" t="s">
        <v>235</v>
      </c>
      <c r="D36" s="89" t="s">
        <v>235</v>
      </c>
      <c r="E36" s="89" t="s">
        <v>235</v>
      </c>
      <c r="F36" s="89" t="s">
        <v>235</v>
      </c>
      <c r="G36" s="89" t="s">
        <v>1899</v>
      </c>
      <c r="H36" s="89" t="s">
        <v>235</v>
      </c>
      <c r="I36" s="89" t="s">
        <v>235</v>
      </c>
      <c r="J36" s="89" t="s">
        <v>235</v>
      </c>
      <c r="K36" s="89" t="s">
        <v>235</v>
      </c>
      <c r="L36" s="89" t="s">
        <v>710</v>
      </c>
      <c r="M36" s="89" t="s">
        <v>235</v>
      </c>
      <c r="N36" s="89" t="s">
        <v>235</v>
      </c>
      <c r="O36" s="89" t="s">
        <v>235</v>
      </c>
      <c r="P36" s="89" t="s">
        <v>235</v>
      </c>
    </row>
    <row r="37" spans="1:16" x14ac:dyDescent="0.25">
      <c r="A37" s="89" t="s">
        <v>303</v>
      </c>
      <c r="B37" s="89" t="s">
        <v>2231</v>
      </c>
      <c r="C37" s="89" t="s">
        <v>235</v>
      </c>
      <c r="D37" s="89" t="s">
        <v>235</v>
      </c>
      <c r="E37" s="89" t="s">
        <v>235</v>
      </c>
      <c r="F37" s="89" t="s">
        <v>235</v>
      </c>
      <c r="G37" s="89" t="s">
        <v>467</v>
      </c>
      <c r="H37" s="89" t="s">
        <v>235</v>
      </c>
      <c r="I37" s="89" t="s">
        <v>235</v>
      </c>
      <c r="J37" s="89" t="s">
        <v>235</v>
      </c>
      <c r="K37" s="89" t="s">
        <v>235</v>
      </c>
      <c r="L37" s="89" t="s">
        <v>2231</v>
      </c>
      <c r="M37" s="89" t="s">
        <v>235</v>
      </c>
      <c r="N37" s="89" t="s">
        <v>235</v>
      </c>
      <c r="O37" s="89" t="s">
        <v>235</v>
      </c>
      <c r="P37" s="89" t="s">
        <v>235</v>
      </c>
    </row>
    <row r="38" spans="1:16" x14ac:dyDescent="0.25">
      <c r="A38" s="89" t="s">
        <v>299</v>
      </c>
      <c r="B38" s="89" t="s">
        <v>824</v>
      </c>
      <c r="C38" s="89" t="s">
        <v>235</v>
      </c>
      <c r="D38" s="89" t="s">
        <v>235</v>
      </c>
      <c r="E38" s="89" t="s">
        <v>235</v>
      </c>
      <c r="F38" s="89" t="s">
        <v>235</v>
      </c>
      <c r="G38" s="89" t="s">
        <v>1363</v>
      </c>
      <c r="H38" s="89" t="s">
        <v>235</v>
      </c>
      <c r="I38" s="89" t="s">
        <v>235</v>
      </c>
      <c r="J38" s="89" t="s">
        <v>235</v>
      </c>
      <c r="K38" s="89" t="s">
        <v>235</v>
      </c>
      <c r="L38" s="89" t="s">
        <v>824</v>
      </c>
      <c r="M38" s="89" t="s">
        <v>235</v>
      </c>
      <c r="N38" s="89" t="s">
        <v>235</v>
      </c>
      <c r="O38" s="89" t="s">
        <v>235</v>
      </c>
      <c r="P38" s="89" t="s">
        <v>235</v>
      </c>
    </row>
    <row r="39" spans="1:16" x14ac:dyDescent="0.25">
      <c r="A39" s="89" t="s">
        <v>297</v>
      </c>
      <c r="B39" s="89" t="s">
        <v>2431</v>
      </c>
      <c r="C39" s="89" t="s">
        <v>235</v>
      </c>
      <c r="D39" s="89" t="s">
        <v>235</v>
      </c>
      <c r="E39" s="89" t="s">
        <v>235</v>
      </c>
      <c r="F39" s="89" t="s">
        <v>235</v>
      </c>
      <c r="G39" s="89" t="s">
        <v>1407</v>
      </c>
      <c r="H39" s="89" t="s">
        <v>235</v>
      </c>
      <c r="I39" s="89" t="s">
        <v>235</v>
      </c>
      <c r="J39" s="89" t="s">
        <v>235</v>
      </c>
      <c r="K39" s="89" t="s">
        <v>235</v>
      </c>
      <c r="L39" s="89" t="s">
        <v>2431</v>
      </c>
      <c r="M39" s="89" t="s">
        <v>235</v>
      </c>
      <c r="N39" s="89" t="s">
        <v>235</v>
      </c>
      <c r="O39" s="89" t="s">
        <v>235</v>
      </c>
      <c r="P39" s="89" t="s">
        <v>235</v>
      </c>
    </row>
    <row r="40" spans="1:16" x14ac:dyDescent="0.25">
      <c r="A40" s="89" t="s">
        <v>294</v>
      </c>
      <c r="B40" s="89" t="s">
        <v>2511</v>
      </c>
      <c r="C40" s="89" t="s">
        <v>235</v>
      </c>
      <c r="D40" s="89" t="s">
        <v>235</v>
      </c>
      <c r="E40" s="89" t="s">
        <v>235</v>
      </c>
      <c r="F40" s="89" t="s">
        <v>235</v>
      </c>
      <c r="G40" s="89" t="s">
        <v>1539</v>
      </c>
      <c r="H40" s="89" t="s">
        <v>235</v>
      </c>
      <c r="I40" s="89" t="s">
        <v>235</v>
      </c>
      <c r="J40" s="89" t="s">
        <v>235</v>
      </c>
      <c r="K40" s="89" t="s">
        <v>235</v>
      </c>
      <c r="L40" s="89" t="s">
        <v>2511</v>
      </c>
      <c r="M40" s="89" t="s">
        <v>235</v>
      </c>
      <c r="N40" s="89" t="s">
        <v>235</v>
      </c>
      <c r="O40" s="89" t="s">
        <v>235</v>
      </c>
      <c r="P40" s="89" t="s">
        <v>235</v>
      </c>
    </row>
    <row r="41" spans="1:16" x14ac:dyDescent="0.25">
      <c r="A41" s="89" t="s">
        <v>290</v>
      </c>
      <c r="B41" s="89" t="s">
        <v>866</v>
      </c>
      <c r="C41" s="89" t="s">
        <v>235</v>
      </c>
      <c r="D41" s="89" t="s">
        <v>235</v>
      </c>
      <c r="E41" s="89" t="s">
        <v>235</v>
      </c>
      <c r="F41" s="89" t="s">
        <v>235</v>
      </c>
      <c r="G41" s="89" t="s">
        <v>1377</v>
      </c>
      <c r="H41" s="89" t="s">
        <v>235</v>
      </c>
      <c r="I41" s="89" t="s">
        <v>235</v>
      </c>
      <c r="J41" s="89" t="s">
        <v>235</v>
      </c>
      <c r="K41" s="89" t="s">
        <v>235</v>
      </c>
      <c r="L41" s="89" t="s">
        <v>866</v>
      </c>
      <c r="M41" s="89" t="s">
        <v>235</v>
      </c>
      <c r="N41" s="89" t="s">
        <v>235</v>
      </c>
      <c r="O41" s="89" t="s">
        <v>235</v>
      </c>
      <c r="P41" s="89" t="s">
        <v>235</v>
      </c>
    </row>
    <row r="42" spans="1:16" x14ac:dyDescent="0.25">
      <c r="A42" s="89" t="s">
        <v>288</v>
      </c>
      <c r="B42" s="89" t="s">
        <v>2273</v>
      </c>
      <c r="C42" s="89" t="s">
        <v>235</v>
      </c>
      <c r="D42" s="89" t="s">
        <v>235</v>
      </c>
      <c r="E42" s="89" t="s">
        <v>235</v>
      </c>
      <c r="F42" s="89" t="s">
        <v>235</v>
      </c>
      <c r="G42" s="89" t="s">
        <v>2180</v>
      </c>
      <c r="H42" s="89" t="s">
        <v>235</v>
      </c>
      <c r="I42" s="89" t="s">
        <v>235</v>
      </c>
      <c r="J42" s="89" t="s">
        <v>235</v>
      </c>
      <c r="K42" s="89" t="s">
        <v>235</v>
      </c>
      <c r="L42" s="89" t="s">
        <v>2273</v>
      </c>
      <c r="M42" s="89" t="s">
        <v>235</v>
      </c>
      <c r="N42" s="89" t="s">
        <v>235</v>
      </c>
      <c r="O42" s="89" t="s">
        <v>235</v>
      </c>
      <c r="P42" s="89" t="s">
        <v>235</v>
      </c>
    </row>
    <row r="43" spans="1:16" x14ac:dyDescent="0.25">
      <c r="A43" s="89" t="s">
        <v>286</v>
      </c>
      <c r="B43" s="89" t="s">
        <v>2394</v>
      </c>
      <c r="C43" s="89" t="s">
        <v>235</v>
      </c>
      <c r="D43" s="89" t="s">
        <v>235</v>
      </c>
      <c r="E43" s="89" t="s">
        <v>235</v>
      </c>
      <c r="F43" s="89" t="s">
        <v>235</v>
      </c>
      <c r="G43" s="89" t="s">
        <v>1424</v>
      </c>
      <c r="H43" s="89" t="s">
        <v>235</v>
      </c>
      <c r="I43" s="89" t="s">
        <v>235</v>
      </c>
      <c r="J43" s="89" t="s">
        <v>235</v>
      </c>
      <c r="K43" s="89" t="s">
        <v>235</v>
      </c>
      <c r="L43" s="89" t="s">
        <v>2394</v>
      </c>
      <c r="M43" s="89" t="s">
        <v>235</v>
      </c>
      <c r="N43" s="89" t="s">
        <v>235</v>
      </c>
      <c r="O43" s="89" t="s">
        <v>235</v>
      </c>
      <c r="P43" s="89" t="s">
        <v>235</v>
      </c>
    </row>
    <row r="44" spans="1:16" x14ac:dyDescent="0.25">
      <c r="A44" s="89" t="s">
        <v>284</v>
      </c>
      <c r="B44" s="89" t="s">
        <v>1558</v>
      </c>
      <c r="C44" s="89" t="s">
        <v>235</v>
      </c>
      <c r="D44" s="89" t="s">
        <v>235</v>
      </c>
      <c r="E44" s="89" t="s">
        <v>235</v>
      </c>
      <c r="F44" s="89" t="s">
        <v>235</v>
      </c>
      <c r="G44" s="89" t="s">
        <v>2510</v>
      </c>
      <c r="H44" s="89" t="s">
        <v>235</v>
      </c>
      <c r="I44" s="89" t="s">
        <v>235</v>
      </c>
      <c r="J44" s="89" t="s">
        <v>235</v>
      </c>
      <c r="K44" s="89" t="s">
        <v>235</v>
      </c>
      <c r="L44" s="89" t="s">
        <v>1558</v>
      </c>
      <c r="M44" s="89" t="s">
        <v>235</v>
      </c>
      <c r="N44" s="89" t="s">
        <v>235</v>
      </c>
      <c r="O44" s="89" t="s">
        <v>235</v>
      </c>
      <c r="P44" s="89" t="s">
        <v>235</v>
      </c>
    </row>
    <row r="45" spans="1:16" x14ac:dyDescent="0.25">
      <c r="A45" s="89" t="s">
        <v>281</v>
      </c>
      <c r="B45" s="89" t="s">
        <v>694</v>
      </c>
      <c r="C45" s="89" t="s">
        <v>235</v>
      </c>
      <c r="D45" s="89" t="s">
        <v>235</v>
      </c>
      <c r="E45" s="89" t="s">
        <v>235</v>
      </c>
      <c r="F45" s="89" t="s">
        <v>235</v>
      </c>
      <c r="G45" s="89" t="s">
        <v>1365</v>
      </c>
      <c r="H45" s="89" t="s">
        <v>235</v>
      </c>
      <c r="I45" s="89" t="s">
        <v>235</v>
      </c>
      <c r="J45" s="89" t="s">
        <v>235</v>
      </c>
      <c r="K45" s="89" t="s">
        <v>235</v>
      </c>
      <c r="L45" s="89" t="s">
        <v>694</v>
      </c>
      <c r="M45" s="89" t="s">
        <v>235</v>
      </c>
      <c r="N45" s="89" t="s">
        <v>235</v>
      </c>
      <c r="O45" s="89" t="s">
        <v>235</v>
      </c>
      <c r="P45" s="89" t="s">
        <v>235</v>
      </c>
    </row>
    <row r="46" spans="1:16" x14ac:dyDescent="0.25">
      <c r="A46" s="89" t="s">
        <v>277</v>
      </c>
      <c r="B46" s="89" t="s">
        <v>1691</v>
      </c>
      <c r="C46" s="89" t="s">
        <v>235</v>
      </c>
      <c r="D46" s="89" t="s">
        <v>235</v>
      </c>
      <c r="E46" s="89" t="s">
        <v>235</v>
      </c>
      <c r="F46" s="89" t="s">
        <v>235</v>
      </c>
      <c r="G46" s="89" t="s">
        <v>2509</v>
      </c>
      <c r="H46" s="89" t="s">
        <v>235</v>
      </c>
      <c r="I46" s="89" t="s">
        <v>235</v>
      </c>
      <c r="J46" s="89" t="s">
        <v>235</v>
      </c>
      <c r="K46" s="89" t="s">
        <v>235</v>
      </c>
      <c r="L46" s="89" t="s">
        <v>1691</v>
      </c>
      <c r="M46" s="89" t="s">
        <v>235</v>
      </c>
      <c r="N46" s="89" t="s">
        <v>235</v>
      </c>
      <c r="O46" s="89" t="s">
        <v>235</v>
      </c>
      <c r="P46" s="89" t="s">
        <v>235</v>
      </c>
    </row>
    <row r="47" spans="1:16" x14ac:dyDescent="0.25">
      <c r="A47" s="89" t="s">
        <v>275</v>
      </c>
      <c r="B47" s="89" t="s">
        <v>1758</v>
      </c>
      <c r="C47" s="89" t="s">
        <v>235</v>
      </c>
      <c r="D47" s="89" t="s">
        <v>235</v>
      </c>
      <c r="E47" s="89" t="s">
        <v>235</v>
      </c>
      <c r="F47" s="89" t="s">
        <v>235</v>
      </c>
      <c r="G47" s="89" t="s">
        <v>2508</v>
      </c>
      <c r="H47" s="89" t="s">
        <v>235</v>
      </c>
      <c r="I47" s="89" t="s">
        <v>235</v>
      </c>
      <c r="J47" s="89" t="s">
        <v>235</v>
      </c>
      <c r="K47" s="89" t="s">
        <v>235</v>
      </c>
      <c r="L47" s="89" t="s">
        <v>1758</v>
      </c>
      <c r="M47" s="89" t="s">
        <v>235</v>
      </c>
      <c r="N47" s="89" t="s">
        <v>235</v>
      </c>
      <c r="O47" s="89" t="s">
        <v>235</v>
      </c>
      <c r="P47" s="89" t="s">
        <v>235</v>
      </c>
    </row>
    <row r="48" spans="1:16" x14ac:dyDescent="0.25">
      <c r="A48" s="89" t="s">
        <v>272</v>
      </c>
      <c r="B48" s="89" t="s">
        <v>413</v>
      </c>
      <c r="C48" s="89" t="s">
        <v>235</v>
      </c>
      <c r="D48" s="89" t="s">
        <v>235</v>
      </c>
      <c r="E48" s="89" t="s">
        <v>235</v>
      </c>
      <c r="F48" s="89" t="s">
        <v>235</v>
      </c>
      <c r="G48" s="89" t="s">
        <v>489</v>
      </c>
      <c r="H48" s="89" t="s">
        <v>235</v>
      </c>
      <c r="I48" s="89" t="s">
        <v>235</v>
      </c>
      <c r="J48" s="89" t="s">
        <v>235</v>
      </c>
      <c r="K48" s="89" t="s">
        <v>235</v>
      </c>
      <c r="L48" s="89" t="s">
        <v>413</v>
      </c>
      <c r="M48" s="89" t="s">
        <v>235</v>
      </c>
      <c r="N48" s="89" t="s">
        <v>235</v>
      </c>
      <c r="O48" s="89" t="s">
        <v>235</v>
      </c>
      <c r="P48" s="89" t="s">
        <v>235</v>
      </c>
    </row>
    <row r="49" spans="1:16" x14ac:dyDescent="0.25">
      <c r="A49" s="89" t="s">
        <v>269</v>
      </c>
      <c r="B49" s="89" t="s">
        <v>680</v>
      </c>
      <c r="C49" s="89" t="s">
        <v>235</v>
      </c>
      <c r="D49" s="89" t="s">
        <v>235</v>
      </c>
      <c r="E49" s="89" t="s">
        <v>235</v>
      </c>
      <c r="F49" s="89" t="s">
        <v>235</v>
      </c>
      <c r="G49" s="89" t="s">
        <v>2507</v>
      </c>
      <c r="H49" s="89" t="s">
        <v>235</v>
      </c>
      <c r="I49" s="89" t="s">
        <v>235</v>
      </c>
      <c r="J49" s="89" t="s">
        <v>235</v>
      </c>
      <c r="K49" s="89" t="s">
        <v>235</v>
      </c>
      <c r="L49" s="89" t="s">
        <v>680</v>
      </c>
      <c r="M49" s="89" t="s">
        <v>235</v>
      </c>
      <c r="N49" s="89" t="s">
        <v>235</v>
      </c>
      <c r="O49" s="89" t="s">
        <v>235</v>
      </c>
      <c r="P49" s="89" t="s">
        <v>235</v>
      </c>
    </row>
    <row r="50" spans="1:16" x14ac:dyDescent="0.25">
      <c r="A50" s="89" t="s">
        <v>266</v>
      </c>
      <c r="B50" s="89" t="s">
        <v>2506</v>
      </c>
      <c r="C50" s="89" t="s">
        <v>235</v>
      </c>
      <c r="D50" s="89" t="s">
        <v>235</v>
      </c>
      <c r="E50" s="89" t="s">
        <v>235</v>
      </c>
      <c r="F50" s="89" t="s">
        <v>235</v>
      </c>
      <c r="G50" s="89" t="s">
        <v>1537</v>
      </c>
      <c r="H50" s="89" t="s">
        <v>235</v>
      </c>
      <c r="I50" s="89" t="s">
        <v>235</v>
      </c>
      <c r="J50" s="89" t="s">
        <v>235</v>
      </c>
      <c r="K50" s="89" t="s">
        <v>235</v>
      </c>
      <c r="L50" s="89" t="s">
        <v>2506</v>
      </c>
      <c r="M50" s="89" t="s">
        <v>235</v>
      </c>
      <c r="N50" s="89" t="s">
        <v>235</v>
      </c>
      <c r="O50" s="89" t="s">
        <v>235</v>
      </c>
      <c r="P50" s="89" t="s">
        <v>235</v>
      </c>
    </row>
    <row r="51" spans="1:16" x14ac:dyDescent="0.25">
      <c r="A51" s="89" t="s">
        <v>263</v>
      </c>
      <c r="B51" s="89" t="s">
        <v>1484</v>
      </c>
      <c r="C51" s="89" t="s">
        <v>235</v>
      </c>
      <c r="D51" s="89" t="s">
        <v>235</v>
      </c>
      <c r="E51" s="89" t="s">
        <v>235</v>
      </c>
      <c r="F51" s="89" t="s">
        <v>235</v>
      </c>
      <c r="G51" s="89" t="s">
        <v>2505</v>
      </c>
      <c r="H51" s="89" t="s">
        <v>235</v>
      </c>
      <c r="I51" s="89" t="s">
        <v>235</v>
      </c>
      <c r="J51" s="89" t="s">
        <v>235</v>
      </c>
      <c r="K51" s="89" t="s">
        <v>235</v>
      </c>
      <c r="L51" s="89" t="s">
        <v>1484</v>
      </c>
      <c r="M51" s="89" t="s">
        <v>235</v>
      </c>
      <c r="N51" s="89" t="s">
        <v>235</v>
      </c>
      <c r="O51" s="89" t="s">
        <v>235</v>
      </c>
      <c r="P51" s="89" t="s">
        <v>235</v>
      </c>
    </row>
    <row r="52" spans="1:16" x14ac:dyDescent="0.25">
      <c r="A52" s="89" t="s">
        <v>260</v>
      </c>
      <c r="B52" s="89" t="s">
        <v>2504</v>
      </c>
      <c r="C52" s="89" t="s">
        <v>235</v>
      </c>
      <c r="D52" s="89" t="s">
        <v>235</v>
      </c>
      <c r="E52" s="89" t="s">
        <v>235</v>
      </c>
      <c r="F52" s="89" t="s">
        <v>235</v>
      </c>
      <c r="G52" s="89" t="s">
        <v>446</v>
      </c>
      <c r="H52" s="89" t="s">
        <v>235</v>
      </c>
      <c r="I52" s="89" t="s">
        <v>235</v>
      </c>
      <c r="J52" s="89" t="s">
        <v>235</v>
      </c>
      <c r="K52" s="89" t="s">
        <v>235</v>
      </c>
      <c r="L52" s="89" t="s">
        <v>2504</v>
      </c>
      <c r="M52" s="89" t="s">
        <v>235</v>
      </c>
      <c r="N52" s="89" t="s">
        <v>235</v>
      </c>
      <c r="O52" s="89" t="s">
        <v>235</v>
      </c>
      <c r="P52" s="89" t="s">
        <v>235</v>
      </c>
    </row>
    <row r="53" spans="1:16" x14ac:dyDescent="0.25">
      <c r="A53" s="89" t="s">
        <v>256</v>
      </c>
      <c r="B53" s="89" t="s">
        <v>1288</v>
      </c>
      <c r="C53" s="89" t="s">
        <v>235</v>
      </c>
      <c r="D53" s="89" t="s">
        <v>235</v>
      </c>
      <c r="E53" s="89" t="s">
        <v>235</v>
      </c>
      <c r="F53" s="89" t="s">
        <v>235</v>
      </c>
      <c r="G53" s="89" t="s">
        <v>1665</v>
      </c>
      <c r="H53" s="89" t="s">
        <v>235</v>
      </c>
      <c r="I53" s="89" t="s">
        <v>235</v>
      </c>
      <c r="J53" s="89" t="s">
        <v>235</v>
      </c>
      <c r="K53" s="89" t="s">
        <v>235</v>
      </c>
      <c r="L53" s="89" t="s">
        <v>1288</v>
      </c>
      <c r="M53" s="89" t="s">
        <v>235</v>
      </c>
      <c r="N53" s="89" t="s">
        <v>235</v>
      </c>
      <c r="O53" s="89" t="s">
        <v>235</v>
      </c>
      <c r="P53" s="89" t="s">
        <v>235</v>
      </c>
    </row>
    <row r="54" spans="1:16" x14ac:dyDescent="0.25">
      <c r="A54" s="89" t="s">
        <v>254</v>
      </c>
      <c r="B54" s="89" t="s">
        <v>875</v>
      </c>
      <c r="C54" s="89" t="s">
        <v>235</v>
      </c>
      <c r="D54" s="89" t="s">
        <v>235</v>
      </c>
      <c r="E54" s="89" t="s">
        <v>235</v>
      </c>
      <c r="F54" s="89" t="s">
        <v>235</v>
      </c>
      <c r="G54" s="89" t="s">
        <v>2503</v>
      </c>
      <c r="H54" s="89" t="s">
        <v>235</v>
      </c>
      <c r="I54" s="89" t="s">
        <v>235</v>
      </c>
      <c r="J54" s="89" t="s">
        <v>235</v>
      </c>
      <c r="K54" s="89" t="s">
        <v>235</v>
      </c>
      <c r="L54" s="89" t="s">
        <v>875</v>
      </c>
      <c r="M54" s="89" t="s">
        <v>235</v>
      </c>
      <c r="N54" s="89" t="s">
        <v>235</v>
      </c>
      <c r="O54" s="89" t="s">
        <v>235</v>
      </c>
      <c r="P54" s="89" t="s">
        <v>235</v>
      </c>
    </row>
    <row r="55" spans="1:16" x14ac:dyDescent="0.25">
      <c r="A55" s="89" t="s">
        <v>251</v>
      </c>
      <c r="B55" s="89" t="s">
        <v>2502</v>
      </c>
      <c r="C55" s="89" t="s">
        <v>235</v>
      </c>
      <c r="D55" s="89" t="s">
        <v>235</v>
      </c>
      <c r="E55" s="89" t="s">
        <v>235</v>
      </c>
      <c r="F55" s="89" t="s">
        <v>235</v>
      </c>
      <c r="G55" s="89" t="s">
        <v>1953</v>
      </c>
      <c r="H55" s="89" t="s">
        <v>235</v>
      </c>
      <c r="I55" s="89" t="s">
        <v>235</v>
      </c>
      <c r="J55" s="89" t="s">
        <v>235</v>
      </c>
      <c r="K55" s="89" t="s">
        <v>235</v>
      </c>
      <c r="L55" s="89" t="s">
        <v>2502</v>
      </c>
      <c r="M55" s="89" t="s">
        <v>235</v>
      </c>
      <c r="N55" s="89" t="s">
        <v>235</v>
      </c>
      <c r="O55" s="89" t="s">
        <v>235</v>
      </c>
      <c r="P55" s="89" t="s">
        <v>235</v>
      </c>
    </row>
    <row r="56" spans="1:16" x14ac:dyDescent="0.25">
      <c r="A56" s="89" t="s">
        <v>248</v>
      </c>
      <c r="B56" s="89" t="s">
        <v>412</v>
      </c>
      <c r="C56" s="89" t="s">
        <v>235</v>
      </c>
      <c r="D56" s="89" t="s">
        <v>235</v>
      </c>
      <c r="E56" s="89" t="s">
        <v>235</v>
      </c>
      <c r="F56" s="89" t="s">
        <v>235</v>
      </c>
      <c r="G56" s="89" t="s">
        <v>646</v>
      </c>
      <c r="H56" s="89" t="s">
        <v>235</v>
      </c>
      <c r="I56" s="89" t="s">
        <v>235</v>
      </c>
      <c r="J56" s="89" t="s">
        <v>235</v>
      </c>
      <c r="K56" s="89" t="s">
        <v>235</v>
      </c>
      <c r="L56" s="89" t="s">
        <v>412</v>
      </c>
      <c r="M56" s="89" t="s">
        <v>235</v>
      </c>
      <c r="N56" s="89" t="s">
        <v>235</v>
      </c>
      <c r="O56" s="89" t="s">
        <v>235</v>
      </c>
      <c r="P56" s="89" t="s">
        <v>235</v>
      </c>
    </row>
    <row r="57" spans="1:16" x14ac:dyDescent="0.25">
      <c r="A57" s="89" t="s">
        <v>245</v>
      </c>
      <c r="B57" s="89" t="s">
        <v>863</v>
      </c>
      <c r="C57" s="89" t="s">
        <v>235</v>
      </c>
      <c r="D57" s="89" t="s">
        <v>235</v>
      </c>
      <c r="E57" s="89" t="s">
        <v>235</v>
      </c>
      <c r="F57" s="89" t="s">
        <v>235</v>
      </c>
      <c r="G57" s="89" t="s">
        <v>567</v>
      </c>
      <c r="H57" s="89" t="s">
        <v>235</v>
      </c>
      <c r="I57" s="89" t="s">
        <v>235</v>
      </c>
      <c r="J57" s="89" t="s">
        <v>235</v>
      </c>
      <c r="K57" s="89" t="s">
        <v>235</v>
      </c>
      <c r="L57" s="89" t="s">
        <v>863</v>
      </c>
      <c r="M57" s="89" t="s">
        <v>235</v>
      </c>
      <c r="N57" s="89" t="s">
        <v>235</v>
      </c>
      <c r="O57" s="89" t="s">
        <v>235</v>
      </c>
      <c r="P57" s="89" t="s">
        <v>235</v>
      </c>
    </row>
    <row r="58" spans="1:16" x14ac:dyDescent="0.25">
      <c r="A58" s="89" t="s">
        <v>243</v>
      </c>
      <c r="B58" s="89" t="s">
        <v>873</v>
      </c>
      <c r="C58" s="89" t="s">
        <v>235</v>
      </c>
      <c r="D58" s="89" t="s">
        <v>235</v>
      </c>
      <c r="E58" s="89" t="s">
        <v>235</v>
      </c>
      <c r="F58" s="89" t="s">
        <v>235</v>
      </c>
      <c r="G58" s="89" t="s">
        <v>488</v>
      </c>
      <c r="H58" s="89" t="s">
        <v>235</v>
      </c>
      <c r="I58" s="89" t="s">
        <v>235</v>
      </c>
      <c r="J58" s="89" t="s">
        <v>235</v>
      </c>
      <c r="K58" s="89" t="s">
        <v>235</v>
      </c>
      <c r="L58" s="89" t="s">
        <v>873</v>
      </c>
      <c r="M58" s="89" t="s">
        <v>235</v>
      </c>
      <c r="N58" s="89" t="s">
        <v>235</v>
      </c>
      <c r="O58" s="89" t="s">
        <v>235</v>
      </c>
      <c r="P58" s="89" t="s">
        <v>235</v>
      </c>
    </row>
    <row r="59" spans="1:16" x14ac:dyDescent="0.25">
      <c r="A59" s="89" t="s">
        <v>240</v>
      </c>
      <c r="B59" s="89" t="s">
        <v>1093</v>
      </c>
      <c r="C59" s="89" t="s">
        <v>235</v>
      </c>
      <c r="D59" s="89" t="s">
        <v>235</v>
      </c>
      <c r="E59" s="89" t="s">
        <v>235</v>
      </c>
      <c r="F59" s="89" t="s">
        <v>235</v>
      </c>
      <c r="G59" s="89" t="s">
        <v>407</v>
      </c>
      <c r="H59" s="89" t="s">
        <v>235</v>
      </c>
      <c r="I59" s="89" t="s">
        <v>235</v>
      </c>
      <c r="J59" s="89" t="s">
        <v>235</v>
      </c>
      <c r="K59" s="89" t="s">
        <v>235</v>
      </c>
      <c r="L59" s="89" t="s">
        <v>1093</v>
      </c>
      <c r="M59" s="89" t="s">
        <v>235</v>
      </c>
      <c r="N59" s="89" t="s">
        <v>235</v>
      </c>
      <c r="O59" s="89" t="s">
        <v>235</v>
      </c>
      <c r="P59" s="89" t="s">
        <v>235</v>
      </c>
    </row>
    <row r="60" spans="1:16" x14ac:dyDescent="0.25">
      <c r="A60" s="89" t="s">
        <v>237</v>
      </c>
      <c r="B60" s="89" t="s">
        <v>2272</v>
      </c>
      <c r="C60" s="89" t="s">
        <v>235</v>
      </c>
      <c r="D60" s="89" t="s">
        <v>235</v>
      </c>
      <c r="E60" s="89" t="s">
        <v>235</v>
      </c>
      <c r="F60" s="89" t="s">
        <v>235</v>
      </c>
      <c r="G60" s="89" t="s">
        <v>681</v>
      </c>
      <c r="H60" s="89" t="s">
        <v>235</v>
      </c>
      <c r="I60" s="89" t="s">
        <v>235</v>
      </c>
      <c r="J60" s="89" t="s">
        <v>235</v>
      </c>
      <c r="K60" s="89" t="s">
        <v>235</v>
      </c>
      <c r="L60" s="89" t="s">
        <v>2272</v>
      </c>
      <c r="M60" s="89" t="s">
        <v>235</v>
      </c>
      <c r="N60" s="89" t="s">
        <v>235</v>
      </c>
      <c r="O60" s="89" t="s">
        <v>235</v>
      </c>
      <c r="P60" s="89" t="s">
        <v>235</v>
      </c>
    </row>
    <row r="61" spans="1:16" x14ac:dyDescent="0.25">
      <c r="A61" s="89" t="s">
        <v>233</v>
      </c>
      <c r="B61" s="89" t="s">
        <v>2500</v>
      </c>
      <c r="C61" s="89" t="s">
        <v>235</v>
      </c>
      <c r="D61" s="89" t="s">
        <v>235</v>
      </c>
      <c r="E61" s="89" t="s">
        <v>235</v>
      </c>
      <c r="F61" s="89" t="s">
        <v>235</v>
      </c>
      <c r="G61" s="89" t="s">
        <v>2501</v>
      </c>
      <c r="H61" s="89" t="s">
        <v>235</v>
      </c>
      <c r="I61" s="89" t="s">
        <v>235</v>
      </c>
      <c r="J61" s="89" t="s">
        <v>235</v>
      </c>
      <c r="K61" s="89" t="s">
        <v>235</v>
      </c>
      <c r="L61" s="89" t="s">
        <v>2500</v>
      </c>
      <c r="M61" s="89" t="s">
        <v>235</v>
      </c>
      <c r="N61" s="89" t="s">
        <v>235</v>
      </c>
      <c r="O61" s="89" t="s">
        <v>235</v>
      </c>
      <c r="P61" s="89" t="s">
        <v>235</v>
      </c>
    </row>
    <row r="62" spans="1:16" x14ac:dyDescent="0.25">
      <c r="A62" s="89" t="s">
        <v>199</v>
      </c>
      <c r="B62" s="89" t="s">
        <v>2233</v>
      </c>
      <c r="C62" s="89" t="s">
        <v>235</v>
      </c>
      <c r="D62" s="89" t="s">
        <v>235</v>
      </c>
      <c r="E62" s="89" t="s">
        <v>235</v>
      </c>
      <c r="F62" s="89" t="s">
        <v>235</v>
      </c>
      <c r="G62" s="89" t="s">
        <v>2168</v>
      </c>
      <c r="H62" s="89" t="s">
        <v>235</v>
      </c>
      <c r="I62" s="89" t="s">
        <v>235</v>
      </c>
      <c r="J62" s="89" t="s">
        <v>235</v>
      </c>
      <c r="K62" s="89" t="s">
        <v>235</v>
      </c>
      <c r="L62" s="89" t="s">
        <v>2233</v>
      </c>
      <c r="M62" s="89" t="s">
        <v>235</v>
      </c>
      <c r="N62" s="89" t="s">
        <v>235</v>
      </c>
      <c r="O62" s="89" t="s">
        <v>235</v>
      </c>
      <c r="P62" s="89" t="s">
        <v>235</v>
      </c>
    </row>
    <row r="63" spans="1:16" x14ac:dyDescent="0.25">
      <c r="A63" s="89" t="s">
        <v>227</v>
      </c>
      <c r="B63" s="89" t="s">
        <v>655</v>
      </c>
      <c r="C63" s="89" t="s">
        <v>235</v>
      </c>
      <c r="D63" s="89" t="s">
        <v>235</v>
      </c>
      <c r="E63" s="89" t="s">
        <v>235</v>
      </c>
      <c r="F63" s="89" t="s">
        <v>235</v>
      </c>
      <c r="G63" s="89" t="s">
        <v>500</v>
      </c>
      <c r="H63" s="89" t="s">
        <v>235</v>
      </c>
      <c r="I63" s="89" t="s">
        <v>235</v>
      </c>
      <c r="J63" s="89" t="s">
        <v>235</v>
      </c>
      <c r="K63" s="89" t="s">
        <v>235</v>
      </c>
      <c r="L63" s="89" t="s">
        <v>655</v>
      </c>
      <c r="M63" s="89" t="s">
        <v>235</v>
      </c>
      <c r="N63" s="89" t="s">
        <v>235</v>
      </c>
      <c r="O63" s="89" t="s">
        <v>235</v>
      </c>
      <c r="P63" s="89" t="s">
        <v>235</v>
      </c>
    </row>
    <row r="64" spans="1:16" x14ac:dyDescent="0.25">
      <c r="A64" s="89" t="s">
        <v>223</v>
      </c>
      <c r="B64" s="89" t="s">
        <v>2300</v>
      </c>
      <c r="C64" s="89" t="s">
        <v>235</v>
      </c>
      <c r="D64" s="89" t="s">
        <v>235</v>
      </c>
      <c r="E64" s="89" t="s">
        <v>235</v>
      </c>
      <c r="F64" s="89" t="s">
        <v>235</v>
      </c>
      <c r="G64" s="89" t="s">
        <v>2499</v>
      </c>
      <c r="H64" s="89" t="s">
        <v>235</v>
      </c>
      <c r="I64" s="89" t="s">
        <v>235</v>
      </c>
      <c r="J64" s="89" t="s">
        <v>235</v>
      </c>
      <c r="K64" s="89" t="s">
        <v>235</v>
      </c>
      <c r="L64" s="89" t="s">
        <v>2300</v>
      </c>
      <c r="M64" s="89" t="s">
        <v>235</v>
      </c>
      <c r="N64" s="89" t="s">
        <v>235</v>
      </c>
      <c r="O64" s="89" t="s">
        <v>235</v>
      </c>
      <c r="P64" s="89" t="s">
        <v>235</v>
      </c>
    </row>
    <row r="65" spans="1:16" x14ac:dyDescent="0.25">
      <c r="A65" s="89" t="s">
        <v>220</v>
      </c>
      <c r="B65" s="89" t="s">
        <v>1554</v>
      </c>
      <c r="C65" s="89" t="s">
        <v>235</v>
      </c>
      <c r="D65" s="89" t="s">
        <v>235</v>
      </c>
      <c r="E65" s="89" t="s">
        <v>235</v>
      </c>
      <c r="F65" s="89" t="s">
        <v>235</v>
      </c>
      <c r="G65" s="89" t="s">
        <v>2498</v>
      </c>
      <c r="H65" s="89" t="s">
        <v>235</v>
      </c>
      <c r="I65" s="89" t="s">
        <v>235</v>
      </c>
      <c r="J65" s="89" t="s">
        <v>235</v>
      </c>
      <c r="K65" s="89" t="s">
        <v>235</v>
      </c>
      <c r="L65" s="89" t="s">
        <v>1554</v>
      </c>
      <c r="M65" s="89" t="s">
        <v>235</v>
      </c>
      <c r="N65" s="89" t="s">
        <v>235</v>
      </c>
      <c r="O65" s="89" t="s">
        <v>235</v>
      </c>
      <c r="P65" s="89" t="s">
        <v>235</v>
      </c>
    </row>
    <row r="66" spans="1:16" x14ac:dyDescent="0.25">
      <c r="A66" s="89" t="s">
        <v>217</v>
      </c>
      <c r="B66" s="89" t="s">
        <v>2016</v>
      </c>
      <c r="C66" s="89" t="s">
        <v>235</v>
      </c>
      <c r="D66" s="89" t="s">
        <v>235</v>
      </c>
      <c r="E66" s="89" t="s">
        <v>235</v>
      </c>
      <c r="F66" s="89" t="s">
        <v>235</v>
      </c>
      <c r="G66" s="89" t="s">
        <v>2497</v>
      </c>
      <c r="H66" s="89" t="s">
        <v>235</v>
      </c>
      <c r="I66" s="89" t="s">
        <v>235</v>
      </c>
      <c r="J66" s="89" t="s">
        <v>235</v>
      </c>
      <c r="K66" s="89" t="s">
        <v>235</v>
      </c>
      <c r="L66" s="89" t="s">
        <v>2016</v>
      </c>
      <c r="M66" s="89" t="s">
        <v>235</v>
      </c>
      <c r="N66" s="89" t="s">
        <v>235</v>
      </c>
      <c r="O66" s="89" t="s">
        <v>235</v>
      </c>
      <c r="P66" s="89" t="s">
        <v>235</v>
      </c>
    </row>
    <row r="67" spans="1:16" x14ac:dyDescent="0.25">
      <c r="A67" s="89" t="s">
        <v>214</v>
      </c>
      <c r="B67" s="89" t="s">
        <v>2184</v>
      </c>
      <c r="C67" s="89" t="s">
        <v>235</v>
      </c>
      <c r="D67" s="89" t="s">
        <v>235</v>
      </c>
      <c r="E67" s="89" t="s">
        <v>235</v>
      </c>
      <c r="F67" s="89" t="s">
        <v>235</v>
      </c>
      <c r="G67" s="89" t="s">
        <v>769</v>
      </c>
      <c r="H67" s="89" t="s">
        <v>235</v>
      </c>
      <c r="I67" s="89" t="s">
        <v>235</v>
      </c>
      <c r="J67" s="89" t="s">
        <v>235</v>
      </c>
      <c r="K67" s="89" t="s">
        <v>235</v>
      </c>
      <c r="L67" s="89" t="s">
        <v>2184</v>
      </c>
      <c r="M67" s="89" t="s">
        <v>235</v>
      </c>
      <c r="N67" s="89" t="s">
        <v>235</v>
      </c>
      <c r="O67" s="89" t="s">
        <v>235</v>
      </c>
      <c r="P67" s="89" t="s">
        <v>235</v>
      </c>
    </row>
    <row r="68" spans="1:16" x14ac:dyDescent="0.25">
      <c r="A68" s="89" t="s">
        <v>212</v>
      </c>
      <c r="B68" s="89" t="s">
        <v>727</v>
      </c>
      <c r="C68" s="89" t="s">
        <v>235</v>
      </c>
      <c r="D68" s="89" t="s">
        <v>235</v>
      </c>
      <c r="E68" s="89" t="s">
        <v>235</v>
      </c>
      <c r="F68" s="89" t="s">
        <v>235</v>
      </c>
      <c r="G68" s="89" t="s">
        <v>500</v>
      </c>
      <c r="H68" s="89" t="s">
        <v>235</v>
      </c>
      <c r="I68" s="89" t="s">
        <v>235</v>
      </c>
      <c r="J68" s="89" t="s">
        <v>235</v>
      </c>
      <c r="K68" s="89" t="s">
        <v>235</v>
      </c>
      <c r="L68" s="89" t="s">
        <v>727</v>
      </c>
      <c r="M68" s="89" t="s">
        <v>235</v>
      </c>
      <c r="N68" s="89" t="s">
        <v>235</v>
      </c>
      <c r="O68" s="89" t="s">
        <v>235</v>
      </c>
      <c r="P68" s="89" t="s">
        <v>235</v>
      </c>
    </row>
    <row r="69" spans="1:16" x14ac:dyDescent="0.25">
      <c r="A69" s="89" t="s">
        <v>209</v>
      </c>
      <c r="B69" s="89" t="s">
        <v>2495</v>
      </c>
      <c r="C69" s="89" t="s">
        <v>235</v>
      </c>
      <c r="D69" s="89" t="s">
        <v>235</v>
      </c>
      <c r="E69" s="89" t="s">
        <v>235</v>
      </c>
      <c r="F69" s="89" t="s">
        <v>235</v>
      </c>
      <c r="G69" s="89" t="s">
        <v>2496</v>
      </c>
      <c r="H69" s="89" t="s">
        <v>235</v>
      </c>
      <c r="I69" s="89" t="s">
        <v>235</v>
      </c>
      <c r="J69" s="89" t="s">
        <v>235</v>
      </c>
      <c r="K69" s="89" t="s">
        <v>235</v>
      </c>
      <c r="L69" s="89" t="s">
        <v>2495</v>
      </c>
      <c r="M69" s="89" t="s">
        <v>235</v>
      </c>
      <c r="N69" s="89" t="s">
        <v>235</v>
      </c>
      <c r="O69" s="89" t="s">
        <v>235</v>
      </c>
      <c r="P69" s="89" t="s">
        <v>235</v>
      </c>
    </row>
    <row r="70" spans="1:16" x14ac:dyDescent="0.25">
      <c r="A70" s="89" t="s">
        <v>207</v>
      </c>
      <c r="B70" s="89" t="s">
        <v>1051</v>
      </c>
      <c r="C70" s="89" t="s">
        <v>235</v>
      </c>
      <c r="D70" s="89" t="s">
        <v>235</v>
      </c>
      <c r="E70" s="89" t="s">
        <v>235</v>
      </c>
      <c r="F70" s="89" t="s">
        <v>235</v>
      </c>
      <c r="G70" s="89" t="s">
        <v>1773</v>
      </c>
      <c r="H70" s="89" t="s">
        <v>235</v>
      </c>
      <c r="I70" s="89" t="s">
        <v>235</v>
      </c>
      <c r="J70" s="89" t="s">
        <v>235</v>
      </c>
      <c r="K70" s="89" t="s">
        <v>235</v>
      </c>
      <c r="L70" s="89" t="s">
        <v>1051</v>
      </c>
      <c r="M70" s="89" t="s">
        <v>235</v>
      </c>
      <c r="N70" s="89" t="s">
        <v>235</v>
      </c>
      <c r="O70" s="89" t="s">
        <v>235</v>
      </c>
      <c r="P70" s="89" t="s">
        <v>235</v>
      </c>
    </row>
  </sheetData>
  <mergeCells count="8">
    <mergeCell ref="A1:A5"/>
    <mergeCell ref="B2:P2"/>
    <mergeCell ref="B3:F3"/>
    <mergeCell ref="G3:K3"/>
    <mergeCell ref="L3:P3"/>
    <mergeCell ref="B4:F4"/>
    <mergeCell ref="G4:K4"/>
    <mergeCell ref="L4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BA1000"/>
  <sheetViews>
    <sheetView tabSelected="1" topLeftCell="AQ1" workbookViewId="0">
      <selection activeCell="AG2" sqref="AG2:BA43"/>
    </sheetView>
  </sheetViews>
  <sheetFormatPr baseColWidth="10" defaultColWidth="14.42578125" defaultRowHeight="15" customHeight="1" x14ac:dyDescent="0.25"/>
  <cols>
    <col min="1" max="1" width="20.140625" customWidth="1"/>
    <col min="2" max="22" width="10.140625" customWidth="1"/>
    <col min="23" max="23" width="12.85546875" customWidth="1"/>
    <col min="24" max="33" width="10.140625" customWidth="1"/>
  </cols>
  <sheetData>
    <row r="1" spans="1:53" x14ac:dyDescent="0.25">
      <c r="A1" s="72" t="s">
        <v>167</v>
      </c>
      <c r="B1" s="73">
        <v>2019</v>
      </c>
      <c r="C1" s="73">
        <v>2020</v>
      </c>
      <c r="D1" s="73">
        <v>2021</v>
      </c>
      <c r="E1" s="73">
        <v>2022</v>
      </c>
      <c r="F1" s="73">
        <v>2023</v>
      </c>
      <c r="G1" s="73">
        <v>2024</v>
      </c>
      <c r="H1" s="73">
        <v>2025</v>
      </c>
      <c r="I1" s="73">
        <v>2026</v>
      </c>
      <c r="J1" s="73">
        <v>2027</v>
      </c>
      <c r="K1" s="73">
        <v>2028</v>
      </c>
      <c r="L1" s="73">
        <v>2029</v>
      </c>
      <c r="M1" s="73">
        <v>2030</v>
      </c>
      <c r="N1" s="73">
        <v>2031</v>
      </c>
      <c r="O1" s="73">
        <v>2032</v>
      </c>
      <c r="P1" s="73">
        <v>2033</v>
      </c>
      <c r="Q1" s="73">
        <v>2034</v>
      </c>
      <c r="R1" s="73">
        <v>2035</v>
      </c>
      <c r="S1" s="73">
        <v>2036</v>
      </c>
      <c r="T1" s="73">
        <v>2037</v>
      </c>
      <c r="U1" s="73">
        <v>2038</v>
      </c>
      <c r="V1" s="73">
        <v>2039</v>
      </c>
      <c r="W1" s="73">
        <v>2040</v>
      </c>
      <c r="X1" s="73">
        <v>2041</v>
      </c>
      <c r="Y1" s="73">
        <v>2042</v>
      </c>
      <c r="Z1" s="73">
        <v>2043</v>
      </c>
      <c r="AA1" s="73">
        <v>2044</v>
      </c>
      <c r="AB1" s="73">
        <v>2045</v>
      </c>
      <c r="AC1" s="73">
        <v>2046</v>
      </c>
      <c r="AD1" s="73">
        <v>2047</v>
      </c>
      <c r="AE1" s="73">
        <v>2048</v>
      </c>
      <c r="AF1" s="73">
        <v>2049</v>
      </c>
      <c r="AG1" s="73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x14ac:dyDescent="0.25">
      <c r="A2" s="2" t="s">
        <v>31</v>
      </c>
      <c r="B2" s="104">
        <f>'BPS-Statistics summary'!E3</f>
        <v>3.3099999999999997E-2</v>
      </c>
      <c r="C2" s="104">
        <f>'BPS-Statistics summary'!F3</f>
        <v>2.1400000000000002E-2</v>
      </c>
      <c r="D2" s="104">
        <f>'BPS-Statistics summary'!G3</f>
        <v>1.1200000000000002E-2</v>
      </c>
      <c r="E2" s="104">
        <f>'BPS-Statistics summary'!H3</f>
        <v>2.3300000000000001E-2</v>
      </c>
      <c r="F2" s="104">
        <f>'BPS-Statistics summary'!I3</f>
        <v>1.8E-3</v>
      </c>
      <c r="G2" s="104">
        <f>'BPS-Statistics summary'!J3</f>
        <v>8.3000000000000001E-3</v>
      </c>
      <c r="H2" s="104">
        <f>'BPS-Statistics summary'!K3</f>
        <v>5.74E-2</v>
      </c>
      <c r="I2" s="104">
        <f>'BPS-Statistics summary'!L3</f>
        <v>2.2699999999999998E-2</v>
      </c>
      <c r="J2" s="104">
        <f>'BPS-Statistics summary'!M3</f>
        <v>2.2550000000000001E-2</v>
      </c>
      <c r="K2" s="104">
        <f>'BPS-Statistics summary'!N3</f>
        <v>2.7737499999999998E-2</v>
      </c>
      <c r="L2" s="104">
        <f>'BPS-Statistics summary'!O3</f>
        <v>3.2596874999999997E-2</v>
      </c>
      <c r="M2" s="104">
        <f>'BPS-Statistics summary'!P3</f>
        <v>2.6396093749999999E-2</v>
      </c>
      <c r="N2" s="104">
        <f>'BPS-Statistics summary'!Q3</f>
        <v>2.73201171875E-2</v>
      </c>
      <c r="O2" s="104">
        <f>'BPS-Statistics summary'!R3</f>
        <v>2.8512646484375001E-2</v>
      </c>
      <c r="P2" s="104">
        <f>'BPS-Statistics summary'!S3</f>
        <v>2.8706433105468752E-2</v>
      </c>
      <c r="Q2" s="104">
        <f>'BPS-Statistics summary'!T3</f>
        <v>2.7733822631835936E-2</v>
      </c>
      <c r="R2" s="104">
        <f>'BPS-Statistics summary'!U3</f>
        <v>2.8068254852294923E-2</v>
      </c>
      <c r="S2" s="104">
        <f>'BPS-Statistics summary'!V3</f>
        <v>2.8255289268493654E-2</v>
      </c>
      <c r="T2" s="104">
        <f>'BPS-Statistics summary'!W3</f>
        <v>2.8190949964523315E-2</v>
      </c>
      <c r="U2" s="104">
        <f>'BPS-Statistics summary'!X3</f>
        <v>2.8062079179286957E-2</v>
      </c>
      <c r="V2" s="104">
        <f>'BPS-Statistics summary'!Y3</f>
        <v>2.8144143316149714E-2</v>
      </c>
      <c r="W2" s="104">
        <f>'BPS-Statistics summary'!Z3</f>
        <v>2.816311543211341E-2</v>
      </c>
      <c r="X2" s="104">
        <f>'BPS-Statistics summary'!AA3</f>
        <v>2.8140071973018349E-2</v>
      </c>
      <c r="Y2" s="104">
        <f>'BPS-Statistics summary'!AB3</f>
        <v>2.8127352475142108E-2</v>
      </c>
      <c r="Z2" s="104">
        <f>'BPS-Statistics summary'!AC3</f>
        <v>2.8143670799105895E-2</v>
      </c>
      <c r="AA2" s="104">
        <f>'BPS-Statistics summary'!AD3</f>
        <v>2.8143552669844939E-2</v>
      </c>
      <c r="AB2" s="104">
        <f>'BPS-Statistics summary'!AE3</f>
        <v>2.8138661979277821E-2</v>
      </c>
      <c r="AC2" s="104">
        <f>'BPS-Statistics summary'!AF3</f>
        <v>2.8138309480842689E-2</v>
      </c>
      <c r="AD2" s="104">
        <f>'BPS-Statistics summary'!AG3</f>
        <v>2.8141048732267835E-2</v>
      </c>
      <c r="AE2" s="104">
        <f>'BPS-Statistics summary'!AH3</f>
        <v>2.8140393215558321E-2</v>
      </c>
      <c r="AF2" s="104">
        <f>'BPS-Statistics summary'!AI3</f>
        <v>2.8139603351986665E-2</v>
      </c>
      <c r="AG2" s="104">
        <f>'BPS-Statistics summary'!AJ3</f>
        <v>2.8139838695163875E-2</v>
      </c>
      <c r="AH2" s="104">
        <f>'BPS-Statistics summary'!AK3</f>
        <v>2.8140220998744171E-2</v>
      </c>
      <c r="AI2" s="104">
        <f>'BPS-Statistics summary'!AL3</f>
        <v>2.8140014065363254E-2</v>
      </c>
      <c r="AJ2" s="104">
        <f>'BPS-Statistics summary'!AM3</f>
        <v>2.8139919277814493E-2</v>
      </c>
      <c r="AK2" s="104">
        <f>'BPS-Statistics summary'!AN3</f>
        <v>2.8139998259271447E-2</v>
      </c>
      <c r="AL2" s="104">
        <f>'BPS-Statistics summary'!AO3</f>
        <v>2.8140038150298342E-2</v>
      </c>
      <c r="AM2" s="104">
        <f>'BPS-Statistics summary'!AP3</f>
        <v>2.8139992438186885E-2</v>
      </c>
      <c r="AN2" s="104">
        <f>'BPS-Statistics summary'!AQ3</f>
        <v>2.8139987031392789E-2</v>
      </c>
      <c r="AO2" s="104">
        <f>'BPS-Statistics summary'!AR3</f>
        <v>2.8140003969787365E-2</v>
      </c>
      <c r="AP2" s="104">
        <f>'BPS-Statistics summary'!AS3</f>
        <v>2.8140005397416346E-2</v>
      </c>
      <c r="AQ2" s="104">
        <f>'BPS-Statistics summary'!AT3</f>
        <v>2.8139997209195848E-2</v>
      </c>
      <c r="AR2" s="104">
        <f>'BPS-Statistics summary'!AU3</f>
        <v>2.8139998401948085E-2</v>
      </c>
      <c r="AS2" s="104">
        <f>'BPS-Statistics summary'!AV3</f>
        <v>2.8140001244586911E-2</v>
      </c>
      <c r="AT2" s="104">
        <f>'BPS-Statistics summary'!AW3</f>
        <v>2.8140000563286797E-2</v>
      </c>
      <c r="AU2" s="104">
        <f>'BPS-Statistics summary'!AX3</f>
        <v>2.8139999354754412E-2</v>
      </c>
      <c r="AV2" s="104">
        <f>'BPS-Statistics summary'!AY3</f>
        <v>2.8139999891144053E-2</v>
      </c>
      <c r="AW2" s="104">
        <f>'BPS-Statistics summary'!AZ3</f>
        <v>2.8140000263443044E-2</v>
      </c>
      <c r="AX2" s="104">
        <f>'BPS-Statistics summary'!BA3</f>
        <v>2.8140000018157078E-2</v>
      </c>
      <c r="AY2" s="104">
        <f>'BPS-Statistics summary'!BB3</f>
        <v>2.8139999881874649E-2</v>
      </c>
      <c r="AZ2" s="104">
        <f>'BPS-Statistics summary'!BC3</f>
        <v>2.8140000013654708E-2</v>
      </c>
      <c r="BA2" s="104">
        <f>'BPS-Statistics summary'!BD3</f>
        <v>2.8140000044282368E-2</v>
      </c>
    </row>
    <row r="3" spans="1:53" x14ac:dyDescent="0.25">
      <c r="A3" s="2" t="s">
        <v>34</v>
      </c>
      <c r="B3" s="104">
        <f>'BPS-Statistics summary'!E13</f>
        <v>0.10199999999999999</v>
      </c>
      <c r="C3" s="104">
        <f>'BPS-Statistics summary'!F13</f>
        <v>-5.4299999999999994E-2</v>
      </c>
      <c r="D3" s="104">
        <f>'BPS-Statistics summary'!G13</f>
        <v>6.6000000000000003E-2</v>
      </c>
      <c r="E3" s="104">
        <f>'BPS-Statistics summary'!H13</f>
        <v>8.1099999999999992E-2</v>
      </c>
      <c r="F3" s="104">
        <f>'BPS-Statistics summary'!I13</f>
        <v>0.1002</v>
      </c>
      <c r="G3" s="104">
        <f>'BPS-Statistics summary'!J13</f>
        <v>6.8199999999999997E-2</v>
      </c>
      <c r="H3" s="104">
        <f>'BPS-Statistics summary'!K13</f>
        <v>-1.26E-2</v>
      </c>
      <c r="I3" s="104">
        <f>'BPS-Statistics summary'!L13</f>
        <v>5.9225E-2</v>
      </c>
      <c r="J3" s="104">
        <f>'BPS-Statistics summary'!M13</f>
        <v>5.3756249999999998E-2</v>
      </c>
      <c r="K3" s="104">
        <f>'BPS-Statistics summary'!N13</f>
        <v>4.2145312499999997E-2</v>
      </c>
      <c r="L3" s="104">
        <f>'BPS-Statistics summary'!O13</f>
        <v>3.5631640625000002E-2</v>
      </c>
      <c r="M3" s="104">
        <f>'BPS-Statistics summary'!P13</f>
        <v>4.7689550781250006E-2</v>
      </c>
      <c r="N3" s="104">
        <f>'BPS-Statistics summary'!Q13</f>
        <v>4.4805688476562501E-2</v>
      </c>
      <c r="O3" s="104">
        <f>'BPS-Statistics summary'!R13</f>
        <v>4.2568048095703123E-2</v>
      </c>
      <c r="P3" s="104">
        <f>'BPS-Statistics summary'!S13</f>
        <v>4.2673731994628913E-2</v>
      </c>
      <c r="Q3" s="104">
        <f>'BPS-Statistics summary'!T13</f>
        <v>4.4434254837036141E-2</v>
      </c>
      <c r="R3" s="104">
        <f>'BPS-Statistics summary'!U13</f>
        <v>4.3620430850982668E-2</v>
      </c>
      <c r="S3" s="104">
        <f>'BPS-Statistics summary'!V13</f>
        <v>4.332411644458771E-2</v>
      </c>
      <c r="T3" s="104">
        <f>'BPS-Statistics summary'!W13</f>
        <v>4.3513133531808856E-2</v>
      </c>
      <c r="U3" s="104">
        <f>'BPS-Statistics summary'!X13</f>
        <v>4.3722983916103839E-2</v>
      </c>
      <c r="V3" s="104">
        <f>'BPS-Statistics summary'!Y13</f>
        <v>4.3545166185870773E-2</v>
      </c>
      <c r="W3" s="104">
        <f>'BPS-Statistics summary'!Z13</f>
        <v>4.3526350019592791E-2</v>
      </c>
      <c r="X3" s="104">
        <f>'BPS-Statistics summary'!AA13</f>
        <v>4.3576908413344065E-2</v>
      </c>
      <c r="Y3" s="104">
        <f>'BPS-Statistics summary'!AB13</f>
        <v>4.3592852133727863E-2</v>
      </c>
      <c r="Z3" s="104">
        <f>'BPS-Statistics summary'!AC13</f>
        <v>4.356031918813387E-2</v>
      </c>
      <c r="AA3" s="104">
        <f>'BPS-Statistics summary'!AD13</f>
        <v>4.3564107438699651E-2</v>
      </c>
      <c r="AB3" s="104">
        <f>'BPS-Statistics summary'!AE13</f>
        <v>4.3573546793476359E-2</v>
      </c>
      <c r="AC3" s="104">
        <f>'BPS-Statistics summary'!AF13</f>
        <v>4.3572706388509436E-2</v>
      </c>
      <c r="AD3" s="104">
        <f>'BPS-Statistics summary'!AG13</f>
        <v>4.3567669952204825E-2</v>
      </c>
      <c r="AE3" s="104">
        <f>'BPS-Statistics summary'!AH13</f>
        <v>4.3569507643222566E-2</v>
      </c>
      <c r="AF3" s="104">
        <f>'BPS-Statistics summary'!AI13</f>
        <v>4.3570857694353295E-2</v>
      </c>
      <c r="AG3" s="104">
        <f>'BPS-Statistics summary'!AJ13</f>
        <v>4.3570185419572527E-2</v>
      </c>
      <c r="AH3" s="104">
        <f>'BPS-Statistics summary'!AK13</f>
        <v>4.35695551773383E-2</v>
      </c>
      <c r="AI3" s="104">
        <f>'BPS-Statistics summary'!AL13</f>
        <v>4.3570026483621668E-2</v>
      </c>
      <c r="AJ3" s="104">
        <f>'BPS-Statistics summary'!AM13</f>
        <v>4.357015619372144E-2</v>
      </c>
      <c r="AK3" s="104">
        <f>'BPS-Statistics summary'!AN13</f>
        <v>4.3569980818563489E-2</v>
      </c>
      <c r="AL3" s="104">
        <f>'BPS-Statistics summary'!AO13</f>
        <v>4.3569929668311233E-2</v>
      </c>
      <c r="AM3" s="104">
        <f>'BPS-Statistics summary'!AP13</f>
        <v>4.3570023291054458E-2</v>
      </c>
      <c r="AN3" s="104">
        <f>'BPS-Statistics summary'!AQ13</f>
        <v>4.3570022492912655E-2</v>
      </c>
      <c r="AO3" s="104">
        <f>'BPS-Statistics summary'!AR13</f>
        <v>4.3569989067710452E-2</v>
      </c>
      <c r="AP3" s="104">
        <f>'BPS-Statistics summary'!AS13</f>
        <v>4.3569991129997203E-2</v>
      </c>
      <c r="AQ3" s="104">
        <f>'BPS-Statistics summary'!AT13</f>
        <v>4.3570006495418694E-2</v>
      </c>
      <c r="AR3" s="104">
        <f>'BPS-Statistics summary'!AU13</f>
        <v>4.3570002296509751E-2</v>
      </c>
      <c r="AS3" s="104">
        <f>'BPS-Statistics summary'!AV13</f>
        <v>4.356999724740903E-2</v>
      </c>
      <c r="AT3" s="104">
        <f>'BPS-Statistics summary'!AW13</f>
        <v>4.3569999292333669E-2</v>
      </c>
      <c r="AU3" s="104">
        <f>'BPS-Statistics summary'!AX13</f>
        <v>4.3570001332917788E-2</v>
      </c>
      <c r="AV3" s="104">
        <f>'BPS-Statistics summary'!AY13</f>
        <v>4.3570000042292556E-2</v>
      </c>
      <c r="AW3" s="104">
        <f>'BPS-Statistics summary'!AZ13</f>
        <v>4.3569999478738256E-2</v>
      </c>
      <c r="AX3" s="104">
        <f>'BPS-Statistics summary'!BA13</f>
        <v>4.3570000036570564E-2</v>
      </c>
      <c r="AY3" s="104">
        <f>'BPS-Statistics summary'!BB13</f>
        <v>4.3570000222629787E-2</v>
      </c>
      <c r="AZ3" s="104">
        <f>'BPS-Statistics summary'!BC13</f>
        <v>4.3569999945057794E-2</v>
      </c>
      <c r="BA3" s="104">
        <f>'BPS-Statistics summary'!BD13</f>
        <v>4.35699999207491E-2</v>
      </c>
    </row>
    <row r="4" spans="1:53" x14ac:dyDescent="0.25">
      <c r="A4" s="2" t="s">
        <v>148</v>
      </c>
      <c r="B4" s="104">
        <f>'BPS-Statistics summary'!E12</f>
        <v>-2.8300000000000002E-2</v>
      </c>
      <c r="C4" s="104">
        <f>'BPS-Statistics summary'!F12</f>
        <v>-0.06</v>
      </c>
      <c r="D4" s="104">
        <f>'BPS-Statistics summary'!G12</f>
        <v>-4.4199999999999996E-2</v>
      </c>
      <c r="E4" s="104">
        <f>'BPS-Statistics summary'!H12</f>
        <v>-4.82E-2</v>
      </c>
      <c r="F4" s="104">
        <f>'BPS-Statistics summary'!I12</f>
        <v>7.3000000000000001E-3</v>
      </c>
      <c r="G4" s="104">
        <f>'BPS-Statistics summary'!J12</f>
        <v>-7.8000000000000005E-3</v>
      </c>
      <c r="H4" s="104">
        <f>'BPS-Statistics summary'!K12</f>
        <v>1.1399999999999999E-2</v>
      </c>
      <c r="I4" s="104">
        <f>'BPS-Statistics summary'!L12</f>
        <v>-9.325E-3</v>
      </c>
      <c r="J4" s="104">
        <f>'BPS-Statistics summary'!M12</f>
        <v>3.9374999999999957E-4</v>
      </c>
      <c r="K4" s="104">
        <f>'BPS-Statistics summary'!N12</f>
        <v>-1.3328125000000007E-3</v>
      </c>
      <c r="L4" s="104">
        <f>'BPS-Statistics summary'!O12</f>
        <v>2.8398437499999941E-4</v>
      </c>
      <c r="M4" s="104">
        <f>'BPS-Statistics summary'!P12</f>
        <v>-2.4950195312500004E-3</v>
      </c>
      <c r="N4" s="104">
        <f>'BPS-Statistics summary'!Q12</f>
        <v>-7.8752441406250049E-4</v>
      </c>
      <c r="O4" s="104">
        <f>'BPS-Statistics summary'!R12</f>
        <v>-1.0828430175781256E-3</v>
      </c>
      <c r="P4" s="104">
        <f>'BPS-Statistics summary'!S12</f>
        <v>-1.0203506469726566E-3</v>
      </c>
      <c r="Q4" s="104">
        <f>'BPS-Statistics summary'!T12</f>
        <v>-1.3464344024658207E-3</v>
      </c>
      <c r="R4" s="104">
        <f>'BPS-Statistics summary'!U12</f>
        <v>-1.0592881202697757E-3</v>
      </c>
      <c r="S4" s="104">
        <f>'BPS-Statistics summary'!V12</f>
        <v>-1.1272290468215948E-3</v>
      </c>
      <c r="T4" s="104">
        <f>'BPS-Statistics summary'!W12</f>
        <v>-1.1383255541324621E-3</v>
      </c>
      <c r="U4" s="104">
        <f>'BPS-Statistics summary'!X12</f>
        <v>-1.1678192809224134E-3</v>
      </c>
      <c r="V4" s="104">
        <f>'BPS-Statistics summary'!Y12</f>
        <v>-1.1231655005365616E-3</v>
      </c>
      <c r="W4" s="104">
        <f>'BPS-Statistics summary'!Z12</f>
        <v>-1.139134845603258E-3</v>
      </c>
      <c r="X4" s="104">
        <f>'BPS-Statistics summary'!AA12</f>
        <v>-1.1421112952986739E-3</v>
      </c>
      <c r="Y4" s="104">
        <f>'BPS-Statistics summary'!AB12</f>
        <v>-1.1430577305902266E-3</v>
      </c>
      <c r="Z4" s="104">
        <f>'BPS-Statistics summary'!AC12</f>
        <v>-1.1368673430071801E-3</v>
      </c>
      <c r="AA4" s="104">
        <f>'BPS-Statistics summary'!AD12</f>
        <v>-1.1402928036248346E-3</v>
      </c>
      <c r="AB4" s="104">
        <f>'BPS-Statistics summary'!AE12</f>
        <v>-1.1405822931302289E-3</v>
      </c>
      <c r="AC4" s="104">
        <f>'BPS-Statistics summary'!AF12</f>
        <v>-1.1402000425881176E-3</v>
      </c>
      <c r="AD4" s="104">
        <f>'BPS-Statistics summary'!AG12</f>
        <v>-1.1394856205875904E-3</v>
      </c>
      <c r="AE4" s="104">
        <f>'BPS-Statistics summary'!AH12</f>
        <v>-1.1401401899826928E-3</v>
      </c>
      <c r="AF4" s="104">
        <f>'BPS-Statistics summary'!AI12</f>
        <v>-1.1401020365721575E-3</v>
      </c>
      <c r="AG4" s="104">
        <f>'BPS-Statistics summary'!AJ12</f>
        <v>-1.1399819724326396E-3</v>
      </c>
      <c r="AH4" s="104">
        <f>'BPS-Statistics summary'!AK12</f>
        <v>-1.13992745489377E-3</v>
      </c>
      <c r="AI4" s="104">
        <f>'BPS-Statistics summary'!AL12</f>
        <v>-1.140037913470315E-3</v>
      </c>
      <c r="AJ4" s="104">
        <f>'BPS-Statistics summary'!AM12</f>
        <v>-1.1400123443422205E-3</v>
      </c>
      <c r="AK4" s="104">
        <f>'BPS-Statistics summary'!AN12</f>
        <v>-1.1399899212847363E-3</v>
      </c>
      <c r="AL4" s="104">
        <f>'BPS-Statistics summary'!AO12</f>
        <v>-1.1399919084977604E-3</v>
      </c>
      <c r="AM4" s="104">
        <f>'BPS-Statistics summary'!AP12</f>
        <v>-1.1400080218987581E-3</v>
      </c>
      <c r="AN4" s="104">
        <f>'BPS-Statistics summary'!AQ12</f>
        <v>-1.1400005490058689E-3</v>
      </c>
      <c r="AO4" s="104">
        <f>'BPS-Statistics summary'!AR12</f>
        <v>-1.139997600171781E-3</v>
      </c>
      <c r="AP4" s="104">
        <f>'BPS-Statistics summary'!AS12</f>
        <v>-1.1399995198935421E-3</v>
      </c>
      <c r="AQ4" s="104">
        <f>'BPS-Statistics summary'!AT12</f>
        <v>-1.1400014227424876E-3</v>
      </c>
      <c r="AR4" s="104">
        <f>'BPS-Statistics summary'!AU12</f>
        <v>-1.1399997729534198E-3</v>
      </c>
      <c r="AS4" s="104">
        <f>'BPS-Statistics summary'!AV12</f>
        <v>-1.1399995789403076E-3</v>
      </c>
      <c r="AT4" s="104">
        <f>'BPS-Statistics summary'!AW12</f>
        <v>-1.1400000736324395E-3</v>
      </c>
      <c r="AU4" s="104">
        <f>'BPS-Statistics summary'!AX12</f>
        <v>-1.1400002120671637E-3</v>
      </c>
      <c r="AV4" s="104">
        <f>'BPS-Statistics summary'!AY12</f>
        <v>-1.1399999093983327E-3</v>
      </c>
      <c r="AW4" s="104">
        <f>'BPS-Statistics summary'!AZ12</f>
        <v>-1.1399999435095609E-3</v>
      </c>
      <c r="AX4" s="104">
        <f>'BPS-Statistics summary'!BA12</f>
        <v>-1.1400000346518742E-3</v>
      </c>
      <c r="AY4" s="104">
        <f>'BPS-Statistics summary'!BB12</f>
        <v>-1.1400000249067329E-3</v>
      </c>
      <c r="AZ4" s="104">
        <f>'BPS-Statistics summary'!BC12</f>
        <v>-1.1399999781166251E-3</v>
      </c>
      <c r="BA4" s="104">
        <f>'BPS-Statistics summary'!BD12</f>
        <v>-1.1399999952961984E-3</v>
      </c>
    </row>
    <row r="5" spans="1:53" x14ac:dyDescent="0.25">
      <c r="A5" s="2" t="s">
        <v>36</v>
      </c>
      <c r="B5" s="104">
        <f>'BPS-Statistics summary'!E14</f>
        <v>-0.1515</v>
      </c>
      <c r="C5" s="104">
        <f>'BPS-Statistics summary'!F14</f>
        <v>0.2026</v>
      </c>
      <c r="D5" s="104">
        <f>'BPS-Statistics summary'!G14</f>
        <v>0.22839999999999999</v>
      </c>
      <c r="E5" s="104">
        <f>'BPS-Statistics summary'!H14</f>
        <v>0.18010000000000001</v>
      </c>
      <c r="F5" s="104">
        <f>'BPS-Statistics summary'!I14</f>
        <v>8.5000000000000006E-2</v>
      </c>
      <c r="G5" s="104">
        <f>'BPS-Statistics summary'!J14</f>
        <v>8.3000000000000004E-2</v>
      </c>
      <c r="H5" s="104">
        <f>'BPS-Statistics summary'!K14</f>
        <v>-7.9199999999999993E-2</v>
      </c>
      <c r="I5" s="104">
        <f>'BPS-Statistics summary'!L14</f>
        <v>6.7225000000000007E-2</v>
      </c>
      <c r="J5" s="104">
        <f>'BPS-Statistics summary'!M14</f>
        <v>3.9006250000000006E-2</v>
      </c>
      <c r="K5" s="104">
        <f>'BPS-Statistics summary'!N14</f>
        <v>2.7507812500000006E-2</v>
      </c>
      <c r="L5" s="104">
        <f>'BPS-Statistics summary'!O14</f>
        <v>1.3634765625000007E-2</v>
      </c>
      <c r="M5" s="104">
        <f>'BPS-Statistics summary'!P14</f>
        <v>3.6843457031250006E-2</v>
      </c>
      <c r="N5" s="104">
        <f>'BPS-Statistics summary'!Q14</f>
        <v>2.9248071289062504E-2</v>
      </c>
      <c r="O5" s="104">
        <f>'BPS-Statistics summary'!R14</f>
        <v>2.6808526611328133E-2</v>
      </c>
      <c r="P5" s="104">
        <f>'BPS-Statistics summary'!S14</f>
        <v>2.6633705139160163E-2</v>
      </c>
      <c r="Q5" s="104">
        <f>'BPS-Statistics summary'!T14</f>
        <v>2.98834400177002E-2</v>
      </c>
      <c r="R5" s="104">
        <f>'BPS-Statistics summary'!U14</f>
        <v>2.814343576431275E-2</v>
      </c>
      <c r="S5" s="104">
        <f>'BPS-Statistics summary'!V14</f>
        <v>2.7867276883125312E-2</v>
      </c>
      <c r="T5" s="104">
        <f>'BPS-Statistics summary'!W14</f>
        <v>2.8131964451074604E-2</v>
      </c>
      <c r="U5" s="104">
        <f>'BPS-Statistics summary'!X14</f>
        <v>2.8506529279053214E-2</v>
      </c>
      <c r="V5" s="104">
        <f>'BPS-Statistics summary'!Y14</f>
        <v>2.8162301594391471E-2</v>
      </c>
      <c r="W5" s="104">
        <f>'BPS-Statistics summary'!Z14</f>
        <v>2.8167018051911148E-2</v>
      </c>
      <c r="X5" s="104">
        <f>'BPS-Statistics summary'!AA14</f>
        <v>2.8241953344107607E-2</v>
      </c>
      <c r="Y5" s="104">
        <f>'BPS-Statistics summary'!AB14</f>
        <v>2.8269450567365857E-2</v>
      </c>
      <c r="Z5" s="104">
        <f>'BPS-Statistics summary'!AC14</f>
        <v>2.821018088944402E-2</v>
      </c>
      <c r="AA5" s="104">
        <f>'BPS-Statistics summary'!AD14</f>
        <v>2.8222150713207158E-2</v>
      </c>
      <c r="AB5" s="104">
        <f>'BPS-Statistics summary'!AE14</f>
        <v>2.8235933878531162E-2</v>
      </c>
      <c r="AC5" s="104">
        <f>'BPS-Statistics summary'!AF14</f>
        <v>2.8234429012137047E-2</v>
      </c>
      <c r="AD5" s="104">
        <f>'BPS-Statistics summary'!AG14</f>
        <v>2.8225673623329846E-2</v>
      </c>
      <c r="AE5" s="104">
        <f>'BPS-Statistics summary'!AH14</f>
        <v>2.8229546806801301E-2</v>
      </c>
      <c r="AF5" s="104">
        <f>'BPS-Statistics summary'!AI14</f>
        <v>2.8231395830199839E-2</v>
      </c>
      <c r="AG5" s="104">
        <f>'BPS-Statistics summary'!AJ14</f>
        <v>2.8230261318117011E-2</v>
      </c>
      <c r="AH5" s="104">
        <f>'BPS-Statistics summary'!AK14</f>
        <v>2.8229219394611999E-2</v>
      </c>
      <c r="AI5" s="104">
        <f>'BPS-Statistics summary'!AL14</f>
        <v>2.8230105837432535E-2</v>
      </c>
      <c r="AJ5" s="104">
        <f>'BPS-Statistics summary'!AM14</f>
        <v>2.8230245595090346E-2</v>
      </c>
      <c r="AK5" s="104">
        <f>'BPS-Statistics summary'!AN14</f>
        <v>2.8229958036312973E-2</v>
      </c>
      <c r="AL5" s="104">
        <f>'BPS-Statistics summary'!AO14</f>
        <v>2.8229882215861965E-2</v>
      </c>
      <c r="AM5" s="104">
        <f>'BPS-Statistics summary'!AP14</f>
        <v>2.8230047921174454E-2</v>
      </c>
      <c r="AN5" s="104">
        <f>'BPS-Statistics summary'!AQ14</f>
        <v>2.8230033442109934E-2</v>
      </c>
      <c r="AO5" s="104">
        <f>'BPS-Statistics summary'!AR14</f>
        <v>2.8229980403864832E-2</v>
      </c>
      <c r="AP5" s="104">
        <f>'BPS-Statistics summary'!AS14</f>
        <v>2.8229985995752795E-2</v>
      </c>
      <c r="AQ5" s="104">
        <f>'BPS-Statistics summary'!AT14</f>
        <v>2.8230011940725504E-2</v>
      </c>
      <c r="AR5" s="104">
        <f>'BPS-Statistics summary'!AU14</f>
        <v>2.8230002945613265E-2</v>
      </c>
      <c r="AS5" s="104">
        <f>'BPS-Statistics summary'!AV14</f>
        <v>2.82299953214891E-2</v>
      </c>
      <c r="AT5" s="104">
        <f>'BPS-Statistics summary'!AW14</f>
        <v>2.8229999050895162E-2</v>
      </c>
      <c r="AU5" s="104">
        <f>'BPS-Statistics summary'!AX14</f>
        <v>2.8230002314680758E-2</v>
      </c>
      <c r="AV5" s="104">
        <f>'BPS-Statistics summary'!AY14</f>
        <v>2.8229999908169573E-2</v>
      </c>
      <c r="AW5" s="104">
        <f>'BPS-Statistics summary'!AZ14</f>
        <v>2.8229999148808648E-2</v>
      </c>
      <c r="AX5" s="104">
        <f>'BPS-Statistics summary'!BA14</f>
        <v>2.8230000105638534E-2</v>
      </c>
      <c r="AY5" s="104">
        <f>'BPS-Statistics summary'!BB14</f>
        <v>2.8230000369324378E-2</v>
      </c>
      <c r="AZ5" s="104">
        <f>'BPS-Statistics summary'!BC14</f>
        <v>2.8229999882985284E-2</v>
      </c>
      <c r="BA5" s="104">
        <f>'BPS-Statistics summary'!BD14</f>
        <v>2.8229999876689213E-2</v>
      </c>
    </row>
    <row r="6" spans="1:53" x14ac:dyDescent="0.25">
      <c r="A6" s="2" t="s">
        <v>38</v>
      </c>
      <c r="B6" s="104">
        <f>'BPS-Statistics summary'!E15</f>
        <v>6.1799999999999994E-2</v>
      </c>
      <c r="C6" s="104">
        <f>'BPS-Statistics summary'!F15</f>
        <v>-1.2199999999999999E-2</v>
      </c>
      <c r="D6" s="104">
        <f>'BPS-Statistics summary'!G15</f>
        <v>1.9699999999999999E-2</v>
      </c>
      <c r="E6" s="104">
        <f>'BPS-Statistics summary'!H15</f>
        <v>2.3300000000000001E-2</v>
      </c>
      <c r="F6" s="104">
        <f>'BPS-Statistics summary'!I15</f>
        <v>5.3699999999999998E-2</v>
      </c>
      <c r="G6" s="104">
        <f>'BPS-Statistics summary'!J15</f>
        <v>6.2699999999999992E-2</v>
      </c>
      <c r="H6" s="104">
        <f>'BPS-Statistics summary'!K15</f>
        <v>4.7899999999999998E-2</v>
      </c>
      <c r="I6" s="104">
        <f>'BPS-Statistics summary'!L15</f>
        <v>4.6899999999999997E-2</v>
      </c>
      <c r="J6" s="104">
        <f>'BPS-Statistics summary'!M15</f>
        <v>5.28E-2</v>
      </c>
      <c r="K6" s="104">
        <f>'BPS-Statistics summary'!N15</f>
        <v>5.2574999999999997E-2</v>
      </c>
      <c r="L6" s="104">
        <f>'BPS-Statistics summary'!O15</f>
        <v>5.0043749999999998E-2</v>
      </c>
      <c r="M6" s="104">
        <f>'BPS-Statistics summary'!P15</f>
        <v>5.0579687499999998E-2</v>
      </c>
      <c r="N6" s="104">
        <f>'BPS-Statistics summary'!Q15</f>
        <v>5.1499609374999998E-2</v>
      </c>
      <c r="O6" s="104">
        <f>'BPS-Statistics summary'!R15</f>
        <v>5.1174511718750003E-2</v>
      </c>
      <c r="P6" s="104">
        <f>'BPS-Statistics summary'!S15</f>
        <v>5.0824389648437503E-2</v>
      </c>
      <c r="Q6" s="104">
        <f>'BPS-Statistics summary'!T15</f>
        <v>5.1019549560546877E-2</v>
      </c>
      <c r="R6" s="104">
        <f>'BPS-Statistics summary'!U15</f>
        <v>5.1129515075683599E-2</v>
      </c>
      <c r="S6" s="104">
        <f>'BPS-Statistics summary'!V15</f>
        <v>5.1036991500854501E-2</v>
      </c>
      <c r="T6" s="104">
        <f>'BPS-Statistics summary'!W15</f>
        <v>5.1002611446380616E-2</v>
      </c>
      <c r="U6" s="104">
        <f>'BPS-Statistics summary'!X15</f>
        <v>5.10471668958664E-2</v>
      </c>
      <c r="V6" s="104">
        <f>'BPS-Statistics summary'!Y15</f>
        <v>5.1054071229696282E-2</v>
      </c>
      <c r="W6" s="104">
        <f>'BPS-Statistics summary'!Z15</f>
        <v>5.1035210268199446E-2</v>
      </c>
      <c r="X6" s="104">
        <f>'BPS-Statistics summary'!AA15</f>
        <v>5.1034764960035686E-2</v>
      </c>
      <c r="Y6" s="104">
        <f>'BPS-Statistics summary'!AB15</f>
        <v>5.1042803338449447E-2</v>
      </c>
      <c r="Z6" s="104">
        <f>'BPS-Statistics summary'!AC15</f>
        <v>5.1041712449095222E-2</v>
      </c>
      <c r="AA6" s="104">
        <f>'BPS-Statistics summary'!AD15</f>
        <v>5.1038622753944954E-2</v>
      </c>
      <c r="AB6" s="104">
        <f>'BPS-Statistics summary'!AE15</f>
        <v>5.1039475875381324E-2</v>
      </c>
      <c r="AC6" s="104">
        <f>'BPS-Statistics summary'!AF15</f>
        <v>5.1040653604217737E-2</v>
      </c>
      <c r="AD6" s="104">
        <f>'BPS-Statistics summary'!AG15</f>
        <v>5.1040116170659802E-2</v>
      </c>
      <c r="AE6" s="104">
        <f>'BPS-Statistics summary'!AH15</f>
        <v>5.1039717101050958E-2</v>
      </c>
      <c r="AF6" s="104">
        <f>'BPS-Statistics summary'!AI15</f>
        <v>5.1039990687827455E-2</v>
      </c>
      <c r="AG6" s="104">
        <f>'BPS-Statistics summary'!AJ15</f>
        <v>5.1040119390938984E-2</v>
      </c>
      <c r="AH6" s="104">
        <f>'BPS-Statistics summary'!AK15</f>
        <v>5.1039985837619303E-2</v>
      </c>
      <c r="AI6" s="104">
        <f>'BPS-Statistics summary'!AL15</f>
        <v>5.1039953254359172E-2</v>
      </c>
      <c r="AJ6" s="104">
        <f>'BPS-Statistics summary'!AM15</f>
        <v>5.1040012292686232E-2</v>
      </c>
      <c r="AK6" s="104">
        <f>'BPS-Statistics summary'!AN15</f>
        <v>5.1040017693900923E-2</v>
      </c>
      <c r="AL6" s="104">
        <f>'BPS-Statistics summary'!AO15</f>
        <v>5.1039992269641413E-2</v>
      </c>
      <c r="AM6" s="104">
        <f>'BPS-Statistics summary'!AP15</f>
        <v>5.1039993877646933E-2</v>
      </c>
      <c r="AN6" s="104">
        <f>'BPS-Statistics summary'!AQ15</f>
        <v>5.1040004033468873E-2</v>
      </c>
      <c r="AO6" s="104">
        <f>'BPS-Statistics summary'!AR15</f>
        <v>5.1040001968664532E-2</v>
      </c>
      <c r="AP6" s="104">
        <f>'BPS-Statistics summary'!AS15</f>
        <v>5.1039998037355441E-2</v>
      </c>
      <c r="AQ6" s="104">
        <f>'BPS-Statistics summary'!AT15</f>
        <v>5.1039999479283948E-2</v>
      </c>
      <c r="AR6" s="104">
        <f>'BPS-Statistics summary'!AU15</f>
        <v>5.1040000879693195E-2</v>
      </c>
      <c r="AS6" s="104">
        <f>'BPS-Statistics summary'!AV15</f>
        <v>5.1040000091249274E-2</v>
      </c>
      <c r="AT6" s="104">
        <f>'BPS-Statistics summary'!AW15</f>
        <v>5.1039999621895468E-2</v>
      </c>
      <c r="AU6" s="104">
        <f>'BPS-Statistics summary'!AX15</f>
        <v>5.1040000018030468E-2</v>
      </c>
      <c r="AV6" s="104">
        <f>'BPS-Statistics summary'!AY15</f>
        <v>5.1040000152717098E-2</v>
      </c>
      <c r="AW6" s="104">
        <f>'BPS-Statistics summary'!AZ15</f>
        <v>5.1039999970973075E-2</v>
      </c>
      <c r="AX6" s="104">
        <f>'BPS-Statistics summary'!BA15</f>
        <v>5.1039999940904031E-2</v>
      </c>
      <c r="AY6" s="104">
        <f>'BPS-Statistics summary'!BB15</f>
        <v>5.1040000020656166E-2</v>
      </c>
      <c r="AZ6" s="104">
        <f>'BPS-Statistics summary'!BC15</f>
        <v>5.1040000021312593E-2</v>
      </c>
      <c r="BA6" s="104">
        <f>'BPS-Statistics summary'!BD15</f>
        <v>5.1039999988461468E-2</v>
      </c>
    </row>
    <row r="7" spans="1:53" x14ac:dyDescent="0.25">
      <c r="A7" s="2" t="s">
        <v>40</v>
      </c>
      <c r="B7" s="104">
        <f>AVERAGE('BPS-Statistics summary'!E19,'BPS-Statistics summary'!E20)</f>
        <v>5.57E-2</v>
      </c>
      <c r="C7" s="104">
        <f>AVERAGE('BPS-Statistics summary'!F19,'BPS-Statistics summary'!F20)</f>
        <v>-2.1000000000000001E-2</v>
      </c>
      <c r="D7" s="104">
        <f>AVERAGE('BPS-Statistics summary'!G19,'BPS-Statistics summary'!G20)</f>
        <v>6.0999999999999995E-3</v>
      </c>
      <c r="E7" s="104">
        <f>AVERAGE('BPS-Statistics summary'!H19,'BPS-Statistics summary'!H20)</f>
        <v>1.2800000000000002E-2</v>
      </c>
      <c r="F7" s="104">
        <f>AVERAGE('BPS-Statistics summary'!I19,'BPS-Statistics summary'!I20)</f>
        <v>4.6350000000000002E-2</v>
      </c>
      <c r="G7" s="104">
        <f>AVERAGE('BPS-Statistics summary'!J19,'BPS-Statistics summary'!J20)</f>
        <v>4.6950000000000006E-2</v>
      </c>
      <c r="H7" s="104">
        <f>AVERAGE('BPS-Statistics summary'!K19,'BPS-Statistics summary'!K20)</f>
        <v>2.5049999999999996E-2</v>
      </c>
      <c r="I7" s="104">
        <f>AVERAGE('BPS-Statistics summary'!L19,'BPS-Statistics summary'!L20)</f>
        <v>3.2787499999999997E-2</v>
      </c>
      <c r="J7" s="104">
        <f>AVERAGE('BPS-Statistics summary'!M19,'BPS-Statistics summary'!M20)</f>
        <v>3.7784374999999995E-2</v>
      </c>
      <c r="K7" s="104">
        <f>AVERAGE('BPS-Statistics summary'!N19,'BPS-Statistics summary'!N20)</f>
        <v>3.5642968749999997E-2</v>
      </c>
      <c r="L7" s="104">
        <f>AVERAGE('BPS-Statistics summary'!O19,'BPS-Statistics summary'!O20)</f>
        <v>3.28162109375E-2</v>
      </c>
      <c r="M7" s="104">
        <f>AVERAGE('BPS-Statistics summary'!P19,'BPS-Statistics summary'!P20)</f>
        <v>3.4757763671874997E-2</v>
      </c>
      <c r="N7" s="104">
        <f>AVERAGE('BPS-Statistics summary'!Q19,'BPS-Statistics summary'!Q20)</f>
        <v>3.5250329589843747E-2</v>
      </c>
      <c r="O7" s="104">
        <f>AVERAGE('BPS-Statistics summary'!R19,'BPS-Statistics summary'!R20)</f>
        <v>3.4616818237304683E-2</v>
      </c>
      <c r="P7" s="104">
        <f>AVERAGE('BPS-Statistics summary'!S19,'BPS-Statistics summary'!S20)</f>
        <v>3.4360280609130857E-2</v>
      </c>
      <c r="Q7" s="104">
        <f>AVERAGE('BPS-Statistics summary'!T19,'BPS-Statistics summary'!T20)</f>
        <v>3.4746298027038575E-2</v>
      </c>
      <c r="R7" s="104">
        <f>AVERAGE('BPS-Statistics summary'!U19,'BPS-Statistics summary'!U20)</f>
        <v>3.4743431615829462E-2</v>
      </c>
      <c r="S7" s="104">
        <f>AVERAGE('BPS-Statistics summary'!V19,'BPS-Statistics summary'!V20)</f>
        <v>3.4616707122325896E-2</v>
      </c>
      <c r="T7" s="104">
        <f>AVERAGE('BPS-Statistics summary'!W19,'BPS-Statistics summary'!W20)</f>
        <v>3.4616679343581196E-2</v>
      </c>
      <c r="U7" s="104">
        <f>AVERAGE('BPS-Statistics summary'!X19,'BPS-Statistics summary'!X20)</f>
        <v>3.4680779027193784E-2</v>
      </c>
      <c r="V7" s="104">
        <f>AVERAGE('BPS-Statistics summary'!Y19,'BPS-Statistics summary'!Y20)</f>
        <v>3.4664399277232583E-2</v>
      </c>
      <c r="W7" s="104">
        <f>AVERAGE('BPS-Statistics summary'!Z19,'BPS-Statistics summary'!Z20)</f>
        <v>3.4644641192583363E-2</v>
      </c>
      <c r="X7" s="104">
        <f>AVERAGE('BPS-Statistics summary'!AA19,'BPS-Statistics summary'!AA20)</f>
        <v>3.4651624710147731E-2</v>
      </c>
      <c r="Y7" s="104">
        <f>AVERAGE('BPS-Statistics summary'!AB19,'BPS-Statistics summary'!AB20)</f>
        <v>3.4660361051789365E-2</v>
      </c>
      <c r="Z7" s="104">
        <f>AVERAGE('BPS-Statistics summary'!AC19,'BPS-Statistics summary'!AC20)</f>
        <v>3.465525655793826E-2</v>
      </c>
      <c r="AA7" s="104">
        <f>AVERAGE('BPS-Statistics summary'!AD19,'BPS-Statistics summary'!AD20)</f>
        <v>3.4652970878114676E-2</v>
      </c>
      <c r="AB7" s="104">
        <f>AVERAGE('BPS-Statistics summary'!AE19,'BPS-Statistics summary'!AE20)</f>
        <v>3.4655053299497508E-2</v>
      </c>
      <c r="AC7" s="104">
        <f>AVERAGE('BPS-Statistics summary'!AF19,'BPS-Statistics summary'!AF20)</f>
        <v>3.4655910446834956E-2</v>
      </c>
      <c r="AD7" s="104">
        <f>AVERAGE('BPS-Statistics summary'!AG19,'BPS-Statistics summary'!AG20)</f>
        <v>3.4654797795596354E-2</v>
      </c>
      <c r="AE7" s="104">
        <f>AVERAGE('BPS-Statistics summary'!AH19,'BPS-Statistics summary'!AH20)</f>
        <v>3.4654683105010874E-2</v>
      </c>
      <c r="AF7" s="104">
        <f>AVERAGE('BPS-Statistics summary'!AI19,'BPS-Statistics summary'!AI20)</f>
        <v>3.4655111161734919E-2</v>
      </c>
      <c r="AG7" s="104">
        <f>AVERAGE('BPS-Statistics summary'!AJ19,'BPS-Statistics summary'!AJ20)</f>
        <v>3.4655125627294274E-2</v>
      </c>
      <c r="AH7" s="104">
        <f>AVERAGE('BPS-Statistics summary'!AK19,'BPS-Statistics summary'!AK20)</f>
        <v>3.4654929422409102E-2</v>
      </c>
      <c r="AI7" s="104">
        <f>AVERAGE('BPS-Statistics summary'!AL19,'BPS-Statistics summary'!AL20)</f>
        <v>3.465496232911229E-2</v>
      </c>
      <c r="AJ7" s="104">
        <f>AVERAGE('BPS-Statistics summary'!AM19,'BPS-Statistics summary'!AM20)</f>
        <v>3.4655032135137646E-2</v>
      </c>
      <c r="AK7" s="104">
        <f>AVERAGE('BPS-Statistics summary'!AN19,'BPS-Statistics summary'!AN20)</f>
        <v>3.4655012378488323E-2</v>
      </c>
      <c r="AL7" s="104">
        <f>AVERAGE('BPS-Statistics summary'!AO19,'BPS-Statistics summary'!AO20)</f>
        <v>3.4654984066286844E-2</v>
      </c>
      <c r="AM7" s="104">
        <f>AVERAGE('BPS-Statistics summary'!AP19,'BPS-Statistics summary'!AP20)</f>
        <v>3.4654997727256276E-2</v>
      </c>
      <c r="AN7" s="104">
        <f>AVERAGE('BPS-Statistics summary'!AQ19,'BPS-Statistics summary'!AQ20)</f>
        <v>3.4655006576792269E-2</v>
      </c>
      <c r="AO7" s="104">
        <f>AVERAGE('BPS-Statistics summary'!AR19,'BPS-Statistics summary'!AR20)</f>
        <v>3.465500018720593E-2</v>
      </c>
      <c r="AP7" s="104">
        <f>AVERAGE('BPS-Statistics summary'!AS19,'BPS-Statistics summary'!AS20)</f>
        <v>3.465499713938533E-2</v>
      </c>
      <c r="AQ7" s="104">
        <f>AVERAGE('BPS-Statistics summary'!AT19,'BPS-Statistics summary'!AT20)</f>
        <v>3.4655000407659953E-2</v>
      </c>
      <c r="AR7" s="104">
        <f>AVERAGE('BPS-Statistics summary'!AU19,'BPS-Statistics summary'!AU20)</f>
        <v>3.4655001077760872E-2</v>
      </c>
      <c r="AS7" s="104">
        <f>AVERAGE('BPS-Statistics summary'!AV19,'BPS-Statistics summary'!AV20)</f>
        <v>3.4654999703003023E-2</v>
      </c>
      <c r="AT7" s="104">
        <f>AVERAGE('BPS-Statistics summary'!AW19,'BPS-Statistics summary'!AW20)</f>
        <v>3.4654999581952298E-2</v>
      </c>
      <c r="AU7" s="104">
        <f>AVERAGE('BPS-Statistics summary'!AX19,'BPS-Statistics summary'!AX20)</f>
        <v>3.4655000192594029E-2</v>
      </c>
      <c r="AV7" s="104">
        <f>AVERAGE('BPS-Statistics summary'!AY19,'BPS-Statistics summary'!AY20)</f>
        <v>3.4655000138827559E-2</v>
      </c>
      <c r="AW7" s="104">
        <f>AVERAGE('BPS-Statistics summary'!AZ19,'BPS-Statistics summary'!AZ20)</f>
        <v>3.4654999904094222E-2</v>
      </c>
      <c r="AX7" s="104">
        <f>AVERAGE('BPS-Statistics summary'!BA19,'BPS-Statistics summary'!BA20)</f>
        <v>3.4654999954367029E-2</v>
      </c>
      <c r="AY7" s="104">
        <f>AVERAGE('BPS-Statistics summary'!BB19,'BPS-Statistics summary'!BB20)</f>
        <v>3.4655000047470713E-2</v>
      </c>
      <c r="AZ7" s="104">
        <f>AVERAGE('BPS-Statistics summary'!BC19,'BPS-Statistics summary'!BC20)</f>
        <v>3.4655000011189881E-2</v>
      </c>
      <c r="BA7" s="104">
        <f>AVERAGE('BPS-Statistics summary'!BD19,'BPS-Statistics summary'!BD20)</f>
        <v>3.4654999979280461E-2</v>
      </c>
    </row>
    <row r="8" spans="1:53" x14ac:dyDescent="0.25">
      <c r="A8" s="2" t="s">
        <v>42</v>
      </c>
      <c r="B8" s="104">
        <f>AVERAGE('BPS-Statistics summary'!E21,'BPS-Statistics summary'!E22)</f>
        <v>7.1800000000000003E-2</v>
      </c>
      <c r="C8" s="104">
        <f>AVERAGE('BPS-Statistics summary'!F21,'BPS-Statistics summary'!F22)</f>
        <v>-8.8200000000000001E-2</v>
      </c>
      <c r="D8" s="104">
        <f>AVERAGE('BPS-Statistics summary'!G21,'BPS-Statistics summary'!G22)</f>
        <v>1.8349999999999998E-2</v>
      </c>
      <c r="E8" s="104">
        <f>AVERAGE('BPS-Statistics summary'!H21,'BPS-Statistics summary'!H22)</f>
        <v>9.35E-2</v>
      </c>
      <c r="F8" s="104">
        <f>AVERAGE('BPS-Statistics summary'!I21,'BPS-Statistics summary'!I22)</f>
        <v>-1.1599999999999999E-2</v>
      </c>
      <c r="G8" s="104">
        <f>AVERAGE('BPS-Statistics summary'!J21,'BPS-Statistics summary'!J22)</f>
        <v>5.5449999999999999E-2</v>
      </c>
      <c r="H8" s="104">
        <f>AVERAGE('BPS-Statistics summary'!K21,'BPS-Statistics summary'!K22)</f>
        <v>3.4299999999999997E-2</v>
      </c>
      <c r="I8" s="104">
        <f>AVERAGE('BPS-Statistics summary'!L21,'BPS-Statistics summary'!L22)</f>
        <v>4.2912499999999992E-2</v>
      </c>
      <c r="J8" s="104">
        <f>AVERAGE('BPS-Statistics summary'!M21,'BPS-Statistics summary'!M22)</f>
        <v>3.0265625000000001E-2</v>
      </c>
      <c r="K8" s="104">
        <f>AVERAGE('BPS-Statistics summary'!N21,'BPS-Statistics summary'!N22)</f>
        <v>4.0732031249999995E-2</v>
      </c>
      <c r="L8" s="104">
        <f>AVERAGE('BPS-Statistics summary'!O21,'BPS-Statistics summary'!O22)</f>
        <v>3.7052539062500001E-2</v>
      </c>
      <c r="M8" s="104">
        <f>AVERAGE('BPS-Statistics summary'!P21,'BPS-Statistics summary'!P22)</f>
        <v>3.7740673828125001E-2</v>
      </c>
      <c r="N8" s="104">
        <f>AVERAGE('BPS-Statistics summary'!Q21,'BPS-Statistics summary'!Q22)</f>
        <v>3.644771728515625E-2</v>
      </c>
      <c r="O8" s="104">
        <f>AVERAGE('BPS-Statistics summary'!R21,'BPS-Statistics summary'!R22)</f>
        <v>3.7993240356445315E-2</v>
      </c>
      <c r="P8" s="104">
        <f>AVERAGE('BPS-Statistics summary'!S21,'BPS-Statistics summary'!S22)</f>
        <v>3.7308542633056642E-2</v>
      </c>
      <c r="Q8" s="104">
        <f>AVERAGE('BPS-Statistics summary'!T21,'BPS-Statistics summary'!T22)</f>
        <v>3.7372543525695801E-2</v>
      </c>
      <c r="R8" s="104">
        <f>AVERAGE('BPS-Statistics summary'!U21,'BPS-Statistics summary'!U22)</f>
        <v>3.7280510950088497E-2</v>
      </c>
      <c r="S8" s="104">
        <f>AVERAGE('BPS-Statistics summary'!V21,'BPS-Statistics summary'!V22)</f>
        <v>3.7488709366321565E-2</v>
      </c>
      <c r="T8" s="104">
        <f>AVERAGE('BPS-Statistics summary'!W21,'BPS-Statistics summary'!W22)</f>
        <v>3.7362576618790624E-2</v>
      </c>
      <c r="U8" s="104">
        <f>AVERAGE('BPS-Statistics summary'!X21,'BPS-Statistics summary'!X22)</f>
        <v>3.7376085115224125E-2</v>
      </c>
      <c r="V8" s="104">
        <f>AVERAGE('BPS-Statistics summary'!Y21,'BPS-Statistics summary'!Y22)</f>
        <v>3.7376970512606203E-2</v>
      </c>
      <c r="W8" s="104">
        <f>AVERAGE('BPS-Statistics summary'!Z21,'BPS-Statistics summary'!Z22)</f>
        <v>3.7401085403235626E-2</v>
      </c>
      <c r="X8" s="104">
        <f>AVERAGE('BPS-Statistics summary'!AA21,'BPS-Statistics summary'!AA22)</f>
        <v>3.7379179412464145E-2</v>
      </c>
      <c r="Y8" s="104">
        <f>AVERAGE('BPS-Statistics summary'!AB21,'BPS-Statistics summary'!AB22)</f>
        <v>3.7383330110882525E-2</v>
      </c>
      <c r="Z8" s="104">
        <f>AVERAGE('BPS-Statistics summary'!AC21,'BPS-Statistics summary'!AC22)</f>
        <v>3.7385141359797119E-2</v>
      </c>
      <c r="AA8" s="104">
        <f>AVERAGE('BPS-Statistics summary'!AD21,'BPS-Statistics summary'!AD22)</f>
        <v>3.7387184071594859E-2</v>
      </c>
      <c r="AB8" s="104">
        <f>AVERAGE('BPS-Statistics summary'!AE21,'BPS-Statistics summary'!AE22)</f>
        <v>3.7383708738684657E-2</v>
      </c>
      <c r="AC8" s="104">
        <f>AVERAGE('BPS-Statistics summary'!AF21,'BPS-Statistics summary'!AF22)</f>
        <v>3.7384841070239788E-2</v>
      </c>
      <c r="AD8" s="104">
        <f>AVERAGE('BPS-Statistics summary'!AG21,'BPS-Statistics summary'!AG22)</f>
        <v>3.7385218810079106E-2</v>
      </c>
      <c r="AE8" s="104">
        <f>AVERAGE('BPS-Statistics summary'!AH21,'BPS-Statistics summary'!AH22)</f>
        <v>3.7385238172649604E-2</v>
      </c>
      <c r="AF8" s="104">
        <f>AVERAGE('BPS-Statistics summary'!AI21,'BPS-Statistics summary'!AI22)</f>
        <v>3.738475169791329E-2</v>
      </c>
      <c r="AG8" s="104">
        <f>AVERAGE('BPS-Statistics summary'!AJ21,'BPS-Statistics summary'!AJ22)</f>
        <v>3.7385012437720452E-2</v>
      </c>
      <c r="AH8" s="104">
        <f>AVERAGE('BPS-Statistics summary'!AK21,'BPS-Statistics summary'!AK22)</f>
        <v>3.7385055279590615E-2</v>
      </c>
      <c r="AI8" s="104">
        <f>AVERAGE('BPS-Statistics summary'!AL21,'BPS-Statistics summary'!AL22)</f>
        <v>3.7385014396968494E-2</v>
      </c>
      <c r="AJ8" s="104">
        <f>AVERAGE('BPS-Statistics summary'!AM21,'BPS-Statistics summary'!AM22)</f>
        <v>3.7384958453048206E-2</v>
      </c>
      <c r="AK8" s="104">
        <f>AVERAGE('BPS-Statistics summary'!AN21,'BPS-Statistics summary'!AN22)</f>
        <v>3.7385010141831945E-2</v>
      </c>
      <c r="AL8" s="104">
        <f>AVERAGE('BPS-Statistics summary'!AO21,'BPS-Statistics summary'!AO22)</f>
        <v>3.7385009567859812E-2</v>
      </c>
      <c r="AM8" s="104">
        <f>AVERAGE('BPS-Statistics summary'!AP21,'BPS-Statistics summary'!AP22)</f>
        <v>3.7384998139927114E-2</v>
      </c>
      <c r="AN8" s="104">
        <f>AVERAGE('BPS-Statistics summary'!AQ21,'BPS-Statistics summary'!AQ22)</f>
        <v>3.7384994075666769E-2</v>
      </c>
      <c r="AO8" s="104">
        <f>AVERAGE('BPS-Statistics summary'!AR21,'BPS-Statistics summary'!AR22)</f>
        <v>3.7385002981321414E-2</v>
      </c>
      <c r="AP8" s="104">
        <f>AVERAGE('BPS-Statistics summary'!AS21,'BPS-Statistics summary'!AS22)</f>
        <v>3.738500119119377E-2</v>
      </c>
      <c r="AQ8" s="104">
        <f>AVERAGE('BPS-Statistics summary'!AT21,'BPS-Statistics summary'!AT22)</f>
        <v>3.7384999097027263E-2</v>
      </c>
      <c r="AR8" s="104">
        <f>AVERAGE('BPS-Statistics summary'!AU21,'BPS-Statistics summary'!AU22)</f>
        <v>3.7384999336302308E-2</v>
      </c>
      <c r="AS8" s="104">
        <f>AVERAGE('BPS-Statistics summary'!AV21,'BPS-Statistics summary'!AV22)</f>
        <v>3.7385000651461185E-2</v>
      </c>
      <c r="AT8" s="104">
        <f>AVERAGE('BPS-Statistics summary'!AW21,'BPS-Statistics summary'!AW22)</f>
        <v>3.738500006899613E-2</v>
      </c>
      <c r="AU8" s="104">
        <f>AVERAGE('BPS-Statistics summary'!AX21,'BPS-Statistics summary'!AX22)</f>
        <v>3.738499978844672E-2</v>
      </c>
      <c r="AV8" s="104">
        <f>AVERAGE('BPS-Statistics summary'!AY21,'BPS-Statistics summary'!AY22)</f>
        <v>3.7384999961301582E-2</v>
      </c>
      <c r="AW8" s="104">
        <f>AVERAGE('BPS-Statistics summary'!AZ21,'BPS-Statistics summary'!AZ22)</f>
        <v>3.7385000117551401E-2</v>
      </c>
      <c r="AX8" s="104">
        <f>AVERAGE('BPS-Statistics summary'!BA21,'BPS-Statistics summary'!BA22)</f>
        <v>3.7384999984073963E-2</v>
      </c>
      <c r="AY8" s="104">
        <f>AVERAGE('BPS-Statistics summary'!BB21,'BPS-Statistics summary'!BB22)</f>
        <v>3.7384999962843418E-2</v>
      </c>
      <c r="AZ8" s="104">
        <f>AVERAGE('BPS-Statistics summary'!BC21,'BPS-Statistics summary'!BC22)</f>
        <v>3.7385000006442591E-2</v>
      </c>
      <c r="BA8" s="104">
        <f>AVERAGE('BPS-Statistics summary'!BD21,'BPS-Statistics summary'!BD22)</f>
        <v>3.7385000017727849E-2</v>
      </c>
    </row>
    <row r="9" spans="1:53" x14ac:dyDescent="0.25">
      <c r="A9" s="2" t="s">
        <v>44</v>
      </c>
      <c r="B9" s="104">
        <f>'BPS-Statistics summary'!E23</f>
        <v>-4.5499999999999999E-2</v>
      </c>
      <c r="C9" s="104">
        <f>'BPS-Statistics summary'!F23</f>
        <v>-2.1600000000000001E-2</v>
      </c>
      <c r="D9" s="104">
        <f>'BPS-Statistics summary'!G23</f>
        <v>-3.7100000000000001E-2</v>
      </c>
      <c r="E9" s="104">
        <f>'BPS-Statistics summary'!H23</f>
        <v>5.8999999999999999E-3</v>
      </c>
      <c r="F9" s="104">
        <f>'BPS-Statistics summary'!I23</f>
        <v>1.2E-2</v>
      </c>
      <c r="G9" s="104">
        <f>'BPS-Statistics summary'!J23</f>
        <v>2.7900000000000001E-2</v>
      </c>
      <c r="H9" s="104">
        <f>'BPS-Statistics summary'!K23</f>
        <v>-3.2899999999999999E-2</v>
      </c>
      <c r="I9" s="104">
        <f>'BPS-Statistics summary'!L23</f>
        <v>3.2250000000000004E-3</v>
      </c>
      <c r="J9" s="104">
        <f>'BPS-Statistics summary'!M23</f>
        <v>2.5562500000000017E-3</v>
      </c>
      <c r="K9" s="104">
        <f>'BPS-Statistics summary'!N23</f>
        <v>1.9531250000000115E-4</v>
      </c>
      <c r="L9" s="104">
        <f>'BPS-Statistics summary'!O23</f>
        <v>-6.7308593749999986E-3</v>
      </c>
      <c r="M9" s="104">
        <f>'BPS-Statistics summary'!P23</f>
        <v>-1.8857421874999896E-4</v>
      </c>
      <c r="N9" s="104">
        <f>'BPS-Statistics summary'!Q23</f>
        <v>-1.0419677734374989E-3</v>
      </c>
      <c r="O9" s="104">
        <f>'BPS-Statistics summary'!R23</f>
        <v>-1.9415222167968741E-3</v>
      </c>
      <c r="P9" s="104">
        <f>'BPS-Statistics summary'!S23</f>
        <v>-2.4757308959960931E-3</v>
      </c>
      <c r="Q9" s="104">
        <f>'BPS-Statistics summary'!T23</f>
        <v>-1.4119487762451163E-3</v>
      </c>
      <c r="R9" s="104">
        <f>'BPS-Statistics summary'!U23</f>
        <v>-1.7177924156188957E-3</v>
      </c>
      <c r="S9" s="104">
        <f>'BPS-Statistics summary'!V23</f>
        <v>-1.8867485761642449E-3</v>
      </c>
      <c r="T9" s="104">
        <f>'BPS-Statistics summary'!W23</f>
        <v>-1.8730551660060876E-3</v>
      </c>
      <c r="U9" s="104">
        <f>'BPS-Statistics summary'!X23</f>
        <v>-1.722386233508586E-3</v>
      </c>
      <c r="V9" s="104">
        <f>'BPS-Statistics summary'!Y23</f>
        <v>-1.7999955978244535E-3</v>
      </c>
      <c r="W9" s="104">
        <f>'BPS-Statistics summary'!Z23</f>
        <v>-1.8205463933758429E-3</v>
      </c>
      <c r="X9" s="104">
        <f>'BPS-Statistics summary'!AA23</f>
        <v>-1.8039958476787424E-3</v>
      </c>
      <c r="Y9" s="104">
        <f>'BPS-Statistics summary'!AB23</f>
        <v>-1.7867310180969061E-3</v>
      </c>
      <c r="Z9" s="104">
        <f>'BPS-Statistics summary'!AC23</f>
        <v>-1.8028172142439862E-3</v>
      </c>
      <c r="AA9" s="104">
        <f>'BPS-Statistics summary'!AD23</f>
        <v>-1.8035226183488694E-3</v>
      </c>
      <c r="AB9" s="104">
        <f>'BPS-Statistics summary'!AE23</f>
        <v>-1.7992666745921262E-3</v>
      </c>
      <c r="AC9" s="104">
        <f>'BPS-Statistics summary'!AF23</f>
        <v>-1.7980843813204719E-3</v>
      </c>
      <c r="AD9" s="104">
        <f>'BPS-Statistics summary'!AG23</f>
        <v>-1.8009227221263634E-3</v>
      </c>
      <c r="AE9" s="104">
        <f>'BPS-Statistics summary'!AH23</f>
        <v>-1.8004490990969576E-3</v>
      </c>
      <c r="AF9" s="104">
        <f>'BPS-Statistics summary'!AI23</f>
        <v>-1.7996807192839797E-3</v>
      </c>
      <c r="AG9" s="104">
        <f>'BPS-Statistics summary'!AJ23</f>
        <v>-1.799784230456943E-3</v>
      </c>
      <c r="AH9" s="104">
        <f>'BPS-Statistics summary'!AK23</f>
        <v>-1.8002091927410608E-3</v>
      </c>
      <c r="AI9" s="104">
        <f>'BPS-Statistics summary'!AL23</f>
        <v>-1.8000308103947352E-3</v>
      </c>
      <c r="AJ9" s="104">
        <f>'BPS-Statistics summary'!AM23</f>
        <v>-1.7999262382191797E-3</v>
      </c>
      <c r="AK9" s="104">
        <f>'BPS-Statistics summary'!AN23</f>
        <v>-1.7999876179529797E-3</v>
      </c>
      <c r="AL9" s="104">
        <f>'BPS-Statistics summary'!AO23</f>
        <v>-1.8000384648269889E-3</v>
      </c>
      <c r="AM9" s="104">
        <f>'BPS-Statistics summary'!AP23</f>
        <v>-1.7999957828484709E-3</v>
      </c>
      <c r="AN9" s="104">
        <f>'BPS-Statistics summary'!AQ23</f>
        <v>-1.7999870259619048E-3</v>
      </c>
      <c r="AO9" s="104">
        <f>'BPS-Statistics summary'!AR23</f>
        <v>-1.8000022228975862E-3</v>
      </c>
      <c r="AP9" s="104">
        <f>'BPS-Statistics summary'!AS23</f>
        <v>-1.8000058741337375E-3</v>
      </c>
      <c r="AQ9" s="104">
        <f>'BPS-Statistics summary'!AT23</f>
        <v>-1.799997726460425E-3</v>
      </c>
      <c r="AR9" s="104">
        <f>'BPS-Statistics summary'!AU23</f>
        <v>-1.7999982123634132E-3</v>
      </c>
      <c r="AS9" s="104">
        <f>'BPS-Statistics summary'!AV23</f>
        <v>-1.8000010089637905E-3</v>
      </c>
      <c r="AT9" s="104">
        <f>'BPS-Statistics summary'!AW23</f>
        <v>-1.8000007054803416E-3</v>
      </c>
      <c r="AU9" s="104">
        <f>'BPS-Statistics summary'!AX23</f>
        <v>-1.7999994133169927E-3</v>
      </c>
      <c r="AV9" s="104">
        <f>'BPS-Statistics summary'!AY23</f>
        <v>-1.7999998350311343E-3</v>
      </c>
      <c r="AW9" s="104">
        <f>'BPS-Statistics summary'!AZ23</f>
        <v>-1.8000002406980647E-3</v>
      </c>
      <c r="AX9" s="104">
        <f>'BPS-Statistics summary'!BA23</f>
        <v>-1.8000000486316334E-3</v>
      </c>
      <c r="AY9" s="104">
        <f>'BPS-Statistics summary'!BB23</f>
        <v>-1.7999998844194561E-3</v>
      </c>
      <c r="AZ9" s="104">
        <f>'BPS-Statistics summary'!BC23</f>
        <v>-1.8000000021950722E-3</v>
      </c>
      <c r="BA9" s="104">
        <f>'BPS-Statistics summary'!BD23</f>
        <v>-1.8000000439860565E-3</v>
      </c>
    </row>
    <row r="10" spans="1:53" x14ac:dyDescent="0.25">
      <c r="A10" s="2" t="s">
        <v>46</v>
      </c>
      <c r="B10" s="104">
        <f>'BPS-Statistics summary'!E24</f>
        <v>8.8599999999999998E-2</v>
      </c>
      <c r="C10" s="104">
        <f>'BPS-Statistics summary'!F24</f>
        <v>2.2000000000000001E-3</v>
      </c>
      <c r="D10" s="104">
        <f>'BPS-Statistics summary'!G24</f>
        <v>-2.8900000000000002E-2</v>
      </c>
      <c r="E10" s="104">
        <f>'BPS-Statistics summary'!H24</f>
        <v>3.73E-2</v>
      </c>
      <c r="F10" s="104">
        <f>'BPS-Statistics summary'!I24</f>
        <v>4.5199999999999997E-2</v>
      </c>
      <c r="G10" s="104">
        <f>'BPS-Statistics summary'!J24</f>
        <v>2.6099999999999998E-2</v>
      </c>
      <c r="H10" s="104">
        <f>'BPS-Statistics summary'!K24</f>
        <v>3.3599999999999998E-2</v>
      </c>
      <c r="I10" s="104">
        <f>'BPS-Statistics summary'!L24</f>
        <v>3.5549999999999998E-2</v>
      </c>
      <c r="J10" s="104">
        <f>'BPS-Statistics summary'!M24</f>
        <v>3.5112499999999998E-2</v>
      </c>
      <c r="K10" s="104">
        <f>'BPS-Statistics summary'!N24</f>
        <v>3.2590624999999998E-2</v>
      </c>
      <c r="L10" s="104">
        <f>'BPS-Statistics summary'!O24</f>
        <v>3.4213281249999991E-2</v>
      </c>
      <c r="M10" s="104">
        <f>'BPS-Statistics summary'!P24</f>
        <v>3.4366601562499995E-2</v>
      </c>
      <c r="N10" s="104">
        <f>'BPS-Statistics summary'!Q24</f>
        <v>3.4070751953124999E-2</v>
      </c>
      <c r="O10" s="104">
        <f>'BPS-Statistics summary'!R24</f>
        <v>3.3810314941406246E-2</v>
      </c>
      <c r="P10" s="104">
        <f>'BPS-Statistics summary'!S24</f>
        <v>3.4115237426757809E-2</v>
      </c>
      <c r="Q10" s="104">
        <f>'BPS-Statistics summary'!T24</f>
        <v>3.4090726470947262E-2</v>
      </c>
      <c r="R10" s="104">
        <f>'BPS-Statistics summary'!U24</f>
        <v>3.4021757698059082E-2</v>
      </c>
      <c r="S10" s="104">
        <f>'BPS-Statistics summary'!V24</f>
        <v>3.4009509134292598E-2</v>
      </c>
      <c r="T10" s="104">
        <f>'BPS-Statistics summary'!W24</f>
        <v>3.4059307682514188E-2</v>
      </c>
      <c r="U10" s="104">
        <f>'BPS-Statistics summary'!X24</f>
        <v>3.4045325246453283E-2</v>
      </c>
      <c r="V10" s="104">
        <f>'BPS-Statistics summary'!Y24</f>
        <v>3.4033974940329788E-2</v>
      </c>
      <c r="W10" s="104">
        <f>'BPS-Statistics summary'!Z24</f>
        <v>3.4037029250897466E-2</v>
      </c>
      <c r="X10" s="104">
        <f>'BPS-Statistics summary'!AA24</f>
        <v>3.4043909280048683E-2</v>
      </c>
      <c r="Y10" s="104">
        <f>'BPS-Statistics summary'!AB24</f>
        <v>3.4040059679432307E-2</v>
      </c>
      <c r="Z10" s="104">
        <f>'BPS-Statistics summary'!AC24</f>
        <v>3.4038743287677059E-2</v>
      </c>
      <c r="AA10" s="104">
        <f>'BPS-Statistics summary'!AD24</f>
        <v>3.4039935374513879E-2</v>
      </c>
      <c r="AB10" s="104">
        <f>'BPS-Statistics summary'!AE24</f>
        <v>3.4040661905417983E-2</v>
      </c>
      <c r="AC10" s="104">
        <f>'BPS-Statistics summary'!AF24</f>
        <v>3.4039850061760309E-2</v>
      </c>
      <c r="AD10" s="104">
        <f>'BPS-Statistics summary'!AG24</f>
        <v>3.4039797657342309E-2</v>
      </c>
      <c r="AE10" s="104">
        <f>'BPS-Statistics summary'!AH24</f>
        <v>3.404006124975862E-2</v>
      </c>
      <c r="AF10" s="104">
        <f>'BPS-Statistics summary'!AI24</f>
        <v>3.4040092718569802E-2</v>
      </c>
      <c r="AG10" s="104">
        <f>'BPS-Statistics summary'!AJ24</f>
        <v>3.4039950421857763E-2</v>
      </c>
      <c r="AH10" s="104">
        <f>'BPS-Statistics summary'!AK24</f>
        <v>3.403997551188212E-2</v>
      </c>
      <c r="AI10" s="104">
        <f>'BPS-Statistics summary'!AL24</f>
        <v>3.4040019975517075E-2</v>
      </c>
      <c r="AJ10" s="104">
        <f>'BPS-Statistics summary'!AM24</f>
        <v>3.4040009656956693E-2</v>
      </c>
      <c r="AK10" s="104">
        <f>'BPS-Statistics summary'!AN24</f>
        <v>3.4039988891553408E-2</v>
      </c>
      <c r="AL10" s="104">
        <f>'BPS-Statistics summary'!AO24</f>
        <v>3.403999850897732E-2</v>
      </c>
      <c r="AM10" s="104">
        <f>'BPS-Statistics summary'!AP24</f>
        <v>3.4040004258251128E-2</v>
      </c>
      <c r="AN10" s="104">
        <f>'BPS-Statistics summary'!AQ24</f>
        <v>3.4040000328934637E-2</v>
      </c>
      <c r="AO10" s="104">
        <f>'BPS-Statistics summary'!AR24</f>
        <v>3.4039997996929125E-2</v>
      </c>
      <c r="AP10" s="104">
        <f>'BPS-Statistics summary'!AS24</f>
        <v>3.4040000273273058E-2</v>
      </c>
      <c r="AQ10" s="104">
        <f>'BPS-Statistics summary'!AT24</f>
        <v>3.4040000714346985E-2</v>
      </c>
      <c r="AR10" s="104">
        <f>'BPS-Statistics summary'!AU24</f>
        <v>3.403999982837095E-2</v>
      </c>
      <c r="AS10" s="104">
        <f>'BPS-Statistics summary'!AV24</f>
        <v>3.4039999703230031E-2</v>
      </c>
      <c r="AT10" s="104">
        <f>'BPS-Statistics summary'!AW24</f>
        <v>3.4040000129805251E-2</v>
      </c>
      <c r="AU10" s="104">
        <f>'BPS-Statistics summary'!AX24</f>
        <v>3.4040000093938302E-2</v>
      </c>
      <c r="AV10" s="104">
        <f>'BPS-Statistics summary'!AY24</f>
        <v>3.4039999938836135E-2</v>
      </c>
      <c r="AW10" s="104">
        <f>'BPS-Statistics summary'!AZ24</f>
        <v>3.4039999966452433E-2</v>
      </c>
      <c r="AX10" s="104">
        <f>'BPS-Statistics summary'!BA24</f>
        <v>3.404000003225803E-2</v>
      </c>
      <c r="AY10" s="104">
        <f>'BPS-Statistics summary'!BB24</f>
        <v>3.4040000007871225E-2</v>
      </c>
      <c r="AZ10" s="104">
        <f>'BPS-Statistics summary'!BC24</f>
        <v>3.4039999986354458E-2</v>
      </c>
      <c r="BA10" s="104">
        <f>'BPS-Statistics summary'!BD24</f>
        <v>3.4039999998234038E-2</v>
      </c>
    </row>
    <row r="11" spans="1:53" x14ac:dyDescent="0.25">
      <c r="A11" s="2" t="s">
        <v>48</v>
      </c>
      <c r="B11" s="104">
        <f>'BPS-Statistics summary'!E17</f>
        <v>-1.11E-2</v>
      </c>
      <c r="C11" s="104">
        <f>'BPS-Statistics summary'!F17</f>
        <v>-6.8099999999999994E-2</v>
      </c>
      <c r="D11" s="104">
        <f>'BPS-Statistics summary'!G17</f>
        <v>5.6999999999999993E-3</v>
      </c>
      <c r="E11" s="104">
        <f>'BPS-Statistics summary'!H17</f>
        <v>3.7200000000000004E-2</v>
      </c>
      <c r="F11" s="104">
        <f>'BPS-Statistics summary'!I17</f>
        <v>4.1599999999999998E-2</v>
      </c>
      <c r="G11" s="104">
        <f>'BPS-Statistics summary'!J17</f>
        <v>1.04E-2</v>
      </c>
      <c r="H11" s="104">
        <f>'BPS-Statistics summary'!K17</f>
        <v>6.9199999999999998E-2</v>
      </c>
      <c r="I11" s="104">
        <f>'BPS-Statistics summary'!L17</f>
        <v>3.9599999999999996E-2</v>
      </c>
      <c r="J11" s="104">
        <f>'BPS-Statistics summary'!M17</f>
        <v>4.02E-2</v>
      </c>
      <c r="K11" s="104">
        <f>'BPS-Statistics summary'!N17</f>
        <v>3.9849999999999997E-2</v>
      </c>
      <c r="L11" s="104">
        <f>'BPS-Statistics summary'!O17</f>
        <v>4.7212499999999998E-2</v>
      </c>
      <c r="M11" s="104">
        <f>'BPS-Statistics summary'!P17</f>
        <v>4.1715624999999999E-2</v>
      </c>
      <c r="N11" s="104">
        <f>'BPS-Statistics summary'!Q17</f>
        <v>4.2244531250000002E-2</v>
      </c>
      <c r="O11" s="104">
        <f>'BPS-Statistics summary'!R17</f>
        <v>4.2755664062499997E-2</v>
      </c>
      <c r="P11" s="104">
        <f>'BPS-Statistics summary'!S17</f>
        <v>4.3482080078124999E-2</v>
      </c>
      <c r="Q11" s="104">
        <f>'BPS-Statistics summary'!T17</f>
        <v>4.2549475097656247E-2</v>
      </c>
      <c r="R11" s="104">
        <f>'BPS-Statistics summary'!U17</f>
        <v>4.2757937622070315E-2</v>
      </c>
      <c r="S11" s="104">
        <f>'BPS-Statistics summary'!V17</f>
        <v>4.2886289215087886E-2</v>
      </c>
      <c r="T11" s="104">
        <f>'BPS-Statistics summary'!W17</f>
        <v>4.2918945503234864E-2</v>
      </c>
      <c r="U11" s="104">
        <f>'BPS-Statistics summary'!X17</f>
        <v>4.2778161859512324E-2</v>
      </c>
      <c r="V11" s="104">
        <f>'BPS-Statistics summary'!Y17</f>
        <v>4.2835333549976345E-2</v>
      </c>
      <c r="W11" s="104">
        <f>'BPS-Statistics summary'!Z17</f>
        <v>4.2854682531952855E-2</v>
      </c>
      <c r="X11" s="104">
        <f>'BPS-Statistics summary'!AA17</f>
        <v>4.2846780861169095E-2</v>
      </c>
      <c r="Y11" s="104">
        <f>'BPS-Statistics summary'!AB17</f>
        <v>4.2828739700652652E-2</v>
      </c>
      <c r="Z11" s="104">
        <f>'BPS-Statistics summary'!AC17</f>
        <v>4.2841384160937732E-2</v>
      </c>
      <c r="AA11" s="104">
        <f>'BPS-Statistics summary'!AD17</f>
        <v>4.2842896813678089E-2</v>
      </c>
      <c r="AB11" s="104">
        <f>'BPS-Statistics summary'!AE17</f>
        <v>4.2839950384109392E-2</v>
      </c>
      <c r="AC11" s="104">
        <f>'BPS-Statistics summary'!AF17</f>
        <v>4.2838242764844471E-2</v>
      </c>
      <c r="AD11" s="104">
        <f>'BPS-Statistics summary'!AG17</f>
        <v>4.2840618530892417E-2</v>
      </c>
      <c r="AE11" s="104">
        <f>'BPS-Statistics summary'!AH17</f>
        <v>4.284042712338109E-2</v>
      </c>
      <c r="AF11" s="104">
        <f>'BPS-Statistics summary'!AI17</f>
        <v>4.2839809700806843E-2</v>
      </c>
      <c r="AG11" s="104">
        <f>'BPS-Statistics summary'!AJ17</f>
        <v>4.2839774529981202E-2</v>
      </c>
      <c r="AH11" s="104">
        <f>'BPS-Statistics summary'!AK17</f>
        <v>4.2840157471265385E-2</v>
      </c>
      <c r="AI11" s="104">
        <f>'BPS-Statistics summary'!AL17</f>
        <v>4.2840042206358626E-2</v>
      </c>
      <c r="AJ11" s="104">
        <f>'BPS-Statistics summary'!AM17</f>
        <v>4.2839945977103014E-2</v>
      </c>
      <c r="AK11" s="104">
        <f>'BPS-Statistics summary'!AN17</f>
        <v>4.2839980046177062E-2</v>
      </c>
      <c r="AL11" s="104">
        <f>'BPS-Statistics summary'!AO17</f>
        <v>4.2840031425226022E-2</v>
      </c>
      <c r="AM11" s="104">
        <f>'BPS-Statistics summary'!AP17</f>
        <v>4.2839999913716183E-2</v>
      </c>
      <c r="AN11" s="104">
        <f>'BPS-Statistics summary'!AQ17</f>
        <v>4.2839989340555565E-2</v>
      </c>
      <c r="AO11" s="104">
        <f>'BPS-Statistics summary'!AR17</f>
        <v>4.2840000181418703E-2</v>
      </c>
      <c r="AP11" s="104">
        <f>'BPS-Statistics summary'!AS17</f>
        <v>4.2840005215229113E-2</v>
      </c>
      <c r="AQ11" s="104">
        <f>'BPS-Statistics summary'!AT17</f>
        <v>4.2839998662729889E-2</v>
      </c>
      <c r="AR11" s="104">
        <f>'BPS-Statistics summary'!AU17</f>
        <v>4.2839998349983317E-2</v>
      </c>
      <c r="AS11" s="104">
        <f>'BPS-Statistics summary'!AV17</f>
        <v>4.284000060234025E-2</v>
      </c>
      <c r="AT11" s="104">
        <f>'BPS-Statistics summary'!AW17</f>
        <v>4.2840000707570644E-2</v>
      </c>
      <c r="AU11" s="104">
        <f>'BPS-Statistics summary'!AX17</f>
        <v>4.2839999580656027E-2</v>
      </c>
      <c r="AV11" s="104">
        <f>'BPS-Statistics summary'!AY17</f>
        <v>4.2839999810137558E-2</v>
      </c>
      <c r="AW11" s="104">
        <f>'BPS-Statistics summary'!AZ17</f>
        <v>4.284000017517612E-2</v>
      </c>
      <c r="AX11" s="104">
        <f>'BPS-Statistics summary'!BA17</f>
        <v>4.2840000068385085E-2</v>
      </c>
      <c r="AY11" s="104">
        <f>'BPS-Statistics summary'!BB17</f>
        <v>4.2839999908588701E-2</v>
      </c>
      <c r="AZ11" s="104">
        <f>'BPS-Statistics summary'!BC17</f>
        <v>4.2839999990571864E-2</v>
      </c>
      <c r="BA11" s="104">
        <f>'BPS-Statistics summary'!BD17</f>
        <v>4.2840000035680441E-2</v>
      </c>
    </row>
    <row r="12" spans="1:53" x14ac:dyDescent="0.25">
      <c r="A12" s="2" t="s">
        <v>50</v>
      </c>
      <c r="B12" s="104">
        <f>'BPS-Statistics summary'!E25</f>
        <v>8.48E-2</v>
      </c>
      <c r="C12" s="104">
        <f>'BPS-Statistics summary'!F25</f>
        <v>9.3900000000000011E-2</v>
      </c>
      <c r="D12" s="104">
        <f>'BPS-Statistics summary'!G25</f>
        <v>9.6099999999999991E-2</v>
      </c>
      <c r="E12" s="104">
        <f>'BPS-Statistics summary'!H25</f>
        <v>6.8999999999999999E-3</v>
      </c>
      <c r="F12" s="104">
        <f>'BPS-Statistics summary'!I25</f>
        <v>1.1000000000000001E-3</v>
      </c>
      <c r="G12" s="104">
        <f>'BPS-Statistics summary'!J25</f>
        <v>5.8600000000000006E-2</v>
      </c>
      <c r="H12" s="104">
        <f>'BPS-Statistics summary'!K25</f>
        <v>8.3499999999999991E-2</v>
      </c>
      <c r="I12" s="104">
        <f>'BPS-Statistics summary'!L25</f>
        <v>3.7525000000000003E-2</v>
      </c>
      <c r="J12" s="104">
        <f>'BPS-Statistics summary'!M25</f>
        <v>4.5181249999999999E-2</v>
      </c>
      <c r="K12" s="104">
        <f>'BPS-Statistics summary'!N25</f>
        <v>5.6201562500000003E-2</v>
      </c>
      <c r="L12" s="104">
        <f>'BPS-Statistics summary'!O25</f>
        <v>5.5601953124999999E-2</v>
      </c>
      <c r="M12" s="104">
        <f>'BPS-Statistics summary'!P25</f>
        <v>4.8627441406249999E-2</v>
      </c>
      <c r="N12" s="104">
        <f>'BPS-Statistics summary'!Q25</f>
        <v>5.1403051757812498E-2</v>
      </c>
      <c r="O12" s="104">
        <f>'BPS-Statistics summary'!R25</f>
        <v>5.2958502197265625E-2</v>
      </c>
      <c r="P12" s="104">
        <f>'BPS-Statistics summary'!S25</f>
        <v>5.2147737121582022E-2</v>
      </c>
      <c r="Q12" s="104">
        <f>'BPS-Statistics summary'!T25</f>
        <v>5.1284183120727536E-2</v>
      </c>
      <c r="R12" s="104">
        <f>'BPS-Statistics summary'!U25</f>
        <v>5.1948368549346924E-2</v>
      </c>
      <c r="S12" s="104">
        <f>'BPS-Statistics summary'!V25</f>
        <v>5.2084697747230527E-2</v>
      </c>
      <c r="T12" s="104">
        <f>'BPS-Statistics summary'!W25</f>
        <v>5.1866246634721752E-2</v>
      </c>
      <c r="U12" s="104">
        <f>'BPS-Statistics summary'!X25</f>
        <v>5.1795874013006685E-2</v>
      </c>
      <c r="V12" s="104">
        <f>'BPS-Statistics summary'!Y25</f>
        <v>5.1923796736076472E-2</v>
      </c>
      <c r="W12" s="104">
        <f>'BPS-Statistics summary'!Z25</f>
        <v>5.1917653782758859E-2</v>
      </c>
      <c r="X12" s="104">
        <f>'BPS-Statistics summary'!AA25</f>
        <v>5.187589279164094E-2</v>
      </c>
      <c r="Y12" s="104">
        <f>'BPS-Statistics summary'!AB25</f>
        <v>5.1878304330870734E-2</v>
      </c>
      <c r="Z12" s="104">
        <f>'BPS-Statistics summary'!AC25</f>
        <v>5.1898911910336749E-2</v>
      </c>
      <c r="AA12" s="104">
        <f>'BPS-Statistics summary'!AD25</f>
        <v>5.1892690703901817E-2</v>
      </c>
      <c r="AB12" s="104">
        <f>'BPS-Statistics summary'!AE25</f>
        <v>5.1886449934187562E-2</v>
      </c>
      <c r="AC12" s="104">
        <f>'BPS-Statistics summary'!AF25</f>
        <v>5.1889089219824214E-2</v>
      </c>
      <c r="AD12" s="104">
        <f>'BPS-Statistics summary'!AG25</f>
        <v>5.1891785442062584E-2</v>
      </c>
      <c r="AE12" s="104">
        <f>'BPS-Statistics summary'!AH25</f>
        <v>5.1890003824994042E-2</v>
      </c>
      <c r="AF12" s="104">
        <f>'BPS-Statistics summary'!AI25</f>
        <v>5.1889332105267097E-2</v>
      </c>
      <c r="AG12" s="104">
        <f>'BPS-Statistics summary'!AJ25</f>
        <v>5.1890052648036977E-2</v>
      </c>
      <c r="AH12" s="104">
        <f>'BPS-Statistics summary'!AK25</f>
        <v>5.1890293505090175E-2</v>
      </c>
      <c r="AI12" s="104">
        <f>'BPS-Statistics summary'!AL25</f>
        <v>5.1889920520847073E-2</v>
      </c>
      <c r="AJ12" s="104">
        <f>'BPS-Statistics summary'!AM25</f>
        <v>5.1889899694810331E-2</v>
      </c>
      <c r="AK12" s="104">
        <f>'BPS-Statistics summary'!AN25</f>
        <v>5.1890041592196137E-2</v>
      </c>
      <c r="AL12" s="104">
        <f>'BPS-Statistics summary'!AO25</f>
        <v>5.1890038828235924E-2</v>
      </c>
      <c r="AM12" s="104">
        <f>'BPS-Statistics summary'!AP25</f>
        <v>5.1889975159022363E-2</v>
      </c>
      <c r="AN12" s="104">
        <f>'BPS-Statistics summary'!AQ25</f>
        <v>5.1889988818566185E-2</v>
      </c>
      <c r="AO12" s="104">
        <f>'BPS-Statistics summary'!AR25</f>
        <v>5.1890011099505154E-2</v>
      </c>
      <c r="AP12" s="104">
        <f>'BPS-Statistics summary'!AS25</f>
        <v>5.1890003476332408E-2</v>
      </c>
      <c r="AQ12" s="104">
        <f>'BPS-Statistics summary'!AT25</f>
        <v>5.1889994638356522E-2</v>
      </c>
      <c r="AR12" s="104">
        <f>'BPS-Statistics summary'!AU25</f>
        <v>5.1889999508190066E-2</v>
      </c>
      <c r="AS12" s="104">
        <f>'BPS-Statistics summary'!AV25</f>
        <v>5.1890002180596036E-2</v>
      </c>
      <c r="AT12" s="104">
        <f>'BPS-Statistics summary'!AW25</f>
        <v>5.1889999950868758E-2</v>
      </c>
      <c r="AU12" s="104">
        <f>'BPS-Statistics summary'!AX25</f>
        <v>5.1889999069502847E-2</v>
      </c>
      <c r="AV12" s="104">
        <f>'BPS-Statistics summary'!AY25</f>
        <v>5.1890000177289425E-2</v>
      </c>
      <c r="AW12" s="104">
        <f>'BPS-Statistics summary'!AZ25</f>
        <v>5.1890000344564265E-2</v>
      </c>
      <c r="AX12" s="104">
        <f>'BPS-Statistics summary'!BA25</f>
        <v>5.1889999885556322E-2</v>
      </c>
      <c r="AY12" s="104">
        <f>'BPS-Statistics summary'!BB25</f>
        <v>5.1889999869228209E-2</v>
      </c>
      <c r="AZ12" s="104">
        <f>'BPS-Statistics summary'!BC25</f>
        <v>5.1890000069159552E-2</v>
      </c>
      <c r="BA12" s="104">
        <f>'BPS-Statistics summary'!BD25</f>
        <v>5.1890000042127085E-2</v>
      </c>
    </row>
    <row r="13" spans="1:53" x14ac:dyDescent="0.25">
      <c r="A13" s="2" t="s">
        <v>52</v>
      </c>
      <c r="B13" s="104">
        <f>'BPS-Statistics summary'!E25</f>
        <v>8.48E-2</v>
      </c>
      <c r="C13" s="104">
        <f>'BPS-Statistics summary'!F25</f>
        <v>9.3900000000000011E-2</v>
      </c>
      <c r="D13" s="104">
        <f>'BPS-Statistics summary'!G25</f>
        <v>9.6099999999999991E-2</v>
      </c>
      <c r="E13" s="104">
        <f>'BPS-Statistics summary'!H25</f>
        <v>6.8999999999999999E-3</v>
      </c>
      <c r="F13" s="104">
        <f>'BPS-Statistics summary'!I25</f>
        <v>1.1000000000000001E-3</v>
      </c>
      <c r="G13" s="104">
        <f>'BPS-Statistics summary'!J25</f>
        <v>5.8600000000000006E-2</v>
      </c>
      <c r="H13" s="104">
        <f>'BPS-Statistics summary'!K25</f>
        <v>8.3499999999999991E-2</v>
      </c>
      <c r="I13" s="104">
        <f>'BPS-Statistics summary'!L25</f>
        <v>3.7525000000000003E-2</v>
      </c>
      <c r="J13" s="104">
        <f>'BPS-Statistics summary'!M25</f>
        <v>4.5181249999999999E-2</v>
      </c>
      <c r="K13" s="104">
        <f>'BPS-Statistics summary'!N25</f>
        <v>5.6201562500000003E-2</v>
      </c>
      <c r="L13" s="104">
        <f>'BPS-Statistics summary'!O25</f>
        <v>5.5601953124999999E-2</v>
      </c>
      <c r="M13" s="104">
        <f>'BPS-Statistics summary'!P25</f>
        <v>4.8627441406249999E-2</v>
      </c>
      <c r="N13" s="104">
        <f>'BPS-Statistics summary'!Q25</f>
        <v>5.1403051757812498E-2</v>
      </c>
      <c r="O13" s="104">
        <f>'BPS-Statistics summary'!R25</f>
        <v>5.2958502197265625E-2</v>
      </c>
      <c r="P13" s="104">
        <f>'BPS-Statistics summary'!S25</f>
        <v>5.2147737121582022E-2</v>
      </c>
      <c r="Q13" s="104">
        <f>'BPS-Statistics summary'!T25</f>
        <v>5.1284183120727536E-2</v>
      </c>
      <c r="R13" s="104">
        <f>'BPS-Statistics summary'!U25</f>
        <v>5.1948368549346924E-2</v>
      </c>
      <c r="S13" s="104">
        <f>'BPS-Statistics summary'!V25</f>
        <v>5.2084697747230527E-2</v>
      </c>
      <c r="T13" s="104">
        <f>'BPS-Statistics summary'!W25</f>
        <v>5.1866246634721752E-2</v>
      </c>
      <c r="U13" s="104">
        <f>'BPS-Statistics summary'!X25</f>
        <v>5.1795874013006685E-2</v>
      </c>
      <c r="V13" s="104">
        <f>'BPS-Statistics summary'!Y25</f>
        <v>5.1923796736076472E-2</v>
      </c>
      <c r="W13" s="104">
        <f>'BPS-Statistics summary'!Z25</f>
        <v>5.1917653782758859E-2</v>
      </c>
      <c r="X13" s="104">
        <f>'BPS-Statistics summary'!AA25</f>
        <v>5.187589279164094E-2</v>
      </c>
      <c r="Y13" s="104">
        <f>'BPS-Statistics summary'!AB25</f>
        <v>5.1878304330870734E-2</v>
      </c>
      <c r="Z13" s="104">
        <f>'BPS-Statistics summary'!AC25</f>
        <v>5.1898911910336749E-2</v>
      </c>
      <c r="AA13" s="104">
        <f>'BPS-Statistics summary'!AD25</f>
        <v>5.1892690703901817E-2</v>
      </c>
      <c r="AB13" s="104">
        <f>'BPS-Statistics summary'!AE25</f>
        <v>5.1886449934187562E-2</v>
      </c>
      <c r="AC13" s="104">
        <f>'BPS-Statistics summary'!AF25</f>
        <v>5.1889089219824214E-2</v>
      </c>
      <c r="AD13" s="104">
        <f>'BPS-Statistics summary'!AG25</f>
        <v>5.1891785442062584E-2</v>
      </c>
      <c r="AE13" s="104">
        <f>'BPS-Statistics summary'!AH25</f>
        <v>5.1890003824994042E-2</v>
      </c>
      <c r="AF13" s="104">
        <f>'BPS-Statistics summary'!AI25</f>
        <v>5.1889332105267097E-2</v>
      </c>
      <c r="AG13" s="104">
        <f>'BPS-Statistics summary'!AJ25</f>
        <v>5.1890052648036977E-2</v>
      </c>
      <c r="AH13" s="104">
        <f>'BPS-Statistics summary'!AK25</f>
        <v>5.1890293505090175E-2</v>
      </c>
      <c r="AI13" s="104">
        <f>'BPS-Statistics summary'!AL25</f>
        <v>5.1889920520847073E-2</v>
      </c>
      <c r="AJ13" s="104">
        <f>'BPS-Statistics summary'!AM25</f>
        <v>5.1889899694810331E-2</v>
      </c>
      <c r="AK13" s="104">
        <f>'BPS-Statistics summary'!AN25</f>
        <v>5.1890041592196137E-2</v>
      </c>
      <c r="AL13" s="104">
        <f>'BPS-Statistics summary'!AO25</f>
        <v>5.1890038828235924E-2</v>
      </c>
      <c r="AM13" s="104">
        <f>'BPS-Statistics summary'!AP25</f>
        <v>5.1889975159022363E-2</v>
      </c>
      <c r="AN13" s="104">
        <f>'BPS-Statistics summary'!AQ25</f>
        <v>5.1889988818566185E-2</v>
      </c>
      <c r="AO13" s="104">
        <f>'BPS-Statistics summary'!AR25</f>
        <v>5.1890011099505154E-2</v>
      </c>
      <c r="AP13" s="104">
        <f>'BPS-Statistics summary'!AS25</f>
        <v>5.1890003476332408E-2</v>
      </c>
      <c r="AQ13" s="104">
        <f>'BPS-Statistics summary'!AT25</f>
        <v>5.1889994638356522E-2</v>
      </c>
      <c r="AR13" s="104">
        <f>'BPS-Statistics summary'!AU25</f>
        <v>5.1889999508190066E-2</v>
      </c>
      <c r="AS13" s="104">
        <f>'BPS-Statistics summary'!AV25</f>
        <v>5.1890002180596036E-2</v>
      </c>
      <c r="AT13" s="104">
        <f>'BPS-Statistics summary'!AW25</f>
        <v>5.1889999950868758E-2</v>
      </c>
      <c r="AU13" s="104">
        <f>'BPS-Statistics summary'!AX25</f>
        <v>5.1889999069502847E-2</v>
      </c>
      <c r="AV13" s="104">
        <f>'BPS-Statistics summary'!AY25</f>
        <v>5.1890000177289425E-2</v>
      </c>
      <c r="AW13" s="104">
        <f>'BPS-Statistics summary'!AZ25</f>
        <v>5.1890000344564265E-2</v>
      </c>
      <c r="AX13" s="104">
        <f>'BPS-Statistics summary'!BA25</f>
        <v>5.1889999885556322E-2</v>
      </c>
      <c r="AY13" s="104">
        <f>'BPS-Statistics summary'!BB25</f>
        <v>5.1889999869228209E-2</v>
      </c>
      <c r="AZ13" s="104">
        <f>'BPS-Statistics summary'!BC25</f>
        <v>5.1890000069159552E-2</v>
      </c>
      <c r="BA13" s="104">
        <f>'BPS-Statistics summary'!BD25</f>
        <v>5.1890000042127085E-2</v>
      </c>
    </row>
    <row r="14" spans="1:53" x14ac:dyDescent="0.25">
      <c r="A14" s="2" t="s">
        <v>54</v>
      </c>
      <c r="B14" s="104">
        <f>'BPS-Statistics summary'!E26</f>
        <v>-5.5199999999999999E-2</v>
      </c>
      <c r="C14" s="104">
        <f>'BPS-Statistics summary'!F26</f>
        <v>-5.6100000000000004E-2</v>
      </c>
      <c r="D14" s="104">
        <f>'BPS-Statistics summary'!G26</f>
        <v>1.0800000000000001E-2</v>
      </c>
      <c r="E14" s="104">
        <f>'BPS-Statistics summary'!H26</f>
        <v>-4.0999999999999995E-2</v>
      </c>
      <c r="F14" s="104">
        <f>'BPS-Statistics summary'!I26</f>
        <v>-3.6299999999999999E-2</v>
      </c>
      <c r="G14" s="104">
        <f>'BPS-Statistics summary'!J26</f>
        <v>1.7500000000000002E-2</v>
      </c>
      <c r="H14" s="104">
        <f>'BPS-Statistics summary'!K26</f>
        <v>-4.07E-2</v>
      </c>
      <c r="I14" s="104">
        <f>'BPS-Statistics summary'!L26</f>
        <v>-2.5124999999999998E-2</v>
      </c>
      <c r="J14" s="104">
        <f>'BPS-Statistics summary'!M26</f>
        <v>-2.1156249999999998E-2</v>
      </c>
      <c r="K14" s="104">
        <f>'BPS-Statistics summary'!N26</f>
        <v>-1.7370312499999999E-2</v>
      </c>
      <c r="L14" s="104">
        <f>'BPS-Statistics summary'!O26</f>
        <v>-2.6087890624999999E-2</v>
      </c>
      <c r="M14" s="104">
        <f>'BPS-Statistics summary'!P26</f>
        <v>-2.2434863281249998E-2</v>
      </c>
      <c r="N14" s="104">
        <f>'BPS-Statistics summary'!Q26</f>
        <v>-2.1762329101562498E-2</v>
      </c>
      <c r="O14" s="104">
        <f>'BPS-Statistics summary'!R26</f>
        <v>-2.1913848876953121E-2</v>
      </c>
      <c r="P14" s="104">
        <f>'BPS-Statistics summary'!S26</f>
        <v>-2.3049732971191405E-2</v>
      </c>
      <c r="Q14" s="104">
        <f>'BPS-Statistics summary'!T26</f>
        <v>-2.2290193557739257E-2</v>
      </c>
      <c r="R14" s="104">
        <f>'BPS-Statistics summary'!U26</f>
        <v>-2.225402612686157E-2</v>
      </c>
      <c r="S14" s="104">
        <f>'BPS-Statistics summary'!V26</f>
        <v>-2.237695038318634E-2</v>
      </c>
      <c r="T14" s="104">
        <f>'BPS-Statistics summary'!W26</f>
        <v>-2.2492725759744644E-2</v>
      </c>
      <c r="U14" s="104">
        <f>'BPS-Statistics summary'!X26</f>
        <v>-2.2353473956882954E-2</v>
      </c>
      <c r="V14" s="104">
        <f>'BPS-Statistics summary'!Y26</f>
        <v>-2.2369294056668876E-2</v>
      </c>
      <c r="W14" s="104">
        <f>'BPS-Statistics summary'!Z26</f>
        <v>-2.2398111039120705E-2</v>
      </c>
      <c r="X14" s="104">
        <f>'BPS-Statistics summary'!AA26</f>
        <v>-2.2403401203104294E-2</v>
      </c>
      <c r="Y14" s="104">
        <f>'BPS-Statistics summary'!AB26</f>
        <v>-2.2381070063944207E-2</v>
      </c>
      <c r="Z14" s="104">
        <f>'BPS-Statistics summary'!AC26</f>
        <v>-2.2387969090709524E-2</v>
      </c>
      <c r="AA14" s="104">
        <f>'BPS-Statistics summary'!AD26</f>
        <v>-2.2392637849219681E-2</v>
      </c>
      <c r="AB14" s="104">
        <f>'BPS-Statistics summary'!AE26</f>
        <v>-2.2391269551744426E-2</v>
      </c>
      <c r="AC14" s="104">
        <f>'BPS-Statistics summary'!AF26</f>
        <v>-2.2388236638904456E-2</v>
      </c>
      <c r="AD14" s="104">
        <f>'BPS-Statistics summary'!AG26</f>
        <v>-2.2390028282644525E-2</v>
      </c>
      <c r="AE14" s="104">
        <f>'BPS-Statistics summary'!AH26</f>
        <v>-2.2390543080628274E-2</v>
      </c>
      <c r="AF14" s="104">
        <f>'BPS-Statistics summary'!AI26</f>
        <v>-2.2390019388480419E-2</v>
      </c>
      <c r="AG14" s="104">
        <f>'BPS-Statistics summary'!AJ26</f>
        <v>-2.238970684766442E-2</v>
      </c>
      <c r="AH14" s="104">
        <f>'BPS-Statistics summary'!AK26</f>
        <v>-2.2390074399854409E-2</v>
      </c>
      <c r="AI14" s="104">
        <f>'BPS-Statistics summary'!AL26</f>
        <v>-2.239008592915688E-2</v>
      </c>
      <c r="AJ14" s="104">
        <f>'BPS-Statistics summary'!AM26</f>
        <v>-2.2389971641289034E-2</v>
      </c>
      <c r="AK14" s="104">
        <f>'BPS-Statistics summary'!AN26</f>
        <v>-2.2389959704491185E-2</v>
      </c>
      <c r="AL14" s="104">
        <f>'BPS-Statistics summary'!AO26</f>
        <v>-2.2390022918697877E-2</v>
      </c>
      <c r="AM14" s="104">
        <f>'BPS-Statistics summary'!AP26</f>
        <v>-2.2390010048408744E-2</v>
      </c>
      <c r="AN14" s="104">
        <f>'BPS-Statistics summary'!AQ26</f>
        <v>-2.2389991078221712E-2</v>
      </c>
      <c r="AO14" s="104">
        <f>'BPS-Statistics summary'!AR26</f>
        <v>-2.238999593745488E-2</v>
      </c>
      <c r="AP14" s="104">
        <f>'BPS-Statistics summary'!AS26</f>
        <v>-2.2390004995695802E-2</v>
      </c>
      <c r="AQ14" s="104">
        <f>'BPS-Statistics summary'!AT26</f>
        <v>-2.2390000514945281E-2</v>
      </c>
      <c r="AR14" s="104">
        <f>'BPS-Statistics summary'!AU26</f>
        <v>-2.2389998131579415E-2</v>
      </c>
      <c r="AS14" s="104">
        <f>'BPS-Statistics summary'!AV26</f>
        <v>-2.2389999894918841E-2</v>
      </c>
      <c r="AT14" s="104">
        <f>'BPS-Statistics summary'!AW26</f>
        <v>-2.2390000884284837E-2</v>
      </c>
      <c r="AU14" s="104">
        <f>'BPS-Statistics summary'!AX26</f>
        <v>-2.2389999856432093E-2</v>
      </c>
      <c r="AV14" s="104">
        <f>'BPS-Statistics summary'!AY26</f>
        <v>-2.2389999691803796E-2</v>
      </c>
      <c r="AW14" s="104">
        <f>'BPS-Statistics summary'!AZ26</f>
        <v>-2.2390000081859894E-2</v>
      </c>
      <c r="AX14" s="104">
        <f>'BPS-Statistics summary'!BA26</f>
        <v>-2.2390000128595156E-2</v>
      </c>
      <c r="AY14" s="104">
        <f>'BPS-Statistics summary'!BB26</f>
        <v>-2.2389999939672736E-2</v>
      </c>
      <c r="AZ14" s="104">
        <f>'BPS-Statistics summary'!BC26</f>
        <v>-2.2389999960482895E-2</v>
      </c>
      <c r="BA14" s="104">
        <f>'BPS-Statistics summary'!BD26</f>
        <v>-2.2390000027652669E-2</v>
      </c>
    </row>
    <row r="15" spans="1:53" x14ac:dyDescent="0.25">
      <c r="A15" s="2" t="s">
        <v>133</v>
      </c>
      <c r="B15" s="104">
        <f>'BPS-Statistics summary'!E33</f>
        <v>5.1699999999999996E-2</v>
      </c>
      <c r="C15" s="104">
        <f>'BPS-Statistics summary'!F33</f>
        <v>-8.8000000000000005E-3</v>
      </c>
      <c r="D15" s="104">
        <f>'BPS-Statistics summary'!G33</f>
        <v>-1.6399999999999998E-2</v>
      </c>
      <c r="E15" s="104">
        <f>'BPS-Statistics summary'!H33</f>
        <v>6.08E-2</v>
      </c>
      <c r="F15" s="104">
        <f>'BPS-Statistics summary'!I33</f>
        <v>-2.1000000000000001E-2</v>
      </c>
      <c r="G15" s="104">
        <f>'BPS-Statistics summary'!J33</f>
        <v>3.5400000000000001E-2</v>
      </c>
      <c r="H15" s="104">
        <f>'BPS-Statistics summary'!K33</f>
        <v>9.2399999999999996E-2</v>
      </c>
      <c r="I15" s="104">
        <f>'BPS-Statistics summary'!L33</f>
        <v>4.19E-2</v>
      </c>
      <c r="J15" s="104">
        <f>'BPS-Statistics summary'!M33</f>
        <v>3.7175E-2</v>
      </c>
      <c r="K15" s="104">
        <f>'BPS-Statistics summary'!N33</f>
        <v>5.1718749999999994E-2</v>
      </c>
      <c r="L15" s="104">
        <f>'BPS-Statistics summary'!O33</f>
        <v>5.5798437499999992E-2</v>
      </c>
      <c r="M15" s="104">
        <f>'BPS-Statistics summary'!P33</f>
        <v>4.6648046874999995E-2</v>
      </c>
      <c r="N15" s="104">
        <f>'BPS-Statistics summary'!Q33</f>
        <v>4.7835058593749993E-2</v>
      </c>
      <c r="O15" s="104">
        <f>'BPS-Statistics summary'!R33</f>
        <v>5.0500073242187499E-2</v>
      </c>
      <c r="P15" s="104">
        <f>'BPS-Statistics summary'!S33</f>
        <v>5.0195404052734365E-2</v>
      </c>
      <c r="Q15" s="104">
        <f>'BPS-Statistics summary'!T33</f>
        <v>4.8794645690917966E-2</v>
      </c>
      <c r="R15" s="104">
        <f>'BPS-Statistics summary'!U33</f>
        <v>4.9331295394897452E-2</v>
      </c>
      <c r="S15" s="104">
        <f>'BPS-Statistics summary'!V33</f>
        <v>4.9705354595184319E-2</v>
      </c>
      <c r="T15" s="104">
        <f>'BPS-Statistics summary'!W33</f>
        <v>4.9506674933433525E-2</v>
      </c>
      <c r="U15" s="104">
        <f>'BPS-Statistics summary'!X33</f>
        <v>4.9334492653608314E-2</v>
      </c>
      <c r="V15" s="104">
        <f>'BPS-Statistics summary'!Y33</f>
        <v>4.9469454394280903E-2</v>
      </c>
      <c r="W15" s="104">
        <f>'BPS-Statistics summary'!Z33</f>
        <v>4.9503994144126769E-2</v>
      </c>
      <c r="X15" s="104">
        <f>'BPS-Statistics summary'!AA33</f>
        <v>4.9453654031362378E-2</v>
      </c>
      <c r="Y15" s="104">
        <f>'BPS-Statistics summary'!AB33</f>
        <v>4.9440398805844589E-2</v>
      </c>
      <c r="Z15" s="104">
        <f>'BPS-Statistics summary'!AC33</f>
        <v>4.9466875343903656E-2</v>
      </c>
      <c r="AA15" s="104">
        <f>'BPS-Statistics summary'!AD33</f>
        <v>4.9466230581309348E-2</v>
      </c>
      <c r="AB15" s="104">
        <f>'BPS-Statistics summary'!AE33</f>
        <v>4.9456789690604991E-2</v>
      </c>
      <c r="AC15" s="104">
        <f>'BPS-Statistics summary'!AF33</f>
        <v>4.9457573605415646E-2</v>
      </c>
      <c r="AD15" s="104">
        <f>'BPS-Statistics summary'!AG33</f>
        <v>4.946186730530841E-2</v>
      </c>
      <c r="AE15" s="104">
        <f>'BPS-Statistics summary'!AH33</f>
        <v>4.94606152956596E-2</v>
      </c>
      <c r="AF15" s="104">
        <f>'BPS-Statistics summary'!AI33</f>
        <v>4.9459211474247158E-2</v>
      </c>
      <c r="AG15" s="104">
        <f>'BPS-Statistics summary'!AJ33</f>
        <v>4.9459816920157704E-2</v>
      </c>
      <c r="AH15" s="104">
        <f>'BPS-Statistics summary'!AK33</f>
        <v>4.9460377748843223E-2</v>
      </c>
      <c r="AI15" s="104">
        <f>'BPS-Statistics summary'!AL33</f>
        <v>4.9460005359726916E-2</v>
      </c>
      <c r="AJ15" s="104">
        <f>'BPS-Statistics summary'!AM33</f>
        <v>4.9459852875743747E-2</v>
      </c>
      <c r="AK15" s="104">
        <f>'BPS-Statistics summary'!AN33</f>
        <v>4.9460013226117899E-2</v>
      </c>
      <c r="AL15" s="104">
        <f>'BPS-Statistics summary'!AO33</f>
        <v>4.9460062302607945E-2</v>
      </c>
      <c r="AM15" s="104">
        <f>'BPS-Statistics summary'!AP33</f>
        <v>4.9459983441049127E-2</v>
      </c>
      <c r="AN15" s="104">
        <f>'BPS-Statistics summary'!AQ33</f>
        <v>4.9459977961379679E-2</v>
      </c>
      <c r="AO15" s="104">
        <f>'BPS-Statistics summary'!AR33</f>
        <v>4.9460009232788663E-2</v>
      </c>
      <c r="AP15" s="104">
        <f>'BPS-Statistics summary'!AS33</f>
        <v>4.9460008234456357E-2</v>
      </c>
      <c r="AQ15" s="104">
        <f>'BPS-Statistics summary'!AT33</f>
        <v>4.9459994717418451E-2</v>
      </c>
      <c r="AR15" s="104">
        <f>'BPS-Statistics summary'!AU33</f>
        <v>4.9459997536510786E-2</v>
      </c>
      <c r="AS15" s="104">
        <f>'BPS-Statistics summary'!AV33</f>
        <v>4.9460002430293561E-2</v>
      </c>
      <c r="AT15" s="104">
        <f>'BPS-Statistics summary'!AW33</f>
        <v>4.9460000729669787E-2</v>
      </c>
      <c r="AU15" s="104">
        <f>'BPS-Statistics summary'!AX33</f>
        <v>4.9459998853473144E-2</v>
      </c>
      <c r="AV15" s="104">
        <f>'BPS-Statistics summary'!AY33</f>
        <v>4.9459999887486811E-2</v>
      </c>
      <c r="AW15" s="104">
        <f>'BPS-Statistics summary'!AZ33</f>
        <v>4.9460000475230824E-2</v>
      </c>
      <c r="AX15" s="104">
        <f>'BPS-Statistics summary'!BA33</f>
        <v>4.9459999986465143E-2</v>
      </c>
      <c r="AY15" s="104">
        <f>'BPS-Statistics summary'!BB33</f>
        <v>4.9459999800663977E-2</v>
      </c>
      <c r="AZ15" s="104">
        <f>'BPS-Statistics summary'!BC33</f>
        <v>4.946000003746169E-2</v>
      </c>
      <c r="BA15" s="104">
        <f>'BPS-Statistics summary'!BD33</f>
        <v>4.9460000074955407E-2</v>
      </c>
    </row>
    <row r="16" spans="1:53" x14ac:dyDescent="0.25">
      <c r="A16" s="2" t="s">
        <v>132</v>
      </c>
      <c r="B16" s="104">
        <f>'BPS-Statistics summary'!E27</f>
        <v>-1.03E-2</v>
      </c>
      <c r="C16" s="104">
        <f>'BPS-Statistics summary'!F27</f>
        <v>-9.1300000000000006E-2</v>
      </c>
      <c r="D16" s="104">
        <f>'BPS-Statistics summary'!G27</f>
        <v>8.8999999999999999E-3</v>
      </c>
      <c r="E16" s="104">
        <f>'BPS-Statistics summary'!H27</f>
        <v>-0.02</v>
      </c>
      <c r="F16" s="104">
        <f>'BPS-Statistics summary'!I27</f>
        <v>4.1100000000000005E-2</v>
      </c>
      <c r="G16" s="104">
        <f>'BPS-Statistics summary'!J27</f>
        <v>-6.0000000000000001E-3</v>
      </c>
      <c r="H16" s="104">
        <f>'BPS-Statistics summary'!K27</f>
        <v>6.1600000000000002E-2</v>
      </c>
      <c r="I16" s="104">
        <f>'BPS-Statistics summary'!L27</f>
        <v>1.9175000000000001E-2</v>
      </c>
      <c r="J16" s="104">
        <f>'BPS-Statistics summary'!M27</f>
        <v>2.8968750000000001E-2</v>
      </c>
      <c r="K16" s="104">
        <f>'BPS-Statistics summary'!N27</f>
        <v>2.5935937500000002E-2</v>
      </c>
      <c r="L16" s="104">
        <f>'BPS-Statistics summary'!O27</f>
        <v>3.3919921875000002E-2</v>
      </c>
      <c r="M16" s="104">
        <f>'BPS-Statistics summary'!P27</f>
        <v>2.699990234375E-2</v>
      </c>
      <c r="N16" s="104">
        <f>'BPS-Statistics summary'!Q27</f>
        <v>2.8956127929687499E-2</v>
      </c>
      <c r="O16" s="104">
        <f>'BPS-Statistics summary'!R27</f>
        <v>2.8952972412109375E-2</v>
      </c>
      <c r="P16" s="104">
        <f>'BPS-Statistics summary'!S27</f>
        <v>2.9707231140136715E-2</v>
      </c>
      <c r="Q16" s="104">
        <f>'BPS-Statistics summary'!T27</f>
        <v>2.8654058456420897E-2</v>
      </c>
      <c r="R16" s="104">
        <f>'BPS-Statistics summary'!U27</f>
        <v>2.9067597484588623E-2</v>
      </c>
      <c r="S16" s="104">
        <f>'BPS-Statistics summary'!V27</f>
        <v>2.9095464873313902E-2</v>
      </c>
      <c r="T16" s="104">
        <f>'BPS-Statistics summary'!W27</f>
        <v>2.9131087988615037E-2</v>
      </c>
      <c r="U16" s="104">
        <f>'BPS-Statistics summary'!X27</f>
        <v>2.8987052200734612E-2</v>
      </c>
      <c r="V16" s="104">
        <f>'BPS-Statistics summary'!Y27</f>
        <v>2.9070300636813044E-2</v>
      </c>
      <c r="W16" s="104">
        <f>'BPS-Statistics summary'!Z27</f>
        <v>2.9070976424869149E-2</v>
      </c>
      <c r="X16" s="104">
        <f>'BPS-Statistics summary'!AA27</f>
        <v>2.9064854312757959E-2</v>
      </c>
      <c r="Y16" s="104">
        <f>'BPS-Statistics summary'!AB27</f>
        <v>2.904829589379369E-2</v>
      </c>
      <c r="Z16" s="104">
        <f>'BPS-Statistics summary'!AC27</f>
        <v>2.9063606817058461E-2</v>
      </c>
      <c r="AA16" s="104">
        <f>'BPS-Statistics summary'!AD27</f>
        <v>2.9061933362119818E-2</v>
      </c>
      <c r="AB16" s="104">
        <f>'BPS-Statistics summary'!AE27</f>
        <v>2.9059672596432481E-2</v>
      </c>
      <c r="AC16" s="104">
        <f>'BPS-Statistics summary'!AF27</f>
        <v>2.9058377167351112E-2</v>
      </c>
      <c r="AD16" s="104">
        <f>'BPS-Statistics summary'!AG27</f>
        <v>2.9060897485740467E-2</v>
      </c>
      <c r="AE16" s="104">
        <f>'BPS-Statistics summary'!AH27</f>
        <v>2.906022015291097E-2</v>
      </c>
      <c r="AF16" s="104">
        <f>'BPS-Statistics summary'!AI27</f>
        <v>2.9059791850608759E-2</v>
      </c>
      <c r="AG16" s="104">
        <f>'BPS-Statistics summary'!AJ27</f>
        <v>2.905982166415283E-2</v>
      </c>
      <c r="AH16" s="104">
        <f>'BPS-Statistics summary'!AK27</f>
        <v>2.9060182788353255E-2</v>
      </c>
      <c r="AI16" s="104">
        <f>'BPS-Statistics summary'!AL27</f>
        <v>2.9060004114006451E-2</v>
      </c>
      <c r="AJ16" s="104">
        <f>'BPS-Statistics summary'!AM27</f>
        <v>2.9059950104280322E-2</v>
      </c>
      <c r="AK16" s="104">
        <f>'BPS-Statistics summary'!AN27</f>
        <v>2.9059989667698214E-2</v>
      </c>
      <c r="AL16" s="104">
        <f>'BPS-Statistics summary'!AO27</f>
        <v>2.9060031668584559E-2</v>
      </c>
      <c r="AM16" s="104">
        <f>'BPS-Statistics summary'!AP27</f>
        <v>2.9059993888642388E-2</v>
      </c>
      <c r="AN16" s="104">
        <f>'BPS-Statistics summary'!AQ27</f>
        <v>2.9059991332301371E-2</v>
      </c>
      <c r="AO16" s="104">
        <f>'BPS-Statistics summary'!AR27</f>
        <v>2.9060001639306634E-2</v>
      </c>
      <c r="AP16" s="104">
        <f>'BPS-Statistics summary'!AS27</f>
        <v>2.9060004632208741E-2</v>
      </c>
      <c r="AQ16" s="104">
        <f>'BPS-Statistics summary'!AT27</f>
        <v>2.9059997873114786E-2</v>
      </c>
      <c r="AR16" s="104">
        <f>'BPS-Statistics summary'!AU27</f>
        <v>2.9059998869232884E-2</v>
      </c>
      <c r="AS16" s="104">
        <f>'BPS-Statistics summary'!AV27</f>
        <v>2.9060000753465761E-2</v>
      </c>
      <c r="AT16" s="104">
        <f>'BPS-Statistics summary'!AW27</f>
        <v>2.9060000532005543E-2</v>
      </c>
      <c r="AU16" s="104">
        <f>'BPS-Statistics summary'!AX27</f>
        <v>2.9059999506954742E-2</v>
      </c>
      <c r="AV16" s="104">
        <f>'BPS-Statistics summary'!AY27</f>
        <v>2.9059999915414733E-2</v>
      </c>
      <c r="AW16" s="104">
        <f>'BPS-Statistics summary'!AZ27</f>
        <v>2.9060000176960196E-2</v>
      </c>
      <c r="AX16" s="104">
        <f>'BPS-Statistics summary'!BA27</f>
        <v>2.9060000032833804E-2</v>
      </c>
      <c r="AY16" s="104">
        <f>'BPS-Statistics summary'!BB27</f>
        <v>2.9059999908040871E-2</v>
      </c>
      <c r="AZ16" s="104">
        <f>'BPS-Statistics summary'!BC27</f>
        <v>2.9060000008312402E-2</v>
      </c>
      <c r="BA16" s="104">
        <f>'BPS-Statistics summary'!BD27</f>
        <v>2.9060000031536817E-2</v>
      </c>
    </row>
    <row r="17" spans="1:53" x14ac:dyDescent="0.25">
      <c r="A17" s="2" t="s">
        <v>142</v>
      </c>
      <c r="B17" s="104">
        <f>'BPS-Statistics summary'!E28</f>
        <v>2.8300000000000002E-2</v>
      </c>
      <c r="C17" s="104">
        <f>'BPS-Statistics summary'!F28</f>
        <v>5.8700000000000002E-2</v>
      </c>
      <c r="D17" s="104">
        <f>'BPS-Statistics summary'!G28</f>
        <v>0.115</v>
      </c>
      <c r="E17" s="104">
        <f>'BPS-Statistics summary'!H28</f>
        <v>0.14800000000000002</v>
      </c>
      <c r="F17" s="104">
        <f>'BPS-Statistics summary'!I28</f>
        <v>0.14169999999999999</v>
      </c>
      <c r="G17" s="104">
        <f>'BPS-Statistics summary'!J28</f>
        <v>0.13339999999999999</v>
      </c>
      <c r="H17" s="104">
        <f>'BPS-Statistics summary'!K28</f>
        <v>0.15710000000000002</v>
      </c>
      <c r="I17" s="104">
        <f>'BPS-Statistics summary'!L28</f>
        <v>0.14505000000000001</v>
      </c>
      <c r="J17" s="104">
        <f>'BPS-Statistics summary'!M28</f>
        <v>0.14431250000000001</v>
      </c>
      <c r="K17" s="104">
        <f>'BPS-Statistics summary'!N28</f>
        <v>0.14496562499999999</v>
      </c>
      <c r="L17" s="104">
        <f>'BPS-Statistics summary'!O28</f>
        <v>0.14785703124999999</v>
      </c>
      <c r="M17" s="104">
        <f>'BPS-Statistics summary'!P28</f>
        <v>0.1455462890625</v>
      </c>
      <c r="N17" s="104">
        <f>'BPS-Statistics summary'!Q28</f>
        <v>0.145670361328125</v>
      </c>
      <c r="O17" s="104">
        <f>'BPS-Statistics summary'!R28</f>
        <v>0.14600982666015624</v>
      </c>
      <c r="P17" s="104">
        <f>'BPS-Statistics summary'!S28</f>
        <v>0.14627087707519532</v>
      </c>
      <c r="Q17" s="104">
        <f>'BPS-Statistics summary'!T28</f>
        <v>0.14587433853149412</v>
      </c>
      <c r="R17" s="104">
        <f>'BPS-Statistics summary'!U28</f>
        <v>0.14595635089874265</v>
      </c>
      <c r="S17" s="104">
        <f>'BPS-Statistics summary'!V28</f>
        <v>0.14602784829139709</v>
      </c>
      <c r="T17" s="104">
        <f>'BPS-Statistics summary'!W28</f>
        <v>0.14603235369920731</v>
      </c>
      <c r="U17" s="104">
        <f>'BPS-Statistics summary'!X28</f>
        <v>0.14597272285521029</v>
      </c>
      <c r="V17" s="104">
        <f>'BPS-Statistics summary'!Y28</f>
        <v>0.14599731893613932</v>
      </c>
      <c r="W17" s="104">
        <f>'BPS-Statistics summary'!Z28</f>
        <v>0.1460075609454885</v>
      </c>
      <c r="X17" s="104">
        <f>'BPS-Statistics summary'!AA28</f>
        <v>0.14600248910901137</v>
      </c>
      <c r="Y17" s="104">
        <f>'BPS-Statistics summary'!AB28</f>
        <v>0.14599502296146238</v>
      </c>
      <c r="Z17" s="104">
        <f>'BPS-Statistics summary'!AC28</f>
        <v>0.14600059798802539</v>
      </c>
      <c r="AA17" s="104">
        <f>'BPS-Statistics summary'!AD28</f>
        <v>0.1460014177509969</v>
      </c>
      <c r="AB17" s="104">
        <f>'BPS-Statistics summary'!AE28</f>
        <v>0.14599988195237401</v>
      </c>
      <c r="AC17" s="104">
        <f>'BPS-Statistics summary'!AF28</f>
        <v>0.14599923016321467</v>
      </c>
      <c r="AD17" s="104">
        <f>'BPS-Statistics summary'!AG28</f>
        <v>0.14600028196365275</v>
      </c>
      <c r="AE17" s="104">
        <f>'BPS-Statistics summary'!AH28</f>
        <v>0.14600020295755958</v>
      </c>
      <c r="AF17" s="104">
        <f>'BPS-Statistics summary'!AI28</f>
        <v>0.14599989925920026</v>
      </c>
      <c r="AG17" s="104">
        <f>'BPS-Statistics summary'!AJ28</f>
        <v>0.14599990358590681</v>
      </c>
      <c r="AH17" s="104">
        <f>'BPS-Statistics summary'!AK28</f>
        <v>0.14600007194157985</v>
      </c>
      <c r="AI17" s="104">
        <f>'BPS-Statistics summary'!AL28</f>
        <v>0.14600001943606164</v>
      </c>
      <c r="AJ17" s="104">
        <f>'BPS-Statistics summary'!AM28</f>
        <v>0.14599997355568714</v>
      </c>
      <c r="AK17" s="104">
        <f>'BPS-Statistics summary'!AN28</f>
        <v>0.14599999212980888</v>
      </c>
      <c r="AL17" s="104">
        <f>'BPS-Statistics summary'!AO28</f>
        <v>0.14600001426578438</v>
      </c>
      <c r="AM17" s="104">
        <f>'BPS-Statistics summary'!AP28</f>
        <v>0.14599999984683551</v>
      </c>
      <c r="AN17" s="104">
        <f>'BPS-Statistics summary'!AQ28</f>
        <v>0.14599999494952898</v>
      </c>
      <c r="AO17" s="104">
        <f>'BPS-Statistics summary'!AR28</f>
        <v>0.14600000029798943</v>
      </c>
      <c r="AP17" s="104">
        <f>'BPS-Statistics summary'!AS28</f>
        <v>0.14600000234003457</v>
      </c>
      <c r="AQ17" s="104">
        <f>'BPS-Statistics summary'!AT28</f>
        <v>0.14599999935859714</v>
      </c>
      <c r="AR17" s="104">
        <f>'BPS-Statistics summary'!AU28</f>
        <v>0.14599999923653753</v>
      </c>
      <c r="AS17" s="104">
        <f>'BPS-Statistics summary'!AV28</f>
        <v>0.14600000030828966</v>
      </c>
      <c r="AT17" s="104">
        <f>'BPS-Statistics summary'!AW28</f>
        <v>0.14600000031086471</v>
      </c>
      <c r="AU17" s="104">
        <f>'BPS-Statistics summary'!AX28</f>
        <v>0.14599999980357226</v>
      </c>
      <c r="AV17" s="104">
        <f>'BPS-Statistics summary'!AY28</f>
        <v>0.14599999991481605</v>
      </c>
      <c r="AW17" s="104">
        <f>'BPS-Statistics summary'!AZ28</f>
        <v>0.14600000008438568</v>
      </c>
      <c r="AX17" s="104">
        <f>'BPS-Statistics summary'!BA28</f>
        <v>0.14600000002840968</v>
      </c>
      <c r="AY17" s="104">
        <f>'BPS-Statistics summary'!BB28</f>
        <v>0.14599999995779592</v>
      </c>
      <c r="AZ17" s="104">
        <f>'BPS-Statistics summary'!BC28</f>
        <v>0.14599999999635183</v>
      </c>
      <c r="BA17" s="104">
        <f>'BPS-Statistics summary'!BD28</f>
        <v>0.14600000001673577</v>
      </c>
    </row>
    <row r="18" spans="1:53" x14ac:dyDescent="0.25">
      <c r="A18" s="2" t="s">
        <v>152</v>
      </c>
      <c r="B18" s="104">
        <f>'BPS-Statistics summary'!E28</f>
        <v>2.8300000000000002E-2</v>
      </c>
      <c r="C18" s="104">
        <f>'BPS-Statistics summary'!F28</f>
        <v>5.8700000000000002E-2</v>
      </c>
      <c r="D18" s="104">
        <f>'BPS-Statistics summary'!G28</f>
        <v>0.115</v>
      </c>
      <c r="E18" s="104">
        <f>'BPS-Statistics summary'!H28</f>
        <v>0.14800000000000002</v>
      </c>
      <c r="F18" s="104">
        <f>'BPS-Statistics summary'!I28</f>
        <v>0.14169999999999999</v>
      </c>
      <c r="G18" s="104">
        <f>'BPS-Statistics summary'!J28</f>
        <v>0.13339999999999999</v>
      </c>
      <c r="H18" s="104">
        <f>'BPS-Statistics summary'!K28</f>
        <v>0.15710000000000002</v>
      </c>
      <c r="I18" s="104">
        <f>'BPS-Statistics summary'!L28</f>
        <v>0.14505000000000001</v>
      </c>
      <c r="J18" s="104">
        <f>'BPS-Statistics summary'!M28</f>
        <v>0.14431250000000001</v>
      </c>
      <c r="K18" s="104">
        <f>'BPS-Statistics summary'!N28</f>
        <v>0.14496562499999999</v>
      </c>
      <c r="L18" s="104">
        <f>'BPS-Statistics summary'!O28</f>
        <v>0.14785703124999999</v>
      </c>
      <c r="M18" s="104">
        <f>'BPS-Statistics summary'!P28</f>
        <v>0.1455462890625</v>
      </c>
      <c r="N18" s="104">
        <f>'BPS-Statistics summary'!Q28</f>
        <v>0.145670361328125</v>
      </c>
      <c r="O18" s="104">
        <f>'BPS-Statistics summary'!R28</f>
        <v>0.14600982666015624</v>
      </c>
      <c r="P18" s="104">
        <f>'BPS-Statistics summary'!S28</f>
        <v>0.14627087707519532</v>
      </c>
      <c r="Q18" s="104">
        <f>'BPS-Statistics summary'!T28</f>
        <v>0.14587433853149412</v>
      </c>
      <c r="R18" s="104">
        <f>'BPS-Statistics summary'!U28</f>
        <v>0.14595635089874265</v>
      </c>
      <c r="S18" s="104">
        <f>'BPS-Statistics summary'!V28</f>
        <v>0.14602784829139709</v>
      </c>
      <c r="T18" s="104">
        <f>'BPS-Statistics summary'!W28</f>
        <v>0.14603235369920731</v>
      </c>
      <c r="U18" s="104">
        <f>'BPS-Statistics summary'!X28</f>
        <v>0.14597272285521029</v>
      </c>
      <c r="V18" s="104">
        <f>'BPS-Statistics summary'!Y28</f>
        <v>0.14599731893613932</v>
      </c>
      <c r="W18" s="104">
        <f>'BPS-Statistics summary'!Z28</f>
        <v>0.1460075609454885</v>
      </c>
      <c r="X18" s="104">
        <f>'BPS-Statistics summary'!AA28</f>
        <v>0.14600248910901137</v>
      </c>
      <c r="Y18" s="104">
        <f>'BPS-Statistics summary'!AB28</f>
        <v>0.14599502296146238</v>
      </c>
      <c r="Z18" s="104">
        <f>'BPS-Statistics summary'!AC28</f>
        <v>0.14600059798802539</v>
      </c>
      <c r="AA18" s="104">
        <f>'BPS-Statistics summary'!AD28</f>
        <v>0.1460014177509969</v>
      </c>
      <c r="AB18" s="104">
        <f>'BPS-Statistics summary'!AE28</f>
        <v>0.14599988195237401</v>
      </c>
      <c r="AC18" s="104">
        <f>'BPS-Statistics summary'!AF28</f>
        <v>0.14599923016321467</v>
      </c>
      <c r="AD18" s="104">
        <f>'BPS-Statistics summary'!AG28</f>
        <v>0.14600028196365275</v>
      </c>
      <c r="AE18" s="104">
        <f>'BPS-Statistics summary'!AH28</f>
        <v>0.14600020295755958</v>
      </c>
      <c r="AF18" s="104">
        <f>'BPS-Statistics summary'!AI28</f>
        <v>0.14599989925920026</v>
      </c>
      <c r="AG18" s="104">
        <f>'BPS-Statistics summary'!AJ28</f>
        <v>0.14599990358590681</v>
      </c>
      <c r="AH18" s="104">
        <f>'BPS-Statistics summary'!AK28</f>
        <v>0.14600007194157985</v>
      </c>
      <c r="AI18" s="104">
        <f>'BPS-Statistics summary'!AL28</f>
        <v>0.14600001943606164</v>
      </c>
      <c r="AJ18" s="104">
        <f>'BPS-Statistics summary'!AM28</f>
        <v>0.14599997355568714</v>
      </c>
      <c r="AK18" s="104">
        <f>'BPS-Statistics summary'!AN28</f>
        <v>0.14599999212980888</v>
      </c>
      <c r="AL18" s="104">
        <f>'BPS-Statistics summary'!AO28</f>
        <v>0.14600001426578438</v>
      </c>
      <c r="AM18" s="104">
        <f>'BPS-Statistics summary'!AP28</f>
        <v>0.14599999984683551</v>
      </c>
      <c r="AN18" s="104">
        <f>'BPS-Statistics summary'!AQ28</f>
        <v>0.14599999494952898</v>
      </c>
      <c r="AO18" s="104">
        <f>'BPS-Statistics summary'!AR28</f>
        <v>0.14600000029798943</v>
      </c>
      <c r="AP18" s="104">
        <f>'BPS-Statistics summary'!AS28</f>
        <v>0.14600000234003457</v>
      </c>
      <c r="AQ18" s="104">
        <f>'BPS-Statistics summary'!AT28</f>
        <v>0.14599999935859714</v>
      </c>
      <c r="AR18" s="104">
        <f>'BPS-Statistics summary'!AU28</f>
        <v>0.14599999923653753</v>
      </c>
      <c r="AS18" s="104">
        <f>'BPS-Statistics summary'!AV28</f>
        <v>0.14600000030828966</v>
      </c>
      <c r="AT18" s="104">
        <f>'BPS-Statistics summary'!AW28</f>
        <v>0.14600000031086471</v>
      </c>
      <c r="AU18" s="104">
        <f>'BPS-Statistics summary'!AX28</f>
        <v>0.14599999980357226</v>
      </c>
      <c r="AV18" s="104">
        <f>'BPS-Statistics summary'!AY28</f>
        <v>0.14599999991481605</v>
      </c>
      <c r="AW18" s="104">
        <f>'BPS-Statistics summary'!AZ28</f>
        <v>0.14600000008438568</v>
      </c>
      <c r="AX18" s="104">
        <f>'BPS-Statistics summary'!BA28</f>
        <v>0.14600000002840968</v>
      </c>
      <c r="AY18" s="104">
        <f>'BPS-Statistics summary'!BB28</f>
        <v>0.14599999995779592</v>
      </c>
      <c r="AZ18" s="104">
        <f>'BPS-Statistics summary'!BC28</f>
        <v>0.14599999999635183</v>
      </c>
      <c r="BA18" s="104">
        <f>'BPS-Statistics summary'!BD28</f>
        <v>0.14600000001673577</v>
      </c>
    </row>
    <row r="19" spans="1:53" x14ac:dyDescent="0.25">
      <c r="A19" s="2" t="s">
        <v>60</v>
      </c>
      <c r="B19" s="104">
        <f>'BPS-Statistics summary'!E29</f>
        <v>-5.1000000000000004E-3</v>
      </c>
      <c r="C19" s="104">
        <f>'BPS-Statistics summary'!F29</f>
        <v>-5.4600000000000003E-2</v>
      </c>
      <c r="D19" s="104">
        <f>'BPS-Statistics summary'!G29</f>
        <v>-1.6200000000000003E-2</v>
      </c>
      <c r="E19" s="104">
        <f>'BPS-Statistics summary'!H29</f>
        <v>6.7099999999999993E-2</v>
      </c>
      <c r="F19" s="104">
        <f>'BPS-Statistics summary'!I29</f>
        <v>0.13669999999999999</v>
      </c>
      <c r="G19" s="104">
        <f>'BPS-Statistics summary'!J29</f>
        <v>6.1600000000000002E-2</v>
      </c>
      <c r="H19" s="104">
        <f>'BPS-Statistics summary'!K29</f>
        <v>4.58E-2</v>
      </c>
      <c r="I19" s="104">
        <f>'BPS-Statistics summary'!L29</f>
        <v>7.7799999999999994E-2</v>
      </c>
      <c r="J19" s="104">
        <f>'BPS-Statistics summary'!M29</f>
        <v>8.0474999999999991E-2</v>
      </c>
      <c r="K19" s="104">
        <f>'BPS-Statistics summary'!N29</f>
        <v>6.6418749999999999E-2</v>
      </c>
      <c r="L19" s="104">
        <f>'BPS-Statistics summary'!O29</f>
        <v>6.7623437499999994E-2</v>
      </c>
      <c r="M19" s="104">
        <f>'BPS-Statistics summary'!P29</f>
        <v>7.3079296875000005E-2</v>
      </c>
      <c r="N19" s="104">
        <f>'BPS-Statistics summary'!Q29</f>
        <v>7.189912109374999E-2</v>
      </c>
      <c r="O19" s="104">
        <f>'BPS-Statistics summary'!R29</f>
        <v>6.975515136718749E-2</v>
      </c>
      <c r="P19" s="104">
        <f>'BPS-Statistics summary'!S29</f>
        <v>7.0589251708984363E-2</v>
      </c>
      <c r="Q19" s="104">
        <f>'BPS-Statistics summary'!T29</f>
        <v>7.1330705261230462E-2</v>
      </c>
      <c r="R19" s="104">
        <f>'BPS-Statistics summary'!U29</f>
        <v>7.0893557357788073E-2</v>
      </c>
      <c r="S19" s="104">
        <f>'BPS-Statistics summary'!V29</f>
        <v>7.06421664237976E-2</v>
      </c>
      <c r="T19" s="104">
        <f>'BPS-Statistics summary'!W29</f>
        <v>7.0863920187950125E-2</v>
      </c>
      <c r="U19" s="104">
        <f>'BPS-Statistics summary'!X29</f>
        <v>7.0932587307691572E-2</v>
      </c>
      <c r="V19" s="104">
        <f>'BPS-Statistics summary'!Y29</f>
        <v>7.0833057819306849E-2</v>
      </c>
      <c r="W19" s="104">
        <f>'BPS-Statistics summary'!Z29</f>
        <v>7.081793293468655E-2</v>
      </c>
      <c r="X19" s="104">
        <f>'BPS-Statistics summary'!AA29</f>
        <v>7.0861874562408778E-2</v>
      </c>
      <c r="Y19" s="104">
        <f>'BPS-Statistics summary'!AB29</f>
        <v>7.0861363156023427E-2</v>
      </c>
      <c r="Z19" s="104">
        <f>'BPS-Statistics summary'!AC29</f>
        <v>7.0843557118106401E-2</v>
      </c>
      <c r="AA19" s="104">
        <f>'BPS-Statistics summary'!AD29</f>
        <v>7.0846181942806286E-2</v>
      </c>
      <c r="AB19" s="104">
        <f>'BPS-Statistics summary'!AE29</f>
        <v>7.0853244194836226E-2</v>
      </c>
      <c r="AC19" s="104">
        <f>'BPS-Statistics summary'!AF29</f>
        <v>7.0851086602943092E-2</v>
      </c>
      <c r="AD19" s="104">
        <f>'BPS-Statistics summary'!AG29</f>
        <v>7.0848517464673008E-2</v>
      </c>
      <c r="AE19" s="104">
        <f>'BPS-Statistics summary'!AH29</f>
        <v>7.084975755131466E-2</v>
      </c>
      <c r="AF19" s="104">
        <f>'BPS-Statistics summary'!AI29</f>
        <v>7.0850651453441757E-2</v>
      </c>
      <c r="AG19" s="104">
        <f>'BPS-Statistics summary'!AJ29</f>
        <v>7.085000326809314E-2</v>
      </c>
      <c r="AH19" s="104">
        <f>'BPS-Statistics summary'!AK29</f>
        <v>7.0849732434380641E-2</v>
      </c>
      <c r="AI19" s="104">
        <f>'BPS-Statistics summary'!AL29</f>
        <v>7.0850036176807546E-2</v>
      </c>
      <c r="AJ19" s="104">
        <f>'BPS-Statistics summary'!AM29</f>
        <v>7.0850105833180771E-2</v>
      </c>
      <c r="AK19" s="104">
        <f>'BPS-Statistics summary'!AN29</f>
        <v>7.0849969428115528E-2</v>
      </c>
      <c r="AL19" s="104">
        <f>'BPS-Statistics summary'!AO29</f>
        <v>7.0849960968121128E-2</v>
      </c>
      <c r="AM19" s="104">
        <f>'BPS-Statistics summary'!AP29</f>
        <v>7.085001810155625E-2</v>
      </c>
      <c r="AN19" s="104">
        <f>'BPS-Statistics summary'!AQ29</f>
        <v>7.0850013582743426E-2</v>
      </c>
      <c r="AO19" s="104">
        <f>'BPS-Statistics summary'!AR29</f>
        <v>7.0849990520134076E-2</v>
      </c>
      <c r="AP19" s="104">
        <f>'BPS-Statistics summary'!AS29</f>
        <v>7.084999579313872E-2</v>
      </c>
      <c r="AQ19" s="104">
        <f>'BPS-Statistics summary'!AT29</f>
        <v>7.0850004499393118E-2</v>
      </c>
      <c r="AR19" s="104">
        <f>'BPS-Statistics summary'!AU29</f>
        <v>7.0850001098852339E-2</v>
      </c>
      <c r="AS19" s="104">
        <f>'BPS-Statistics summary'!AV29</f>
        <v>7.0849997977879553E-2</v>
      </c>
      <c r="AT19" s="104">
        <f>'BPS-Statistics summary'!AW29</f>
        <v>7.0849999842315936E-2</v>
      </c>
      <c r="AU19" s="104">
        <f>'BPS-Statistics summary'!AX29</f>
        <v>7.085000085461024E-2</v>
      </c>
      <c r="AV19" s="104">
        <f>'BPS-Statistics summary'!AY29</f>
        <v>7.084999994341451E-2</v>
      </c>
      <c r="AW19" s="104">
        <f>'BPS-Statistics summary'!AZ29</f>
        <v>7.084999965455506E-2</v>
      </c>
      <c r="AX19" s="104">
        <f>'BPS-Statistics summary'!BA29</f>
        <v>7.085000007372394E-2</v>
      </c>
      <c r="AY19" s="104">
        <f>'BPS-Statistics summary'!BB29</f>
        <v>7.0850000131575941E-2</v>
      </c>
      <c r="AZ19" s="104">
        <f>'BPS-Statistics summary'!BC29</f>
        <v>7.0849999950817366E-2</v>
      </c>
      <c r="BA19" s="104">
        <f>'BPS-Statistics summary'!BD29</f>
        <v>7.084999995266808E-2</v>
      </c>
    </row>
    <row r="20" spans="1:53" x14ac:dyDescent="0.25">
      <c r="A20" s="2" t="s">
        <v>62</v>
      </c>
      <c r="B20" s="104">
        <f>'BPS-Statistics summary'!E29</f>
        <v>-5.1000000000000004E-3</v>
      </c>
      <c r="C20" s="104">
        <f>'BPS-Statistics summary'!F29</f>
        <v>-5.4600000000000003E-2</v>
      </c>
      <c r="D20" s="104">
        <f>'BPS-Statistics summary'!G29</f>
        <v>-1.6200000000000003E-2</v>
      </c>
      <c r="E20" s="104">
        <f>'BPS-Statistics summary'!H29</f>
        <v>6.7099999999999993E-2</v>
      </c>
      <c r="F20" s="104">
        <f>'BPS-Statistics summary'!I29</f>
        <v>0.13669999999999999</v>
      </c>
      <c r="G20" s="104">
        <f>'BPS-Statistics summary'!J29</f>
        <v>6.1600000000000002E-2</v>
      </c>
      <c r="H20" s="104">
        <f>'BPS-Statistics summary'!K29</f>
        <v>4.58E-2</v>
      </c>
      <c r="I20" s="104">
        <f>'BPS-Statistics summary'!L29</f>
        <v>7.7799999999999994E-2</v>
      </c>
      <c r="J20" s="104">
        <f>'BPS-Statistics summary'!M29</f>
        <v>8.0474999999999991E-2</v>
      </c>
      <c r="K20" s="104">
        <f>'BPS-Statistics summary'!N29</f>
        <v>6.6418749999999999E-2</v>
      </c>
      <c r="L20" s="104">
        <f>'BPS-Statistics summary'!O29</f>
        <v>6.7623437499999994E-2</v>
      </c>
      <c r="M20" s="104">
        <f>'BPS-Statistics summary'!P29</f>
        <v>7.3079296875000005E-2</v>
      </c>
      <c r="N20" s="104">
        <f>'BPS-Statistics summary'!Q29</f>
        <v>7.189912109374999E-2</v>
      </c>
      <c r="O20" s="104">
        <f>'BPS-Statistics summary'!R29</f>
        <v>6.975515136718749E-2</v>
      </c>
      <c r="P20" s="104">
        <f>'BPS-Statistics summary'!S29</f>
        <v>7.0589251708984363E-2</v>
      </c>
      <c r="Q20" s="104">
        <f>'BPS-Statistics summary'!T29</f>
        <v>7.1330705261230462E-2</v>
      </c>
      <c r="R20" s="104">
        <f>'BPS-Statistics summary'!U29</f>
        <v>7.0893557357788073E-2</v>
      </c>
      <c r="S20" s="104">
        <f>'BPS-Statistics summary'!V29</f>
        <v>7.06421664237976E-2</v>
      </c>
      <c r="T20" s="104">
        <f>'BPS-Statistics summary'!W29</f>
        <v>7.0863920187950125E-2</v>
      </c>
      <c r="U20" s="104">
        <f>'BPS-Statistics summary'!X29</f>
        <v>7.0932587307691572E-2</v>
      </c>
      <c r="V20" s="104">
        <f>'BPS-Statistics summary'!Y29</f>
        <v>7.0833057819306849E-2</v>
      </c>
      <c r="W20" s="104">
        <f>'BPS-Statistics summary'!Z29</f>
        <v>7.081793293468655E-2</v>
      </c>
      <c r="X20" s="104">
        <f>'BPS-Statistics summary'!AA29</f>
        <v>7.0861874562408778E-2</v>
      </c>
      <c r="Y20" s="104">
        <f>'BPS-Statistics summary'!AB29</f>
        <v>7.0861363156023427E-2</v>
      </c>
      <c r="Z20" s="104">
        <f>'BPS-Statistics summary'!AC29</f>
        <v>7.0843557118106401E-2</v>
      </c>
      <c r="AA20" s="104">
        <f>'BPS-Statistics summary'!AD29</f>
        <v>7.0846181942806286E-2</v>
      </c>
      <c r="AB20" s="104">
        <f>'BPS-Statistics summary'!AE29</f>
        <v>7.0853244194836226E-2</v>
      </c>
      <c r="AC20" s="104">
        <f>'BPS-Statistics summary'!AF29</f>
        <v>7.0851086602943092E-2</v>
      </c>
      <c r="AD20" s="104">
        <f>'BPS-Statistics summary'!AG29</f>
        <v>7.0848517464673008E-2</v>
      </c>
      <c r="AE20" s="104">
        <f>'BPS-Statistics summary'!AH29</f>
        <v>7.084975755131466E-2</v>
      </c>
      <c r="AF20" s="104">
        <f>'BPS-Statistics summary'!AI29</f>
        <v>7.0850651453441757E-2</v>
      </c>
      <c r="AG20" s="104">
        <f>'BPS-Statistics summary'!AJ29</f>
        <v>7.085000326809314E-2</v>
      </c>
      <c r="AH20" s="104">
        <f>'BPS-Statistics summary'!AK29</f>
        <v>7.0849732434380641E-2</v>
      </c>
      <c r="AI20" s="104">
        <f>'BPS-Statistics summary'!AL29</f>
        <v>7.0850036176807546E-2</v>
      </c>
      <c r="AJ20" s="104">
        <f>'BPS-Statistics summary'!AM29</f>
        <v>7.0850105833180771E-2</v>
      </c>
      <c r="AK20" s="104">
        <f>'BPS-Statistics summary'!AN29</f>
        <v>7.0849969428115528E-2</v>
      </c>
      <c r="AL20" s="104">
        <f>'BPS-Statistics summary'!AO29</f>
        <v>7.0849960968121128E-2</v>
      </c>
      <c r="AM20" s="104">
        <f>'BPS-Statistics summary'!AP29</f>
        <v>7.085001810155625E-2</v>
      </c>
      <c r="AN20" s="104">
        <f>'BPS-Statistics summary'!AQ29</f>
        <v>7.0850013582743426E-2</v>
      </c>
      <c r="AO20" s="104">
        <f>'BPS-Statistics summary'!AR29</f>
        <v>7.0849990520134076E-2</v>
      </c>
      <c r="AP20" s="104">
        <f>'BPS-Statistics summary'!AS29</f>
        <v>7.084999579313872E-2</v>
      </c>
      <c r="AQ20" s="104">
        <f>'BPS-Statistics summary'!AT29</f>
        <v>7.0850004499393118E-2</v>
      </c>
      <c r="AR20" s="104">
        <f>'BPS-Statistics summary'!AU29</f>
        <v>7.0850001098852339E-2</v>
      </c>
      <c r="AS20" s="104">
        <f>'BPS-Statistics summary'!AV29</f>
        <v>7.0849997977879553E-2</v>
      </c>
      <c r="AT20" s="104">
        <f>'BPS-Statistics summary'!AW29</f>
        <v>7.0849999842315936E-2</v>
      </c>
      <c r="AU20" s="104">
        <f>'BPS-Statistics summary'!AX29</f>
        <v>7.085000085461024E-2</v>
      </c>
      <c r="AV20" s="104">
        <f>'BPS-Statistics summary'!AY29</f>
        <v>7.084999994341451E-2</v>
      </c>
      <c r="AW20" s="104">
        <f>'BPS-Statistics summary'!AZ29</f>
        <v>7.084999965455506E-2</v>
      </c>
      <c r="AX20" s="104">
        <f>'BPS-Statistics summary'!BA29</f>
        <v>7.085000007372394E-2</v>
      </c>
      <c r="AY20" s="104">
        <f>'BPS-Statistics summary'!BB29</f>
        <v>7.0850000131575941E-2</v>
      </c>
      <c r="AZ20" s="104">
        <f>'BPS-Statistics summary'!BC29</f>
        <v>7.0849999950817366E-2</v>
      </c>
      <c r="BA20" s="104">
        <f>'BPS-Statistics summary'!BD29</f>
        <v>7.084999995266808E-2</v>
      </c>
    </row>
    <row r="21" spans="1:53" ht="15.75" customHeight="1" x14ac:dyDescent="0.25">
      <c r="A21" s="2" t="s">
        <v>64</v>
      </c>
      <c r="B21" s="104">
        <f>'BPS-Statistics summary'!E30</f>
        <v>-4.1299999999999996E-2</v>
      </c>
      <c r="C21" s="104">
        <f>'BPS-Statistics summary'!F30</f>
        <v>-0.1017</v>
      </c>
      <c r="D21" s="104">
        <f>'BPS-Statistics summary'!G30</f>
        <v>0.1143</v>
      </c>
      <c r="E21" s="104">
        <f>'BPS-Statistics summary'!H30</f>
        <v>0.1137</v>
      </c>
      <c r="F21" s="104">
        <f>'BPS-Statistics summary'!I30</f>
        <v>-2.9999999999999997E-4</v>
      </c>
      <c r="G21" s="104">
        <f>'BPS-Statistics summary'!J30</f>
        <v>-4.1999999999999997E-3</v>
      </c>
      <c r="H21" s="104">
        <f>'BPS-Statistics summary'!K30</f>
        <v>0.13980000000000001</v>
      </c>
      <c r="I21" s="104">
        <f>'BPS-Statistics summary'!L30</f>
        <v>6.225E-2</v>
      </c>
      <c r="J21" s="104">
        <f>'BPS-Statistics summary'!M30</f>
        <v>4.9387500000000001E-2</v>
      </c>
      <c r="K21" s="104">
        <f>'BPS-Statistics summary'!N30</f>
        <v>6.1809375E-2</v>
      </c>
      <c r="L21" s="104">
        <f>'BPS-Statistics summary'!O30</f>
        <v>7.8311718749999995E-2</v>
      </c>
      <c r="M21" s="104">
        <f>'BPS-Statistics summary'!P30</f>
        <v>6.2939648437499995E-2</v>
      </c>
      <c r="N21" s="104">
        <f>'BPS-Statistics summary'!Q30</f>
        <v>6.3112060546875001E-2</v>
      </c>
      <c r="O21" s="104">
        <f>'BPS-Statistics summary'!R30</f>
        <v>6.6543200683593748E-2</v>
      </c>
      <c r="P21" s="104">
        <f>'BPS-Statistics summary'!S30</f>
        <v>6.7726657104492188E-2</v>
      </c>
      <c r="Q21" s="104">
        <f>'BPS-Statistics summary'!T30</f>
        <v>6.5080391693115247E-2</v>
      </c>
      <c r="R21" s="104">
        <f>'BPS-Statistics summary'!U30</f>
        <v>6.5615577507019046E-2</v>
      </c>
      <c r="S21" s="104">
        <f>'BPS-Statistics summary'!V30</f>
        <v>6.6241456747055061E-2</v>
      </c>
      <c r="T21" s="104">
        <f>'BPS-Statistics summary'!W30</f>
        <v>6.6166020762920386E-2</v>
      </c>
      <c r="U21" s="104">
        <f>'BPS-Statistics summary'!X30</f>
        <v>6.5775861677527442E-2</v>
      </c>
      <c r="V21" s="104">
        <f>'BPS-Statistics summary'!Y30</f>
        <v>6.5949729173630484E-2</v>
      </c>
      <c r="W21" s="104">
        <f>'BPS-Statistics summary'!Z30</f>
        <v>6.6033267090283343E-2</v>
      </c>
      <c r="X21" s="104">
        <f>'BPS-Statistics summary'!AA30</f>
        <v>6.5981219676090413E-2</v>
      </c>
      <c r="Y21" s="104">
        <f>'BPS-Statistics summary'!AB30</f>
        <v>6.5935019404382927E-2</v>
      </c>
      <c r="Z21" s="104">
        <f>'BPS-Statistics summary'!AC30</f>
        <v>6.5974808836096799E-2</v>
      </c>
      <c r="AA21" s="104">
        <f>'BPS-Statistics summary'!AD30</f>
        <v>6.5981078751713371E-2</v>
      </c>
      <c r="AB21" s="104">
        <f>'BPS-Statistics summary'!AE30</f>
        <v>6.5968031667070881E-2</v>
      </c>
      <c r="AC21" s="104">
        <f>'BPS-Statistics summary'!AF30</f>
        <v>6.5964734664815991E-2</v>
      </c>
      <c r="AD21" s="104">
        <f>'BPS-Statistics summary'!AG30</f>
        <v>6.5972163479924267E-2</v>
      </c>
      <c r="AE21" s="104">
        <f>'BPS-Statistics summary'!AH30</f>
        <v>6.5971502140881128E-2</v>
      </c>
      <c r="AF21" s="104">
        <f>'BPS-Statistics summary'!AI30</f>
        <v>6.596910798817307E-2</v>
      </c>
      <c r="AG21" s="104">
        <f>'BPS-Statistics summary'!AJ30</f>
        <v>6.5969377068448604E-2</v>
      </c>
      <c r="AH21" s="104">
        <f>'BPS-Statistics summary'!AK30</f>
        <v>6.597053766935676E-2</v>
      </c>
      <c r="AI21" s="104">
        <f>'BPS-Statistics summary'!AL30</f>
        <v>6.5970131216714883E-2</v>
      </c>
      <c r="AJ21" s="104">
        <f>'BPS-Statistics summary'!AM30</f>
        <v>6.5969788485673336E-2</v>
      </c>
      <c r="AK21" s="104">
        <f>'BPS-Statistics summary'!AN30</f>
        <v>6.5969958610048396E-2</v>
      </c>
      <c r="AL21" s="104">
        <f>'BPS-Statistics summary'!AO30</f>
        <v>6.5970103995448337E-2</v>
      </c>
      <c r="AM21" s="104">
        <f>'BPS-Statistics summary'!AP30</f>
        <v>6.5969995576971238E-2</v>
      </c>
      <c r="AN21" s="104">
        <f>'BPS-Statistics summary'!AQ30</f>
        <v>6.5969961667035323E-2</v>
      </c>
      <c r="AO21" s="104">
        <f>'BPS-Statistics summary'!AR30</f>
        <v>6.5970004962375831E-2</v>
      </c>
      <c r="AP21" s="104">
        <f>'BPS-Statistics summary'!AS30</f>
        <v>6.5970016550457686E-2</v>
      </c>
      <c r="AQ21" s="104">
        <f>'BPS-Statistics summary'!AT30</f>
        <v>6.5969994689210026E-2</v>
      </c>
      <c r="AR21" s="104">
        <f>'BPS-Statistics summary'!AU30</f>
        <v>6.5969994467269727E-2</v>
      </c>
      <c r="AS21" s="104">
        <f>'BPS-Statistics summary'!AV30</f>
        <v>6.5970002667328317E-2</v>
      </c>
      <c r="AT21" s="104">
        <f>'BPS-Statistics summary'!AW30</f>
        <v>6.5970002093566432E-2</v>
      </c>
      <c r="AU21" s="104">
        <f>'BPS-Statistics summary'!AX30</f>
        <v>6.5969998479343622E-2</v>
      </c>
      <c r="AV21" s="104">
        <f>'BPS-Statistics summary'!AY30</f>
        <v>6.5969999426877021E-2</v>
      </c>
      <c r="AW21" s="104">
        <f>'BPS-Statistics summary'!AZ30</f>
        <v>6.5970000666778841E-2</v>
      </c>
      <c r="AX21" s="104">
        <f>'BPS-Statistics summary'!BA30</f>
        <v>6.5970000166641479E-2</v>
      </c>
      <c r="AY21" s="104">
        <f>'BPS-Statistics summary'!BB30</f>
        <v>6.5969999684910241E-2</v>
      </c>
      <c r="AZ21" s="104">
        <f>'BPS-Statistics summary'!BC30</f>
        <v>6.5969999986301903E-2</v>
      </c>
      <c r="BA21" s="104">
        <f>'BPS-Statistics summary'!BD30</f>
        <v>6.5970000126158113E-2</v>
      </c>
    </row>
    <row r="22" spans="1:53" ht="15.75" customHeight="1" x14ac:dyDescent="0.25">
      <c r="A22" s="2" t="s">
        <v>66</v>
      </c>
      <c r="B22" s="104">
        <f>'BPS-Statistics summary'!E29</f>
        <v>-5.1000000000000004E-3</v>
      </c>
      <c r="C22" s="104">
        <f>'BPS-Statistics summary'!F29</f>
        <v>-5.4600000000000003E-2</v>
      </c>
      <c r="D22" s="104">
        <f>'BPS-Statistics summary'!G29</f>
        <v>-1.6200000000000003E-2</v>
      </c>
      <c r="E22" s="104">
        <f>'BPS-Statistics summary'!H29</f>
        <v>6.7099999999999993E-2</v>
      </c>
      <c r="F22" s="104">
        <f>'BPS-Statistics summary'!I29</f>
        <v>0.13669999999999999</v>
      </c>
      <c r="G22" s="104">
        <f>'BPS-Statistics summary'!J29</f>
        <v>6.1600000000000002E-2</v>
      </c>
      <c r="H22" s="104">
        <f>'BPS-Statistics summary'!K29</f>
        <v>4.58E-2</v>
      </c>
      <c r="I22" s="104">
        <f>'BPS-Statistics summary'!L29</f>
        <v>7.7799999999999994E-2</v>
      </c>
      <c r="J22" s="104">
        <f>'BPS-Statistics summary'!M29</f>
        <v>8.0474999999999991E-2</v>
      </c>
      <c r="K22" s="104">
        <f>'BPS-Statistics summary'!N29</f>
        <v>6.6418749999999999E-2</v>
      </c>
      <c r="L22" s="104">
        <f>'BPS-Statistics summary'!O29</f>
        <v>6.7623437499999994E-2</v>
      </c>
      <c r="M22" s="104">
        <f>'BPS-Statistics summary'!P29</f>
        <v>7.3079296875000005E-2</v>
      </c>
      <c r="N22" s="104">
        <f>'BPS-Statistics summary'!Q29</f>
        <v>7.189912109374999E-2</v>
      </c>
      <c r="O22" s="104">
        <f>'BPS-Statistics summary'!R29</f>
        <v>6.975515136718749E-2</v>
      </c>
      <c r="P22" s="104">
        <f>'BPS-Statistics summary'!S29</f>
        <v>7.0589251708984363E-2</v>
      </c>
      <c r="Q22" s="104">
        <f>'BPS-Statistics summary'!T29</f>
        <v>7.1330705261230462E-2</v>
      </c>
      <c r="R22" s="104">
        <f>'BPS-Statistics summary'!U29</f>
        <v>7.0893557357788073E-2</v>
      </c>
      <c r="S22" s="104">
        <f>'BPS-Statistics summary'!V29</f>
        <v>7.06421664237976E-2</v>
      </c>
      <c r="T22" s="104">
        <f>'BPS-Statistics summary'!W29</f>
        <v>7.0863920187950125E-2</v>
      </c>
      <c r="U22" s="104">
        <f>'BPS-Statistics summary'!X29</f>
        <v>7.0932587307691572E-2</v>
      </c>
      <c r="V22" s="104">
        <f>'BPS-Statistics summary'!Y29</f>
        <v>7.0833057819306849E-2</v>
      </c>
      <c r="W22" s="104">
        <f>'BPS-Statistics summary'!Z29</f>
        <v>7.081793293468655E-2</v>
      </c>
      <c r="X22" s="104">
        <f>'BPS-Statistics summary'!AA29</f>
        <v>7.0861874562408778E-2</v>
      </c>
      <c r="Y22" s="104">
        <f>'BPS-Statistics summary'!AB29</f>
        <v>7.0861363156023427E-2</v>
      </c>
      <c r="Z22" s="104">
        <f>'BPS-Statistics summary'!AC29</f>
        <v>7.0843557118106401E-2</v>
      </c>
      <c r="AA22" s="104">
        <f>'BPS-Statistics summary'!AD29</f>
        <v>7.0846181942806286E-2</v>
      </c>
      <c r="AB22" s="104">
        <f>'BPS-Statistics summary'!AE29</f>
        <v>7.0853244194836226E-2</v>
      </c>
      <c r="AC22" s="104">
        <f>'BPS-Statistics summary'!AF29</f>
        <v>7.0851086602943092E-2</v>
      </c>
      <c r="AD22" s="104">
        <f>'BPS-Statistics summary'!AG29</f>
        <v>7.0848517464673008E-2</v>
      </c>
      <c r="AE22" s="104">
        <f>'BPS-Statistics summary'!AH29</f>
        <v>7.084975755131466E-2</v>
      </c>
      <c r="AF22" s="104">
        <f>'BPS-Statistics summary'!AI29</f>
        <v>7.0850651453441757E-2</v>
      </c>
      <c r="AG22" s="104">
        <f>'BPS-Statistics summary'!AJ29</f>
        <v>7.085000326809314E-2</v>
      </c>
      <c r="AH22" s="104">
        <f>'BPS-Statistics summary'!AK29</f>
        <v>7.0849732434380641E-2</v>
      </c>
      <c r="AI22" s="104">
        <f>'BPS-Statistics summary'!AL29</f>
        <v>7.0850036176807546E-2</v>
      </c>
      <c r="AJ22" s="104">
        <f>'BPS-Statistics summary'!AM29</f>
        <v>7.0850105833180771E-2</v>
      </c>
      <c r="AK22" s="104">
        <f>'BPS-Statistics summary'!AN29</f>
        <v>7.0849969428115528E-2</v>
      </c>
      <c r="AL22" s="104">
        <f>'BPS-Statistics summary'!AO29</f>
        <v>7.0849960968121128E-2</v>
      </c>
      <c r="AM22" s="104">
        <f>'BPS-Statistics summary'!AP29</f>
        <v>7.085001810155625E-2</v>
      </c>
      <c r="AN22" s="104">
        <f>'BPS-Statistics summary'!AQ29</f>
        <v>7.0850013582743426E-2</v>
      </c>
      <c r="AO22" s="104">
        <f>'BPS-Statistics summary'!AR29</f>
        <v>7.0849990520134076E-2</v>
      </c>
      <c r="AP22" s="104">
        <f>'BPS-Statistics summary'!AS29</f>
        <v>7.084999579313872E-2</v>
      </c>
      <c r="AQ22" s="104">
        <f>'BPS-Statistics summary'!AT29</f>
        <v>7.0850004499393118E-2</v>
      </c>
      <c r="AR22" s="104">
        <f>'BPS-Statistics summary'!AU29</f>
        <v>7.0850001098852339E-2</v>
      </c>
      <c r="AS22" s="104">
        <f>'BPS-Statistics summary'!AV29</f>
        <v>7.0849997977879553E-2</v>
      </c>
      <c r="AT22" s="104">
        <f>'BPS-Statistics summary'!AW29</f>
        <v>7.0849999842315936E-2</v>
      </c>
      <c r="AU22" s="104">
        <f>'BPS-Statistics summary'!AX29</f>
        <v>7.085000085461024E-2</v>
      </c>
      <c r="AV22" s="104">
        <f>'BPS-Statistics summary'!AY29</f>
        <v>7.084999994341451E-2</v>
      </c>
      <c r="AW22" s="104">
        <f>'BPS-Statistics summary'!AZ29</f>
        <v>7.084999965455506E-2</v>
      </c>
      <c r="AX22" s="104">
        <f>'BPS-Statistics summary'!BA29</f>
        <v>7.085000007372394E-2</v>
      </c>
      <c r="AY22" s="104">
        <f>'BPS-Statistics summary'!BB29</f>
        <v>7.0850000131575941E-2</v>
      </c>
      <c r="AZ22" s="104">
        <f>'BPS-Statistics summary'!BC29</f>
        <v>7.0849999950817366E-2</v>
      </c>
      <c r="BA22" s="104">
        <f>'BPS-Statistics summary'!BD29</f>
        <v>7.084999995266808E-2</v>
      </c>
    </row>
    <row r="23" spans="1:53" ht="15.75" customHeight="1" x14ac:dyDescent="0.25">
      <c r="A23" s="2" t="s">
        <v>68</v>
      </c>
      <c r="B23" s="104">
        <f>'BPS-Statistics summary'!E30</f>
        <v>-4.1299999999999996E-2</v>
      </c>
      <c r="C23" s="104">
        <f>'BPS-Statistics summary'!F30</f>
        <v>-0.1017</v>
      </c>
      <c r="D23" s="104">
        <f>'BPS-Statistics summary'!G30</f>
        <v>0.1143</v>
      </c>
      <c r="E23" s="104">
        <f>'BPS-Statistics summary'!H30</f>
        <v>0.1137</v>
      </c>
      <c r="F23" s="104">
        <f>'BPS-Statistics summary'!I30</f>
        <v>-2.9999999999999997E-4</v>
      </c>
      <c r="G23" s="104">
        <f>'BPS-Statistics summary'!J30</f>
        <v>-4.1999999999999997E-3</v>
      </c>
      <c r="H23" s="104">
        <f>'BPS-Statistics summary'!K30</f>
        <v>0.13980000000000001</v>
      </c>
      <c r="I23" s="104">
        <f>'BPS-Statistics summary'!L30</f>
        <v>6.225E-2</v>
      </c>
      <c r="J23" s="104">
        <f>'BPS-Statistics summary'!M30</f>
        <v>4.9387500000000001E-2</v>
      </c>
      <c r="K23" s="104">
        <f>'BPS-Statistics summary'!N30</f>
        <v>6.1809375E-2</v>
      </c>
      <c r="L23" s="104">
        <f>'BPS-Statistics summary'!O30</f>
        <v>7.8311718749999995E-2</v>
      </c>
      <c r="M23" s="104">
        <f>'BPS-Statistics summary'!P30</f>
        <v>6.2939648437499995E-2</v>
      </c>
      <c r="N23" s="104">
        <f>'BPS-Statistics summary'!Q30</f>
        <v>6.3112060546875001E-2</v>
      </c>
      <c r="O23" s="104">
        <f>'BPS-Statistics summary'!R30</f>
        <v>6.6543200683593748E-2</v>
      </c>
      <c r="P23" s="104">
        <f>'BPS-Statistics summary'!S30</f>
        <v>6.7726657104492188E-2</v>
      </c>
      <c r="Q23" s="104">
        <f>'BPS-Statistics summary'!T30</f>
        <v>6.5080391693115247E-2</v>
      </c>
      <c r="R23" s="104">
        <f>'BPS-Statistics summary'!U30</f>
        <v>6.5615577507019046E-2</v>
      </c>
      <c r="S23" s="104">
        <f>'BPS-Statistics summary'!V30</f>
        <v>6.6241456747055061E-2</v>
      </c>
      <c r="T23" s="104">
        <f>'BPS-Statistics summary'!W30</f>
        <v>6.6166020762920386E-2</v>
      </c>
      <c r="U23" s="104">
        <f>'BPS-Statistics summary'!X30</f>
        <v>6.5775861677527442E-2</v>
      </c>
      <c r="V23" s="104">
        <f>'BPS-Statistics summary'!Y30</f>
        <v>6.5949729173630484E-2</v>
      </c>
      <c r="W23" s="104">
        <f>'BPS-Statistics summary'!Z30</f>
        <v>6.6033267090283343E-2</v>
      </c>
      <c r="X23" s="104">
        <f>'BPS-Statistics summary'!AA30</f>
        <v>6.5981219676090413E-2</v>
      </c>
      <c r="Y23" s="104">
        <f>'BPS-Statistics summary'!AB30</f>
        <v>6.5935019404382927E-2</v>
      </c>
      <c r="Z23" s="104">
        <f>'BPS-Statistics summary'!AC30</f>
        <v>6.5974808836096799E-2</v>
      </c>
      <c r="AA23" s="104">
        <f>'BPS-Statistics summary'!AD30</f>
        <v>6.5981078751713371E-2</v>
      </c>
      <c r="AB23" s="104">
        <f>'BPS-Statistics summary'!AE30</f>
        <v>6.5968031667070881E-2</v>
      </c>
      <c r="AC23" s="104">
        <f>'BPS-Statistics summary'!AF30</f>
        <v>6.5964734664815991E-2</v>
      </c>
      <c r="AD23" s="104">
        <f>'BPS-Statistics summary'!AG30</f>
        <v>6.5972163479924267E-2</v>
      </c>
      <c r="AE23" s="104">
        <f>'BPS-Statistics summary'!AH30</f>
        <v>6.5971502140881128E-2</v>
      </c>
      <c r="AF23" s="104">
        <f>'BPS-Statistics summary'!AI30</f>
        <v>6.596910798817307E-2</v>
      </c>
      <c r="AG23" s="104">
        <f>'BPS-Statistics summary'!AJ30</f>
        <v>6.5969377068448604E-2</v>
      </c>
      <c r="AH23" s="104">
        <f>'BPS-Statistics summary'!AK30</f>
        <v>6.597053766935676E-2</v>
      </c>
      <c r="AI23" s="104">
        <f>'BPS-Statistics summary'!AL30</f>
        <v>6.5970131216714883E-2</v>
      </c>
      <c r="AJ23" s="104">
        <f>'BPS-Statistics summary'!AM30</f>
        <v>6.5969788485673336E-2</v>
      </c>
      <c r="AK23" s="104">
        <f>'BPS-Statistics summary'!AN30</f>
        <v>6.5969958610048396E-2</v>
      </c>
      <c r="AL23" s="104">
        <f>'BPS-Statistics summary'!AO30</f>
        <v>6.5970103995448337E-2</v>
      </c>
      <c r="AM23" s="104">
        <f>'BPS-Statistics summary'!AP30</f>
        <v>6.5969995576971238E-2</v>
      </c>
      <c r="AN23" s="104">
        <f>'BPS-Statistics summary'!AQ30</f>
        <v>6.5969961667035323E-2</v>
      </c>
      <c r="AO23" s="104">
        <f>'BPS-Statistics summary'!AR30</f>
        <v>6.5970004962375831E-2</v>
      </c>
      <c r="AP23" s="104">
        <f>'BPS-Statistics summary'!AS30</f>
        <v>6.5970016550457686E-2</v>
      </c>
      <c r="AQ23" s="104">
        <f>'BPS-Statistics summary'!AT30</f>
        <v>6.5969994689210026E-2</v>
      </c>
      <c r="AR23" s="104">
        <f>'BPS-Statistics summary'!AU30</f>
        <v>6.5969994467269727E-2</v>
      </c>
      <c r="AS23" s="104">
        <f>'BPS-Statistics summary'!AV30</f>
        <v>6.5970002667328317E-2</v>
      </c>
      <c r="AT23" s="104">
        <f>'BPS-Statistics summary'!AW30</f>
        <v>6.5970002093566432E-2</v>
      </c>
      <c r="AU23" s="104">
        <f>'BPS-Statistics summary'!AX30</f>
        <v>6.5969998479343622E-2</v>
      </c>
      <c r="AV23" s="104">
        <f>'BPS-Statistics summary'!AY30</f>
        <v>6.5969999426877021E-2</v>
      </c>
      <c r="AW23" s="104">
        <f>'BPS-Statistics summary'!AZ30</f>
        <v>6.5970000666778841E-2</v>
      </c>
      <c r="AX23" s="104">
        <f>'BPS-Statistics summary'!BA30</f>
        <v>6.5970000166641479E-2</v>
      </c>
      <c r="AY23" s="104">
        <f>'BPS-Statistics summary'!BB30</f>
        <v>6.5969999684910241E-2</v>
      </c>
      <c r="AZ23" s="104">
        <f>'BPS-Statistics summary'!BC30</f>
        <v>6.5969999986301903E-2</v>
      </c>
      <c r="BA23" s="104">
        <f>'BPS-Statistics summary'!BD30</f>
        <v>6.5970000126158113E-2</v>
      </c>
    </row>
    <row r="24" spans="1:53" ht="15.75" customHeight="1" x14ac:dyDescent="0.25">
      <c r="A24" s="2" t="s">
        <v>70</v>
      </c>
      <c r="B24" s="104">
        <f>'BPS-Statistics summary'!E31</f>
        <v>-3.4300000000000004E-2</v>
      </c>
      <c r="C24" s="104">
        <f>'BPS-Statistics summary'!F31</f>
        <v>-0.1986</v>
      </c>
      <c r="D24" s="104">
        <f>'BPS-Statistics summary'!G31</f>
        <v>0.1782</v>
      </c>
      <c r="E24" s="104">
        <f>'BPS-Statistics summary'!H31</f>
        <v>0.1067</v>
      </c>
      <c r="F24" s="104">
        <f>'BPS-Statistics summary'!I31</f>
        <v>7.6299999999999993E-2</v>
      </c>
      <c r="G24" s="104">
        <f>'BPS-Statistics summary'!J31</f>
        <v>-2.1000000000000001E-2</v>
      </c>
      <c r="H24" s="104">
        <f>'BPS-Statistics summary'!K31</f>
        <v>-2.64E-2</v>
      </c>
      <c r="I24" s="104">
        <f>'BPS-Statistics summary'!L31</f>
        <v>3.39E-2</v>
      </c>
      <c r="J24" s="104">
        <f>'BPS-Statistics summary'!M31</f>
        <v>1.5699999999999999E-2</v>
      </c>
      <c r="K24" s="104">
        <f>'BPS-Statistics summary'!N31</f>
        <v>5.5000000000000014E-4</v>
      </c>
      <c r="L24" s="104">
        <f>'BPS-Statistics summary'!O31</f>
        <v>5.9375000000000001E-3</v>
      </c>
      <c r="M24" s="104">
        <f>'BPS-Statistics summary'!P31</f>
        <v>1.4021875E-2</v>
      </c>
      <c r="N24" s="104">
        <f>'BPS-Statistics summary'!Q31</f>
        <v>9.0523437500000005E-3</v>
      </c>
      <c r="O24" s="104">
        <f>'BPS-Statistics summary'!R31</f>
        <v>7.3904296875000001E-3</v>
      </c>
      <c r="P24" s="104">
        <f>'BPS-Statistics summary'!S31</f>
        <v>9.1005371093750009E-3</v>
      </c>
      <c r="Q24" s="104">
        <f>'BPS-Statistics summary'!T31</f>
        <v>9.8912963867187498E-3</v>
      </c>
      <c r="R24" s="104">
        <f>'BPS-Statistics summary'!U31</f>
        <v>8.8586517333984378E-3</v>
      </c>
      <c r="S24" s="104">
        <f>'BPS-Statistics summary'!V31</f>
        <v>8.8102287292480472E-3</v>
      </c>
      <c r="T24" s="104">
        <f>'BPS-Statistics summary'!W31</f>
        <v>9.1651784896850594E-3</v>
      </c>
      <c r="U24" s="104">
        <f>'BPS-Statistics summary'!X31</f>
        <v>9.181338834762574E-3</v>
      </c>
      <c r="V24" s="104">
        <f>'BPS-Statistics summary'!Y31</f>
        <v>9.0038494467735292E-3</v>
      </c>
      <c r="W24" s="104">
        <f>'BPS-Statistics summary'!Z31</f>
        <v>9.0401488751173029E-3</v>
      </c>
      <c r="X24" s="104">
        <f>'BPS-Statistics summary'!AA31</f>
        <v>9.0976289115846168E-3</v>
      </c>
      <c r="Y24" s="104">
        <f>'BPS-Statistics summary'!AB31</f>
        <v>9.0807415170595061E-3</v>
      </c>
      <c r="Z24" s="104">
        <f>'BPS-Statistics summary'!AC31</f>
        <v>9.0555921876337396E-3</v>
      </c>
      <c r="AA24" s="104">
        <f>'BPS-Statistics summary'!AD31</f>
        <v>9.0685278728487913E-3</v>
      </c>
      <c r="AB24" s="104">
        <f>'BPS-Statistics summary'!AE31</f>
        <v>9.0756226222816639E-3</v>
      </c>
      <c r="AC24" s="104">
        <f>'BPS-Statistics summary'!AF31</f>
        <v>9.0701210499559252E-3</v>
      </c>
      <c r="AD24" s="104">
        <f>'BPS-Statistics summary'!AG31</f>
        <v>9.06746593318003E-3</v>
      </c>
      <c r="AE24" s="104">
        <f>'BPS-Statistics summary'!AH31</f>
        <v>9.0704343695666018E-3</v>
      </c>
      <c r="AF24" s="104">
        <f>'BPS-Statistics summary'!AI31</f>
        <v>9.0709109937460557E-3</v>
      </c>
      <c r="AG24" s="104">
        <f>'BPS-Statistics summary'!AJ31</f>
        <v>9.0697330866121532E-3</v>
      </c>
      <c r="AH24" s="104">
        <f>'BPS-Statistics summary'!AK31</f>
        <v>9.0696360957762106E-3</v>
      </c>
      <c r="AI24" s="104">
        <f>'BPS-Statistics summary'!AL31</f>
        <v>9.0701786364252562E-3</v>
      </c>
      <c r="AJ24" s="104">
        <f>'BPS-Statistics summary'!AM31</f>
        <v>9.0701147031399202E-3</v>
      </c>
      <c r="AK24" s="104">
        <f>'BPS-Statistics summary'!AN31</f>
        <v>9.069915630488385E-3</v>
      </c>
      <c r="AL24" s="104">
        <f>'BPS-Statistics summary'!AO31</f>
        <v>9.0699612664574443E-3</v>
      </c>
      <c r="AM24" s="104">
        <f>'BPS-Statistics summary'!AP31</f>
        <v>9.0700425591277514E-3</v>
      </c>
      <c r="AN24" s="104">
        <f>'BPS-Statistics summary'!AQ31</f>
        <v>9.0700085398033765E-3</v>
      </c>
      <c r="AO24" s="104">
        <f>'BPS-Statistics summary'!AR31</f>
        <v>9.0699819989692385E-3</v>
      </c>
      <c r="AP24" s="104">
        <f>'BPS-Statistics summary'!AS31</f>
        <v>9.0699985910894527E-3</v>
      </c>
      <c r="AQ24" s="104">
        <f>'BPS-Statistics summary'!AT31</f>
        <v>9.0700079222474552E-3</v>
      </c>
      <c r="AR24" s="104">
        <f>'BPS-Statistics summary'!AU31</f>
        <v>9.0699992630273816E-3</v>
      </c>
      <c r="AS24" s="104">
        <f>'BPS-Statistics summary'!AV31</f>
        <v>9.0699969438333816E-3</v>
      </c>
      <c r="AT24" s="104">
        <f>'BPS-Statistics summary'!AW31</f>
        <v>9.0700006800494178E-3</v>
      </c>
      <c r="AU24" s="104">
        <f>'BPS-Statistics summary'!AX31</f>
        <v>9.0700012022894086E-3</v>
      </c>
      <c r="AV24" s="104">
        <f>'BPS-Statistics summary'!AY31</f>
        <v>9.0699995222998965E-3</v>
      </c>
      <c r="AW24" s="104">
        <f>'BPS-Statistics summary'!AZ31</f>
        <v>9.0699995871180265E-3</v>
      </c>
      <c r="AX24" s="104">
        <f>'BPS-Statistics summary'!BA31</f>
        <v>9.0700002479391882E-3</v>
      </c>
      <c r="AY24" s="104">
        <f>'BPS-Statistics summary'!BB31</f>
        <v>9.0700001399116291E-3</v>
      </c>
      <c r="AZ24" s="104">
        <f>'BPS-Statistics summary'!BC31</f>
        <v>9.0699998743171851E-3</v>
      </c>
      <c r="BA24" s="104">
        <f>'BPS-Statistics summary'!BD31</f>
        <v>9.0699999623215077E-3</v>
      </c>
    </row>
    <row r="25" spans="1:53" ht="15.75" customHeight="1" x14ac:dyDescent="0.25">
      <c r="A25" s="2" t="s">
        <v>72</v>
      </c>
      <c r="B25" s="104">
        <f>'BPS-Statistics summary'!E32</f>
        <v>8.3499999999999991E-2</v>
      </c>
      <c r="C25" s="104">
        <f>'BPS-Statistics summary'!F32</f>
        <v>-3.3599999999999998E-2</v>
      </c>
      <c r="D25" s="104">
        <f>'BPS-Statistics summary'!G32</f>
        <v>8.1600000000000006E-2</v>
      </c>
      <c r="E25" s="104">
        <f>'BPS-Statistics summary'!H32</f>
        <v>-1.9900000000000001E-2</v>
      </c>
      <c r="F25" s="104">
        <f>'BPS-Statistics summary'!I32</f>
        <v>-2.0400000000000001E-2</v>
      </c>
      <c r="G25" s="104">
        <f>'BPS-Statistics summary'!J32</f>
        <v>2.07E-2</v>
      </c>
      <c r="H25" s="104">
        <f>'BPS-Statistics summary'!K32</f>
        <v>1.6E-2</v>
      </c>
      <c r="I25" s="104">
        <f>'BPS-Statistics summary'!L32</f>
        <v>-9.0000000000000063E-4</v>
      </c>
      <c r="J25" s="104">
        <f>'BPS-Statistics summary'!M32</f>
        <v>3.8499999999999993E-3</v>
      </c>
      <c r="K25" s="104">
        <f>'BPS-Statistics summary'!N32</f>
        <v>9.9124999999999994E-3</v>
      </c>
      <c r="L25" s="104">
        <f>'BPS-Statistics summary'!O32</f>
        <v>7.2156249999999998E-3</v>
      </c>
      <c r="M25" s="104">
        <f>'BPS-Statistics summary'!P32</f>
        <v>5.0195312499999997E-3</v>
      </c>
      <c r="N25" s="104">
        <f>'BPS-Statistics summary'!Q32</f>
        <v>6.4994140625000002E-3</v>
      </c>
      <c r="O25" s="104">
        <f>'BPS-Statistics summary'!R32</f>
        <v>7.1617675781250004E-3</v>
      </c>
      <c r="P25" s="104">
        <f>'BPS-Statistics summary'!S32</f>
        <v>6.4740844726562507E-3</v>
      </c>
      <c r="Q25" s="104">
        <f>'BPS-Statistics summary'!T32</f>
        <v>6.288699340820313E-3</v>
      </c>
      <c r="R25" s="104">
        <f>'BPS-Statistics summary'!U32</f>
        <v>6.6059913635253906E-3</v>
      </c>
      <c r="S25" s="104">
        <f>'BPS-Statistics summary'!V32</f>
        <v>6.6326356887817378E-3</v>
      </c>
      <c r="T25" s="104">
        <f>'BPS-Statistics summary'!W32</f>
        <v>6.5003527164459226E-3</v>
      </c>
      <c r="U25" s="104">
        <f>'BPS-Statistics summary'!X32</f>
        <v>6.5069197773933406E-3</v>
      </c>
      <c r="V25" s="104">
        <f>'BPS-Statistics summary'!Y32</f>
        <v>6.5614748865365979E-3</v>
      </c>
      <c r="W25" s="104">
        <f>'BPS-Statistics summary'!Z32</f>
        <v>6.5503457672893995E-3</v>
      </c>
      <c r="X25" s="104">
        <f>'BPS-Statistics summary'!AA32</f>
        <v>6.5297732869163145E-3</v>
      </c>
      <c r="Y25" s="104">
        <f>'BPS-Statistics summary'!AB32</f>
        <v>6.5371284295339133E-3</v>
      </c>
      <c r="Z25" s="104">
        <f>'BPS-Statistics summary'!AC32</f>
        <v>6.5446805925690552E-3</v>
      </c>
      <c r="AA25" s="104">
        <f>'BPS-Statistics summary'!AD32</f>
        <v>6.5404820190771706E-3</v>
      </c>
      <c r="AB25" s="104">
        <f>'BPS-Statistics summary'!AE32</f>
        <v>6.5380160820241139E-3</v>
      </c>
      <c r="AC25" s="104">
        <f>'BPS-Statistics summary'!AF32</f>
        <v>6.5400767808010633E-3</v>
      </c>
      <c r="AD25" s="104">
        <f>'BPS-Statistics summary'!AG32</f>
        <v>6.5408138686178507E-3</v>
      </c>
      <c r="AE25" s="104">
        <f>'BPS-Statistics summary'!AH32</f>
        <v>6.5398471876300501E-3</v>
      </c>
      <c r="AF25" s="104">
        <f>'BPS-Statistics summary'!AI32</f>
        <v>6.5396884797682703E-3</v>
      </c>
      <c r="AG25" s="104">
        <f>'BPS-Statistics summary'!AJ32</f>
        <v>6.5401065792043082E-3</v>
      </c>
      <c r="AH25" s="104">
        <f>'BPS-Statistics summary'!AK32</f>
        <v>6.5401140288051194E-3</v>
      </c>
      <c r="AI25" s="104">
        <f>'BPS-Statistics summary'!AL32</f>
        <v>6.5399390688519361E-3</v>
      </c>
      <c r="AJ25" s="104">
        <f>'BPS-Statistics summary'!AM32</f>
        <v>6.5399620391574089E-3</v>
      </c>
      <c r="AK25" s="104">
        <f>'BPS-Statistics summary'!AN32</f>
        <v>6.5400304290046934E-3</v>
      </c>
      <c r="AL25" s="104">
        <f>'BPS-Statistics summary'!AO32</f>
        <v>6.5400113914547888E-3</v>
      </c>
      <c r="AM25" s="104">
        <f>'BPS-Statistics summary'!AP32</f>
        <v>6.539985732117207E-3</v>
      </c>
      <c r="AN25" s="104">
        <f>'BPS-Statistics summary'!AQ32</f>
        <v>6.5399973979335235E-3</v>
      </c>
      <c r="AO25" s="104">
        <f>'BPS-Statistics summary'!AR32</f>
        <v>6.540006237627554E-3</v>
      </c>
      <c r="AP25" s="104">
        <f>'BPS-Statistics summary'!AS32</f>
        <v>6.5400001897832688E-3</v>
      </c>
      <c r="AQ25" s="104">
        <f>'BPS-Statistics summary'!AT32</f>
        <v>6.5399973893653885E-3</v>
      </c>
      <c r="AR25" s="104">
        <f>'BPS-Statistics summary'!AU32</f>
        <v>6.5400003036774337E-3</v>
      </c>
      <c r="AS25" s="104">
        <f>'BPS-Statistics summary'!AV32</f>
        <v>6.5400010301134119E-3</v>
      </c>
      <c r="AT25" s="104">
        <f>'BPS-Statistics summary'!AW32</f>
        <v>6.5399997282348755E-3</v>
      </c>
      <c r="AU25" s="104">
        <f>'BPS-Statistics summary'!AX32</f>
        <v>6.5399996128477781E-3</v>
      </c>
      <c r="AV25" s="104">
        <f>'BPS-Statistics summary'!AY32</f>
        <v>6.540000168718375E-3</v>
      </c>
      <c r="AW25" s="104">
        <f>'BPS-Statistics summary'!AZ32</f>
        <v>6.5400001349786106E-3</v>
      </c>
      <c r="AX25" s="104">
        <f>'BPS-Statistics summary'!BA32</f>
        <v>6.5399999111949089E-3</v>
      </c>
      <c r="AY25" s="104">
        <f>'BPS-Statistics summary'!BB32</f>
        <v>6.5399999569349179E-3</v>
      </c>
      <c r="AZ25" s="104">
        <f>'BPS-Statistics summary'!BC32</f>
        <v>6.5400000429567031E-3</v>
      </c>
      <c r="BA25" s="104">
        <f>'BPS-Statistics summary'!BD32</f>
        <v>6.5400000115162851E-3</v>
      </c>
    </row>
    <row r="26" spans="1:53" ht="15.75" customHeight="1" x14ac:dyDescent="0.25">
      <c r="A26" s="2" t="s">
        <v>74</v>
      </c>
      <c r="B26" s="104">
        <f>'BPS-Statistics summary'!E35</f>
        <v>4.6100000000000002E-2</v>
      </c>
      <c r="C26" s="104">
        <f>'BPS-Statistics summary'!F35</f>
        <v>-9.7999999999999997E-3</v>
      </c>
      <c r="D26" s="104">
        <f>'BPS-Statistics summary'!G35</f>
        <v>5.6100000000000004E-2</v>
      </c>
      <c r="E26" s="104">
        <f>'BPS-Statistics summary'!H35</f>
        <v>7.0599999999999996E-2</v>
      </c>
      <c r="F26" s="104">
        <f>'BPS-Statistics summary'!I35</f>
        <v>5.0700000000000002E-2</v>
      </c>
      <c r="G26" s="104">
        <f>'BPS-Statistics summary'!J35</f>
        <v>6.4699999999999994E-2</v>
      </c>
      <c r="H26" s="104">
        <f>'BPS-Statistics summary'!K35</f>
        <v>3.44E-2</v>
      </c>
      <c r="I26" s="104">
        <f>'BPS-Statistics summary'!L35</f>
        <v>5.5099999999999996E-2</v>
      </c>
      <c r="J26" s="104">
        <f>'BPS-Statistics summary'!M35</f>
        <v>5.1224999999999993E-2</v>
      </c>
      <c r="K26" s="104">
        <f>'BPS-Statistics summary'!N35</f>
        <v>5.1356249999999999E-2</v>
      </c>
      <c r="L26" s="104">
        <f>'BPS-Statistics summary'!O35</f>
        <v>4.8020312499999995E-2</v>
      </c>
      <c r="M26" s="104">
        <f>'BPS-Statistics summary'!P35</f>
        <v>5.1425390624999998E-2</v>
      </c>
      <c r="N26" s="104">
        <f>'BPS-Statistics summary'!Q35</f>
        <v>5.0506738281249991E-2</v>
      </c>
      <c r="O26" s="104">
        <f>'BPS-Statistics summary'!R35</f>
        <v>5.0327172851562497E-2</v>
      </c>
      <c r="P26" s="104">
        <f>'BPS-Statistics summary'!S35</f>
        <v>5.0069903564453115E-2</v>
      </c>
      <c r="Q26" s="104">
        <f>'BPS-Statistics summary'!T35</f>
        <v>5.0582301330566404E-2</v>
      </c>
      <c r="R26" s="104">
        <f>'BPS-Statistics summary'!U35</f>
        <v>5.0371529006958002E-2</v>
      </c>
      <c r="S26" s="104">
        <f>'BPS-Statistics summary'!V35</f>
        <v>5.0337726688385001E-2</v>
      </c>
      <c r="T26" s="104">
        <f>'BPS-Statistics summary'!W35</f>
        <v>5.0340365147590632E-2</v>
      </c>
      <c r="U26" s="104">
        <f>'BPS-Statistics summary'!X35</f>
        <v>5.040798054337501E-2</v>
      </c>
      <c r="V26" s="104">
        <f>'BPS-Statistics summary'!Y35</f>
        <v>5.0364400346577159E-2</v>
      </c>
      <c r="W26" s="104">
        <f>'BPS-Statistics summary'!Z35</f>
        <v>5.0362618181481952E-2</v>
      </c>
      <c r="X26" s="104">
        <f>'BPS-Statistics summary'!AA35</f>
        <v>5.0368841054756183E-2</v>
      </c>
      <c r="Y26" s="104">
        <f>'BPS-Statistics summary'!AB35</f>
        <v>5.0375960031547581E-2</v>
      </c>
      <c r="Z26" s="104">
        <f>'BPS-Statistics summary'!AC35</f>
        <v>5.0367954903590723E-2</v>
      </c>
      <c r="AA26" s="104">
        <f>'BPS-Statistics summary'!AD35</f>
        <v>5.0368843542844106E-2</v>
      </c>
      <c r="AB26" s="104">
        <f>'BPS-Statistics summary'!AE35</f>
        <v>5.0370399883184647E-2</v>
      </c>
      <c r="AC26" s="104">
        <f>'BPS-Statistics summary'!AF35</f>
        <v>5.0370789590291766E-2</v>
      </c>
      <c r="AD26" s="104">
        <f>'BPS-Statistics summary'!AG35</f>
        <v>5.0369496979977807E-2</v>
      </c>
      <c r="AE26" s="104">
        <f>'BPS-Statistics summary'!AH35</f>
        <v>5.0369882499074578E-2</v>
      </c>
      <c r="AF26" s="104">
        <f>'BPS-Statistics summary'!AI35</f>
        <v>5.0370142238132201E-2</v>
      </c>
      <c r="AG26" s="104">
        <f>'BPS-Statistics summary'!AJ35</f>
        <v>5.0370077826869086E-2</v>
      </c>
      <c r="AH26" s="104">
        <f>'BPS-Statistics summary'!AK35</f>
        <v>5.0369899886013418E-2</v>
      </c>
      <c r="AI26" s="104">
        <f>'BPS-Statistics summary'!AL35</f>
        <v>5.0370000612522323E-2</v>
      </c>
      <c r="AJ26" s="104">
        <f>'BPS-Statistics summary'!AM35</f>
        <v>5.0370030140884259E-2</v>
      </c>
      <c r="AK26" s="104">
        <f>'BPS-Statistics summary'!AN35</f>
        <v>5.0370002116572277E-2</v>
      </c>
      <c r="AL26" s="104">
        <f>'BPS-Statistics summary'!AO35</f>
        <v>5.0369983188998067E-2</v>
      </c>
      <c r="AM26" s="104">
        <f>'BPS-Statistics summary'!AP35</f>
        <v>5.0370004014744237E-2</v>
      </c>
      <c r="AN26" s="104">
        <f>'BPS-Statistics summary'!AQ35</f>
        <v>5.037000486529971E-2</v>
      </c>
      <c r="AO26" s="104">
        <f>'BPS-Statistics summary'!AR35</f>
        <v>5.0369998546403574E-2</v>
      </c>
      <c r="AP26" s="104">
        <f>'BPS-Statistics summary'!AS35</f>
        <v>5.0369997653861395E-2</v>
      </c>
      <c r="AQ26" s="104">
        <f>'BPS-Statistics summary'!AT35</f>
        <v>5.0370001270077236E-2</v>
      </c>
      <c r="AR26" s="104">
        <f>'BPS-Statistics summary'!AU35</f>
        <v>5.0370000583910474E-2</v>
      </c>
      <c r="AS26" s="104">
        <f>'BPS-Statistics summary'!AV35</f>
        <v>5.036999951356317E-2</v>
      </c>
      <c r="AT26" s="104">
        <f>'BPS-Statistics summary'!AW35</f>
        <v>5.0369999755353063E-2</v>
      </c>
      <c r="AU26" s="104">
        <f>'BPS-Statistics summary'!AX35</f>
        <v>5.0370000280725982E-2</v>
      </c>
      <c r="AV26" s="104">
        <f>'BPS-Statistics summary'!AY35</f>
        <v>5.0370000033388165E-2</v>
      </c>
      <c r="AW26" s="104">
        <f>'BPS-Statistics summary'!AZ35</f>
        <v>5.0369999895757592E-2</v>
      </c>
      <c r="AX26" s="104">
        <f>'BPS-Statistics summary'!BA35</f>
        <v>5.0369999991306202E-2</v>
      </c>
      <c r="AY26" s="104">
        <f>'BPS-Statistics summary'!BB35</f>
        <v>5.0370000050294489E-2</v>
      </c>
      <c r="AZ26" s="104">
        <f>'BPS-Statistics summary'!BC35</f>
        <v>5.0369999992686612E-2</v>
      </c>
      <c r="BA26" s="104">
        <f>'BPS-Statistics summary'!BD35</f>
        <v>5.0369999982511224E-2</v>
      </c>
    </row>
    <row r="27" spans="1:53" ht="15.75" customHeight="1" x14ac:dyDescent="0.25">
      <c r="A27" s="2" t="s">
        <v>139</v>
      </c>
      <c r="B27" s="104">
        <f>'BPS-Statistics summary'!E36</f>
        <v>1.6000000000000001E-3</v>
      </c>
      <c r="C27" s="104">
        <f>'BPS-Statistics summary'!F36</f>
        <v>-0.11939999999999999</v>
      </c>
      <c r="D27" s="104">
        <f>'BPS-Statistics summary'!G36</f>
        <v>5.0499999999999996E-2</v>
      </c>
      <c r="E27" s="104">
        <f>'BPS-Statistics summary'!H36</f>
        <v>3.0099999999999998E-2</v>
      </c>
      <c r="F27" s="104">
        <f>'BPS-Statistics summary'!I36</f>
        <v>3.5400000000000001E-2</v>
      </c>
      <c r="G27" s="104">
        <f>'BPS-Statistics summary'!J36</f>
        <v>-9.5100000000000004E-2</v>
      </c>
      <c r="H27" s="104">
        <f>'BPS-Statistics summary'!K36</f>
        <v>-3.0999999999999999E-3</v>
      </c>
      <c r="I27" s="104">
        <f>'BPS-Statistics summary'!L36</f>
        <v>-8.175E-3</v>
      </c>
      <c r="J27" s="104">
        <f>'BPS-Statistics summary'!M36</f>
        <v>-1.7743750000000003E-2</v>
      </c>
      <c r="K27" s="104">
        <f>'BPS-Statistics summary'!N36</f>
        <v>-3.1029687500000003E-2</v>
      </c>
      <c r="L27" s="104">
        <f>'BPS-Statistics summary'!O36</f>
        <v>-1.5012109375000002E-2</v>
      </c>
      <c r="M27" s="104">
        <f>'BPS-Statistics summary'!P36</f>
        <v>-1.7990136718750001E-2</v>
      </c>
      <c r="N27" s="104">
        <f>'BPS-Statistics summary'!Q36</f>
        <v>-2.0443920898437502E-2</v>
      </c>
      <c r="O27" s="104">
        <f>'BPS-Statistics summary'!R36</f>
        <v>-2.1118963623046876E-2</v>
      </c>
      <c r="P27" s="104">
        <f>'BPS-Statistics summary'!S36</f>
        <v>-1.8641282653808596E-2</v>
      </c>
      <c r="Q27" s="104">
        <f>'BPS-Statistics summary'!T36</f>
        <v>-1.9548575973510743E-2</v>
      </c>
      <c r="R27" s="104">
        <f>'BPS-Statistics summary'!U36</f>
        <v>-1.993818578720093E-2</v>
      </c>
      <c r="S27" s="104">
        <f>'BPS-Statistics summary'!V36</f>
        <v>-1.9811752009391784E-2</v>
      </c>
      <c r="T27" s="104">
        <f>'BPS-Statistics summary'!W36</f>
        <v>-1.9484949105978012E-2</v>
      </c>
      <c r="U27" s="104">
        <f>'BPS-Statistics summary'!X36</f>
        <v>-1.9695865719020364E-2</v>
      </c>
      <c r="V27" s="104">
        <f>'BPS-Statistics summary'!Y36</f>
        <v>-1.9732688155397773E-2</v>
      </c>
      <c r="W27" s="104">
        <f>'BPS-Statistics summary'!Z36</f>
        <v>-1.9681313747446985E-2</v>
      </c>
      <c r="X27" s="104">
        <f>'BPS-Statistics summary'!AA36</f>
        <v>-1.9648704181960783E-2</v>
      </c>
      <c r="Y27" s="104">
        <f>'BPS-Statistics summary'!AB36</f>
        <v>-1.9689642950956477E-2</v>
      </c>
      <c r="Z27" s="104">
        <f>'BPS-Statistics summary'!AC36</f>
        <v>-1.9688087258940504E-2</v>
      </c>
      <c r="AA27" s="104">
        <f>'BPS-Statistics summary'!AD36</f>
        <v>-1.9676937034826186E-2</v>
      </c>
      <c r="AB27" s="104">
        <f>'BPS-Statistics summary'!AE36</f>
        <v>-1.9675842856670987E-2</v>
      </c>
      <c r="AC27" s="104">
        <f>'BPS-Statistics summary'!AF36</f>
        <v>-1.9682627525348537E-2</v>
      </c>
      <c r="AD27" s="104">
        <f>'BPS-Statistics summary'!AG36</f>
        <v>-1.9680873668946552E-2</v>
      </c>
      <c r="AE27" s="104">
        <f>'BPS-Statistics summary'!AH36</f>
        <v>-1.9679070271448065E-2</v>
      </c>
      <c r="AF27" s="104">
        <f>'BPS-Statistics summary'!AI36</f>
        <v>-1.9679603580603534E-2</v>
      </c>
      <c r="AG27" s="104">
        <f>'BPS-Statistics summary'!AJ36</f>
        <v>-1.968054376158667E-2</v>
      </c>
      <c r="AH27" s="104">
        <f>'BPS-Statistics summary'!AK36</f>
        <v>-1.9680022820646206E-2</v>
      </c>
      <c r="AI27" s="104">
        <f>'BPS-Statistics summary'!AL36</f>
        <v>-1.967981010857112E-2</v>
      </c>
      <c r="AJ27" s="104">
        <f>'BPS-Statistics summary'!AM36</f>
        <v>-1.9679995067851883E-2</v>
      </c>
      <c r="AK27" s="104">
        <f>'BPS-Statistics summary'!AN36</f>
        <v>-1.9680092939663968E-2</v>
      </c>
      <c r="AL27" s="104">
        <f>'BPS-Statistics summary'!AO36</f>
        <v>-1.9679980234183294E-2</v>
      </c>
      <c r="AM27" s="104">
        <f>'BPS-Statistics summary'!AP36</f>
        <v>-1.9679969587567566E-2</v>
      </c>
      <c r="AN27" s="104">
        <f>'BPS-Statistics summary'!AQ36</f>
        <v>-1.9680009457316679E-2</v>
      </c>
      <c r="AO27" s="104">
        <f>'BPS-Statistics summary'!AR36</f>
        <v>-1.9680013054682879E-2</v>
      </c>
      <c r="AP27" s="104">
        <f>'BPS-Statistics summary'!AS36</f>
        <v>-1.9679993083437604E-2</v>
      </c>
      <c r="AQ27" s="104">
        <f>'BPS-Statistics summary'!AT36</f>
        <v>-1.9679996295751182E-2</v>
      </c>
      <c r="AR27" s="104">
        <f>'BPS-Statistics summary'!AU36</f>
        <v>-1.9680002972797088E-2</v>
      </c>
      <c r="AS27" s="104">
        <f>'BPS-Statistics summary'!AV36</f>
        <v>-1.9680001351667191E-2</v>
      </c>
      <c r="AT27" s="104">
        <f>'BPS-Statistics summary'!AW36</f>
        <v>-1.9679998425913267E-2</v>
      </c>
      <c r="AU27" s="104">
        <f>'BPS-Statistics summary'!AX36</f>
        <v>-1.9679999761532181E-2</v>
      </c>
      <c r="AV27" s="104">
        <f>'BPS-Statistics summary'!AY36</f>
        <v>-1.968000062797743E-2</v>
      </c>
      <c r="AW27" s="104">
        <f>'BPS-Statistics summary'!AZ36</f>
        <v>-1.9680000041772519E-2</v>
      </c>
      <c r="AX27" s="104">
        <f>'BPS-Statistics summary'!BA36</f>
        <v>-1.9679999714298849E-2</v>
      </c>
      <c r="AY27" s="104">
        <f>'BPS-Statistics summary'!BB36</f>
        <v>-1.9680000036395244E-2</v>
      </c>
      <c r="AZ27" s="104">
        <f>'BPS-Statistics summary'!BC36</f>
        <v>-1.9680000105111013E-2</v>
      </c>
      <c r="BA27" s="104">
        <f>'BPS-Statistics summary'!BD36</f>
        <v>-1.9679999974394406E-2</v>
      </c>
    </row>
    <row r="28" spans="1:53" ht="15.75" customHeight="1" x14ac:dyDescent="0.25">
      <c r="A28" s="2" t="s">
        <v>76</v>
      </c>
      <c r="B28" s="105">
        <f>'BPS-Statistics summary'!E37</f>
        <v>6.83E-2</v>
      </c>
      <c r="C28" s="105">
        <f>'BPS-Statistics summary'!F37</f>
        <v>4.9400000000000006E-2</v>
      </c>
      <c r="D28" s="105">
        <f>'BPS-Statistics summary'!G37</f>
        <v>4.9699999999999994E-2</v>
      </c>
      <c r="E28" s="105">
        <f>'BPS-Statistics summary'!H37</f>
        <v>3.2300000000000002E-2</v>
      </c>
      <c r="F28" s="105">
        <f>'BPS-Statistics summary'!I37</f>
        <v>4.9000000000000002E-2</v>
      </c>
      <c r="G28" s="105">
        <f>'BPS-Statistics summary'!J37</f>
        <v>1.5700000000000002E-2</v>
      </c>
      <c r="H28" s="105">
        <f>'BPS-Statistics summary'!K37</f>
        <v>9.3999999999999986E-3</v>
      </c>
      <c r="I28" s="105">
        <f>'BPS-Statistics summary'!L37</f>
        <v>2.6600000000000006E-2</v>
      </c>
      <c r="J28" s="105">
        <f>'BPS-Statistics summary'!M37</f>
        <v>2.5175000000000003E-2</v>
      </c>
      <c r="K28" s="105">
        <f>'BPS-Statistics summary'!N37</f>
        <v>1.9218750000000003E-2</v>
      </c>
      <c r="L28" s="105">
        <f>'BPS-Statistics summary'!O37</f>
        <v>2.0098437500000003E-2</v>
      </c>
      <c r="M28" s="105">
        <f>'BPS-Statistics summary'!P37</f>
        <v>2.2773046875000001E-2</v>
      </c>
      <c r="N28" s="105">
        <f>'BPS-Statistics summary'!Q37</f>
        <v>2.1816308593750007E-2</v>
      </c>
      <c r="O28" s="105">
        <f>'BPS-Statistics summary'!R37</f>
        <v>2.0976635742187503E-2</v>
      </c>
      <c r="P28" s="105">
        <f>'BPS-Statistics summary'!S37</f>
        <v>2.1416107177734379E-2</v>
      </c>
      <c r="Q28" s="105">
        <f>'BPS-Statistics summary'!T37</f>
        <v>2.174552459716797E-2</v>
      </c>
      <c r="R28" s="105">
        <f>'BPS-Statistics summary'!U37</f>
        <v>2.1488644027709967E-2</v>
      </c>
      <c r="S28" s="105">
        <f>'BPS-Statistics summary'!V37</f>
        <v>2.1406727886199954E-2</v>
      </c>
      <c r="T28" s="105">
        <f>'BPS-Statistics summary'!W37</f>
        <v>2.151425092220307E-2</v>
      </c>
      <c r="U28" s="105">
        <f>'BPS-Statistics summary'!X37</f>
        <v>2.1538786858320239E-2</v>
      </c>
      <c r="V28" s="105">
        <f>'BPS-Statistics summary'!Y37</f>
        <v>2.1487102423608306E-2</v>
      </c>
      <c r="W28" s="105">
        <f>'BPS-Statistics summary'!Z37</f>
        <v>2.1486717022582893E-2</v>
      </c>
      <c r="X28" s="105">
        <f>'BPS-Statistics summary'!AA37</f>
        <v>2.1506714306678627E-2</v>
      </c>
      <c r="Y28" s="105">
        <f>'BPS-Statistics summary'!AB37</f>
        <v>2.1504830152797517E-2</v>
      </c>
      <c r="Z28" s="105">
        <f>'BPS-Statistics summary'!AC37</f>
        <v>2.1496340976416835E-2</v>
      </c>
      <c r="AA28" s="105">
        <f>'BPS-Statistics summary'!AD37</f>
        <v>2.1498650614618968E-2</v>
      </c>
      <c r="AB28" s="105">
        <f>'BPS-Statistics summary'!AE37</f>
        <v>2.1501634012627988E-2</v>
      </c>
      <c r="AC28" s="105">
        <f>'BPS-Statistics summary'!AF37</f>
        <v>2.1500363939115325E-2</v>
      </c>
      <c r="AD28" s="105">
        <f>'BPS-Statistics summary'!AG37</f>
        <v>2.1499247385694777E-2</v>
      </c>
      <c r="AE28" s="105">
        <f>'BPS-Statistics summary'!AH37</f>
        <v>2.1499973988014266E-2</v>
      </c>
      <c r="AF28" s="105">
        <f>'BPS-Statistics summary'!AI37</f>
        <v>2.1500304831363087E-2</v>
      </c>
      <c r="AG28" s="105">
        <f>'BPS-Statistics summary'!AJ37</f>
        <v>2.1499972536046866E-2</v>
      </c>
      <c r="AH28" s="105">
        <f>'BPS-Statistics summary'!AK37</f>
        <v>2.1499874685279748E-2</v>
      </c>
      <c r="AI28" s="105">
        <f>'BPS-Statistics summary'!AL37</f>
        <v>2.1500031510175995E-2</v>
      </c>
      <c r="AJ28" s="105">
        <f>'BPS-Statistics summary'!AM37</f>
        <v>2.1500045890716427E-2</v>
      </c>
      <c r="AK28" s="105">
        <f>'BPS-Statistics summary'!AN37</f>
        <v>2.1499981155554761E-2</v>
      </c>
      <c r="AL28" s="105">
        <f>'BPS-Statistics summary'!AO37</f>
        <v>2.1499983310431733E-2</v>
      </c>
      <c r="AM28" s="105">
        <f>'BPS-Statistics summary'!AP37</f>
        <v>2.1500010466719729E-2</v>
      </c>
      <c r="AN28" s="105">
        <f>'BPS-Statistics summary'!AQ37</f>
        <v>2.1500005205855665E-2</v>
      </c>
      <c r="AO28" s="105">
        <f>'BPS-Statistics summary'!AR37</f>
        <v>2.1499995034640472E-2</v>
      </c>
      <c r="AP28" s="105">
        <f>'BPS-Statistics summary'!AS37</f>
        <v>2.14999985044119E-2</v>
      </c>
      <c r="AQ28" s="105">
        <f>'BPS-Statistics summary'!AT37</f>
        <v>2.150000230290694E-2</v>
      </c>
      <c r="AR28" s="105">
        <f>'BPS-Statistics summary'!AU37</f>
        <v>2.1500000261953742E-2</v>
      </c>
      <c r="AS28" s="105">
        <f>'BPS-Statistics summary'!AV37</f>
        <v>2.1499999025978263E-2</v>
      </c>
      <c r="AT28" s="105">
        <f>'BPS-Statistics summary'!AW37</f>
        <v>2.1500000023812714E-2</v>
      </c>
      <c r="AU28" s="105">
        <f>'BPS-Statistics summary'!AX37</f>
        <v>2.1500000403662914E-2</v>
      </c>
      <c r="AV28" s="105">
        <f>'BPS-Statistics summary'!AY37</f>
        <v>2.1499999928851907E-2</v>
      </c>
      <c r="AW28" s="105">
        <f>'BPS-Statistics summary'!AZ37</f>
        <v>2.1499999845576448E-2</v>
      </c>
      <c r="AX28" s="105">
        <f>'BPS-Statistics summary'!BA37</f>
        <v>2.1500000050475997E-2</v>
      </c>
      <c r="AY28" s="105">
        <f>'BPS-Statistics summary'!BB37</f>
        <v>2.1500000057141817E-2</v>
      </c>
      <c r="AZ28" s="105">
        <f>'BPS-Statistics summary'!BC37</f>
        <v>2.1499999970511538E-2</v>
      </c>
      <c r="BA28" s="105">
        <f>'BPS-Statistics summary'!BD37</f>
        <v>2.149999998092645E-2</v>
      </c>
    </row>
    <row r="29" spans="1:53" ht="15.75" customHeight="1" x14ac:dyDescent="0.25">
      <c r="A29" s="2" t="s">
        <v>78</v>
      </c>
      <c r="B29" s="104">
        <f>'BPS-Statistics summary'!E38</f>
        <v>5.7599999999999998E-2</v>
      </c>
      <c r="C29" s="104">
        <f>'BPS-Statistics summary'!F38</f>
        <v>-3.2599999999999997E-2</v>
      </c>
      <c r="D29" s="104">
        <f>'BPS-Statistics summary'!G38</f>
        <v>2.81E-2</v>
      </c>
      <c r="E29" s="104">
        <f>'BPS-Statistics summary'!H38</f>
        <v>2.0099999999999996E-2</v>
      </c>
      <c r="F29" s="104">
        <f>'BPS-Statistics summary'!I38</f>
        <v>4.9100000000000005E-2</v>
      </c>
      <c r="G29" s="104">
        <f>'BPS-Statistics summary'!J38</f>
        <v>7.0199999999999999E-2</v>
      </c>
      <c r="H29" s="104">
        <f>'BPS-Statistics summary'!K38</f>
        <v>3.8100000000000002E-2</v>
      </c>
      <c r="I29" s="104">
        <f>'BPS-Statistics summary'!L38</f>
        <v>4.4374999999999998E-2</v>
      </c>
      <c r="J29" s="104">
        <f>'BPS-Statistics summary'!M38</f>
        <v>5.0443750000000002E-2</v>
      </c>
      <c r="K29" s="104">
        <f>'BPS-Statistics summary'!N38</f>
        <v>5.0779687500000004E-2</v>
      </c>
      <c r="L29" s="104">
        <f>'BPS-Statistics summary'!O38</f>
        <v>4.5924609375000001E-2</v>
      </c>
      <c r="M29" s="104">
        <f>'BPS-Statistics summary'!P38</f>
        <v>4.7880761718750005E-2</v>
      </c>
      <c r="N29" s="104">
        <f>'BPS-Statistics summary'!Q38</f>
        <v>4.8757202148437505E-2</v>
      </c>
      <c r="O29" s="104">
        <f>'BPS-Statistics summary'!R38</f>
        <v>4.833556518554688E-2</v>
      </c>
      <c r="P29" s="104">
        <f>'BPS-Statistics summary'!S38</f>
        <v>4.77245346069336E-2</v>
      </c>
      <c r="Q29" s="104">
        <f>'BPS-Statistics summary'!T38</f>
        <v>4.8174515914916997E-2</v>
      </c>
      <c r="R29" s="104">
        <f>'BPS-Statistics summary'!U38</f>
        <v>4.8247954463958749E-2</v>
      </c>
      <c r="S29" s="104">
        <f>'BPS-Statistics summary'!V38</f>
        <v>4.8120642542839057E-2</v>
      </c>
      <c r="T29" s="104">
        <f>'BPS-Statistics summary'!W38</f>
        <v>4.8066911882162097E-2</v>
      </c>
      <c r="U29" s="104">
        <f>'BPS-Statistics summary'!X38</f>
        <v>4.8152506200969225E-2</v>
      </c>
      <c r="V29" s="104">
        <f>'BPS-Statistics summary'!Y38</f>
        <v>4.814700377248228E-2</v>
      </c>
      <c r="W29" s="104">
        <f>'BPS-Statistics summary'!Z38</f>
        <v>4.8121766099613161E-2</v>
      </c>
      <c r="X29" s="104">
        <f>'BPS-Statistics summary'!AA38</f>
        <v>4.8122046988806691E-2</v>
      </c>
      <c r="Y29" s="104">
        <f>'BPS-Statistics summary'!AB38</f>
        <v>4.8135830765467832E-2</v>
      </c>
      <c r="Z29" s="104">
        <f>'BPS-Statistics summary'!AC38</f>
        <v>4.8131661906592488E-2</v>
      </c>
      <c r="AA29" s="104">
        <f>'BPS-Statistics summary'!AD38</f>
        <v>4.8127826440120043E-2</v>
      </c>
      <c r="AB29" s="104">
        <f>'BPS-Statistics summary'!AE38</f>
        <v>4.8129341525246762E-2</v>
      </c>
      <c r="AC29" s="104">
        <f>'BPS-Statistics summary'!AF38</f>
        <v>4.8131165159356781E-2</v>
      </c>
      <c r="AD29" s="104">
        <f>'BPS-Statistics summary'!AG38</f>
        <v>4.8129998757829015E-2</v>
      </c>
      <c r="AE29" s="104">
        <f>'BPS-Statistics summary'!AH38</f>
        <v>4.8129582970638157E-2</v>
      </c>
      <c r="AF29" s="104">
        <f>'BPS-Statistics summary'!AI38</f>
        <v>4.8130022103267674E-2</v>
      </c>
      <c r="AG29" s="104">
        <f>'BPS-Statistics summary'!AJ38</f>
        <v>4.8130192247772902E-2</v>
      </c>
      <c r="AH29" s="104">
        <f>'BPS-Statistics summary'!AK38</f>
        <v>4.8129949019876939E-2</v>
      </c>
      <c r="AI29" s="104">
        <f>'BPS-Statistics summary'!AL38</f>
        <v>4.8129936585388916E-2</v>
      </c>
      <c r="AJ29" s="104">
        <f>'BPS-Statistics summary'!AM38</f>
        <v>4.8130024989076606E-2</v>
      </c>
      <c r="AK29" s="104">
        <f>'BPS-Statistics summary'!AN38</f>
        <v>4.8130025710528837E-2</v>
      </c>
      <c r="AL29" s="104">
        <f>'BPS-Statistics summary'!AO38</f>
        <v>4.8129984076217824E-2</v>
      </c>
      <c r="AM29" s="104">
        <f>'BPS-Statistics summary'!AP38</f>
        <v>4.8129992840303046E-2</v>
      </c>
      <c r="AN29" s="104">
        <f>'BPS-Statistics summary'!AQ38</f>
        <v>4.8130006904031575E-2</v>
      </c>
      <c r="AO29" s="104">
        <f>'BPS-Statistics summary'!AR38</f>
        <v>4.8130002382770321E-2</v>
      </c>
      <c r="AP29" s="104">
        <f>'BPS-Statistics summary'!AS38</f>
        <v>4.8129996550830695E-2</v>
      </c>
      <c r="AQ29" s="104">
        <f>'BPS-Statistics summary'!AT38</f>
        <v>4.8129999669483912E-2</v>
      </c>
      <c r="AR29" s="104">
        <f>'BPS-Statistics summary'!AU38</f>
        <v>4.8130001376779127E-2</v>
      </c>
      <c r="AS29" s="104">
        <f>'BPS-Statistics summary'!AV38</f>
        <v>4.8129999994966019E-2</v>
      </c>
      <c r="AT29" s="104">
        <f>'BPS-Statistics summary'!AW38</f>
        <v>4.8129999398014947E-2</v>
      </c>
      <c r="AU29" s="104">
        <f>'BPS-Statistics summary'!AX38</f>
        <v>4.8130000109811E-2</v>
      </c>
      <c r="AV29" s="104">
        <f>'BPS-Statistics summary'!AY38</f>
        <v>4.8130000219892777E-2</v>
      </c>
      <c r="AW29" s="104">
        <f>'BPS-Statistics summary'!AZ38</f>
        <v>4.8129999930671186E-2</v>
      </c>
      <c r="AX29" s="104">
        <f>'BPS-Statistics summary'!BA38</f>
        <v>4.8129999914597474E-2</v>
      </c>
      <c r="AY29" s="104">
        <f>'BPS-Statistics summary'!BB38</f>
        <v>4.8130000043743112E-2</v>
      </c>
      <c r="AZ29" s="104">
        <f>'BPS-Statistics summary'!BC38</f>
        <v>4.8130000027226144E-2</v>
      </c>
      <c r="BA29" s="104">
        <f>'BPS-Statistics summary'!BD38</f>
        <v>4.8129999979059479E-2</v>
      </c>
    </row>
    <row r="30" spans="1:53" ht="15.75" customHeight="1" x14ac:dyDescent="0.25">
      <c r="A30" s="2" t="s">
        <v>80</v>
      </c>
      <c r="B30" s="105">
        <f>'BPS-Statistics summary'!E39</f>
        <v>4.5999999999999999E-2</v>
      </c>
      <c r="C30" s="105">
        <f>'BPS-Statistics summary'!F39</f>
        <v>-3.7900000000000003E-2</v>
      </c>
      <c r="D30" s="105">
        <f>'BPS-Statistics summary'!G39</f>
        <v>4.6300000000000001E-2</v>
      </c>
      <c r="E30" s="105">
        <f>'BPS-Statistics summary'!H39</f>
        <v>5.5300000000000002E-2</v>
      </c>
      <c r="F30" s="105">
        <f>'BPS-Statistics summary'!I39</f>
        <v>4.8499999999999995E-2</v>
      </c>
      <c r="G30" s="105">
        <f>'BPS-Statistics summary'!J39</f>
        <v>4.8899999999999999E-2</v>
      </c>
      <c r="H30" s="105">
        <f>'BPS-Statistics summary'!K39</f>
        <v>5.4900000000000004E-2</v>
      </c>
      <c r="I30" s="105">
        <f>'BPS-Statistics summary'!L39</f>
        <v>5.1900000000000002E-2</v>
      </c>
      <c r="J30" s="105">
        <f>'BPS-Statistics summary'!M39</f>
        <v>5.1049999999999998E-2</v>
      </c>
      <c r="K30" s="105">
        <f>'BPS-Statistics summary'!N39</f>
        <v>5.1687499999999997E-2</v>
      </c>
      <c r="L30" s="105">
        <f>'BPS-Statistics summary'!O39</f>
        <v>5.2384374999999997E-2</v>
      </c>
      <c r="M30" s="105">
        <f>'BPS-Statistics summary'!P39</f>
        <v>5.1755468749999992E-2</v>
      </c>
      <c r="N30" s="105">
        <f>'BPS-Statistics summary'!Q39</f>
        <v>5.1719335937499999E-2</v>
      </c>
      <c r="O30" s="105">
        <f>'BPS-Statistics summary'!R39</f>
        <v>5.1886669921874996E-2</v>
      </c>
      <c r="P30" s="105">
        <f>'BPS-Statistics summary'!S39</f>
        <v>5.1936462402343744E-2</v>
      </c>
      <c r="Q30" s="105">
        <f>'BPS-Statistics summary'!T39</f>
        <v>5.1824484252929681E-2</v>
      </c>
      <c r="R30" s="105">
        <f>'BPS-Statistics summary'!U39</f>
        <v>5.1841738128662107E-2</v>
      </c>
      <c r="S30" s="105">
        <f>'BPS-Statistics summary'!V39</f>
        <v>5.1872338676452634E-2</v>
      </c>
      <c r="T30" s="105">
        <f>'BPS-Statistics summary'!W39</f>
        <v>5.1868755865097038E-2</v>
      </c>
      <c r="U30" s="105">
        <f>'BPS-Statistics summary'!X39</f>
        <v>5.1851829230785365E-2</v>
      </c>
      <c r="V30" s="105">
        <f>'BPS-Statistics summary'!Y39</f>
        <v>5.1858665475249283E-2</v>
      </c>
      <c r="W30" s="105">
        <f>'BPS-Statistics summary'!Z39</f>
        <v>5.1862897311896076E-2</v>
      </c>
      <c r="X30" s="105">
        <f>'BPS-Statistics summary'!AA39</f>
        <v>5.1860536970756946E-2</v>
      </c>
      <c r="Y30" s="105">
        <f>'BPS-Statistics summary'!AB39</f>
        <v>5.1858482247171919E-2</v>
      </c>
      <c r="Z30" s="105">
        <f>'BPS-Statistics summary'!AC39</f>
        <v>5.1860145501268565E-2</v>
      </c>
      <c r="AA30" s="105">
        <f>'BPS-Statistics summary'!AD39</f>
        <v>5.1860515507773375E-2</v>
      </c>
      <c r="AB30" s="105">
        <f>'BPS-Statistics summary'!AE39</f>
        <v>5.1859920056742698E-2</v>
      </c>
      <c r="AC30" s="105">
        <f>'BPS-Statistics summary'!AF39</f>
        <v>5.1859765828239139E-2</v>
      </c>
      <c r="AD30" s="105">
        <f>'BPS-Statistics summary'!AG39</f>
        <v>5.1860086723505949E-2</v>
      </c>
      <c r="AE30" s="105">
        <f>'BPS-Statistics summary'!AH39</f>
        <v>5.1860072029065292E-2</v>
      </c>
      <c r="AF30" s="105">
        <f>'BPS-Statistics summary'!AI39</f>
        <v>5.185996115938827E-2</v>
      </c>
      <c r="AG30" s="105">
        <f>'BPS-Statistics summary'!AJ39</f>
        <v>5.1859971435049661E-2</v>
      </c>
      <c r="AH30" s="105">
        <f>'BPS-Statistics summary'!AK39</f>
        <v>5.1860022836752291E-2</v>
      </c>
      <c r="AI30" s="105">
        <f>'BPS-Statistics summary'!AL39</f>
        <v>5.1860006865063875E-2</v>
      </c>
      <c r="AJ30" s="105">
        <f>'BPS-Statistics summary'!AM39</f>
        <v>5.1859990574063521E-2</v>
      </c>
      <c r="AK30" s="105">
        <f>'BPS-Statistics summary'!AN39</f>
        <v>5.1859997927732333E-2</v>
      </c>
      <c r="AL30" s="105">
        <f>'BPS-Statistics summary'!AO39</f>
        <v>5.1860004550903005E-2</v>
      </c>
      <c r="AM30" s="105">
        <f>'BPS-Statistics summary'!AP39</f>
        <v>5.1859999979440685E-2</v>
      </c>
      <c r="AN30" s="105">
        <f>'BPS-Statistics summary'!AQ39</f>
        <v>5.1859998258034889E-2</v>
      </c>
      <c r="AO30" s="105">
        <f>'BPS-Statistics summary'!AR39</f>
        <v>5.1860000179027727E-2</v>
      </c>
      <c r="AP30" s="105">
        <f>'BPS-Statistics summary'!AS39</f>
        <v>5.1860000741851577E-2</v>
      </c>
      <c r="AQ30" s="105">
        <f>'BPS-Statistics summary'!AT39</f>
        <v>5.1859999789588718E-2</v>
      </c>
      <c r="AR30" s="105">
        <f>'BPS-Statistics summary'!AU39</f>
        <v>5.1859999742125726E-2</v>
      </c>
      <c r="AS30" s="105">
        <f>'BPS-Statistics summary'!AV39</f>
        <v>5.1860000113148438E-2</v>
      </c>
      <c r="AT30" s="105">
        <f>'BPS-Statistics summary'!AW39</f>
        <v>5.1860000096678613E-2</v>
      </c>
      <c r="AU30" s="105">
        <f>'BPS-Statistics summary'!AX39</f>
        <v>5.185999993538537E-2</v>
      </c>
      <c r="AV30" s="105">
        <f>'BPS-Statistics summary'!AY39</f>
        <v>5.1859999971834533E-2</v>
      </c>
      <c r="AW30" s="105">
        <f>'BPS-Statistics summary'!AZ39</f>
        <v>5.1860000029261735E-2</v>
      </c>
      <c r="AX30" s="105">
        <f>'BPS-Statistics summary'!BA39</f>
        <v>5.1860000008290066E-2</v>
      </c>
      <c r="AY30" s="105">
        <f>'BPS-Statistics summary'!BB39</f>
        <v>5.1859999986192923E-2</v>
      </c>
      <c r="AZ30" s="105">
        <f>'BPS-Statistics summary'!BC39</f>
        <v>5.1859999998894811E-2</v>
      </c>
      <c r="BA30" s="105">
        <f>'BPS-Statistics summary'!BD39</f>
        <v>5.1860000005659886E-2</v>
      </c>
    </row>
    <row r="31" spans="1:53" ht="15.75" customHeight="1" x14ac:dyDescent="0.25">
      <c r="A31" s="2" t="s">
        <v>82</v>
      </c>
      <c r="B31" s="104">
        <f>'BPS-Statistics summary'!E42</f>
        <v>6.3799999999999996E-2</v>
      </c>
      <c r="C31" s="104">
        <f>'BPS-Statistics summary'!F42</f>
        <v>-0.15049999999999999</v>
      </c>
      <c r="D31" s="104">
        <f>'BPS-Statistics summary'!G42</f>
        <v>3.2400000000000005E-2</v>
      </c>
      <c r="E31" s="104">
        <f>'BPS-Statistics summary'!H42</f>
        <v>0.19870000000000002</v>
      </c>
      <c r="F31" s="104">
        <f>'BPS-Statistics summary'!I42</f>
        <v>0.1396</v>
      </c>
      <c r="G31" s="104">
        <f>'BPS-Statistics summary'!J42</f>
        <v>8.6899999999999991E-2</v>
      </c>
      <c r="H31" s="104">
        <f>'BPS-Statistics summary'!K42</f>
        <v>8.7799999999999989E-2</v>
      </c>
      <c r="I31" s="104">
        <f>'BPS-Statistics summary'!L42</f>
        <v>0.12825</v>
      </c>
      <c r="J31" s="104">
        <f>'BPS-Statistics summary'!M42</f>
        <v>0.1106375</v>
      </c>
      <c r="K31" s="104">
        <f>'BPS-Statistics summary'!N42</f>
        <v>0.10339687499999999</v>
      </c>
      <c r="L31" s="104">
        <f>'BPS-Statistics summary'!O42</f>
        <v>0.10752109375</v>
      </c>
      <c r="M31" s="104">
        <f>'BPS-Statistics summary'!P42</f>
        <v>0.1124513671875</v>
      </c>
      <c r="N31" s="104">
        <f>'BPS-Statistics summary'!Q42</f>
        <v>0.108501708984375</v>
      </c>
      <c r="O31" s="104">
        <f>'BPS-Statistics summary'!R42</f>
        <v>0.10796776123046875</v>
      </c>
      <c r="P31" s="104">
        <f>'BPS-Statistics summary'!S42</f>
        <v>0.10911048278808594</v>
      </c>
      <c r="Q31" s="104">
        <f>'BPS-Statistics summary'!T42</f>
        <v>0.10950783004760742</v>
      </c>
      <c r="R31" s="104">
        <f>'BPS-Statistics summary'!U42</f>
        <v>0.10877194576263427</v>
      </c>
      <c r="S31" s="104">
        <f>'BPS-Statistics summary'!V42</f>
        <v>0.1088395049571991</v>
      </c>
      <c r="T31" s="104">
        <f>'BPS-Statistics summary'!W42</f>
        <v>0.10905744088888167</v>
      </c>
      <c r="U31" s="104">
        <f>'BPS-Statistics summary'!X42</f>
        <v>0.10904418041408062</v>
      </c>
      <c r="V31" s="104">
        <f>'BPS-Statistics summary'!Y42</f>
        <v>0.10892826800569891</v>
      </c>
      <c r="W31" s="104">
        <f>'BPS-Statistics summary'!Z42</f>
        <v>0.10896734856646506</v>
      </c>
      <c r="X31" s="104">
        <f>'BPS-Statistics summary'!AA42</f>
        <v>0.10899930946878156</v>
      </c>
      <c r="Y31" s="104">
        <f>'BPS-Statistics summary'!AB42</f>
        <v>0.10898477661375654</v>
      </c>
      <c r="Z31" s="104">
        <f>'BPS-Statistics summary'!AC42</f>
        <v>0.10896992566367551</v>
      </c>
      <c r="AA31" s="104">
        <f>'BPS-Statistics summary'!AD42</f>
        <v>0.10898034007816967</v>
      </c>
      <c r="AB31" s="104">
        <f>'BPS-Statistics summary'!AE42</f>
        <v>0.10898358795609583</v>
      </c>
      <c r="AC31" s="104">
        <f>'BPS-Statistics summary'!AF42</f>
        <v>0.10897965757792438</v>
      </c>
      <c r="AD31" s="104">
        <f>'BPS-Statistics summary'!AG42</f>
        <v>0.10897837781896635</v>
      </c>
      <c r="AE31" s="104">
        <f>'BPS-Statistics summary'!AH42</f>
        <v>0.10898049085778906</v>
      </c>
      <c r="AF31" s="104">
        <f>'BPS-Statistics summary'!AI42</f>
        <v>0.10898052855269391</v>
      </c>
      <c r="AG31" s="104">
        <f>'BPS-Statistics summary'!AJ42</f>
        <v>0.10897976370184342</v>
      </c>
      <c r="AH31" s="104">
        <f>'BPS-Statistics summary'!AK42</f>
        <v>0.10897979023282318</v>
      </c>
      <c r="AI31" s="104">
        <f>'BPS-Statistics summary'!AL42</f>
        <v>0.10898014333628739</v>
      </c>
      <c r="AJ31" s="104">
        <f>'BPS-Statistics summary'!AM42</f>
        <v>0.10898005645591197</v>
      </c>
      <c r="AK31" s="104">
        <f>'BPS-Statistics summary'!AN42</f>
        <v>0.10897993843171648</v>
      </c>
      <c r="AL31" s="104">
        <f>'BPS-Statistics summary'!AO42</f>
        <v>0.10897998211418476</v>
      </c>
      <c r="AM31" s="104">
        <f>'BPS-Statistics summary'!AP42</f>
        <v>0.10898003008452514</v>
      </c>
      <c r="AN31" s="104">
        <f>'BPS-Statistics summary'!AQ42</f>
        <v>0.10898000177158459</v>
      </c>
      <c r="AO31" s="104">
        <f>'BPS-Statistics summary'!AR42</f>
        <v>0.10897998810050274</v>
      </c>
      <c r="AP31" s="104">
        <f>'BPS-Statistics summary'!AS42</f>
        <v>0.10898000051769931</v>
      </c>
      <c r="AQ31" s="104">
        <f>'BPS-Statistics summary'!AT42</f>
        <v>0.10898000511857794</v>
      </c>
      <c r="AR31" s="104">
        <f>'BPS-Statistics summary'!AU42</f>
        <v>0.10897999887709114</v>
      </c>
      <c r="AS31" s="104">
        <f>'BPS-Statistics summary'!AV42</f>
        <v>0.10897999815346777</v>
      </c>
      <c r="AT31" s="104">
        <f>'BPS-Statistics summary'!AW42</f>
        <v>0.10898000066670904</v>
      </c>
      <c r="AU31" s="104">
        <f>'BPS-Statistics summary'!AX42</f>
        <v>0.10898000070396148</v>
      </c>
      <c r="AV31" s="104">
        <f>'BPS-Statistics summary'!AY42</f>
        <v>0.10897999960030735</v>
      </c>
      <c r="AW31" s="104">
        <f>'BPS-Statistics summary'!AZ42</f>
        <v>0.10897999978111141</v>
      </c>
      <c r="AX31" s="104">
        <f>'BPS-Statistics summary'!BA42</f>
        <v>0.10898000018802231</v>
      </c>
      <c r="AY31" s="104">
        <f>'BPS-Statistics summary'!BB42</f>
        <v>0.10898000006835062</v>
      </c>
      <c r="AZ31" s="104">
        <f>'BPS-Statistics summary'!BC42</f>
        <v>0.10897999990944793</v>
      </c>
      <c r="BA31" s="104">
        <f>'BPS-Statistics summary'!BD42</f>
        <v>0.10897999998673308</v>
      </c>
    </row>
    <row r="32" spans="1:53" ht="15.75" customHeight="1" x14ac:dyDescent="0.25">
      <c r="A32" s="2" t="s">
        <v>89</v>
      </c>
      <c r="B32" s="104">
        <f>'BPS-Statistics summary'!E49</f>
        <v>5.79E-2</v>
      </c>
      <c r="C32" s="104">
        <f>'BPS-Statistics summary'!F49</f>
        <v>-0.1026</v>
      </c>
      <c r="D32" s="104">
        <f>'BPS-Statistics summary'!G49</f>
        <v>3.8800000000000001E-2</v>
      </c>
      <c r="E32" s="104">
        <f>'BPS-Statistics summary'!H49</f>
        <v>0.11939999999999999</v>
      </c>
      <c r="F32" s="104">
        <f>'BPS-Statistics summary'!I49</f>
        <v>0.1</v>
      </c>
      <c r="G32" s="104">
        <f>'BPS-Statistics summary'!J49</f>
        <v>8.4600000000000009E-2</v>
      </c>
      <c r="H32" s="104">
        <f>'BPS-Statistics summary'!K49</f>
        <v>7.4099999999999999E-2</v>
      </c>
      <c r="I32" s="104">
        <f>'BPS-Statistics summary'!L49</f>
        <v>9.4524999999999998E-2</v>
      </c>
      <c r="J32" s="104">
        <f>'BPS-Statistics summary'!M49</f>
        <v>8.8306250000000003E-2</v>
      </c>
      <c r="K32" s="104">
        <f>'BPS-Statistics summary'!N49</f>
        <v>8.5382812500000016E-2</v>
      </c>
      <c r="L32" s="104">
        <f>'BPS-Statistics summary'!O49</f>
        <v>8.5578515625000004E-2</v>
      </c>
      <c r="M32" s="104">
        <f>'BPS-Statistics summary'!P49</f>
        <v>8.8448144531250009E-2</v>
      </c>
      <c r="N32" s="104">
        <f>'BPS-Statistics summary'!Q49</f>
        <v>8.6928930664062501E-2</v>
      </c>
      <c r="O32" s="104">
        <f>'BPS-Statistics summary'!R49</f>
        <v>8.6584600830078129E-2</v>
      </c>
      <c r="P32" s="104">
        <f>'BPS-Statistics summary'!S49</f>
        <v>8.6885047912597657E-2</v>
      </c>
      <c r="Q32" s="104">
        <f>'BPS-Statistics summary'!T49</f>
        <v>8.7211680984497081E-2</v>
      </c>
      <c r="R32" s="104">
        <f>'BPS-Statistics summary'!U49</f>
        <v>8.6902565097808832E-2</v>
      </c>
      <c r="S32" s="104">
        <f>'BPS-Statistics summary'!V49</f>
        <v>8.6895973706245411E-2</v>
      </c>
      <c r="T32" s="104">
        <f>'BPS-Statistics summary'!W49</f>
        <v>8.6973816925287245E-2</v>
      </c>
      <c r="U32" s="104">
        <f>'BPS-Statistics summary'!X49</f>
        <v>8.6996009178459649E-2</v>
      </c>
      <c r="V32" s="104">
        <f>'BPS-Statistics summary'!Y49</f>
        <v>8.6942091226950291E-2</v>
      </c>
      <c r="W32" s="104">
        <f>'BPS-Statistics summary'!Z49</f>
        <v>8.6951972759235649E-2</v>
      </c>
      <c r="X32" s="104">
        <f>'BPS-Statistics summary'!AA49</f>
        <v>8.6965972522483212E-2</v>
      </c>
      <c r="Y32" s="104">
        <f>'BPS-Statistics summary'!AB49</f>
        <v>8.69640114217822E-2</v>
      </c>
      <c r="Z32" s="104">
        <f>'BPS-Statistics summary'!AC49</f>
        <v>8.6956011982612852E-2</v>
      </c>
      <c r="AA32" s="104">
        <f>'BPS-Statistics summary'!AD49</f>
        <v>8.6959492171528485E-2</v>
      </c>
      <c r="AB32" s="104">
        <f>'BPS-Statistics summary'!AE49</f>
        <v>8.6961372024601677E-2</v>
      </c>
      <c r="AC32" s="104">
        <f>'BPS-Statistics summary'!AF49</f>
        <v>8.6960221900131307E-2</v>
      </c>
      <c r="AD32" s="104">
        <f>'BPS-Statistics summary'!AG49</f>
        <v>8.6959274519718577E-2</v>
      </c>
      <c r="AE32" s="104">
        <f>'BPS-Statistics summary'!AH49</f>
        <v>8.6960090153995015E-2</v>
      </c>
      <c r="AF32" s="104">
        <f>'BPS-Statistics summary'!AI49</f>
        <v>8.6960239649611651E-2</v>
      </c>
      <c r="AG32" s="104">
        <f>'BPS-Statistics summary'!AJ49</f>
        <v>8.6959956555864137E-2</v>
      </c>
      <c r="AH32" s="104">
        <f>'BPS-Statistics summary'!AK49</f>
        <v>8.6959890219797345E-2</v>
      </c>
      <c r="AI32" s="104">
        <f>'BPS-Statistics summary'!AL49</f>
        <v>8.6960044144817034E-2</v>
      </c>
      <c r="AJ32" s="104">
        <f>'BPS-Statistics summary'!AM49</f>
        <v>8.6960032642522528E-2</v>
      </c>
      <c r="AK32" s="104">
        <f>'BPS-Statistics summary'!AN49</f>
        <v>8.6959980890750244E-2</v>
      </c>
      <c r="AL32" s="104">
        <f>'BPS-Statistics summary'!AO49</f>
        <v>8.6959986974471784E-2</v>
      </c>
      <c r="AM32" s="104">
        <f>'BPS-Statistics summary'!AP49</f>
        <v>8.6960011163140394E-2</v>
      </c>
      <c r="AN32" s="104">
        <f>'BPS-Statistics summary'!AQ49</f>
        <v>8.6960002917721241E-2</v>
      </c>
      <c r="AO32" s="104">
        <f>'BPS-Statistics summary'!AR49</f>
        <v>8.6959995486520919E-2</v>
      </c>
      <c r="AP32" s="104">
        <f>'BPS-Statistics summary'!AS49</f>
        <v>8.6959999135463567E-2</v>
      </c>
      <c r="AQ32" s="104">
        <f>'BPS-Statistics summary'!AT49</f>
        <v>8.6960002175711537E-2</v>
      </c>
      <c r="AR32" s="104">
        <f>'BPS-Statistics summary'!AU49</f>
        <v>8.6959999928854309E-2</v>
      </c>
      <c r="AS32" s="104">
        <f>'BPS-Statistics summary'!AV49</f>
        <v>8.6959999181637576E-2</v>
      </c>
      <c r="AT32" s="104">
        <f>'BPS-Statistics summary'!AW49</f>
        <v>8.696000010541674E-2</v>
      </c>
      <c r="AU32" s="104">
        <f>'BPS-Statistics summary'!AX49</f>
        <v>8.6960000347905048E-2</v>
      </c>
      <c r="AV32" s="104">
        <f>'BPS-Statistics summary'!AY49</f>
        <v>8.6959999890953432E-2</v>
      </c>
      <c r="AW32" s="104">
        <f>'BPS-Statistics summary'!AZ49</f>
        <v>8.6959999881478192E-2</v>
      </c>
      <c r="AX32" s="104">
        <f>'BPS-Statistics summary'!BA49</f>
        <v>8.696000005643835E-2</v>
      </c>
      <c r="AY32" s="104">
        <f>'BPS-Statistics summary'!BB49</f>
        <v>8.6960000044193755E-2</v>
      </c>
      <c r="AZ32" s="104">
        <f>'BPS-Statistics summary'!BC49</f>
        <v>8.6959999968265922E-2</v>
      </c>
      <c r="BA32" s="104">
        <f>'BPS-Statistics summary'!BD49</f>
        <v>8.6959999987594058E-2</v>
      </c>
    </row>
    <row r="33" spans="1:53" ht="15.75" customHeight="1" x14ac:dyDescent="0.25">
      <c r="A33" s="2" t="s">
        <v>91</v>
      </c>
      <c r="B33" s="104">
        <f>'BPS-Statistics summary'!E52</f>
        <v>9.4200000000000006E-2</v>
      </c>
      <c r="C33" s="104">
        <f>'BPS-Statistics summary'!F52</f>
        <v>0.1061</v>
      </c>
      <c r="D33" s="104">
        <f>'BPS-Statistics summary'!G52</f>
        <v>6.8199999999999997E-2</v>
      </c>
      <c r="E33" s="104">
        <f>'BPS-Statistics summary'!H52</f>
        <v>7.7300000000000008E-2</v>
      </c>
      <c r="F33" s="104">
        <f>'BPS-Statistics summary'!I52</f>
        <v>7.5899999999999995E-2</v>
      </c>
      <c r="G33" s="104">
        <f>'BPS-Statistics summary'!J52</f>
        <v>7.5700000000000003E-2</v>
      </c>
      <c r="H33" s="104">
        <f>'BPS-Statistics summary'!K52</f>
        <v>8.3499999999999991E-2</v>
      </c>
      <c r="I33" s="104">
        <f>'BPS-Statistics summary'!L52</f>
        <v>7.8100000000000003E-2</v>
      </c>
      <c r="J33" s="104">
        <f>'BPS-Statistics summary'!M52</f>
        <v>7.8300000000000008E-2</v>
      </c>
      <c r="K33" s="104">
        <f>'BPS-Statistics summary'!N52</f>
        <v>7.8899999999999998E-2</v>
      </c>
      <c r="L33" s="104">
        <f>'BPS-Statistics summary'!O52</f>
        <v>7.9699999999999993E-2</v>
      </c>
      <c r="M33" s="104">
        <f>'BPS-Statistics summary'!P52</f>
        <v>7.8750000000000001E-2</v>
      </c>
      <c r="N33" s="104">
        <f>'BPS-Statistics summary'!Q52</f>
        <v>7.8912499999999997E-2</v>
      </c>
      <c r="O33" s="104">
        <f>'BPS-Statistics summary'!R52</f>
        <v>7.9065625E-2</v>
      </c>
      <c r="P33" s="104">
        <f>'BPS-Statistics summary'!S52</f>
        <v>7.9107031249999987E-2</v>
      </c>
      <c r="Q33" s="104">
        <f>'BPS-Statistics summary'!T52</f>
        <v>7.8958789062499993E-2</v>
      </c>
      <c r="R33" s="104">
        <f>'BPS-Statistics summary'!U52</f>
        <v>7.9010986328124991E-2</v>
      </c>
      <c r="S33" s="104">
        <f>'BPS-Statistics summary'!V52</f>
        <v>7.9035607910156236E-2</v>
      </c>
      <c r="T33" s="104">
        <f>'BPS-Statistics summary'!W52</f>
        <v>7.9028103637695302E-2</v>
      </c>
      <c r="U33" s="104">
        <f>'BPS-Statistics summary'!X52</f>
        <v>7.9008371734619137E-2</v>
      </c>
      <c r="V33" s="104">
        <f>'BPS-Statistics summary'!Y52</f>
        <v>7.9020767402648906E-2</v>
      </c>
      <c r="W33" s="104">
        <f>'BPS-Statistics summary'!Z52</f>
        <v>7.9023212671279902E-2</v>
      </c>
      <c r="X33" s="104">
        <f>'BPS-Statistics summary'!AA52</f>
        <v>7.9020113861560812E-2</v>
      </c>
      <c r="Y33" s="104">
        <f>'BPS-Statistics summary'!AB52</f>
        <v>7.9018116417527193E-2</v>
      </c>
      <c r="Z33" s="104">
        <f>'BPS-Statistics summary'!AC52</f>
        <v>7.9020552588254203E-2</v>
      </c>
      <c r="AA33" s="104">
        <f>'BPS-Statistics summary'!AD52</f>
        <v>7.9020498884655524E-2</v>
      </c>
      <c r="AB33" s="104">
        <f>'BPS-Statistics summary'!AE52</f>
        <v>7.9019820437999433E-2</v>
      </c>
      <c r="AC33" s="104">
        <f>'BPS-Statistics summary'!AF52</f>
        <v>7.9019747082109085E-2</v>
      </c>
      <c r="AD33" s="104">
        <f>'BPS-Statistics summary'!AG52</f>
        <v>7.9020154748254565E-2</v>
      </c>
      <c r="AE33" s="104">
        <f>'BPS-Statistics summary'!AH52</f>
        <v>7.9020055288254648E-2</v>
      </c>
      <c r="AF33" s="104">
        <f>'BPS-Statistics summary'!AI52</f>
        <v>7.901994438915444E-2</v>
      </c>
      <c r="AG33" s="104">
        <f>'BPS-Statistics summary'!AJ52</f>
        <v>7.9019975376943191E-2</v>
      </c>
      <c r="AH33" s="104">
        <f>'BPS-Statistics summary'!AK52</f>
        <v>7.90200324506517E-2</v>
      </c>
      <c r="AI33" s="104">
        <f>'BPS-Statistics summary'!AL52</f>
        <v>7.9020001876250995E-2</v>
      </c>
      <c r="AJ33" s="104">
        <f>'BPS-Statistics summary'!AM52</f>
        <v>7.9019988523250081E-2</v>
      </c>
      <c r="AK33" s="104">
        <f>'BPS-Statistics summary'!AN52</f>
        <v>7.9019999556773995E-2</v>
      </c>
      <c r="AL33" s="104">
        <f>'BPS-Statistics summary'!AO52</f>
        <v>7.9020005601731697E-2</v>
      </c>
      <c r="AM33" s="104">
        <f>'BPS-Statistics summary'!AP52</f>
        <v>7.9019998889501689E-2</v>
      </c>
      <c r="AN33" s="104">
        <f>'BPS-Statistics summary'!AQ52</f>
        <v>7.9019998142814366E-2</v>
      </c>
      <c r="AO33" s="104">
        <f>'BPS-Statistics summary'!AR52</f>
        <v>7.902000054770543E-2</v>
      </c>
      <c r="AP33" s="104">
        <f>'BPS-Statistics summary'!AS52</f>
        <v>7.9020000795438292E-2</v>
      </c>
      <c r="AQ33" s="104">
        <f>'BPS-Statistics summary'!AT52</f>
        <v>7.9019999593864951E-2</v>
      </c>
      <c r="AR33" s="104">
        <f>'BPS-Statistics summary'!AU52</f>
        <v>7.9019999769955759E-2</v>
      </c>
      <c r="AS33" s="104">
        <f>'BPS-Statistics summary'!AV52</f>
        <v>7.9020000176741115E-2</v>
      </c>
      <c r="AT33" s="104">
        <f>'BPS-Statistics summary'!AW52</f>
        <v>7.9020000084000022E-2</v>
      </c>
      <c r="AU33" s="104">
        <f>'BPS-Statistics summary'!AX52</f>
        <v>7.9019999906140462E-2</v>
      </c>
      <c r="AV33" s="104">
        <f>'BPS-Statistics summary'!AY52</f>
        <v>7.9019999984209333E-2</v>
      </c>
      <c r="AW33" s="104">
        <f>'BPS-Statistics summary'!AZ52</f>
        <v>7.9020000037772736E-2</v>
      </c>
      <c r="AX33" s="104">
        <f>'BPS-Statistics summary'!BA52</f>
        <v>7.9020000003030638E-2</v>
      </c>
      <c r="AY33" s="104">
        <f>'BPS-Statistics summary'!BB52</f>
        <v>7.9019999982788289E-2</v>
      </c>
      <c r="AZ33" s="104">
        <f>'BPS-Statistics summary'!BC52</f>
        <v>7.9020000001950252E-2</v>
      </c>
      <c r="BA33" s="104">
        <f>'BPS-Statistics summary'!BD52</f>
        <v>7.9020000006385482E-2</v>
      </c>
    </row>
    <row r="34" spans="1:53" ht="15.75" customHeight="1" x14ac:dyDescent="0.25">
      <c r="A34" s="2" t="s">
        <v>93</v>
      </c>
      <c r="B34" s="104">
        <f>'BPS-Statistics summary'!E52</f>
        <v>9.4200000000000006E-2</v>
      </c>
      <c r="C34" s="104">
        <f>'BPS-Statistics summary'!F52</f>
        <v>0.1061</v>
      </c>
      <c r="D34" s="104">
        <f>'BPS-Statistics summary'!G52</f>
        <v>6.8199999999999997E-2</v>
      </c>
      <c r="E34" s="104">
        <f>'BPS-Statistics summary'!H52</f>
        <v>7.7300000000000008E-2</v>
      </c>
      <c r="F34" s="104">
        <f>'BPS-Statistics summary'!I52</f>
        <v>7.5899999999999995E-2</v>
      </c>
      <c r="G34" s="104">
        <f>'BPS-Statistics summary'!J52</f>
        <v>7.5700000000000003E-2</v>
      </c>
      <c r="H34" s="104">
        <f>'BPS-Statistics summary'!K52</f>
        <v>8.3499999999999991E-2</v>
      </c>
      <c r="I34" s="104">
        <f>'BPS-Statistics summary'!L52</f>
        <v>7.8100000000000003E-2</v>
      </c>
      <c r="J34" s="104">
        <f>'BPS-Statistics summary'!M52</f>
        <v>7.8300000000000008E-2</v>
      </c>
      <c r="K34" s="104">
        <f>'BPS-Statistics summary'!N52</f>
        <v>7.8899999999999998E-2</v>
      </c>
      <c r="L34" s="104">
        <f>'BPS-Statistics summary'!O52</f>
        <v>7.9699999999999993E-2</v>
      </c>
      <c r="M34" s="104">
        <f>'BPS-Statistics summary'!P52</f>
        <v>7.8750000000000001E-2</v>
      </c>
      <c r="N34" s="104">
        <f>'BPS-Statistics summary'!Q52</f>
        <v>7.8912499999999997E-2</v>
      </c>
      <c r="O34" s="104">
        <f>'BPS-Statistics summary'!R52</f>
        <v>7.9065625E-2</v>
      </c>
      <c r="P34" s="104">
        <f>'BPS-Statistics summary'!S52</f>
        <v>7.9107031249999987E-2</v>
      </c>
      <c r="Q34" s="104">
        <f>'BPS-Statistics summary'!T52</f>
        <v>7.8958789062499993E-2</v>
      </c>
      <c r="R34" s="104">
        <f>'BPS-Statistics summary'!U52</f>
        <v>7.9010986328124991E-2</v>
      </c>
      <c r="S34" s="104">
        <f>'BPS-Statistics summary'!V52</f>
        <v>7.9035607910156236E-2</v>
      </c>
      <c r="T34" s="104">
        <f>'BPS-Statistics summary'!W52</f>
        <v>7.9028103637695302E-2</v>
      </c>
      <c r="U34" s="104">
        <f>'BPS-Statistics summary'!X52</f>
        <v>7.9008371734619137E-2</v>
      </c>
      <c r="V34" s="104">
        <f>'BPS-Statistics summary'!Y52</f>
        <v>7.9020767402648906E-2</v>
      </c>
      <c r="W34" s="104">
        <f>'BPS-Statistics summary'!Z52</f>
        <v>7.9023212671279902E-2</v>
      </c>
      <c r="X34" s="104">
        <f>'BPS-Statistics summary'!AA52</f>
        <v>7.9020113861560812E-2</v>
      </c>
      <c r="Y34" s="104">
        <f>'BPS-Statistics summary'!AB52</f>
        <v>7.9018116417527193E-2</v>
      </c>
      <c r="Z34" s="104">
        <f>'BPS-Statistics summary'!AC52</f>
        <v>7.9020552588254203E-2</v>
      </c>
      <c r="AA34" s="104">
        <f>'BPS-Statistics summary'!AD52</f>
        <v>7.9020498884655524E-2</v>
      </c>
      <c r="AB34" s="104">
        <f>'BPS-Statistics summary'!AE52</f>
        <v>7.9019820437999433E-2</v>
      </c>
      <c r="AC34" s="104">
        <f>'BPS-Statistics summary'!AF52</f>
        <v>7.9019747082109085E-2</v>
      </c>
      <c r="AD34" s="104">
        <f>'BPS-Statistics summary'!AG52</f>
        <v>7.9020154748254565E-2</v>
      </c>
      <c r="AE34" s="104">
        <f>'BPS-Statistics summary'!AH52</f>
        <v>7.9020055288254648E-2</v>
      </c>
      <c r="AF34" s="104">
        <f>'BPS-Statistics summary'!AI52</f>
        <v>7.901994438915444E-2</v>
      </c>
      <c r="AG34" s="104">
        <f>'BPS-Statistics summary'!AJ52</f>
        <v>7.9019975376943191E-2</v>
      </c>
      <c r="AH34" s="104">
        <f>'BPS-Statistics summary'!AK52</f>
        <v>7.90200324506517E-2</v>
      </c>
      <c r="AI34" s="104">
        <f>'BPS-Statistics summary'!AL52</f>
        <v>7.9020001876250995E-2</v>
      </c>
      <c r="AJ34" s="104">
        <f>'BPS-Statistics summary'!AM52</f>
        <v>7.9019988523250081E-2</v>
      </c>
      <c r="AK34" s="104">
        <f>'BPS-Statistics summary'!AN52</f>
        <v>7.9019999556773995E-2</v>
      </c>
      <c r="AL34" s="104">
        <f>'BPS-Statistics summary'!AO52</f>
        <v>7.9020005601731697E-2</v>
      </c>
      <c r="AM34" s="104">
        <f>'BPS-Statistics summary'!AP52</f>
        <v>7.9019998889501689E-2</v>
      </c>
      <c r="AN34" s="104">
        <f>'BPS-Statistics summary'!AQ52</f>
        <v>7.9019998142814366E-2</v>
      </c>
      <c r="AO34" s="104">
        <f>'BPS-Statistics summary'!AR52</f>
        <v>7.902000054770543E-2</v>
      </c>
      <c r="AP34" s="104">
        <f>'BPS-Statistics summary'!AS52</f>
        <v>7.9020000795438292E-2</v>
      </c>
      <c r="AQ34" s="104">
        <f>'BPS-Statistics summary'!AT52</f>
        <v>7.9019999593864951E-2</v>
      </c>
      <c r="AR34" s="104">
        <f>'BPS-Statistics summary'!AU52</f>
        <v>7.9019999769955759E-2</v>
      </c>
      <c r="AS34" s="104">
        <f>'BPS-Statistics summary'!AV52</f>
        <v>7.9020000176741115E-2</v>
      </c>
      <c r="AT34" s="104">
        <f>'BPS-Statistics summary'!AW52</f>
        <v>7.9020000084000022E-2</v>
      </c>
      <c r="AU34" s="104">
        <f>'BPS-Statistics summary'!AX52</f>
        <v>7.9019999906140462E-2</v>
      </c>
      <c r="AV34" s="104">
        <f>'BPS-Statistics summary'!AY52</f>
        <v>7.9019999984209333E-2</v>
      </c>
      <c r="AW34" s="104">
        <f>'BPS-Statistics summary'!AZ52</f>
        <v>7.9020000037772736E-2</v>
      </c>
      <c r="AX34" s="104">
        <f>'BPS-Statistics summary'!BA52</f>
        <v>7.9020000003030638E-2</v>
      </c>
      <c r="AY34" s="104">
        <f>'BPS-Statistics summary'!BB52</f>
        <v>7.9019999982788289E-2</v>
      </c>
      <c r="AZ34" s="104">
        <f>'BPS-Statistics summary'!BC52</f>
        <v>7.9020000001950252E-2</v>
      </c>
      <c r="BA34" s="104">
        <f>'BPS-Statistics summary'!BD52</f>
        <v>7.9020000006385482E-2</v>
      </c>
    </row>
    <row r="35" spans="1:53" ht="15.75" customHeight="1" x14ac:dyDescent="0.25">
      <c r="A35" s="2" t="s">
        <v>95</v>
      </c>
      <c r="B35" s="104">
        <f>'BPS-Statistics summary'!E59</f>
        <v>0.10249999999999999</v>
      </c>
      <c r="C35" s="104">
        <f>'BPS-Statistics summary'!F59</f>
        <v>-5.4400000000000004E-2</v>
      </c>
      <c r="D35" s="104">
        <f>'BPS-Statistics summary'!G59</f>
        <v>7.3000000000000001E-3</v>
      </c>
      <c r="E35" s="104">
        <f>'BPS-Statistics summary'!H59</f>
        <v>8.77E-2</v>
      </c>
      <c r="F35" s="104">
        <f>'BPS-Statistics summary'!I59</f>
        <v>8.2400000000000001E-2</v>
      </c>
      <c r="G35" s="104">
        <f>'BPS-Statistics summary'!J59</f>
        <v>8.3800000000000013E-2</v>
      </c>
      <c r="H35" s="104">
        <f>'BPS-Statistics summary'!K59</f>
        <v>9.0999999999999998E-2</v>
      </c>
      <c r="I35" s="104">
        <f>'BPS-Statistics summary'!L59</f>
        <v>8.6224999999999996E-2</v>
      </c>
      <c r="J35" s="104">
        <f>'BPS-Statistics summary'!M59</f>
        <v>8.5856249999999995E-2</v>
      </c>
      <c r="K35" s="104">
        <f>'BPS-Statistics summary'!N59</f>
        <v>8.6720312500000007E-2</v>
      </c>
      <c r="L35" s="104">
        <f>'BPS-Statistics summary'!O59</f>
        <v>8.7450390624999999E-2</v>
      </c>
      <c r="M35" s="104">
        <f>'BPS-Statistics summary'!P59</f>
        <v>8.6562988281249989E-2</v>
      </c>
      <c r="N35" s="104">
        <f>'BPS-Statistics summary'!Q59</f>
        <v>8.6647485351562498E-2</v>
      </c>
      <c r="O35" s="104">
        <f>'BPS-Statistics summary'!R59</f>
        <v>8.6845294189453109E-2</v>
      </c>
      <c r="P35" s="104">
        <f>'BPS-Statistics summary'!S59</f>
        <v>8.6876539611816406E-2</v>
      </c>
      <c r="Q35" s="104">
        <f>'BPS-Statistics summary'!T59</f>
        <v>8.6733076858520497E-2</v>
      </c>
      <c r="R35" s="104">
        <f>'BPS-Statistics summary'!U59</f>
        <v>8.6775599002838127E-2</v>
      </c>
      <c r="S35" s="104">
        <f>'BPS-Statistics summary'!V59</f>
        <v>8.6807627415657035E-2</v>
      </c>
      <c r="T35" s="104">
        <f>'BPS-Statistics summary'!W59</f>
        <v>8.679821072220803E-2</v>
      </c>
      <c r="U35" s="104">
        <f>'BPS-Statistics summary'!X59</f>
        <v>8.6778628499805915E-2</v>
      </c>
      <c r="V35" s="104">
        <f>'BPS-Statistics summary'!Y59</f>
        <v>8.6790016410127263E-2</v>
      </c>
      <c r="W35" s="104">
        <f>'BPS-Statistics summary'!Z59</f>
        <v>8.6793620761949575E-2</v>
      </c>
      <c r="X35" s="104">
        <f>'BPS-Statistics summary'!AA59</f>
        <v>8.6790119098522703E-2</v>
      </c>
      <c r="Y35" s="104">
        <f>'BPS-Statistics summary'!AB59</f>
        <v>8.6788096192601361E-2</v>
      </c>
      <c r="Z35" s="104">
        <f>'BPS-Statistics summary'!AC59</f>
        <v>8.6790463115800229E-2</v>
      </c>
      <c r="AA35" s="104">
        <f>'BPS-Statistics summary'!AD59</f>
        <v>8.6790574792218467E-2</v>
      </c>
      <c r="AB35" s="104">
        <f>'BPS-Statistics summary'!AE59</f>
        <v>8.678981329978569E-2</v>
      </c>
      <c r="AC35" s="104">
        <f>'BPS-Statistics summary'!AF59</f>
        <v>8.678973685010144E-2</v>
      </c>
      <c r="AD35" s="104">
        <f>'BPS-Statistics summary'!AG59</f>
        <v>8.679014701447646E-2</v>
      </c>
      <c r="AE35" s="104">
        <f>'BPS-Statistics summary'!AH59</f>
        <v>8.6790067989145514E-2</v>
      </c>
      <c r="AF35" s="104">
        <f>'BPS-Statistics summary'!AI59</f>
        <v>8.6789941288377276E-2</v>
      </c>
      <c r="AG35" s="104">
        <f>'BPS-Statistics summary'!AJ59</f>
        <v>8.6789973285525179E-2</v>
      </c>
      <c r="AH35" s="104">
        <f>'BPS-Statistics summary'!AK59</f>
        <v>8.67900323943811E-2</v>
      </c>
      <c r="AI35" s="104">
        <f>'BPS-Statistics summary'!AL59</f>
        <v>8.6790003739357274E-2</v>
      </c>
      <c r="AJ35" s="104">
        <f>'BPS-Statistics summary'!AM59</f>
        <v>8.6789987676910207E-2</v>
      </c>
      <c r="AK35" s="104">
        <f>'BPS-Statistics summary'!AN59</f>
        <v>8.6789999274043447E-2</v>
      </c>
      <c r="AL35" s="104">
        <f>'BPS-Statistics summary'!AO59</f>
        <v>8.6790005771173004E-2</v>
      </c>
      <c r="AM35" s="104">
        <f>'BPS-Statistics summary'!AP59</f>
        <v>8.6789999115370983E-2</v>
      </c>
      <c r="AN35" s="104">
        <f>'BPS-Statistics summary'!AQ59</f>
        <v>8.6789997959374421E-2</v>
      </c>
      <c r="AO35" s="104">
        <f>'BPS-Statistics summary'!AR59</f>
        <v>8.679000052999046E-2</v>
      </c>
      <c r="AP35" s="104">
        <f>'BPS-Statistics summary'!AS59</f>
        <v>8.6790000843977214E-2</v>
      </c>
      <c r="AQ35" s="104">
        <f>'BPS-Statistics summary'!AT59</f>
        <v>8.6789999612178273E-2</v>
      </c>
      <c r="AR35" s="104">
        <f>'BPS-Statistics summary'!AU59</f>
        <v>8.6789999736380088E-2</v>
      </c>
      <c r="AS35" s="104">
        <f>'BPS-Statistics summary'!AV59</f>
        <v>8.6790000180631502E-2</v>
      </c>
      <c r="AT35" s="104">
        <f>'BPS-Statistics summary'!AW59</f>
        <v>8.6790000093291769E-2</v>
      </c>
      <c r="AU35" s="104">
        <f>'BPS-Statistics summary'!AX59</f>
        <v>8.6789999905620419E-2</v>
      </c>
      <c r="AV35" s="104">
        <f>'BPS-Statistics summary'!AY59</f>
        <v>8.6789999978980945E-2</v>
      </c>
      <c r="AW35" s="104">
        <f>'BPS-Statistics summary'!AZ59</f>
        <v>8.6790000039631165E-2</v>
      </c>
      <c r="AX35" s="104">
        <f>'BPS-Statistics summary'!BA59</f>
        <v>8.6790000004381071E-2</v>
      </c>
      <c r="AY35" s="104">
        <f>'BPS-Statistics summary'!BB59</f>
        <v>8.6789999982153407E-2</v>
      </c>
      <c r="AZ35" s="104">
        <f>'BPS-Statistics summary'!BC59</f>
        <v>8.6790000001286657E-2</v>
      </c>
      <c r="BA35" s="104">
        <f>'BPS-Statistics summary'!BD59</f>
        <v>8.6790000006863086E-2</v>
      </c>
    </row>
    <row r="36" spans="1:53" ht="15.75" customHeight="1" x14ac:dyDescent="0.25">
      <c r="A36" s="2" t="s">
        <v>97</v>
      </c>
      <c r="B36" s="104">
        <f>'BPS-Statistics summary'!E53</f>
        <v>6.6100000000000006E-2</v>
      </c>
      <c r="C36" s="104">
        <f>'BPS-Statistics summary'!F53</f>
        <v>3.2500000000000001E-2</v>
      </c>
      <c r="D36" s="104">
        <f>'BPS-Statistics summary'!G53</f>
        <v>1.5600000000000001E-2</v>
      </c>
      <c r="E36" s="104">
        <f>'BPS-Statistics summary'!H53</f>
        <v>1.9299999999999998E-2</v>
      </c>
      <c r="F36" s="104">
        <f>'BPS-Statistics summary'!I53</f>
        <v>4.7699999999999992E-2</v>
      </c>
      <c r="G36" s="104">
        <f>'BPS-Statistics summary'!J53</f>
        <v>4.7400000000000005E-2</v>
      </c>
      <c r="H36" s="104">
        <f>'BPS-Statistics summary'!K53</f>
        <v>3.9599999999999996E-2</v>
      </c>
      <c r="I36" s="104">
        <f>'BPS-Statistics summary'!L53</f>
        <v>3.85E-2</v>
      </c>
      <c r="J36" s="104">
        <f>'BPS-Statistics summary'!M53</f>
        <v>4.3299999999999998E-2</v>
      </c>
      <c r="K36" s="104">
        <f>'BPS-Statistics summary'!N53</f>
        <v>4.2200000000000001E-2</v>
      </c>
      <c r="L36" s="104">
        <f>'BPS-Statistics summary'!O53</f>
        <v>4.0900000000000006E-2</v>
      </c>
      <c r="M36" s="104">
        <f>'BPS-Statistics summary'!P53</f>
        <v>4.1224999999999998E-2</v>
      </c>
      <c r="N36" s="104">
        <f>'BPS-Statistics summary'!Q53</f>
        <v>4.1906250000000006E-2</v>
      </c>
      <c r="O36" s="104">
        <f>'BPS-Statistics summary'!R53</f>
        <v>4.1557812499999999E-2</v>
      </c>
      <c r="P36" s="104">
        <f>'BPS-Statistics summary'!S53</f>
        <v>4.1397265624999999E-2</v>
      </c>
      <c r="Q36" s="104">
        <f>'BPS-Statistics summary'!T53</f>
        <v>4.1521582031250004E-2</v>
      </c>
      <c r="R36" s="104">
        <f>'BPS-Statistics summary'!U53</f>
        <v>4.1595727539062502E-2</v>
      </c>
      <c r="S36" s="104">
        <f>'BPS-Statistics summary'!V53</f>
        <v>4.1518096923828129E-2</v>
      </c>
      <c r="T36" s="104">
        <f>'BPS-Statistics summary'!W53</f>
        <v>4.1508168029785159E-2</v>
      </c>
      <c r="U36" s="104">
        <f>'BPS-Statistics summary'!X53</f>
        <v>4.1535893630981452E-2</v>
      </c>
      <c r="V36" s="104">
        <f>'BPS-Statistics summary'!Y53</f>
        <v>4.1539471530914307E-2</v>
      </c>
      <c r="W36" s="104">
        <f>'BPS-Statistics summary'!Z53</f>
        <v>4.1525407528877262E-2</v>
      </c>
      <c r="X36" s="104">
        <f>'BPS-Statistics summary'!AA53</f>
        <v>4.1527235180139545E-2</v>
      </c>
      <c r="Y36" s="104">
        <f>'BPS-Statistics summary'!AB53</f>
        <v>4.153200196772814E-2</v>
      </c>
      <c r="Z36" s="104">
        <f>'BPS-Statistics summary'!AC53</f>
        <v>4.153102905191481E-2</v>
      </c>
      <c r="AA36" s="104">
        <f>'BPS-Statistics summary'!AD53</f>
        <v>4.1528918432164934E-2</v>
      </c>
      <c r="AB36" s="104">
        <f>'BPS-Statistics summary'!AE53</f>
        <v>4.152979615798686E-2</v>
      </c>
      <c r="AC36" s="104">
        <f>'BPS-Statistics summary'!AF53</f>
        <v>4.1530436402448682E-2</v>
      </c>
      <c r="AD36" s="104">
        <f>'BPS-Statistics summary'!AG53</f>
        <v>4.1530045011128822E-2</v>
      </c>
      <c r="AE36" s="104">
        <f>'BPS-Statistics summary'!AH53</f>
        <v>4.152979900093233E-2</v>
      </c>
      <c r="AF36" s="104">
        <f>'BPS-Statistics summary'!AI53</f>
        <v>4.1530019143124174E-2</v>
      </c>
      <c r="AG36" s="104">
        <f>'BPS-Statistics summary'!AJ53</f>
        <v>4.1530074889408498E-2</v>
      </c>
      <c r="AH36" s="104">
        <f>'BPS-Statistics summary'!AK53</f>
        <v>4.1529984511148456E-2</v>
      </c>
      <c r="AI36" s="104">
        <f>'BPS-Statistics summary'!AL53</f>
        <v>4.1529969386153359E-2</v>
      </c>
      <c r="AJ36" s="104">
        <f>'BPS-Statistics summary'!AM53</f>
        <v>4.153001198245862E-2</v>
      </c>
      <c r="AK36" s="104">
        <f>'BPS-Statistics summary'!AN53</f>
        <v>4.153001019229223E-2</v>
      </c>
      <c r="AL36" s="104">
        <f>'BPS-Statistics summary'!AO53</f>
        <v>4.1529994018013161E-2</v>
      </c>
      <c r="AM36" s="104">
        <f>'BPS-Statistics summary'!AP53</f>
        <v>4.1529996394729346E-2</v>
      </c>
      <c r="AN36" s="104">
        <f>'BPS-Statistics summary'!AQ53</f>
        <v>4.1530003146873343E-2</v>
      </c>
      <c r="AO36" s="104">
        <f>'BPS-Statistics summary'!AR53</f>
        <v>4.153000093797702E-2</v>
      </c>
      <c r="AP36" s="104">
        <f>'BPS-Statistics summary'!AS53</f>
        <v>4.1529998624398219E-2</v>
      </c>
      <c r="AQ36" s="104">
        <f>'BPS-Statistics summary'!AT53</f>
        <v>4.1529999775994482E-2</v>
      </c>
      <c r="AR36" s="104">
        <f>'BPS-Statistics summary'!AU53</f>
        <v>4.1530000621310764E-2</v>
      </c>
      <c r="AS36" s="104">
        <f>'BPS-Statistics summary'!AV53</f>
        <v>4.1529999989920123E-2</v>
      </c>
      <c r="AT36" s="104">
        <f>'BPS-Statistics summary'!AW53</f>
        <v>4.1529999752905895E-2</v>
      </c>
      <c r="AU36" s="104">
        <f>'BPS-Statistics summary'!AX53</f>
        <v>4.1530000035032814E-2</v>
      </c>
      <c r="AV36" s="104">
        <f>'BPS-Statistics summary'!AY53</f>
        <v>4.1530000099792401E-2</v>
      </c>
      <c r="AW36" s="104">
        <f>'BPS-Statistics summary'!AZ53</f>
        <v>4.1529999969412812E-2</v>
      </c>
      <c r="AX36" s="104">
        <f>'BPS-Statistics summary'!BA53</f>
        <v>4.1529999964285982E-2</v>
      </c>
      <c r="AY36" s="104">
        <f>'BPS-Statistics summary'!BB53</f>
        <v>4.1530000017131002E-2</v>
      </c>
      <c r="AZ36" s="104">
        <f>'BPS-Statistics summary'!BC53</f>
        <v>4.1530000012655555E-2</v>
      </c>
      <c r="BA36" s="104">
        <f>'BPS-Statistics summary'!BD53</f>
        <v>4.1529999990871341E-2</v>
      </c>
    </row>
    <row r="37" spans="1:53" ht="15.75" customHeight="1" x14ac:dyDescent="0.25">
      <c r="A37" s="2" t="s">
        <v>99</v>
      </c>
      <c r="B37" s="104">
        <f>'BPS-Statistics summary'!E58</f>
        <v>5.7599999999999998E-2</v>
      </c>
      <c r="C37" s="104">
        <f>'BPS-Statistics summary'!F58</f>
        <v>2.3199999999999998E-2</v>
      </c>
      <c r="D37" s="104">
        <f>'BPS-Statistics summary'!G58</f>
        <v>2.7799999999999998E-2</v>
      </c>
      <c r="E37" s="104">
        <f>'BPS-Statistics summary'!H58</f>
        <v>1.72E-2</v>
      </c>
      <c r="F37" s="104">
        <f>'BPS-Statistics summary'!I58</f>
        <v>1.43E-2</v>
      </c>
      <c r="G37" s="104">
        <f>'BPS-Statistics summary'!J58</f>
        <v>2.5000000000000001E-2</v>
      </c>
      <c r="H37" s="104">
        <f>'BPS-Statistics summary'!K58</f>
        <v>3.5799999999999998E-2</v>
      </c>
      <c r="I37" s="104">
        <f>'BPS-Statistics summary'!L58</f>
        <v>2.3074999999999998E-2</v>
      </c>
      <c r="J37" s="104">
        <f>'BPS-Statistics summary'!M58</f>
        <v>2.454375E-2</v>
      </c>
      <c r="K37" s="104">
        <f>'BPS-Statistics summary'!N58</f>
        <v>2.7104687500000002E-2</v>
      </c>
      <c r="L37" s="104">
        <f>'BPS-Statistics summary'!O58</f>
        <v>2.7630859375E-2</v>
      </c>
      <c r="M37" s="104">
        <f>'BPS-Statistics summary'!P58</f>
        <v>2.558857421875E-2</v>
      </c>
      <c r="N37" s="104">
        <f>'BPS-Statistics summary'!Q58</f>
        <v>2.6216967773437502E-2</v>
      </c>
      <c r="O37" s="104">
        <f>'BPS-Statistics summary'!R58</f>
        <v>2.6635272216796877E-2</v>
      </c>
      <c r="P37" s="104">
        <f>'BPS-Statistics summary'!S58</f>
        <v>2.6517918395996095E-2</v>
      </c>
      <c r="Q37" s="104">
        <f>'BPS-Statistics summary'!T58</f>
        <v>2.623968315124512E-2</v>
      </c>
      <c r="R37" s="104">
        <f>'BPS-Statistics summary'!U58</f>
        <v>2.64024603843689E-2</v>
      </c>
      <c r="S37" s="104">
        <f>'BPS-Statistics summary'!V58</f>
        <v>2.6448833537101746E-2</v>
      </c>
      <c r="T37" s="104">
        <f>'BPS-Statistics summary'!W58</f>
        <v>2.6402223867177964E-2</v>
      </c>
      <c r="U37" s="104">
        <f>'BPS-Statistics summary'!X58</f>
        <v>2.6373300234973432E-2</v>
      </c>
      <c r="V37" s="104">
        <f>'BPS-Statistics summary'!Y58</f>
        <v>2.6406704505905512E-2</v>
      </c>
      <c r="W37" s="104">
        <f>'BPS-Statistics summary'!Z58</f>
        <v>2.6407765536289665E-2</v>
      </c>
      <c r="X37" s="104">
        <f>'BPS-Statistics summary'!AA58</f>
        <v>2.6397498536086642E-2</v>
      </c>
      <c r="Y37" s="104">
        <f>'BPS-Statistics summary'!AB58</f>
        <v>2.6396317203313813E-2</v>
      </c>
      <c r="Z37" s="104">
        <f>'BPS-Statistics summary'!AC58</f>
        <v>2.6402071445398908E-2</v>
      </c>
      <c r="AA37" s="104">
        <f>'BPS-Statistics summary'!AD58</f>
        <v>2.6400913180272257E-2</v>
      </c>
      <c r="AB37" s="104">
        <f>'BPS-Statistics summary'!AE58</f>
        <v>2.6399200091267904E-2</v>
      </c>
      <c r="AC37" s="104">
        <f>'BPS-Statistics summary'!AF58</f>
        <v>2.6399625480063221E-2</v>
      </c>
      <c r="AD37" s="104">
        <f>'BPS-Statistics summary'!AG58</f>
        <v>2.6400452549250573E-2</v>
      </c>
      <c r="AE37" s="104">
        <f>'BPS-Statistics summary'!AH58</f>
        <v>2.6400047825213491E-2</v>
      </c>
      <c r="AF37" s="104">
        <f>'BPS-Statistics summary'!AI58</f>
        <v>2.6399831486448797E-2</v>
      </c>
      <c r="AG37" s="104">
        <f>'BPS-Statistics summary'!AJ58</f>
        <v>2.6399989335244022E-2</v>
      </c>
      <c r="AH37" s="104">
        <f>'BPS-Statistics summary'!AK58</f>
        <v>2.640008029903922E-2</v>
      </c>
      <c r="AI37" s="104">
        <f>'BPS-Statistics summary'!AL58</f>
        <v>2.6399987236486382E-2</v>
      </c>
      <c r="AJ37" s="104">
        <f>'BPS-Statistics summary'!AM58</f>
        <v>2.6399972089304606E-2</v>
      </c>
      <c r="AK37" s="104">
        <f>'BPS-Statistics summary'!AN58</f>
        <v>2.6400007240018557E-2</v>
      </c>
      <c r="AL37" s="104">
        <f>'BPS-Statistics summary'!AO58</f>
        <v>2.6400011716212195E-2</v>
      </c>
      <c r="AM37" s="104">
        <f>'BPS-Statistics summary'!AP58</f>
        <v>2.6399994570505438E-2</v>
      </c>
      <c r="AN37" s="104">
        <f>'BPS-Statistics summary'!AQ58</f>
        <v>2.6399996404010195E-2</v>
      </c>
      <c r="AO37" s="104">
        <f>'BPS-Statistics summary'!AR58</f>
        <v>2.6400002482686598E-2</v>
      </c>
      <c r="AP37" s="104">
        <f>'BPS-Statistics summary'!AS58</f>
        <v>2.6400001293353605E-2</v>
      </c>
      <c r="AQ37" s="104">
        <f>'BPS-Statistics summary'!AT58</f>
        <v>2.6399998687638961E-2</v>
      </c>
      <c r="AR37" s="104">
        <f>'BPS-Statistics summary'!AU58</f>
        <v>2.6399999716922341E-2</v>
      </c>
      <c r="AS37" s="104">
        <f>'BPS-Statistics summary'!AV58</f>
        <v>2.6400000545150376E-2</v>
      </c>
      <c r="AT37" s="104">
        <f>'BPS-Statistics summary'!AW58</f>
        <v>2.6400000060766322E-2</v>
      </c>
      <c r="AU37" s="104">
        <f>'BPS-Statistics summary'!AX58</f>
        <v>2.6399999752619502E-2</v>
      </c>
      <c r="AV37" s="104">
        <f>'BPS-Statistics summary'!AY58</f>
        <v>2.6400000018864635E-2</v>
      </c>
      <c r="AW37" s="104">
        <f>'BPS-Statistics summary'!AZ58</f>
        <v>2.6400000094350208E-2</v>
      </c>
      <c r="AX37" s="104">
        <f>'BPS-Statistics summary'!BA58</f>
        <v>2.6399999981650164E-2</v>
      </c>
      <c r="AY37" s="104">
        <f>'BPS-Statistics summary'!BB58</f>
        <v>2.6399999961871125E-2</v>
      </c>
      <c r="AZ37" s="104">
        <f>'BPS-Statistics summary'!BC58</f>
        <v>2.6400000014184029E-2</v>
      </c>
      <c r="BA37" s="104">
        <f>'BPS-Statistics summary'!BD58</f>
        <v>2.6400000013013881E-2</v>
      </c>
    </row>
    <row r="38" spans="1:53" ht="15.75" customHeight="1" x14ac:dyDescent="0.25">
      <c r="A38" s="2" t="s">
        <v>101</v>
      </c>
      <c r="B38" s="104">
        <f>'BPS-Statistics summary'!E61</f>
        <v>6.3E-2</v>
      </c>
      <c r="C38" s="104">
        <f>'BPS-Statistics summary'!F61</f>
        <v>2.6099999999999998E-2</v>
      </c>
      <c r="D38" s="104">
        <f>'BPS-Statistics summary'!G61</f>
        <v>1.1000000000000001E-3</v>
      </c>
      <c r="E38" s="104">
        <f>'BPS-Statistics summary'!H61</f>
        <v>5.5000000000000005E-3</v>
      </c>
      <c r="F38" s="104">
        <f>'BPS-Statistics summary'!I61</f>
        <v>1.77E-2</v>
      </c>
      <c r="G38" s="104">
        <f>'BPS-Statistics summary'!J61</f>
        <v>3.7599999999999995E-2</v>
      </c>
      <c r="H38" s="104">
        <f>'BPS-Statistics summary'!K61</f>
        <v>4.99E-2</v>
      </c>
      <c r="I38" s="104">
        <f>'BPS-Statistics summary'!L61</f>
        <v>2.7674999999999998E-2</v>
      </c>
      <c r="J38" s="104">
        <f>'BPS-Statistics summary'!M61</f>
        <v>3.3218749999999998E-2</v>
      </c>
      <c r="K38" s="104">
        <f>'BPS-Statistics summary'!N61</f>
        <v>3.7098437499999998E-2</v>
      </c>
      <c r="L38" s="104">
        <f>'BPS-Statistics summary'!O61</f>
        <v>3.6973046874999999E-2</v>
      </c>
      <c r="M38" s="104">
        <f>'BPS-Statistics summary'!P61</f>
        <v>3.3741308593749998E-2</v>
      </c>
      <c r="N38" s="104">
        <f>'BPS-Statistics summary'!Q61</f>
        <v>3.5257885742187495E-2</v>
      </c>
      <c r="O38" s="104">
        <f>'BPS-Statistics summary'!R61</f>
        <v>3.5767669677734371E-2</v>
      </c>
      <c r="P38" s="104">
        <f>'BPS-Statistics summary'!S61</f>
        <v>3.5434977722167964E-2</v>
      </c>
      <c r="Q38" s="104">
        <f>'BPS-Statistics summary'!T61</f>
        <v>3.5050460433959957E-2</v>
      </c>
      <c r="R38" s="104">
        <f>'BPS-Statistics summary'!U61</f>
        <v>3.5377748394012448E-2</v>
      </c>
      <c r="S38" s="104">
        <f>'BPS-Statistics summary'!V61</f>
        <v>3.5407714056968687E-2</v>
      </c>
      <c r="T38" s="104">
        <f>'BPS-Statistics summary'!W61</f>
        <v>3.5317725151777266E-2</v>
      </c>
      <c r="U38" s="104">
        <f>'BPS-Statistics summary'!X61</f>
        <v>3.5288412009179593E-2</v>
      </c>
      <c r="V38" s="104">
        <f>'BPS-Statistics summary'!Y61</f>
        <v>3.5347899902984495E-2</v>
      </c>
      <c r="W38" s="104">
        <f>'BPS-Statistics summary'!Z61</f>
        <v>3.534043778022751E-2</v>
      </c>
      <c r="X38" s="104">
        <f>'BPS-Statistics summary'!AA61</f>
        <v>3.5323618711042212E-2</v>
      </c>
      <c r="Y38" s="104">
        <f>'BPS-Statistics summary'!AB61</f>
        <v>3.5325092100858449E-2</v>
      </c>
      <c r="Z38" s="104">
        <f>'BPS-Statistics summary'!AC61</f>
        <v>3.5334262123778166E-2</v>
      </c>
      <c r="AA38" s="104">
        <f>'BPS-Statistics summary'!AD61</f>
        <v>3.5330852678976586E-2</v>
      </c>
      <c r="AB38" s="104">
        <f>'BPS-Statistics summary'!AE61</f>
        <v>3.5328456403663853E-2</v>
      </c>
      <c r="AC38" s="104">
        <f>'BPS-Statistics summary'!AF61</f>
        <v>3.5329665826819269E-2</v>
      </c>
      <c r="AD38" s="104">
        <f>'BPS-Statistics summary'!AG61</f>
        <v>3.5330809258309469E-2</v>
      </c>
      <c r="AE38" s="104">
        <f>'BPS-Statistics summary'!AH61</f>
        <v>3.5329946041942298E-2</v>
      </c>
      <c r="AF38" s="104">
        <f>'BPS-Statistics summary'!AI61</f>
        <v>3.5329719382683727E-2</v>
      </c>
      <c r="AG38" s="104">
        <f>'BPS-Statistics summary'!AJ61</f>
        <v>3.5330035127438694E-2</v>
      </c>
      <c r="AH38" s="104">
        <f>'BPS-Statistics summary'!AK61</f>
        <v>3.5330127452593549E-2</v>
      </c>
      <c r="AI38" s="104">
        <f>'BPS-Statistics summary'!AL61</f>
        <v>3.5329957001164564E-2</v>
      </c>
      <c r="AJ38" s="104">
        <f>'BPS-Statistics summary'!AM61</f>
        <v>3.5329959740970134E-2</v>
      </c>
      <c r="AK38" s="104">
        <f>'BPS-Statistics summary'!AN61</f>
        <v>3.5330019830541737E-2</v>
      </c>
      <c r="AL38" s="104">
        <f>'BPS-Statistics summary'!AO61</f>
        <v>3.5330016006317494E-2</v>
      </c>
      <c r="AM38" s="104">
        <f>'BPS-Statistics summary'!AP61</f>
        <v>3.5329988144748484E-2</v>
      </c>
      <c r="AN38" s="104">
        <f>'BPS-Statistics summary'!AQ61</f>
        <v>3.5329995930644467E-2</v>
      </c>
      <c r="AO38" s="104">
        <f>'BPS-Statistics summary'!AR61</f>
        <v>3.5330004978063045E-2</v>
      </c>
      <c r="AP38" s="104">
        <f>'BPS-Statistics summary'!AS61</f>
        <v>3.5330001264943373E-2</v>
      </c>
      <c r="AQ38" s="104">
        <f>'BPS-Statistics summary'!AT61</f>
        <v>3.5329997579599842E-2</v>
      </c>
      <c r="AR38" s="104">
        <f>'BPS-Statistics summary'!AU61</f>
        <v>3.5329999938312678E-2</v>
      </c>
      <c r="AS38" s="104">
        <f>'BPS-Statistics summary'!AV61</f>
        <v>3.5330000940229735E-2</v>
      </c>
      <c r="AT38" s="104">
        <f>'BPS-Statistics summary'!AW61</f>
        <v>3.5329999930771405E-2</v>
      </c>
      <c r="AU38" s="104">
        <f>'BPS-Statistics summary'!AX61</f>
        <v>3.5329999597228413E-2</v>
      </c>
      <c r="AV38" s="104">
        <f>'BPS-Statistics summary'!AY61</f>
        <v>3.5330000101635554E-2</v>
      </c>
      <c r="AW38" s="104">
        <f>'BPS-Statistics summary'!AZ61</f>
        <v>3.5330000142466275E-2</v>
      </c>
      <c r="AX38" s="104">
        <f>'BPS-Statistics summary'!BA61</f>
        <v>3.5329999943025409E-2</v>
      </c>
      <c r="AY38" s="104">
        <f>'BPS-Statistics summary'!BB61</f>
        <v>3.5329999946088916E-2</v>
      </c>
      <c r="AZ38" s="104">
        <f>'BPS-Statistics summary'!BC61</f>
        <v>3.533000003330404E-2</v>
      </c>
      <c r="BA38" s="104">
        <f>'BPS-Statistics summary'!BD61</f>
        <v>3.5330000016221164E-2</v>
      </c>
    </row>
    <row r="39" spans="1:53" ht="15.75" customHeight="1" x14ac:dyDescent="0.25">
      <c r="A39" s="2" t="s">
        <v>105</v>
      </c>
      <c r="B39" s="104">
        <f>'BPS-Statistics summary'!E60</f>
        <v>4.6600000000000003E-2</v>
      </c>
      <c r="C39" s="104">
        <f>'BPS-Statistics summary'!F60</f>
        <v>-2.9999999999999997E-4</v>
      </c>
      <c r="D39" s="104">
        <f>'BPS-Statistics summary'!G60</f>
        <v>-3.3E-3</v>
      </c>
      <c r="E39" s="104">
        <f>'BPS-Statistics summary'!H60</f>
        <v>2.52E-2</v>
      </c>
      <c r="F39" s="104">
        <f>'BPS-Statistics summary'!I60</f>
        <v>1.5100000000000001E-2</v>
      </c>
      <c r="G39" s="104">
        <f>'BPS-Statistics summary'!J60</f>
        <v>6.4299999999999996E-2</v>
      </c>
      <c r="H39" s="104">
        <f>'BPS-Statistics summary'!K60</f>
        <v>3.8599999999999995E-2</v>
      </c>
      <c r="I39" s="104">
        <f>'BPS-Statistics summary'!L60</f>
        <v>3.5799999999999998E-2</v>
      </c>
      <c r="J39" s="104">
        <f>'BPS-Statistics summary'!M60</f>
        <v>3.8449999999999998E-2</v>
      </c>
      <c r="K39" s="104">
        <f>'BPS-Statistics summary'!N60</f>
        <v>4.4287499999999994E-2</v>
      </c>
      <c r="L39" s="104">
        <f>'BPS-Statistics summary'!O60</f>
        <v>3.9284374999999996E-2</v>
      </c>
      <c r="M39" s="104">
        <f>'BPS-Statistics summary'!P60</f>
        <v>3.945546875E-2</v>
      </c>
      <c r="N39" s="104">
        <f>'BPS-Statistics summary'!Q60</f>
        <v>4.03693359375E-2</v>
      </c>
      <c r="O39" s="104">
        <f>'BPS-Statistics summary'!R60</f>
        <v>4.0849169921874998E-2</v>
      </c>
      <c r="P39" s="104">
        <f>'BPS-Statistics summary'!S60</f>
        <v>3.9989587402343749E-2</v>
      </c>
      <c r="Q39" s="104">
        <f>'BPS-Statistics summary'!T60</f>
        <v>4.0165890502929687E-2</v>
      </c>
      <c r="R39" s="104">
        <f>'BPS-Statistics summary'!U60</f>
        <v>4.0343495941162107E-2</v>
      </c>
      <c r="S39" s="104">
        <f>'BPS-Statistics summary'!V60</f>
        <v>4.0337035942077631E-2</v>
      </c>
      <c r="T39" s="104">
        <f>'BPS-Statistics summary'!W60</f>
        <v>4.0209002447128293E-2</v>
      </c>
      <c r="U39" s="104">
        <f>'BPS-Statistics summary'!X60</f>
        <v>4.0263856208324428E-2</v>
      </c>
      <c r="V39" s="104">
        <f>'BPS-Statistics summary'!Y60</f>
        <v>4.0288347634673115E-2</v>
      </c>
      <c r="W39" s="104">
        <f>'BPS-Statistics summary'!Z60</f>
        <v>4.027456055805087E-2</v>
      </c>
      <c r="X39" s="104">
        <f>'BPS-Statistics summary'!AA60</f>
        <v>4.025894171204418E-2</v>
      </c>
      <c r="Y39" s="104">
        <f>'BPS-Statistics summary'!AB60</f>
        <v>4.0271426528273147E-2</v>
      </c>
      <c r="Z39" s="104">
        <f>'BPS-Statistics summary'!AC60</f>
        <v>4.0273319108260333E-2</v>
      </c>
      <c r="AA39" s="104">
        <f>'BPS-Statistics summary'!AD60</f>
        <v>4.0269561976657132E-2</v>
      </c>
      <c r="AB39" s="104">
        <f>'BPS-Statistics summary'!AE60</f>
        <v>4.0268312331308696E-2</v>
      </c>
      <c r="AC39" s="104">
        <f>'BPS-Statistics summary'!AF60</f>
        <v>4.0270654986124831E-2</v>
      </c>
      <c r="AD39" s="104">
        <f>'BPS-Statistics summary'!AG60</f>
        <v>4.0270462100587753E-2</v>
      </c>
      <c r="AE39" s="104">
        <f>'BPS-Statistics summary'!AH60</f>
        <v>4.0269747848669601E-2</v>
      </c>
      <c r="AF39" s="104">
        <f>'BPS-Statistics summary'!AI60</f>
        <v>4.026979431667272E-2</v>
      </c>
      <c r="AG39" s="104">
        <f>'BPS-Statistics summary'!AJ60</f>
        <v>4.0270164813013723E-2</v>
      </c>
      <c r="AH39" s="104">
        <f>'BPS-Statistics summary'!AK60</f>
        <v>4.0270042269735948E-2</v>
      </c>
      <c r="AI39" s="104">
        <f>'BPS-Statistics summary'!AL60</f>
        <v>4.0269937312022996E-2</v>
      </c>
      <c r="AJ39" s="104">
        <f>'BPS-Statistics summary'!AM60</f>
        <v>4.0269984677861345E-2</v>
      </c>
      <c r="AK39" s="104">
        <f>'BPS-Statistics summary'!AN60</f>
        <v>4.0270032268158507E-2</v>
      </c>
      <c r="AL39" s="104">
        <f>'BPS-Statistics summary'!AO60</f>
        <v>4.0269999131944699E-2</v>
      </c>
      <c r="AM39" s="104">
        <f>'BPS-Statistics summary'!AP60</f>
        <v>4.0269988347496885E-2</v>
      </c>
      <c r="AN39" s="104">
        <f>'BPS-Statistics summary'!AQ60</f>
        <v>4.0270001106365361E-2</v>
      </c>
      <c r="AO39" s="104">
        <f>'BPS-Statistics summary'!AR60</f>
        <v>4.0270005213491361E-2</v>
      </c>
      <c r="AP39" s="104">
        <f>'BPS-Statistics summary'!AS60</f>
        <v>4.0269998449824575E-2</v>
      </c>
      <c r="AQ39" s="104">
        <f>'BPS-Statistics summary'!AT60</f>
        <v>4.0269998279294547E-2</v>
      </c>
      <c r="AR39" s="104">
        <f>'BPS-Statistics summary'!AU60</f>
        <v>4.0270000762243963E-2</v>
      </c>
      <c r="AS39" s="104">
        <f>'BPS-Statistics summary'!AV60</f>
        <v>4.0270000676213613E-2</v>
      </c>
      <c r="AT39" s="104">
        <f>'BPS-Statistics summary'!AW60</f>
        <v>4.0269999541894176E-2</v>
      </c>
      <c r="AU39" s="104">
        <f>'BPS-Statistics summary'!AX60</f>
        <v>4.0269999814911576E-2</v>
      </c>
      <c r="AV39" s="104">
        <f>'BPS-Statistics summary'!AY60</f>
        <v>4.0270000198815832E-2</v>
      </c>
      <c r="AW39" s="104">
        <f>'BPS-Statistics summary'!AZ60</f>
        <v>4.0270000057958798E-2</v>
      </c>
      <c r="AX39" s="104">
        <f>'BPS-Statistics summary'!BA60</f>
        <v>4.0269999903395096E-2</v>
      </c>
      <c r="AY39" s="104">
        <f>'BPS-Statistics summary'!BB60</f>
        <v>4.0269999993770331E-2</v>
      </c>
      <c r="AZ39" s="104">
        <f>'BPS-Statistics summary'!BC60</f>
        <v>4.0270000038485014E-2</v>
      </c>
      <c r="BA39" s="104">
        <f>'BPS-Statistics summary'!BD60</f>
        <v>4.0269999998402306E-2</v>
      </c>
    </row>
    <row r="40" spans="1:53" ht="15.75" customHeight="1" x14ac:dyDescent="0.25">
      <c r="A40" s="2" t="s">
        <v>107</v>
      </c>
      <c r="B40" s="104">
        <f>'BPS-Statistics summary'!E61</f>
        <v>6.3E-2</v>
      </c>
      <c r="C40" s="104">
        <f>'BPS-Statistics summary'!F61</f>
        <v>2.6099999999999998E-2</v>
      </c>
      <c r="D40" s="104">
        <f>'BPS-Statistics summary'!G61</f>
        <v>1.1000000000000001E-3</v>
      </c>
      <c r="E40" s="104">
        <f>'BPS-Statistics summary'!H61</f>
        <v>5.5000000000000005E-3</v>
      </c>
      <c r="F40" s="104">
        <f>'BPS-Statistics summary'!I61</f>
        <v>1.77E-2</v>
      </c>
      <c r="G40" s="104">
        <f>'BPS-Statistics summary'!J61</f>
        <v>3.7599999999999995E-2</v>
      </c>
      <c r="H40" s="104">
        <f>'BPS-Statistics summary'!K61</f>
        <v>4.99E-2</v>
      </c>
      <c r="I40" s="104">
        <f>'BPS-Statistics summary'!L61</f>
        <v>2.7674999999999998E-2</v>
      </c>
      <c r="J40" s="104">
        <f>'BPS-Statistics summary'!M61</f>
        <v>3.3218749999999998E-2</v>
      </c>
      <c r="K40" s="104">
        <f>'BPS-Statistics summary'!N61</f>
        <v>3.7098437499999998E-2</v>
      </c>
      <c r="L40" s="104">
        <f>'BPS-Statistics summary'!O61</f>
        <v>3.6973046874999999E-2</v>
      </c>
      <c r="M40" s="104">
        <f>'BPS-Statistics summary'!P61</f>
        <v>3.3741308593749998E-2</v>
      </c>
      <c r="N40" s="104">
        <f>'BPS-Statistics summary'!Q61</f>
        <v>3.5257885742187495E-2</v>
      </c>
      <c r="O40" s="104">
        <f>'BPS-Statistics summary'!R61</f>
        <v>3.5767669677734371E-2</v>
      </c>
      <c r="P40" s="104">
        <f>'BPS-Statistics summary'!S61</f>
        <v>3.5434977722167964E-2</v>
      </c>
      <c r="Q40" s="104">
        <f>'BPS-Statistics summary'!T61</f>
        <v>3.5050460433959957E-2</v>
      </c>
      <c r="R40" s="104">
        <f>'BPS-Statistics summary'!U61</f>
        <v>3.5377748394012448E-2</v>
      </c>
      <c r="S40" s="104">
        <f>'BPS-Statistics summary'!V61</f>
        <v>3.5407714056968687E-2</v>
      </c>
      <c r="T40" s="104">
        <f>'BPS-Statistics summary'!W61</f>
        <v>3.5317725151777266E-2</v>
      </c>
      <c r="U40" s="104">
        <f>'BPS-Statistics summary'!X61</f>
        <v>3.5288412009179593E-2</v>
      </c>
      <c r="V40" s="104">
        <f>'BPS-Statistics summary'!Y61</f>
        <v>3.5347899902984495E-2</v>
      </c>
      <c r="W40" s="104">
        <f>'BPS-Statistics summary'!Z61</f>
        <v>3.534043778022751E-2</v>
      </c>
      <c r="X40" s="104">
        <f>'BPS-Statistics summary'!AA61</f>
        <v>3.5323618711042212E-2</v>
      </c>
      <c r="Y40" s="104">
        <f>'BPS-Statistics summary'!AB61</f>
        <v>3.5325092100858449E-2</v>
      </c>
      <c r="Z40" s="104">
        <f>'BPS-Statistics summary'!AC61</f>
        <v>3.5334262123778166E-2</v>
      </c>
      <c r="AA40" s="104">
        <f>'BPS-Statistics summary'!AD61</f>
        <v>3.5330852678976586E-2</v>
      </c>
      <c r="AB40" s="104">
        <f>'BPS-Statistics summary'!AE61</f>
        <v>3.5328456403663853E-2</v>
      </c>
      <c r="AC40" s="104">
        <f>'BPS-Statistics summary'!AF61</f>
        <v>3.5329665826819269E-2</v>
      </c>
      <c r="AD40" s="104">
        <f>'BPS-Statistics summary'!AG61</f>
        <v>3.5330809258309469E-2</v>
      </c>
      <c r="AE40" s="104">
        <f>'BPS-Statistics summary'!AH61</f>
        <v>3.5329946041942298E-2</v>
      </c>
      <c r="AF40" s="104">
        <f>'BPS-Statistics summary'!AI61</f>
        <v>3.5329719382683727E-2</v>
      </c>
      <c r="AG40" s="104">
        <f>'BPS-Statistics summary'!AJ61</f>
        <v>3.5330035127438694E-2</v>
      </c>
      <c r="AH40" s="104">
        <f>'BPS-Statistics summary'!AK61</f>
        <v>3.5330127452593549E-2</v>
      </c>
      <c r="AI40" s="104">
        <f>'BPS-Statistics summary'!AL61</f>
        <v>3.5329957001164564E-2</v>
      </c>
      <c r="AJ40" s="104">
        <f>'BPS-Statistics summary'!AM61</f>
        <v>3.5329959740970134E-2</v>
      </c>
      <c r="AK40" s="104">
        <f>'BPS-Statistics summary'!AN61</f>
        <v>3.5330019830541737E-2</v>
      </c>
      <c r="AL40" s="104">
        <f>'BPS-Statistics summary'!AO61</f>
        <v>3.5330016006317494E-2</v>
      </c>
      <c r="AM40" s="104">
        <f>'BPS-Statistics summary'!AP61</f>
        <v>3.5329988144748484E-2</v>
      </c>
      <c r="AN40" s="104">
        <f>'BPS-Statistics summary'!AQ61</f>
        <v>3.5329995930644467E-2</v>
      </c>
      <c r="AO40" s="104">
        <f>'BPS-Statistics summary'!AR61</f>
        <v>3.5330004978063045E-2</v>
      </c>
      <c r="AP40" s="104">
        <f>'BPS-Statistics summary'!AS61</f>
        <v>3.5330001264943373E-2</v>
      </c>
      <c r="AQ40" s="104">
        <f>'BPS-Statistics summary'!AT61</f>
        <v>3.5329997579599842E-2</v>
      </c>
      <c r="AR40" s="104">
        <f>'BPS-Statistics summary'!AU61</f>
        <v>3.5329999938312678E-2</v>
      </c>
      <c r="AS40" s="104">
        <f>'BPS-Statistics summary'!AV61</f>
        <v>3.5330000940229735E-2</v>
      </c>
      <c r="AT40" s="104">
        <f>'BPS-Statistics summary'!AW61</f>
        <v>3.5329999930771405E-2</v>
      </c>
      <c r="AU40" s="104">
        <f>'BPS-Statistics summary'!AX61</f>
        <v>3.5329999597228413E-2</v>
      </c>
      <c r="AV40" s="104">
        <f>'BPS-Statistics summary'!AY61</f>
        <v>3.5330000101635554E-2</v>
      </c>
      <c r="AW40" s="104">
        <f>'BPS-Statistics summary'!AZ61</f>
        <v>3.5330000142466275E-2</v>
      </c>
      <c r="AX40" s="104">
        <f>'BPS-Statistics summary'!BA61</f>
        <v>3.5329999943025409E-2</v>
      </c>
      <c r="AY40" s="104">
        <f>'BPS-Statistics summary'!BB61</f>
        <v>3.5329999946088916E-2</v>
      </c>
      <c r="AZ40" s="104">
        <f>'BPS-Statistics summary'!BC61</f>
        <v>3.533000003330404E-2</v>
      </c>
      <c r="BA40" s="104">
        <f>'BPS-Statistics summary'!BD61</f>
        <v>3.5330000016221164E-2</v>
      </c>
    </row>
    <row r="41" spans="1:53" ht="15.75" customHeight="1" x14ac:dyDescent="0.25">
      <c r="A41" s="2" t="s">
        <v>109</v>
      </c>
      <c r="B41" s="104">
        <f>'BPS-Statistics summary'!E62</f>
        <v>8.6599999999999996E-2</v>
      </c>
      <c r="C41" s="104">
        <f>'BPS-Statistics summary'!F62</f>
        <v>0.11560000000000001</v>
      </c>
      <c r="D41" s="104">
        <f>'BPS-Statistics summary'!G62</f>
        <v>0.1045</v>
      </c>
      <c r="E41" s="104">
        <f>'BPS-Statistics summary'!H62</f>
        <v>2.75E-2</v>
      </c>
      <c r="F41" s="104">
        <f>'BPS-Statistics summary'!I62</f>
        <v>4.6699999999999998E-2</v>
      </c>
      <c r="G41" s="104">
        <f>'BPS-Statistics summary'!J62</f>
        <v>8.1300000000000011E-2</v>
      </c>
      <c r="H41" s="104">
        <f>'BPS-Statistics summary'!K62</f>
        <v>5.5899999999999998E-2</v>
      </c>
      <c r="I41" s="104">
        <f>'BPS-Statistics summary'!L62</f>
        <v>5.2850000000000008E-2</v>
      </c>
      <c r="J41" s="104">
        <f>'BPS-Statistics summary'!M62</f>
        <v>5.9187500000000004E-2</v>
      </c>
      <c r="K41" s="104">
        <f>'BPS-Statistics summary'!N62</f>
        <v>6.2309375000000007E-2</v>
      </c>
      <c r="L41" s="104">
        <f>'BPS-Statistics summary'!O62</f>
        <v>5.7561718750000004E-2</v>
      </c>
      <c r="M41" s="104">
        <f>'BPS-Statistics summary'!P62</f>
        <v>5.7977148437500001E-2</v>
      </c>
      <c r="N41" s="104">
        <f>'BPS-Statistics summary'!Q62</f>
        <v>5.9258935546875002E-2</v>
      </c>
      <c r="O41" s="104">
        <f>'BPS-Statistics summary'!R62</f>
        <v>5.9276794433593752E-2</v>
      </c>
      <c r="P41" s="104">
        <f>'BPS-Statistics summary'!S62</f>
        <v>5.8518649291992186E-2</v>
      </c>
      <c r="Q41" s="104">
        <f>'BPS-Statistics summary'!T62</f>
        <v>5.8757881927490235E-2</v>
      </c>
      <c r="R41" s="104">
        <f>'BPS-Statistics summary'!U62</f>
        <v>5.895306529998779E-2</v>
      </c>
      <c r="S41" s="104">
        <f>'BPS-Statistics summary'!V62</f>
        <v>5.8876597738265993E-2</v>
      </c>
      <c r="T41" s="104">
        <f>'BPS-Statistics summary'!W62</f>
        <v>5.8776548564434053E-2</v>
      </c>
      <c r="U41" s="104">
        <f>'BPS-Statistics summary'!X62</f>
        <v>5.8841023382544516E-2</v>
      </c>
      <c r="V41" s="104">
        <f>'BPS-Statistics summary'!Y62</f>
        <v>5.8861808746308093E-2</v>
      </c>
      <c r="W41" s="104">
        <f>'BPS-Statistics summary'!Z62</f>
        <v>5.8838994607888162E-2</v>
      </c>
      <c r="X41" s="104">
        <f>'BPS-Statistics summary'!AA62</f>
        <v>5.8829593825293708E-2</v>
      </c>
      <c r="Y41" s="104">
        <f>'BPS-Statistics summary'!AB62</f>
        <v>5.8842855140508618E-2</v>
      </c>
      <c r="Z41" s="104">
        <f>'BPS-Statistics summary'!AC62</f>
        <v>5.884331307999964E-2</v>
      </c>
      <c r="AA41" s="104">
        <f>'BPS-Statistics summary'!AD62</f>
        <v>5.8838689163422525E-2</v>
      </c>
      <c r="AB41" s="104">
        <f>'BPS-Statistics summary'!AE62</f>
        <v>5.8838612802306123E-2</v>
      </c>
      <c r="AC41" s="104">
        <f>'BPS-Statistics summary'!AF62</f>
        <v>5.8840867546559227E-2</v>
      </c>
      <c r="AD41" s="104">
        <f>'BPS-Statistics summary'!AG62</f>
        <v>5.8840370648071884E-2</v>
      </c>
      <c r="AE41" s="104">
        <f>'BPS-Statistics summary'!AH62</f>
        <v>5.883963504008994E-2</v>
      </c>
      <c r="AF41" s="104">
        <f>'BPS-Statistics summary'!AI62</f>
        <v>5.8839871509256791E-2</v>
      </c>
      <c r="AG41" s="104">
        <f>'BPS-Statistics summary'!AJ62</f>
        <v>5.8840186185994459E-2</v>
      </c>
      <c r="AH41" s="104">
        <f>'BPS-Statistics summary'!AK62</f>
        <v>5.8840015845853272E-2</v>
      </c>
      <c r="AI41" s="104">
        <f>'BPS-Statistics summary'!AL62</f>
        <v>5.8839927145298614E-2</v>
      </c>
      <c r="AJ41" s="104">
        <f>'BPS-Statistics summary'!AM62</f>
        <v>5.8840000171600786E-2</v>
      </c>
      <c r="AK41" s="104">
        <f>'BPS-Statistics summary'!AN62</f>
        <v>5.8840032337186786E-2</v>
      </c>
      <c r="AL41" s="104">
        <f>'BPS-Statistics summary'!AO62</f>
        <v>5.8839993874984869E-2</v>
      </c>
      <c r="AM41" s="104">
        <f>'BPS-Statistics summary'!AP62</f>
        <v>5.8839988382267762E-2</v>
      </c>
      <c r="AN41" s="104">
        <f>'BPS-Statistics summary'!AQ62</f>
        <v>5.8840003691510052E-2</v>
      </c>
      <c r="AO41" s="104">
        <f>'BPS-Statistics summary'!AR62</f>
        <v>5.8840004571487366E-2</v>
      </c>
      <c r="AP41" s="104">
        <f>'BPS-Statistics summary'!AS62</f>
        <v>5.8839997630062507E-2</v>
      </c>
      <c r="AQ41" s="104">
        <f>'BPS-Statistics summary'!AT62</f>
        <v>5.8839998568831924E-2</v>
      </c>
      <c r="AR41" s="104">
        <f>'BPS-Statistics summary'!AU62</f>
        <v>5.8840001115472967E-2</v>
      </c>
      <c r="AS41" s="104">
        <f>'BPS-Statistics summary'!AV62</f>
        <v>5.8840000471463691E-2</v>
      </c>
      <c r="AT41" s="104">
        <f>'BPS-Statistics summary'!AW62</f>
        <v>5.8839999446457777E-2</v>
      </c>
      <c r="AU41" s="104">
        <f>'BPS-Statistics summary'!AX62</f>
        <v>5.8839999900556592E-2</v>
      </c>
      <c r="AV41" s="104">
        <f>'BPS-Statistics summary'!AY62</f>
        <v>5.884000023348776E-2</v>
      </c>
      <c r="AW41" s="104">
        <f>'BPS-Statistics summary'!AZ62</f>
        <v>5.8840000012991452E-2</v>
      </c>
      <c r="AX41" s="104">
        <f>'BPS-Statistics summary'!BA62</f>
        <v>5.8839999898373394E-2</v>
      </c>
      <c r="AY41" s="104">
        <f>'BPS-Statistics summary'!BB62</f>
        <v>5.8840000011352298E-2</v>
      </c>
      <c r="AZ41" s="104">
        <f>'BPS-Statistics summary'!BC62</f>
        <v>5.8840000039051224E-2</v>
      </c>
      <c r="BA41" s="104">
        <f>'BPS-Statistics summary'!BD62</f>
        <v>5.8839999990442093E-2</v>
      </c>
    </row>
    <row r="42" spans="1:53" ht="15.75" customHeight="1" x14ac:dyDescent="0.25">
      <c r="A42" s="2" t="s">
        <v>111</v>
      </c>
      <c r="B42" s="104">
        <f>'BPS-Statistics summary'!E63</f>
        <v>0.1057</v>
      </c>
      <c r="C42" s="104">
        <f>'BPS-Statistics summary'!F63</f>
        <v>-4.0999999999999995E-2</v>
      </c>
      <c r="D42" s="104">
        <f>'BPS-Statistics summary'!G63</f>
        <v>2.12E-2</v>
      </c>
      <c r="E42" s="104">
        <f>'BPS-Statistics summary'!H63</f>
        <v>9.4700000000000006E-2</v>
      </c>
      <c r="F42" s="104">
        <f>'BPS-Statistics summary'!I63</f>
        <v>0.1052</v>
      </c>
      <c r="G42" s="104">
        <f>'BPS-Statistics summary'!J63</f>
        <v>9.8000000000000004E-2</v>
      </c>
      <c r="H42" s="104">
        <f>'BPS-Statistics summary'!K63</f>
        <v>9.9299999999999999E-2</v>
      </c>
      <c r="I42" s="104">
        <f>'BPS-Statistics summary'!L63</f>
        <v>9.9300000000000013E-2</v>
      </c>
      <c r="J42" s="104">
        <f>'BPS-Statistics summary'!M63</f>
        <v>0.10045</v>
      </c>
      <c r="K42" s="104">
        <f>'BPS-Statistics summary'!N63</f>
        <v>9.9262500000000004E-2</v>
      </c>
      <c r="L42" s="104">
        <f>'BPS-Statistics summary'!O63</f>
        <v>9.957812499999999E-2</v>
      </c>
      <c r="M42" s="104">
        <f>'BPS-Statistics summary'!P63</f>
        <v>9.9647656249999994E-2</v>
      </c>
      <c r="N42" s="104">
        <f>'BPS-Statistics summary'!Q63</f>
        <v>9.9734570312500007E-2</v>
      </c>
      <c r="O42" s="104">
        <f>'BPS-Statistics summary'!R63</f>
        <v>9.9555712890624995E-2</v>
      </c>
      <c r="P42" s="104">
        <f>'BPS-Statistics summary'!S63</f>
        <v>9.9629016113281246E-2</v>
      </c>
      <c r="Q42" s="104">
        <f>'BPS-Statistics summary'!T63</f>
        <v>9.964173889160155E-2</v>
      </c>
      <c r="R42" s="104">
        <f>'BPS-Statistics summary'!U63</f>
        <v>9.9640259552001953E-2</v>
      </c>
      <c r="S42" s="104">
        <f>'BPS-Statistics summary'!V63</f>
        <v>9.9616681861877443E-2</v>
      </c>
      <c r="T42" s="104">
        <f>'BPS-Statistics summary'!W63</f>
        <v>9.9631924104690545E-2</v>
      </c>
      <c r="U42" s="104">
        <f>'BPS-Statistics summary'!X63</f>
        <v>9.963265110254288E-2</v>
      </c>
      <c r="V42" s="104">
        <f>'BPS-Statistics summary'!Y63</f>
        <v>9.9630379155278212E-2</v>
      </c>
      <c r="W42" s="104">
        <f>'BPS-Statistics summary'!Z63</f>
        <v>9.9627909056097266E-2</v>
      </c>
      <c r="X42" s="104">
        <f>'BPS-Statistics summary'!AA63</f>
        <v>9.9630715854652219E-2</v>
      </c>
      <c r="Y42" s="104">
        <f>'BPS-Statistics summary'!AB63</f>
        <v>9.9630413792142644E-2</v>
      </c>
      <c r="Z42" s="104">
        <f>'BPS-Statistics summary'!AC63</f>
        <v>9.9629854464542589E-2</v>
      </c>
      <c r="AA42" s="104">
        <f>'BPS-Statistics summary'!AD63</f>
        <v>9.9629723291858679E-2</v>
      </c>
      <c r="AB42" s="104">
        <f>'BPS-Statistics summary'!AE63</f>
        <v>9.9630176850799029E-2</v>
      </c>
      <c r="AC42" s="104">
        <f>'BPS-Statistics summary'!AF63</f>
        <v>9.9630042099835725E-2</v>
      </c>
      <c r="AD42" s="104">
        <f>'BPS-Statistics summary'!AG63</f>
        <v>9.9629949176759006E-2</v>
      </c>
      <c r="AE42" s="104">
        <f>'BPS-Statistics summary'!AH63</f>
        <v>9.9629972854813106E-2</v>
      </c>
      <c r="AF42" s="104">
        <f>'BPS-Statistics summary'!AI63</f>
        <v>9.9630035245551724E-2</v>
      </c>
      <c r="AG42" s="104">
        <f>'BPS-Statistics summary'!AJ63</f>
        <v>9.9629999844239897E-2</v>
      </c>
      <c r="AH42" s="104">
        <f>'BPS-Statistics summary'!AK63</f>
        <v>9.9629989280340947E-2</v>
      </c>
      <c r="AI42" s="104">
        <f>'BPS-Statistics summary'!AL63</f>
        <v>9.9629999306236422E-2</v>
      </c>
      <c r="AJ42" s="104">
        <f>'BPS-Statistics summary'!AM63</f>
        <v>9.963000591909224E-2</v>
      </c>
      <c r="AK42" s="104">
        <f>'BPS-Statistics summary'!AN63</f>
        <v>9.962999858747737E-2</v>
      </c>
      <c r="AL42" s="104">
        <f>'BPS-Statistics summary'!AO63</f>
        <v>9.9629998273286752E-2</v>
      </c>
      <c r="AM42" s="104">
        <f>'BPS-Statistics summary'!AP63</f>
        <v>9.963000052152321E-2</v>
      </c>
      <c r="AN42" s="104">
        <f>'BPS-Statistics summary'!AQ63</f>
        <v>9.9630000825344886E-2</v>
      </c>
      <c r="AO42" s="104">
        <f>'BPS-Statistics summary'!AR63</f>
        <v>9.9629999551908058E-2</v>
      </c>
      <c r="AP42" s="104">
        <f>'BPS-Statistics summary'!AS63</f>
        <v>9.9629999793015719E-2</v>
      </c>
      <c r="AQ42" s="104">
        <f>'BPS-Statistics summary'!AT63</f>
        <v>9.9630000172947972E-2</v>
      </c>
      <c r="AR42" s="104">
        <f>'BPS-Statistics summary'!AU63</f>
        <v>9.9630000085804166E-2</v>
      </c>
      <c r="AS42" s="104">
        <f>'BPS-Statistics summary'!AV63</f>
        <v>9.9629999900918975E-2</v>
      </c>
      <c r="AT42" s="104">
        <f>'BPS-Statistics summary'!AW63</f>
        <v>9.9629999988171708E-2</v>
      </c>
      <c r="AU42" s="104">
        <f>'BPS-Statistics summary'!AX63</f>
        <v>9.9630000036960709E-2</v>
      </c>
      <c r="AV42" s="104">
        <f>'BPS-Statistics summary'!AY63</f>
        <v>9.9630000002963889E-2</v>
      </c>
      <c r="AW42" s="104">
        <f>'BPS-Statistics summary'!AZ63</f>
        <v>9.9629999982253817E-2</v>
      </c>
      <c r="AX42" s="104">
        <f>'BPS-Statistics summary'!BA63</f>
        <v>9.9630000002587524E-2</v>
      </c>
      <c r="AY42" s="104">
        <f>'BPS-Statistics summary'!BB63</f>
        <v>9.9630000006191488E-2</v>
      </c>
      <c r="AZ42" s="104">
        <f>'BPS-Statistics summary'!BC63</f>
        <v>9.9629999998499183E-2</v>
      </c>
      <c r="BA42" s="104">
        <f>'BPS-Statistics summary'!BD63</f>
        <v>9.9629999997383006E-2</v>
      </c>
    </row>
    <row r="43" spans="1:53" ht="15.75" customHeight="1" x14ac:dyDescent="0.25">
      <c r="A43" s="2" t="s">
        <v>115</v>
      </c>
      <c r="B43" s="104">
        <f>'BPS-Statistics summary'!E63</f>
        <v>0.1057</v>
      </c>
      <c r="C43" s="104">
        <f>'BPS-Statistics summary'!F63</f>
        <v>-4.0999999999999995E-2</v>
      </c>
      <c r="D43" s="104">
        <f>'BPS-Statistics summary'!G63</f>
        <v>2.12E-2</v>
      </c>
      <c r="E43" s="104">
        <f>'BPS-Statistics summary'!H63</f>
        <v>9.4700000000000006E-2</v>
      </c>
      <c r="F43" s="104">
        <f>'BPS-Statistics summary'!I63</f>
        <v>0.1052</v>
      </c>
      <c r="G43" s="104">
        <f>'BPS-Statistics summary'!J63</f>
        <v>9.8000000000000004E-2</v>
      </c>
      <c r="H43" s="104">
        <f>'BPS-Statistics summary'!K63</f>
        <v>9.9299999999999999E-2</v>
      </c>
      <c r="I43" s="104">
        <f>'BPS-Statistics summary'!L63</f>
        <v>9.9300000000000013E-2</v>
      </c>
      <c r="J43" s="104">
        <f>'BPS-Statistics summary'!M63</f>
        <v>0.10045</v>
      </c>
      <c r="K43" s="104">
        <f>'BPS-Statistics summary'!N63</f>
        <v>9.9262500000000004E-2</v>
      </c>
      <c r="L43" s="104">
        <f>'BPS-Statistics summary'!O63</f>
        <v>9.957812499999999E-2</v>
      </c>
      <c r="M43" s="104">
        <f>'BPS-Statistics summary'!P63</f>
        <v>9.9647656249999994E-2</v>
      </c>
      <c r="N43" s="104">
        <f>'BPS-Statistics summary'!Q63</f>
        <v>9.9734570312500007E-2</v>
      </c>
      <c r="O43" s="104">
        <f>'BPS-Statistics summary'!R63</f>
        <v>9.9555712890624995E-2</v>
      </c>
      <c r="P43" s="104">
        <f>'BPS-Statistics summary'!S63</f>
        <v>9.9629016113281246E-2</v>
      </c>
      <c r="Q43" s="104">
        <f>'BPS-Statistics summary'!T63</f>
        <v>9.964173889160155E-2</v>
      </c>
      <c r="R43" s="104">
        <f>'BPS-Statistics summary'!U63</f>
        <v>9.9640259552001953E-2</v>
      </c>
      <c r="S43" s="104">
        <f>'BPS-Statistics summary'!V63</f>
        <v>9.9616681861877443E-2</v>
      </c>
      <c r="T43" s="104">
        <f>'BPS-Statistics summary'!W63</f>
        <v>9.9631924104690545E-2</v>
      </c>
      <c r="U43" s="104">
        <f>'BPS-Statistics summary'!X63</f>
        <v>9.963265110254288E-2</v>
      </c>
      <c r="V43" s="104">
        <f>'BPS-Statistics summary'!Y63</f>
        <v>9.9630379155278212E-2</v>
      </c>
      <c r="W43" s="104">
        <f>'BPS-Statistics summary'!Z63</f>
        <v>9.9627909056097266E-2</v>
      </c>
      <c r="X43" s="104">
        <f>'BPS-Statistics summary'!AA63</f>
        <v>9.9630715854652219E-2</v>
      </c>
      <c r="Y43" s="104">
        <f>'BPS-Statistics summary'!AB63</f>
        <v>9.9630413792142644E-2</v>
      </c>
      <c r="Z43" s="104">
        <f>'BPS-Statistics summary'!AC63</f>
        <v>9.9629854464542589E-2</v>
      </c>
      <c r="AA43" s="104">
        <f>'BPS-Statistics summary'!AD63</f>
        <v>9.9629723291858679E-2</v>
      </c>
      <c r="AB43" s="104">
        <f>'BPS-Statistics summary'!AE63</f>
        <v>9.9630176850799029E-2</v>
      </c>
      <c r="AC43" s="104">
        <f>'BPS-Statistics summary'!AF63</f>
        <v>9.9630042099835725E-2</v>
      </c>
      <c r="AD43" s="104">
        <f>'BPS-Statistics summary'!AG63</f>
        <v>9.9629949176759006E-2</v>
      </c>
      <c r="AE43" s="104">
        <f>'BPS-Statistics summary'!AH63</f>
        <v>9.9629972854813106E-2</v>
      </c>
      <c r="AF43" s="104">
        <f>'BPS-Statistics summary'!AI63</f>
        <v>9.9630035245551724E-2</v>
      </c>
      <c r="AG43" s="104">
        <f>'BPS-Statistics summary'!AJ63</f>
        <v>9.9629999844239897E-2</v>
      </c>
      <c r="AH43" s="104">
        <f>'BPS-Statistics summary'!AK63</f>
        <v>9.9629989280340947E-2</v>
      </c>
      <c r="AI43" s="104">
        <f>'BPS-Statistics summary'!AL63</f>
        <v>9.9629999306236422E-2</v>
      </c>
      <c r="AJ43" s="104">
        <f>'BPS-Statistics summary'!AM63</f>
        <v>9.963000591909224E-2</v>
      </c>
      <c r="AK43" s="104">
        <f>'BPS-Statistics summary'!AN63</f>
        <v>9.962999858747737E-2</v>
      </c>
      <c r="AL43" s="104">
        <f>'BPS-Statistics summary'!AO63</f>
        <v>9.9629998273286752E-2</v>
      </c>
      <c r="AM43" s="104">
        <f>'BPS-Statistics summary'!AP63</f>
        <v>9.963000052152321E-2</v>
      </c>
      <c r="AN43" s="104">
        <f>'BPS-Statistics summary'!AQ63</f>
        <v>9.9630000825344886E-2</v>
      </c>
      <c r="AO43" s="104">
        <f>'BPS-Statistics summary'!AR63</f>
        <v>9.9629999551908058E-2</v>
      </c>
      <c r="AP43" s="104">
        <f>'BPS-Statistics summary'!AS63</f>
        <v>9.9629999793015719E-2</v>
      </c>
      <c r="AQ43" s="104">
        <f>'BPS-Statistics summary'!AT63</f>
        <v>9.9630000172947972E-2</v>
      </c>
      <c r="AR43" s="104">
        <f>'BPS-Statistics summary'!AU63</f>
        <v>9.9630000085804166E-2</v>
      </c>
      <c r="AS43" s="104">
        <f>'BPS-Statistics summary'!AV63</f>
        <v>9.9629999900918975E-2</v>
      </c>
      <c r="AT43" s="104">
        <f>'BPS-Statistics summary'!AW63</f>
        <v>9.9629999988171708E-2</v>
      </c>
      <c r="AU43" s="104">
        <f>'BPS-Statistics summary'!AX63</f>
        <v>9.9630000036960709E-2</v>
      </c>
      <c r="AV43" s="104">
        <f>'BPS-Statistics summary'!AY63</f>
        <v>9.9630000002963889E-2</v>
      </c>
      <c r="AW43" s="104">
        <f>'BPS-Statistics summary'!AZ63</f>
        <v>9.9629999982253817E-2</v>
      </c>
      <c r="AX43" s="104">
        <f>'BPS-Statistics summary'!BA63</f>
        <v>9.9630000002587524E-2</v>
      </c>
      <c r="AY43" s="104">
        <f>'BPS-Statistics summary'!BB63</f>
        <v>9.9630000006191488E-2</v>
      </c>
      <c r="AZ43" s="104">
        <f>'BPS-Statistics summary'!BC63</f>
        <v>9.9629999998499183E-2</v>
      </c>
      <c r="BA43" s="104">
        <f>'BPS-Statistics summary'!BD63</f>
        <v>9.9629999997383006E-2</v>
      </c>
    </row>
    <row r="44" spans="1:53" ht="15.75" customHeight="1" x14ac:dyDescent="0.25"/>
    <row r="45" spans="1:53" ht="15.75" customHeight="1" x14ac:dyDescent="0.25"/>
    <row r="46" spans="1:53" ht="15.75" customHeight="1" x14ac:dyDescent="0.25"/>
    <row r="47" spans="1:53" ht="15.75" customHeight="1" x14ac:dyDescent="0.25"/>
    <row r="48" spans="1:5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  <ignoredErrors>
    <ignoredError sqref="B39 B21 B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About</vt:lpstr>
      <vt:lpstr>OECD 2018</vt:lpstr>
      <vt:lpstr>isic groups</vt:lpstr>
      <vt:lpstr>calcs</vt:lpstr>
      <vt:lpstr>GDP growth by Industry</vt:lpstr>
      <vt:lpstr>BPS-Statistics summary</vt:lpstr>
      <vt:lpstr>BPS 2019</vt:lpstr>
      <vt:lpstr>BPS 2020</vt:lpstr>
      <vt:lpstr>BPS 2021</vt:lpstr>
      <vt:lpstr>BPS 2022</vt:lpstr>
      <vt:lpstr>BPS 2023</vt:lpstr>
      <vt:lpstr>BPS 2024</vt:lpstr>
      <vt:lpstr>BPS 2025</vt:lpstr>
      <vt:lpstr>BPS 2026</vt:lpstr>
      <vt:lpstr>BPCiObIC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2019-12-02T22:49:06Z</dcterms:created>
  <dcterms:modified xsi:type="dcterms:W3CDTF">2026-07-18T14:15:48Z</dcterms:modified>
</cp:coreProperties>
</file>