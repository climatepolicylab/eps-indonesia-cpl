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IO-MODEL/New variables/"/>
    </mc:Choice>
  </mc:AlternateContent>
  <xr:revisionPtr revIDLastSave="0" documentId="13_ncr:1_{B067B454-3042-C74F-A69A-7EFB305927ED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bout" sheetId="1" r:id="rId1"/>
    <sheet name="ISIC Splits" sheetId="14" r:id="rId2"/>
    <sheet name="Industry Value Added" sheetId="17" r:id="rId3"/>
    <sheet name="BVAbIC" sheetId="1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chart.v1.0" hidden="1">BVAbIC!$A$2</definedName>
    <definedName name="_xlchart.v1.1" hidden="1">BVAbIC!$A$3</definedName>
    <definedName name="_xlchart.v1.2" hidden="1">BVAbIC!$B$1:$AQ$1</definedName>
    <definedName name="_xlchart.v1.3" hidden="1">BVAbIC!$B$2:$AQ$2</definedName>
    <definedName name="_xlchart.v1.4" hidden="1">BVAbIC!$B$3:$AQ$3</definedName>
    <definedName name="_xlchart.v1.5" hidden="1">BVAbIC!$A$2</definedName>
    <definedName name="_xlchart.v1.6" hidden="1">BVAbIC!$A$3</definedName>
    <definedName name="_xlchart.v1.7" hidden="1">BVAbIC!$B$1:$AQ$1</definedName>
    <definedName name="_xlchart.v1.8" hidden="1">BVAbIC!$B$2:$AQ$2</definedName>
    <definedName name="_xlchart.v1.9" hidden="1">BVAbIC!$B$3:$AQ$3</definedName>
    <definedName name="a">[1]ISICrev3.1!$E:$F</definedName>
    <definedName name="Calculated_Relationship_HS12___HS07">'[2]Correlation HS2012-HS2007'!#REF!</definedName>
    <definedName name="CAP_CT" localSheetId="1">#REF!</definedName>
    <definedName name="CAP_CT">#REF!</definedName>
    <definedName name="CAP_GFCF" localSheetId="1">#REF!</definedName>
    <definedName name="CAP_GFCF">#REF!</definedName>
    <definedName name="CAP_IT" localSheetId="1">#REF!</definedName>
    <definedName name="CAP_IT">#REF!</definedName>
    <definedName name="CAP_OCon" localSheetId="1">#REF!</definedName>
    <definedName name="CAP_OCon">#REF!</definedName>
    <definedName name="CAP_OMach" localSheetId="1">#REF!</definedName>
    <definedName name="CAP_OMach">#REF!</definedName>
    <definedName name="CAP_Other" localSheetId="1">#REF!</definedName>
    <definedName name="CAP_Other">#REF!</definedName>
    <definedName name="CAP_QI" localSheetId="1">#REF!</definedName>
    <definedName name="CAP_QI">#REF!</definedName>
    <definedName name="CAP_RStruc" localSheetId="1">#REF!</definedName>
    <definedName name="CAP_RStruc">#REF!</definedName>
    <definedName name="CAP_Soft" localSheetId="1">#REF!</definedName>
    <definedName name="CAP_Soft">#REF!</definedName>
    <definedName name="CAP_TraEq" localSheetId="1">#REF!</definedName>
    <definedName name="CAP_TraEq">#REF!</definedName>
    <definedName name="CAPIT" localSheetId="1">#REF!</definedName>
    <definedName name="CAPIT">#REF!</definedName>
    <definedName name="CAPIT_QI" localSheetId="1">#REF!</definedName>
    <definedName name="CAPIT_QI">#REF!</definedName>
    <definedName name="capit_qph" localSheetId="1">#REF!</definedName>
    <definedName name="capit_qph">#REF!</definedName>
    <definedName name="CAPNIT" localSheetId="1">#REF!</definedName>
    <definedName name="CAPNIT">#REF!</definedName>
    <definedName name="CAPNIT_QI" localSheetId="1">#REF!</definedName>
    <definedName name="CAPNIT_QI">#REF!</definedName>
    <definedName name="capnit_qph" localSheetId="1">#REF!</definedName>
    <definedName name="capnit_qph">#REF!</definedName>
    <definedName name="FLAPPIE" localSheetId="1">#REF!</definedName>
    <definedName name="FLAPPIE">#REF!</definedName>
    <definedName name="go_level_top1" localSheetId="1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 localSheetId="1">#REF!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 localSheetId="1">#REF!</definedName>
    <definedName name="sector_list">#REF!</definedName>
    <definedName name="Sectors" localSheetId="1">#REF!</definedName>
    <definedName name="Sectors">#REF!</definedName>
    <definedName name="SUNBURST">'[5]35-sector'!#REF!</definedName>
    <definedName name="VAConL" localSheetId="1">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7" l="1"/>
  <c r="E3" i="17" s="1"/>
  <c r="D4" i="17"/>
  <c r="E4" i="17"/>
  <c r="D5" i="17"/>
  <c r="E5" i="17"/>
  <c r="D6" i="17"/>
  <c r="E6" i="17"/>
  <c r="D7" i="17"/>
  <c r="E7" i="17" s="1"/>
  <c r="D8" i="17"/>
  <c r="E8" i="17"/>
  <c r="D9" i="17"/>
  <c r="E9" i="17"/>
  <c r="D10" i="17"/>
  <c r="E10" i="17"/>
  <c r="D11" i="17"/>
  <c r="E11" i="17" s="1"/>
  <c r="D12" i="17"/>
  <c r="E12" i="17"/>
  <c r="D13" i="17"/>
  <c r="E13" i="17"/>
  <c r="C2" i="15" s="1"/>
  <c r="D14" i="17"/>
  <c r="E14" i="17"/>
  <c r="E2" i="15" s="1"/>
  <c r="D15" i="17"/>
  <c r="E15" i="17" s="1"/>
  <c r="F2" i="15" s="1"/>
  <c r="D16" i="17"/>
  <c r="E16" i="17"/>
  <c r="D17" i="17"/>
  <c r="E17" i="17"/>
  <c r="K2" i="15" s="1"/>
  <c r="D18" i="17"/>
  <c r="E18" i="17" s="1"/>
  <c r="G2" i="15" s="1"/>
  <c r="D19" i="17"/>
  <c r="E19" i="17" s="1"/>
  <c r="D20" i="17"/>
  <c r="E20" i="17"/>
  <c r="D21" i="17"/>
  <c r="E21" i="17"/>
  <c r="D22" i="17"/>
  <c r="E22" i="17" s="1"/>
  <c r="I2" i="15" s="1"/>
  <c r="D23" i="17"/>
  <c r="E23" i="17" s="1"/>
  <c r="J2" i="15" s="1"/>
  <c r="D24" i="17"/>
  <c r="E24" i="17"/>
  <c r="D25" i="17"/>
  <c r="E25" i="17"/>
  <c r="N2" i="15" s="1"/>
  <c r="D26" i="17"/>
  <c r="E26" i="17"/>
  <c r="P2" i="15" s="1"/>
  <c r="D27" i="17"/>
  <c r="E27" i="17" s="1"/>
  <c r="R2" i="15" s="1"/>
  <c r="D28" i="17"/>
  <c r="E28" i="17"/>
  <c r="S2" i="15" s="1"/>
  <c r="T2" i="15" s="1"/>
  <c r="U2" i="15" s="1"/>
  <c r="D29" i="17"/>
  <c r="E29" i="17"/>
  <c r="V2" i="15" s="1"/>
  <c r="D30" i="17"/>
  <c r="E30" i="17"/>
  <c r="D31" i="17"/>
  <c r="E31" i="17" s="1"/>
  <c r="Y2" i="15" s="1"/>
  <c r="D32" i="17"/>
  <c r="E32" i="17"/>
  <c r="D33" i="17"/>
  <c r="E33" i="17"/>
  <c r="D34" i="17"/>
  <c r="E34" i="17"/>
  <c r="Z2" i="15" s="1"/>
  <c r="D35" i="17"/>
  <c r="E35" i="17" s="1"/>
  <c r="AA2" i="15" s="1"/>
  <c r="D36" i="17"/>
  <c r="E36" i="17"/>
  <c r="D37" i="17"/>
  <c r="E37" i="17" s="1"/>
  <c r="AC2" i="15" s="1"/>
  <c r="D38" i="17"/>
  <c r="E38" i="17" s="1"/>
  <c r="AD2" i="15" s="1"/>
  <c r="D39" i="17"/>
  <c r="E39" i="17" s="1"/>
  <c r="D40" i="17"/>
  <c r="E40" i="17"/>
  <c r="D41" i="17"/>
  <c r="E41" i="17" s="1"/>
  <c r="AE2" i="15" s="1"/>
  <c r="D42" i="17"/>
  <c r="E42" i="17"/>
  <c r="D43" i="17"/>
  <c r="E43" i="17" s="1"/>
  <c r="D44" i="17"/>
  <c r="E44" i="17"/>
  <c r="D45" i="17"/>
  <c r="E45" i="17"/>
  <c r="D46" i="17"/>
  <c r="E46" i="17"/>
  <c r="D47" i="17"/>
  <c r="E47" i="17" s="1"/>
  <c r="D48" i="17"/>
  <c r="E48" i="17" s="1"/>
  <c r="AF2" i="15" s="1"/>
  <c r="D49" i="17"/>
  <c r="E49" i="17"/>
  <c r="D50" i="17"/>
  <c r="E50" i="17"/>
  <c r="D51" i="17"/>
  <c r="E51" i="17" s="1"/>
  <c r="AG2" i="15" s="1"/>
  <c r="D52" i="17"/>
  <c r="E52" i="17" s="1"/>
  <c r="AJ2" i="15" s="1"/>
  <c r="D53" i="17"/>
  <c r="E53" i="17"/>
  <c r="D54" i="17"/>
  <c r="E54" i="17"/>
  <c r="D55" i="17"/>
  <c r="E55" i="17" s="1"/>
  <c r="D56" i="17"/>
  <c r="E56" i="17"/>
  <c r="D57" i="17"/>
  <c r="E57" i="17"/>
  <c r="AK2" i="15" s="1"/>
  <c r="D58" i="17"/>
  <c r="E58" i="17"/>
  <c r="AL2" i="15" s="1"/>
  <c r="D59" i="17"/>
  <c r="E59" i="17" s="1"/>
  <c r="AM2" i="15" s="1"/>
  <c r="D60" i="17"/>
  <c r="E60" i="17"/>
  <c r="AN2" i="15" s="1"/>
  <c r="D61" i="17"/>
  <c r="E61" i="17"/>
  <c r="AO2" i="15" s="1"/>
  <c r="D62" i="17"/>
  <c r="E62" i="17"/>
  <c r="D63" i="17"/>
  <c r="E63" i="17" s="1"/>
  <c r="D64" i="17"/>
  <c r="E64" i="17"/>
  <c r="D65" i="17"/>
  <c r="E65" i="17"/>
  <c r="D2" i="17"/>
  <c r="E2" i="17" s="1"/>
  <c r="B2" i="15" s="1"/>
  <c r="AP2" i="15"/>
  <c r="AQ2" i="15" s="1"/>
  <c r="AB2" i="15"/>
  <c r="W2" i="15"/>
  <c r="X2" i="15" s="1"/>
  <c r="H2" i="15"/>
  <c r="D2" i="15"/>
  <c r="O2" i="15" l="1"/>
  <c r="L2" i="15"/>
  <c r="AH2" i="15"/>
  <c r="AI2" i="15"/>
  <c r="Q2" i="15"/>
  <c r="L7" i="14"/>
  <c r="K7" i="14"/>
  <c r="M2" i="15"/>
</calcChain>
</file>

<file path=xl/sharedStrings.xml><?xml version="1.0" encoding="utf-8"?>
<sst xmlns="http://schemas.openxmlformats.org/spreadsheetml/2006/main" count="199" uniqueCount="158">
  <si>
    <t>Source: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</si>
  <si>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</si>
  <si>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</si>
  <si>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</si>
  <si>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</si>
  <si>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</si>
  <si>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</si>
  <si>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</si>
  <si>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</si>
  <si>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</si>
  <si>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</si>
  <si>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</si>
  <si>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</si>
  <si>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</si>
  <si>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</si>
  <si>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</si>
  <si>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</si>
  <si>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</si>
  <si>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</si>
  <si>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</si>
  <si>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</si>
  <si>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</si>
  <si>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</si>
  <si>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</si>
  <si>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</si>
  <si>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</si>
  <si>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</si>
  <si>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</si>
  <si>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</si>
  <si>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</si>
  <si>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</si>
  <si>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</si>
  <si>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USD</t>
  </si>
  <si>
    <t>We convert 2015 USD to 2012 USD with the following conversion factor:</t>
  </si>
  <si>
    <t>Value Added</t>
  </si>
  <si>
    <t>BVAbIC BAU Value Added by ISIC Code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</si>
  <si>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</si>
  <si>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</si>
  <si>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</si>
  <si>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</si>
  <si>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</si>
  <si>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</si>
  <si>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</si>
  <si>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</si>
  <si>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</si>
  <si>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</si>
  <si>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</si>
  <si>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Value add by ISIC split</t>
  </si>
  <si>
    <t>Source: EXIOBASE, except for ISIC 20/21, which is from WIOD</t>
  </si>
  <si>
    <t>'IDN'</t>
  </si>
  <si>
    <t>2012 USD per 2019 USD</t>
  </si>
  <si>
    <t>2019 Rupiah to 2019 USD</t>
  </si>
  <si>
    <t>Bilion Rupiah</t>
  </si>
  <si>
    <t>Lapangan Usaha (Industry Sector)</t>
  </si>
  <si>
    <t>ISIC Code</t>
  </si>
  <si>
    <t>Produk Domestik Bruto/Produk Domestik Regional Bruto Atas Dasar Harga Berlaku (miliar rupiah) (Billions Rp)</t>
  </si>
  <si>
    <t>Value ($2019)</t>
  </si>
  <si>
    <t>Value ($2012)</t>
  </si>
  <si>
    <t>Agriculture, Forestry, and Fishing (Pertanian, Kehutanan, dan Perikanan)</t>
  </si>
  <si>
    <t>- Agriculture, Livestock, Hunting, and Agriculture Services (Pertanian, Peternakan, Perburuan, dan Jasa Pertanian)</t>
  </si>
  <si>
    <t>ISIC 01</t>
  </si>
  <si>
    <t>- Food Crops (Tanaman Pangan)</t>
  </si>
  <si>
    <t>ISIC 011</t>
  </si>
  <si>
    <t>- Horticultural Crops (Tanaman Hortikultura)</t>
  </si>
  <si>
    <t>- Plantation Crops (Tanaman Perkebunan)</t>
  </si>
  <si>
    <t>ISIC 012</t>
  </si>
  <si>
    <t>- Livestock (Peternakan)</t>
  </si>
  <si>
    <t>ISIC 014</t>
  </si>
  <si>
    <t>- Agriculture Services and Hunting (Jasa Pertanian dan Perburuan)</t>
  </si>
  <si>
    <t>ISIC 016, ISIC 017</t>
  </si>
  <si>
    <t>- Forestry and Logging (Kehutanan dan Penebangan Kayu)</t>
  </si>
  <si>
    <t>ISIC 02</t>
  </si>
  <si>
    <t>- Fishing (Perikanan)</t>
  </si>
  <si>
    <t>ISIC 03</t>
  </si>
  <si>
    <t>Mining and Quarrying (Pertambangan dan Penggalian)</t>
  </si>
  <si>
    <t>ISIC 05-09</t>
  </si>
  <si>
    <t>- Crude Petroleum, Natural Gas, and Geothermal (Pertambangan Minyak, Gas, dan Panas Bumi)</t>
  </si>
  <si>
    <t>- Coal and Lignite Mining (Pertambangan Batubara dan Lignit)</t>
  </si>
  <si>
    <t>- Iron Ore Mining (Pertambangan Bijih Logam)</t>
  </si>
  <si>
    <t>ISIC 07-08</t>
  </si>
  <si>
    <t>- Other Mining and Quarrying (Pertambangan dan Penggalian Lainnya)</t>
  </si>
  <si>
    <t>Manufacturing (Industri Pengolahan)</t>
  </si>
  <si>
    <t>ISIC 10T33</t>
  </si>
  <si>
    <t>- Manufacture of Coal and Refined Petroleum Products (Industri Batubara dan Pengilangan Migas)</t>
  </si>
  <si>
    <t>- Manufacture of Food Products and Beverages (Industri Makanan dan Minuman)</t>
  </si>
  <si>
    <t>- Manufacture of Tobacco Products (Industri Pengolahan Tembakau)</t>
  </si>
  <si>
    <t>ISIC 12</t>
  </si>
  <si>
    <t>- Manufacture of Textiles and Wearing Apparel (Industri Tekstil dan Pakaian Jadi)</t>
  </si>
  <si>
    <t>- Manufacture of Leather and Related Products, and Footwear (Industri Kulit, Barang dari Kulit, dan Alas Kaki)</t>
  </si>
  <si>
    <t>ISIC 15</t>
  </si>
  <si>
    <t>- Manufacture of Wood and Products of Wood and Cork (Industri Kayu, Barang dari Kayu dan Gabus)</t>
  </si>
  <si>
    <t>- Manufacture of Paper and Paper Products; Printing and Reproduction of Recorded Media (Industri Kertas dan Barang dari Kertas)</t>
  </si>
  <si>
    <t>- Manufacture of Chemicals, Pharmaceuticals, and Botanical Products (Industri Kimia, Farmasi, dan Obat Tradisional)</t>
  </si>
  <si>
    <t>- Manufacture of Rubber and Plastic Products (Industri Karet; Barang dari Karet dan Plastik)</t>
  </si>
  <si>
    <t>- Manufacture of Other Non-Metallic Mineral Products (Industri Barang Galian bukan Logam)</t>
  </si>
  <si>
    <t>ISIC 231, 239</t>
  </si>
  <si>
    <t>- Manufacture of Basic Metals (Industri Logam Dasar)</t>
  </si>
  <si>
    <t>ISIC 241, 242</t>
  </si>
  <si>
    <t>- Manufacture of Fabricated Metal Products; Electronic, Computer, and Optical Products; and Electrical Equipment (Industri Barang Logam, Komputer, Elektronik, Optik, dan Peralatan Listrik)</t>
  </si>
  <si>
    <t>ISIC 25-27</t>
  </si>
  <si>
    <t>- Manufacture of Machinery and Equipment (Industri Mesin dan Perlengkapan)</t>
  </si>
  <si>
    <t>- Manufacture of Transport Equipment (Industri Alat Angkutan)</t>
  </si>
  <si>
    <t>ISIC 29-30</t>
  </si>
  <si>
    <t>- Manufacture of Furniture (Industri Furnitur)</t>
  </si>
  <si>
    <t>ISIC 31</t>
  </si>
  <si>
    <t>- Other Manufacturing; Repair and Installation of Machinery and Equipment (Industri Pengolahan Lainnya; Jasa Reparasi dan Pemasangan Mesin dan Peralatan)</t>
  </si>
  <si>
    <t>Electricity and Gas (Pengadaan Listrik dan Gas)</t>
  </si>
  <si>
    <t>ISIC 351-353</t>
  </si>
  <si>
    <t>- Electricity (Ketenagalistrikan)</t>
  </si>
  <si>
    <t>- Manufacture of Gas and Production of Ice (Pengadaan Gas dan Produksi Es)</t>
  </si>
  <si>
    <t>Water Supply, Sewerage, Waste Management, and Remediation Activities (Pengadaan Air; Pengelolaan Sampah, Limbah, dan Daur Ulang)</t>
  </si>
  <si>
    <t>Construction (Konstruksi)</t>
  </si>
  <si>
    <t>Wholesale and Retail Trade; Repair of Motor Vehicles and Motorcycles (Perdagangan Besar dan Eceran; Reparasi Mobil dan Sepeda Motor)</t>
  </si>
  <si>
    <t>- Wholesale and Retail Trade and Repair of Motor Vehicles and Motorcycles (Perdagangan Mobil, Sepeda Motor dan Reparasinya)</t>
  </si>
  <si>
    <t>ISIC 45</t>
  </si>
  <si>
    <t>- Wholesale and Retail Trade Except of Motor Vehicles and Motorcycles (Perdagangan Besar dan Eceran, Bukan Mobil dan Sepeda Motor)</t>
  </si>
  <si>
    <t>ISIC 46-47</t>
  </si>
  <si>
    <t>Transportation and Storage (Transportasi dan Pergudangan)</t>
  </si>
  <si>
    <t>- Railways Transport (Angkutan Rel)</t>
  </si>
  <si>
    <t>ISIC 491</t>
  </si>
  <si>
    <t>- Land Transport (Angkutan Darat)</t>
  </si>
  <si>
    <t>ISIC 492</t>
  </si>
  <si>
    <t>- Sea Transport (Angkutan Laut)</t>
  </si>
  <si>
    <t>ISIC 50</t>
  </si>
  <si>
    <t>- River, Lake, and Ferry Transport (Angkutan Sungai, Danau, dan Penyeberangan)</t>
  </si>
  <si>
    <t>- Air Transport (Angkutan Udara)</t>
  </si>
  <si>
    <t>ISIC 51</t>
  </si>
  <si>
    <t>- Warehousing and Support Services for Transportation; Postal and Courier (Pergudangan dan Jasa Penunjang Angkutan)</t>
  </si>
  <si>
    <t>ISIC 52-53</t>
  </si>
  <si>
    <t>Accommodation and Food Service Activities (Penyediaan Akomodasi dan Makan Minum)</t>
  </si>
  <si>
    <t>- Accommodation (Penyediaan Akomodasi)</t>
  </si>
  <si>
    <t>ISIC 55</t>
  </si>
  <si>
    <t>- Food and Beverage Service Activities (Penyediaan Makan Minum)</t>
  </si>
  <si>
    <t>ISIC 56</t>
  </si>
  <si>
    <t>Information and Communication (Informasi dan Komunikasi)</t>
  </si>
  <si>
    <t>ISIC 58T60, ISIC 61, ISIC 62T63</t>
  </si>
  <si>
    <t>Financial and Insurance Activities (Jasa Keuangan dan Asuransi)</t>
  </si>
  <si>
    <t>- Financial Intermediary Services (Jasa Perantara Keuangan)</t>
  </si>
  <si>
    <t>ISIC 64</t>
  </si>
  <si>
    <t>- Insurance and Pension Fund (Asuransi dan Dana Pensiun)</t>
  </si>
  <si>
    <t>ISIC 65</t>
  </si>
  <si>
    <t>- Other Financial Services (Jasa Keuangan Lainnya)</t>
  </si>
  <si>
    <t>ISIC 66</t>
  </si>
  <si>
    <t>- Financial Supporting Service (Jasa Penunjang Keuangan)</t>
  </si>
  <si>
    <t>Real Estate Activities (Real Estat)</t>
  </si>
  <si>
    <t>Business Activities (Jasa Perusahaan)</t>
  </si>
  <si>
    <t>Public Administration and Defence; Compulsory Social Security (Administrasi Pemerintahan, Pertahanan, dan Jaminan Sosial Wajib)</t>
  </si>
  <si>
    <t>Education (Jasa Pendidikan)</t>
  </si>
  <si>
    <t>Human Health and Social Work Activities (Jasa Kesehatan dan Kegiatan Sosial)</t>
  </si>
  <si>
    <t>Other Services Activities (Jasa Lainnya)</t>
  </si>
  <si>
    <t>ISIC 90T96, ISIC 97T98</t>
  </si>
  <si>
    <t>Gross Value Added at Basic Price (Nilai Tambah Bruto Atas Harga Dasar)</t>
  </si>
  <si>
    <t>Aggregate GDP Component</t>
  </si>
  <si>
    <t>Taxes less Subsidies on Products (Pajak Dikurang Subsidi Atas Produk)</t>
  </si>
  <si>
    <t>Gross Domestic Product (Produk Domestik Bruto)</t>
  </si>
  <si>
    <t>BPS</t>
  </si>
  <si>
    <t>Economic Accounts</t>
  </si>
  <si>
    <t>https://www.bps.go.id/en/statistics-table/3/UzFSTVVXUlliME5XYzBZNUwwNVFRa3h6Y1d3M1p6MDkjMw==/gross-domestic-product-at-current-market-prices-by-industry---billion-rupiahs-.html?year=2024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</si>
</sst>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164" fontId="0" fillId="0" borderId="0" xfId="0" applyNumberFormat="1"/>
    <xf numFmtId="0" fontId="1" fillId="2" borderId="0" xfId="0" applyFont="1" applyFill="1"/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9" fontId="0" fillId="0" borderId="9" xfId="0" applyNumberFormat="1" applyBorder="1"/>
    <xf numFmtId="9" fontId="0" fillId="0" borderId="10" xfId="0" applyNumberFormat="1" applyBorder="1"/>
    <xf numFmtId="9" fontId="0" fillId="0" borderId="11" xfId="0" applyNumberFormat="1" applyBorder="1"/>
    <xf numFmtId="9" fontId="0" fillId="0" borderId="0" xfId="3" applyFont="1" applyBorder="1"/>
    <xf numFmtId="10" fontId="0" fillId="0" borderId="0" xfId="0" applyNumberFormat="1" applyAlignment="1">
      <alignment horizontal="right"/>
    </xf>
    <xf numFmtId="11" fontId="0" fillId="0" borderId="0" xfId="0" applyNumberFormat="1"/>
    <xf numFmtId="0" fontId="7" fillId="0" borderId="0" xfId="0" applyFont="1"/>
    <xf numFmtId="11" fontId="0" fillId="3" borderId="0" xfId="0" applyNumberFormat="1" applyFill="1"/>
    <xf numFmtId="9" fontId="0" fillId="0" borderId="0" xfId="0" applyNumberFormat="1"/>
  </cellXfs>
  <cellStyles count="5">
    <cellStyle name="Hyperlink" xfId="1" builtinId="8"/>
    <cellStyle name="Normal" xfId="0" builtinId="0"/>
    <cellStyle name="Normal 2" xfId="2" xr:uid="{3ADF3FF5-E4D2-4BC8-9960-7408DCCB591E}"/>
    <cellStyle name="Normal 3" xfId="4" xr:uid="{6CF9DADC-71D3-42BC-AB58-C2133873EF7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D26" sqref="D26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35</v>
      </c>
    </row>
    <row r="3" spans="1:2" x14ac:dyDescent="0.2">
      <c r="A3" s="1" t="s">
        <v>0</v>
      </c>
      <c r="B3" s="7" t="s">
        <v>155</v>
      </c>
    </row>
    <row r="4" spans="1:2" x14ac:dyDescent="0.2">
      <c r="B4" t="s">
        <v>156</v>
      </c>
    </row>
    <row r="5" spans="1:2" x14ac:dyDescent="0.2">
      <c r="B5" s="2">
        <v>2019</v>
      </c>
    </row>
    <row r="6" spans="1:2" x14ac:dyDescent="0.2">
      <c r="B6" s="3" t="s">
        <v>157</v>
      </c>
    </row>
    <row r="7" spans="1:2" x14ac:dyDescent="0.2">
      <c r="B7" s="3"/>
    </row>
    <row r="10" spans="1:2" x14ac:dyDescent="0.2">
      <c r="A10" t="s">
        <v>33</v>
      </c>
    </row>
    <row r="11" spans="1:2" x14ac:dyDescent="0.2">
      <c r="A11" s="6">
        <v>0.96</v>
      </c>
      <c r="B11" t="s">
        <v>50</v>
      </c>
    </row>
    <row r="12" spans="1:2" x14ac:dyDescent="0.2">
      <c r="A12" s="4">
        <v>7.0740000000000004E-5</v>
      </c>
      <c r="B12" t="s">
        <v>51</v>
      </c>
    </row>
    <row r="13" spans="1:2" x14ac:dyDescent="0.2">
      <c r="A13" s="22">
        <v>1000000000</v>
      </c>
      <c r="B13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A829-F5E0-4919-ABEC-48BF0E21121E}">
  <sheetPr>
    <tabColor theme="9" tint="0.59999389629810485"/>
  </sheetPr>
  <dimension ref="B2:M9"/>
  <sheetViews>
    <sheetView workbookViewId="0">
      <selection activeCell="B2" sqref="B2:M7"/>
    </sheetView>
  </sheetViews>
  <sheetFormatPr baseColWidth="10" defaultColWidth="8.83203125" defaultRowHeight="15" x14ac:dyDescent="0.2"/>
  <sheetData>
    <row r="2" spans="2:13" x14ac:dyDescent="0.2">
      <c r="B2" t="s">
        <v>47</v>
      </c>
    </row>
    <row r="3" spans="2:13" x14ac:dyDescent="0.2">
      <c r="B3" t="s">
        <v>48</v>
      </c>
    </row>
    <row r="5" spans="2:13" x14ac:dyDescent="0.2">
      <c r="C5" s="11" t="s">
        <v>38</v>
      </c>
      <c r="D5" s="12" t="s">
        <v>39</v>
      </c>
      <c r="E5" s="11" t="s">
        <v>36</v>
      </c>
      <c r="F5" s="12" t="s">
        <v>37</v>
      </c>
      <c r="G5" s="11" t="s">
        <v>40</v>
      </c>
      <c r="H5" s="12" t="s">
        <v>41</v>
      </c>
      <c r="I5" s="11" t="s">
        <v>42</v>
      </c>
      <c r="J5" s="13" t="s">
        <v>43</v>
      </c>
      <c r="K5" s="11" t="s">
        <v>44</v>
      </c>
      <c r="L5" s="13" t="s">
        <v>45</v>
      </c>
      <c r="M5" s="12"/>
    </row>
    <row r="6" spans="2:13" x14ac:dyDescent="0.2">
      <c r="C6" s="14">
        <v>11203.611610220885</v>
      </c>
      <c r="D6" s="15">
        <v>17243.670354804537</v>
      </c>
      <c r="G6" s="14">
        <v>1514.0944694404857</v>
      </c>
      <c r="H6" s="15">
        <v>2652.1488855686948</v>
      </c>
      <c r="I6" s="14">
        <v>819.34705622293052</v>
      </c>
      <c r="J6">
        <v>1118.0587809035956</v>
      </c>
      <c r="K6" s="14">
        <v>10165.967247923987</v>
      </c>
      <c r="L6">
        <v>219.22806415188646</v>
      </c>
      <c r="M6" s="15"/>
    </row>
    <row r="7" spans="2:13" x14ac:dyDescent="0.2">
      <c r="B7" s="16" t="s">
        <v>49</v>
      </c>
      <c r="C7" s="17">
        <v>0.39383768277036768</v>
      </c>
      <c r="D7" s="18">
        <v>0.60616231722963221</v>
      </c>
      <c r="E7" s="25">
        <v>0.73</v>
      </c>
      <c r="F7" s="25">
        <v>0.27</v>
      </c>
      <c r="G7" s="17">
        <v>0.36341959420590525</v>
      </c>
      <c r="H7" s="18">
        <v>0.63658040579409469</v>
      </c>
      <c r="I7" s="17">
        <v>0.42290935668809049</v>
      </c>
      <c r="J7" s="19">
        <v>0.57709064331190962</v>
      </c>
      <c r="K7" s="17">
        <f>K6/SUM($K$6:$L$6)</f>
        <v>0.97889032824476896</v>
      </c>
      <c r="L7" s="17">
        <f>L6/SUM($K$6:$L$6)</f>
        <v>2.1109671755231096E-2</v>
      </c>
      <c r="M7" s="18"/>
    </row>
    <row r="9" spans="2:13" x14ac:dyDescent="0.2"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53B8-58AC-6840-8A11-B45826257AFD}">
  <dimension ref="A1:AQ65"/>
  <sheetViews>
    <sheetView topLeftCell="A16" workbookViewId="0">
      <selection activeCell="C53" sqref="C53"/>
    </sheetView>
  </sheetViews>
  <sheetFormatPr baseColWidth="10" defaultRowHeight="15" x14ac:dyDescent="0.2"/>
  <cols>
    <col min="1" max="1" width="145.6640625" customWidth="1"/>
    <col min="3" max="3" width="17.33203125" customWidth="1"/>
    <col min="4" max="4" width="17.6640625" customWidth="1"/>
    <col min="5" max="5" width="16.83203125" customWidth="1"/>
  </cols>
  <sheetData>
    <row r="1" spans="1:43" ht="16" x14ac:dyDescent="0.2">
      <c r="A1" s="23" t="s">
        <v>53</v>
      </c>
      <c r="B1" s="23" t="s">
        <v>54</v>
      </c>
      <c r="C1" s="23" t="s">
        <v>55</v>
      </c>
      <c r="D1" s="23" t="s">
        <v>56</v>
      </c>
      <c r="E1" s="23" t="s">
        <v>57</v>
      </c>
    </row>
    <row r="2" spans="1:43" ht="16" x14ac:dyDescent="0.2">
      <c r="A2" s="23" t="s">
        <v>58</v>
      </c>
      <c r="B2" s="23" t="s">
        <v>1</v>
      </c>
      <c r="C2" s="22">
        <v>1012742.8</v>
      </c>
      <c r="D2" s="22">
        <f>C2*About!$A$12*About!$A$13</f>
        <v>71641425672.000015</v>
      </c>
      <c r="E2" s="22">
        <f>D2*About!$A$11</f>
        <v>68775768645.12001</v>
      </c>
    </row>
    <row r="3" spans="1:43" x14ac:dyDescent="0.2">
      <c r="A3" t="s">
        <v>59</v>
      </c>
      <c r="B3" t="s">
        <v>60</v>
      </c>
      <c r="C3" s="22">
        <v>1488985.7</v>
      </c>
      <c r="D3" s="22">
        <f>C3*About!$A$12*About!$A$13</f>
        <v>105330848418</v>
      </c>
      <c r="E3" s="22">
        <f>D3*About!$A$11</f>
        <v>101117614481.28</v>
      </c>
    </row>
    <row r="4" spans="1:43" x14ac:dyDescent="0.2">
      <c r="A4" t="s">
        <v>61</v>
      </c>
      <c r="B4" t="s">
        <v>62</v>
      </c>
      <c r="C4" s="22">
        <v>446497.3</v>
      </c>
      <c r="D4" s="22">
        <f>C4*About!$A$12*About!$A$13</f>
        <v>31585219002.000004</v>
      </c>
      <c r="E4" s="22">
        <f>D4*About!$A$11</f>
        <v>30321810241.920002</v>
      </c>
    </row>
    <row r="5" spans="1:43" x14ac:dyDescent="0.2">
      <c r="A5" t="s">
        <v>63</v>
      </c>
      <c r="B5" t="s">
        <v>62</v>
      </c>
      <c r="C5" s="22">
        <v>238830.5</v>
      </c>
      <c r="D5" s="22">
        <f>C5*About!$A$12*About!$A$13</f>
        <v>16894869570</v>
      </c>
      <c r="E5" s="22">
        <f>D5*About!$A$11</f>
        <v>16219074787.199999</v>
      </c>
    </row>
    <row r="6" spans="1:43" x14ac:dyDescent="0.2">
      <c r="A6" t="s">
        <v>64</v>
      </c>
      <c r="B6" t="s">
        <v>65</v>
      </c>
      <c r="C6" s="22">
        <v>517507.8</v>
      </c>
      <c r="D6" s="22">
        <f>C6*About!$A$12*About!$A$13</f>
        <v>36608501772.000008</v>
      </c>
      <c r="E6" s="22">
        <f>D6*About!$A$11</f>
        <v>35144161701.120003</v>
      </c>
    </row>
    <row r="7" spans="1:43" x14ac:dyDescent="0.2">
      <c r="A7" t="s">
        <v>66</v>
      </c>
      <c r="B7" t="s">
        <v>67</v>
      </c>
      <c r="C7" s="22">
        <v>256849.6</v>
      </c>
      <c r="D7" s="22">
        <f>C7*About!$A$12*About!$A$13</f>
        <v>18169540704.000004</v>
      </c>
      <c r="E7" s="22">
        <f>D7*About!$A$11</f>
        <v>17442759075.840004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">
      <c r="A8" t="s">
        <v>68</v>
      </c>
      <c r="B8" t="s">
        <v>69</v>
      </c>
      <c r="C8" s="22">
        <v>29300.5</v>
      </c>
      <c r="D8" s="22">
        <f>C8*About!$A$12*About!$A$13</f>
        <v>2072717370</v>
      </c>
      <c r="E8" s="22">
        <f>D8*About!$A$11</f>
        <v>1989808675.1999998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">
      <c r="A9" t="s">
        <v>70</v>
      </c>
      <c r="B9" t="s">
        <v>71</v>
      </c>
      <c r="C9" s="22">
        <v>104121.9</v>
      </c>
      <c r="D9" s="22">
        <f>C9*About!$A$12*About!$A$13</f>
        <v>7365583206</v>
      </c>
      <c r="E9" s="22">
        <f>D9*About!$A$11</f>
        <v>7070959877.7599993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">
      <c r="A10" t="s">
        <v>72</v>
      </c>
      <c r="B10" t="s">
        <v>73</v>
      </c>
      <c r="C10" s="22">
        <v>419635.20000000001</v>
      </c>
      <c r="D10" s="22">
        <f>C10*About!$A$12*About!$A$13</f>
        <v>29684994048.000004</v>
      </c>
      <c r="E10" s="22">
        <f>D10*About!$A$11</f>
        <v>28497594286.080002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1:43" ht="16" x14ac:dyDescent="0.2">
      <c r="A11" s="23" t="s">
        <v>74</v>
      </c>
      <c r="B11" s="23" t="s">
        <v>75</v>
      </c>
      <c r="C11" s="22">
        <v>1149913.5</v>
      </c>
      <c r="D11" s="22">
        <f>C11*About!$A$12*About!$A$13</f>
        <v>81344880990</v>
      </c>
      <c r="E11" s="22">
        <f>D11*About!$A$11</f>
        <v>78091085750.399994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x14ac:dyDescent="0.2">
      <c r="A12" t="s">
        <v>76</v>
      </c>
      <c r="B12" t="s">
        <v>39</v>
      </c>
      <c r="C12" s="22">
        <v>439602.8</v>
      </c>
      <c r="D12" s="22">
        <f>C12*About!$A$12*About!$A$13</f>
        <v>31097502072</v>
      </c>
      <c r="E12" s="22">
        <f>D12*About!$A$11</f>
        <v>29853601989.119999</v>
      </c>
    </row>
    <row r="13" spans="1:43" x14ac:dyDescent="0.2">
      <c r="A13" t="s">
        <v>77</v>
      </c>
      <c r="B13" t="s">
        <v>38</v>
      </c>
      <c r="C13" s="22">
        <v>368890.5</v>
      </c>
      <c r="D13" s="22">
        <f>C13*About!$A$12*About!$A$13</f>
        <v>26095313970.000004</v>
      </c>
      <c r="E13" s="22">
        <f>D13*About!$A$11</f>
        <v>25051501411.200005</v>
      </c>
    </row>
    <row r="14" spans="1:43" x14ac:dyDescent="0.2">
      <c r="A14" t="s">
        <v>78</v>
      </c>
      <c r="B14" t="s">
        <v>79</v>
      </c>
      <c r="C14" s="22">
        <v>96824.6</v>
      </c>
      <c r="D14" s="22">
        <f>C14*About!$A$12*About!$A$13</f>
        <v>6849372204.000001</v>
      </c>
      <c r="E14" s="22">
        <f>D14*About!$A$11</f>
        <v>6575397315.8400011</v>
      </c>
    </row>
    <row r="15" spans="1:43" x14ac:dyDescent="0.2">
      <c r="A15" t="s">
        <v>80</v>
      </c>
      <c r="B15" t="s">
        <v>3</v>
      </c>
      <c r="C15" s="22">
        <v>244595.6</v>
      </c>
      <c r="D15" s="22">
        <f>C15*About!$A$12*About!$A$13</f>
        <v>17302692744</v>
      </c>
      <c r="E15" s="22">
        <f>D15*About!$A$11</f>
        <v>16610585034.24</v>
      </c>
    </row>
    <row r="16" spans="1:43" ht="16" x14ac:dyDescent="0.2">
      <c r="A16" s="23" t="s">
        <v>81</v>
      </c>
      <c r="B16" s="23" t="s">
        <v>82</v>
      </c>
      <c r="C16" s="22">
        <v>3119593.8</v>
      </c>
      <c r="D16" s="22">
        <f>C16*About!$A$12*About!$A$13</f>
        <v>220680065412</v>
      </c>
      <c r="E16" s="22">
        <f>D16*About!$A$11</f>
        <v>211852862795.51999</v>
      </c>
    </row>
    <row r="17" spans="1:5" x14ac:dyDescent="0.2">
      <c r="A17" t="s">
        <v>83</v>
      </c>
      <c r="B17" t="s">
        <v>8</v>
      </c>
      <c r="C17" s="22">
        <v>336672.6</v>
      </c>
      <c r="D17" s="22">
        <f>C17*About!$A$12*About!$A$13</f>
        <v>23816219724</v>
      </c>
      <c r="E17" s="22">
        <f>D17*About!$A$11</f>
        <v>22863570935.040001</v>
      </c>
    </row>
    <row r="18" spans="1:5" x14ac:dyDescent="0.2">
      <c r="A18" t="s">
        <v>84</v>
      </c>
      <c r="B18" t="s">
        <v>4</v>
      </c>
      <c r="C18" s="22">
        <v>1012959.8</v>
      </c>
      <c r="D18" s="22">
        <f>C18*About!$A$12*About!$A$13</f>
        <v>71656776252</v>
      </c>
      <c r="E18" s="22">
        <f>D18*About!$A$11</f>
        <v>68790505201.919998</v>
      </c>
    </row>
    <row r="19" spans="1:5" x14ac:dyDescent="0.2">
      <c r="A19" t="s">
        <v>85</v>
      </c>
      <c r="B19" t="s">
        <v>86</v>
      </c>
      <c r="C19" s="22">
        <v>140966.5</v>
      </c>
      <c r="D19" s="22">
        <f>C19*About!$A$12*About!$A$13</f>
        <v>9971970210</v>
      </c>
      <c r="E19" s="22">
        <f>D19*About!$A$11</f>
        <v>9573091401.6000004</v>
      </c>
    </row>
    <row r="20" spans="1:5" x14ac:dyDescent="0.2">
      <c r="A20" t="s">
        <v>87</v>
      </c>
      <c r="B20" t="s">
        <v>5</v>
      </c>
      <c r="C20" s="22">
        <v>200019.4</v>
      </c>
      <c r="D20" s="22">
        <f>C20*About!$A$12*About!$A$13</f>
        <v>14149372356</v>
      </c>
      <c r="E20" s="22">
        <f>D20*About!$A$11</f>
        <v>13583397461.76</v>
      </c>
    </row>
    <row r="21" spans="1:5" x14ac:dyDescent="0.2">
      <c r="A21" t="s">
        <v>88</v>
      </c>
      <c r="B21" t="s">
        <v>89</v>
      </c>
      <c r="C21" s="22">
        <v>42499</v>
      </c>
      <c r="D21" s="22">
        <f>C21*About!$A$12*About!$A$13</f>
        <v>3006379260</v>
      </c>
      <c r="E21" s="22">
        <f>D21*About!$A$11</f>
        <v>2886124089.5999999</v>
      </c>
    </row>
    <row r="22" spans="1:5" x14ac:dyDescent="0.2">
      <c r="A22" t="s">
        <v>90</v>
      </c>
      <c r="B22" t="s">
        <v>6</v>
      </c>
      <c r="C22" s="22">
        <v>80319.899999999994</v>
      </c>
      <c r="D22" s="22">
        <f>C22*About!$A$12*About!$A$13</f>
        <v>5681829726</v>
      </c>
      <c r="E22" s="22">
        <f>D22*About!$A$11</f>
        <v>5454556536.96</v>
      </c>
    </row>
    <row r="23" spans="1:5" x14ac:dyDescent="0.2">
      <c r="A23" t="s">
        <v>91</v>
      </c>
      <c r="B23" t="s">
        <v>7</v>
      </c>
      <c r="C23" s="22">
        <v>109892.2</v>
      </c>
      <c r="D23" s="22">
        <f>C23*About!$A$12*About!$A$13</f>
        <v>7773774228.000001</v>
      </c>
      <c r="E23" s="22">
        <f>D23*About!$A$11</f>
        <v>7462823258.8800011</v>
      </c>
    </row>
    <row r="24" spans="1:5" x14ac:dyDescent="0.2">
      <c r="A24" t="s">
        <v>92</v>
      </c>
      <c r="B24" t="s">
        <v>36</v>
      </c>
      <c r="C24" s="22">
        <v>265925.09999999998</v>
      </c>
      <c r="D24" s="22">
        <f>C24*About!$A$12*About!$A$13</f>
        <v>18811541574</v>
      </c>
      <c r="E24" s="22">
        <f>D24*About!$A$11</f>
        <v>18059079911.040001</v>
      </c>
    </row>
    <row r="25" spans="1:5" x14ac:dyDescent="0.2">
      <c r="A25" t="s">
        <v>93</v>
      </c>
      <c r="B25" t="s">
        <v>9</v>
      </c>
      <c r="C25" s="22">
        <v>87975.4</v>
      </c>
      <c r="D25" s="22">
        <f>C25*About!$A$12*About!$A$13</f>
        <v>6223379796</v>
      </c>
      <c r="E25" s="22">
        <f>D25*About!$A$11</f>
        <v>5974444604.1599998</v>
      </c>
    </row>
    <row r="26" spans="1:5" x14ac:dyDescent="0.2">
      <c r="A26" t="s">
        <v>94</v>
      </c>
      <c r="B26" t="s">
        <v>95</v>
      </c>
      <c r="C26" s="22">
        <v>93362.6</v>
      </c>
      <c r="D26" s="22">
        <f>C26*About!$A$12*About!$A$13</f>
        <v>6604470324.000001</v>
      </c>
      <c r="E26" s="22">
        <f>D26*About!$A$11</f>
        <v>6340291511.0400009</v>
      </c>
    </row>
    <row r="27" spans="1:5" x14ac:dyDescent="0.2">
      <c r="A27" t="s">
        <v>96</v>
      </c>
      <c r="B27" t="s">
        <v>97</v>
      </c>
      <c r="C27" s="22">
        <v>116068.6</v>
      </c>
      <c r="D27" s="22">
        <f>C27*About!$A$12*About!$A$13</f>
        <v>8210692764.000001</v>
      </c>
      <c r="E27" s="22">
        <f>D27*About!$A$11</f>
        <v>7882265053.4400005</v>
      </c>
    </row>
    <row r="28" spans="1:5" x14ac:dyDescent="0.2">
      <c r="A28" t="s">
        <v>98</v>
      </c>
      <c r="B28" t="s">
        <v>99</v>
      </c>
      <c r="C28" s="22">
        <v>265384.3</v>
      </c>
      <c r="D28" s="22">
        <f>C28*About!$A$12*About!$A$13</f>
        <v>18773285382</v>
      </c>
      <c r="E28" s="22">
        <f>D28*About!$A$11</f>
        <v>18022353966.720001</v>
      </c>
    </row>
    <row r="29" spans="1:5" x14ac:dyDescent="0.2">
      <c r="A29" t="s">
        <v>100</v>
      </c>
      <c r="B29" t="s">
        <v>13</v>
      </c>
      <c r="C29" s="22">
        <v>46982.5</v>
      </c>
      <c r="D29" s="22">
        <f>C29*About!$A$12*About!$A$13</f>
        <v>3323542050.0000005</v>
      </c>
      <c r="E29" s="22">
        <f>D29*About!$A$11</f>
        <v>3190600368.0000005</v>
      </c>
    </row>
    <row r="30" spans="1:5" x14ac:dyDescent="0.2">
      <c r="A30" t="s">
        <v>101</v>
      </c>
      <c r="B30" t="s">
        <v>102</v>
      </c>
      <c r="C30" s="22">
        <v>258287.3</v>
      </c>
      <c r="D30" s="22">
        <f>C30*About!$A$12*About!$A$13</f>
        <v>18271243602</v>
      </c>
      <c r="E30" s="22">
        <f>D30*About!$A$11</f>
        <v>17540393857.919998</v>
      </c>
    </row>
    <row r="31" spans="1:5" x14ac:dyDescent="0.2">
      <c r="A31" t="s">
        <v>103</v>
      </c>
      <c r="B31" t="s">
        <v>104</v>
      </c>
      <c r="C31" s="22">
        <v>39239</v>
      </c>
      <c r="D31" s="22">
        <f>C31*About!$A$12*About!$A$13</f>
        <v>2775766860</v>
      </c>
      <c r="E31" s="22">
        <f>D31*About!$A$11</f>
        <v>2664736185.5999999</v>
      </c>
    </row>
    <row r="32" spans="1:5" x14ac:dyDescent="0.2">
      <c r="A32" t="s">
        <v>105</v>
      </c>
      <c r="B32" t="s">
        <v>16</v>
      </c>
      <c r="C32" s="22">
        <v>23039.599999999999</v>
      </c>
      <c r="D32" s="22">
        <f>C32*About!$A$12*About!$A$13</f>
        <v>1629821304</v>
      </c>
      <c r="E32" s="22">
        <f>D32*About!$A$11</f>
        <v>1564628451.8399999</v>
      </c>
    </row>
    <row r="33" spans="1:5" ht="16" x14ac:dyDescent="0.2">
      <c r="A33" s="23" t="s">
        <v>106</v>
      </c>
      <c r="B33" s="23" t="s">
        <v>107</v>
      </c>
      <c r="C33" s="22">
        <v>185115.3</v>
      </c>
      <c r="D33" s="22">
        <f>C33*About!$A$12*About!$A$13</f>
        <v>13095056322</v>
      </c>
      <c r="E33" s="22">
        <f>D33*About!$A$11</f>
        <v>12571254069.119999</v>
      </c>
    </row>
    <row r="34" spans="1:5" x14ac:dyDescent="0.2">
      <c r="A34" t="s">
        <v>108</v>
      </c>
      <c r="B34" t="s">
        <v>44</v>
      </c>
      <c r="C34" s="22">
        <v>151975.9</v>
      </c>
      <c r="D34" s="22">
        <f>C34*About!$A$12*About!$A$13</f>
        <v>10750775166</v>
      </c>
      <c r="E34" s="22">
        <f>D34*About!$A$11</f>
        <v>10320744159.359999</v>
      </c>
    </row>
    <row r="35" spans="1:5" x14ac:dyDescent="0.2">
      <c r="A35" t="s">
        <v>109</v>
      </c>
      <c r="B35" t="s">
        <v>45</v>
      </c>
      <c r="C35" s="22">
        <v>33139.4</v>
      </c>
      <c r="D35" s="22">
        <f>C35*About!$A$12*About!$A$13</f>
        <v>2344281156</v>
      </c>
      <c r="E35" s="22">
        <f>D35*About!$A$11</f>
        <v>2250509909.7599998</v>
      </c>
    </row>
    <row r="36" spans="1:5" ht="16" x14ac:dyDescent="0.2">
      <c r="A36" s="23" t="s">
        <v>110</v>
      </c>
      <c r="B36" s="23" t="s">
        <v>46</v>
      </c>
      <c r="C36" s="22">
        <v>10736.1</v>
      </c>
      <c r="D36" s="22">
        <f>C36*About!$A$12*About!$A$13</f>
        <v>759471714</v>
      </c>
      <c r="E36" s="22">
        <f>D36*About!$A$11</f>
        <v>729092845.43999994</v>
      </c>
    </row>
    <row r="37" spans="1:5" ht="16" x14ac:dyDescent="0.2">
      <c r="A37" s="23" t="s">
        <v>111</v>
      </c>
      <c r="B37" s="23" t="s">
        <v>17</v>
      </c>
      <c r="C37" s="22">
        <v>1501741.2</v>
      </c>
      <c r="D37" s="22">
        <f>C37*About!$A$12*About!$A$13</f>
        <v>106233172488.00002</v>
      </c>
      <c r="E37" s="22">
        <f>D37*About!$A$11</f>
        <v>101983845588.48001</v>
      </c>
    </row>
    <row r="38" spans="1:5" ht="16" x14ac:dyDescent="0.2">
      <c r="A38" s="23" t="s">
        <v>112</v>
      </c>
      <c r="B38" s="23" t="s">
        <v>18</v>
      </c>
      <c r="C38" s="22">
        <v>700268.9</v>
      </c>
      <c r="D38" s="22">
        <f>C38*About!$A$12*About!$A$13</f>
        <v>49537021986.000008</v>
      </c>
      <c r="E38" s="22">
        <f>D38*About!$A$11</f>
        <v>47555541106.560005</v>
      </c>
    </row>
    <row r="39" spans="1:5" x14ac:dyDescent="0.2">
      <c r="A39" t="s">
        <v>113</v>
      </c>
      <c r="B39" t="s">
        <v>114</v>
      </c>
      <c r="C39" s="22">
        <v>416437.3</v>
      </c>
      <c r="D39" s="22">
        <f>C39*About!$A$12*About!$A$13</f>
        <v>29458774602</v>
      </c>
      <c r="E39" s="22">
        <f>D39*About!$A$11</f>
        <v>28280423617.919998</v>
      </c>
    </row>
    <row r="40" spans="1:5" x14ac:dyDescent="0.2">
      <c r="A40" t="s">
        <v>115</v>
      </c>
      <c r="B40" t="s">
        <v>116</v>
      </c>
      <c r="C40" s="22">
        <v>1643831.6</v>
      </c>
      <c r="D40" s="22">
        <f>C40*About!$A$12*About!$A$13</f>
        <v>116284647384.00002</v>
      </c>
      <c r="E40" s="22">
        <f>D40*About!$A$11</f>
        <v>111633261488.64001</v>
      </c>
    </row>
    <row r="41" spans="1:5" ht="16" x14ac:dyDescent="0.2">
      <c r="A41" s="23" t="s">
        <v>117</v>
      </c>
      <c r="B41" s="23" t="s">
        <v>19</v>
      </c>
      <c r="C41" s="22">
        <v>581505.4</v>
      </c>
      <c r="D41" s="22">
        <f>C41*About!$A$12*About!$A$13</f>
        <v>41135691996.000008</v>
      </c>
      <c r="E41" s="22">
        <f>D41*About!$A$11</f>
        <v>39490264316.160004</v>
      </c>
    </row>
    <row r="42" spans="1:5" x14ac:dyDescent="0.2">
      <c r="A42" t="s">
        <v>118</v>
      </c>
      <c r="B42" t="s">
        <v>119</v>
      </c>
      <c r="C42" s="22">
        <v>12092.1</v>
      </c>
      <c r="D42" s="22">
        <f>C42*About!$A$12*About!$A$13</f>
        <v>855395154.00000012</v>
      </c>
      <c r="E42" s="22">
        <f>D42*About!$A$11</f>
        <v>821179347.84000003</v>
      </c>
    </row>
    <row r="43" spans="1:5" x14ac:dyDescent="0.2">
      <c r="A43" t="s">
        <v>120</v>
      </c>
      <c r="B43" t="s">
        <v>121</v>
      </c>
      <c r="C43" s="22">
        <v>390604.4</v>
      </c>
      <c r="D43" s="22">
        <f>C43*About!$A$12*About!$A$13</f>
        <v>27631355256.000004</v>
      </c>
      <c r="E43" s="22">
        <f>D43*About!$A$11</f>
        <v>26526101045.760002</v>
      </c>
    </row>
    <row r="44" spans="1:5" x14ac:dyDescent="0.2">
      <c r="A44" t="s">
        <v>122</v>
      </c>
      <c r="B44" t="s">
        <v>123</v>
      </c>
      <c r="C44" s="22">
        <v>50534.2</v>
      </c>
      <c r="D44" s="22">
        <f>C44*About!$A$12*About!$A$13</f>
        <v>3574789308</v>
      </c>
      <c r="E44" s="22">
        <f>D44*About!$A$11</f>
        <v>3431797735.6799998</v>
      </c>
    </row>
    <row r="45" spans="1:5" x14ac:dyDescent="0.2">
      <c r="A45" t="s">
        <v>124</v>
      </c>
      <c r="B45" t="s">
        <v>123</v>
      </c>
      <c r="C45" s="22">
        <v>17416.2</v>
      </c>
      <c r="D45" s="22">
        <f>C45*About!$A$12*About!$A$13</f>
        <v>1232021988</v>
      </c>
      <c r="E45" s="22">
        <f>D45*About!$A$11</f>
        <v>1182741108.48</v>
      </c>
    </row>
    <row r="46" spans="1:5" x14ac:dyDescent="0.2">
      <c r="A46" t="s">
        <v>125</v>
      </c>
      <c r="B46" t="s">
        <v>126</v>
      </c>
      <c r="C46" s="22">
        <v>257735.6</v>
      </c>
      <c r="D46" s="22">
        <f>C46*About!$A$12*About!$A$13</f>
        <v>18232216344</v>
      </c>
      <c r="E46" s="22">
        <f>D46*About!$A$11</f>
        <v>17502927690.239998</v>
      </c>
    </row>
    <row r="47" spans="1:5" x14ac:dyDescent="0.2">
      <c r="A47" t="s">
        <v>127</v>
      </c>
      <c r="B47" t="s">
        <v>128</v>
      </c>
      <c r="C47" s="22">
        <v>153122.9</v>
      </c>
      <c r="D47" s="22">
        <f>C47*About!$A$12*About!$A$13</f>
        <v>10831913946</v>
      </c>
      <c r="E47" s="22">
        <f>D47*About!$A$11</f>
        <v>10398637388.16</v>
      </c>
    </row>
    <row r="48" spans="1:5" ht="16" x14ac:dyDescent="0.2">
      <c r="A48" s="23" t="s">
        <v>129</v>
      </c>
      <c r="B48" s="23" t="s">
        <v>20</v>
      </c>
      <c r="C48" s="22">
        <v>70207.7</v>
      </c>
      <c r="D48" s="22">
        <f>C48*About!$A$12*About!$A$13</f>
        <v>4966492698</v>
      </c>
      <c r="E48" s="22">
        <f>D48*About!$A$11</f>
        <v>4767832990.0799999</v>
      </c>
    </row>
    <row r="49" spans="1:5" x14ac:dyDescent="0.2">
      <c r="A49" t="s">
        <v>130</v>
      </c>
      <c r="B49" t="s">
        <v>131</v>
      </c>
      <c r="C49" s="22">
        <v>99204</v>
      </c>
      <c r="D49" s="22">
        <f>C49*About!$A$12*About!$A$13</f>
        <v>7017690960</v>
      </c>
      <c r="E49" s="22">
        <f>D49*About!$A$11</f>
        <v>6736983321.5999994</v>
      </c>
    </row>
    <row r="50" spans="1:5" x14ac:dyDescent="0.2">
      <c r="A50" t="s">
        <v>132</v>
      </c>
      <c r="B50" t="s">
        <v>133</v>
      </c>
      <c r="C50" s="22">
        <v>341003.7</v>
      </c>
      <c r="D50" s="22">
        <f>C50*About!$A$12*About!$A$13</f>
        <v>24122601738.000004</v>
      </c>
      <c r="E50" s="22">
        <f>D50*About!$A$11</f>
        <v>23157697668.480003</v>
      </c>
    </row>
    <row r="51" spans="1:5" ht="16" x14ac:dyDescent="0.2">
      <c r="A51" s="23" t="s">
        <v>134</v>
      </c>
      <c r="B51" s="23" t="s">
        <v>135</v>
      </c>
      <c r="C51" s="22">
        <v>526532.6</v>
      </c>
      <c r="D51" s="22">
        <f>C51*About!$A$12*About!$A$13</f>
        <v>37246916124</v>
      </c>
      <c r="E51" s="22">
        <f>D51*About!$A$11</f>
        <v>35757039479.040001</v>
      </c>
    </row>
    <row r="52" spans="1:5" ht="16" x14ac:dyDescent="0.2">
      <c r="A52" s="23" t="s">
        <v>136</v>
      </c>
      <c r="B52" s="23" t="s">
        <v>24</v>
      </c>
      <c r="C52" s="22">
        <v>91433.8</v>
      </c>
      <c r="D52" s="22">
        <f>C52*About!$A$12*About!$A$13</f>
        <v>6468027012</v>
      </c>
      <c r="E52" s="22">
        <f>D52*About!$A$11</f>
        <v>6209305931.5199995</v>
      </c>
    </row>
    <row r="53" spans="1:5" x14ac:dyDescent="0.2">
      <c r="A53" t="s">
        <v>137</v>
      </c>
      <c r="B53" t="s">
        <v>138</v>
      </c>
      <c r="C53" s="22">
        <v>405183.7</v>
      </c>
      <c r="D53" s="22">
        <f>C53*About!$A$12*About!$A$13</f>
        <v>28662694938</v>
      </c>
      <c r="E53" s="22">
        <f>D53*About!$A$11</f>
        <v>27516187140.48</v>
      </c>
    </row>
    <row r="54" spans="1:5" x14ac:dyDescent="0.2">
      <c r="A54" t="s">
        <v>139</v>
      </c>
      <c r="B54" t="s">
        <v>140</v>
      </c>
      <c r="C54" s="22">
        <v>149880.9</v>
      </c>
      <c r="D54" s="22">
        <f>C54*About!$A$12*About!$A$13</f>
        <v>10602574866</v>
      </c>
      <c r="E54" s="22">
        <f>D54*About!$A$11</f>
        <v>10178471871.359999</v>
      </c>
    </row>
    <row r="55" spans="1:5" x14ac:dyDescent="0.2">
      <c r="A55" t="s">
        <v>141</v>
      </c>
      <c r="B55" t="s">
        <v>142</v>
      </c>
      <c r="C55" s="22">
        <v>102631.9</v>
      </c>
      <c r="D55" s="22">
        <f>C55*About!$A$12*About!$A$13</f>
        <v>7260180606</v>
      </c>
      <c r="E55" s="22">
        <f>D55*About!$A$11</f>
        <v>6969773381.7599993</v>
      </c>
    </row>
    <row r="56" spans="1:5" x14ac:dyDescent="0.2">
      <c r="A56" t="s">
        <v>143</v>
      </c>
      <c r="B56" t="s">
        <v>142</v>
      </c>
      <c r="C56" s="22">
        <v>13737.3</v>
      </c>
      <c r="D56" s="22">
        <f>C56*About!$A$12*About!$A$13</f>
        <v>971776602</v>
      </c>
      <c r="E56" s="22">
        <f>D56*About!$A$11</f>
        <v>932905537.91999996</v>
      </c>
    </row>
    <row r="57" spans="1:5" ht="16" x14ac:dyDescent="0.2">
      <c r="A57" s="23" t="s">
        <v>144</v>
      </c>
      <c r="B57" s="23" t="s">
        <v>25</v>
      </c>
      <c r="C57" s="22">
        <v>439455.9</v>
      </c>
      <c r="D57" s="22">
        <f>C57*About!$A$12*About!$A$13</f>
        <v>31087110366.000004</v>
      </c>
      <c r="E57" s="22">
        <f>D57*About!$A$11</f>
        <v>29843625951.360004</v>
      </c>
    </row>
    <row r="58" spans="1:5" ht="16" x14ac:dyDescent="0.2">
      <c r="A58" s="23" t="s">
        <v>145</v>
      </c>
      <c r="B58" s="23" t="s">
        <v>26</v>
      </c>
      <c r="C58" s="22">
        <v>304285.5</v>
      </c>
      <c r="D58" s="22">
        <f>C58*About!$A$12*About!$A$13</f>
        <v>21525156270</v>
      </c>
      <c r="E58" s="22">
        <f>D58*About!$A$11</f>
        <v>20664150019.200001</v>
      </c>
    </row>
    <row r="59" spans="1:5" ht="16" x14ac:dyDescent="0.2">
      <c r="A59" s="23" t="s">
        <v>146</v>
      </c>
      <c r="B59" s="23" t="s">
        <v>27</v>
      </c>
      <c r="C59" s="22">
        <v>571584.1</v>
      </c>
      <c r="D59" s="22">
        <f>C59*About!$A$12*About!$A$13</f>
        <v>40433859234</v>
      </c>
      <c r="E59" s="22">
        <f>D59*About!$A$11</f>
        <v>38816504864.639999</v>
      </c>
    </row>
    <row r="60" spans="1:5" ht="16" x14ac:dyDescent="0.2">
      <c r="A60" s="23" t="s">
        <v>147</v>
      </c>
      <c r="B60" s="23" t="s">
        <v>28</v>
      </c>
      <c r="C60" s="22">
        <v>522354.2</v>
      </c>
      <c r="D60" s="22">
        <f>C60*About!$A$12*About!$A$13</f>
        <v>36951336108</v>
      </c>
      <c r="E60" s="22">
        <f>D60*About!$A$11</f>
        <v>35473282663.68</v>
      </c>
    </row>
    <row r="61" spans="1:5" ht="16" x14ac:dyDescent="0.2">
      <c r="A61" s="23" t="s">
        <v>148</v>
      </c>
      <c r="B61" s="23" t="s">
        <v>29</v>
      </c>
      <c r="C61" s="22">
        <v>174689</v>
      </c>
      <c r="D61" s="22">
        <f>C61*About!$A$12*About!$A$13</f>
        <v>12357499860</v>
      </c>
      <c r="E61" s="22">
        <f>D61*About!$A$11</f>
        <v>11863199865.6</v>
      </c>
    </row>
    <row r="62" spans="1:5" ht="16" x14ac:dyDescent="0.2">
      <c r="A62" s="23" t="s">
        <v>149</v>
      </c>
      <c r="B62" s="23" t="s">
        <v>150</v>
      </c>
      <c r="C62" s="22">
        <v>309002</v>
      </c>
      <c r="D62" s="22">
        <f>C62*About!$A$12*About!$A$13</f>
        <v>21858801480</v>
      </c>
      <c r="E62" s="22">
        <f>D62*About!$A$11</f>
        <v>20984449420.799999</v>
      </c>
    </row>
    <row r="63" spans="1:5" ht="16" x14ac:dyDescent="0.2">
      <c r="A63" s="23" t="s">
        <v>151</v>
      </c>
      <c r="B63" s="23" t="s">
        <v>152</v>
      </c>
      <c r="C63" s="22">
        <v>15181161.800000001</v>
      </c>
      <c r="D63" s="22">
        <f>C63*About!$A$12*About!$A$13</f>
        <v>1073915385732</v>
      </c>
      <c r="E63" s="22">
        <f>D63*About!$A$11</f>
        <v>1030958770302.72</v>
      </c>
    </row>
    <row r="64" spans="1:5" ht="16" x14ac:dyDescent="0.2">
      <c r="A64" s="23" t="s">
        <v>153</v>
      </c>
      <c r="B64" s="23" t="s">
        <v>152</v>
      </c>
      <c r="C64" s="22">
        <v>651495.4</v>
      </c>
      <c r="D64" s="22">
        <f>C64*About!$A$12*About!$A$13</f>
        <v>46086784596</v>
      </c>
      <c r="E64" s="22">
        <f>D64*About!$A$11</f>
        <v>44243313212.159996</v>
      </c>
    </row>
    <row r="65" spans="1:5" ht="16" x14ac:dyDescent="0.2">
      <c r="A65" s="23" t="s">
        <v>154</v>
      </c>
      <c r="B65" s="23" t="s">
        <v>152</v>
      </c>
      <c r="C65" s="22">
        <v>15832657.199999999</v>
      </c>
      <c r="D65" s="22">
        <f>C65*About!$A$12*About!$A$13</f>
        <v>1120002170328</v>
      </c>
      <c r="E65" s="22">
        <f>D65*About!$A$11</f>
        <v>1075202083514.88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3C9D-DE8C-44D7-B8DD-08B0329A3E7E}">
  <sheetPr>
    <tabColor theme="8" tint="-0.249977111117893"/>
  </sheetPr>
  <dimension ref="A1:AQ6"/>
  <sheetViews>
    <sheetView tabSelected="1" workbookViewId="0">
      <selection activeCell="AA21" sqref="AA21"/>
    </sheetView>
  </sheetViews>
  <sheetFormatPr baseColWidth="10" defaultColWidth="8.83203125" defaultRowHeight="15" x14ac:dyDescent="0.2"/>
  <cols>
    <col min="1" max="1" width="20.1640625" customWidth="1"/>
    <col min="2" max="26" width="10.1640625" customWidth="1"/>
    <col min="27" max="27" width="13.33203125" customWidth="1"/>
    <col min="28" max="43" width="10.1640625" customWidth="1"/>
  </cols>
  <sheetData>
    <row r="1" spans="1:43" s="4" customFormat="1" x14ac:dyDescent="0.2">
      <c r="A1" s="5" t="s">
        <v>32</v>
      </c>
      <c r="B1" s="4" t="s">
        <v>1</v>
      </c>
      <c r="C1" s="8" t="s">
        <v>38</v>
      </c>
      <c r="D1" s="9" t="s">
        <v>39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8" t="s">
        <v>36</v>
      </c>
      <c r="M1" s="9" t="s">
        <v>37</v>
      </c>
      <c r="N1" s="4" t="s">
        <v>9</v>
      </c>
      <c r="O1" s="8" t="s">
        <v>40</v>
      </c>
      <c r="P1" s="9" t="s">
        <v>41</v>
      </c>
      <c r="Q1" s="8" t="s">
        <v>42</v>
      </c>
      <c r="R1" s="9" t="s">
        <v>43</v>
      </c>
      <c r="S1" s="4" t="s">
        <v>10</v>
      </c>
      <c r="T1" s="4" t="s">
        <v>11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8" t="s">
        <v>44</v>
      </c>
      <c r="AA1" s="10" t="s">
        <v>45</v>
      </c>
      <c r="AB1" s="9" t="s">
        <v>46</v>
      </c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  <c r="AJ1" s="4" t="s">
        <v>24</v>
      </c>
      <c r="AK1" s="4" t="s">
        <v>25</v>
      </c>
      <c r="AL1" s="4" t="s">
        <v>26</v>
      </c>
      <c r="AM1" s="4" t="s">
        <v>27</v>
      </c>
      <c r="AN1" s="4" t="s">
        <v>28</v>
      </c>
      <c r="AO1" s="4" t="s">
        <v>29</v>
      </c>
      <c r="AP1" s="4" t="s">
        <v>30</v>
      </c>
      <c r="AQ1" s="4" t="s">
        <v>31</v>
      </c>
    </row>
    <row r="2" spans="1:43" x14ac:dyDescent="0.2">
      <c r="A2" t="s">
        <v>34</v>
      </c>
      <c r="B2" s="22">
        <f>'Industry Value Added'!E2</f>
        <v>68775768645.12001</v>
      </c>
      <c r="C2" s="24">
        <f>'Industry Value Added'!E13</f>
        <v>25051501411.200005</v>
      </c>
      <c r="D2" s="24">
        <f>'Industry Value Added'!E12</f>
        <v>29853601989.119999</v>
      </c>
      <c r="E2" s="22">
        <f>'Industry Value Added'!E14</f>
        <v>6575397315.8400011</v>
      </c>
      <c r="F2" s="22">
        <f>'Industry Value Added'!E15</f>
        <v>16610585034.24</v>
      </c>
      <c r="G2" s="22">
        <f>'Industry Value Added'!E18</f>
        <v>68790505201.919998</v>
      </c>
      <c r="H2" s="22">
        <f>'Industry Value Added'!E20</f>
        <v>13583397461.76</v>
      </c>
      <c r="I2" s="22">
        <f>'Industry Value Added'!E22</f>
        <v>5454556536.96</v>
      </c>
      <c r="J2" s="22">
        <f>'Industry Value Added'!E23</f>
        <v>7462823258.8800011</v>
      </c>
      <c r="K2" s="22">
        <f>'Industry Value Added'!E17</f>
        <v>22863570935.040001</v>
      </c>
      <c r="L2" s="24">
        <f>'Industry Value Added'!E24*'ISIC Splits'!E7</f>
        <v>13183128335.0592</v>
      </c>
      <c r="M2" s="24">
        <f>'Industry Value Added'!E24*'ISIC Splits'!F7</f>
        <v>4875951575.9808006</v>
      </c>
      <c r="N2" s="22">
        <f>'Industry Value Added'!E25</f>
        <v>5974444604.1599998</v>
      </c>
      <c r="O2" s="24">
        <f>'Industry Value Added'!E26*'ISIC Splits'!G7</f>
        <v>2304186168.089303</v>
      </c>
      <c r="P2" s="24">
        <f>'Industry Value Added'!E26*'ISIC Splits'!H7</f>
        <v>4036105342.9506974</v>
      </c>
      <c r="Q2" s="24">
        <f>'Industry Value Added'!E27*'ISIC Splits'!I7</f>
        <v>3333483642.9953279</v>
      </c>
      <c r="R2" s="24">
        <f>'Industry Value Added'!E27*'ISIC Splits'!J7</f>
        <v>4548781410.4446735</v>
      </c>
      <c r="S2" s="22">
        <f>'Industry Value Added'!E28/3</f>
        <v>6007451322.2400007</v>
      </c>
      <c r="T2" s="22">
        <f>S2</f>
        <v>6007451322.2400007</v>
      </c>
      <c r="U2" s="22">
        <f>T2</f>
        <v>6007451322.2400007</v>
      </c>
      <c r="V2" s="22">
        <f>'Industry Value Added'!E29</f>
        <v>3190600368.0000005</v>
      </c>
      <c r="W2" s="22">
        <f>'Industry Value Added'!E30/2</f>
        <v>8770196928.9599991</v>
      </c>
      <c r="X2" s="22">
        <f>W2</f>
        <v>8770196928.9599991</v>
      </c>
      <c r="Y2" s="22">
        <f>'Industry Value Added'!E31</f>
        <v>2664736185.5999999</v>
      </c>
      <c r="Z2" s="24">
        <f>'Industry Value Added'!E34</f>
        <v>10320744159.359999</v>
      </c>
      <c r="AA2" s="24">
        <f>'Industry Value Added'!E35</f>
        <v>2250509909.7599998</v>
      </c>
      <c r="AB2" s="24">
        <f>'Industry Value Added'!E36</f>
        <v>729092845.43999994</v>
      </c>
      <c r="AC2" s="22">
        <f>'Industry Value Added'!E37</f>
        <v>101983845588.48001</v>
      </c>
      <c r="AD2" s="22">
        <f>'Industry Value Added'!E38</f>
        <v>47555541106.560005</v>
      </c>
      <c r="AE2" s="22">
        <f>'Industry Value Added'!E41</f>
        <v>39490264316.160004</v>
      </c>
      <c r="AF2" s="22">
        <f>'Industry Value Added'!E48</f>
        <v>4767832990.0799999</v>
      </c>
      <c r="AG2" s="22">
        <f>'Industry Value Added'!E51/3</f>
        <v>11919013159.68</v>
      </c>
      <c r="AH2" s="22">
        <f>AG2</f>
        <v>11919013159.68</v>
      </c>
      <c r="AI2" s="22">
        <f>AG2</f>
        <v>11919013159.68</v>
      </c>
      <c r="AJ2" s="22">
        <f>'Industry Value Added'!E52</f>
        <v>6209305931.5199995</v>
      </c>
      <c r="AK2" s="22">
        <f>'Industry Value Added'!E57</f>
        <v>29843625951.360004</v>
      </c>
      <c r="AL2" s="22">
        <f>'Industry Value Added'!E58</f>
        <v>20664150019.200001</v>
      </c>
      <c r="AM2" s="22">
        <f>'Industry Value Added'!E59</f>
        <v>38816504864.639999</v>
      </c>
      <c r="AN2" s="22">
        <f>'Industry Value Added'!E60</f>
        <v>35473282663.68</v>
      </c>
      <c r="AO2" s="22">
        <f>'Industry Value Added'!E61</f>
        <v>11863199865.6</v>
      </c>
      <c r="AP2" s="22">
        <f>'Industry Value Added'!E62/2</f>
        <v>10492224710.4</v>
      </c>
      <c r="AQ2" s="22">
        <f>AP2</f>
        <v>10492224710.4</v>
      </c>
    </row>
    <row r="4" spans="1:43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</row>
    <row r="6" spans="1:43" x14ac:dyDescent="0.2">
      <c r="B6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ISIC Splits</vt:lpstr>
      <vt:lpstr>Industry Value Added</vt:lpstr>
      <vt:lpstr>BVAbIC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2025-03-28T17:44:48Z</dcterms:modified>
</cp:coreProperties>
</file>