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geoeng/DACD/"/>
    </mc:Choice>
  </mc:AlternateContent>
  <xr:revisionPtr revIDLastSave="0" documentId="13_ncr:1_{FDA256FA-E527-504B-87CE-A89DC1F5D583}" xr6:coauthVersionLast="47" xr6:coauthVersionMax="47" xr10:uidLastSave="{00000000-0000-0000-0000-000000000000}"/>
  <bookViews>
    <workbookView xWindow="0" yWindow="760" windowWidth="34200" windowHeight="21380" activeTab="5" xr2:uid="{00000000-000D-0000-FFFF-FFFF00000000}"/>
  </bookViews>
  <sheets>
    <sheet name="About " sheetId="1" r:id="rId1"/>
    <sheet name="CDR potential" sheetId="2" r:id="rId2"/>
    <sheet name="Data" sheetId="3" r:id="rId3"/>
    <sheet name="cal" sheetId="4" r:id="rId4"/>
    <sheet name="DACD-potential" sheetId="5" r:id="rId5"/>
    <sheet name="DACD-energyintensity" sheetId="6" r:id="rId6"/>
    <sheet name="DACD-capex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LlCCOoxxTq9gu1qmEL2BlR37qaZX4vwr9tzL2dTS7nQ="/>
    </ext>
  </extLst>
</workbook>
</file>

<file path=xl/calcChain.xml><?xml version="1.0" encoding="utf-8"?>
<calcChain xmlns="http://schemas.openxmlformats.org/spreadsheetml/2006/main">
  <c r="AK3" i="6" l="1"/>
  <c r="AL3" i="6" s="1"/>
  <c r="AM3" i="6" s="1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Z3" i="6" s="1"/>
  <c r="BA3" i="6" s="1"/>
  <c r="BB3" i="6" s="1"/>
  <c r="BC3" i="6" s="1"/>
  <c r="AK4" i="6"/>
  <c r="AL4" i="6"/>
  <c r="AM4" i="6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AK5" i="6"/>
  <c r="AL5" i="6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BB5" i="6" s="1"/>
  <c r="BC5" i="6" s="1"/>
  <c r="AK6" i="6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AK7" i="6"/>
  <c r="AL7" i="6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Z7" i="6" s="1"/>
  <c r="BA7" i="6" s="1"/>
  <c r="BB7" i="6" s="1"/>
  <c r="BC7" i="6" s="1"/>
  <c r="AK8" i="6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Y8" i="6" s="1"/>
  <c r="AZ8" i="6" s="1"/>
  <c r="BA8" i="6" s="1"/>
  <c r="BB8" i="6" s="1"/>
  <c r="BC8" i="6" s="1"/>
  <c r="AK9" i="6"/>
  <c r="AL9" i="6"/>
  <c r="AM9" i="6"/>
  <c r="AN9" i="6"/>
  <c r="AO9" i="6" s="1"/>
  <c r="AP9" i="6" s="1"/>
  <c r="AQ9" i="6" s="1"/>
  <c r="AR9" i="6" s="1"/>
  <c r="AS9" i="6" s="1"/>
  <c r="AT9" i="6" s="1"/>
  <c r="AU9" i="6" s="1"/>
  <c r="AV9" i="6" s="1"/>
  <c r="AW9" i="6" s="1"/>
  <c r="AX9" i="6" s="1"/>
  <c r="AY9" i="6" s="1"/>
  <c r="AZ9" i="6" s="1"/>
  <c r="BA9" i="6" s="1"/>
  <c r="BB9" i="6" s="1"/>
  <c r="BC9" i="6" s="1"/>
  <c r="AK10" i="6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AK11" i="6"/>
  <c r="AL11" i="6" s="1"/>
  <c r="AM11" i="6" s="1"/>
  <c r="AN11" i="6" s="1"/>
  <c r="AO11" i="6" s="1"/>
  <c r="AP11" i="6" s="1"/>
  <c r="AQ11" i="6" s="1"/>
  <c r="AR11" i="6" s="1"/>
  <c r="AS11" i="6" s="1"/>
  <c r="AT11" i="6" s="1"/>
  <c r="AU11" i="6" s="1"/>
  <c r="AV11" i="6" s="1"/>
  <c r="AW11" i="6" s="1"/>
  <c r="AX11" i="6" s="1"/>
  <c r="AY11" i="6" s="1"/>
  <c r="AZ11" i="6" s="1"/>
  <c r="BA11" i="6" s="1"/>
  <c r="BB11" i="6" s="1"/>
  <c r="BC11" i="6" s="1"/>
  <c r="AJ4" i="6"/>
  <c r="AJ5" i="6"/>
  <c r="AJ6" i="6"/>
  <c r="AJ7" i="6"/>
  <c r="AJ8" i="6"/>
  <c r="AJ9" i="6"/>
  <c r="AJ10" i="6"/>
  <c r="AJ11" i="6"/>
  <c r="AJ3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K2" i="7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AJ2" i="7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AH2" i="5"/>
  <c r="AF2" i="7"/>
  <c r="AE2" i="7"/>
  <c r="AD2" i="7"/>
  <c r="AC2" i="7"/>
  <c r="AB2" i="7"/>
  <c r="X2" i="7"/>
  <c r="W2" i="7"/>
  <c r="V2" i="7"/>
  <c r="U2" i="7"/>
  <c r="T2" i="7"/>
  <c r="P2" i="7"/>
  <c r="O2" i="7"/>
  <c r="N2" i="7"/>
  <c r="M2" i="7"/>
  <c r="L2" i="7"/>
  <c r="H2" i="7"/>
  <c r="G2" i="7"/>
  <c r="F2" i="7"/>
  <c r="E2" i="7"/>
  <c r="D2" i="7"/>
  <c r="B2" i="7"/>
  <c r="AI2" i="7" s="1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AG2" i="6"/>
  <c r="AF2" i="6"/>
  <c r="Y2" i="6"/>
  <c r="X2" i="6"/>
  <c r="Q2" i="6"/>
  <c r="P2" i="6"/>
  <c r="I2" i="6"/>
  <c r="H2" i="6"/>
  <c r="B2" i="6"/>
  <c r="AD2" i="6" s="1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L2" i="4" a="1"/>
  <c r="L2" i="4" s="1"/>
  <c r="L6" i="4" s="1"/>
  <c r="L2" i="5" s="1"/>
  <c r="K2" i="4" a="1"/>
  <c r="K2" i="4"/>
  <c r="K6" i="4" s="1"/>
  <c r="K2" i="5" s="1"/>
  <c r="J2" i="4" a="1"/>
  <c r="J2" i="4"/>
  <c r="J6" i="4" s="1"/>
  <c r="J2" i="5" s="1"/>
  <c r="I2" i="4" a="1"/>
  <c r="I2" i="4"/>
  <c r="I6" i="4" s="1"/>
  <c r="I2" i="5" s="1"/>
  <c r="H2" i="4" a="1"/>
  <c r="H2" i="4" s="1"/>
  <c r="H6" i="4" s="1"/>
  <c r="H2" i="5" s="1"/>
  <c r="G2" i="4" a="1"/>
  <c r="G2" i="4"/>
  <c r="G6" i="4" s="1"/>
  <c r="G2" i="5" s="1"/>
  <c r="F2" i="4" a="1"/>
  <c r="F2" i="4"/>
  <c r="F6" i="4" s="1"/>
  <c r="F2" i="5" s="1"/>
  <c r="E2" i="4" a="1"/>
  <c r="E2" i="4"/>
  <c r="E6" i="4" s="1"/>
  <c r="E2" i="5" s="1"/>
  <c r="D2" i="4" a="1"/>
  <c r="D2" i="4" s="1"/>
  <c r="D6" i="4" s="1"/>
  <c r="D2" i="5" s="1"/>
  <c r="C2" i="4" a="1"/>
  <c r="C2" i="4"/>
  <c r="C6" i="4" s="1"/>
  <c r="C2" i="5" s="1"/>
  <c r="B2" i="4" a="1"/>
  <c r="B2" i="4"/>
  <c r="B6" i="4" s="1"/>
  <c r="B2" i="5" s="1"/>
  <c r="H95" i="3"/>
  <c r="H94" i="3"/>
  <c r="G94" i="3"/>
  <c r="F94" i="3"/>
  <c r="H90" i="3"/>
  <c r="G90" i="3"/>
  <c r="G95" i="3" s="1"/>
  <c r="F90" i="3"/>
  <c r="F95" i="3" s="1"/>
  <c r="E90" i="3"/>
  <c r="E95" i="3" s="1"/>
  <c r="H89" i="3"/>
  <c r="G89" i="3"/>
  <c r="F89" i="3"/>
  <c r="E89" i="3"/>
  <c r="E94" i="3" s="1"/>
  <c r="B85" i="3"/>
  <c r="B90" i="3" s="1"/>
  <c r="B95" i="3" s="1"/>
  <c r="H76" i="3"/>
  <c r="G76" i="3"/>
  <c r="F76" i="3"/>
  <c r="E76" i="3"/>
  <c r="D76" i="3"/>
  <c r="D90" i="3" s="1"/>
  <c r="D95" i="3" s="1"/>
  <c r="C76" i="3"/>
  <c r="C90" i="3" s="1"/>
  <c r="C95" i="3" s="1"/>
  <c r="B76" i="3"/>
  <c r="H75" i="3"/>
  <c r="G75" i="3"/>
  <c r="F75" i="3"/>
  <c r="E75" i="3"/>
  <c r="D75" i="3"/>
  <c r="D89" i="3" s="1"/>
  <c r="D94" i="3" s="1"/>
  <c r="C75" i="3"/>
  <c r="C89" i="3" s="1"/>
  <c r="C94" i="3" s="1"/>
  <c r="B75" i="3"/>
  <c r="B89" i="3" s="1"/>
  <c r="B94" i="3" s="1"/>
  <c r="C35" i="3"/>
  <c r="B35" i="3"/>
  <c r="C34" i="3"/>
  <c r="B34" i="3"/>
  <c r="D17" i="2"/>
  <c r="B7" i="2"/>
  <c r="E17" i="2" s="1"/>
  <c r="B6" i="2"/>
  <c r="AA2" i="4" l="1" a="1"/>
  <c r="AA2" i="4" s="1"/>
  <c r="AA6" i="4" s="1"/>
  <c r="AA2" i="5" s="1"/>
  <c r="P2" i="4" a="1"/>
  <c r="P2" i="4" s="1"/>
  <c r="P6" i="4" s="1"/>
  <c r="P2" i="5" s="1"/>
  <c r="T2" i="4" a="1"/>
  <c r="T2" i="4" s="1"/>
  <c r="T6" i="4" s="1"/>
  <c r="T2" i="5" s="1"/>
  <c r="X2" i="4" a="1"/>
  <c r="X2" i="4" s="1"/>
  <c r="X6" i="4" s="1"/>
  <c r="X2" i="5" s="1"/>
  <c r="AB2" i="4" a="1"/>
  <c r="AB2" i="4" s="1"/>
  <c r="AB6" i="4" s="1"/>
  <c r="AB2" i="5" s="1"/>
  <c r="AF2" i="4" a="1"/>
  <c r="AF2" i="4" s="1"/>
  <c r="AF6" i="4" s="1"/>
  <c r="AF2" i="5" s="1"/>
  <c r="G2" i="6"/>
  <c r="O2" i="6"/>
  <c r="W2" i="6"/>
  <c r="AE2" i="6"/>
  <c r="AG2" i="4" a="1"/>
  <c r="AG2" i="4" s="1"/>
  <c r="AG6" i="4" s="1"/>
  <c r="AG2" i="5" s="1"/>
  <c r="AH2" i="6"/>
  <c r="M2" i="4" a="1"/>
  <c r="M2" i="4" s="1"/>
  <c r="M6" i="4" s="1"/>
  <c r="M2" i="5" s="1"/>
  <c r="U2" i="4" a="1"/>
  <c r="U2" i="4" s="1"/>
  <c r="U6" i="4" s="1"/>
  <c r="U2" i="5" s="1"/>
  <c r="Y2" i="4" a="1"/>
  <c r="Y2" i="4" s="1"/>
  <c r="Y6" i="4" s="1"/>
  <c r="Y2" i="5" s="1"/>
  <c r="AC2" i="4" a="1"/>
  <c r="AC2" i="4" s="1"/>
  <c r="AC6" i="4" s="1"/>
  <c r="AC2" i="5" s="1"/>
  <c r="J2" i="6"/>
  <c r="Z2" i="6"/>
  <c r="N2" i="4" a="1"/>
  <c r="N2" i="4" s="1"/>
  <c r="N6" i="4" s="1"/>
  <c r="N2" i="5" s="1"/>
  <c r="R2" i="4" a="1"/>
  <c r="R2" i="4" s="1"/>
  <c r="R6" i="4" s="1"/>
  <c r="R2" i="5" s="1"/>
  <c r="V2" i="4" a="1"/>
  <c r="V2" i="4" s="1"/>
  <c r="V6" i="4" s="1"/>
  <c r="V2" i="5" s="1"/>
  <c r="Z2" i="4" a="1"/>
  <c r="Z2" i="4" s="1"/>
  <c r="Z6" i="4" s="1"/>
  <c r="Z2" i="5" s="1"/>
  <c r="AD2" i="4" a="1"/>
  <c r="AD2" i="4" s="1"/>
  <c r="AD6" i="4" s="1"/>
  <c r="AD2" i="5" s="1"/>
  <c r="C2" i="6"/>
  <c r="K2" i="6"/>
  <c r="S2" i="6"/>
  <c r="AA2" i="6"/>
  <c r="AI2" i="6"/>
  <c r="Q2" i="4" a="1"/>
  <c r="Q2" i="4" s="1"/>
  <c r="Q6" i="4" s="1"/>
  <c r="Q2" i="5" s="1"/>
  <c r="D2" i="6"/>
  <c r="L2" i="6"/>
  <c r="T2" i="6"/>
  <c r="AB2" i="6"/>
  <c r="I2" i="7"/>
  <c r="Q2" i="7"/>
  <c r="Y2" i="7"/>
  <c r="AG2" i="7"/>
  <c r="S2" i="4" a="1"/>
  <c r="S2" i="4" s="1"/>
  <c r="S6" i="4" s="1"/>
  <c r="S2" i="5" s="1"/>
  <c r="W2" i="4" a="1"/>
  <c r="W2" i="4" s="1"/>
  <c r="W6" i="4" s="1"/>
  <c r="W2" i="5" s="1"/>
  <c r="AE2" i="4" a="1"/>
  <c r="AE2" i="4" s="1"/>
  <c r="AE6" i="4" s="1"/>
  <c r="AE2" i="5" s="1"/>
  <c r="E2" i="6"/>
  <c r="M2" i="6"/>
  <c r="U2" i="6"/>
  <c r="AC2" i="6"/>
  <c r="J2" i="7"/>
  <c r="R2" i="7"/>
  <c r="Z2" i="7"/>
  <c r="AH2" i="7"/>
  <c r="R2" i="6"/>
  <c r="O2" i="4" a="1"/>
  <c r="O2" i="4" s="1"/>
  <c r="O6" i="4" s="1"/>
  <c r="O2" i="5" s="1"/>
  <c r="F2" i="6"/>
  <c r="N2" i="6"/>
  <c r="V2" i="6"/>
  <c r="C2" i="7"/>
  <c r="K2" i="7"/>
  <c r="S2" i="7"/>
  <c r="AA2" i="7"/>
</calcChain>
</file>

<file path=xl/sharedStrings.xml><?xml version="1.0" encoding="utf-8"?>
<sst xmlns="http://schemas.openxmlformats.org/spreadsheetml/2006/main" count="132" uniqueCount="113">
  <si>
    <t>Direct Air Capture</t>
  </si>
  <si>
    <t>Sources:</t>
  </si>
  <si>
    <t>GDP growth</t>
  </si>
  <si>
    <t>OECD</t>
  </si>
  <si>
    <t>Quarterly National Accounts</t>
  </si>
  <si>
    <t>https://data.oecd.org/gdp/gdp-long-term-forecast.htm</t>
  </si>
  <si>
    <t>Real GDP long-term forecast</t>
  </si>
  <si>
    <t>World Bank</t>
  </si>
  <si>
    <t>World Development Indicators, World Bank</t>
  </si>
  <si>
    <t>https://databank.worldbank.org/source/world-development-indicators</t>
  </si>
  <si>
    <t>Potential</t>
  </si>
  <si>
    <t>US Department of State</t>
  </si>
  <si>
    <t>The Long-Term Strategy of the United States: Pathways to Net-Zero Greenhouse Gas Emissions by 2050</t>
  </si>
  <si>
    <t>https://www.whitehouse.gov/wp-content/uploads/2021/10/US-Long-Term-Strategy.pdf</t>
  </si>
  <si>
    <t>Figure 17</t>
  </si>
  <si>
    <t>Energy Intensity and CapEx Data</t>
  </si>
  <si>
    <t>Realmonte et al.</t>
  </si>
  <si>
    <t>An inter-model assessment of the role of direct air capture in deep mitigation pathways</t>
  </si>
  <si>
    <t>https://www.nature.com/articles/s41467-019-10842-5</t>
  </si>
  <si>
    <t>Table 2</t>
  </si>
  <si>
    <t>https://static-content.springer.com/esm/art%3A10.1038%2Fs41467-019-10842-5/MediaObjects/41467_2019_10842_MOESM1_ESM.pdf</t>
  </si>
  <si>
    <t>Supplementary materials, Fig 3</t>
  </si>
  <si>
    <t>Note:</t>
  </si>
  <si>
    <t xml:space="preserve">DAC potential for Indonesia is adjusted based on the US DAC potential using the ratio of US GDP and Indonesia's GDP projections by 2050. </t>
  </si>
  <si>
    <t>pixels per 1.25 Gt</t>
  </si>
  <si>
    <t>pixels to upper range, 2030</t>
  </si>
  <si>
    <t>pixels to upper range, 2040</t>
  </si>
  <si>
    <t>pixels to upper range, 2050</t>
  </si>
  <si>
    <t>2040 potential (Gt)</t>
  </si>
  <si>
    <t>2050 potential (Gt)</t>
  </si>
  <si>
    <t xml:space="preserve">*To be conservative, we choose to measure </t>
  </si>
  <si>
    <t>to the upper range of the CDR range. CDR</t>
  </si>
  <si>
    <t>in this report includes DAC as well as several</t>
  </si>
  <si>
    <t xml:space="preserve">other potential forms of geoengineering, </t>
  </si>
  <si>
    <t>meaning it is best to report the conservative</t>
  </si>
  <si>
    <t>potential.</t>
  </si>
  <si>
    <t>potential</t>
  </si>
  <si>
    <t>DAC Technologies Considered</t>
  </si>
  <si>
    <t>DAC1 = hydroxide sorbent-based technology, most mature technology, used for large-scale plants, requires high heat (&gt;800C)</t>
  </si>
  <si>
    <t>DAC2 = amine-based technology, less mature, can be small modular units, can accept waste heat (temp 85-120C)</t>
  </si>
  <si>
    <t>According to the source paper, DAC1 heat is provided by natural gas, and DAC2 heat is provided by waste heat.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</si>
  <si>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</si>
  <si>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</si>
  <si>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</si>
  <si>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</si>
  <si>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Capital Cost per Ton CO2 Captured (amortized over lifetime of equipment)</t>
  </si>
  <si>
    <t>The paper indicates these costs include equipment, maintenance, and labor.  Energy costs are not included.</t>
  </si>
  <si>
    <t>$/ton CO2</t>
  </si>
  <si>
    <t>DAC1</t>
  </si>
  <si>
    <t>DAC2</t>
  </si>
  <si>
    <t>High</t>
  </si>
  <si>
    <t>Low</t>
  </si>
  <si>
    <t>Floor</t>
  </si>
  <si>
    <t>Electricity Required per Ton CO2 Captured</t>
  </si>
  <si>
    <t>GJ/ton CO2</t>
  </si>
  <si>
    <t>Heat Input Required per Ton CO2 Captured</t>
  </si>
  <si>
    <t>Percent Reduction in Fuel Use with Heat Pump</t>
  </si>
  <si>
    <t>Source: indst/PIFURfE</t>
  </si>
  <si>
    <t>Heat Input Required per Ton CO2 Captured, Converted to Electricity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</si>
  <si>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</si>
  <si>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</si>
  <si>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</si>
  <si>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</si>
  <si>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Global DAC Potential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</si>
  <si>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</si>
  <si>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</si>
  <si>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</si>
  <si>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</si>
  <si>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</si>
  <si>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</si>
  <si>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</si>
  <si>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</si>
  <si>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</si>
  <si>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</si>
  <si>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</si>
  <si>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</si>
  <si>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</si>
  <si>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</si>
  <si>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trillion USD</t>
  </si>
  <si>
    <t>World GDP</t>
  </si>
  <si>
    <t>trillion UDS</t>
  </si>
  <si>
    <t>US GDP share</t>
  </si>
  <si>
    <t>U.S. DAC potential</t>
  </si>
  <si>
    <t>Converting to metric tons:</t>
  </si>
  <si>
    <t>DAC1 (t/yr)</t>
  </si>
  <si>
    <t>DAC2 (t/yr)</t>
  </si>
  <si>
    <t>Electricity and Heat Intensity, Costs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</si>
  <si>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</si>
  <si>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</si>
  <si>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low intensity or cost values.  Therefore, we take the high values as constant over the period 2046-2050, when deployment</t>
  </si>
  <si>
    <t>is just barely beginning.</t>
  </si>
  <si>
    <t>BTU/GJ</t>
  </si>
  <si>
    <t>In this variable, we use BTU for all energy sources, including electricity.  This is a strict unit conversion, not a heat rate.</t>
  </si>
  <si>
    <t>metric tons/yr</t>
  </si>
  <si>
    <t>DAC Potential (US)</t>
  </si>
  <si>
    <t xml:space="preserve">US GDP </t>
  </si>
  <si>
    <t xml:space="preserve">Indonesia GDP </t>
  </si>
  <si>
    <t xml:space="preserve">Indonesia/US GDP </t>
  </si>
  <si>
    <t>DAC Potential (Indonesia)</t>
  </si>
  <si>
    <t>DAC Potential</t>
  </si>
  <si>
    <t>BTU/metric ton CO2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</si>
  <si>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</si>
  <si>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</si>
  <si>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</si>
  <si>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</si>
  <si>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</si>
  <si>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</si>
  <si>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</si>
  <si>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</si>
  <si>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</si>
  <si>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</si>
  <si>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$/metric ton CO2</t>
  </si>
  <si>
    <t>amortized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</si>
</sst>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E+00"/>
    <numFmt numFmtId="167" formatCode="&quot;$&quot;#,##0.0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sz val="11"/>
      <color rgb="FF374151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/>
    <xf numFmtId="0" fontId="2" fillId="3" borderId="1" xfId="0" applyFont="1" applyFill="1" applyBorder="1"/>
    <xf numFmtId="0" fontId="8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9" fontId="2" fillId="0" borderId="0" xfId="0" applyNumberFormat="1" applyFont="1"/>
    <xf numFmtId="164" fontId="2" fillId="0" borderId="0" xfId="0" applyNumberFormat="1" applyFont="1"/>
    <xf numFmtId="0" fontId="1" fillId="2" borderId="1" xfId="0" applyFont="1" applyFill="1" applyBorder="1"/>
    <xf numFmtId="0" fontId="2" fillId="2" borderId="1" xfId="0" applyFont="1" applyFill="1" applyBorder="1"/>
    <xf numFmtId="165" fontId="2" fillId="0" borderId="0" xfId="0" applyNumberFormat="1" applyFont="1"/>
    <xf numFmtId="0" fontId="2" fillId="4" borderId="1" xfId="0" applyFont="1" applyFill="1" applyBorder="1"/>
    <xf numFmtId="11" fontId="2" fillId="4" borderId="1" xfId="0" applyNumberFormat="1" applyFont="1" applyFill="1" applyBorder="1"/>
    <xf numFmtId="166" fontId="2" fillId="0" borderId="0" xfId="0" applyNumberFormat="1" applyFont="1"/>
    <xf numFmtId="11" fontId="9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left"/>
    </xf>
    <xf numFmtId="11" fontId="2" fillId="0" borderId="0" xfId="0" applyNumberFormat="1" applyFont="1" applyAlignment="1">
      <alignment horizontal="left"/>
    </xf>
    <xf numFmtId="10" fontId="5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9" fillId="0" borderId="0" xfId="0" applyFont="1"/>
    <xf numFmtId="11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0</xdr:row>
      <xdr:rowOff>66675</xdr:rowOff>
    </xdr:from>
    <xdr:ext cx="3562350" cy="25717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40</xdr:row>
      <xdr:rowOff>0</xdr:rowOff>
    </xdr:from>
    <xdr:ext cx="4762500" cy="3733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40</xdr:row>
      <xdr:rowOff>85725</xdr:rowOff>
    </xdr:from>
    <xdr:ext cx="742950" cy="5619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c-content.springer.com/esm/art%3A10.1038%2Fs41467-019-10842-5/MediaObjects/41467_2019_10842_MOESM1_ESM.pdf" TargetMode="External"/><Relationship Id="rId2" Type="http://schemas.openxmlformats.org/officeDocument/2006/relationships/hyperlink" Target="https://www.nature.com/articles/s41467-019-10842-5" TargetMode="External"/><Relationship Id="rId1" Type="http://schemas.openxmlformats.org/officeDocument/2006/relationships/hyperlink" Target="https://data.oecd.org/gdp/gdp-long-term-forecast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workbookViewId="0"/>
  </sheetViews>
  <sheetFormatPr baseColWidth="10" defaultColWidth="14.5" defaultRowHeight="15" customHeight="1" x14ac:dyDescent="0.2"/>
  <cols>
    <col min="1" max="1" width="11.5" customWidth="1"/>
    <col min="2" max="2" width="55.5" customWidth="1"/>
    <col min="3" max="26" width="11.5" customWidth="1"/>
  </cols>
  <sheetData>
    <row r="1" spans="1:26" x14ac:dyDescent="0.2">
      <c r="A1" s="1" t="s">
        <v>0</v>
      </c>
    </row>
    <row r="3" spans="1:26" x14ac:dyDescent="0.2">
      <c r="A3" s="1" t="s">
        <v>1</v>
      </c>
      <c r="B3" s="2" t="s">
        <v>2</v>
      </c>
    </row>
    <row r="4" spans="1:26" x14ac:dyDescent="0.2">
      <c r="A4" s="3"/>
      <c r="B4" s="3" t="s">
        <v>3</v>
      </c>
    </row>
    <row r="5" spans="1:26" x14ac:dyDescent="0.2">
      <c r="A5" s="3"/>
      <c r="B5" s="4">
        <v>2018</v>
      </c>
    </row>
    <row r="6" spans="1:26" x14ac:dyDescent="0.2">
      <c r="A6" s="3"/>
      <c r="B6" s="3" t="s">
        <v>4</v>
      </c>
    </row>
    <row r="7" spans="1:26" x14ac:dyDescent="0.2">
      <c r="A7" s="3"/>
      <c r="B7" s="5" t="s">
        <v>5</v>
      </c>
    </row>
    <row r="8" spans="1:26" x14ac:dyDescent="0.2">
      <c r="B8" s="3" t="s">
        <v>6</v>
      </c>
    </row>
    <row r="9" spans="1:26" x14ac:dyDescent="0.2">
      <c r="A9" s="1"/>
      <c r="B9" s="6"/>
    </row>
    <row r="10" spans="1:26" x14ac:dyDescent="0.2">
      <c r="A10" s="1"/>
      <c r="B10" s="6" t="s">
        <v>7</v>
      </c>
    </row>
    <row r="11" spans="1:26" x14ac:dyDescent="0.2">
      <c r="A11" s="1"/>
      <c r="B11" s="7" t="s">
        <v>8</v>
      </c>
    </row>
    <row r="12" spans="1:26" x14ac:dyDescent="0.2">
      <c r="A12" s="1"/>
      <c r="B12" s="7" t="s">
        <v>9</v>
      </c>
    </row>
    <row r="13" spans="1:26" x14ac:dyDescent="0.2">
      <c r="A13" s="1"/>
      <c r="B13" s="6"/>
    </row>
    <row r="14" spans="1:26" x14ac:dyDescent="0.2">
      <c r="A14" s="1"/>
      <c r="B14" s="2" t="s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 t="s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>
        <v>2021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2" x14ac:dyDescent="0.2">
      <c r="A17" s="3"/>
      <c r="B17" s="8" t="s">
        <v>12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9" t="s">
        <v>13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2" t="s">
        <v>15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 t="s">
        <v>16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>
        <v>2019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 t="s">
        <v>17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5" t="s">
        <v>18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 t="s">
        <v>19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10" t="s">
        <v>20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 t="s">
        <v>21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/>
    <row r="30" spans="1:26" x14ac:dyDescent="0.2">
      <c r="A30" s="1" t="s">
        <v>22</v>
      </c>
      <c r="B30" s="6" t="s">
        <v>23</v>
      </c>
    </row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hyperlinks>
    <hyperlink ref="B7" r:id="rId1" xr:uid="{00000000-0004-0000-0000-000000000000}"/>
    <hyperlink ref="B25" r:id="rId2" xr:uid="{00000000-0004-0000-0000-000001000000}"/>
    <hyperlink ref="B27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baseColWidth="10" defaultColWidth="14.5" defaultRowHeight="15" customHeight="1" x14ac:dyDescent="0.2"/>
  <cols>
    <col min="1" max="1" width="20.33203125" customWidth="1"/>
    <col min="2" max="3" width="8.83203125" customWidth="1"/>
    <col min="4" max="5" width="11.83203125" customWidth="1"/>
    <col min="6" max="26" width="8.83203125" customWidth="1"/>
  </cols>
  <sheetData>
    <row r="1" spans="1:5" x14ac:dyDescent="0.2">
      <c r="A1" s="7" t="s">
        <v>24</v>
      </c>
      <c r="B1" s="7">
        <v>56</v>
      </c>
    </row>
    <row r="2" spans="1:5" ht="32" x14ac:dyDescent="0.2">
      <c r="A2" s="8" t="s">
        <v>25</v>
      </c>
      <c r="B2" s="7">
        <v>0</v>
      </c>
    </row>
    <row r="3" spans="1:5" ht="32" x14ac:dyDescent="0.2">
      <c r="A3" s="8" t="s">
        <v>26</v>
      </c>
      <c r="B3" s="7">
        <v>4</v>
      </c>
    </row>
    <row r="4" spans="1:5" ht="32" x14ac:dyDescent="0.2">
      <c r="A4" s="8" t="s">
        <v>27</v>
      </c>
      <c r="B4" s="7">
        <v>16</v>
      </c>
    </row>
    <row r="6" spans="1:5" ht="16" x14ac:dyDescent="0.2">
      <c r="A6" s="8" t="s">
        <v>28</v>
      </c>
      <c r="B6" s="7">
        <f>B3/B1*1.25</f>
        <v>8.9285714285714274E-2</v>
      </c>
    </row>
    <row r="7" spans="1:5" x14ac:dyDescent="0.2">
      <c r="A7" s="7" t="s">
        <v>29</v>
      </c>
      <c r="B7" s="7">
        <f>B4/B1*1.25</f>
        <v>0.3571428571428571</v>
      </c>
    </row>
    <row r="9" spans="1:5" x14ac:dyDescent="0.2">
      <c r="A9" s="7" t="s">
        <v>30</v>
      </c>
    </row>
    <row r="10" spans="1:5" x14ac:dyDescent="0.2">
      <c r="A10" s="7" t="s">
        <v>31</v>
      </c>
    </row>
    <row r="11" spans="1:5" x14ac:dyDescent="0.2">
      <c r="A11" s="7" t="s">
        <v>32</v>
      </c>
    </row>
    <row r="12" spans="1:5" x14ac:dyDescent="0.2">
      <c r="A12" s="7" t="s">
        <v>33</v>
      </c>
    </row>
    <row r="13" spans="1:5" x14ac:dyDescent="0.2">
      <c r="A13" s="7" t="s">
        <v>34</v>
      </c>
    </row>
    <row r="14" spans="1:5" x14ac:dyDescent="0.2">
      <c r="A14" s="7" t="s">
        <v>35</v>
      </c>
    </row>
    <row r="16" spans="1:5" x14ac:dyDescent="0.2">
      <c r="B16" s="7">
        <v>2020</v>
      </c>
      <c r="C16" s="7">
        <v>2030</v>
      </c>
      <c r="D16" s="7">
        <v>2040</v>
      </c>
      <c r="E16" s="7">
        <v>2050</v>
      </c>
    </row>
    <row r="17" spans="1:5" x14ac:dyDescent="0.2">
      <c r="A17" s="7" t="s">
        <v>36</v>
      </c>
      <c r="B17" s="7">
        <v>0</v>
      </c>
      <c r="C17" s="7">
        <v>0</v>
      </c>
      <c r="D17" s="7">
        <f>B6*10^9</f>
        <v>89285714.285714269</v>
      </c>
      <c r="E17" s="7">
        <f>B7*10^9</f>
        <v>357142857.14285707</v>
      </c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baseColWidth="10" defaultColWidth="14.5" defaultRowHeight="15" customHeight="1" x14ac:dyDescent="0.2"/>
  <cols>
    <col min="1" max="1" width="33.33203125" customWidth="1"/>
    <col min="2" max="8" width="11.5" customWidth="1"/>
    <col min="9" max="26" width="8.83203125" customWidth="1"/>
  </cols>
  <sheetData>
    <row r="1" spans="1:7" x14ac:dyDescent="0.2">
      <c r="A1" s="1" t="s">
        <v>37</v>
      </c>
    </row>
    <row r="2" spans="1:7" x14ac:dyDescent="0.2">
      <c r="A2" s="7" t="s">
        <v>38</v>
      </c>
    </row>
    <row r="3" spans="1:7" x14ac:dyDescent="0.2">
      <c r="A3" s="7" t="s">
        <v>39</v>
      </c>
    </row>
    <row r="5" spans="1:7" x14ac:dyDescent="0.2">
      <c r="A5" s="7" t="s">
        <v>40</v>
      </c>
    </row>
    <row r="6" spans="1:7" x14ac:dyDescent="0.2">
      <c r="A6" s="7" t="s">
        <v>41</v>
      </c>
    </row>
    <row r="7" spans="1:7" x14ac:dyDescent="0.2">
      <c r="A7" s="7" t="s">
        <v>42</v>
      </c>
    </row>
    <row r="8" spans="1:7" x14ac:dyDescent="0.2">
      <c r="A8" s="7" t="s">
        <v>43</v>
      </c>
    </row>
    <row r="9" spans="1:7" x14ac:dyDescent="0.2">
      <c r="A9" s="7" t="s">
        <v>44</v>
      </c>
    </row>
    <row r="11" spans="1:7" x14ac:dyDescent="0.2">
      <c r="A11" s="1" t="s">
        <v>45</v>
      </c>
    </row>
    <row r="12" spans="1:7" x14ac:dyDescent="0.2">
      <c r="A12" s="11" t="s">
        <v>46</v>
      </c>
      <c r="B12" s="12"/>
      <c r="C12" s="12"/>
      <c r="D12" s="12"/>
      <c r="E12" s="12"/>
      <c r="F12" s="12"/>
      <c r="G12" s="12"/>
    </row>
    <row r="13" spans="1:7" x14ac:dyDescent="0.2">
      <c r="A13" s="13" t="s">
        <v>47</v>
      </c>
      <c r="B13" s="14" t="s">
        <v>48</v>
      </c>
      <c r="C13" s="14" t="s">
        <v>49</v>
      </c>
    </row>
    <row r="14" spans="1:7" x14ac:dyDescent="0.2">
      <c r="A14" s="1" t="s">
        <v>50</v>
      </c>
      <c r="B14" s="7">
        <v>300</v>
      </c>
      <c r="C14" s="7">
        <v>350</v>
      </c>
    </row>
    <row r="15" spans="1:7" x14ac:dyDescent="0.2">
      <c r="A15" s="1" t="s">
        <v>51</v>
      </c>
      <c r="B15" s="7">
        <v>180</v>
      </c>
      <c r="C15" s="7">
        <v>200</v>
      </c>
    </row>
    <row r="16" spans="1:7" x14ac:dyDescent="0.2">
      <c r="A16" s="1" t="s">
        <v>52</v>
      </c>
      <c r="B16" s="7">
        <v>100</v>
      </c>
      <c r="C16" s="7">
        <v>50</v>
      </c>
    </row>
    <row r="18" spans="1:4" x14ac:dyDescent="0.2">
      <c r="A18" s="1" t="s">
        <v>53</v>
      </c>
    </row>
    <row r="19" spans="1:4" x14ac:dyDescent="0.2">
      <c r="A19" s="13" t="s">
        <v>54</v>
      </c>
      <c r="B19" s="14" t="s">
        <v>48</v>
      </c>
      <c r="C19" s="14" t="s">
        <v>49</v>
      </c>
    </row>
    <row r="20" spans="1:4" x14ac:dyDescent="0.2">
      <c r="A20" s="1" t="s">
        <v>50</v>
      </c>
      <c r="B20" s="7">
        <v>1.8</v>
      </c>
      <c r="C20" s="7">
        <v>1.1000000000000001</v>
      </c>
    </row>
    <row r="21" spans="1:4" ht="15.75" customHeight="1" x14ac:dyDescent="0.2">
      <c r="A21" s="1" t="s">
        <v>51</v>
      </c>
      <c r="B21" s="7">
        <v>1.3</v>
      </c>
      <c r="C21" s="7">
        <v>0.6</v>
      </c>
    </row>
    <row r="22" spans="1:4" ht="15.75" customHeight="1" x14ac:dyDescent="0.2">
      <c r="A22" s="1" t="s">
        <v>52</v>
      </c>
    </row>
    <row r="23" spans="1:4" ht="15.75" customHeight="1" x14ac:dyDescent="0.2"/>
    <row r="24" spans="1:4" ht="15.75" customHeight="1" x14ac:dyDescent="0.2">
      <c r="A24" s="1" t="s">
        <v>55</v>
      </c>
    </row>
    <row r="25" spans="1:4" ht="15.75" customHeight="1" x14ac:dyDescent="0.2">
      <c r="A25" s="13" t="s">
        <v>54</v>
      </c>
      <c r="B25" s="14" t="s">
        <v>48</v>
      </c>
      <c r="C25" s="14" t="s">
        <v>49</v>
      </c>
    </row>
    <row r="26" spans="1:4" ht="15.75" customHeight="1" x14ac:dyDescent="0.2">
      <c r="A26" s="1" t="s">
        <v>50</v>
      </c>
      <c r="B26" s="7">
        <v>8.1</v>
      </c>
      <c r="C26" s="7">
        <v>7.2</v>
      </c>
    </row>
    <row r="27" spans="1:4" ht="15.75" customHeight="1" x14ac:dyDescent="0.2">
      <c r="A27" s="1" t="s">
        <v>51</v>
      </c>
      <c r="B27" s="7">
        <v>5.3</v>
      </c>
      <c r="C27" s="7">
        <v>4.4000000000000004</v>
      </c>
    </row>
    <row r="28" spans="1:4" ht="15.75" customHeight="1" x14ac:dyDescent="0.2">
      <c r="A28" s="1" t="s">
        <v>52</v>
      </c>
    </row>
    <row r="29" spans="1:4" ht="15.75" customHeight="1" x14ac:dyDescent="0.2">
      <c r="A29" s="1"/>
    </row>
    <row r="30" spans="1:4" ht="15.75" customHeight="1" x14ac:dyDescent="0.2">
      <c r="A30" s="15" t="s">
        <v>56</v>
      </c>
      <c r="B30" s="16">
        <v>0.67</v>
      </c>
      <c r="D30" s="7" t="s">
        <v>57</v>
      </c>
    </row>
    <row r="31" spans="1:4" ht="15.75" customHeight="1" x14ac:dyDescent="0.2">
      <c r="A31" s="1"/>
    </row>
    <row r="32" spans="1:4" ht="15.75" customHeight="1" x14ac:dyDescent="0.2">
      <c r="A32" s="1" t="s">
        <v>58</v>
      </c>
    </row>
    <row r="33" spans="1:3" ht="15.75" customHeight="1" x14ac:dyDescent="0.2">
      <c r="A33" s="13" t="s">
        <v>54</v>
      </c>
      <c r="B33" s="14" t="s">
        <v>48</v>
      </c>
      <c r="C33" s="14" t="s">
        <v>49</v>
      </c>
    </row>
    <row r="34" spans="1:3" ht="15.75" customHeight="1" x14ac:dyDescent="0.2">
      <c r="A34" s="1" t="s">
        <v>50</v>
      </c>
      <c r="B34" s="17">
        <f t="shared" ref="B34:C34" si="0">B26*(1-$B$30)</f>
        <v>2.6729999999999996</v>
      </c>
      <c r="C34" s="17">
        <f t="shared" si="0"/>
        <v>2.3759999999999999</v>
      </c>
    </row>
    <row r="35" spans="1:3" ht="15.75" customHeight="1" x14ac:dyDescent="0.2">
      <c r="A35" s="1" t="s">
        <v>51</v>
      </c>
      <c r="B35" s="17">
        <f t="shared" ref="B35:C35" si="1">B27*(1-$B$30)</f>
        <v>1.7489999999999997</v>
      </c>
      <c r="C35" s="17">
        <f t="shared" si="1"/>
        <v>1.452</v>
      </c>
    </row>
    <row r="36" spans="1:3" ht="15.75" customHeight="1" x14ac:dyDescent="0.2"/>
    <row r="37" spans="1:3" ht="15.75" customHeight="1" x14ac:dyDescent="0.2">
      <c r="A37" s="1" t="s">
        <v>59</v>
      </c>
    </row>
    <row r="38" spans="1:3" ht="15.75" customHeight="1" x14ac:dyDescent="0.2">
      <c r="A38" s="7" t="s">
        <v>60</v>
      </c>
    </row>
    <row r="39" spans="1:3" ht="15.75" customHeight="1" x14ac:dyDescent="0.2">
      <c r="A39" s="7" t="s">
        <v>61</v>
      </c>
    </row>
    <row r="40" spans="1:3" ht="15.75" customHeight="1" x14ac:dyDescent="0.2">
      <c r="A40" s="7" t="s">
        <v>62</v>
      </c>
    </row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spans="1:8" ht="15.75" customHeight="1" x14ac:dyDescent="0.2"/>
    <row r="50" spans="1:8" ht="15.75" customHeight="1" x14ac:dyDescent="0.2"/>
    <row r="51" spans="1:8" ht="15.75" customHeight="1" x14ac:dyDescent="0.2"/>
    <row r="52" spans="1:8" ht="15.75" customHeight="1" x14ac:dyDescent="0.2"/>
    <row r="53" spans="1:8" ht="15.75" customHeight="1" x14ac:dyDescent="0.2"/>
    <row r="54" spans="1:8" ht="15.75" customHeight="1" x14ac:dyDescent="0.2"/>
    <row r="55" spans="1:8" ht="15.75" customHeight="1" x14ac:dyDescent="0.2"/>
    <row r="56" spans="1:8" ht="15.75" customHeight="1" x14ac:dyDescent="0.2"/>
    <row r="57" spans="1:8" ht="15.75" customHeight="1" x14ac:dyDescent="0.2"/>
    <row r="58" spans="1:8" ht="15.75" customHeight="1" x14ac:dyDescent="0.2"/>
    <row r="59" spans="1:8" ht="15.75" customHeight="1" x14ac:dyDescent="0.2"/>
    <row r="60" spans="1:8" ht="15.75" customHeight="1" x14ac:dyDescent="0.2"/>
    <row r="61" spans="1:8" ht="15.75" customHeight="1" x14ac:dyDescent="0.2"/>
    <row r="62" spans="1:8" ht="15.75" customHeight="1" x14ac:dyDescent="0.2">
      <c r="A62" s="18" t="s">
        <v>63</v>
      </c>
      <c r="B62" s="19"/>
      <c r="C62" s="19"/>
      <c r="D62" s="19"/>
      <c r="E62" s="19"/>
      <c r="F62" s="19"/>
      <c r="G62" s="19"/>
      <c r="H62" s="19"/>
    </row>
    <row r="63" spans="1:8" ht="15.75" customHeight="1" x14ac:dyDescent="0.2">
      <c r="A63" s="7" t="s">
        <v>64</v>
      </c>
    </row>
    <row r="64" spans="1:8" ht="15.75" customHeight="1" x14ac:dyDescent="0.2">
      <c r="A64" s="7" t="s">
        <v>65</v>
      </c>
    </row>
    <row r="65" spans="1:8" ht="15.75" customHeight="1" x14ac:dyDescent="0.2">
      <c r="A65" s="7" t="s">
        <v>66</v>
      </c>
    </row>
    <row r="66" spans="1:8" ht="15.75" customHeight="1" x14ac:dyDescent="0.2">
      <c r="A66" s="7" t="s">
        <v>67</v>
      </c>
    </row>
    <row r="67" spans="1:8" ht="15.75" customHeight="1" x14ac:dyDescent="0.2"/>
    <row r="68" spans="1:8" ht="15.75" customHeight="1" x14ac:dyDescent="0.2">
      <c r="B68" s="7">
        <v>2045</v>
      </c>
      <c r="C68" s="7">
        <v>2050</v>
      </c>
      <c r="D68" s="7">
        <v>2060</v>
      </c>
      <c r="E68" s="7">
        <v>2070</v>
      </c>
      <c r="F68" s="7">
        <v>2080</v>
      </c>
      <c r="G68" s="7">
        <v>2090</v>
      </c>
      <c r="H68" s="7">
        <v>2100</v>
      </c>
    </row>
    <row r="69" spans="1:8" ht="15.75" customHeight="1" x14ac:dyDescent="0.2">
      <c r="A69" s="7" t="s">
        <v>68</v>
      </c>
      <c r="B69" s="7">
        <v>0</v>
      </c>
      <c r="C69" s="7">
        <v>5</v>
      </c>
      <c r="D69" s="7">
        <v>20</v>
      </c>
      <c r="E69" s="7">
        <v>122</v>
      </c>
      <c r="F69" s="7">
        <v>388</v>
      </c>
      <c r="G69" s="7">
        <v>384</v>
      </c>
      <c r="H69" s="7">
        <v>379</v>
      </c>
    </row>
    <row r="70" spans="1:8" ht="15.75" customHeight="1" x14ac:dyDescent="0.2">
      <c r="A70" s="7" t="s">
        <v>69</v>
      </c>
      <c r="B70" s="7">
        <v>0</v>
      </c>
      <c r="C70" s="7">
        <v>0</v>
      </c>
      <c r="D70" s="7">
        <v>0</v>
      </c>
      <c r="E70" s="7">
        <v>5</v>
      </c>
      <c r="F70" s="7">
        <v>30</v>
      </c>
      <c r="G70" s="7">
        <v>35</v>
      </c>
      <c r="H70" s="7">
        <v>40</v>
      </c>
    </row>
    <row r="71" spans="1:8" ht="15.75" customHeight="1" x14ac:dyDescent="0.2"/>
    <row r="72" spans="1:8" ht="15.75" customHeight="1" x14ac:dyDescent="0.2">
      <c r="A72" s="7" t="s">
        <v>70</v>
      </c>
      <c r="B72" s="7">
        <v>420</v>
      </c>
    </row>
    <row r="73" spans="1:8" ht="15.75" customHeight="1" x14ac:dyDescent="0.2"/>
    <row r="74" spans="1:8" ht="15.75" customHeight="1" x14ac:dyDescent="0.2">
      <c r="B74" s="7">
        <v>2045</v>
      </c>
      <c r="C74" s="7">
        <v>2050</v>
      </c>
      <c r="D74" s="7">
        <v>2060</v>
      </c>
      <c r="E74" s="7">
        <v>2070</v>
      </c>
      <c r="F74" s="7">
        <v>2080</v>
      </c>
      <c r="G74" s="7">
        <v>2090</v>
      </c>
      <c r="H74" s="7">
        <v>2100</v>
      </c>
    </row>
    <row r="75" spans="1:8" ht="15.75" customHeight="1" x14ac:dyDescent="0.2">
      <c r="A75" s="7" t="s">
        <v>71</v>
      </c>
      <c r="B75" s="7">
        <f t="shared" ref="B75:H75" si="2">B69/$B$72*30</f>
        <v>0</v>
      </c>
      <c r="C75" s="17">
        <f t="shared" si="2"/>
        <v>0.3571428571428571</v>
      </c>
      <c r="D75" s="17">
        <f t="shared" si="2"/>
        <v>1.4285714285714284</v>
      </c>
      <c r="E75" s="17">
        <f t="shared" si="2"/>
        <v>8.7142857142857153</v>
      </c>
      <c r="F75" s="17">
        <f t="shared" si="2"/>
        <v>27.714285714285715</v>
      </c>
      <c r="G75" s="17">
        <f t="shared" si="2"/>
        <v>27.428571428571427</v>
      </c>
      <c r="H75" s="17">
        <f t="shared" si="2"/>
        <v>27.071428571428573</v>
      </c>
    </row>
    <row r="76" spans="1:8" ht="15.75" customHeight="1" x14ac:dyDescent="0.2">
      <c r="A76" s="7" t="s">
        <v>72</v>
      </c>
      <c r="B76" s="7">
        <f t="shared" ref="B76:H76" si="3">B70/$B$72*30</f>
        <v>0</v>
      </c>
      <c r="C76" s="7">
        <f t="shared" si="3"/>
        <v>0</v>
      </c>
      <c r="D76" s="7">
        <f t="shared" si="3"/>
        <v>0</v>
      </c>
      <c r="E76" s="17">
        <f t="shared" si="3"/>
        <v>0.3571428571428571</v>
      </c>
      <c r="F76" s="17">
        <f t="shared" si="3"/>
        <v>2.1428571428571428</v>
      </c>
      <c r="G76" s="17">
        <f t="shared" si="3"/>
        <v>2.5</v>
      </c>
      <c r="H76" s="17">
        <f t="shared" si="3"/>
        <v>2.8571428571428568</v>
      </c>
    </row>
    <row r="77" spans="1:8" ht="15.75" customHeight="1" x14ac:dyDescent="0.2"/>
    <row r="78" spans="1:8" ht="15.75" customHeight="1" x14ac:dyDescent="0.2">
      <c r="A78" s="1" t="s">
        <v>73</v>
      </c>
    </row>
    <row r="79" spans="1:8" ht="15.75" customHeight="1" x14ac:dyDescent="0.2">
      <c r="A79" s="7" t="s">
        <v>74</v>
      </c>
    </row>
    <row r="80" spans="1:8" ht="15.75" customHeight="1" x14ac:dyDescent="0.2">
      <c r="A80" s="7" t="s">
        <v>75</v>
      </c>
    </row>
    <row r="81" spans="1:8" ht="15.75" customHeight="1" x14ac:dyDescent="0.2">
      <c r="A81" s="7" t="s">
        <v>76</v>
      </c>
    </row>
    <row r="82" spans="1:8" ht="15.75" customHeight="1" x14ac:dyDescent="0.2"/>
    <row r="83" spans="1:8" ht="15.75" customHeight="1" x14ac:dyDescent="0.2">
      <c r="A83" s="7" t="s">
        <v>77</v>
      </c>
      <c r="B83" s="7">
        <v>19.39</v>
      </c>
      <c r="C83" s="7" t="s">
        <v>78</v>
      </c>
      <c r="D83" s="7">
        <v>2017</v>
      </c>
    </row>
    <row r="84" spans="1:8" ht="15.75" customHeight="1" x14ac:dyDescent="0.2">
      <c r="A84" s="7" t="s">
        <v>79</v>
      </c>
      <c r="B84" s="7">
        <v>80</v>
      </c>
      <c r="C84" s="7" t="s">
        <v>80</v>
      </c>
      <c r="D84" s="7">
        <v>2017</v>
      </c>
    </row>
    <row r="85" spans="1:8" ht="15.75" customHeight="1" x14ac:dyDescent="0.2">
      <c r="A85" s="7" t="s">
        <v>81</v>
      </c>
      <c r="B85" s="20">
        <f>B83/B84</f>
        <v>0.24237500000000001</v>
      </c>
    </row>
    <row r="86" spans="1:8" ht="15.75" customHeight="1" x14ac:dyDescent="0.2"/>
    <row r="87" spans="1:8" ht="15.75" customHeight="1" x14ac:dyDescent="0.2">
      <c r="A87" s="18" t="s">
        <v>82</v>
      </c>
      <c r="B87" s="19"/>
      <c r="C87" s="19"/>
      <c r="D87" s="19"/>
      <c r="E87" s="19"/>
      <c r="F87" s="19"/>
      <c r="G87" s="19"/>
      <c r="H87" s="19"/>
    </row>
    <row r="88" spans="1:8" ht="15.75" customHeight="1" x14ac:dyDescent="0.2">
      <c r="B88" s="7">
        <v>2045</v>
      </c>
      <c r="C88" s="7">
        <v>2050</v>
      </c>
      <c r="D88" s="7">
        <v>2060</v>
      </c>
      <c r="E88" s="7">
        <v>2070</v>
      </c>
      <c r="F88" s="7">
        <v>2080</v>
      </c>
      <c r="G88" s="7">
        <v>2090</v>
      </c>
      <c r="H88" s="7">
        <v>2100</v>
      </c>
    </row>
    <row r="89" spans="1:8" ht="15.75" customHeight="1" x14ac:dyDescent="0.2">
      <c r="A89" s="7" t="s">
        <v>71</v>
      </c>
      <c r="B89" s="7">
        <f t="shared" ref="B89:H89" si="4">B75*$B$85</f>
        <v>0</v>
      </c>
      <c r="C89" s="17">
        <f t="shared" si="4"/>
        <v>8.6562499999999987E-2</v>
      </c>
      <c r="D89" s="17">
        <f t="shared" si="4"/>
        <v>0.34624999999999995</v>
      </c>
      <c r="E89" s="17">
        <f t="shared" si="4"/>
        <v>2.1121250000000003</v>
      </c>
      <c r="F89" s="17">
        <f t="shared" si="4"/>
        <v>6.7172500000000008</v>
      </c>
      <c r="G89" s="17">
        <f t="shared" si="4"/>
        <v>6.6479999999999997</v>
      </c>
      <c r="H89" s="17">
        <f t="shared" si="4"/>
        <v>6.5614375000000003</v>
      </c>
    </row>
    <row r="90" spans="1:8" ht="15.75" customHeight="1" x14ac:dyDescent="0.2">
      <c r="A90" s="7" t="s">
        <v>72</v>
      </c>
      <c r="B90" s="7">
        <f t="shared" ref="B90:H90" si="5">B76*$B$85</f>
        <v>0</v>
      </c>
      <c r="C90" s="7">
        <f t="shared" si="5"/>
        <v>0</v>
      </c>
      <c r="D90" s="7">
        <f t="shared" si="5"/>
        <v>0</v>
      </c>
      <c r="E90" s="17">
        <f t="shared" si="5"/>
        <v>8.6562499999999987E-2</v>
      </c>
      <c r="F90" s="17">
        <f t="shared" si="5"/>
        <v>0.51937500000000003</v>
      </c>
      <c r="G90" s="17">
        <f t="shared" si="5"/>
        <v>0.60593750000000002</v>
      </c>
      <c r="H90" s="17">
        <f t="shared" si="5"/>
        <v>0.69249999999999989</v>
      </c>
    </row>
    <row r="91" spans="1:8" ht="15.75" customHeight="1" x14ac:dyDescent="0.2"/>
    <row r="92" spans="1:8" ht="15.75" customHeight="1" x14ac:dyDescent="0.2">
      <c r="A92" s="7" t="s">
        <v>83</v>
      </c>
    </row>
    <row r="93" spans="1:8" ht="15.75" customHeight="1" x14ac:dyDescent="0.2">
      <c r="B93" s="7">
        <v>2045</v>
      </c>
      <c r="C93" s="7">
        <v>2050</v>
      </c>
      <c r="D93" s="7">
        <v>2060</v>
      </c>
      <c r="E93" s="7">
        <v>2070</v>
      </c>
      <c r="F93" s="7">
        <v>2080</v>
      </c>
      <c r="G93" s="7">
        <v>2090</v>
      </c>
      <c r="H93" s="7">
        <v>2100</v>
      </c>
    </row>
    <row r="94" spans="1:8" ht="15.75" customHeight="1" x14ac:dyDescent="0.2">
      <c r="A94" s="7" t="s">
        <v>84</v>
      </c>
      <c r="B94" s="21">
        <f t="shared" ref="B94:H94" si="6">B89*10^9</f>
        <v>0</v>
      </c>
      <c r="C94" s="22">
        <f t="shared" si="6"/>
        <v>86562499.999999985</v>
      </c>
      <c r="D94" s="22">
        <f t="shared" si="6"/>
        <v>346249999.99999994</v>
      </c>
      <c r="E94" s="22">
        <f t="shared" si="6"/>
        <v>2112125000.0000002</v>
      </c>
      <c r="F94" s="22">
        <f t="shared" si="6"/>
        <v>6717250000.000001</v>
      </c>
      <c r="G94" s="22">
        <f t="shared" si="6"/>
        <v>6648000000</v>
      </c>
      <c r="H94" s="22">
        <f t="shared" si="6"/>
        <v>6561437500</v>
      </c>
    </row>
    <row r="95" spans="1:8" ht="15.75" customHeight="1" x14ac:dyDescent="0.2">
      <c r="A95" s="7" t="s">
        <v>85</v>
      </c>
      <c r="B95" s="21">
        <f t="shared" ref="B95:H95" si="7">B90*10^9</f>
        <v>0</v>
      </c>
      <c r="C95" s="21">
        <f t="shared" si="7"/>
        <v>0</v>
      </c>
      <c r="D95" s="21">
        <f t="shared" si="7"/>
        <v>0</v>
      </c>
      <c r="E95" s="22">
        <f t="shared" si="7"/>
        <v>86562499.999999985</v>
      </c>
      <c r="F95" s="22">
        <f t="shared" si="7"/>
        <v>519375000.00000006</v>
      </c>
      <c r="G95" s="22">
        <f t="shared" si="7"/>
        <v>605937500</v>
      </c>
      <c r="H95" s="22">
        <f t="shared" si="7"/>
        <v>692499999.99999988</v>
      </c>
    </row>
    <row r="96" spans="1:8" ht="15.75" customHeight="1" x14ac:dyDescent="0.2"/>
    <row r="97" spans="1:2" ht="15.75" customHeight="1" x14ac:dyDescent="0.2">
      <c r="A97" s="18" t="s">
        <v>86</v>
      </c>
    </row>
    <row r="98" spans="1:2" ht="15.75" customHeight="1" x14ac:dyDescent="0.2">
      <c r="A98" s="7" t="s">
        <v>87</v>
      </c>
    </row>
    <row r="99" spans="1:2" ht="15.75" customHeight="1" x14ac:dyDescent="0.2">
      <c r="A99" s="7" t="s">
        <v>88</v>
      </c>
    </row>
    <row r="100" spans="1:2" ht="15.75" customHeight="1" x14ac:dyDescent="0.2">
      <c r="A100" s="7" t="s">
        <v>89</v>
      </c>
    </row>
    <row r="101" spans="1:2" ht="15.75" customHeight="1" x14ac:dyDescent="0.2">
      <c r="A101" s="7" t="s">
        <v>90</v>
      </c>
    </row>
    <row r="102" spans="1:2" ht="15.75" customHeight="1" x14ac:dyDescent="0.2"/>
    <row r="103" spans="1:2" ht="15.75" customHeight="1" x14ac:dyDescent="0.2">
      <c r="A103" s="7" t="s">
        <v>91</v>
      </c>
      <c r="B103" s="7">
        <v>947086</v>
      </c>
    </row>
    <row r="104" spans="1:2" ht="15.75" customHeight="1" x14ac:dyDescent="0.2"/>
    <row r="105" spans="1:2" ht="15.75" customHeight="1" x14ac:dyDescent="0.2">
      <c r="A105" s="7" t="s">
        <v>92</v>
      </c>
    </row>
    <row r="106" spans="1:2" ht="15.75" customHeight="1" x14ac:dyDescent="0.2"/>
    <row r="107" spans="1:2" ht="15.75" customHeight="1" x14ac:dyDescent="0.2"/>
    <row r="108" spans="1:2" ht="15.75" customHeight="1" x14ac:dyDescent="0.2"/>
    <row r="109" spans="1:2" ht="15.75" customHeight="1" x14ac:dyDescent="0.2"/>
    <row r="110" spans="1:2" ht="15.75" customHeight="1" x14ac:dyDescent="0.2"/>
    <row r="111" spans="1:2" ht="15.75" customHeight="1" x14ac:dyDescent="0.2"/>
    <row r="112" spans="1: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2"/>
  <sheetViews>
    <sheetView workbookViewId="0"/>
  </sheetViews>
  <sheetFormatPr baseColWidth="10" defaultColWidth="14.5" defaultRowHeight="15" customHeight="1" x14ac:dyDescent="0.2"/>
  <cols>
    <col min="1" max="1" width="28.6640625" customWidth="1"/>
    <col min="2" max="2" width="20.6640625" customWidth="1"/>
    <col min="3" max="22" width="9.33203125" customWidth="1"/>
    <col min="23" max="23" width="10.83203125" customWidth="1"/>
    <col min="24" max="32" width="9.33203125" customWidth="1"/>
    <col min="33" max="33" width="11.6640625" customWidth="1"/>
  </cols>
  <sheetData>
    <row r="1" spans="1:33" x14ac:dyDescent="0.2">
      <c r="A1" s="13" t="s">
        <v>93</v>
      </c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x14ac:dyDescent="0.2">
      <c r="A2" s="7" t="s">
        <v>94</v>
      </c>
      <c r="B2" s="23">
        <f t="array" ref="B2">TREND('CDR potential'!$B$17:$C$17,'CDR potential'!$B$16:$C$16,cal!B1)</f>
        <v>0</v>
      </c>
      <c r="C2" s="23">
        <f t="array" ref="C2">TREND('CDR potential'!$B$17:$C$17,'CDR potential'!$B$16:$C$16,cal!C1)</f>
        <v>0</v>
      </c>
      <c r="D2" s="23">
        <f t="array" ref="D2">TREND('CDR potential'!$B$17:$C$17,'CDR potential'!$B$16:$C$16,cal!D1)</f>
        <v>0</v>
      </c>
      <c r="E2" s="23">
        <f t="array" ref="E2">TREND('CDR potential'!$B$17:$C$17,'CDR potential'!$B$16:$C$16,cal!E1)</f>
        <v>0</v>
      </c>
      <c r="F2" s="23">
        <f t="array" ref="F2">TREND('CDR potential'!$B$17:$C$17,'CDR potential'!$B$16:$C$16,cal!F1)</f>
        <v>0</v>
      </c>
      <c r="G2" s="23">
        <f t="array" ref="G2">TREND('CDR potential'!$B$17:$C$17,'CDR potential'!$B$16:$C$16,cal!G1)</f>
        <v>0</v>
      </c>
      <c r="H2" s="23">
        <f t="array" ref="H2">TREND('CDR potential'!$B$17:$C$17,'CDR potential'!$B$16:$C$16,cal!H1)</f>
        <v>0</v>
      </c>
      <c r="I2" s="23">
        <f t="array" ref="I2">TREND('CDR potential'!$B$17:$C$17,'CDR potential'!$B$16:$C$16,cal!I1)</f>
        <v>0</v>
      </c>
      <c r="J2" s="23">
        <f t="array" ref="J2">TREND('CDR potential'!$B$17:$C$17,'CDR potential'!$B$16:$C$16,cal!J1)</f>
        <v>0</v>
      </c>
      <c r="K2" s="23">
        <f t="array" ref="K2">TREND('CDR potential'!$B$17:$C$17,'CDR potential'!$B$16:$C$16,cal!K1)</f>
        <v>0</v>
      </c>
      <c r="L2" s="23">
        <f t="array" ref="L2">TREND('CDR potential'!$B$17:$C$17,'CDR potential'!$B$16:$C$16,cal!L1)</f>
        <v>0</v>
      </c>
      <c r="M2" s="23">
        <f t="array" ref="M2">TREND('CDR potential'!$C$17:$D$17,'CDR potential'!$C$16:$D$16,cal!M1)</f>
        <v>0</v>
      </c>
      <c r="N2" s="23">
        <f t="array" ref="N2">TREND('CDR potential'!$C$17:$D$17,'CDR potential'!$C$16:$D$16,cal!N1)</f>
        <v>8928571.4285736084</v>
      </c>
      <c r="O2" s="23">
        <f t="array" ref="O2">TREND('CDR potential'!$C$17:$D$17,'CDR potential'!$C$16:$D$16,cal!O1)</f>
        <v>17857142.857143402</v>
      </c>
      <c r="P2" s="23">
        <f t="array" ref="P2">TREND('CDR potential'!$C$17:$D$17,'CDR potential'!$C$16:$D$16,cal!P1)</f>
        <v>26785714.28571701</v>
      </c>
      <c r="Q2" s="23">
        <f t="array" ref="Q2">TREND('CDR potential'!$C$17:$D$17,'CDR potential'!$C$16:$D$16,cal!Q1)</f>
        <v>35714285.714286804</v>
      </c>
      <c r="R2" s="23">
        <f t="array" ref="R2">TREND('CDR potential'!$C$17:$D$17,'CDR potential'!$C$16:$D$16,cal!R1)</f>
        <v>44642857.142856598</v>
      </c>
      <c r="S2" s="23">
        <f t="array" ref="S2">TREND('CDR potential'!$C$17:$D$17,'CDR potential'!$C$16:$D$16,cal!S1)</f>
        <v>53571428.571430206</v>
      </c>
      <c r="T2" s="23">
        <f t="array" ref="T2">TREND('CDR potential'!$C$17:$D$17,'CDR potential'!$C$16:$D$16,cal!T1)</f>
        <v>62500000</v>
      </c>
      <c r="U2" s="23">
        <f t="array" ref="U2">TREND('CDR potential'!$C$17:$D$17,'CDR potential'!$C$16:$D$16,cal!U1)</f>
        <v>71428571.428573608</v>
      </c>
      <c r="V2" s="23">
        <f t="array" ref="V2">TREND('CDR potential'!$C$17:$D$17,'CDR potential'!$C$16:$D$16,cal!V1)</f>
        <v>80357142.857143402</v>
      </c>
      <c r="W2" s="23">
        <f t="array" ref="W2">TREND('CDR potential'!$D$17:$E$17,'CDR potential'!$D$16:$E$16,cal!W1)</f>
        <v>89285714.285713196</v>
      </c>
      <c r="X2" s="23">
        <f t="array" ref="X2">TREND('CDR potential'!$D$17:$E$17,'CDR potential'!$D$16:$E$16,cal!X1)</f>
        <v>116071428.57142639</v>
      </c>
      <c r="Y2" s="23">
        <f t="array" ref="Y2">TREND('CDR potential'!$D$17:$E$17,'CDR potential'!$D$16:$E$16,cal!Y1)</f>
        <v>142857142.85713959</v>
      </c>
      <c r="Z2" s="23">
        <f t="array" ref="Z2">TREND('CDR potential'!$D$17:$E$17,'CDR potential'!$D$16:$E$16,cal!Z1)</f>
        <v>169642857.14285278</v>
      </c>
      <c r="AA2" s="23">
        <f t="array" ref="AA2">TREND('CDR potential'!$D$17:$E$17,'CDR potential'!$D$16:$E$16,cal!AA1)</f>
        <v>196428571.42856598</v>
      </c>
      <c r="AB2" s="23">
        <f t="array" ref="AB2">TREND('CDR potential'!$D$17:$E$17,'CDR potential'!$D$16:$E$16,cal!AB1)</f>
        <v>223214285.7142868</v>
      </c>
      <c r="AC2" s="23">
        <f t="array" ref="AC2">TREND('CDR potential'!$D$17:$E$17,'CDR potential'!$D$16:$E$16,cal!AC1)</f>
        <v>250000000</v>
      </c>
      <c r="AD2" s="23">
        <f t="array" ref="AD2">TREND('CDR potential'!$D$17:$E$17,'CDR potential'!$D$16:$E$16,cal!AD1)</f>
        <v>276785714.2857132</v>
      </c>
      <c r="AE2" s="23">
        <f t="array" ref="AE2">TREND('CDR potential'!$D$17:$E$17,'CDR potential'!$D$16:$E$16,cal!AE1)</f>
        <v>303571428.57142639</v>
      </c>
      <c r="AF2" s="23">
        <f t="array" ref="AF2">TREND('CDR potential'!$D$17:$E$17,'CDR potential'!$D$16:$E$16,cal!AF1)</f>
        <v>330357142.85713959</v>
      </c>
      <c r="AG2" s="23">
        <f t="array" ref="AG2">TREND('CDR potential'!$D$17:$E$17,'CDR potential'!$D$16:$E$16,cal!AG1)</f>
        <v>357142857.14285278</v>
      </c>
    </row>
    <row r="3" spans="1:33" x14ac:dyDescent="0.2">
      <c r="A3" s="7" t="s">
        <v>95</v>
      </c>
      <c r="B3" s="24">
        <v>19300000000000</v>
      </c>
      <c r="C3" s="24">
        <v>19600000000000</v>
      </c>
      <c r="D3" s="24">
        <v>19800000000000</v>
      </c>
      <c r="E3" s="24">
        <v>20100000000000</v>
      </c>
      <c r="F3" s="24">
        <v>20400000000000</v>
      </c>
      <c r="G3" s="24">
        <v>20800000000000</v>
      </c>
      <c r="H3" s="24">
        <v>21100000000000</v>
      </c>
      <c r="I3" s="24">
        <v>21500000000000</v>
      </c>
      <c r="J3" s="24">
        <v>21900000000000</v>
      </c>
      <c r="K3" s="24">
        <v>22300000000000</v>
      </c>
      <c r="L3" s="24">
        <v>22700000000000</v>
      </c>
      <c r="M3" s="24">
        <v>23100000000000</v>
      </c>
      <c r="N3" s="24">
        <v>23500000000000</v>
      </c>
      <c r="O3" s="24">
        <v>23900000000000</v>
      </c>
      <c r="P3" s="24">
        <v>24300000000000</v>
      </c>
      <c r="Q3" s="24">
        <v>24800000000000</v>
      </c>
      <c r="R3" s="24">
        <v>25200000000000</v>
      </c>
      <c r="S3" s="24">
        <v>25700000000000</v>
      </c>
      <c r="T3" s="24">
        <v>26200000000000</v>
      </c>
      <c r="U3" s="24">
        <v>26700000000000</v>
      </c>
      <c r="V3" s="24">
        <v>27200000000000</v>
      </c>
      <c r="W3" s="24">
        <v>27700000000000</v>
      </c>
      <c r="X3" s="24">
        <v>28200000000000</v>
      </c>
      <c r="Y3" s="24">
        <v>28800000000000</v>
      </c>
      <c r="Z3" s="24">
        <v>29300000000000</v>
      </c>
      <c r="AA3" s="24">
        <v>29900000000000</v>
      </c>
      <c r="AB3" s="24">
        <v>30500000000000</v>
      </c>
      <c r="AC3" s="24">
        <v>31100000000000</v>
      </c>
      <c r="AD3" s="24">
        <v>31700000000000</v>
      </c>
      <c r="AE3" s="24">
        <v>32400000000000</v>
      </c>
      <c r="AF3" s="24">
        <v>33000000000000</v>
      </c>
      <c r="AG3" s="24">
        <v>33700000000000</v>
      </c>
    </row>
    <row r="4" spans="1:33" x14ac:dyDescent="0.2">
      <c r="A4" s="7" t="s">
        <v>96</v>
      </c>
      <c r="B4" s="25">
        <v>1016466862757.3729</v>
      </c>
      <c r="C4" s="26">
        <v>995476771818.52539</v>
      </c>
      <c r="D4" s="26">
        <v>1032222209724.6656</v>
      </c>
      <c r="E4" s="26">
        <v>1085307877295.6055</v>
      </c>
      <c r="F4" s="26">
        <v>1165421562887.4695</v>
      </c>
      <c r="G4" s="26">
        <v>1245496877314.9243</v>
      </c>
      <c r="H4" s="26">
        <v>1320180699014.6396</v>
      </c>
      <c r="I4" s="26">
        <v>1390240791020.6658</v>
      </c>
      <c r="J4" s="26">
        <v>1457610593954.8997</v>
      </c>
      <c r="K4" s="26">
        <v>1523830623409.6277</v>
      </c>
      <c r="L4" s="26">
        <v>1589702009861.8911</v>
      </c>
      <c r="M4" s="26">
        <v>1655650422093.7688</v>
      </c>
      <c r="N4" s="26">
        <v>1721902883455.7026</v>
      </c>
      <c r="O4" s="26">
        <v>1788607520446.9517</v>
      </c>
      <c r="P4" s="26">
        <v>1855827325810.3577</v>
      </c>
      <c r="Q4" s="26">
        <v>1923586623476.3257</v>
      </c>
      <c r="R4" s="26">
        <v>1991887596361.686</v>
      </c>
      <c r="S4" s="26">
        <v>2060695005951.8792</v>
      </c>
      <c r="T4" s="26">
        <v>2130000120579.5801</v>
      </c>
      <c r="U4" s="26">
        <v>2199832565544.6406</v>
      </c>
      <c r="V4" s="26">
        <v>2270158349713.5464</v>
      </c>
      <c r="W4" s="26">
        <v>2340941922726.4751</v>
      </c>
      <c r="X4" s="26">
        <v>2412173305535.0571</v>
      </c>
      <c r="Y4" s="26">
        <v>2483840024328.8271</v>
      </c>
      <c r="Z4" s="26">
        <v>2555969521490.8066</v>
      </c>
      <c r="AA4" s="26">
        <v>2628563668092.5649</v>
      </c>
      <c r="AB4" s="26">
        <v>2701523297340.9141</v>
      </c>
      <c r="AC4" s="26">
        <v>2774749242442.666</v>
      </c>
      <c r="AD4" s="26">
        <v>2848211878097.9697</v>
      </c>
      <c r="AE4" s="26">
        <v>2921943636214.0317</v>
      </c>
      <c r="AF4" s="26">
        <v>2995970399947.563</v>
      </c>
      <c r="AG4" s="26">
        <v>3070300900965.8896</v>
      </c>
    </row>
    <row r="5" spans="1:33" x14ac:dyDescent="0.2">
      <c r="A5" s="7" t="s">
        <v>97</v>
      </c>
      <c r="B5" s="27">
        <f t="shared" ref="B5:AG5" si="0">B4/B3</f>
        <v>5.2666676826806889E-2</v>
      </c>
      <c r="C5" s="27">
        <f t="shared" si="0"/>
        <v>5.078963121523089E-2</v>
      </c>
      <c r="D5" s="27">
        <f t="shared" si="0"/>
        <v>5.2132434834579071E-2</v>
      </c>
      <c r="E5" s="27">
        <f t="shared" si="0"/>
        <v>5.3995416780875896E-2</v>
      </c>
      <c r="F5" s="27">
        <f t="shared" si="0"/>
        <v>5.7128507984679874E-2</v>
      </c>
      <c r="G5" s="27">
        <f t="shared" si="0"/>
        <v>5.9879657563217517E-2</v>
      </c>
      <c r="H5" s="27">
        <f t="shared" si="0"/>
        <v>6.2567805640504251E-2</v>
      </c>
      <c r="I5" s="27">
        <f t="shared" si="0"/>
        <v>6.4662362373054227E-2</v>
      </c>
      <c r="J5" s="27">
        <f t="shared" si="0"/>
        <v>6.6557561367803636E-2</v>
      </c>
      <c r="K5" s="27">
        <f t="shared" si="0"/>
        <v>6.8333211812090927E-2</v>
      </c>
      <c r="L5" s="27">
        <f t="shared" si="0"/>
        <v>7.0030925544576697E-2</v>
      </c>
      <c r="M5" s="27">
        <f t="shared" si="0"/>
        <v>7.16731784456177E-2</v>
      </c>
      <c r="N5" s="27">
        <f t="shared" si="0"/>
        <v>7.3272463125774581E-2</v>
      </c>
      <c r="O5" s="27">
        <f t="shared" si="0"/>
        <v>7.4837134746734382E-2</v>
      </c>
      <c r="P5" s="27">
        <f t="shared" si="0"/>
        <v>7.6371494889315134E-2</v>
      </c>
      <c r="Q5" s="27">
        <f t="shared" si="0"/>
        <v>7.7563976753077649E-2</v>
      </c>
      <c r="R5" s="27">
        <f t="shared" si="0"/>
        <v>7.904315858578119E-2</v>
      </c>
      <c r="S5" s="27">
        <f t="shared" si="0"/>
        <v>8.0182685056493355E-2</v>
      </c>
      <c r="T5" s="27">
        <f t="shared" si="0"/>
        <v>8.1297714525938175E-2</v>
      </c>
      <c r="U5" s="27">
        <f t="shared" si="0"/>
        <v>8.239073279193411E-2</v>
      </c>
      <c r="V5" s="27">
        <f t="shared" si="0"/>
        <v>8.346170403358627E-2</v>
      </c>
      <c r="W5" s="27">
        <f t="shared" si="0"/>
        <v>8.451053872658755E-2</v>
      </c>
      <c r="X5" s="27">
        <f t="shared" si="0"/>
        <v>8.5538060479966566E-2</v>
      </c>
      <c r="Y5" s="27">
        <f t="shared" si="0"/>
        <v>8.6244445289195393E-2</v>
      </c>
      <c r="Z5" s="27">
        <f t="shared" si="0"/>
        <v>8.7234454658389304E-2</v>
      </c>
      <c r="AA5" s="27">
        <f t="shared" si="0"/>
        <v>8.7911828364299838E-2</v>
      </c>
      <c r="AB5" s="27">
        <f t="shared" si="0"/>
        <v>8.8574534339046357E-2</v>
      </c>
      <c r="AC5" s="27">
        <f t="shared" si="0"/>
        <v>8.9220232875969974E-2</v>
      </c>
      <c r="AD5" s="27">
        <f t="shared" si="0"/>
        <v>8.9848955145046358E-2</v>
      </c>
      <c r="AE5" s="27">
        <f t="shared" si="0"/>
        <v>9.0183445562161471E-2</v>
      </c>
      <c r="AF5" s="27">
        <f t="shared" si="0"/>
        <v>9.0786981816592824E-2</v>
      </c>
      <c r="AG5" s="27">
        <f t="shared" si="0"/>
        <v>9.1106851660708893E-2</v>
      </c>
    </row>
    <row r="6" spans="1:33" x14ac:dyDescent="0.2">
      <c r="A6" s="7" t="s">
        <v>98</v>
      </c>
      <c r="B6" s="23">
        <f t="shared" ref="B6:AG6" si="1">B2*B5</f>
        <v>0</v>
      </c>
      <c r="C6" s="23">
        <f t="shared" si="1"/>
        <v>0</v>
      </c>
      <c r="D6" s="23">
        <f t="shared" si="1"/>
        <v>0</v>
      </c>
      <c r="E6" s="23">
        <f t="shared" si="1"/>
        <v>0</v>
      </c>
      <c r="F6" s="23">
        <f t="shared" si="1"/>
        <v>0</v>
      </c>
      <c r="G6" s="23">
        <f t="shared" si="1"/>
        <v>0</v>
      </c>
      <c r="H6" s="23">
        <f t="shared" si="1"/>
        <v>0</v>
      </c>
      <c r="I6" s="23">
        <f t="shared" si="1"/>
        <v>0</v>
      </c>
      <c r="J6" s="23">
        <f t="shared" si="1"/>
        <v>0</v>
      </c>
      <c r="K6" s="23">
        <f t="shared" si="1"/>
        <v>0</v>
      </c>
      <c r="L6" s="23">
        <f t="shared" si="1"/>
        <v>0</v>
      </c>
      <c r="M6" s="23">
        <f t="shared" si="1"/>
        <v>0</v>
      </c>
      <c r="N6" s="23">
        <f t="shared" si="1"/>
        <v>654218.42076600424</v>
      </c>
      <c r="O6" s="23">
        <f t="shared" si="1"/>
        <v>1336377.4061917262</v>
      </c>
      <c r="P6" s="23">
        <f t="shared" si="1"/>
        <v>2045665.041678292</v>
      </c>
      <c r="Q6" s="23">
        <f t="shared" si="1"/>
        <v>2770142.0268957149</v>
      </c>
      <c r="R6" s="23">
        <f t="shared" si="1"/>
        <v>3528712.4368651886</v>
      </c>
      <c r="S6" s="23">
        <f t="shared" si="1"/>
        <v>4295500.9851694182</v>
      </c>
      <c r="T6" s="23">
        <f t="shared" si="1"/>
        <v>5081107.1578711355</v>
      </c>
      <c r="U6" s="23">
        <f t="shared" si="1"/>
        <v>5885052.3422811879</v>
      </c>
      <c r="V6" s="23">
        <f t="shared" si="1"/>
        <v>6706744.0741275139</v>
      </c>
      <c r="W6" s="23">
        <f t="shared" si="1"/>
        <v>7545583.814873796</v>
      </c>
      <c r="X6" s="23">
        <f t="shared" si="1"/>
        <v>9928524.8771387897</v>
      </c>
      <c r="Y6" s="23">
        <f t="shared" si="1"/>
        <v>12320635.041313345</v>
      </c>
      <c r="Z6" s="23">
        <f t="shared" si="1"/>
        <v>14798702.129547805</v>
      </c>
      <c r="AA6" s="23">
        <f t="shared" si="1"/>
        <v>17268394.857272703</v>
      </c>
      <c r="AB6" s="23">
        <f t="shared" si="1"/>
        <v>19771101.414965801</v>
      </c>
      <c r="AC6" s="23">
        <f t="shared" si="1"/>
        <v>22305058.218992494</v>
      </c>
      <c r="AD6" s="23">
        <f t="shared" si="1"/>
        <v>24868907.22764666</v>
      </c>
      <c r="AE6" s="23">
        <f t="shared" si="1"/>
        <v>27377117.40279882</v>
      </c>
      <c r="AF6" s="23">
        <f t="shared" si="1"/>
        <v>29992127.921552688</v>
      </c>
      <c r="AG6" s="28">
        <f t="shared" si="1"/>
        <v>32538161.307395637</v>
      </c>
    </row>
    <row r="10" spans="1:33" x14ac:dyDescent="0.2">
      <c r="B10" s="24"/>
    </row>
    <row r="11" spans="1:33" x14ac:dyDescent="0.2">
      <c r="B11" s="24"/>
    </row>
    <row r="12" spans="1:33" x14ac:dyDescent="0.2">
      <c r="B12" s="24"/>
    </row>
    <row r="13" spans="1:33" x14ac:dyDescent="0.2">
      <c r="B13" s="24"/>
    </row>
    <row r="14" spans="1:33" x14ac:dyDescent="0.2">
      <c r="B14" s="24"/>
    </row>
    <row r="15" spans="1:33" x14ac:dyDescent="0.2">
      <c r="B15" s="24"/>
    </row>
    <row r="16" spans="1:33" x14ac:dyDescent="0.2">
      <c r="B16" s="24"/>
    </row>
    <row r="17" spans="2:2" x14ac:dyDescent="0.2">
      <c r="B17" s="24"/>
    </row>
    <row r="18" spans="2:2" x14ac:dyDescent="0.2">
      <c r="B18" s="24"/>
    </row>
    <row r="19" spans="2:2" x14ac:dyDescent="0.2">
      <c r="B19" s="24"/>
    </row>
    <row r="20" spans="2:2" x14ac:dyDescent="0.2">
      <c r="B20" s="24"/>
    </row>
    <row r="21" spans="2:2" x14ac:dyDescent="0.2">
      <c r="B21" s="24"/>
    </row>
    <row r="22" spans="2:2" x14ac:dyDescent="0.2">
      <c r="B22" s="24"/>
    </row>
    <row r="23" spans="2:2" ht="15.75" customHeight="1" x14ac:dyDescent="0.2">
      <c r="B23" s="24"/>
    </row>
    <row r="24" spans="2:2" ht="15.75" customHeight="1" x14ac:dyDescent="0.2">
      <c r="B24" s="24"/>
    </row>
    <row r="25" spans="2:2" ht="15.75" customHeight="1" x14ac:dyDescent="0.2">
      <c r="B25" s="24"/>
    </row>
    <row r="26" spans="2:2" ht="15.75" customHeight="1" x14ac:dyDescent="0.2">
      <c r="B26" s="24"/>
    </row>
    <row r="27" spans="2:2" ht="15.75" customHeight="1" x14ac:dyDescent="0.2">
      <c r="B27" s="24"/>
    </row>
    <row r="28" spans="2:2" ht="15.75" customHeight="1" x14ac:dyDescent="0.2">
      <c r="B28" s="24"/>
    </row>
    <row r="29" spans="2:2" ht="15.75" customHeight="1" x14ac:dyDescent="0.2">
      <c r="B29" s="24"/>
    </row>
    <row r="30" spans="2:2" ht="15.75" customHeight="1" x14ac:dyDescent="0.2">
      <c r="B30" s="24"/>
    </row>
    <row r="31" spans="2:2" ht="15.75" customHeight="1" x14ac:dyDescent="0.2">
      <c r="B31" s="24"/>
    </row>
    <row r="32" spans="2:2" ht="15.75" customHeight="1" x14ac:dyDescent="0.2">
      <c r="B32" s="24"/>
    </row>
    <row r="33" spans="2:2" ht="15.75" customHeight="1" x14ac:dyDescent="0.2">
      <c r="B33" s="24"/>
    </row>
    <row r="34" spans="2:2" ht="15.75" customHeight="1" x14ac:dyDescent="0.2">
      <c r="B34" s="24"/>
    </row>
    <row r="35" spans="2:2" ht="15.75" customHeight="1" x14ac:dyDescent="0.2">
      <c r="B35" s="24"/>
    </row>
    <row r="36" spans="2:2" ht="15.75" customHeight="1" x14ac:dyDescent="0.2">
      <c r="B36" s="24"/>
    </row>
    <row r="37" spans="2:2" ht="15.75" customHeight="1" x14ac:dyDescent="0.2">
      <c r="B37" s="24"/>
    </row>
    <row r="38" spans="2:2" ht="15.75" customHeight="1" x14ac:dyDescent="0.2">
      <c r="B38" s="24"/>
    </row>
    <row r="39" spans="2:2" ht="15.75" customHeight="1" x14ac:dyDescent="0.2">
      <c r="B39" s="24"/>
    </row>
    <row r="40" spans="2:2" ht="15.75" customHeight="1" x14ac:dyDescent="0.2">
      <c r="B40" s="24"/>
    </row>
    <row r="41" spans="2:2" ht="15.75" customHeight="1" x14ac:dyDescent="0.2">
      <c r="B41" s="24"/>
    </row>
    <row r="42" spans="2:2" ht="15.75" customHeight="1" x14ac:dyDescent="0.2"/>
    <row r="43" spans="2:2" ht="15.75" customHeight="1" x14ac:dyDescent="0.2"/>
    <row r="44" spans="2:2" ht="15.75" customHeight="1" x14ac:dyDescent="0.2"/>
    <row r="45" spans="2:2" ht="15.75" customHeight="1" x14ac:dyDescent="0.2"/>
    <row r="46" spans="2:2" ht="15.75" customHeight="1" x14ac:dyDescent="0.2"/>
    <row r="47" spans="2:2" ht="15.75" customHeight="1" x14ac:dyDescent="0.2"/>
    <row r="48" spans="2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496"/>
  </sheetPr>
  <dimension ref="A1:BA1000"/>
  <sheetViews>
    <sheetView topLeftCell="T1" workbookViewId="0">
      <selection activeCell="AH2" sqref="AH2:BA2"/>
    </sheetView>
  </sheetViews>
  <sheetFormatPr baseColWidth="10" defaultColWidth="14.5" defaultRowHeight="15" customHeight="1" x14ac:dyDescent="0.2"/>
  <cols>
    <col min="1" max="1" width="28.6640625" customWidth="1"/>
    <col min="2" max="22" width="9.33203125" customWidth="1"/>
    <col min="23" max="23" width="10.83203125" customWidth="1"/>
    <col min="24" max="33" width="9.33203125" customWidth="1"/>
  </cols>
  <sheetData>
    <row r="1" spans="1:53" x14ac:dyDescent="0.2">
      <c r="A1" s="13" t="s">
        <v>93</v>
      </c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x14ac:dyDescent="0.2">
      <c r="A2" s="3" t="s">
        <v>99</v>
      </c>
      <c r="B2" s="23">
        <f>cal!B6</f>
        <v>0</v>
      </c>
      <c r="C2" s="23">
        <f>cal!C6</f>
        <v>0</v>
      </c>
      <c r="D2" s="23">
        <f>cal!D6</f>
        <v>0</v>
      </c>
      <c r="E2" s="23">
        <f>cal!E6</f>
        <v>0</v>
      </c>
      <c r="F2" s="23">
        <f>cal!F6</f>
        <v>0</v>
      </c>
      <c r="G2" s="23">
        <f>cal!G6</f>
        <v>0</v>
      </c>
      <c r="H2" s="23">
        <f>cal!H6</f>
        <v>0</v>
      </c>
      <c r="I2" s="23">
        <f>cal!I6</f>
        <v>0</v>
      </c>
      <c r="J2" s="23">
        <f>cal!J6</f>
        <v>0</v>
      </c>
      <c r="K2" s="23">
        <f>cal!K6</f>
        <v>0</v>
      </c>
      <c r="L2" s="23">
        <f>cal!L6</f>
        <v>0</v>
      </c>
      <c r="M2" s="23">
        <f>cal!M6</f>
        <v>0</v>
      </c>
      <c r="N2" s="23">
        <f>cal!N6</f>
        <v>654218.42076600424</v>
      </c>
      <c r="O2" s="23">
        <f>cal!O6</f>
        <v>1336377.4061917262</v>
      </c>
      <c r="P2" s="23">
        <f>cal!P6</f>
        <v>2045665.041678292</v>
      </c>
      <c r="Q2" s="23">
        <f>cal!Q6</f>
        <v>2770142.0268957149</v>
      </c>
      <c r="R2" s="23">
        <f>cal!R6</f>
        <v>3528712.4368651886</v>
      </c>
      <c r="S2" s="23">
        <f>cal!S6</f>
        <v>4295500.9851694182</v>
      </c>
      <c r="T2" s="23">
        <f>cal!T6</f>
        <v>5081107.1578711355</v>
      </c>
      <c r="U2" s="23">
        <f>cal!U6</f>
        <v>5885052.3422811879</v>
      </c>
      <c r="V2" s="23">
        <f>cal!V6</f>
        <v>6706744.0741275139</v>
      </c>
      <c r="W2" s="23">
        <f>cal!W6</f>
        <v>7545583.814873796</v>
      </c>
      <c r="X2" s="23">
        <f>cal!X6</f>
        <v>9928524.8771387897</v>
      </c>
      <c r="Y2" s="23">
        <f>cal!Y6</f>
        <v>12320635.041313345</v>
      </c>
      <c r="Z2" s="23">
        <f>cal!Z6</f>
        <v>14798702.129547805</v>
      </c>
      <c r="AA2" s="23">
        <f>cal!AA6</f>
        <v>17268394.857272703</v>
      </c>
      <c r="AB2" s="23">
        <f>cal!AB6</f>
        <v>19771101.414965801</v>
      </c>
      <c r="AC2" s="23">
        <f>cal!AC6</f>
        <v>22305058.218992494</v>
      </c>
      <c r="AD2" s="23">
        <f>cal!AD6</f>
        <v>24868907.22764666</v>
      </c>
      <c r="AE2" s="23">
        <f>cal!AE6</f>
        <v>27377117.40279882</v>
      </c>
      <c r="AF2" s="23">
        <f>cal!AF6</f>
        <v>29992127.921552688</v>
      </c>
      <c r="AG2" s="23">
        <f>cal!AG6</f>
        <v>32538161.307395637</v>
      </c>
      <c r="AH2" s="32">
        <f>_xlfn.FORECAST.LINEAR(AH1,$B$2:$AG$2,$B$1:$AG$1)</f>
        <v>23773752.37677598</v>
      </c>
      <c r="AI2" s="32">
        <f t="shared" ref="AI2:BA2" si="0">_xlfn.FORECAST.LINEAR(AI1,$B$2:$AG$2,$B$1:$AG$1)</f>
        <v>24739173.289562941</v>
      </c>
      <c r="AJ2" s="32">
        <f t="shared" si="0"/>
        <v>25704594.202349901</v>
      </c>
      <c r="AK2" s="32">
        <f t="shared" si="0"/>
        <v>26670015.115136862</v>
      </c>
      <c r="AL2" s="32">
        <f t="shared" si="0"/>
        <v>27635436.027923584</v>
      </c>
      <c r="AM2" s="32">
        <f t="shared" si="0"/>
        <v>28600856.940710545</v>
      </c>
      <c r="AN2" s="32">
        <f t="shared" si="0"/>
        <v>29566277.853497505</v>
      </c>
      <c r="AO2" s="32">
        <f t="shared" si="0"/>
        <v>30531698.766284466</v>
      </c>
      <c r="AP2" s="32">
        <f t="shared" si="0"/>
        <v>31497119.679071188</v>
      </c>
      <c r="AQ2" s="32">
        <f t="shared" si="0"/>
        <v>32462540.591858149</v>
      </c>
      <c r="AR2" s="32">
        <f t="shared" si="0"/>
        <v>33427961.504645109</v>
      </c>
      <c r="AS2" s="32">
        <f t="shared" si="0"/>
        <v>34393382.41743207</v>
      </c>
      <c r="AT2" s="32">
        <f t="shared" si="0"/>
        <v>35358803.330218792</v>
      </c>
      <c r="AU2" s="32">
        <f t="shared" si="0"/>
        <v>36324224.243005753</v>
      </c>
      <c r="AV2" s="32">
        <f t="shared" si="0"/>
        <v>37289645.155792713</v>
      </c>
      <c r="AW2" s="32">
        <f t="shared" si="0"/>
        <v>38255066.068579674</v>
      </c>
      <c r="AX2" s="32">
        <f t="shared" si="0"/>
        <v>39220486.981366396</v>
      </c>
      <c r="AY2" s="32">
        <f t="shared" si="0"/>
        <v>40185907.894153357</v>
      </c>
      <c r="AZ2" s="32">
        <f t="shared" si="0"/>
        <v>41151328.806940317</v>
      </c>
      <c r="BA2" s="32">
        <f t="shared" si="0"/>
        <v>42116749.719727278</v>
      </c>
    </row>
    <row r="3" spans="1:53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</row>
    <row r="4" spans="1:53" x14ac:dyDescent="0.2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496"/>
  </sheetPr>
  <dimension ref="A1:BC1000"/>
  <sheetViews>
    <sheetView tabSelected="1" topLeftCell="AL1" workbookViewId="0">
      <selection activeCell="AJ3" sqref="AJ3:BC11"/>
    </sheetView>
  </sheetViews>
  <sheetFormatPr baseColWidth="10" defaultColWidth="14.5" defaultRowHeight="15" customHeight="1" x14ac:dyDescent="0.2"/>
  <cols>
    <col min="1" max="1" width="27.83203125" customWidth="1"/>
    <col min="2" max="2" width="9.1640625" customWidth="1"/>
    <col min="3" max="35" width="8.83203125" customWidth="1"/>
  </cols>
  <sheetData>
    <row r="1" spans="1:55" x14ac:dyDescent="0.2">
      <c r="A1" s="13" t="s">
        <v>100</v>
      </c>
      <c r="B1" s="29">
        <v>2017</v>
      </c>
      <c r="C1" s="29">
        <v>2018</v>
      </c>
      <c r="D1" s="29">
        <v>2019</v>
      </c>
      <c r="E1" s="29">
        <v>2020</v>
      </c>
      <c r="F1" s="29">
        <v>2021</v>
      </c>
      <c r="G1" s="29">
        <v>2022</v>
      </c>
      <c r="H1" s="29">
        <v>2023</v>
      </c>
      <c r="I1" s="29">
        <v>2024</v>
      </c>
      <c r="J1" s="29">
        <v>2025</v>
      </c>
      <c r="K1" s="29">
        <v>2026</v>
      </c>
      <c r="L1" s="29">
        <v>2027</v>
      </c>
      <c r="M1" s="29">
        <v>2028</v>
      </c>
      <c r="N1" s="29">
        <v>2029</v>
      </c>
      <c r="O1" s="29">
        <v>2030</v>
      </c>
      <c r="P1" s="29">
        <v>2031</v>
      </c>
      <c r="Q1" s="29">
        <v>2032</v>
      </c>
      <c r="R1" s="29">
        <v>2033</v>
      </c>
      <c r="S1" s="29">
        <v>2034</v>
      </c>
      <c r="T1" s="29">
        <v>2035</v>
      </c>
      <c r="U1" s="29">
        <v>2036</v>
      </c>
      <c r="V1" s="29">
        <v>2037</v>
      </c>
      <c r="W1" s="29">
        <v>2038</v>
      </c>
      <c r="X1" s="29">
        <v>2039</v>
      </c>
      <c r="Y1" s="29">
        <v>2040</v>
      </c>
      <c r="Z1" s="29">
        <v>2041</v>
      </c>
      <c r="AA1" s="29">
        <v>2042</v>
      </c>
      <c r="AB1" s="29">
        <v>2043</v>
      </c>
      <c r="AC1" s="29">
        <v>2044</v>
      </c>
      <c r="AD1" s="29">
        <v>2045</v>
      </c>
      <c r="AE1" s="29">
        <v>2046</v>
      </c>
      <c r="AF1" s="29">
        <v>2047</v>
      </c>
      <c r="AG1" s="29">
        <v>2048</v>
      </c>
      <c r="AH1" s="29">
        <v>2049</v>
      </c>
      <c r="AI1" s="29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s="3" t="s">
        <v>101</v>
      </c>
      <c r="B2" s="30">
        <f>(Data!B20+Data!B34)*Data!B103</f>
        <v>4236315.6780000003</v>
      </c>
      <c r="C2" s="30">
        <f t="shared" ref="C2:AI2" si="0">$B2</f>
        <v>4236315.6780000003</v>
      </c>
      <c r="D2" s="30">
        <f t="shared" si="0"/>
        <v>4236315.6780000003</v>
      </c>
      <c r="E2" s="30">
        <f t="shared" si="0"/>
        <v>4236315.6780000003</v>
      </c>
      <c r="F2" s="30">
        <f t="shared" si="0"/>
        <v>4236315.6780000003</v>
      </c>
      <c r="G2" s="30">
        <f t="shared" si="0"/>
        <v>4236315.6780000003</v>
      </c>
      <c r="H2" s="30">
        <f t="shared" si="0"/>
        <v>4236315.6780000003</v>
      </c>
      <c r="I2" s="30">
        <f t="shared" si="0"/>
        <v>4236315.6780000003</v>
      </c>
      <c r="J2" s="30">
        <f t="shared" si="0"/>
        <v>4236315.6780000003</v>
      </c>
      <c r="K2" s="30">
        <f t="shared" si="0"/>
        <v>4236315.6780000003</v>
      </c>
      <c r="L2" s="30">
        <f t="shared" si="0"/>
        <v>4236315.6780000003</v>
      </c>
      <c r="M2" s="30">
        <f t="shared" si="0"/>
        <v>4236315.6780000003</v>
      </c>
      <c r="N2" s="30">
        <f t="shared" si="0"/>
        <v>4236315.6780000003</v>
      </c>
      <c r="O2" s="30">
        <f t="shared" si="0"/>
        <v>4236315.6780000003</v>
      </c>
      <c r="P2" s="30">
        <f t="shared" si="0"/>
        <v>4236315.6780000003</v>
      </c>
      <c r="Q2" s="30">
        <f t="shared" si="0"/>
        <v>4236315.6780000003</v>
      </c>
      <c r="R2" s="30">
        <f t="shared" si="0"/>
        <v>4236315.6780000003</v>
      </c>
      <c r="S2" s="30">
        <f t="shared" si="0"/>
        <v>4236315.6780000003</v>
      </c>
      <c r="T2" s="30">
        <f t="shared" si="0"/>
        <v>4236315.6780000003</v>
      </c>
      <c r="U2" s="30">
        <f t="shared" si="0"/>
        <v>4236315.6780000003</v>
      </c>
      <c r="V2" s="30">
        <f t="shared" si="0"/>
        <v>4236315.6780000003</v>
      </c>
      <c r="W2" s="30">
        <f t="shared" si="0"/>
        <v>4236315.6780000003</v>
      </c>
      <c r="X2" s="30">
        <f t="shared" si="0"/>
        <v>4236315.6780000003</v>
      </c>
      <c r="Y2" s="30">
        <f t="shared" si="0"/>
        <v>4236315.6780000003</v>
      </c>
      <c r="Z2" s="30">
        <f t="shared" si="0"/>
        <v>4236315.6780000003</v>
      </c>
      <c r="AA2" s="30">
        <f t="shared" si="0"/>
        <v>4236315.6780000003</v>
      </c>
      <c r="AB2" s="30">
        <f t="shared" si="0"/>
        <v>4236315.6780000003</v>
      </c>
      <c r="AC2" s="30">
        <f t="shared" si="0"/>
        <v>4236315.6780000003</v>
      </c>
      <c r="AD2" s="30">
        <f t="shared" si="0"/>
        <v>4236315.6780000003</v>
      </c>
      <c r="AE2" s="30">
        <f t="shared" si="0"/>
        <v>4236315.6780000003</v>
      </c>
      <c r="AF2" s="30">
        <f t="shared" si="0"/>
        <v>4236315.6780000003</v>
      </c>
      <c r="AG2" s="30">
        <f t="shared" si="0"/>
        <v>4236315.6780000003</v>
      </c>
      <c r="AH2" s="30">
        <f t="shared" si="0"/>
        <v>4236315.6780000003</v>
      </c>
      <c r="AI2" s="30">
        <f t="shared" si="0"/>
        <v>4236315.6780000003</v>
      </c>
      <c r="AJ2" s="34">
        <f>_xlfn.FORECAST.LINEAR(AJ1,$B$2:$AG$2,$B$1:$AG$1)</f>
        <v>4236315.6780000022</v>
      </c>
      <c r="AK2" s="34">
        <f t="shared" ref="AK2:BC2" si="1">_xlfn.FORECAST.LINEAR(AK1,$B$2:$AG$2,$B$1:$AG$1)</f>
        <v>4236315.6780000022</v>
      </c>
      <c r="AL2" s="34">
        <f t="shared" si="1"/>
        <v>4236315.6780000022</v>
      </c>
      <c r="AM2" s="34">
        <f t="shared" si="1"/>
        <v>4236315.6780000022</v>
      </c>
      <c r="AN2" s="34">
        <f t="shared" si="1"/>
        <v>4236315.6780000022</v>
      </c>
      <c r="AO2" s="34">
        <f t="shared" si="1"/>
        <v>4236315.6780000022</v>
      </c>
      <c r="AP2" s="34">
        <f t="shared" si="1"/>
        <v>4236315.6780000022</v>
      </c>
      <c r="AQ2" s="34">
        <f t="shared" si="1"/>
        <v>4236315.6780000022</v>
      </c>
      <c r="AR2" s="34">
        <f t="shared" si="1"/>
        <v>4236315.6780000022</v>
      </c>
      <c r="AS2" s="34">
        <f t="shared" si="1"/>
        <v>4236315.6780000022</v>
      </c>
      <c r="AT2" s="34">
        <f t="shared" si="1"/>
        <v>4236315.6780000022</v>
      </c>
      <c r="AU2" s="34">
        <f t="shared" si="1"/>
        <v>4236315.6780000022</v>
      </c>
      <c r="AV2" s="34">
        <f t="shared" si="1"/>
        <v>4236315.6780000022</v>
      </c>
      <c r="AW2" s="34">
        <f t="shared" si="1"/>
        <v>4236315.6780000022</v>
      </c>
      <c r="AX2" s="34">
        <f t="shared" si="1"/>
        <v>4236315.6780000022</v>
      </c>
      <c r="AY2" s="34">
        <f t="shared" si="1"/>
        <v>4236315.6780000022</v>
      </c>
      <c r="AZ2" s="34">
        <f t="shared" si="1"/>
        <v>4236315.6780000022</v>
      </c>
      <c r="BA2" s="34">
        <f t="shared" si="1"/>
        <v>4236315.6780000022</v>
      </c>
      <c r="BB2" s="34">
        <f t="shared" si="1"/>
        <v>4236315.6780000022</v>
      </c>
      <c r="BC2" s="34">
        <f t="shared" si="1"/>
        <v>4236315.6780000022</v>
      </c>
    </row>
    <row r="3" spans="1:55" x14ac:dyDescent="0.2">
      <c r="A3" s="3" t="s">
        <v>102</v>
      </c>
      <c r="B3" s="29">
        <v>0</v>
      </c>
      <c r="C3" s="30">
        <f t="shared" ref="C3:AI3" si="2">$B3</f>
        <v>0</v>
      </c>
      <c r="D3" s="30">
        <f t="shared" si="2"/>
        <v>0</v>
      </c>
      <c r="E3" s="30">
        <f t="shared" si="2"/>
        <v>0</v>
      </c>
      <c r="F3" s="30">
        <f t="shared" si="2"/>
        <v>0</v>
      </c>
      <c r="G3" s="30">
        <f t="shared" si="2"/>
        <v>0</v>
      </c>
      <c r="H3" s="30">
        <f t="shared" si="2"/>
        <v>0</v>
      </c>
      <c r="I3" s="30">
        <f t="shared" si="2"/>
        <v>0</v>
      </c>
      <c r="J3" s="30">
        <f t="shared" si="2"/>
        <v>0</v>
      </c>
      <c r="K3" s="30">
        <f t="shared" si="2"/>
        <v>0</v>
      </c>
      <c r="L3" s="30">
        <f t="shared" si="2"/>
        <v>0</v>
      </c>
      <c r="M3" s="30">
        <f t="shared" si="2"/>
        <v>0</v>
      </c>
      <c r="N3" s="30">
        <f t="shared" si="2"/>
        <v>0</v>
      </c>
      <c r="O3" s="30">
        <f t="shared" si="2"/>
        <v>0</v>
      </c>
      <c r="P3" s="30">
        <f t="shared" si="2"/>
        <v>0</v>
      </c>
      <c r="Q3" s="30">
        <f t="shared" si="2"/>
        <v>0</v>
      </c>
      <c r="R3" s="30">
        <f t="shared" si="2"/>
        <v>0</v>
      </c>
      <c r="S3" s="30">
        <f t="shared" si="2"/>
        <v>0</v>
      </c>
      <c r="T3" s="30">
        <f t="shared" si="2"/>
        <v>0</v>
      </c>
      <c r="U3" s="30">
        <f t="shared" si="2"/>
        <v>0</v>
      </c>
      <c r="V3" s="30">
        <f t="shared" si="2"/>
        <v>0</v>
      </c>
      <c r="W3" s="30">
        <f t="shared" si="2"/>
        <v>0</v>
      </c>
      <c r="X3" s="30">
        <f t="shared" si="2"/>
        <v>0</v>
      </c>
      <c r="Y3" s="30">
        <f t="shared" si="2"/>
        <v>0</v>
      </c>
      <c r="Z3" s="30">
        <f t="shared" si="2"/>
        <v>0</v>
      </c>
      <c r="AA3" s="30">
        <f t="shared" si="2"/>
        <v>0</v>
      </c>
      <c r="AB3" s="30">
        <f t="shared" si="2"/>
        <v>0</v>
      </c>
      <c r="AC3" s="30">
        <f t="shared" si="2"/>
        <v>0</v>
      </c>
      <c r="AD3" s="30">
        <f t="shared" si="2"/>
        <v>0</v>
      </c>
      <c r="AE3" s="30">
        <f t="shared" si="2"/>
        <v>0</v>
      </c>
      <c r="AF3" s="30">
        <f t="shared" si="2"/>
        <v>0</v>
      </c>
      <c r="AG3" s="30">
        <f t="shared" si="2"/>
        <v>0</v>
      </c>
      <c r="AH3" s="30">
        <f t="shared" si="2"/>
        <v>0</v>
      </c>
      <c r="AI3" s="30">
        <f t="shared" si="2"/>
        <v>0</v>
      </c>
      <c r="AJ3" s="33">
        <f>AI3</f>
        <v>0</v>
      </c>
      <c r="AK3" s="33">
        <f t="shared" ref="AK3:BC11" si="3">AJ3</f>
        <v>0</v>
      </c>
      <c r="AL3" s="33">
        <f t="shared" si="3"/>
        <v>0</v>
      </c>
      <c r="AM3" s="33">
        <f t="shared" si="3"/>
        <v>0</v>
      </c>
      <c r="AN3" s="33">
        <f t="shared" si="3"/>
        <v>0</v>
      </c>
      <c r="AO3" s="33">
        <f t="shared" si="3"/>
        <v>0</v>
      </c>
      <c r="AP3" s="33">
        <f t="shared" si="3"/>
        <v>0</v>
      </c>
      <c r="AQ3" s="33">
        <f t="shared" si="3"/>
        <v>0</v>
      </c>
      <c r="AR3" s="33">
        <f t="shared" si="3"/>
        <v>0</v>
      </c>
      <c r="AS3" s="33">
        <f t="shared" si="3"/>
        <v>0</v>
      </c>
      <c r="AT3" s="33">
        <f t="shared" si="3"/>
        <v>0</v>
      </c>
      <c r="AU3" s="33">
        <f t="shared" si="3"/>
        <v>0</v>
      </c>
      <c r="AV3" s="33">
        <f t="shared" si="3"/>
        <v>0</v>
      </c>
      <c r="AW3" s="33">
        <f t="shared" si="3"/>
        <v>0</v>
      </c>
      <c r="AX3" s="33">
        <f t="shared" si="3"/>
        <v>0</v>
      </c>
      <c r="AY3" s="33">
        <f t="shared" si="3"/>
        <v>0</v>
      </c>
      <c r="AZ3" s="33">
        <f t="shared" si="3"/>
        <v>0</v>
      </c>
      <c r="BA3" s="33">
        <f t="shared" si="3"/>
        <v>0</v>
      </c>
      <c r="BB3" s="33">
        <f t="shared" si="3"/>
        <v>0</v>
      </c>
      <c r="BC3" s="33">
        <f t="shared" si="3"/>
        <v>0</v>
      </c>
    </row>
    <row r="4" spans="1:55" x14ac:dyDescent="0.2">
      <c r="A4" s="3" t="s">
        <v>103</v>
      </c>
      <c r="B4" s="30">
        <v>0</v>
      </c>
      <c r="C4" s="30">
        <f t="shared" ref="C4:AI4" si="4">$B4</f>
        <v>0</v>
      </c>
      <c r="D4" s="30">
        <f t="shared" si="4"/>
        <v>0</v>
      </c>
      <c r="E4" s="30">
        <f t="shared" si="4"/>
        <v>0</v>
      </c>
      <c r="F4" s="30">
        <f t="shared" si="4"/>
        <v>0</v>
      </c>
      <c r="G4" s="30">
        <f t="shared" si="4"/>
        <v>0</v>
      </c>
      <c r="H4" s="30">
        <f t="shared" si="4"/>
        <v>0</v>
      </c>
      <c r="I4" s="30">
        <f t="shared" si="4"/>
        <v>0</v>
      </c>
      <c r="J4" s="30">
        <f t="shared" si="4"/>
        <v>0</v>
      </c>
      <c r="K4" s="30">
        <f t="shared" si="4"/>
        <v>0</v>
      </c>
      <c r="L4" s="30">
        <f t="shared" si="4"/>
        <v>0</v>
      </c>
      <c r="M4" s="30">
        <f t="shared" si="4"/>
        <v>0</v>
      </c>
      <c r="N4" s="30">
        <f t="shared" si="4"/>
        <v>0</v>
      </c>
      <c r="O4" s="30">
        <f t="shared" si="4"/>
        <v>0</v>
      </c>
      <c r="P4" s="30">
        <f t="shared" si="4"/>
        <v>0</v>
      </c>
      <c r="Q4" s="30">
        <f t="shared" si="4"/>
        <v>0</v>
      </c>
      <c r="R4" s="30">
        <f t="shared" si="4"/>
        <v>0</v>
      </c>
      <c r="S4" s="30">
        <f t="shared" si="4"/>
        <v>0</v>
      </c>
      <c r="T4" s="30">
        <f t="shared" si="4"/>
        <v>0</v>
      </c>
      <c r="U4" s="30">
        <f t="shared" si="4"/>
        <v>0</v>
      </c>
      <c r="V4" s="30">
        <f t="shared" si="4"/>
        <v>0</v>
      </c>
      <c r="W4" s="30">
        <f t="shared" si="4"/>
        <v>0</v>
      </c>
      <c r="X4" s="30">
        <f t="shared" si="4"/>
        <v>0</v>
      </c>
      <c r="Y4" s="30">
        <f t="shared" si="4"/>
        <v>0</v>
      </c>
      <c r="Z4" s="30">
        <f t="shared" si="4"/>
        <v>0</v>
      </c>
      <c r="AA4" s="30">
        <f t="shared" si="4"/>
        <v>0</v>
      </c>
      <c r="AB4" s="30">
        <f t="shared" si="4"/>
        <v>0</v>
      </c>
      <c r="AC4" s="30">
        <f t="shared" si="4"/>
        <v>0</v>
      </c>
      <c r="AD4" s="30">
        <f t="shared" si="4"/>
        <v>0</v>
      </c>
      <c r="AE4" s="30">
        <f t="shared" si="4"/>
        <v>0</v>
      </c>
      <c r="AF4" s="30">
        <f t="shared" si="4"/>
        <v>0</v>
      </c>
      <c r="AG4" s="30">
        <f t="shared" si="4"/>
        <v>0</v>
      </c>
      <c r="AH4" s="30">
        <f t="shared" si="4"/>
        <v>0</v>
      </c>
      <c r="AI4" s="30">
        <f t="shared" si="4"/>
        <v>0</v>
      </c>
      <c r="AJ4" s="33">
        <f t="shared" ref="AJ4:AY11" si="5">AI4</f>
        <v>0</v>
      </c>
      <c r="AK4" s="33">
        <f t="shared" si="5"/>
        <v>0</v>
      </c>
      <c r="AL4" s="33">
        <f t="shared" si="5"/>
        <v>0</v>
      </c>
      <c r="AM4" s="33">
        <f t="shared" si="5"/>
        <v>0</v>
      </c>
      <c r="AN4" s="33">
        <f t="shared" si="5"/>
        <v>0</v>
      </c>
      <c r="AO4" s="33">
        <f t="shared" si="5"/>
        <v>0</v>
      </c>
      <c r="AP4" s="33">
        <f t="shared" si="5"/>
        <v>0</v>
      </c>
      <c r="AQ4" s="33">
        <f t="shared" si="5"/>
        <v>0</v>
      </c>
      <c r="AR4" s="33">
        <f t="shared" si="5"/>
        <v>0</v>
      </c>
      <c r="AS4" s="33">
        <f t="shared" si="5"/>
        <v>0</v>
      </c>
      <c r="AT4" s="33">
        <f t="shared" si="5"/>
        <v>0</v>
      </c>
      <c r="AU4" s="33">
        <f t="shared" si="5"/>
        <v>0</v>
      </c>
      <c r="AV4" s="33">
        <f t="shared" si="5"/>
        <v>0</v>
      </c>
      <c r="AW4" s="33">
        <f t="shared" si="5"/>
        <v>0</v>
      </c>
      <c r="AX4" s="33">
        <f t="shared" si="5"/>
        <v>0</v>
      </c>
      <c r="AY4" s="33">
        <f t="shared" si="5"/>
        <v>0</v>
      </c>
      <c r="AZ4" s="33">
        <f t="shared" si="3"/>
        <v>0</v>
      </c>
      <c r="BA4" s="33">
        <f t="shared" si="3"/>
        <v>0</v>
      </c>
      <c r="BB4" s="33">
        <f t="shared" si="3"/>
        <v>0</v>
      </c>
      <c r="BC4" s="33">
        <f t="shared" si="3"/>
        <v>0</v>
      </c>
    </row>
    <row r="5" spans="1:55" x14ac:dyDescent="0.2">
      <c r="A5" s="3" t="s">
        <v>104</v>
      </c>
      <c r="B5" s="29">
        <v>0</v>
      </c>
      <c r="C5" s="30">
        <f t="shared" ref="C5:AI5" si="6">$B5</f>
        <v>0</v>
      </c>
      <c r="D5" s="30">
        <f t="shared" si="6"/>
        <v>0</v>
      </c>
      <c r="E5" s="30">
        <f t="shared" si="6"/>
        <v>0</v>
      </c>
      <c r="F5" s="30">
        <f t="shared" si="6"/>
        <v>0</v>
      </c>
      <c r="G5" s="30">
        <f t="shared" si="6"/>
        <v>0</v>
      </c>
      <c r="H5" s="30">
        <f t="shared" si="6"/>
        <v>0</v>
      </c>
      <c r="I5" s="30">
        <f t="shared" si="6"/>
        <v>0</v>
      </c>
      <c r="J5" s="30">
        <f t="shared" si="6"/>
        <v>0</v>
      </c>
      <c r="K5" s="30">
        <f t="shared" si="6"/>
        <v>0</v>
      </c>
      <c r="L5" s="30">
        <f t="shared" si="6"/>
        <v>0</v>
      </c>
      <c r="M5" s="30">
        <f t="shared" si="6"/>
        <v>0</v>
      </c>
      <c r="N5" s="30">
        <f t="shared" si="6"/>
        <v>0</v>
      </c>
      <c r="O5" s="30">
        <f t="shared" si="6"/>
        <v>0</v>
      </c>
      <c r="P5" s="30">
        <f t="shared" si="6"/>
        <v>0</v>
      </c>
      <c r="Q5" s="30">
        <f t="shared" si="6"/>
        <v>0</v>
      </c>
      <c r="R5" s="30">
        <f t="shared" si="6"/>
        <v>0</v>
      </c>
      <c r="S5" s="30">
        <f t="shared" si="6"/>
        <v>0</v>
      </c>
      <c r="T5" s="30">
        <f t="shared" si="6"/>
        <v>0</v>
      </c>
      <c r="U5" s="30">
        <f t="shared" si="6"/>
        <v>0</v>
      </c>
      <c r="V5" s="30">
        <f t="shared" si="6"/>
        <v>0</v>
      </c>
      <c r="W5" s="30">
        <f t="shared" si="6"/>
        <v>0</v>
      </c>
      <c r="X5" s="30">
        <f t="shared" si="6"/>
        <v>0</v>
      </c>
      <c r="Y5" s="30">
        <f t="shared" si="6"/>
        <v>0</v>
      </c>
      <c r="Z5" s="30">
        <f t="shared" si="6"/>
        <v>0</v>
      </c>
      <c r="AA5" s="30">
        <f t="shared" si="6"/>
        <v>0</v>
      </c>
      <c r="AB5" s="30">
        <f t="shared" si="6"/>
        <v>0</v>
      </c>
      <c r="AC5" s="30">
        <f t="shared" si="6"/>
        <v>0</v>
      </c>
      <c r="AD5" s="30">
        <f t="shared" si="6"/>
        <v>0</v>
      </c>
      <c r="AE5" s="30">
        <f t="shared" si="6"/>
        <v>0</v>
      </c>
      <c r="AF5" s="30">
        <f t="shared" si="6"/>
        <v>0</v>
      </c>
      <c r="AG5" s="30">
        <f t="shared" si="6"/>
        <v>0</v>
      </c>
      <c r="AH5" s="30">
        <f t="shared" si="6"/>
        <v>0</v>
      </c>
      <c r="AI5" s="30">
        <f t="shared" si="6"/>
        <v>0</v>
      </c>
      <c r="AJ5" s="33">
        <f t="shared" si="5"/>
        <v>0</v>
      </c>
      <c r="AK5" s="33">
        <f t="shared" si="3"/>
        <v>0</v>
      </c>
      <c r="AL5" s="33">
        <f t="shared" si="3"/>
        <v>0</v>
      </c>
      <c r="AM5" s="33">
        <f t="shared" si="3"/>
        <v>0</v>
      </c>
      <c r="AN5" s="33">
        <f t="shared" si="3"/>
        <v>0</v>
      </c>
      <c r="AO5" s="33">
        <f t="shared" si="3"/>
        <v>0</v>
      </c>
      <c r="AP5" s="33">
        <f t="shared" si="3"/>
        <v>0</v>
      </c>
      <c r="AQ5" s="33">
        <f t="shared" si="3"/>
        <v>0</v>
      </c>
      <c r="AR5" s="33">
        <f t="shared" si="3"/>
        <v>0</v>
      </c>
      <c r="AS5" s="33">
        <f t="shared" si="3"/>
        <v>0</v>
      </c>
      <c r="AT5" s="33">
        <f t="shared" si="3"/>
        <v>0</v>
      </c>
      <c r="AU5" s="33">
        <f t="shared" si="3"/>
        <v>0</v>
      </c>
      <c r="AV5" s="33">
        <f t="shared" si="3"/>
        <v>0</v>
      </c>
      <c r="AW5" s="33">
        <f t="shared" si="3"/>
        <v>0</v>
      </c>
      <c r="AX5" s="33">
        <f t="shared" si="3"/>
        <v>0</v>
      </c>
      <c r="AY5" s="33">
        <f t="shared" si="3"/>
        <v>0</v>
      </c>
      <c r="AZ5" s="33">
        <f t="shared" si="3"/>
        <v>0</v>
      </c>
      <c r="BA5" s="33">
        <f t="shared" si="3"/>
        <v>0</v>
      </c>
      <c r="BB5" s="33">
        <f t="shared" si="3"/>
        <v>0</v>
      </c>
      <c r="BC5" s="33">
        <f t="shared" si="3"/>
        <v>0</v>
      </c>
    </row>
    <row r="6" spans="1:55" x14ac:dyDescent="0.2">
      <c r="A6" s="3" t="s">
        <v>105</v>
      </c>
      <c r="B6" s="29">
        <v>0</v>
      </c>
      <c r="C6" s="30">
        <f t="shared" ref="C6:AI6" si="7">$B6</f>
        <v>0</v>
      </c>
      <c r="D6" s="30">
        <f t="shared" si="7"/>
        <v>0</v>
      </c>
      <c r="E6" s="30">
        <f t="shared" si="7"/>
        <v>0</v>
      </c>
      <c r="F6" s="30">
        <f t="shared" si="7"/>
        <v>0</v>
      </c>
      <c r="G6" s="30">
        <f t="shared" si="7"/>
        <v>0</v>
      </c>
      <c r="H6" s="30">
        <f t="shared" si="7"/>
        <v>0</v>
      </c>
      <c r="I6" s="30">
        <f t="shared" si="7"/>
        <v>0</v>
      </c>
      <c r="J6" s="30">
        <f t="shared" si="7"/>
        <v>0</v>
      </c>
      <c r="K6" s="30">
        <f t="shared" si="7"/>
        <v>0</v>
      </c>
      <c r="L6" s="30">
        <f t="shared" si="7"/>
        <v>0</v>
      </c>
      <c r="M6" s="30">
        <f t="shared" si="7"/>
        <v>0</v>
      </c>
      <c r="N6" s="30">
        <f t="shared" si="7"/>
        <v>0</v>
      </c>
      <c r="O6" s="30">
        <f t="shared" si="7"/>
        <v>0</v>
      </c>
      <c r="P6" s="30">
        <f t="shared" si="7"/>
        <v>0</v>
      </c>
      <c r="Q6" s="30">
        <f t="shared" si="7"/>
        <v>0</v>
      </c>
      <c r="R6" s="30">
        <f t="shared" si="7"/>
        <v>0</v>
      </c>
      <c r="S6" s="30">
        <f t="shared" si="7"/>
        <v>0</v>
      </c>
      <c r="T6" s="30">
        <f t="shared" si="7"/>
        <v>0</v>
      </c>
      <c r="U6" s="30">
        <f t="shared" si="7"/>
        <v>0</v>
      </c>
      <c r="V6" s="30">
        <f t="shared" si="7"/>
        <v>0</v>
      </c>
      <c r="W6" s="30">
        <f t="shared" si="7"/>
        <v>0</v>
      </c>
      <c r="X6" s="30">
        <f t="shared" si="7"/>
        <v>0</v>
      </c>
      <c r="Y6" s="30">
        <f t="shared" si="7"/>
        <v>0</v>
      </c>
      <c r="Z6" s="30">
        <f t="shared" si="7"/>
        <v>0</v>
      </c>
      <c r="AA6" s="30">
        <f t="shared" si="7"/>
        <v>0</v>
      </c>
      <c r="AB6" s="30">
        <f t="shared" si="7"/>
        <v>0</v>
      </c>
      <c r="AC6" s="30">
        <f t="shared" si="7"/>
        <v>0</v>
      </c>
      <c r="AD6" s="30">
        <f t="shared" si="7"/>
        <v>0</v>
      </c>
      <c r="AE6" s="30">
        <f t="shared" si="7"/>
        <v>0</v>
      </c>
      <c r="AF6" s="30">
        <f t="shared" si="7"/>
        <v>0</v>
      </c>
      <c r="AG6" s="30">
        <f t="shared" si="7"/>
        <v>0</v>
      </c>
      <c r="AH6" s="30">
        <f t="shared" si="7"/>
        <v>0</v>
      </c>
      <c r="AI6" s="30">
        <f t="shared" si="7"/>
        <v>0</v>
      </c>
      <c r="AJ6" s="33">
        <f t="shared" si="5"/>
        <v>0</v>
      </c>
      <c r="AK6" s="33">
        <f t="shared" si="3"/>
        <v>0</v>
      </c>
      <c r="AL6" s="33">
        <f t="shared" si="3"/>
        <v>0</v>
      </c>
      <c r="AM6" s="33">
        <f t="shared" si="3"/>
        <v>0</v>
      </c>
      <c r="AN6" s="33">
        <f t="shared" si="3"/>
        <v>0</v>
      </c>
      <c r="AO6" s="33">
        <f t="shared" si="3"/>
        <v>0</v>
      </c>
      <c r="AP6" s="33">
        <f t="shared" si="3"/>
        <v>0</v>
      </c>
      <c r="AQ6" s="33">
        <f t="shared" si="3"/>
        <v>0</v>
      </c>
      <c r="AR6" s="33">
        <f t="shared" si="3"/>
        <v>0</v>
      </c>
      <c r="AS6" s="33">
        <f t="shared" si="3"/>
        <v>0</v>
      </c>
      <c r="AT6" s="33">
        <f t="shared" si="3"/>
        <v>0</v>
      </c>
      <c r="AU6" s="33">
        <f t="shared" si="3"/>
        <v>0</v>
      </c>
      <c r="AV6" s="33">
        <f t="shared" si="3"/>
        <v>0</v>
      </c>
      <c r="AW6" s="33">
        <f t="shared" si="3"/>
        <v>0</v>
      </c>
      <c r="AX6" s="33">
        <f t="shared" si="3"/>
        <v>0</v>
      </c>
      <c r="AY6" s="33">
        <f t="shared" si="3"/>
        <v>0</v>
      </c>
      <c r="AZ6" s="33">
        <f t="shared" si="3"/>
        <v>0</v>
      </c>
      <c r="BA6" s="33">
        <f t="shared" si="3"/>
        <v>0</v>
      </c>
      <c r="BB6" s="33">
        <f t="shared" si="3"/>
        <v>0</v>
      </c>
      <c r="BC6" s="33">
        <f t="shared" si="3"/>
        <v>0</v>
      </c>
    </row>
    <row r="7" spans="1:55" x14ac:dyDescent="0.2">
      <c r="A7" s="3" t="s">
        <v>106</v>
      </c>
      <c r="B7" s="29">
        <v>0</v>
      </c>
      <c r="C7" s="30">
        <f t="shared" ref="C7:AI7" si="8">$B7</f>
        <v>0</v>
      </c>
      <c r="D7" s="30">
        <f t="shared" si="8"/>
        <v>0</v>
      </c>
      <c r="E7" s="30">
        <f t="shared" si="8"/>
        <v>0</v>
      </c>
      <c r="F7" s="30">
        <f t="shared" si="8"/>
        <v>0</v>
      </c>
      <c r="G7" s="30">
        <f t="shared" si="8"/>
        <v>0</v>
      </c>
      <c r="H7" s="30">
        <f t="shared" si="8"/>
        <v>0</v>
      </c>
      <c r="I7" s="30">
        <f t="shared" si="8"/>
        <v>0</v>
      </c>
      <c r="J7" s="30">
        <f t="shared" si="8"/>
        <v>0</v>
      </c>
      <c r="K7" s="30">
        <f t="shared" si="8"/>
        <v>0</v>
      </c>
      <c r="L7" s="30">
        <f t="shared" si="8"/>
        <v>0</v>
      </c>
      <c r="M7" s="30">
        <f t="shared" si="8"/>
        <v>0</v>
      </c>
      <c r="N7" s="30">
        <f t="shared" si="8"/>
        <v>0</v>
      </c>
      <c r="O7" s="30">
        <f t="shared" si="8"/>
        <v>0</v>
      </c>
      <c r="P7" s="30">
        <f t="shared" si="8"/>
        <v>0</v>
      </c>
      <c r="Q7" s="30">
        <f t="shared" si="8"/>
        <v>0</v>
      </c>
      <c r="R7" s="30">
        <f t="shared" si="8"/>
        <v>0</v>
      </c>
      <c r="S7" s="30">
        <f t="shared" si="8"/>
        <v>0</v>
      </c>
      <c r="T7" s="30">
        <f t="shared" si="8"/>
        <v>0</v>
      </c>
      <c r="U7" s="30">
        <f t="shared" si="8"/>
        <v>0</v>
      </c>
      <c r="V7" s="30">
        <f t="shared" si="8"/>
        <v>0</v>
      </c>
      <c r="W7" s="30">
        <f t="shared" si="8"/>
        <v>0</v>
      </c>
      <c r="X7" s="30">
        <f t="shared" si="8"/>
        <v>0</v>
      </c>
      <c r="Y7" s="30">
        <f t="shared" si="8"/>
        <v>0</v>
      </c>
      <c r="Z7" s="30">
        <f t="shared" si="8"/>
        <v>0</v>
      </c>
      <c r="AA7" s="30">
        <f t="shared" si="8"/>
        <v>0</v>
      </c>
      <c r="AB7" s="30">
        <f t="shared" si="8"/>
        <v>0</v>
      </c>
      <c r="AC7" s="30">
        <f t="shared" si="8"/>
        <v>0</v>
      </c>
      <c r="AD7" s="30">
        <f t="shared" si="8"/>
        <v>0</v>
      </c>
      <c r="AE7" s="30">
        <f t="shared" si="8"/>
        <v>0</v>
      </c>
      <c r="AF7" s="30">
        <f t="shared" si="8"/>
        <v>0</v>
      </c>
      <c r="AG7" s="30">
        <f t="shared" si="8"/>
        <v>0</v>
      </c>
      <c r="AH7" s="30">
        <f t="shared" si="8"/>
        <v>0</v>
      </c>
      <c r="AI7" s="30">
        <f t="shared" si="8"/>
        <v>0</v>
      </c>
      <c r="AJ7" s="33">
        <f t="shared" si="5"/>
        <v>0</v>
      </c>
      <c r="AK7" s="33">
        <f t="shared" si="3"/>
        <v>0</v>
      </c>
      <c r="AL7" s="33">
        <f t="shared" si="3"/>
        <v>0</v>
      </c>
      <c r="AM7" s="33">
        <f t="shared" si="3"/>
        <v>0</v>
      </c>
      <c r="AN7" s="33">
        <f t="shared" si="3"/>
        <v>0</v>
      </c>
      <c r="AO7" s="33">
        <f t="shared" si="3"/>
        <v>0</v>
      </c>
      <c r="AP7" s="33">
        <f t="shared" si="3"/>
        <v>0</v>
      </c>
      <c r="AQ7" s="33">
        <f t="shared" si="3"/>
        <v>0</v>
      </c>
      <c r="AR7" s="33">
        <f t="shared" si="3"/>
        <v>0</v>
      </c>
      <c r="AS7" s="33">
        <f t="shared" si="3"/>
        <v>0</v>
      </c>
      <c r="AT7" s="33">
        <f t="shared" si="3"/>
        <v>0</v>
      </c>
      <c r="AU7" s="33">
        <f t="shared" si="3"/>
        <v>0</v>
      </c>
      <c r="AV7" s="33">
        <f t="shared" si="3"/>
        <v>0</v>
      </c>
      <c r="AW7" s="33">
        <f t="shared" si="3"/>
        <v>0</v>
      </c>
      <c r="AX7" s="33">
        <f t="shared" si="3"/>
        <v>0</v>
      </c>
      <c r="AY7" s="33">
        <f t="shared" si="3"/>
        <v>0</v>
      </c>
      <c r="AZ7" s="33">
        <f t="shared" si="3"/>
        <v>0</v>
      </c>
      <c r="BA7" s="33">
        <f t="shared" si="3"/>
        <v>0</v>
      </c>
      <c r="BB7" s="33">
        <f t="shared" si="3"/>
        <v>0</v>
      </c>
      <c r="BC7" s="33">
        <f t="shared" si="3"/>
        <v>0</v>
      </c>
    </row>
    <row r="8" spans="1:55" x14ac:dyDescent="0.2">
      <c r="A8" s="3" t="s">
        <v>107</v>
      </c>
      <c r="B8" s="29">
        <v>0</v>
      </c>
      <c r="C8" s="30">
        <f t="shared" ref="C8:AI8" si="9">$B8</f>
        <v>0</v>
      </c>
      <c r="D8" s="30">
        <f t="shared" si="9"/>
        <v>0</v>
      </c>
      <c r="E8" s="30">
        <f t="shared" si="9"/>
        <v>0</v>
      </c>
      <c r="F8" s="30">
        <f t="shared" si="9"/>
        <v>0</v>
      </c>
      <c r="G8" s="30">
        <f t="shared" si="9"/>
        <v>0</v>
      </c>
      <c r="H8" s="30">
        <f t="shared" si="9"/>
        <v>0</v>
      </c>
      <c r="I8" s="30">
        <f t="shared" si="9"/>
        <v>0</v>
      </c>
      <c r="J8" s="30">
        <f t="shared" si="9"/>
        <v>0</v>
      </c>
      <c r="K8" s="30">
        <f t="shared" si="9"/>
        <v>0</v>
      </c>
      <c r="L8" s="30">
        <f t="shared" si="9"/>
        <v>0</v>
      </c>
      <c r="M8" s="30">
        <f t="shared" si="9"/>
        <v>0</v>
      </c>
      <c r="N8" s="30">
        <f t="shared" si="9"/>
        <v>0</v>
      </c>
      <c r="O8" s="30">
        <f t="shared" si="9"/>
        <v>0</v>
      </c>
      <c r="P8" s="30">
        <f t="shared" si="9"/>
        <v>0</v>
      </c>
      <c r="Q8" s="30">
        <f t="shared" si="9"/>
        <v>0</v>
      </c>
      <c r="R8" s="30">
        <f t="shared" si="9"/>
        <v>0</v>
      </c>
      <c r="S8" s="30">
        <f t="shared" si="9"/>
        <v>0</v>
      </c>
      <c r="T8" s="30">
        <f t="shared" si="9"/>
        <v>0</v>
      </c>
      <c r="U8" s="30">
        <f t="shared" si="9"/>
        <v>0</v>
      </c>
      <c r="V8" s="30">
        <f t="shared" si="9"/>
        <v>0</v>
      </c>
      <c r="W8" s="30">
        <f t="shared" si="9"/>
        <v>0</v>
      </c>
      <c r="X8" s="30">
        <f t="shared" si="9"/>
        <v>0</v>
      </c>
      <c r="Y8" s="30">
        <f t="shared" si="9"/>
        <v>0</v>
      </c>
      <c r="Z8" s="30">
        <f t="shared" si="9"/>
        <v>0</v>
      </c>
      <c r="AA8" s="30">
        <f t="shared" si="9"/>
        <v>0</v>
      </c>
      <c r="AB8" s="30">
        <f t="shared" si="9"/>
        <v>0</v>
      </c>
      <c r="AC8" s="30">
        <f t="shared" si="9"/>
        <v>0</v>
      </c>
      <c r="AD8" s="30">
        <f t="shared" si="9"/>
        <v>0</v>
      </c>
      <c r="AE8" s="30">
        <f t="shared" si="9"/>
        <v>0</v>
      </c>
      <c r="AF8" s="30">
        <f t="shared" si="9"/>
        <v>0</v>
      </c>
      <c r="AG8" s="30">
        <f t="shared" si="9"/>
        <v>0</v>
      </c>
      <c r="AH8" s="30">
        <f t="shared" si="9"/>
        <v>0</v>
      </c>
      <c r="AI8" s="30">
        <f t="shared" si="9"/>
        <v>0</v>
      </c>
      <c r="AJ8" s="33">
        <f t="shared" si="5"/>
        <v>0</v>
      </c>
      <c r="AK8" s="33">
        <f t="shared" si="3"/>
        <v>0</v>
      </c>
      <c r="AL8" s="33">
        <f t="shared" si="3"/>
        <v>0</v>
      </c>
      <c r="AM8" s="33">
        <f t="shared" si="3"/>
        <v>0</v>
      </c>
      <c r="AN8" s="33">
        <f t="shared" si="3"/>
        <v>0</v>
      </c>
      <c r="AO8" s="33">
        <f t="shared" si="3"/>
        <v>0</v>
      </c>
      <c r="AP8" s="33">
        <f t="shared" si="3"/>
        <v>0</v>
      </c>
      <c r="AQ8" s="33">
        <f t="shared" si="3"/>
        <v>0</v>
      </c>
      <c r="AR8" s="33">
        <f t="shared" si="3"/>
        <v>0</v>
      </c>
      <c r="AS8" s="33">
        <f t="shared" si="3"/>
        <v>0</v>
      </c>
      <c r="AT8" s="33">
        <f t="shared" si="3"/>
        <v>0</v>
      </c>
      <c r="AU8" s="33">
        <f t="shared" si="3"/>
        <v>0</v>
      </c>
      <c r="AV8" s="33">
        <f t="shared" si="3"/>
        <v>0</v>
      </c>
      <c r="AW8" s="33">
        <f t="shared" si="3"/>
        <v>0</v>
      </c>
      <c r="AX8" s="33">
        <f t="shared" si="3"/>
        <v>0</v>
      </c>
      <c r="AY8" s="33">
        <f t="shared" si="3"/>
        <v>0</v>
      </c>
      <c r="AZ8" s="33">
        <f t="shared" si="3"/>
        <v>0</v>
      </c>
      <c r="BA8" s="33">
        <f t="shared" si="3"/>
        <v>0</v>
      </c>
      <c r="BB8" s="33">
        <f t="shared" si="3"/>
        <v>0</v>
      </c>
      <c r="BC8" s="33">
        <f t="shared" si="3"/>
        <v>0</v>
      </c>
    </row>
    <row r="9" spans="1:55" x14ac:dyDescent="0.2">
      <c r="A9" s="3" t="s">
        <v>108</v>
      </c>
      <c r="B9" s="29">
        <v>0</v>
      </c>
      <c r="C9" s="30">
        <f t="shared" ref="C9:AI9" si="10">$B9</f>
        <v>0</v>
      </c>
      <c r="D9" s="30">
        <f t="shared" si="10"/>
        <v>0</v>
      </c>
      <c r="E9" s="30">
        <f t="shared" si="10"/>
        <v>0</v>
      </c>
      <c r="F9" s="30">
        <f t="shared" si="10"/>
        <v>0</v>
      </c>
      <c r="G9" s="30">
        <f t="shared" si="10"/>
        <v>0</v>
      </c>
      <c r="H9" s="30">
        <f t="shared" si="10"/>
        <v>0</v>
      </c>
      <c r="I9" s="30">
        <f t="shared" si="10"/>
        <v>0</v>
      </c>
      <c r="J9" s="30">
        <f t="shared" si="10"/>
        <v>0</v>
      </c>
      <c r="K9" s="30">
        <f t="shared" si="10"/>
        <v>0</v>
      </c>
      <c r="L9" s="30">
        <f t="shared" si="10"/>
        <v>0</v>
      </c>
      <c r="M9" s="30">
        <f t="shared" si="10"/>
        <v>0</v>
      </c>
      <c r="N9" s="30">
        <f t="shared" si="10"/>
        <v>0</v>
      </c>
      <c r="O9" s="30">
        <f t="shared" si="10"/>
        <v>0</v>
      </c>
      <c r="P9" s="30">
        <f t="shared" si="10"/>
        <v>0</v>
      </c>
      <c r="Q9" s="30">
        <f t="shared" si="10"/>
        <v>0</v>
      </c>
      <c r="R9" s="30">
        <f t="shared" si="10"/>
        <v>0</v>
      </c>
      <c r="S9" s="30">
        <f t="shared" si="10"/>
        <v>0</v>
      </c>
      <c r="T9" s="30">
        <f t="shared" si="10"/>
        <v>0</v>
      </c>
      <c r="U9" s="30">
        <f t="shared" si="10"/>
        <v>0</v>
      </c>
      <c r="V9" s="30">
        <f t="shared" si="10"/>
        <v>0</v>
      </c>
      <c r="W9" s="30">
        <f t="shared" si="10"/>
        <v>0</v>
      </c>
      <c r="X9" s="30">
        <f t="shared" si="10"/>
        <v>0</v>
      </c>
      <c r="Y9" s="30">
        <f t="shared" si="10"/>
        <v>0</v>
      </c>
      <c r="Z9" s="30">
        <f t="shared" si="10"/>
        <v>0</v>
      </c>
      <c r="AA9" s="30">
        <f t="shared" si="10"/>
        <v>0</v>
      </c>
      <c r="AB9" s="30">
        <f t="shared" si="10"/>
        <v>0</v>
      </c>
      <c r="AC9" s="30">
        <f t="shared" si="10"/>
        <v>0</v>
      </c>
      <c r="AD9" s="30">
        <f t="shared" si="10"/>
        <v>0</v>
      </c>
      <c r="AE9" s="30">
        <f t="shared" si="10"/>
        <v>0</v>
      </c>
      <c r="AF9" s="30">
        <f t="shared" si="10"/>
        <v>0</v>
      </c>
      <c r="AG9" s="30">
        <f t="shared" si="10"/>
        <v>0</v>
      </c>
      <c r="AH9" s="30">
        <f t="shared" si="10"/>
        <v>0</v>
      </c>
      <c r="AI9" s="30">
        <f t="shared" si="10"/>
        <v>0</v>
      </c>
      <c r="AJ9" s="33">
        <f t="shared" si="5"/>
        <v>0</v>
      </c>
      <c r="AK9" s="33">
        <f t="shared" si="3"/>
        <v>0</v>
      </c>
      <c r="AL9" s="33">
        <f t="shared" si="3"/>
        <v>0</v>
      </c>
      <c r="AM9" s="33">
        <f t="shared" si="3"/>
        <v>0</v>
      </c>
      <c r="AN9" s="33">
        <f t="shared" si="3"/>
        <v>0</v>
      </c>
      <c r="AO9" s="33">
        <f t="shared" si="3"/>
        <v>0</v>
      </c>
      <c r="AP9" s="33">
        <f t="shared" si="3"/>
        <v>0</v>
      </c>
      <c r="AQ9" s="33">
        <f t="shared" si="3"/>
        <v>0</v>
      </c>
      <c r="AR9" s="33">
        <f t="shared" si="3"/>
        <v>0</v>
      </c>
      <c r="AS9" s="33">
        <f t="shared" si="3"/>
        <v>0</v>
      </c>
      <c r="AT9" s="33">
        <f t="shared" si="3"/>
        <v>0</v>
      </c>
      <c r="AU9" s="33">
        <f t="shared" si="3"/>
        <v>0</v>
      </c>
      <c r="AV9" s="33">
        <f t="shared" si="3"/>
        <v>0</v>
      </c>
      <c r="AW9" s="33">
        <f t="shared" si="3"/>
        <v>0</v>
      </c>
      <c r="AX9" s="33">
        <f t="shared" si="3"/>
        <v>0</v>
      </c>
      <c r="AY9" s="33">
        <f t="shared" si="3"/>
        <v>0</v>
      </c>
      <c r="AZ9" s="33">
        <f t="shared" si="3"/>
        <v>0</v>
      </c>
      <c r="BA9" s="33">
        <f t="shared" si="3"/>
        <v>0</v>
      </c>
      <c r="BB9" s="33">
        <f t="shared" si="3"/>
        <v>0</v>
      </c>
      <c r="BC9" s="33">
        <f t="shared" si="3"/>
        <v>0</v>
      </c>
    </row>
    <row r="10" spans="1:55" x14ac:dyDescent="0.2">
      <c r="A10" s="3" t="s">
        <v>109</v>
      </c>
      <c r="B10" s="29">
        <v>0</v>
      </c>
      <c r="C10" s="30">
        <f t="shared" ref="C10:AI10" si="11">$B10</f>
        <v>0</v>
      </c>
      <c r="D10" s="30">
        <f t="shared" si="11"/>
        <v>0</v>
      </c>
      <c r="E10" s="30">
        <f t="shared" si="11"/>
        <v>0</v>
      </c>
      <c r="F10" s="30">
        <f t="shared" si="11"/>
        <v>0</v>
      </c>
      <c r="G10" s="30">
        <f t="shared" si="11"/>
        <v>0</v>
      </c>
      <c r="H10" s="30">
        <f t="shared" si="11"/>
        <v>0</v>
      </c>
      <c r="I10" s="30">
        <f t="shared" si="11"/>
        <v>0</v>
      </c>
      <c r="J10" s="30">
        <f t="shared" si="11"/>
        <v>0</v>
      </c>
      <c r="K10" s="30">
        <f t="shared" si="11"/>
        <v>0</v>
      </c>
      <c r="L10" s="30">
        <f t="shared" si="11"/>
        <v>0</v>
      </c>
      <c r="M10" s="30">
        <f t="shared" si="11"/>
        <v>0</v>
      </c>
      <c r="N10" s="30">
        <f t="shared" si="11"/>
        <v>0</v>
      </c>
      <c r="O10" s="30">
        <f t="shared" si="11"/>
        <v>0</v>
      </c>
      <c r="P10" s="30">
        <f t="shared" si="11"/>
        <v>0</v>
      </c>
      <c r="Q10" s="30">
        <f t="shared" si="11"/>
        <v>0</v>
      </c>
      <c r="R10" s="30">
        <f t="shared" si="11"/>
        <v>0</v>
      </c>
      <c r="S10" s="30">
        <f t="shared" si="11"/>
        <v>0</v>
      </c>
      <c r="T10" s="30">
        <f t="shared" si="11"/>
        <v>0</v>
      </c>
      <c r="U10" s="30">
        <f t="shared" si="11"/>
        <v>0</v>
      </c>
      <c r="V10" s="30">
        <f t="shared" si="11"/>
        <v>0</v>
      </c>
      <c r="W10" s="30">
        <f t="shared" si="11"/>
        <v>0</v>
      </c>
      <c r="X10" s="30">
        <f t="shared" si="11"/>
        <v>0</v>
      </c>
      <c r="Y10" s="30">
        <f t="shared" si="11"/>
        <v>0</v>
      </c>
      <c r="Z10" s="30">
        <f t="shared" si="11"/>
        <v>0</v>
      </c>
      <c r="AA10" s="30">
        <f t="shared" si="11"/>
        <v>0</v>
      </c>
      <c r="AB10" s="30">
        <f t="shared" si="11"/>
        <v>0</v>
      </c>
      <c r="AC10" s="30">
        <f t="shared" si="11"/>
        <v>0</v>
      </c>
      <c r="AD10" s="30">
        <f t="shared" si="11"/>
        <v>0</v>
      </c>
      <c r="AE10" s="30">
        <f t="shared" si="11"/>
        <v>0</v>
      </c>
      <c r="AF10" s="30">
        <f t="shared" si="11"/>
        <v>0</v>
      </c>
      <c r="AG10" s="30">
        <f t="shared" si="11"/>
        <v>0</v>
      </c>
      <c r="AH10" s="30">
        <f t="shared" si="11"/>
        <v>0</v>
      </c>
      <c r="AI10" s="30">
        <f t="shared" si="11"/>
        <v>0</v>
      </c>
      <c r="AJ10" s="33">
        <f t="shared" si="5"/>
        <v>0</v>
      </c>
      <c r="AK10" s="33">
        <f t="shared" si="3"/>
        <v>0</v>
      </c>
      <c r="AL10" s="33">
        <f t="shared" si="3"/>
        <v>0</v>
      </c>
      <c r="AM10" s="33">
        <f t="shared" si="3"/>
        <v>0</v>
      </c>
      <c r="AN10" s="33">
        <f t="shared" si="3"/>
        <v>0</v>
      </c>
      <c r="AO10" s="33">
        <f t="shared" si="3"/>
        <v>0</v>
      </c>
      <c r="AP10" s="33">
        <f t="shared" si="3"/>
        <v>0</v>
      </c>
      <c r="AQ10" s="33">
        <f t="shared" si="3"/>
        <v>0</v>
      </c>
      <c r="AR10" s="33">
        <f t="shared" si="3"/>
        <v>0</v>
      </c>
      <c r="AS10" s="33">
        <f t="shared" si="3"/>
        <v>0</v>
      </c>
      <c r="AT10" s="33">
        <f t="shared" si="3"/>
        <v>0</v>
      </c>
      <c r="AU10" s="33">
        <f t="shared" si="3"/>
        <v>0</v>
      </c>
      <c r="AV10" s="33">
        <f t="shared" si="3"/>
        <v>0</v>
      </c>
      <c r="AW10" s="33">
        <f t="shared" si="3"/>
        <v>0</v>
      </c>
      <c r="AX10" s="33">
        <f t="shared" si="3"/>
        <v>0</v>
      </c>
      <c r="AY10" s="33">
        <f t="shared" si="3"/>
        <v>0</v>
      </c>
      <c r="AZ10" s="33">
        <f t="shared" si="3"/>
        <v>0</v>
      </c>
      <c r="BA10" s="33">
        <f t="shared" si="3"/>
        <v>0</v>
      </c>
      <c r="BB10" s="33">
        <f t="shared" si="3"/>
        <v>0</v>
      </c>
      <c r="BC10" s="33">
        <f t="shared" si="3"/>
        <v>0</v>
      </c>
    </row>
    <row r="11" spans="1:55" x14ac:dyDescent="0.2">
      <c r="A11" s="3" t="s">
        <v>110</v>
      </c>
      <c r="B11" s="29">
        <v>0</v>
      </c>
      <c r="C11" s="30">
        <f t="shared" ref="C11:AI11" si="12">$B11</f>
        <v>0</v>
      </c>
      <c r="D11" s="30">
        <f t="shared" si="12"/>
        <v>0</v>
      </c>
      <c r="E11" s="30">
        <f t="shared" si="12"/>
        <v>0</v>
      </c>
      <c r="F11" s="30">
        <f t="shared" si="12"/>
        <v>0</v>
      </c>
      <c r="G11" s="30">
        <f t="shared" si="12"/>
        <v>0</v>
      </c>
      <c r="H11" s="30">
        <f t="shared" si="12"/>
        <v>0</v>
      </c>
      <c r="I11" s="30">
        <f t="shared" si="12"/>
        <v>0</v>
      </c>
      <c r="J11" s="30">
        <f t="shared" si="12"/>
        <v>0</v>
      </c>
      <c r="K11" s="30">
        <f t="shared" si="12"/>
        <v>0</v>
      </c>
      <c r="L11" s="30">
        <f t="shared" si="12"/>
        <v>0</v>
      </c>
      <c r="M11" s="30">
        <f t="shared" si="12"/>
        <v>0</v>
      </c>
      <c r="N11" s="30">
        <f t="shared" si="12"/>
        <v>0</v>
      </c>
      <c r="O11" s="30">
        <f t="shared" si="12"/>
        <v>0</v>
      </c>
      <c r="P11" s="30">
        <f t="shared" si="12"/>
        <v>0</v>
      </c>
      <c r="Q11" s="30">
        <f t="shared" si="12"/>
        <v>0</v>
      </c>
      <c r="R11" s="30">
        <f t="shared" si="12"/>
        <v>0</v>
      </c>
      <c r="S11" s="30">
        <f t="shared" si="12"/>
        <v>0</v>
      </c>
      <c r="T11" s="30">
        <f t="shared" si="12"/>
        <v>0</v>
      </c>
      <c r="U11" s="30">
        <f t="shared" si="12"/>
        <v>0</v>
      </c>
      <c r="V11" s="30">
        <f t="shared" si="12"/>
        <v>0</v>
      </c>
      <c r="W11" s="30">
        <f t="shared" si="12"/>
        <v>0</v>
      </c>
      <c r="X11" s="30">
        <f t="shared" si="12"/>
        <v>0</v>
      </c>
      <c r="Y11" s="30">
        <f t="shared" si="12"/>
        <v>0</v>
      </c>
      <c r="Z11" s="30">
        <f t="shared" si="12"/>
        <v>0</v>
      </c>
      <c r="AA11" s="30">
        <f t="shared" si="12"/>
        <v>0</v>
      </c>
      <c r="AB11" s="30">
        <f t="shared" si="12"/>
        <v>0</v>
      </c>
      <c r="AC11" s="30">
        <f t="shared" si="12"/>
        <v>0</v>
      </c>
      <c r="AD11" s="30">
        <f t="shared" si="12"/>
        <v>0</v>
      </c>
      <c r="AE11" s="30">
        <f t="shared" si="12"/>
        <v>0</v>
      </c>
      <c r="AF11" s="30">
        <f t="shared" si="12"/>
        <v>0</v>
      </c>
      <c r="AG11" s="30">
        <f t="shared" si="12"/>
        <v>0</v>
      </c>
      <c r="AH11" s="30">
        <f t="shared" si="12"/>
        <v>0</v>
      </c>
      <c r="AI11" s="30">
        <f t="shared" si="12"/>
        <v>0</v>
      </c>
      <c r="AJ11" s="33">
        <f t="shared" si="5"/>
        <v>0</v>
      </c>
      <c r="AK11" s="33">
        <f t="shared" si="3"/>
        <v>0</v>
      </c>
      <c r="AL11" s="33">
        <f t="shared" si="3"/>
        <v>0</v>
      </c>
      <c r="AM11" s="33">
        <f t="shared" si="3"/>
        <v>0</v>
      </c>
      <c r="AN11" s="33">
        <f t="shared" si="3"/>
        <v>0</v>
      </c>
      <c r="AO11" s="33">
        <f t="shared" si="3"/>
        <v>0</v>
      </c>
      <c r="AP11" s="33">
        <f t="shared" si="3"/>
        <v>0</v>
      </c>
      <c r="AQ11" s="33">
        <f t="shared" si="3"/>
        <v>0</v>
      </c>
      <c r="AR11" s="33">
        <f t="shared" si="3"/>
        <v>0</v>
      </c>
      <c r="AS11" s="33">
        <f t="shared" si="3"/>
        <v>0</v>
      </c>
      <c r="AT11" s="33">
        <f t="shared" si="3"/>
        <v>0</v>
      </c>
      <c r="AU11" s="33">
        <f t="shared" si="3"/>
        <v>0</v>
      </c>
      <c r="AV11" s="33">
        <f t="shared" si="3"/>
        <v>0</v>
      </c>
      <c r="AW11" s="33">
        <f t="shared" si="3"/>
        <v>0</v>
      </c>
      <c r="AX11" s="33">
        <f t="shared" si="3"/>
        <v>0</v>
      </c>
      <c r="AY11" s="33">
        <f t="shared" si="3"/>
        <v>0</v>
      </c>
      <c r="AZ11" s="33">
        <f t="shared" si="3"/>
        <v>0</v>
      </c>
      <c r="BA11" s="33">
        <f t="shared" si="3"/>
        <v>0</v>
      </c>
      <c r="BB11" s="33">
        <f t="shared" si="3"/>
        <v>0</v>
      </c>
      <c r="BC11" s="33">
        <f t="shared" si="3"/>
        <v>0</v>
      </c>
    </row>
    <row r="16" spans="1:55" x14ac:dyDescent="0.2">
      <c r="A16" s="31"/>
    </row>
    <row r="20" spans="1:1" x14ac:dyDescent="0.2">
      <c r="A20" s="13"/>
    </row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496"/>
  </sheetPr>
  <dimension ref="A1:BC1000"/>
  <sheetViews>
    <sheetView workbookViewId="0">
      <selection activeCell="AJ2" sqref="AJ2:BC2"/>
    </sheetView>
  </sheetViews>
  <sheetFormatPr baseColWidth="10" defaultColWidth="14.5" defaultRowHeight="15" customHeight="1" x14ac:dyDescent="0.2"/>
  <cols>
    <col min="1" max="1" width="24.6640625" customWidth="1"/>
    <col min="2" max="2" width="9.1640625" customWidth="1"/>
    <col min="3" max="35" width="8.83203125" customWidth="1"/>
  </cols>
  <sheetData>
    <row r="1" spans="1:55" x14ac:dyDescent="0.2">
      <c r="A1" s="13" t="s">
        <v>111</v>
      </c>
      <c r="B1" s="29">
        <v>2017</v>
      </c>
      <c r="C1" s="29">
        <v>2018</v>
      </c>
      <c r="D1" s="29">
        <v>2019</v>
      </c>
      <c r="E1" s="29">
        <v>2020</v>
      </c>
      <c r="F1" s="29">
        <v>2021</v>
      </c>
      <c r="G1" s="29">
        <v>2022</v>
      </c>
      <c r="H1" s="29">
        <v>2023</v>
      </c>
      <c r="I1" s="29">
        <v>2024</v>
      </c>
      <c r="J1" s="29">
        <v>2025</v>
      </c>
      <c r="K1" s="29">
        <v>2026</v>
      </c>
      <c r="L1" s="29">
        <v>2027</v>
      </c>
      <c r="M1" s="29">
        <v>2028</v>
      </c>
      <c r="N1" s="29">
        <v>2029</v>
      </c>
      <c r="O1" s="29">
        <v>2030</v>
      </c>
      <c r="P1" s="29">
        <v>2031</v>
      </c>
      <c r="Q1" s="29">
        <v>2032</v>
      </c>
      <c r="R1" s="29">
        <v>2033</v>
      </c>
      <c r="S1" s="29">
        <v>2034</v>
      </c>
      <c r="T1" s="29">
        <v>2035</v>
      </c>
      <c r="U1" s="29">
        <v>2036</v>
      </c>
      <c r="V1" s="29">
        <v>2037</v>
      </c>
      <c r="W1" s="29">
        <v>2038</v>
      </c>
      <c r="X1" s="29">
        <v>2039</v>
      </c>
      <c r="Y1" s="29">
        <v>2040</v>
      </c>
      <c r="Z1" s="29">
        <v>2041</v>
      </c>
      <c r="AA1" s="29">
        <v>2042</v>
      </c>
      <c r="AB1" s="29">
        <v>2043</v>
      </c>
      <c r="AC1" s="29">
        <v>2044</v>
      </c>
      <c r="AD1" s="29">
        <v>2045</v>
      </c>
      <c r="AE1" s="29">
        <v>2046</v>
      </c>
      <c r="AF1" s="29">
        <v>2047</v>
      </c>
      <c r="AG1" s="29">
        <v>2048</v>
      </c>
      <c r="AH1" s="29">
        <v>2049</v>
      </c>
      <c r="AI1" s="29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s="3" t="s">
        <v>112</v>
      </c>
      <c r="B2" s="30">
        <f>Data!B14</f>
        <v>300</v>
      </c>
      <c r="C2" s="30">
        <f t="shared" ref="C2:AI2" si="0">$B2</f>
        <v>300</v>
      </c>
      <c r="D2" s="30">
        <f t="shared" si="0"/>
        <v>300</v>
      </c>
      <c r="E2" s="30">
        <f t="shared" si="0"/>
        <v>300</v>
      </c>
      <c r="F2" s="30">
        <f t="shared" si="0"/>
        <v>300</v>
      </c>
      <c r="G2" s="30">
        <f t="shared" si="0"/>
        <v>300</v>
      </c>
      <c r="H2" s="30">
        <f t="shared" si="0"/>
        <v>300</v>
      </c>
      <c r="I2" s="30">
        <f t="shared" si="0"/>
        <v>300</v>
      </c>
      <c r="J2" s="30">
        <f t="shared" si="0"/>
        <v>300</v>
      </c>
      <c r="K2" s="30">
        <f t="shared" si="0"/>
        <v>300</v>
      </c>
      <c r="L2" s="30">
        <f t="shared" si="0"/>
        <v>300</v>
      </c>
      <c r="M2" s="30">
        <f t="shared" si="0"/>
        <v>300</v>
      </c>
      <c r="N2" s="30">
        <f t="shared" si="0"/>
        <v>300</v>
      </c>
      <c r="O2" s="30">
        <f t="shared" si="0"/>
        <v>300</v>
      </c>
      <c r="P2" s="30">
        <f t="shared" si="0"/>
        <v>300</v>
      </c>
      <c r="Q2" s="30">
        <f t="shared" si="0"/>
        <v>300</v>
      </c>
      <c r="R2" s="30">
        <f t="shared" si="0"/>
        <v>300</v>
      </c>
      <c r="S2" s="30">
        <f t="shared" si="0"/>
        <v>300</v>
      </c>
      <c r="T2" s="30">
        <f t="shared" si="0"/>
        <v>300</v>
      </c>
      <c r="U2" s="30">
        <f t="shared" si="0"/>
        <v>300</v>
      </c>
      <c r="V2" s="30">
        <f t="shared" si="0"/>
        <v>300</v>
      </c>
      <c r="W2" s="30">
        <f t="shared" si="0"/>
        <v>300</v>
      </c>
      <c r="X2" s="30">
        <f t="shared" si="0"/>
        <v>300</v>
      </c>
      <c r="Y2" s="30">
        <f t="shared" si="0"/>
        <v>300</v>
      </c>
      <c r="Z2" s="30">
        <f t="shared" si="0"/>
        <v>300</v>
      </c>
      <c r="AA2" s="30">
        <f t="shared" si="0"/>
        <v>300</v>
      </c>
      <c r="AB2" s="30">
        <f t="shared" si="0"/>
        <v>300</v>
      </c>
      <c r="AC2" s="30">
        <f t="shared" si="0"/>
        <v>300</v>
      </c>
      <c r="AD2" s="30">
        <f t="shared" si="0"/>
        <v>300</v>
      </c>
      <c r="AE2" s="30">
        <f t="shared" si="0"/>
        <v>300</v>
      </c>
      <c r="AF2" s="30">
        <f t="shared" si="0"/>
        <v>300</v>
      </c>
      <c r="AG2" s="30">
        <f t="shared" si="0"/>
        <v>300</v>
      </c>
      <c r="AH2" s="30">
        <f t="shared" si="0"/>
        <v>300</v>
      </c>
      <c r="AI2" s="30">
        <f t="shared" si="0"/>
        <v>300</v>
      </c>
      <c r="AJ2" s="33">
        <f>AI2</f>
        <v>300</v>
      </c>
      <c r="AK2" s="33">
        <f t="shared" ref="AK2:BC2" si="1">AJ2</f>
        <v>300</v>
      </c>
      <c r="AL2" s="33">
        <f t="shared" si="1"/>
        <v>300</v>
      </c>
      <c r="AM2" s="33">
        <f t="shared" si="1"/>
        <v>300</v>
      </c>
      <c r="AN2" s="33">
        <f t="shared" si="1"/>
        <v>300</v>
      </c>
      <c r="AO2" s="33">
        <f t="shared" si="1"/>
        <v>300</v>
      </c>
      <c r="AP2" s="33">
        <f t="shared" si="1"/>
        <v>300</v>
      </c>
      <c r="AQ2" s="33">
        <f t="shared" si="1"/>
        <v>300</v>
      </c>
      <c r="AR2" s="33">
        <f t="shared" si="1"/>
        <v>300</v>
      </c>
      <c r="AS2" s="33">
        <f t="shared" si="1"/>
        <v>300</v>
      </c>
      <c r="AT2" s="33">
        <f t="shared" si="1"/>
        <v>300</v>
      </c>
      <c r="AU2" s="33">
        <f t="shared" si="1"/>
        <v>300</v>
      </c>
      <c r="AV2" s="33">
        <f t="shared" si="1"/>
        <v>300</v>
      </c>
      <c r="AW2" s="33">
        <f t="shared" si="1"/>
        <v>300</v>
      </c>
      <c r="AX2" s="33">
        <f t="shared" si="1"/>
        <v>300</v>
      </c>
      <c r="AY2" s="33">
        <f t="shared" si="1"/>
        <v>300</v>
      </c>
      <c r="AZ2" s="33">
        <f t="shared" si="1"/>
        <v>300</v>
      </c>
      <c r="BA2" s="33">
        <f t="shared" si="1"/>
        <v>300</v>
      </c>
      <c r="BB2" s="33">
        <f t="shared" si="1"/>
        <v>300</v>
      </c>
      <c r="BC2" s="33">
        <f t="shared" si="1"/>
        <v>300</v>
      </c>
    </row>
    <row r="3" spans="1:55" x14ac:dyDescent="0.2">
      <c r="A3" s="4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 </vt:lpstr>
      <vt:lpstr>CDR potential</vt:lpstr>
      <vt:lpstr>Data</vt:lpstr>
      <vt:lpstr>cal</vt:lpstr>
      <vt:lpstr>DACD-potential</vt:lpstr>
      <vt:lpstr>DACD-energyintensity</vt:lpstr>
      <vt:lpstr>DACD-capex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2019-12-04T00:52:30Z</dcterms:created>
  <dcterms:modified xsi:type="dcterms:W3CDTF">2025-04-12T20:48:01Z</dcterms:modified>
</cp:coreProperties>
</file>