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BRAaCTSC/"/>
    </mc:Choice>
  </mc:AlternateContent>
  <xr:revisionPtr revIDLastSave="0" documentId="13_ncr:1_{30C29671-74B0-0F4D-B1D6-B3C4FE966A1B}" xr6:coauthVersionLast="47" xr6:coauthVersionMax="47" xr10:uidLastSave="{00000000-0000-0000-0000-000000000000}"/>
  <bookViews>
    <workbookView xWindow="0" yWindow="780" windowWidth="29040" windowHeight="17640" activeTab="3" xr2:uid="{00000000-000D-0000-FFFF-FFFF00000000}"/>
  </bookViews>
  <sheets>
    <sheet name="About" sheetId="1" r:id="rId1"/>
    <sheet name="Calculations" sheetId="4" r:id="rId2"/>
    <sheet name="EV charger assumptions" sheetId="5" r:id="rId3"/>
    <sheet name="BRAaCTSC" sheetId="3" r:id="rId4"/>
  </sheets>
  <definedNames>
    <definedName name="income">Calculations!$B$10</definedName>
    <definedName name="Range_EV">Calculations!$B$9</definedName>
    <definedName name="range_ICE">Calculations!$B$8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3" l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AG2" i="3"/>
  <c r="K2" i="3" a="1"/>
  <c r="K2" i="3" s="1"/>
  <c r="L2" i="3" a="1"/>
  <c r="L2" i="3" s="1"/>
  <c r="J2" i="3" a="1"/>
  <c r="J2" i="3" s="1"/>
  <c r="C2" i="3" a="1"/>
  <c r="C2" i="3" s="1"/>
  <c r="D2" i="3" a="1"/>
  <c r="D2" i="3"/>
  <c r="E2" i="3" a="1"/>
  <c r="E2" i="3" s="1"/>
  <c r="F2" i="3" a="1"/>
  <c r="F2" i="3"/>
  <c r="G2" i="3" a="1"/>
  <c r="G2" i="3" s="1"/>
  <c r="H2" i="3" a="1"/>
  <c r="H2" i="3"/>
  <c r="I2" i="3" a="1"/>
  <c r="I2" i="3" s="1"/>
  <c r="B2" i="3" a="1"/>
  <c r="B2" i="3" s="1"/>
  <c r="B39" i="4"/>
  <c r="B38" i="4"/>
  <c r="B37" i="4" a="1"/>
  <c r="B37" i="4" s="1"/>
  <c r="B36" i="4"/>
  <c r="D29" i="4"/>
  <c r="C29" i="4"/>
  <c r="D28" i="4"/>
  <c r="C28" i="4"/>
  <c r="B29" i="4"/>
  <c r="B28" i="4"/>
  <c r="B9" i="5"/>
  <c r="B5" i="5" l="1"/>
  <c r="C14" i="4" l="1"/>
  <c r="B14" i="4"/>
  <c r="C10" i="4"/>
  <c r="D10" i="4"/>
  <c r="D8" i="4"/>
  <c r="D14" i="4" s="1"/>
  <c r="AF2" i="3" l="1" a="1"/>
  <c r="AF2" i="3" s="1"/>
  <c r="N2" i="3" a="1"/>
  <c r="N2" i="3" s="1"/>
  <c r="AA2" i="3" a="1"/>
  <c r="AA2" i="3" s="1"/>
  <c r="M2" i="3" a="1"/>
  <c r="M2" i="3" s="1"/>
  <c r="Y2" i="3" a="1"/>
  <c r="Y2" i="3" s="1"/>
  <c r="R2" i="3" a="1"/>
  <c r="R2" i="3" s="1"/>
  <c r="Q2" i="3" a="1"/>
  <c r="Q2" i="3" s="1"/>
  <c r="AD2" i="3" a="1"/>
  <c r="AD2" i="3" s="1"/>
  <c r="P2" i="3" a="1"/>
  <c r="P2" i="3" s="1"/>
  <c r="O2" i="3" a="1"/>
  <c r="O2" i="3" s="1"/>
  <c r="U2" i="3" l="1" a="1"/>
  <c r="U2" i="3" s="1"/>
  <c r="W2" i="3" a="1"/>
  <c r="W2" i="3" s="1"/>
  <c r="S2" i="3" a="1"/>
  <c r="S2" i="3" s="1"/>
  <c r="AB2" i="3" a="1"/>
  <c r="AB2" i="3" s="1"/>
  <c r="AE2" i="3" a="1"/>
  <c r="AE2" i="3" s="1"/>
  <c r="Z2" i="3" a="1"/>
  <c r="Z2" i="3" s="1"/>
  <c r="V2" i="3" a="1"/>
  <c r="V2" i="3" s="1"/>
  <c r="X2" i="3" a="1"/>
  <c r="X2" i="3" s="1"/>
  <c r="T2" i="3" a="1"/>
  <c r="T2" i="3" s="1"/>
  <c r="AC2" i="3" a="1"/>
  <c r="AC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<sst xmlns="http://schemas.openxmlformats.org/spreadsheetml/2006/main" count="68" uniqueCount="67">
  <si>
    <t>Source:</t>
  </si>
  <si>
    <t>Notes</t>
  </si>
  <si>
    <t>Shadow cost</t>
  </si>
  <si>
    <t>BRAaCTSC BAU Range Anxiety and Charging Time 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</si>
  <si>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</si>
  <si>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</si>
  <si>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</si>
  <si>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addressed by fueling availability and range value</t>
  </si>
  <si>
    <t>Ignored, because vast majority of charging can be done overnight and other concerns</t>
  </si>
  <si>
    <t>Fueling time</t>
  </si>
  <si>
    <t>y = 220.9751 + 7258.141*e^(-28.95171*x)</t>
  </si>
  <si>
    <t>Fueling Availability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</si>
  <si>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</si>
  <si>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</si>
  <si>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</si>
  <si>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</si>
  <si>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</si>
  <si>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</si>
  <si>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</si>
  <si>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</si>
  <si>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</si>
  <si>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</si>
  <si>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</si>
  <si>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</si>
  <si>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</si>
  <si>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</si>
  <si>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</si>
  <si>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</si>
  <si>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</si>
  <si>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Number of gas pumps</t>
  </si>
  <si>
    <t>Ratio of EVSE ports:Gas pumps</t>
  </si>
  <si>
    <t>Corresponding Fueling Availbility Shadow Cost</t>
  </si>
  <si>
    <t>Number of Gas pumps</t>
  </si>
  <si>
    <t>CleanTechnica</t>
  </si>
  <si>
    <t>Stop Comparing the Number of Gas Stations to EV Charging Stations</t>
  </si>
  <si>
    <t>Number of EVSE Ports</t>
  </si>
  <si>
    <t>Alternative Fuels Data Center</t>
  </si>
  <si>
    <t>Electric Vehicle Charging Station Locations</t>
  </si>
  <si>
    <t>https://afdc.energy.gov/fuels/electricity_locations.html#/analyze?fuel=ELEC</t>
  </si>
  <si>
    <t>https://cleantechnica.com/2018/03/07/stop-comparing-number-gas-stations-ev-charging-stations/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</si>
  <si>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</si>
  <si>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</si>
  <si>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</si>
  <si>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</si>
  <si>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</si>
  <si>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</si>
  <si>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</si>
  <si>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</si>
  <si>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</si>
  <si>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</si>
  <si>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</si>
  <si>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</si>
  <si>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The Fuel Availability Value uses parameters from the DOE study and a comparison of the number of</t>
  </si>
  <si>
    <t>Currency Conversion</t>
  </si>
  <si>
    <t>Calculations</t>
  </si>
  <si>
    <t xml:space="preserve">250 miles and is forecated to continue improving. Therefore, we start with today's median range, and assume </t>
  </si>
  <si>
    <t>the range will reach 300 miles by 2050.</t>
  </si>
  <si>
    <t>EV charging ports and gas pumps. We also assume this value will decline to 0 by 2050 as more EV chargers come online.</t>
  </si>
  <si>
    <t xml:space="preserve">*2020 median range taken from historical data. 2030 and 2050 are estimated, with the 2050 </t>
  </si>
  <si>
    <t>range roughly corresponding to today's maximum range</t>
  </si>
  <si>
    <t>We assume EV charger additions based on investments in the Infrastructure Investment and Jobs Act</t>
  </si>
  <si>
    <t xml:space="preserve">Total government funding: </t>
  </si>
  <si>
    <t>($7.5 billion between 2022 and 2026), assuming 80% of the costs are paid for by the government.</t>
  </si>
  <si>
    <t>Total government + private funding:</t>
  </si>
  <si>
    <t>Average weighted charger cost (see trans/EVCC):</t>
  </si>
  <si>
    <t>Chargers added by 2026:</t>
  </si>
  <si>
    <t>2020 EVSE ports: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</si>
</sst>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1.8828958880139982E-2"/>
                  <c:y val="-0.13703885898644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Calculations!$A$17:$A$20</c:f>
              <c:numCache>
                <c:formatCode>0.00</c:formatCode>
                <c:ptCount val="4"/>
                <c:pt idx="0">
                  <c:v>1.0000000000000001E-5</c:v>
                </c:pt>
                <c:pt idx="1">
                  <c:v>0.05</c:v>
                </c:pt>
                <c:pt idx="2">
                  <c:v>0.1</c:v>
                </c:pt>
                <c:pt idx="3">
                  <c:v>1</c:v>
                </c:pt>
              </c:numCache>
            </c:numRef>
          </c:xVal>
          <c:yVal>
            <c:numRef>
              <c:f>Calculations!$B$17:$B$20</c:f>
              <c:numCache>
                <c:formatCode>General</c:formatCode>
                <c:ptCount val="4"/>
                <c:pt idx="0">
                  <c:v>7500</c:v>
                </c:pt>
                <c:pt idx="1">
                  <c:v>1750</c:v>
                </c:pt>
                <c:pt idx="2">
                  <c:v>1000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9-416A-9551-2ECD6C9D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33536"/>
        <c:axId val="280232704"/>
      </c:scatterChart>
      <c:valAx>
        <c:axId val="280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2704"/>
        <c:crosses val="autoZero"/>
        <c:crossBetween val="midCat"/>
      </c:valAx>
      <c:valAx>
        <c:axId val="2802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122237</xdr:rowOff>
    </xdr:from>
    <xdr:to>
      <xdr:col>12</xdr:col>
      <xdr:colOff>292100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063C-A7D3-43BB-8DEB-94B1128A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A51" sqref="A51:XFD55"/>
    </sheetView>
  </sheetViews>
  <sheetFormatPr baseColWidth="10" defaultColWidth="8.83203125" defaultRowHeight="15" x14ac:dyDescent="0.2"/>
  <cols>
    <col min="1" max="1" width="16.5" customWidth="1"/>
    <col min="2" max="2" width="31.83203125" customWidth="1"/>
  </cols>
  <sheetData>
    <row r="1" spans="1:2" x14ac:dyDescent="0.2">
      <c r="A1" s="1" t="s">
        <v>3</v>
      </c>
    </row>
    <row r="3" spans="1:2" x14ac:dyDescent="0.2">
      <c r="A3" s="1" t="s">
        <v>0</v>
      </c>
      <c r="B3" s="6" t="s">
        <v>21</v>
      </c>
    </row>
    <row r="4" spans="1:2" x14ac:dyDescent="0.2">
      <c r="B4" t="s">
        <v>22</v>
      </c>
    </row>
    <row r="5" spans="1:2" x14ac:dyDescent="0.2">
      <c r="B5" s="7">
        <v>2020</v>
      </c>
    </row>
    <row r="6" spans="1:2" x14ac:dyDescent="0.2">
      <c r="B6" t="s">
        <v>23</v>
      </c>
    </row>
    <row r="7" spans="1:2" x14ac:dyDescent="0.2">
      <c r="B7" t="s">
        <v>20</v>
      </c>
    </row>
    <row r="8" spans="1:2" x14ac:dyDescent="0.2">
      <c r="A8" s="2"/>
      <c r="B8" t="s">
        <v>24</v>
      </c>
    </row>
    <row r="10" spans="1:2" x14ac:dyDescent="0.2">
      <c r="B10" s="6" t="s">
        <v>26</v>
      </c>
    </row>
    <row r="11" spans="1:2" x14ac:dyDescent="0.2">
      <c r="B11" t="s">
        <v>27</v>
      </c>
    </row>
    <row r="12" spans="1:2" x14ac:dyDescent="0.2">
      <c r="B12" s="7">
        <v>2013</v>
      </c>
    </row>
    <row r="13" spans="1:2" x14ac:dyDescent="0.2">
      <c r="B13" t="s">
        <v>28</v>
      </c>
    </row>
    <row r="15" spans="1:2" x14ac:dyDescent="0.2">
      <c r="B15" s="6" t="s">
        <v>32</v>
      </c>
    </row>
    <row r="16" spans="1:2" x14ac:dyDescent="0.2">
      <c r="B16" t="s">
        <v>33</v>
      </c>
    </row>
    <row r="17" spans="2:2" x14ac:dyDescent="0.2">
      <c r="B17" s="7">
        <v>2018</v>
      </c>
    </row>
    <row r="18" spans="2:2" x14ac:dyDescent="0.2">
      <c r="B18" t="s">
        <v>34</v>
      </c>
    </row>
    <row r="19" spans="2:2" x14ac:dyDescent="0.2">
      <c r="B19" t="s">
        <v>39</v>
      </c>
    </row>
    <row r="21" spans="2:2" x14ac:dyDescent="0.2">
      <c r="B21" s="6" t="s">
        <v>35</v>
      </c>
    </row>
    <row r="22" spans="2:2" x14ac:dyDescent="0.2">
      <c r="B22" t="s">
        <v>36</v>
      </c>
    </row>
    <row r="23" spans="2:2" x14ac:dyDescent="0.2">
      <c r="B23" s="7">
        <v>2021</v>
      </c>
    </row>
    <row r="24" spans="2:2" x14ac:dyDescent="0.2">
      <c r="B24" t="s">
        <v>37</v>
      </c>
    </row>
    <row r="25" spans="2:2" x14ac:dyDescent="0.2">
      <c r="B25" t="s">
        <v>38</v>
      </c>
    </row>
    <row r="27" spans="2:2" x14ac:dyDescent="0.2">
      <c r="B27" s="6" t="s">
        <v>40</v>
      </c>
    </row>
    <row r="28" spans="2:2" x14ac:dyDescent="0.2">
      <c r="B28" t="s">
        <v>27</v>
      </c>
    </row>
    <row r="29" spans="2:2" x14ac:dyDescent="0.2">
      <c r="B29" s="7">
        <v>2016</v>
      </c>
    </row>
    <row r="30" spans="2:2" x14ac:dyDescent="0.2">
      <c r="B30" t="s">
        <v>41</v>
      </c>
    </row>
    <row r="31" spans="2:2" x14ac:dyDescent="0.2">
      <c r="B31" t="s">
        <v>42</v>
      </c>
    </row>
    <row r="32" spans="2:2" x14ac:dyDescent="0.2">
      <c r="B32" t="s">
        <v>43</v>
      </c>
    </row>
    <row r="34" spans="1:2" x14ac:dyDescent="0.2">
      <c r="B34" s="6" t="s">
        <v>48</v>
      </c>
    </row>
    <row r="35" spans="1:2" x14ac:dyDescent="0.2">
      <c r="B35" t="s">
        <v>45</v>
      </c>
    </row>
    <row r="36" spans="1:2" x14ac:dyDescent="0.2">
      <c r="B36" s="7">
        <v>2021</v>
      </c>
    </row>
    <row r="37" spans="1:2" x14ac:dyDescent="0.2">
      <c r="B37" t="s">
        <v>46</v>
      </c>
    </row>
    <row r="38" spans="1:2" x14ac:dyDescent="0.2">
      <c r="B38" s="8" t="s">
        <v>47</v>
      </c>
    </row>
    <row r="40" spans="1:2" x14ac:dyDescent="0.2">
      <c r="A40" s="1" t="s">
        <v>1</v>
      </c>
    </row>
    <row r="41" spans="1:2" x14ac:dyDescent="0.2">
      <c r="A41" t="s">
        <v>4</v>
      </c>
    </row>
    <row r="42" spans="1:2" x14ac:dyDescent="0.2">
      <c r="A42" t="s">
        <v>5</v>
      </c>
    </row>
    <row r="43" spans="1:2" x14ac:dyDescent="0.2">
      <c r="A43" s="1"/>
    </row>
    <row r="44" spans="1:2" x14ac:dyDescent="0.2">
      <c r="A44" t="s">
        <v>49</v>
      </c>
    </row>
    <row r="45" spans="1:2" x14ac:dyDescent="0.2">
      <c r="A45" t="s">
        <v>50</v>
      </c>
    </row>
    <row r="46" spans="1:2" x14ac:dyDescent="0.2">
      <c r="A46" t="s">
        <v>51</v>
      </c>
    </row>
    <row r="47" spans="1:2" x14ac:dyDescent="0.2">
      <c r="A47" t="s">
        <v>55</v>
      </c>
    </row>
    <row r="48" spans="1:2" x14ac:dyDescent="0.2">
      <c r="A48" t="s">
        <v>56</v>
      </c>
    </row>
    <row r="49" spans="1:2" x14ac:dyDescent="0.2">
      <c r="A49" t="s">
        <v>52</v>
      </c>
    </row>
    <row r="50" spans="1:2" x14ac:dyDescent="0.2">
      <c r="A50" t="s">
        <v>57</v>
      </c>
    </row>
    <row r="52" spans="1:2" x14ac:dyDescent="0.2">
      <c r="A52" t="s">
        <v>53</v>
      </c>
    </row>
    <row r="53" spans="1:2" x14ac:dyDescent="0.2">
      <c r="A53" t="s">
        <v>25</v>
      </c>
      <c r="B53">
        <v>0.89805481563188172</v>
      </c>
    </row>
  </sheetData>
  <hyperlinks>
    <hyperlink ref="B38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E39"/>
  <sheetViews>
    <sheetView topLeftCell="A4" workbookViewId="0">
      <selection activeCell="F39" sqref="F39"/>
    </sheetView>
  </sheetViews>
  <sheetFormatPr baseColWidth="10" defaultColWidth="8.83203125" defaultRowHeight="15" x14ac:dyDescent="0.2"/>
  <cols>
    <col min="1" max="1" width="31.5" customWidth="1"/>
    <col min="2" max="2" width="26.5" customWidth="1"/>
  </cols>
  <sheetData>
    <row r="1" spans="1:4" s="1" customFormat="1" x14ac:dyDescent="0.2">
      <c r="A1" s="1" t="s">
        <v>18</v>
      </c>
    </row>
    <row r="2" spans="1:4" x14ac:dyDescent="0.2">
      <c r="A2" t="s">
        <v>17</v>
      </c>
      <c r="B2">
        <v>-0.36099999999999999</v>
      </c>
    </row>
    <row r="3" spans="1:4" x14ac:dyDescent="0.2">
      <c r="A3" t="s">
        <v>16</v>
      </c>
    </row>
    <row r="4" spans="1:4" x14ac:dyDescent="0.2">
      <c r="A4" t="s">
        <v>15</v>
      </c>
      <c r="B4">
        <v>1.268</v>
      </c>
    </row>
    <row r="5" spans="1:4" x14ac:dyDescent="0.2">
      <c r="A5" t="s">
        <v>14</v>
      </c>
      <c r="B5">
        <v>-0.11600000000000001</v>
      </c>
    </row>
    <row r="7" spans="1:4" x14ac:dyDescent="0.2">
      <c r="B7">
        <v>2020</v>
      </c>
      <c r="C7">
        <v>2030</v>
      </c>
      <c r="D7">
        <v>2050</v>
      </c>
    </row>
    <row r="8" spans="1:4" x14ac:dyDescent="0.2">
      <c r="A8" t="s">
        <v>44</v>
      </c>
      <c r="B8">
        <v>4.12</v>
      </c>
      <c r="C8">
        <v>4.12</v>
      </c>
      <c r="D8">
        <f>B8</f>
        <v>4.12</v>
      </c>
    </row>
    <row r="9" spans="1:4" x14ac:dyDescent="0.2">
      <c r="A9" t="s">
        <v>13</v>
      </c>
      <c r="B9">
        <v>2.59</v>
      </c>
      <c r="C9" s="9">
        <v>3</v>
      </c>
      <c r="D9" s="9">
        <v>4.12</v>
      </c>
    </row>
    <row r="10" spans="1:4" x14ac:dyDescent="0.2">
      <c r="A10" t="s">
        <v>12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">
      <c r="A11" t="s">
        <v>58</v>
      </c>
    </row>
    <row r="12" spans="1:4" x14ac:dyDescent="0.2">
      <c r="A12" t="s">
        <v>59</v>
      </c>
    </row>
    <row r="14" spans="1:4" x14ac:dyDescent="0.2">
      <c r="A14" t="s">
        <v>19</v>
      </c>
      <c r="B14" s="5">
        <f>($B$4/$B$2*B9*(1-B8/B9)+$B$5/$B$2*B9^2*(1-B8^2/B9^2))*LN(income)*About!$B$53</f>
        <v>7.8828464065137096</v>
      </c>
      <c r="C14" s="5">
        <f>($B$4/$B$2*C9*(1-C8/C9)+$B$5/$B$2*C9^2*(1-C8^2/C9^2))*LN(income)*About!$B$53</f>
        <v>5.2099509525186276</v>
      </c>
      <c r="D14" s="5">
        <f>($B$4/$B$2*D9*(1-D8/D9)+$B$5/$B$2*D9^2*(1-D8^2/D9^2))*LN(income)*About!$B$53</f>
        <v>0</v>
      </c>
    </row>
    <row r="16" spans="1:4" x14ac:dyDescent="0.2">
      <c r="A16" s="1" t="s">
        <v>11</v>
      </c>
    </row>
    <row r="17" spans="1:5" x14ac:dyDescent="0.2">
      <c r="A17" s="5">
        <v>1.0000000000000001E-5</v>
      </c>
      <c r="B17">
        <v>7500</v>
      </c>
    </row>
    <row r="18" spans="1:5" x14ac:dyDescent="0.2">
      <c r="A18" s="5">
        <v>0.05</v>
      </c>
      <c r="B18">
        <v>1750</v>
      </c>
    </row>
    <row r="19" spans="1:5" x14ac:dyDescent="0.2">
      <c r="A19" s="5">
        <v>0.1</v>
      </c>
      <c r="B19">
        <v>1000</v>
      </c>
    </row>
    <row r="20" spans="1:5" x14ac:dyDescent="0.2">
      <c r="A20" s="5">
        <v>1</v>
      </c>
      <c r="B20">
        <v>0</v>
      </c>
    </row>
    <row r="22" spans="1:5" x14ac:dyDescent="0.2">
      <c r="A22" t="s">
        <v>10</v>
      </c>
    </row>
    <row r="24" spans="1:5" x14ac:dyDescent="0.2">
      <c r="A24" t="s">
        <v>66</v>
      </c>
      <c r="B24">
        <v>120045</v>
      </c>
    </row>
    <row r="25" spans="1:5" x14ac:dyDescent="0.2">
      <c r="A25" t="s">
        <v>29</v>
      </c>
      <c r="B25">
        <v>1200000</v>
      </c>
    </row>
    <row r="27" spans="1:5" x14ac:dyDescent="0.2">
      <c r="B27">
        <v>2020</v>
      </c>
      <c r="C27">
        <v>2027</v>
      </c>
      <c r="D27">
        <v>2030</v>
      </c>
      <c r="E27">
        <v>2050</v>
      </c>
    </row>
    <row r="28" spans="1:5" x14ac:dyDescent="0.2">
      <c r="A28" t="s">
        <v>30</v>
      </c>
      <c r="B28">
        <f>B24/B25</f>
        <v>0.1000375</v>
      </c>
      <c r="C28">
        <f>(B24+'EV charger assumptions'!B9)/Calculations!B25</f>
        <v>0.41965865943214825</v>
      </c>
      <c r="D28">
        <f>(E28-C28)/(E27-C27)*3+C28</f>
        <v>0.495355356027955</v>
      </c>
      <c r="E28">
        <v>1</v>
      </c>
    </row>
    <row r="29" spans="1:5" x14ac:dyDescent="0.2">
      <c r="A29" t="s">
        <v>31</v>
      </c>
      <c r="B29">
        <f>B19*About!$B$53</f>
        <v>898.05481563188175</v>
      </c>
      <c r="C29">
        <f>-667.1*LN(C28)-241.23</f>
        <v>338.02201174921117</v>
      </c>
      <c r="D29">
        <f>-667.1*LN(D28)-241.23</f>
        <v>227.39432995486422</v>
      </c>
      <c r="E29">
        <v>0</v>
      </c>
    </row>
    <row r="31" spans="1:5" x14ac:dyDescent="0.2">
      <c r="A31" s="1" t="s">
        <v>9</v>
      </c>
    </row>
    <row r="32" spans="1:5" x14ac:dyDescent="0.2">
      <c r="A32" t="s">
        <v>8</v>
      </c>
    </row>
    <row r="33" spans="1:3" x14ac:dyDescent="0.2">
      <c r="A33" t="s">
        <v>7</v>
      </c>
    </row>
    <row r="35" spans="1:3" x14ac:dyDescent="0.2">
      <c r="A35" s="6" t="s">
        <v>54</v>
      </c>
      <c r="B35" s="6"/>
      <c r="C35" s="6"/>
    </row>
    <row r="36" spans="1:3" x14ac:dyDescent="0.2">
      <c r="A36">
        <v>2020</v>
      </c>
      <c r="B36">
        <f>B14*1000+B29</f>
        <v>8780.9012221455905</v>
      </c>
    </row>
    <row r="37" spans="1:3" x14ac:dyDescent="0.2">
      <c r="A37">
        <v>2027</v>
      </c>
      <c r="B37" cm="1">
        <f t="array" ref="B37">TREND(B14:C14,B7:C7,C27)*1000+C29</f>
        <v>6349.8416004663277</v>
      </c>
    </row>
    <row r="38" spans="1:3" x14ac:dyDescent="0.2">
      <c r="A38">
        <v>2030</v>
      </c>
      <c r="B38">
        <f>C14*1000+D29</f>
        <v>5437.3452824734923</v>
      </c>
    </row>
    <row r="39" spans="1:3" x14ac:dyDescent="0.2">
      <c r="A39">
        <v>2050</v>
      </c>
      <c r="B39">
        <f>D14*1000+E29</f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8A39-3A78-451F-9516-0CF8624C92E2}">
  <dimension ref="A1:B9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9.1640625" customWidth="1"/>
    <col min="2" max="2" width="11" bestFit="1" customWidth="1"/>
  </cols>
  <sheetData>
    <row r="1" spans="1:2" x14ac:dyDescent="0.2">
      <c r="A1" t="s">
        <v>60</v>
      </c>
    </row>
    <row r="2" spans="1:2" x14ac:dyDescent="0.2">
      <c r="A2" t="s">
        <v>62</v>
      </c>
    </row>
    <row r="4" spans="1:2" x14ac:dyDescent="0.2">
      <c r="A4" t="s">
        <v>61</v>
      </c>
      <c r="B4">
        <v>7500000000</v>
      </c>
    </row>
    <row r="5" spans="1:2" ht="16" x14ac:dyDescent="0.2">
      <c r="A5" s="10" t="s">
        <v>63</v>
      </c>
      <c r="B5">
        <f>B4/0.8</f>
        <v>9375000000</v>
      </c>
    </row>
    <row r="7" spans="1:2" ht="32" x14ac:dyDescent="0.2">
      <c r="A7" s="10" t="s">
        <v>64</v>
      </c>
      <c r="B7">
        <v>24443</v>
      </c>
    </row>
    <row r="9" spans="1:2" ht="16" x14ac:dyDescent="0.2">
      <c r="A9" s="10" t="s">
        <v>65</v>
      </c>
      <c r="B9" s="3">
        <f>B5/B7</f>
        <v>383545.39131857792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2"/>
  <sheetViews>
    <sheetView tabSelected="1" topLeftCell="AE1" workbookViewId="0">
      <selection activeCell="AG2" sqref="AG2:AZ2"/>
    </sheetView>
  </sheetViews>
  <sheetFormatPr baseColWidth="10" defaultColWidth="8.83203125" defaultRowHeight="15" x14ac:dyDescent="0.2"/>
  <cols>
    <col min="1" max="1" width="17.83203125" customWidth="1"/>
  </cols>
  <sheetData>
    <row r="1" spans="1:52" x14ac:dyDescent="0.2">
      <c r="A1" s="1" t="s">
        <v>6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2</v>
      </c>
      <c r="B2" s="3" cm="1">
        <f t="array" ref="B2">TREND(Calculations!$B$36:$B$37,Calculations!$A$36:$A$37,BRAaCTSC!B1)</f>
        <v>8780.9012221456505</v>
      </c>
      <c r="C2" s="3" cm="1">
        <f t="array" ref="C2">TREND(Calculations!$B$36:$B$37,Calculations!$A$36:$A$37,BRAaCTSC!C1)</f>
        <v>8433.6069904771866</v>
      </c>
      <c r="D2" s="3" cm="1">
        <f t="array" ref="D2">TREND(Calculations!$B$36:$B$37,Calculations!$A$36:$A$37,BRAaCTSC!D1)</f>
        <v>8086.3127588086063</v>
      </c>
      <c r="E2" s="3" cm="1">
        <f t="array" ref="E2">TREND(Calculations!$B$36:$B$37,Calculations!$A$36:$A$37,BRAaCTSC!E1)</f>
        <v>7739.0185271401424</v>
      </c>
      <c r="F2" s="3" cm="1">
        <f t="array" ref="F2">TREND(Calculations!$B$36:$B$37,Calculations!$A$36:$A$37,BRAaCTSC!F1)</f>
        <v>7391.7242954716785</v>
      </c>
      <c r="G2" s="3" cm="1">
        <f t="array" ref="G2">TREND(Calculations!$B$36:$B$37,Calculations!$A$36:$A$37,BRAaCTSC!G1)</f>
        <v>7044.4300638032146</v>
      </c>
      <c r="H2" s="3" cm="1">
        <f t="array" ref="H2">TREND(Calculations!$B$36:$B$37,Calculations!$A$36:$A$37,BRAaCTSC!H1)</f>
        <v>6697.1358321347507</v>
      </c>
      <c r="I2" s="3" cm="1">
        <f t="array" ref="I2">TREND(Calculations!$B$36:$B$37,Calculations!$A$36:$A$37,BRAaCTSC!I1)</f>
        <v>6349.8416004662868</v>
      </c>
      <c r="J2" s="3" cm="1">
        <f t="array" ref="J2">TREND(Calculations!$B$37:$B$38,Calculations!$A$37:$A$38,BRAaCTSC!J1)</f>
        <v>6045.6761611354304</v>
      </c>
      <c r="K2" s="3" cm="1">
        <f t="array" ref="K2">TREND(Calculations!$B$37:$B$38,Calculations!$A$37:$A$38,BRAaCTSC!K1)</f>
        <v>5741.5107218045741</v>
      </c>
      <c r="L2" s="3" cm="1">
        <f t="array" ref="L2">TREND(Calculations!$B$37:$B$38,Calculations!$A$37:$A$38,BRAaCTSC!L1)</f>
        <v>5437.3452824736014</v>
      </c>
      <c r="M2" s="3" cm="1">
        <f t="array" ref="M2">TREND(Calculations!$B$38:$B$39,Calculations!$A$38:$A$39,BRAaCTSC!M1)</f>
        <v>5165.4780183498515</v>
      </c>
      <c r="N2" s="3" cm="1">
        <f t="array" ref="N2">TREND(Calculations!$B$38:$B$39,Calculations!$A$38:$A$39,BRAaCTSC!N1)</f>
        <v>4893.610754226218</v>
      </c>
      <c r="O2" s="3" cm="1">
        <f t="array" ref="O2">TREND(Calculations!$B$38:$B$39,Calculations!$A$38:$A$39,BRAaCTSC!O1)</f>
        <v>4621.7434901024681</v>
      </c>
      <c r="P2" s="3" cm="1">
        <f t="array" ref="P2">TREND(Calculations!$B$38:$B$39,Calculations!$A$38:$A$39,BRAaCTSC!P1)</f>
        <v>4349.8762259788346</v>
      </c>
      <c r="Q2" s="3" cm="1">
        <f t="array" ref="Q2">TREND(Calculations!$B$38:$B$39,Calculations!$A$38:$A$39,BRAaCTSC!Q1)</f>
        <v>4078.0089618552011</v>
      </c>
      <c r="R2" s="3" cm="1">
        <f t="array" ref="R2">TREND(Calculations!$B$38:$B$39,Calculations!$A$38:$A$39,BRAaCTSC!R1)</f>
        <v>3806.1416977314511</v>
      </c>
      <c r="S2" s="3" cm="1">
        <f t="array" ref="S2">TREND(Calculations!$B$38:$B$39,Calculations!$A$38:$A$39,BRAaCTSC!S1)</f>
        <v>3534.2744336078176</v>
      </c>
      <c r="T2" s="3" cm="1">
        <f t="array" ref="T2">TREND(Calculations!$B$38:$B$39,Calculations!$A$38:$A$39,BRAaCTSC!T1)</f>
        <v>3262.4071694841841</v>
      </c>
      <c r="U2" s="3" cm="1">
        <f t="array" ref="U2">TREND(Calculations!$B$38:$B$39,Calculations!$A$38:$A$39,BRAaCTSC!U1)</f>
        <v>2990.5399053604342</v>
      </c>
      <c r="V2" s="3" cm="1">
        <f t="array" ref="V2">TREND(Calculations!$B$38:$B$39,Calculations!$A$38:$A$39,BRAaCTSC!V1)</f>
        <v>2718.6726412368007</v>
      </c>
      <c r="W2" s="3" cm="1">
        <f t="array" ref="W2">TREND(Calculations!$B$38:$B$39,Calculations!$A$38:$A$39,BRAaCTSC!W1)</f>
        <v>2446.8053771130508</v>
      </c>
      <c r="X2" s="3" cm="1">
        <f t="array" ref="X2">TREND(Calculations!$B$38:$B$39,Calculations!$A$38:$A$39,BRAaCTSC!X1)</f>
        <v>2174.9381129894173</v>
      </c>
      <c r="Y2" s="3" cm="1">
        <f t="array" ref="Y2">TREND(Calculations!$B$38:$B$39,Calculations!$A$38:$A$39,BRAaCTSC!Y1)</f>
        <v>1903.0708488657838</v>
      </c>
      <c r="Z2" s="3" cm="1">
        <f t="array" ref="Z2">TREND(Calculations!$B$38:$B$39,Calculations!$A$38:$A$39,BRAaCTSC!Z1)</f>
        <v>1631.2035847420339</v>
      </c>
      <c r="AA2" s="3" cm="1">
        <f t="array" ref="AA2">TREND(Calculations!$B$38:$B$39,Calculations!$A$38:$A$39,BRAaCTSC!AA1)</f>
        <v>1359.3363206184004</v>
      </c>
      <c r="AB2" s="3" cm="1">
        <f t="array" ref="AB2">TREND(Calculations!$B$38:$B$39,Calculations!$A$38:$A$39,BRAaCTSC!AB1)</f>
        <v>1087.4690564947668</v>
      </c>
      <c r="AC2" s="3" cm="1">
        <f t="array" ref="AC2">TREND(Calculations!$B$38:$B$39,Calculations!$A$38:$A$39,BRAaCTSC!AC1)</f>
        <v>815.60179237101693</v>
      </c>
      <c r="AD2" s="3" cm="1">
        <f t="array" ref="AD2">TREND(Calculations!$B$38:$B$39,Calculations!$A$38:$A$39,BRAaCTSC!AD1)</f>
        <v>543.73452824738342</v>
      </c>
      <c r="AE2" s="3" cm="1">
        <f t="array" ref="AE2">TREND(Calculations!$B$38:$B$39,Calculations!$A$38:$A$39,BRAaCTSC!AE1)</f>
        <v>271.86726412374992</v>
      </c>
      <c r="AF2" s="3" cm="1">
        <f t="array" ref="AF2">TREND(Calculations!$B$38:$B$39,Calculations!$A$38:$A$39,BRAaCTSC!AF1)</f>
        <v>0</v>
      </c>
      <c r="AG2" s="3">
        <f>AF2</f>
        <v>0</v>
      </c>
      <c r="AH2" s="3">
        <f t="shared" ref="AH2:AZ2" si="0">AG2</f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About</vt:lpstr>
      <vt:lpstr>Calculations</vt:lpstr>
      <vt:lpstr>EV charger assumptions</vt:lpstr>
      <vt:lpstr>BRAaCTSC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2019-06-04T20:20:37Z</dcterms:created>
  <dcterms:modified xsi:type="dcterms:W3CDTF">2025-04-12T23:47:26Z</dcterms:modified>
</cp:coreProperties>
</file>