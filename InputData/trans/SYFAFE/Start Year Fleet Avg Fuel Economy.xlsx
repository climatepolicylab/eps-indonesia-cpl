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ssy02/Desktop/"/>
    </mc:Choice>
  </mc:AlternateContent>
  <xr:revisionPtr revIDLastSave="0" documentId="13_ncr:1_{EBB6322C-669F-B040-B6B0-69B8D3842B81}" xr6:coauthVersionLast="47" xr6:coauthVersionMax="47" xr10:uidLastSave="{00000000-0000-0000-0000-000000000000}"/>
  <bookViews>
    <workbookView xWindow="0" yWindow="760" windowWidth="34200" windowHeight="21380" firstSheet="4" activeTab="6" xr2:uid="{00000000-000D-0000-FFFF-FFFF00000000}"/>
  </bookViews>
  <sheets>
    <sheet name="About" sheetId="1" r:id="rId1"/>
    <sheet name="Level of Activity (LA) - psgr" sheetId="5" r:id="rId2"/>
    <sheet name="Energy Consumption (EC) - psgr" sheetId="8" r:id="rId3"/>
    <sheet name="Conversion - LA - psgr" sheetId="12" r:id="rId4"/>
    <sheet name="Conversion - EC - psgr" sheetId="13" r:id="rId5"/>
    <sheet name="Level of Activity (LA) - frgt" sheetId="6" r:id="rId6"/>
    <sheet name="Energy Consumption (EC) - frgt" sheetId="7" r:id="rId7"/>
    <sheet name="Conversion - LA - frgt" sheetId="10" r:id="rId8"/>
    <sheet name="Conversion - EC - frgt" sheetId="14" r:id="rId9"/>
    <sheet name="Calculation - FE - psgr" sheetId="9" r:id="rId10"/>
    <sheet name="Calculation - FE - frgt" sheetId="11" r:id="rId11"/>
    <sheet name="SYFAFE-psgr" sheetId="3" r:id="rId12"/>
    <sheet name="SYFAFE-frgt" sheetId="4" r:id="rId13"/>
  </sheets>
  <externalReferences>
    <externalReference r:id="rId14"/>
  </externalReferences>
  <definedNames>
    <definedName name="billion">About!$A$84</definedName>
    <definedName name="Eno_TM">'[1]1997  Table 1a Modified'!#REF!</definedName>
    <definedName name="Eno_Tons">'[1]1997  Table 1a Modified'!#REF!</definedName>
    <definedName name="NTS_YR">About!$B$149</definedName>
    <definedName name="Sum_T2">'[1]1997  Table 1a Modified'!#REF!</definedName>
    <definedName name="Sum_TTM">'[1]1997  Table 1a Modified'!#REF!</definedName>
    <definedName name="ti_tbl_50" localSheetId="12">#REF!</definedName>
    <definedName name="ti_tbl_50">#REF!</definedName>
    <definedName name="ti_tbl_69" localSheetId="12">#REF!</definedName>
    <definedName name="ti_tbl_69">#REF!</definedName>
    <definedName name="trillion">About!$A$85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crV+I6w5FvIiyfRwgAnfHk5fFSAw2BESmZalg0URmvY="/>
    </ext>
  </extLst>
</workbook>
</file>

<file path=xl/calcChain.xml><?xml version="1.0" encoding="utf-8"?>
<calcChain xmlns="http://schemas.openxmlformats.org/spreadsheetml/2006/main">
  <c r="D7" i="3" l="1"/>
  <c r="C7" i="3"/>
  <c r="E5" i="3"/>
  <c r="E3" i="3"/>
  <c r="F3" i="3"/>
  <c r="C3" i="3"/>
  <c r="F2" i="3"/>
  <c r="C2" i="3"/>
  <c r="E2" i="3"/>
  <c r="E6" i="3"/>
  <c r="D6" i="3"/>
  <c r="F5" i="3"/>
  <c r="D4" i="3"/>
  <c r="D2" i="3"/>
  <c r="B7" i="3"/>
  <c r="B5" i="3"/>
  <c r="B3" i="3"/>
  <c r="B2" i="3"/>
  <c r="AJ103" i="9"/>
  <c r="AI103" i="9"/>
  <c r="AD103" i="9"/>
  <c r="AE103" i="9"/>
  <c r="AC103" i="9"/>
  <c r="X103" i="9"/>
  <c r="Y103" i="9"/>
  <c r="W103" i="9"/>
  <c r="Q103" i="9"/>
  <c r="R103" i="9"/>
  <c r="S103" i="9"/>
  <c r="P103" i="9"/>
  <c r="K103" i="9"/>
  <c r="L103" i="9"/>
  <c r="J103" i="9"/>
  <c r="C103" i="9"/>
  <c r="D103" i="9"/>
  <c r="E103" i="9"/>
  <c r="F103" i="9"/>
  <c r="B103" i="9"/>
  <c r="AJ95" i="9"/>
  <c r="AJ96" i="9"/>
  <c r="AJ97" i="9"/>
  <c r="AI96" i="9"/>
  <c r="AI97" i="9"/>
  <c r="AI95" i="9"/>
  <c r="AD95" i="9"/>
  <c r="AE95" i="9"/>
  <c r="AD96" i="9"/>
  <c r="AE96" i="9"/>
  <c r="AD97" i="9"/>
  <c r="AE97" i="9"/>
  <c r="AC96" i="9"/>
  <c r="AC97" i="9"/>
  <c r="AC95" i="9"/>
  <c r="X95" i="9"/>
  <c r="Y95" i="9"/>
  <c r="X96" i="9"/>
  <c r="Y96" i="9"/>
  <c r="X97" i="9"/>
  <c r="Y97" i="9"/>
  <c r="W96" i="9"/>
  <c r="W97" i="9"/>
  <c r="W95" i="9"/>
  <c r="Q95" i="9"/>
  <c r="R95" i="9"/>
  <c r="S95" i="9"/>
  <c r="Q96" i="9"/>
  <c r="R96" i="9"/>
  <c r="S96" i="9"/>
  <c r="Q97" i="9"/>
  <c r="R97" i="9"/>
  <c r="S97" i="9"/>
  <c r="P96" i="9"/>
  <c r="P97" i="9"/>
  <c r="P95" i="9"/>
  <c r="K95" i="9"/>
  <c r="L95" i="9"/>
  <c r="K96" i="9"/>
  <c r="L96" i="9"/>
  <c r="K97" i="9"/>
  <c r="L97" i="9"/>
  <c r="J96" i="9"/>
  <c r="J97" i="9"/>
  <c r="J95" i="9"/>
  <c r="C95" i="9"/>
  <c r="D95" i="9"/>
  <c r="E95" i="9"/>
  <c r="F95" i="9"/>
  <c r="C96" i="9"/>
  <c r="D96" i="9"/>
  <c r="E96" i="9"/>
  <c r="F96" i="9"/>
  <c r="C97" i="9"/>
  <c r="D97" i="9"/>
  <c r="E97" i="9"/>
  <c r="F97" i="9"/>
  <c r="B96" i="9"/>
  <c r="B97" i="9"/>
  <c r="B95" i="9"/>
  <c r="AJ45" i="9"/>
  <c r="AJ46" i="9"/>
  <c r="AJ47" i="9"/>
  <c r="AI46" i="9"/>
  <c r="AI47" i="9"/>
  <c r="AI45" i="9"/>
  <c r="AD45" i="9"/>
  <c r="AE45" i="9"/>
  <c r="AD46" i="9"/>
  <c r="AE46" i="9"/>
  <c r="AD47" i="9"/>
  <c r="AE47" i="9"/>
  <c r="AC46" i="9"/>
  <c r="AC47" i="9"/>
  <c r="AC45" i="9"/>
  <c r="X45" i="9"/>
  <c r="Y45" i="9"/>
  <c r="X46" i="9"/>
  <c r="Y46" i="9"/>
  <c r="X47" i="9"/>
  <c r="Y47" i="9"/>
  <c r="W46" i="9"/>
  <c r="W47" i="9"/>
  <c r="W45" i="9"/>
  <c r="Q45" i="9"/>
  <c r="R45" i="9"/>
  <c r="S45" i="9"/>
  <c r="Q46" i="9"/>
  <c r="R46" i="9"/>
  <c r="S46" i="9"/>
  <c r="Q47" i="9"/>
  <c r="R47" i="9"/>
  <c r="S47" i="9"/>
  <c r="P46" i="9"/>
  <c r="P47" i="9"/>
  <c r="P45" i="9"/>
  <c r="K45" i="9"/>
  <c r="L45" i="9"/>
  <c r="K46" i="9"/>
  <c r="L46" i="9"/>
  <c r="K47" i="9"/>
  <c r="L47" i="9"/>
  <c r="J46" i="9"/>
  <c r="J47" i="9"/>
  <c r="J45" i="9"/>
  <c r="C45" i="9"/>
  <c r="D45" i="9"/>
  <c r="E45" i="9"/>
  <c r="F45" i="9"/>
  <c r="C46" i="9"/>
  <c r="D46" i="9"/>
  <c r="E46" i="9"/>
  <c r="F46" i="9"/>
  <c r="C47" i="9"/>
  <c r="D47" i="9"/>
  <c r="E47" i="9"/>
  <c r="F47" i="9"/>
  <c r="B46" i="9"/>
  <c r="B47" i="9"/>
  <c r="B45" i="9"/>
  <c r="I103" i="9"/>
  <c r="O103" i="9"/>
  <c r="V103" i="9"/>
  <c r="AB103" i="9"/>
  <c r="AH103" i="9"/>
  <c r="A103" i="9"/>
  <c r="AC94" i="9"/>
  <c r="AC102" i="9" s="1"/>
  <c r="Y94" i="9"/>
  <c r="Y102" i="9" s="1"/>
  <c r="S94" i="9"/>
  <c r="S102" i="9" s="1"/>
  <c r="R94" i="9"/>
  <c r="R102" i="9" s="1"/>
  <c r="AH52" i="9" a="1"/>
  <c r="AH52" i="9" s="1"/>
  <c r="AH94" i="9" s="1"/>
  <c r="AH102" i="9" s="1"/>
  <c r="AI44" i="9"/>
  <c r="AJ44" i="9"/>
  <c r="AH2" i="9" a="1"/>
  <c r="AH2" i="9" s="1"/>
  <c r="AH44" i="9" s="1"/>
  <c r="AB52" i="9" a="1"/>
  <c r="AB52" i="9" s="1"/>
  <c r="AB94" i="9" s="1"/>
  <c r="AB102" i="9" s="1"/>
  <c r="V52" i="9" a="1"/>
  <c r="V52" i="9" s="1"/>
  <c r="V94" i="9" s="1"/>
  <c r="V102" i="9" s="1"/>
  <c r="O52" i="9" a="1"/>
  <c r="O52" i="9" s="1"/>
  <c r="O94" i="9" s="1"/>
  <c r="O102" i="9" s="1"/>
  <c r="I52" i="9" a="1"/>
  <c r="I52" i="9" s="1"/>
  <c r="I94" i="9" s="1"/>
  <c r="I102" i="9" s="1"/>
  <c r="A52" i="9" a="1"/>
  <c r="A52" i="9" s="1"/>
  <c r="A94" i="9" s="1"/>
  <c r="A102" i="9" s="1"/>
  <c r="J44" i="9"/>
  <c r="AB2" i="9" a="1"/>
  <c r="AB2" i="9" s="1"/>
  <c r="AB44" i="9" s="1"/>
  <c r="V2" i="9" a="1"/>
  <c r="V2" i="9" s="1"/>
  <c r="V44" i="9" s="1"/>
  <c r="O2" i="9" a="1"/>
  <c r="O2" i="9" s="1"/>
  <c r="O44" i="9" s="1"/>
  <c r="I2" i="9" a="1"/>
  <c r="I2" i="9" s="1"/>
  <c r="I44" i="9" s="1"/>
  <c r="B2" i="9" a="1"/>
  <c r="B2" i="9" s="1"/>
  <c r="B44" i="9" s="1"/>
  <c r="A2" i="9" a="1"/>
  <c r="A2" i="9" s="1"/>
  <c r="A44" i="9" s="1"/>
  <c r="C43" i="14"/>
  <c r="D43" i="14"/>
  <c r="E43" i="14"/>
  <c r="F43" i="14"/>
  <c r="G43" i="14"/>
  <c r="H43" i="14"/>
  <c r="I43" i="14"/>
  <c r="J43" i="14"/>
  <c r="K43" i="14"/>
  <c r="L43" i="14"/>
  <c r="M43" i="14"/>
  <c r="N43" i="14"/>
  <c r="O43" i="14"/>
  <c r="P43" i="14"/>
  <c r="Q43" i="14"/>
  <c r="R43" i="14"/>
  <c r="S43" i="14"/>
  <c r="T43" i="14"/>
  <c r="U43" i="14"/>
  <c r="V43" i="14"/>
  <c r="W43" i="14"/>
  <c r="X43" i="14"/>
  <c r="Y43" i="14"/>
  <c r="Z43" i="14"/>
  <c r="AA43" i="14"/>
  <c r="AB43" i="14"/>
  <c r="AC43" i="14"/>
  <c r="AD43" i="14"/>
  <c r="AE43" i="14"/>
  <c r="AF43" i="14"/>
  <c r="AG43" i="14"/>
  <c r="AH43" i="14"/>
  <c r="AI43" i="14"/>
  <c r="AJ43" i="14"/>
  <c r="AK43" i="14"/>
  <c r="AL43" i="14"/>
  <c r="AM43" i="14"/>
  <c r="AN43" i="14"/>
  <c r="C44" i="14"/>
  <c r="D44" i="14"/>
  <c r="E44" i="14"/>
  <c r="F44" i="14"/>
  <c r="G44" i="14"/>
  <c r="H44" i="14"/>
  <c r="I44" i="14"/>
  <c r="J44" i="14"/>
  <c r="K44" i="14"/>
  <c r="L44" i="14"/>
  <c r="M44" i="14"/>
  <c r="N44" i="14"/>
  <c r="O44" i="14"/>
  <c r="P44" i="14"/>
  <c r="Q44" i="14"/>
  <c r="R44" i="14"/>
  <c r="S44" i="14"/>
  <c r="T44" i="14"/>
  <c r="U44" i="14"/>
  <c r="V44" i="14"/>
  <c r="W44" i="14"/>
  <c r="X44" i="14"/>
  <c r="Y44" i="14"/>
  <c r="Z44" i="14"/>
  <c r="AA44" i="14"/>
  <c r="AB44" i="14"/>
  <c r="AC44" i="14"/>
  <c r="AD44" i="14"/>
  <c r="AE44" i="14"/>
  <c r="AF44" i="14"/>
  <c r="AG44" i="14"/>
  <c r="AH44" i="14"/>
  <c r="AI44" i="14"/>
  <c r="AJ44" i="14"/>
  <c r="AK44" i="14"/>
  <c r="AL44" i="14"/>
  <c r="AM44" i="14"/>
  <c r="AN44" i="14"/>
  <c r="B44" i="14"/>
  <c r="B43" i="14"/>
  <c r="C31" i="14"/>
  <c r="D31" i="14"/>
  <c r="E31" i="14"/>
  <c r="F31" i="14"/>
  <c r="G31" i="14"/>
  <c r="H31" i="14"/>
  <c r="I31" i="14"/>
  <c r="J31" i="14"/>
  <c r="K31" i="14"/>
  <c r="L31" i="14"/>
  <c r="M31" i="14"/>
  <c r="N31" i="14"/>
  <c r="O31" i="14"/>
  <c r="P31" i="14"/>
  <c r="Q31" i="14"/>
  <c r="R31" i="14"/>
  <c r="S31" i="14"/>
  <c r="T31" i="14"/>
  <c r="U31" i="14"/>
  <c r="V31" i="14"/>
  <c r="W31" i="14"/>
  <c r="X31" i="14"/>
  <c r="Y31" i="14"/>
  <c r="Z31" i="14"/>
  <c r="AA31" i="14"/>
  <c r="AB31" i="14"/>
  <c r="AC31" i="14"/>
  <c r="AD31" i="14"/>
  <c r="AE31" i="14"/>
  <c r="AF31" i="14"/>
  <c r="AG31" i="14"/>
  <c r="AH31" i="14"/>
  <c r="AI31" i="14"/>
  <c r="AJ31" i="14"/>
  <c r="AK31" i="14"/>
  <c r="AL31" i="14"/>
  <c r="AM31" i="14"/>
  <c r="AN31" i="14"/>
  <c r="C32" i="14"/>
  <c r="D32"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AH32" i="14"/>
  <c r="AI32" i="14"/>
  <c r="AJ32" i="14"/>
  <c r="AK32" i="14"/>
  <c r="AL32" i="14"/>
  <c r="AM32" i="14"/>
  <c r="AN32" i="14"/>
  <c r="C33" i="14"/>
  <c r="D33" i="14"/>
  <c r="E33" i="14"/>
  <c r="F33" i="14"/>
  <c r="G33" i="14"/>
  <c r="H33" i="14"/>
  <c r="I33" i="14"/>
  <c r="J33" i="14"/>
  <c r="K33" i="14"/>
  <c r="L33" i="14"/>
  <c r="M33" i="14"/>
  <c r="N33" i="14"/>
  <c r="O33" i="14"/>
  <c r="P33" i="14"/>
  <c r="Q33" i="14"/>
  <c r="R33" i="14"/>
  <c r="S33" i="14"/>
  <c r="T33" i="14"/>
  <c r="U33" i="14"/>
  <c r="V33" i="14"/>
  <c r="W33" i="14"/>
  <c r="X33" i="14"/>
  <c r="Y33" i="14"/>
  <c r="Z33" i="14"/>
  <c r="AA33" i="14"/>
  <c r="AB33" i="14"/>
  <c r="AC33" i="14"/>
  <c r="AD33" i="14"/>
  <c r="AE33" i="14"/>
  <c r="AF33" i="14"/>
  <c r="AG33" i="14"/>
  <c r="AH33" i="14"/>
  <c r="AI33" i="14"/>
  <c r="AJ33" i="14"/>
  <c r="AK33" i="14"/>
  <c r="AL33" i="14"/>
  <c r="AM33" i="14"/>
  <c r="AN33" i="14"/>
  <c r="C34" i="14"/>
  <c r="D34" i="14"/>
  <c r="E34" i="14"/>
  <c r="F34" i="14"/>
  <c r="G34" i="14"/>
  <c r="H34" i="14"/>
  <c r="I34" i="14"/>
  <c r="J34" i="14"/>
  <c r="K34" i="14"/>
  <c r="L34" i="14"/>
  <c r="M34" i="14"/>
  <c r="N34" i="14"/>
  <c r="O34" i="14"/>
  <c r="P34" i="14"/>
  <c r="Q34" i="14"/>
  <c r="R34" i="14"/>
  <c r="S34" i="14"/>
  <c r="T34" i="14"/>
  <c r="U34" i="14"/>
  <c r="V34" i="14"/>
  <c r="W34" i="14"/>
  <c r="X34" i="14"/>
  <c r="Y34" i="14"/>
  <c r="Z34" i="14"/>
  <c r="AA34" i="14"/>
  <c r="AB34" i="14"/>
  <c r="AC34" i="14"/>
  <c r="AD34" i="14"/>
  <c r="AE34" i="14"/>
  <c r="AF34" i="14"/>
  <c r="AG34" i="14"/>
  <c r="AH34" i="14"/>
  <c r="AI34" i="14"/>
  <c r="AJ34" i="14"/>
  <c r="AK34" i="14"/>
  <c r="AL34" i="14"/>
  <c r="AM34" i="14"/>
  <c r="AN34" i="14"/>
  <c r="B32" i="14"/>
  <c r="B33" i="14"/>
  <c r="B34" i="14"/>
  <c r="B31" i="14"/>
  <c r="C21" i="14"/>
  <c r="D21" i="14"/>
  <c r="E21" i="14"/>
  <c r="F21" i="14"/>
  <c r="G21" i="14"/>
  <c r="H21" i="14"/>
  <c r="I21" i="14"/>
  <c r="J21" i="14"/>
  <c r="K21" i="14"/>
  <c r="L21" i="14"/>
  <c r="M21" i="14"/>
  <c r="N21" i="14"/>
  <c r="O21" i="14"/>
  <c r="P21" i="14"/>
  <c r="Q21" i="14"/>
  <c r="R21" i="14"/>
  <c r="S21" i="14"/>
  <c r="T21" i="14"/>
  <c r="U21" i="14"/>
  <c r="V21" i="14"/>
  <c r="W21" i="14"/>
  <c r="X21" i="14"/>
  <c r="Y21" i="14"/>
  <c r="Z21" i="14"/>
  <c r="AA21" i="14"/>
  <c r="AB21" i="14"/>
  <c r="AC21" i="14"/>
  <c r="AD21" i="14"/>
  <c r="AE21" i="14"/>
  <c r="AF21" i="14"/>
  <c r="AG21" i="14"/>
  <c r="AH21" i="14"/>
  <c r="AI21" i="14"/>
  <c r="AJ21" i="14"/>
  <c r="AK21" i="14"/>
  <c r="AL21" i="14"/>
  <c r="AM21" i="14"/>
  <c r="AN21" i="14"/>
  <c r="C22" i="14"/>
  <c r="D22" i="14"/>
  <c r="E22" i="14"/>
  <c r="F22" i="14"/>
  <c r="G22" i="14"/>
  <c r="H22" i="14"/>
  <c r="I22" i="14"/>
  <c r="J22" i="14"/>
  <c r="K22" i="14"/>
  <c r="L22" i="14"/>
  <c r="M22" i="14"/>
  <c r="N22" i="14"/>
  <c r="O22" i="14"/>
  <c r="P22" i="14"/>
  <c r="Q22" i="14"/>
  <c r="R22" i="14"/>
  <c r="S22" i="14"/>
  <c r="T22" i="14"/>
  <c r="U22" i="14"/>
  <c r="V22" i="14"/>
  <c r="W22" i="14"/>
  <c r="X22" i="14"/>
  <c r="Y22" i="14"/>
  <c r="Z22" i="14"/>
  <c r="AA22" i="14"/>
  <c r="AB22" i="14"/>
  <c r="AC22" i="14"/>
  <c r="AD22" i="14"/>
  <c r="AE22" i="14"/>
  <c r="AF22" i="14"/>
  <c r="AG22" i="14"/>
  <c r="AH22" i="14"/>
  <c r="AI22" i="14"/>
  <c r="AJ22" i="14"/>
  <c r="AK22" i="14"/>
  <c r="AL22" i="14"/>
  <c r="AM22" i="14"/>
  <c r="AN22" i="14"/>
  <c r="B22" i="14"/>
  <c r="B21" i="14"/>
  <c r="J52" i="11" s="1" a="1"/>
  <c r="C7" i="14"/>
  <c r="D7" i="14"/>
  <c r="E7" i="14"/>
  <c r="F7" i="14"/>
  <c r="G7" i="14"/>
  <c r="H7" i="14"/>
  <c r="I7" i="14"/>
  <c r="J7" i="14"/>
  <c r="K7" i="14"/>
  <c r="L7" i="14"/>
  <c r="M7" i="14"/>
  <c r="N7" i="14"/>
  <c r="O7" i="14"/>
  <c r="P7" i="14"/>
  <c r="Q7" i="14"/>
  <c r="R7" i="14"/>
  <c r="S7" i="14"/>
  <c r="T7" i="14"/>
  <c r="U7" i="14"/>
  <c r="V7" i="14"/>
  <c r="W7" i="14"/>
  <c r="X7" i="14"/>
  <c r="Y7" i="14"/>
  <c r="Z7" i="14"/>
  <c r="AA7" i="14"/>
  <c r="AB7" i="14"/>
  <c r="AC7" i="14"/>
  <c r="AD7" i="14"/>
  <c r="AE7" i="14"/>
  <c r="AF7" i="14"/>
  <c r="AG7" i="14"/>
  <c r="AH7" i="14"/>
  <c r="AI7" i="14"/>
  <c r="AJ7" i="14"/>
  <c r="AK7" i="14"/>
  <c r="AL7" i="14"/>
  <c r="AM7" i="14"/>
  <c r="AN7" i="14"/>
  <c r="C8" i="14"/>
  <c r="D8" i="14"/>
  <c r="E8" i="14"/>
  <c r="F8" i="14"/>
  <c r="G8" i="14"/>
  <c r="H8" i="14"/>
  <c r="I8" i="14"/>
  <c r="J8" i="14"/>
  <c r="K8" i="14"/>
  <c r="L8" i="14"/>
  <c r="M8" i="14"/>
  <c r="N8" i="14"/>
  <c r="O8" i="14"/>
  <c r="P8" i="14"/>
  <c r="Q8" i="14"/>
  <c r="R8" i="14"/>
  <c r="S8" i="14"/>
  <c r="T8" i="14"/>
  <c r="U8" i="14"/>
  <c r="V8" i="14"/>
  <c r="W8" i="14"/>
  <c r="X8" i="14"/>
  <c r="Y8" i="14"/>
  <c r="Z8" i="14"/>
  <c r="AA8" i="14"/>
  <c r="AB8" i="14"/>
  <c r="AC8" i="14"/>
  <c r="AD8" i="14"/>
  <c r="AE8" i="14"/>
  <c r="AF8" i="14"/>
  <c r="AG8" i="14"/>
  <c r="AH8" i="14"/>
  <c r="AI8" i="14"/>
  <c r="AJ8" i="14"/>
  <c r="AK8" i="14"/>
  <c r="AL8" i="14"/>
  <c r="AM8" i="14"/>
  <c r="AN8" i="14"/>
  <c r="C9" i="14"/>
  <c r="D9" i="14"/>
  <c r="E9" i="14"/>
  <c r="F9" i="14"/>
  <c r="G9" i="14"/>
  <c r="H9" i="14"/>
  <c r="I9" i="14"/>
  <c r="J9" i="14"/>
  <c r="K9" i="14"/>
  <c r="L9" i="14"/>
  <c r="M9" i="14"/>
  <c r="N9" i="14"/>
  <c r="O9" i="14"/>
  <c r="P9" i="14"/>
  <c r="Q9" i="14"/>
  <c r="R9" i="14"/>
  <c r="S9" i="14"/>
  <c r="T9" i="14"/>
  <c r="U9" i="14"/>
  <c r="V9" i="14"/>
  <c r="W9" i="14"/>
  <c r="X9" i="14"/>
  <c r="Y9" i="14"/>
  <c r="Z9" i="14"/>
  <c r="AA9" i="14"/>
  <c r="AB9" i="14"/>
  <c r="AC9" i="14"/>
  <c r="AD9" i="14"/>
  <c r="AE9" i="14"/>
  <c r="AF9" i="14"/>
  <c r="AG9" i="14"/>
  <c r="AH9" i="14"/>
  <c r="AI9" i="14"/>
  <c r="AJ9" i="14"/>
  <c r="AK9" i="14"/>
  <c r="AL9" i="14"/>
  <c r="AM9" i="14"/>
  <c r="AN9" i="14"/>
  <c r="C10" i="14"/>
  <c r="D10" i="14"/>
  <c r="E10" i="14"/>
  <c r="F10" i="14"/>
  <c r="G10" i="14"/>
  <c r="H10" i="14"/>
  <c r="I10" i="14"/>
  <c r="J10" i="14"/>
  <c r="K10" i="14"/>
  <c r="L10" i="14"/>
  <c r="M10" i="14"/>
  <c r="N10" i="14"/>
  <c r="O10" i="14"/>
  <c r="P10" i="14"/>
  <c r="Q10" i="14"/>
  <c r="R10" i="14"/>
  <c r="S10" i="14"/>
  <c r="T10" i="14"/>
  <c r="U10" i="14"/>
  <c r="V10" i="14"/>
  <c r="W10" i="14"/>
  <c r="X10" i="14"/>
  <c r="Y10" i="14"/>
  <c r="Z10" i="14"/>
  <c r="AA10" i="14"/>
  <c r="AB10" i="14"/>
  <c r="AC10" i="14"/>
  <c r="AD10" i="14"/>
  <c r="AE10" i="14"/>
  <c r="AF10" i="14"/>
  <c r="AG10" i="14"/>
  <c r="AH10" i="14"/>
  <c r="AI10" i="14"/>
  <c r="AJ10" i="14"/>
  <c r="AK10" i="14"/>
  <c r="AL10" i="14"/>
  <c r="AM10" i="14"/>
  <c r="AN10" i="14"/>
  <c r="C11" i="14"/>
  <c r="D11" i="14"/>
  <c r="E11" i="14"/>
  <c r="F11" i="14"/>
  <c r="G11" i="14"/>
  <c r="H11" i="14"/>
  <c r="I11" i="14"/>
  <c r="J11" i="14"/>
  <c r="K11" i="14"/>
  <c r="L11" i="14"/>
  <c r="M11" i="14"/>
  <c r="N11" i="14"/>
  <c r="O11" i="14"/>
  <c r="P11" i="14"/>
  <c r="Q11" i="14"/>
  <c r="R11" i="14"/>
  <c r="S11" i="14"/>
  <c r="T11" i="14"/>
  <c r="U11" i="14"/>
  <c r="V11" i="14"/>
  <c r="W11" i="14"/>
  <c r="X11" i="14"/>
  <c r="Y11" i="14"/>
  <c r="Z11" i="14"/>
  <c r="AA11" i="14"/>
  <c r="AB11" i="14"/>
  <c r="AC11" i="14"/>
  <c r="AD11" i="14"/>
  <c r="AE11" i="14"/>
  <c r="AF11" i="14"/>
  <c r="AG11" i="14"/>
  <c r="AH11" i="14"/>
  <c r="AI11" i="14"/>
  <c r="AJ11" i="14"/>
  <c r="AK11" i="14"/>
  <c r="AL11" i="14"/>
  <c r="AM11" i="14"/>
  <c r="AN11" i="14"/>
  <c r="C12" i="14"/>
  <c r="D12" i="14"/>
  <c r="E12" i="14"/>
  <c r="F12" i="14"/>
  <c r="G12" i="14"/>
  <c r="H12" i="14"/>
  <c r="I12" i="14"/>
  <c r="J12" i="14"/>
  <c r="K12" i="14"/>
  <c r="L12" i="14"/>
  <c r="M12" i="14"/>
  <c r="N12" i="14"/>
  <c r="O12" i="14"/>
  <c r="P12" i="14"/>
  <c r="Q12" i="14"/>
  <c r="R12" i="14"/>
  <c r="S12" i="14"/>
  <c r="T12" i="14"/>
  <c r="U12" i="14"/>
  <c r="V12" i="14"/>
  <c r="W12" i="14"/>
  <c r="X12" i="14"/>
  <c r="Y12" i="14"/>
  <c r="Z12" i="14"/>
  <c r="AA12" i="14"/>
  <c r="AB12" i="14"/>
  <c r="AC12" i="14"/>
  <c r="AD12" i="14"/>
  <c r="AE12" i="14"/>
  <c r="AF12" i="14"/>
  <c r="AG12" i="14"/>
  <c r="AH12" i="14"/>
  <c r="AI12" i="14"/>
  <c r="AJ12" i="14"/>
  <c r="AK12" i="14"/>
  <c r="AL12" i="14"/>
  <c r="AM12" i="14"/>
  <c r="AN12" i="14"/>
  <c r="B8" i="14"/>
  <c r="B9" i="14"/>
  <c r="B10" i="14"/>
  <c r="B11" i="14"/>
  <c r="B12" i="14"/>
  <c r="B7" i="14"/>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I43" i="10"/>
  <c r="AJ43" i="10"/>
  <c r="AK43" i="10"/>
  <c r="AL43" i="10"/>
  <c r="AM43" i="10"/>
  <c r="AN43"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I44" i="10"/>
  <c r="AJ44" i="10"/>
  <c r="AK44" i="10"/>
  <c r="AL44" i="10"/>
  <c r="AM44" i="10"/>
  <c r="AN44" i="10"/>
  <c r="B44" i="10"/>
  <c r="B43" i="10"/>
  <c r="V2" i="11" s="1" a="1"/>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I31" i="10"/>
  <c r="AJ31" i="10"/>
  <c r="AK31" i="10"/>
  <c r="AL31" i="10"/>
  <c r="AM31" i="10"/>
  <c r="AN31" i="10"/>
  <c r="C32" i="10"/>
  <c r="O2" i="11" s="1" a="1"/>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I32" i="10"/>
  <c r="AJ32" i="10"/>
  <c r="AK32" i="10"/>
  <c r="AL32" i="10"/>
  <c r="AM32" i="10"/>
  <c r="AN32"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I33" i="10"/>
  <c r="AJ33" i="10"/>
  <c r="AK33" i="10"/>
  <c r="AL33" i="10"/>
  <c r="AM33" i="10"/>
  <c r="AN33"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I34" i="10"/>
  <c r="AJ34" i="10"/>
  <c r="AK34" i="10"/>
  <c r="AL34" i="10"/>
  <c r="AM34" i="10"/>
  <c r="AN34" i="10"/>
  <c r="B32" i="10"/>
  <c r="B33" i="10"/>
  <c r="B34" i="10"/>
  <c r="B3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I21" i="10"/>
  <c r="AJ21" i="10"/>
  <c r="AK21" i="10"/>
  <c r="AL21" i="10"/>
  <c r="AM21" i="10"/>
  <c r="AN21"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I22" i="10"/>
  <c r="AJ22" i="10"/>
  <c r="AK22" i="10"/>
  <c r="AL22" i="10"/>
  <c r="AM22" i="10"/>
  <c r="AN22" i="10"/>
  <c r="B22" i="10"/>
  <c r="B21" i="10"/>
  <c r="J2" i="11" s="1" a="1"/>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I7" i="10"/>
  <c r="AJ7" i="10"/>
  <c r="AK7" i="10"/>
  <c r="AL7" i="10"/>
  <c r="AM7" i="10"/>
  <c r="AN7"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I8" i="10"/>
  <c r="AJ8" i="10"/>
  <c r="AK8" i="10"/>
  <c r="AL8" i="10"/>
  <c r="AM8" i="10"/>
  <c r="AN8"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I9" i="10"/>
  <c r="AJ9" i="10"/>
  <c r="AK9" i="10"/>
  <c r="AL9" i="10"/>
  <c r="AM9" i="10"/>
  <c r="AN9"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I10" i="10"/>
  <c r="AJ10" i="10"/>
  <c r="AK10" i="10"/>
  <c r="AL10" i="10"/>
  <c r="AM10" i="10"/>
  <c r="AN10"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I11" i="10"/>
  <c r="AJ11" i="10"/>
  <c r="AK11" i="10"/>
  <c r="AL11" i="10"/>
  <c r="AM11" i="10"/>
  <c r="AN11"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I12" i="10"/>
  <c r="AJ12" i="10"/>
  <c r="AK12" i="10"/>
  <c r="AL12" i="10"/>
  <c r="AM12" i="10"/>
  <c r="AN12" i="10"/>
  <c r="B8" i="10"/>
  <c r="B9" i="10"/>
  <c r="B10" i="10"/>
  <c r="B11" i="10"/>
  <c r="B12" i="10"/>
  <c r="B7" i="10"/>
  <c r="C65" i="13"/>
  <c r="D65" i="13"/>
  <c r="E65" i="13"/>
  <c r="F65" i="13"/>
  <c r="G65" i="13"/>
  <c r="H65" i="13"/>
  <c r="I65" i="13"/>
  <c r="J65" i="13"/>
  <c r="K65" i="13"/>
  <c r="L65" i="13"/>
  <c r="M65" i="13"/>
  <c r="N65" i="13"/>
  <c r="O65" i="13"/>
  <c r="P65" i="13"/>
  <c r="Q65" i="13"/>
  <c r="R65" i="13"/>
  <c r="S65" i="13"/>
  <c r="T65" i="13"/>
  <c r="U65" i="13"/>
  <c r="V65" i="13"/>
  <c r="W65" i="13"/>
  <c r="X65" i="13"/>
  <c r="Y65" i="13"/>
  <c r="Z65" i="13"/>
  <c r="AA65" i="13"/>
  <c r="AB65" i="13"/>
  <c r="AC65" i="13"/>
  <c r="AD65" i="13"/>
  <c r="AE65" i="13"/>
  <c r="AF65" i="13"/>
  <c r="AG65" i="13"/>
  <c r="AH65" i="13"/>
  <c r="AI65" i="13"/>
  <c r="AJ65" i="13"/>
  <c r="AK65" i="13"/>
  <c r="AL65" i="13"/>
  <c r="AM65" i="13"/>
  <c r="AN65" i="13"/>
  <c r="C66" i="13"/>
  <c r="D66" i="13"/>
  <c r="E66" i="13"/>
  <c r="F66" i="13"/>
  <c r="G66" i="13"/>
  <c r="H66" i="13"/>
  <c r="I66" i="13"/>
  <c r="J66" i="13"/>
  <c r="K66" i="13"/>
  <c r="L66" i="13"/>
  <c r="M66" i="13"/>
  <c r="N66" i="13"/>
  <c r="O66" i="13"/>
  <c r="P66" i="13"/>
  <c r="Q66" i="13"/>
  <c r="R66" i="13"/>
  <c r="S66" i="13"/>
  <c r="T66" i="13"/>
  <c r="U66" i="13"/>
  <c r="V66" i="13"/>
  <c r="W66" i="13"/>
  <c r="X66" i="13"/>
  <c r="Y66" i="13"/>
  <c r="Z66" i="13"/>
  <c r="AA66" i="13"/>
  <c r="AB66" i="13"/>
  <c r="AC66" i="13"/>
  <c r="AD66" i="13"/>
  <c r="AE66" i="13"/>
  <c r="AF66" i="13"/>
  <c r="AG66" i="13"/>
  <c r="AH66" i="13"/>
  <c r="AI66" i="13"/>
  <c r="AJ66" i="13"/>
  <c r="AK66" i="13"/>
  <c r="AL66" i="13"/>
  <c r="AM66" i="13"/>
  <c r="AN66" i="13"/>
  <c r="B66" i="13"/>
  <c r="B65" i="13"/>
  <c r="C54" i="13"/>
  <c r="D54" i="13"/>
  <c r="E54" i="13"/>
  <c r="F54" i="13"/>
  <c r="G54" i="13"/>
  <c r="H54" i="13"/>
  <c r="I54" i="13"/>
  <c r="J54" i="13"/>
  <c r="K54" i="13"/>
  <c r="L54" i="13"/>
  <c r="M54" i="13"/>
  <c r="N54" i="13"/>
  <c r="O54" i="13"/>
  <c r="P54" i="13"/>
  <c r="Q54" i="13"/>
  <c r="R54" i="13"/>
  <c r="S54" i="13"/>
  <c r="T54" i="13"/>
  <c r="U54" i="13"/>
  <c r="V54" i="13"/>
  <c r="W54" i="13"/>
  <c r="X54" i="13"/>
  <c r="Y54" i="13"/>
  <c r="Z54" i="13"/>
  <c r="AA54" i="13"/>
  <c r="AB54" i="13"/>
  <c r="AC54" i="13"/>
  <c r="AD54" i="13"/>
  <c r="AE54" i="13"/>
  <c r="AF54" i="13"/>
  <c r="AG54" i="13"/>
  <c r="AH54" i="13"/>
  <c r="AI54" i="13"/>
  <c r="AJ54" i="13"/>
  <c r="AK54" i="13"/>
  <c r="AL54" i="13"/>
  <c r="AM54" i="13"/>
  <c r="AN54" i="13"/>
  <c r="C55" i="13"/>
  <c r="D55" i="13"/>
  <c r="E55" i="13"/>
  <c r="F55" i="13"/>
  <c r="G55" i="13"/>
  <c r="H55" i="13"/>
  <c r="I55" i="13"/>
  <c r="J55" i="13"/>
  <c r="K55" i="13"/>
  <c r="L55" i="13"/>
  <c r="M55" i="13"/>
  <c r="N55" i="13"/>
  <c r="O55" i="13"/>
  <c r="P55" i="13"/>
  <c r="Q55" i="13"/>
  <c r="R55" i="13"/>
  <c r="S55" i="13"/>
  <c r="T55" i="13"/>
  <c r="U55" i="13"/>
  <c r="V55" i="13"/>
  <c r="W55" i="13"/>
  <c r="X55" i="13"/>
  <c r="Y55" i="13"/>
  <c r="Z55" i="13"/>
  <c r="AA55" i="13"/>
  <c r="AB55" i="13"/>
  <c r="AC55" i="13"/>
  <c r="AD55" i="13"/>
  <c r="AE55" i="13"/>
  <c r="AF55" i="13"/>
  <c r="AG55" i="13"/>
  <c r="AH55" i="13"/>
  <c r="AI55" i="13"/>
  <c r="AJ55" i="13"/>
  <c r="AK55" i="13"/>
  <c r="AL55" i="13"/>
  <c r="AM55" i="13"/>
  <c r="AN55" i="13"/>
  <c r="C56" i="13"/>
  <c r="D56" i="13"/>
  <c r="E56" i="13"/>
  <c r="F56" i="13"/>
  <c r="G56" i="13"/>
  <c r="H56" i="13"/>
  <c r="I56" i="13"/>
  <c r="J56" i="13"/>
  <c r="K56" i="13"/>
  <c r="L56" i="13"/>
  <c r="M56" i="13"/>
  <c r="N56" i="13"/>
  <c r="O56" i="13"/>
  <c r="P56" i="13"/>
  <c r="Q56" i="13"/>
  <c r="R56" i="13"/>
  <c r="S56" i="13"/>
  <c r="T56" i="13"/>
  <c r="U56" i="13"/>
  <c r="V56" i="13"/>
  <c r="W56" i="13"/>
  <c r="X56" i="13"/>
  <c r="Y56" i="13"/>
  <c r="Z56" i="13"/>
  <c r="AA56" i="13"/>
  <c r="AB56" i="13"/>
  <c r="AC56" i="13"/>
  <c r="AD56" i="13"/>
  <c r="AE56" i="13"/>
  <c r="AF56" i="13"/>
  <c r="AG56" i="13"/>
  <c r="AH56" i="13"/>
  <c r="AI56" i="13"/>
  <c r="AJ56" i="13"/>
  <c r="AK56" i="13"/>
  <c r="AL56" i="13"/>
  <c r="AM56" i="13"/>
  <c r="AN56" i="13"/>
  <c r="B55" i="13"/>
  <c r="B56" i="13"/>
  <c r="B54" i="13"/>
  <c r="C43" i="13"/>
  <c r="D43" i="13"/>
  <c r="E43" i="13"/>
  <c r="F43" i="13"/>
  <c r="G43" i="13"/>
  <c r="H43" i="13"/>
  <c r="I43" i="13"/>
  <c r="J43" i="13"/>
  <c r="K43" i="13"/>
  <c r="L43" i="13"/>
  <c r="M43" i="13"/>
  <c r="N43" i="13"/>
  <c r="O43" i="13"/>
  <c r="P43" i="13"/>
  <c r="Q43" i="13"/>
  <c r="R43" i="13"/>
  <c r="S43" i="13"/>
  <c r="T43" i="13"/>
  <c r="U43" i="13"/>
  <c r="V43" i="13"/>
  <c r="W43" i="13"/>
  <c r="X43" i="13"/>
  <c r="Y43" i="13"/>
  <c r="Z43" i="13"/>
  <c r="AA43" i="13"/>
  <c r="AB43" i="13"/>
  <c r="AC43" i="13"/>
  <c r="AD43" i="13"/>
  <c r="AE43" i="13"/>
  <c r="AF43" i="13"/>
  <c r="AG43" i="13"/>
  <c r="AH43" i="13"/>
  <c r="AI43" i="13"/>
  <c r="AJ43" i="13"/>
  <c r="AK43" i="13"/>
  <c r="AL43" i="13"/>
  <c r="AM43" i="13"/>
  <c r="AN43" i="13"/>
  <c r="C44" i="13"/>
  <c r="D44" i="13"/>
  <c r="E44" i="13"/>
  <c r="F44" i="13"/>
  <c r="G44" i="13"/>
  <c r="H44" i="13"/>
  <c r="I44" i="13"/>
  <c r="J44" i="13"/>
  <c r="K44" i="13"/>
  <c r="L44" i="13"/>
  <c r="M44" i="13"/>
  <c r="N44" i="13"/>
  <c r="O44" i="13"/>
  <c r="P44" i="13"/>
  <c r="Q44" i="13"/>
  <c r="R44" i="13"/>
  <c r="S44" i="13"/>
  <c r="T44" i="13"/>
  <c r="U44" i="13"/>
  <c r="V44" i="13"/>
  <c r="W44" i="13"/>
  <c r="X44" i="13"/>
  <c r="Y44" i="13"/>
  <c r="Z44" i="13"/>
  <c r="AA44" i="13"/>
  <c r="AB44" i="13"/>
  <c r="AC44" i="13"/>
  <c r="AD44" i="13"/>
  <c r="AE44" i="13"/>
  <c r="AF44" i="13"/>
  <c r="AG44" i="13"/>
  <c r="AH44" i="13"/>
  <c r="AI44" i="13"/>
  <c r="AJ44" i="13"/>
  <c r="AK44" i="13"/>
  <c r="AL44" i="13"/>
  <c r="AM44" i="13"/>
  <c r="AN44" i="13"/>
  <c r="C45" i="13"/>
  <c r="D45" i="13"/>
  <c r="E45" i="13"/>
  <c r="F45" i="13"/>
  <c r="G45" i="13"/>
  <c r="H45" i="13"/>
  <c r="I45" i="13"/>
  <c r="J45" i="13"/>
  <c r="K45" i="13"/>
  <c r="L45" i="13"/>
  <c r="M45" i="13"/>
  <c r="N45" i="13"/>
  <c r="O45" i="13"/>
  <c r="P45" i="13"/>
  <c r="Q45" i="13"/>
  <c r="R45" i="13"/>
  <c r="S45" i="13"/>
  <c r="T45" i="13"/>
  <c r="U45" i="13"/>
  <c r="V45" i="13"/>
  <c r="W45" i="13"/>
  <c r="X45" i="13"/>
  <c r="Y45" i="13"/>
  <c r="Z45" i="13"/>
  <c r="AA45" i="13"/>
  <c r="AB45" i="13"/>
  <c r="AC45" i="13"/>
  <c r="AD45" i="13"/>
  <c r="AE45" i="13"/>
  <c r="AF45" i="13"/>
  <c r="AG45" i="13"/>
  <c r="AH45" i="13"/>
  <c r="AI45" i="13"/>
  <c r="AJ45" i="13"/>
  <c r="AK45" i="13"/>
  <c r="AL45" i="13"/>
  <c r="AM45" i="13"/>
  <c r="AN45" i="13"/>
  <c r="B44" i="13"/>
  <c r="B45" i="13"/>
  <c r="B43" i="13"/>
  <c r="C31" i="13"/>
  <c r="D31" i="13"/>
  <c r="E31" i="13"/>
  <c r="F31" i="13"/>
  <c r="G31" i="13"/>
  <c r="H31" i="13"/>
  <c r="I31" i="13"/>
  <c r="J31" i="13"/>
  <c r="K31" i="13"/>
  <c r="L31" i="13"/>
  <c r="M31" i="13"/>
  <c r="N31" i="13"/>
  <c r="O31" i="13"/>
  <c r="P31" i="13"/>
  <c r="Q31" i="13"/>
  <c r="R31" i="13"/>
  <c r="S31" i="13"/>
  <c r="T31" i="13"/>
  <c r="U31" i="13"/>
  <c r="V31" i="13"/>
  <c r="W31" i="13"/>
  <c r="X31" i="13"/>
  <c r="Y31" i="13"/>
  <c r="Z31" i="13"/>
  <c r="AA31" i="13"/>
  <c r="AB31" i="13"/>
  <c r="AC31" i="13"/>
  <c r="AD31" i="13"/>
  <c r="AE31" i="13"/>
  <c r="AF31" i="13"/>
  <c r="AG31" i="13"/>
  <c r="AH31" i="13"/>
  <c r="AI31" i="13"/>
  <c r="AJ31" i="13"/>
  <c r="AK31" i="13"/>
  <c r="AL31" i="13"/>
  <c r="AM31" i="13"/>
  <c r="AN31" i="13"/>
  <c r="C32" i="13"/>
  <c r="D32" i="13"/>
  <c r="E32" i="13"/>
  <c r="F32" i="13"/>
  <c r="G32" i="13"/>
  <c r="H32" i="13"/>
  <c r="I32" i="13"/>
  <c r="J32" i="13"/>
  <c r="K32" i="13"/>
  <c r="L32" i="13"/>
  <c r="M32" i="13"/>
  <c r="N32" i="13"/>
  <c r="O32" i="13"/>
  <c r="P32" i="13"/>
  <c r="Q32" i="13"/>
  <c r="R32" i="13"/>
  <c r="S32" i="13"/>
  <c r="T32" i="13"/>
  <c r="U32" i="13"/>
  <c r="V32" i="13"/>
  <c r="W32" i="13"/>
  <c r="X32" i="13"/>
  <c r="Y32" i="13"/>
  <c r="Z32" i="13"/>
  <c r="AA32" i="13"/>
  <c r="AB32" i="13"/>
  <c r="AC32" i="13"/>
  <c r="AD32" i="13"/>
  <c r="AE32" i="13"/>
  <c r="AF32" i="13"/>
  <c r="AG32" i="13"/>
  <c r="AH32" i="13"/>
  <c r="AI32" i="13"/>
  <c r="AJ32" i="13"/>
  <c r="AK32" i="13"/>
  <c r="AL32" i="13"/>
  <c r="AM32" i="13"/>
  <c r="AN32" i="13"/>
  <c r="C33" i="13"/>
  <c r="D33" i="13"/>
  <c r="E33" i="13"/>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C34" i="13"/>
  <c r="D34" i="13"/>
  <c r="E34" i="13"/>
  <c r="F34" i="13"/>
  <c r="G34" i="13"/>
  <c r="H34" i="13"/>
  <c r="I34" i="13"/>
  <c r="J34" i="13"/>
  <c r="K34" i="13"/>
  <c r="L34" i="13"/>
  <c r="M34" i="13"/>
  <c r="N34" i="13"/>
  <c r="O34" i="13"/>
  <c r="P34" i="13"/>
  <c r="Q34" i="13"/>
  <c r="R34" i="13"/>
  <c r="S34" i="13"/>
  <c r="T34" i="13"/>
  <c r="U34" i="13"/>
  <c r="V34" i="13"/>
  <c r="W34" i="13"/>
  <c r="X34" i="13"/>
  <c r="Y34" i="13"/>
  <c r="Z34" i="13"/>
  <c r="AA34" i="13"/>
  <c r="AB34" i="13"/>
  <c r="AC34" i="13"/>
  <c r="AD34" i="13"/>
  <c r="AE34" i="13"/>
  <c r="AF34" i="13"/>
  <c r="AG34" i="13"/>
  <c r="AH34" i="13"/>
  <c r="AI34" i="13"/>
  <c r="AJ34" i="13"/>
  <c r="AK34" i="13"/>
  <c r="AL34" i="13"/>
  <c r="AM34" i="13"/>
  <c r="AN34" i="13"/>
  <c r="B32" i="13"/>
  <c r="B33" i="13"/>
  <c r="B34" i="13"/>
  <c r="B31" i="13"/>
  <c r="C20" i="13"/>
  <c r="D20" i="13"/>
  <c r="E20" i="13"/>
  <c r="F20" i="13"/>
  <c r="G20" i="13"/>
  <c r="H20" i="13"/>
  <c r="I20" i="13"/>
  <c r="J20" i="13"/>
  <c r="K20" i="13"/>
  <c r="L20" i="13"/>
  <c r="M20" i="13"/>
  <c r="N20" i="13"/>
  <c r="O20" i="13"/>
  <c r="P20" i="13"/>
  <c r="Q20" i="13"/>
  <c r="R20" i="13"/>
  <c r="S20" i="13"/>
  <c r="T20" i="13"/>
  <c r="U20" i="13"/>
  <c r="V20" i="13"/>
  <c r="W20" i="13"/>
  <c r="X20" i="13"/>
  <c r="Y20" i="13"/>
  <c r="Z20" i="13"/>
  <c r="AA20" i="13"/>
  <c r="AB20" i="13"/>
  <c r="AC20" i="13"/>
  <c r="AD20" i="13"/>
  <c r="AE20" i="13"/>
  <c r="AF20" i="13"/>
  <c r="AG20" i="13"/>
  <c r="AH20" i="13"/>
  <c r="AI20" i="13"/>
  <c r="AJ20" i="13"/>
  <c r="AK20" i="13"/>
  <c r="AL20" i="13"/>
  <c r="AM20" i="13"/>
  <c r="AN20" i="13"/>
  <c r="C21" i="13"/>
  <c r="D21" i="13"/>
  <c r="E21"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C22" i="13"/>
  <c r="D22" i="13"/>
  <c r="E22" i="13"/>
  <c r="F22" i="13"/>
  <c r="G22" i="13"/>
  <c r="H22" i="13"/>
  <c r="I22" i="13"/>
  <c r="J22" i="13"/>
  <c r="K22" i="13"/>
  <c r="L22" i="13"/>
  <c r="M22" i="13"/>
  <c r="N22" i="13"/>
  <c r="O22" i="13"/>
  <c r="P22" i="13"/>
  <c r="Q22" i="13"/>
  <c r="R22" i="13"/>
  <c r="S22" i="13"/>
  <c r="T22" i="13"/>
  <c r="U22" i="13"/>
  <c r="V22" i="13"/>
  <c r="W22" i="13"/>
  <c r="X22" i="13"/>
  <c r="Y22" i="13"/>
  <c r="Z22" i="13"/>
  <c r="AA22" i="13"/>
  <c r="AB22" i="13"/>
  <c r="AC22" i="13"/>
  <c r="AD22" i="13"/>
  <c r="AE22" i="13"/>
  <c r="AF22" i="13"/>
  <c r="AG22" i="13"/>
  <c r="AH22" i="13"/>
  <c r="AI22" i="13"/>
  <c r="AJ22" i="13"/>
  <c r="AK22" i="13"/>
  <c r="AL22" i="13"/>
  <c r="AM22" i="13"/>
  <c r="AN22" i="13"/>
  <c r="B21" i="13"/>
  <c r="B22" i="13"/>
  <c r="B20" i="13"/>
  <c r="C7" i="13"/>
  <c r="D7" i="13"/>
  <c r="E7" i="13"/>
  <c r="F7" i="13"/>
  <c r="G7" i="13"/>
  <c r="H7" i="13"/>
  <c r="I7" i="13"/>
  <c r="J7" i="13"/>
  <c r="K7" i="13"/>
  <c r="L7" i="13"/>
  <c r="M7" i="13"/>
  <c r="N7" i="13"/>
  <c r="O7" i="13"/>
  <c r="P7" i="13"/>
  <c r="Q7" i="13"/>
  <c r="R7" i="13"/>
  <c r="S7" i="13"/>
  <c r="T7" i="13"/>
  <c r="U7" i="13"/>
  <c r="V7" i="13"/>
  <c r="W7" i="13"/>
  <c r="X7" i="13"/>
  <c r="Y7" i="13"/>
  <c r="Z7" i="13"/>
  <c r="AA7" i="13"/>
  <c r="AB7" i="13"/>
  <c r="AC7" i="13"/>
  <c r="AD7" i="13"/>
  <c r="AE7" i="13"/>
  <c r="AF7" i="13"/>
  <c r="AG7" i="13"/>
  <c r="AH7" i="13"/>
  <c r="AI7" i="13"/>
  <c r="AJ7" i="13"/>
  <c r="AK7" i="13"/>
  <c r="AL7" i="13"/>
  <c r="AM7" i="13"/>
  <c r="AN7" i="13"/>
  <c r="C8" i="13"/>
  <c r="D8" i="13"/>
  <c r="E8" i="13"/>
  <c r="F8" i="13"/>
  <c r="G8" i="13"/>
  <c r="H8" i="13"/>
  <c r="I8" i="13"/>
  <c r="J8" i="13"/>
  <c r="K8" i="13"/>
  <c r="L8" i="13"/>
  <c r="M8" i="13"/>
  <c r="N8" i="13"/>
  <c r="O8" i="13"/>
  <c r="P8" i="13"/>
  <c r="Q8" i="13"/>
  <c r="R8" i="13"/>
  <c r="S8" i="13"/>
  <c r="T8" i="13"/>
  <c r="U8" i="13"/>
  <c r="V8" i="13"/>
  <c r="W8" i="13"/>
  <c r="X8" i="13"/>
  <c r="Y8" i="13"/>
  <c r="Z8" i="13"/>
  <c r="AA8" i="13"/>
  <c r="AB8" i="13"/>
  <c r="AC8" i="13"/>
  <c r="AD8" i="13"/>
  <c r="AE8" i="13"/>
  <c r="AF8" i="13"/>
  <c r="AG8" i="13"/>
  <c r="AH8" i="13"/>
  <c r="AI8" i="13"/>
  <c r="AJ8" i="13"/>
  <c r="AK8" i="13"/>
  <c r="AL8" i="13"/>
  <c r="AM8" i="13"/>
  <c r="AN8" i="13"/>
  <c r="C9" i="13"/>
  <c r="D9" i="13"/>
  <c r="E9" i="13"/>
  <c r="F9" i="13"/>
  <c r="G9" i="13"/>
  <c r="H9" i="13"/>
  <c r="I9" i="13"/>
  <c r="J9" i="13"/>
  <c r="K9" i="13"/>
  <c r="L9" i="13"/>
  <c r="M9" i="13"/>
  <c r="N9" i="13"/>
  <c r="O9" i="13"/>
  <c r="P9" i="13"/>
  <c r="Q9" i="13"/>
  <c r="R9" i="13"/>
  <c r="S9" i="13"/>
  <c r="T9" i="13"/>
  <c r="U9" i="13"/>
  <c r="V9" i="13"/>
  <c r="W9" i="13"/>
  <c r="X9" i="13"/>
  <c r="Y9" i="13"/>
  <c r="Z9" i="13"/>
  <c r="AA9" i="13"/>
  <c r="AB9" i="13"/>
  <c r="AC9" i="13"/>
  <c r="AD9" i="13"/>
  <c r="AE9" i="13"/>
  <c r="AF9" i="13"/>
  <c r="AG9" i="13"/>
  <c r="AH9" i="13"/>
  <c r="AI9" i="13"/>
  <c r="AJ9" i="13"/>
  <c r="AK9" i="13"/>
  <c r="AL9" i="13"/>
  <c r="AM9" i="13"/>
  <c r="AN9" i="13"/>
  <c r="C10" i="13"/>
  <c r="D10" i="13"/>
  <c r="E10" i="13"/>
  <c r="F10" i="13"/>
  <c r="G10" i="13"/>
  <c r="H10" i="13"/>
  <c r="I10" i="13"/>
  <c r="J10" i="13"/>
  <c r="K10" i="13"/>
  <c r="L10" i="13"/>
  <c r="M10" i="13"/>
  <c r="N10" i="13"/>
  <c r="O10" i="13"/>
  <c r="P10" i="13"/>
  <c r="Q10" i="13"/>
  <c r="R10" i="13"/>
  <c r="S10" i="13"/>
  <c r="T10" i="13"/>
  <c r="U10" i="13"/>
  <c r="V10" i="13"/>
  <c r="W10" i="13"/>
  <c r="X10" i="13"/>
  <c r="Y10" i="13"/>
  <c r="Z10" i="13"/>
  <c r="AA10" i="13"/>
  <c r="AB10" i="13"/>
  <c r="AC10" i="13"/>
  <c r="AD10" i="13"/>
  <c r="AE10" i="13"/>
  <c r="AF10" i="13"/>
  <c r="AG10" i="13"/>
  <c r="AH10" i="13"/>
  <c r="AI10" i="13"/>
  <c r="AJ10" i="13"/>
  <c r="AK10" i="13"/>
  <c r="AL10" i="13"/>
  <c r="AM10" i="13"/>
  <c r="AN10" i="13"/>
  <c r="C11" i="13"/>
  <c r="D11" i="13"/>
  <c r="E11" i="13"/>
  <c r="F11" i="13"/>
  <c r="G11" i="13"/>
  <c r="H11" i="13"/>
  <c r="I11" i="13"/>
  <c r="J11" i="13"/>
  <c r="K11" i="13"/>
  <c r="L11" i="13"/>
  <c r="M11" i="13"/>
  <c r="N11" i="13"/>
  <c r="O11" i="13"/>
  <c r="P11" i="13"/>
  <c r="Q11" i="13"/>
  <c r="R11" i="13"/>
  <c r="S11" i="13"/>
  <c r="T11" i="13"/>
  <c r="U11" i="13"/>
  <c r="V11" i="13"/>
  <c r="W11" i="13"/>
  <c r="X11" i="13"/>
  <c r="Y11" i="13"/>
  <c r="Z11" i="13"/>
  <c r="AA11" i="13"/>
  <c r="AB11" i="13"/>
  <c r="AC11" i="13"/>
  <c r="AD11" i="13"/>
  <c r="AE11" i="13"/>
  <c r="AF11" i="13"/>
  <c r="AG11" i="13"/>
  <c r="AH11" i="13"/>
  <c r="AI11" i="13"/>
  <c r="AJ11" i="13"/>
  <c r="AK11" i="13"/>
  <c r="AL11" i="13"/>
  <c r="AM11" i="13"/>
  <c r="AN11" i="13"/>
  <c r="B8" i="13"/>
  <c r="B9" i="13"/>
  <c r="B10" i="13"/>
  <c r="B11" i="13"/>
  <c r="B7" i="13"/>
  <c r="C65" i="12"/>
  <c r="D65" i="12"/>
  <c r="E65" i="12"/>
  <c r="F65" i="12"/>
  <c r="G65" i="12"/>
  <c r="H65" i="12"/>
  <c r="I65" i="12"/>
  <c r="J65" i="12"/>
  <c r="K65" i="12"/>
  <c r="L65" i="12"/>
  <c r="M65" i="12"/>
  <c r="N65" i="12"/>
  <c r="O65" i="12"/>
  <c r="P65" i="12"/>
  <c r="Q65" i="12"/>
  <c r="R65" i="12"/>
  <c r="S65" i="12"/>
  <c r="T65" i="12"/>
  <c r="U65" i="12"/>
  <c r="V65" i="12"/>
  <c r="W65" i="12"/>
  <c r="X65" i="12"/>
  <c r="Y65" i="12"/>
  <c r="Z65" i="12"/>
  <c r="AA65" i="12"/>
  <c r="AB65" i="12"/>
  <c r="AC65" i="12"/>
  <c r="AD65" i="12"/>
  <c r="AE65" i="12"/>
  <c r="AF65" i="12"/>
  <c r="AG65" i="12"/>
  <c r="AH65" i="12"/>
  <c r="AI65" i="12"/>
  <c r="AJ65" i="12"/>
  <c r="AK65" i="12"/>
  <c r="AL65" i="12"/>
  <c r="AM65" i="12"/>
  <c r="AN65" i="12"/>
  <c r="C66" i="12"/>
  <c r="D66" i="12"/>
  <c r="E66" i="12"/>
  <c r="F66" i="12"/>
  <c r="G66" i="12"/>
  <c r="H66" i="12"/>
  <c r="I66" i="12"/>
  <c r="J66" i="12"/>
  <c r="K66" i="12"/>
  <c r="L66" i="12"/>
  <c r="M66" i="12"/>
  <c r="N66" i="12"/>
  <c r="O66" i="12"/>
  <c r="P66" i="12"/>
  <c r="Q66" i="12"/>
  <c r="R66" i="12"/>
  <c r="S66" i="12"/>
  <c r="T66" i="12"/>
  <c r="U66" i="12"/>
  <c r="V66" i="12"/>
  <c r="W66" i="12"/>
  <c r="X66" i="12"/>
  <c r="Y66" i="12"/>
  <c r="Z66" i="12"/>
  <c r="AA66" i="12"/>
  <c r="AB66" i="12"/>
  <c r="AC66" i="12"/>
  <c r="AD66" i="12"/>
  <c r="AE66" i="12"/>
  <c r="AF66" i="12"/>
  <c r="AG66" i="12"/>
  <c r="AH66" i="12"/>
  <c r="AI66" i="12"/>
  <c r="AJ66" i="12"/>
  <c r="AK66" i="12"/>
  <c r="AL66" i="12"/>
  <c r="AM66" i="12"/>
  <c r="AN66" i="12"/>
  <c r="B66" i="12"/>
  <c r="B65" i="12"/>
  <c r="C54" i="12"/>
  <c r="D54" i="12"/>
  <c r="E54" i="12"/>
  <c r="F54" i="12"/>
  <c r="G54" i="12"/>
  <c r="H54" i="12"/>
  <c r="I54" i="12"/>
  <c r="J54" i="12"/>
  <c r="K54" i="12"/>
  <c r="L54" i="12"/>
  <c r="M54" i="12"/>
  <c r="N54" i="12"/>
  <c r="O54" i="12"/>
  <c r="P54" i="12"/>
  <c r="Q54" i="12"/>
  <c r="R54" i="12"/>
  <c r="S54" i="12"/>
  <c r="T54" i="12"/>
  <c r="U54" i="12"/>
  <c r="V54" i="12"/>
  <c r="W54" i="12"/>
  <c r="X54" i="12"/>
  <c r="Y54" i="12"/>
  <c r="Z54" i="12"/>
  <c r="AA54" i="12"/>
  <c r="AB54" i="12"/>
  <c r="AC54" i="12"/>
  <c r="AD54" i="12"/>
  <c r="AE54" i="12"/>
  <c r="AF54" i="12"/>
  <c r="AG54" i="12"/>
  <c r="AH54" i="12"/>
  <c r="AI54" i="12"/>
  <c r="AJ54" i="12"/>
  <c r="AK54" i="12"/>
  <c r="AL54" i="12"/>
  <c r="AM54" i="12"/>
  <c r="AN54" i="12"/>
  <c r="C55" i="12"/>
  <c r="D55" i="12"/>
  <c r="E55" i="12"/>
  <c r="F55" i="12"/>
  <c r="G55" i="12"/>
  <c r="H55" i="12"/>
  <c r="I55" i="12"/>
  <c r="J55" i="12"/>
  <c r="K55" i="12"/>
  <c r="L55" i="12"/>
  <c r="M55" i="12"/>
  <c r="N55" i="12"/>
  <c r="O55" i="12"/>
  <c r="P55" i="12"/>
  <c r="Q55" i="12"/>
  <c r="R55" i="12"/>
  <c r="S55" i="12"/>
  <c r="T55" i="12"/>
  <c r="U55" i="12"/>
  <c r="V55" i="12"/>
  <c r="W55" i="12"/>
  <c r="X55" i="12"/>
  <c r="Y55" i="12"/>
  <c r="Z55" i="12"/>
  <c r="AA55" i="12"/>
  <c r="AB55" i="12"/>
  <c r="AC55" i="12"/>
  <c r="AD55" i="12"/>
  <c r="AE55" i="12"/>
  <c r="AF55" i="12"/>
  <c r="AG55" i="12"/>
  <c r="AH55" i="12"/>
  <c r="AI55" i="12"/>
  <c r="AJ55" i="12"/>
  <c r="AK55" i="12"/>
  <c r="AL55" i="12"/>
  <c r="AM55" i="12"/>
  <c r="AN55" i="12"/>
  <c r="C56" i="12"/>
  <c r="D56" i="12"/>
  <c r="E56" i="12"/>
  <c r="F56" i="12"/>
  <c r="G56" i="12"/>
  <c r="H56" i="12"/>
  <c r="I56" i="12"/>
  <c r="J56" i="12"/>
  <c r="K56" i="12"/>
  <c r="L56" i="12"/>
  <c r="M56" i="12"/>
  <c r="N56" i="12"/>
  <c r="O56" i="12"/>
  <c r="P56" i="12"/>
  <c r="Q56" i="12"/>
  <c r="R56" i="12"/>
  <c r="S56" i="12"/>
  <c r="T56" i="12"/>
  <c r="U56" i="12"/>
  <c r="V56" i="12"/>
  <c r="W56" i="12"/>
  <c r="X56" i="12"/>
  <c r="Y56" i="12"/>
  <c r="Z56" i="12"/>
  <c r="AA56" i="12"/>
  <c r="AB56" i="12"/>
  <c r="AC56" i="12"/>
  <c r="AD56" i="12"/>
  <c r="AE56" i="12"/>
  <c r="AF56" i="12"/>
  <c r="AG56" i="12"/>
  <c r="AH56" i="12"/>
  <c r="AI56" i="12"/>
  <c r="AJ56" i="12"/>
  <c r="AK56" i="12"/>
  <c r="AL56" i="12"/>
  <c r="AM56" i="12"/>
  <c r="AN56" i="12"/>
  <c r="B55" i="12"/>
  <c r="B56" i="12"/>
  <c r="B54" i="12"/>
  <c r="C43" i="12"/>
  <c r="D43" i="12"/>
  <c r="E43" i="12"/>
  <c r="F43" i="12"/>
  <c r="G43" i="12"/>
  <c r="H43" i="12"/>
  <c r="I43" i="12"/>
  <c r="J43" i="12"/>
  <c r="K43" i="12"/>
  <c r="L43" i="12"/>
  <c r="M43" i="12"/>
  <c r="N43" i="12"/>
  <c r="O43" i="12"/>
  <c r="P43" i="12"/>
  <c r="Q43" i="12"/>
  <c r="R43" i="12"/>
  <c r="S43" i="12"/>
  <c r="T43" i="12"/>
  <c r="U43" i="12"/>
  <c r="V43" i="12"/>
  <c r="W43" i="12"/>
  <c r="X43" i="12"/>
  <c r="Y43" i="12"/>
  <c r="Z43" i="12"/>
  <c r="AA43" i="12"/>
  <c r="AB43" i="12"/>
  <c r="AC43" i="12"/>
  <c r="AD43" i="12"/>
  <c r="AE43" i="12"/>
  <c r="AF43" i="12"/>
  <c r="AG43" i="12"/>
  <c r="AH43" i="12"/>
  <c r="AI43" i="12"/>
  <c r="AJ43" i="12"/>
  <c r="AK43" i="12"/>
  <c r="AL43" i="12"/>
  <c r="AM43" i="12"/>
  <c r="AN43" i="12"/>
  <c r="C44" i="12"/>
  <c r="D44" i="12"/>
  <c r="E44" i="12"/>
  <c r="F44" i="12"/>
  <c r="G44" i="12"/>
  <c r="H44" i="12"/>
  <c r="I44" i="12"/>
  <c r="J44" i="12"/>
  <c r="K44" i="12"/>
  <c r="L44" i="12"/>
  <c r="M44" i="12"/>
  <c r="N44" i="12"/>
  <c r="O44" i="12"/>
  <c r="P44" i="12"/>
  <c r="Q44" i="12"/>
  <c r="R44" i="12"/>
  <c r="S44" i="12"/>
  <c r="T44" i="12"/>
  <c r="U44" i="12"/>
  <c r="V44" i="12"/>
  <c r="W44" i="12"/>
  <c r="X44" i="12"/>
  <c r="Y44" i="12"/>
  <c r="Z44" i="12"/>
  <c r="AA44" i="12"/>
  <c r="AB44" i="12"/>
  <c r="AC44" i="12"/>
  <c r="AD44" i="12"/>
  <c r="AE44" i="12"/>
  <c r="AF44" i="12"/>
  <c r="AG44" i="12"/>
  <c r="AH44" i="12"/>
  <c r="AI44" i="12"/>
  <c r="AJ44" i="12"/>
  <c r="AK44" i="12"/>
  <c r="AL44" i="12"/>
  <c r="AM44" i="12"/>
  <c r="AN44" i="12"/>
  <c r="C45" i="12"/>
  <c r="D45" i="12"/>
  <c r="E45" i="12"/>
  <c r="F45" i="12"/>
  <c r="G45" i="12"/>
  <c r="H45" i="12"/>
  <c r="I45" i="12"/>
  <c r="J45" i="12"/>
  <c r="K45" i="12"/>
  <c r="L45" i="12"/>
  <c r="M45" i="12"/>
  <c r="N45" i="12"/>
  <c r="O45" i="12"/>
  <c r="P45" i="12"/>
  <c r="Q45" i="12"/>
  <c r="R45" i="12"/>
  <c r="S45" i="12"/>
  <c r="T45" i="12"/>
  <c r="U45" i="12"/>
  <c r="V45" i="12"/>
  <c r="W45" i="12"/>
  <c r="X45" i="12"/>
  <c r="Y45" i="12"/>
  <c r="Z45" i="12"/>
  <c r="AA45" i="12"/>
  <c r="AB45" i="12"/>
  <c r="AC45" i="12"/>
  <c r="AD45" i="12"/>
  <c r="AE45" i="12"/>
  <c r="AF45" i="12"/>
  <c r="AG45" i="12"/>
  <c r="AH45" i="12"/>
  <c r="AI45" i="12"/>
  <c r="AJ45" i="12"/>
  <c r="AK45" i="12"/>
  <c r="AL45" i="12"/>
  <c r="AM45" i="12"/>
  <c r="AN45" i="12"/>
  <c r="B44" i="12"/>
  <c r="B45" i="12"/>
  <c r="B43" i="12"/>
  <c r="C31" i="12"/>
  <c r="D31" i="12"/>
  <c r="E31" i="12"/>
  <c r="F31" i="12"/>
  <c r="G31" i="12"/>
  <c r="H31" i="12"/>
  <c r="I31" i="12"/>
  <c r="J31" i="12"/>
  <c r="K31" i="12"/>
  <c r="L31" i="12"/>
  <c r="M31" i="12"/>
  <c r="N31" i="12"/>
  <c r="O31" i="12"/>
  <c r="P31" i="12"/>
  <c r="Q31" i="12"/>
  <c r="R31" i="12"/>
  <c r="S31" i="12"/>
  <c r="T31" i="12"/>
  <c r="U31" i="12"/>
  <c r="V31" i="12"/>
  <c r="W31" i="12"/>
  <c r="X31" i="12"/>
  <c r="Y31" i="12"/>
  <c r="Z31" i="12"/>
  <c r="AA31" i="12"/>
  <c r="AB31" i="12"/>
  <c r="AC31" i="12"/>
  <c r="AD31" i="12"/>
  <c r="AE31" i="12"/>
  <c r="AF31" i="12"/>
  <c r="AG31" i="12"/>
  <c r="AH31" i="12"/>
  <c r="AI31" i="12"/>
  <c r="AJ31" i="12"/>
  <c r="AK31" i="12"/>
  <c r="AL31" i="12"/>
  <c r="AM31" i="12"/>
  <c r="AN31" i="12"/>
  <c r="C32" i="12"/>
  <c r="D32" i="12"/>
  <c r="E32" i="12"/>
  <c r="F32" i="12"/>
  <c r="G32" i="12"/>
  <c r="H32" i="12"/>
  <c r="I32" i="12"/>
  <c r="J32" i="12"/>
  <c r="K32" i="12"/>
  <c r="L32" i="12"/>
  <c r="M32" i="12"/>
  <c r="N32" i="12"/>
  <c r="O32" i="12"/>
  <c r="P32" i="12"/>
  <c r="Q32" i="12"/>
  <c r="R32" i="12"/>
  <c r="S32" i="12"/>
  <c r="T32" i="12"/>
  <c r="U32" i="12"/>
  <c r="V32" i="12"/>
  <c r="W32" i="12"/>
  <c r="X32" i="12"/>
  <c r="Y32" i="12"/>
  <c r="Z32" i="12"/>
  <c r="AA32" i="12"/>
  <c r="AB32" i="12"/>
  <c r="AC32" i="12"/>
  <c r="AD32" i="12"/>
  <c r="AE32" i="12"/>
  <c r="AF32" i="12"/>
  <c r="AG32" i="12"/>
  <c r="AH32" i="12"/>
  <c r="AI32" i="12"/>
  <c r="AJ32" i="12"/>
  <c r="AK32" i="12"/>
  <c r="AL32" i="12"/>
  <c r="AM32" i="12"/>
  <c r="AN32" i="12"/>
  <c r="C33" i="12"/>
  <c r="D33" i="12"/>
  <c r="E33" i="12"/>
  <c r="F33" i="12"/>
  <c r="G33" i="12"/>
  <c r="H33" i="12"/>
  <c r="I33" i="12"/>
  <c r="J33" i="12"/>
  <c r="K33" i="12"/>
  <c r="L33" i="12"/>
  <c r="M33" i="12"/>
  <c r="N33" i="12"/>
  <c r="O33" i="12"/>
  <c r="P33" i="12"/>
  <c r="Q33" i="12"/>
  <c r="R33" i="12"/>
  <c r="S33" i="12"/>
  <c r="T33" i="12"/>
  <c r="U33" i="12"/>
  <c r="V33" i="12"/>
  <c r="W33" i="12"/>
  <c r="X33" i="12"/>
  <c r="Y33" i="12"/>
  <c r="Z33" i="12"/>
  <c r="AA33" i="12"/>
  <c r="AB33" i="12"/>
  <c r="AC33" i="12"/>
  <c r="AD33" i="12"/>
  <c r="AE33" i="12"/>
  <c r="AF33" i="12"/>
  <c r="AG33" i="12"/>
  <c r="AH33" i="12"/>
  <c r="AI33" i="12"/>
  <c r="AJ33" i="12"/>
  <c r="AK33" i="12"/>
  <c r="AL33" i="12"/>
  <c r="AM33" i="12"/>
  <c r="AN33" i="12"/>
  <c r="C34" i="12"/>
  <c r="D34" i="12"/>
  <c r="E34" i="12"/>
  <c r="F34" i="12"/>
  <c r="G34" i="12"/>
  <c r="H34" i="12"/>
  <c r="I34" i="12"/>
  <c r="J34" i="12"/>
  <c r="K34" i="12"/>
  <c r="L34" i="12"/>
  <c r="M34" i="12"/>
  <c r="N34" i="12"/>
  <c r="O34" i="12"/>
  <c r="P34" i="12"/>
  <c r="Q34" i="12"/>
  <c r="R34" i="12"/>
  <c r="S34" i="12"/>
  <c r="T34" i="12"/>
  <c r="U34" i="12"/>
  <c r="V34" i="12"/>
  <c r="W34" i="12"/>
  <c r="X34" i="12"/>
  <c r="Y34" i="12"/>
  <c r="Z34" i="12"/>
  <c r="AA34" i="12"/>
  <c r="AB34" i="12"/>
  <c r="AC34" i="12"/>
  <c r="AD34" i="12"/>
  <c r="AE34" i="12"/>
  <c r="AF34" i="12"/>
  <c r="AG34" i="12"/>
  <c r="AH34" i="12"/>
  <c r="AI34" i="12"/>
  <c r="AJ34" i="12"/>
  <c r="AK34" i="12"/>
  <c r="AL34" i="12"/>
  <c r="AM34" i="12"/>
  <c r="AN34" i="12"/>
  <c r="B32" i="12"/>
  <c r="B33" i="12"/>
  <c r="B34" i="12"/>
  <c r="B31" i="12"/>
  <c r="C20" i="12"/>
  <c r="D20" i="12"/>
  <c r="E20" i="12"/>
  <c r="F20" i="12"/>
  <c r="G20" i="12"/>
  <c r="H20" i="12"/>
  <c r="I20" i="12"/>
  <c r="J20" i="12"/>
  <c r="K20" i="12"/>
  <c r="L20" i="12"/>
  <c r="M20" i="12"/>
  <c r="N20" i="12"/>
  <c r="O20" i="12"/>
  <c r="P20" i="12"/>
  <c r="Q20" i="12"/>
  <c r="R20" i="12"/>
  <c r="S20" i="12"/>
  <c r="T20" i="12"/>
  <c r="U20" i="12"/>
  <c r="V20" i="12"/>
  <c r="W20" i="12"/>
  <c r="X20" i="12"/>
  <c r="Y20" i="12"/>
  <c r="Z20" i="12"/>
  <c r="AA20" i="12"/>
  <c r="AB20" i="12"/>
  <c r="AC20" i="12"/>
  <c r="AD20" i="12"/>
  <c r="AE20" i="12"/>
  <c r="AF20" i="12"/>
  <c r="AG20" i="12"/>
  <c r="AH20" i="12"/>
  <c r="AI20" i="12"/>
  <c r="AJ20" i="12"/>
  <c r="AK20" i="12"/>
  <c r="AL20" i="12"/>
  <c r="AM20" i="12"/>
  <c r="AN20" i="12"/>
  <c r="C21" i="12"/>
  <c r="D21" i="12"/>
  <c r="E21" i="12"/>
  <c r="F21" i="12"/>
  <c r="G21" i="12"/>
  <c r="H21" i="12"/>
  <c r="I21" i="12"/>
  <c r="J21" i="12"/>
  <c r="K21" i="12"/>
  <c r="L21" i="12"/>
  <c r="M21" i="12"/>
  <c r="N21" i="12"/>
  <c r="O21" i="12"/>
  <c r="P21" i="12"/>
  <c r="Q21" i="12"/>
  <c r="R21" i="12"/>
  <c r="S21" i="12"/>
  <c r="T21" i="12"/>
  <c r="U21" i="12"/>
  <c r="V21" i="12"/>
  <c r="W21" i="12"/>
  <c r="X21" i="12"/>
  <c r="Y21" i="12"/>
  <c r="Z21" i="12"/>
  <c r="AA21" i="12"/>
  <c r="AB21" i="12"/>
  <c r="AC21" i="12"/>
  <c r="AD21" i="12"/>
  <c r="AE21" i="12"/>
  <c r="AF21" i="12"/>
  <c r="AG21" i="12"/>
  <c r="AH21" i="12"/>
  <c r="AI21" i="12"/>
  <c r="AJ21" i="12"/>
  <c r="AK21" i="12"/>
  <c r="AL21" i="12"/>
  <c r="AM21" i="12"/>
  <c r="AN21" i="12"/>
  <c r="C22" i="12"/>
  <c r="D22" i="12"/>
  <c r="E22" i="12"/>
  <c r="F22" i="12"/>
  <c r="G22" i="12"/>
  <c r="H22" i="12"/>
  <c r="I22" i="12"/>
  <c r="J22" i="12"/>
  <c r="K22" i="12"/>
  <c r="L22" i="12"/>
  <c r="M22" i="12"/>
  <c r="N22" i="12"/>
  <c r="O22" i="12"/>
  <c r="P22" i="12"/>
  <c r="Q22" i="12"/>
  <c r="R22" i="12"/>
  <c r="S22" i="12"/>
  <c r="T22" i="12"/>
  <c r="U22" i="12"/>
  <c r="V22" i="12"/>
  <c r="W22" i="12"/>
  <c r="X22" i="12"/>
  <c r="Y22" i="12"/>
  <c r="Z22" i="12"/>
  <c r="AA22" i="12"/>
  <c r="AB22" i="12"/>
  <c r="AC22" i="12"/>
  <c r="AD22" i="12"/>
  <c r="AE22" i="12"/>
  <c r="AF22" i="12"/>
  <c r="AG22" i="12"/>
  <c r="AH22" i="12"/>
  <c r="AI22" i="12"/>
  <c r="AJ22" i="12"/>
  <c r="AK22" i="12"/>
  <c r="AL22" i="12"/>
  <c r="AM22" i="12"/>
  <c r="AN22" i="12"/>
  <c r="B21" i="12"/>
  <c r="B22" i="12"/>
  <c r="B20" i="12"/>
  <c r="C7" i="12"/>
  <c r="D7" i="12"/>
  <c r="E7" i="12"/>
  <c r="F7" i="12"/>
  <c r="G7" i="12"/>
  <c r="H7" i="12"/>
  <c r="I7" i="12"/>
  <c r="J7" i="12"/>
  <c r="K7" i="12"/>
  <c r="L7" i="12"/>
  <c r="M7" i="12"/>
  <c r="N7" i="12"/>
  <c r="O7" i="12"/>
  <c r="P7" i="12"/>
  <c r="Q7" i="12"/>
  <c r="R7" i="12"/>
  <c r="S7" i="12"/>
  <c r="T7" i="12"/>
  <c r="U7" i="12"/>
  <c r="V7" i="12"/>
  <c r="W7" i="12"/>
  <c r="X7" i="12"/>
  <c r="Y7" i="12"/>
  <c r="Z7" i="12"/>
  <c r="AA7" i="12"/>
  <c r="AB7" i="12"/>
  <c r="AC7" i="12"/>
  <c r="AD7" i="12"/>
  <c r="AE7" i="12"/>
  <c r="AF7" i="12"/>
  <c r="AG7" i="12"/>
  <c r="AH7" i="12"/>
  <c r="AI7" i="12"/>
  <c r="AJ7" i="12"/>
  <c r="AK7" i="12"/>
  <c r="AL7" i="12"/>
  <c r="AM7" i="12"/>
  <c r="AN7" i="12"/>
  <c r="C8" i="12"/>
  <c r="D8" i="12"/>
  <c r="E8" i="12"/>
  <c r="F8" i="12"/>
  <c r="G8" i="12"/>
  <c r="H8" i="12"/>
  <c r="I8" i="12"/>
  <c r="J8" i="12"/>
  <c r="K8" i="12"/>
  <c r="L8" i="12"/>
  <c r="M8" i="12"/>
  <c r="N8" i="12"/>
  <c r="O8" i="12"/>
  <c r="P8" i="12"/>
  <c r="Q8" i="12"/>
  <c r="R8" i="12"/>
  <c r="S8" i="12"/>
  <c r="T8" i="12"/>
  <c r="U8" i="12"/>
  <c r="V8" i="12"/>
  <c r="W8" i="12"/>
  <c r="X8" i="12"/>
  <c r="Y8" i="12"/>
  <c r="Z8" i="12"/>
  <c r="AA8" i="12"/>
  <c r="AB8" i="12"/>
  <c r="AC8" i="12"/>
  <c r="AD8" i="12"/>
  <c r="AE8" i="12"/>
  <c r="AF8" i="12"/>
  <c r="AG8" i="12"/>
  <c r="AH8" i="12"/>
  <c r="AI8" i="12"/>
  <c r="AJ8" i="12"/>
  <c r="AK8" i="12"/>
  <c r="AL8" i="12"/>
  <c r="AM8" i="12"/>
  <c r="AN8" i="12"/>
  <c r="C9" i="12"/>
  <c r="D9" i="12"/>
  <c r="E9" i="12"/>
  <c r="F9" i="12"/>
  <c r="G9" i="12"/>
  <c r="H9" i="12"/>
  <c r="I9" i="12"/>
  <c r="J9" i="12"/>
  <c r="K9" i="12"/>
  <c r="L9" i="12"/>
  <c r="M9" i="12"/>
  <c r="N9" i="12"/>
  <c r="O9" i="12"/>
  <c r="P9" i="12"/>
  <c r="Q9" i="12"/>
  <c r="R9" i="12"/>
  <c r="S9" i="12"/>
  <c r="T9" i="12"/>
  <c r="U9" i="12"/>
  <c r="V9" i="12"/>
  <c r="W9" i="12"/>
  <c r="X9" i="12"/>
  <c r="Y9" i="12"/>
  <c r="Z9" i="12"/>
  <c r="AA9" i="12"/>
  <c r="AB9" i="12"/>
  <c r="AC9" i="12"/>
  <c r="AD9" i="12"/>
  <c r="AE9" i="12"/>
  <c r="AF9" i="12"/>
  <c r="AG9" i="12"/>
  <c r="AH9" i="12"/>
  <c r="AI9" i="12"/>
  <c r="AJ9" i="12"/>
  <c r="AK9" i="12"/>
  <c r="AL9" i="12"/>
  <c r="AM9" i="12"/>
  <c r="AN9" i="12"/>
  <c r="C10" i="12"/>
  <c r="D10" i="12"/>
  <c r="E10" i="12"/>
  <c r="F10" i="12"/>
  <c r="G10" i="12"/>
  <c r="H10" i="12"/>
  <c r="I10" i="12"/>
  <c r="J10" i="12"/>
  <c r="K10" i="12"/>
  <c r="L10" i="12"/>
  <c r="M10" i="12"/>
  <c r="N10" i="12"/>
  <c r="O10" i="12"/>
  <c r="P10" i="12"/>
  <c r="Q10" i="12"/>
  <c r="R10" i="12"/>
  <c r="S10" i="12"/>
  <c r="T10" i="12"/>
  <c r="U10" i="12"/>
  <c r="V10" i="12"/>
  <c r="W10" i="12"/>
  <c r="X10" i="12"/>
  <c r="Y10" i="12"/>
  <c r="Z10" i="12"/>
  <c r="AA10" i="12"/>
  <c r="AB10" i="12"/>
  <c r="AC10" i="12"/>
  <c r="AD10" i="12"/>
  <c r="AE10" i="12"/>
  <c r="AF10" i="12"/>
  <c r="AG10" i="12"/>
  <c r="AH10" i="12"/>
  <c r="AI10" i="12"/>
  <c r="AJ10" i="12"/>
  <c r="AK10" i="12"/>
  <c r="AL10" i="12"/>
  <c r="AM10" i="12"/>
  <c r="AN10" i="12"/>
  <c r="C11" i="12"/>
  <c r="D11" i="12"/>
  <c r="E11" i="12"/>
  <c r="F11" i="12"/>
  <c r="G11" i="12"/>
  <c r="H11" i="12"/>
  <c r="I11" i="12"/>
  <c r="J11" i="12"/>
  <c r="K11" i="12"/>
  <c r="L11" i="12"/>
  <c r="M11" i="12"/>
  <c r="N11" i="12"/>
  <c r="O11" i="12"/>
  <c r="P11" i="12"/>
  <c r="Q11" i="12"/>
  <c r="R11" i="12"/>
  <c r="S11" i="12"/>
  <c r="T11" i="12"/>
  <c r="U11" i="12"/>
  <c r="V11" i="12"/>
  <c r="W11" i="12"/>
  <c r="X11" i="12"/>
  <c r="Y11" i="12"/>
  <c r="Z11" i="12"/>
  <c r="AA11" i="12"/>
  <c r="AB11" i="12"/>
  <c r="AC11" i="12"/>
  <c r="AD11" i="12"/>
  <c r="AE11" i="12"/>
  <c r="AF11" i="12"/>
  <c r="AG11" i="12"/>
  <c r="AH11" i="12"/>
  <c r="AI11" i="12"/>
  <c r="AJ11" i="12"/>
  <c r="AK11" i="12"/>
  <c r="AL11" i="12"/>
  <c r="AM11" i="12"/>
  <c r="AN11" i="12"/>
  <c r="B8" i="12"/>
  <c r="B9" i="12"/>
  <c r="B10" i="12"/>
  <c r="B11" i="12"/>
  <c r="B7" i="12"/>
  <c r="V52" i="11" l="1" a="1"/>
  <c r="X95" i="11" s="1"/>
  <c r="A52" i="11" a="1"/>
  <c r="K95" i="11" s="1"/>
  <c r="J52" i="11"/>
  <c r="L97" i="11"/>
  <c r="L96" i="11"/>
  <c r="K96" i="11"/>
  <c r="K97" i="11"/>
  <c r="V52" i="11"/>
  <c r="X97" i="11"/>
  <c r="W96" i="11"/>
  <c r="W97" i="11"/>
  <c r="W95" i="11"/>
  <c r="E97" i="11"/>
  <c r="C96" i="11"/>
  <c r="D96" i="11"/>
  <c r="F95" i="11"/>
  <c r="F97" i="11"/>
  <c r="B96" i="11"/>
  <c r="C95" i="11"/>
  <c r="F96" i="11"/>
  <c r="B97" i="11"/>
  <c r="G96" i="11"/>
  <c r="O52" i="11" a="1"/>
  <c r="O52" i="11" s="1"/>
  <c r="P97" i="11"/>
  <c r="J2" i="11"/>
  <c r="K43" i="11"/>
  <c r="L43" i="11"/>
  <c r="K94" i="11"/>
  <c r="L94" i="11"/>
  <c r="V2" i="11"/>
  <c r="W94" i="11"/>
  <c r="X94" i="11"/>
  <c r="W43" i="11"/>
  <c r="X43" i="11"/>
  <c r="O2" i="11"/>
  <c r="P94" i="11"/>
  <c r="Q94" i="11"/>
  <c r="P43" i="11"/>
  <c r="R94" i="11"/>
  <c r="S94" i="11"/>
  <c r="Q43" i="11"/>
  <c r="R43" i="11"/>
  <c r="S43" i="11"/>
  <c r="A2" i="11" a="1"/>
  <c r="A2" i="11" s="1"/>
  <c r="A94" i="11" s="1"/>
  <c r="B43" i="11"/>
  <c r="F94" i="9"/>
  <c r="F102" i="9" s="1"/>
  <c r="AD94" i="9"/>
  <c r="AD102" i="9" s="1"/>
  <c r="E94" i="9"/>
  <c r="E102" i="9" s="1"/>
  <c r="AE94" i="9"/>
  <c r="AE102" i="9" s="1"/>
  <c r="R44" i="9"/>
  <c r="Q94" i="9"/>
  <c r="Q102" i="9" s="1"/>
  <c r="C94" i="9"/>
  <c r="C102" i="9" s="1"/>
  <c r="S44" i="9"/>
  <c r="D94" i="9"/>
  <c r="D102" i="9" s="1"/>
  <c r="P94" i="9"/>
  <c r="P102" i="9" s="1"/>
  <c r="J94" i="9"/>
  <c r="J102" i="9" s="1"/>
  <c r="K94" i="9"/>
  <c r="K102" i="9" s="1"/>
  <c r="W94" i="9"/>
  <c r="W102" i="9" s="1"/>
  <c r="AI94" i="9"/>
  <c r="AI102" i="9" s="1"/>
  <c r="B94" i="9"/>
  <c r="B102" i="9" s="1"/>
  <c r="L94" i="9"/>
  <c r="L102" i="9" s="1"/>
  <c r="X94" i="9"/>
  <c r="X102" i="9" s="1"/>
  <c r="AJ94" i="9"/>
  <c r="AJ102" i="9" s="1"/>
  <c r="P44" i="9"/>
  <c r="AC44" i="9"/>
  <c r="Y44" i="9"/>
  <c r="D44" i="9"/>
  <c r="AD44" i="9"/>
  <c r="W44" i="9"/>
  <c r="C44" i="9"/>
  <c r="AE44" i="9"/>
  <c r="F44" i="9"/>
  <c r="Q44" i="9"/>
  <c r="E44" i="9"/>
  <c r="X44" i="9"/>
  <c r="L44" i="9"/>
  <c r="K44" i="9"/>
  <c r="E96" i="11" l="1"/>
  <c r="G95" i="11"/>
  <c r="X96" i="11"/>
  <c r="L95" i="11"/>
  <c r="B95" i="11"/>
  <c r="G97" i="11"/>
  <c r="C97" i="11"/>
  <c r="E95" i="11"/>
  <c r="D95" i="11"/>
  <c r="D97" i="11"/>
  <c r="A52" i="11"/>
  <c r="R95" i="11"/>
  <c r="R96" i="11"/>
  <c r="Q96" i="11"/>
  <c r="P96" i="11"/>
  <c r="R97" i="11"/>
  <c r="S96" i="11"/>
  <c r="Q97" i="11"/>
  <c r="S97" i="11"/>
  <c r="S95" i="11"/>
  <c r="Q95" i="11"/>
  <c r="P95" i="11"/>
  <c r="J94" i="11"/>
  <c r="J43" i="11"/>
  <c r="V43" i="11"/>
  <c r="V94" i="11"/>
  <c r="O43" i="11"/>
  <c r="O94" i="11"/>
  <c r="C43" i="11"/>
  <c r="Q45" i="11"/>
  <c r="G43" i="11"/>
  <c r="D94" i="11"/>
  <c r="C94" i="11"/>
  <c r="B46" i="11"/>
  <c r="S44" i="11"/>
  <c r="L45" i="11"/>
  <c r="D45" i="11"/>
  <c r="F44" i="11"/>
  <c r="F103" i="11" s="1"/>
  <c r="E43" i="11"/>
  <c r="G46" i="11"/>
  <c r="X46" i="11"/>
  <c r="B94" i="11"/>
  <c r="D43" i="11"/>
  <c r="E94" i="11"/>
  <c r="C45" i="11"/>
  <c r="X44" i="11"/>
  <c r="X103" i="11" s="1"/>
  <c r="E44" i="11"/>
  <c r="E46" i="11"/>
  <c r="L44" i="11"/>
  <c r="B45" i="11"/>
  <c r="K46" i="11"/>
  <c r="G94" i="11"/>
  <c r="W46" i="11"/>
  <c r="P44" i="11"/>
  <c r="R44" i="11"/>
  <c r="R103" i="11" s="1"/>
  <c r="R46" i="11"/>
  <c r="D46" i="11"/>
  <c r="C46" i="11"/>
  <c r="X45" i="11"/>
  <c r="F43" i="11"/>
  <c r="F94" i="11"/>
  <c r="F46" i="11"/>
  <c r="S45" i="11"/>
  <c r="F45" i="11"/>
  <c r="E45" i="11"/>
  <c r="L46" i="11"/>
  <c r="W45" i="11"/>
  <c r="G45" i="11"/>
  <c r="C44" i="11"/>
  <c r="C103" i="11" s="1"/>
  <c r="K44" i="11"/>
  <c r="K103" i="11" s="1"/>
  <c r="E5" i="4" s="1"/>
  <c r="S46" i="11"/>
  <c r="W44" i="11"/>
  <c r="W103" i="11" s="1"/>
  <c r="D4" i="4" s="1"/>
  <c r="G44" i="11"/>
  <c r="G103" i="11" s="1"/>
  <c r="B44" i="11"/>
  <c r="K45" i="11"/>
  <c r="Q46" i="11"/>
  <c r="R45" i="11"/>
  <c r="D44" i="11"/>
  <c r="D103" i="11" s="1"/>
  <c r="P46" i="11"/>
  <c r="P45" i="11"/>
  <c r="Q44" i="11"/>
  <c r="Q103" i="11" s="1"/>
  <c r="B103" i="11" l="1"/>
  <c r="B2" i="4" s="1"/>
  <c r="E103" i="11"/>
  <c r="E2" i="4" s="1"/>
  <c r="P103" i="11"/>
  <c r="E6" i="4"/>
  <c r="E3" i="4"/>
  <c r="L103" i="11"/>
  <c r="D5" i="4" s="1"/>
  <c r="S103" i="11"/>
  <c r="D6" i="4" s="1"/>
  <c r="B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<sst xmlns="http://schemas.openxmlformats.org/spreadsheetml/2006/main" count="418" uniqueCount="108">
  <si>
    <t>SYFAFE Start Year Fleet Avg Fuel Economy</t>
  </si>
  <si>
    <t>Fuel Economy (passenger*miles/BTU)</t>
  </si>
  <si>
    <t>battery electric vehicle</t>
  </si>
  <si>
    <t>natural gas vehicle</t>
  </si>
  <si>
    <t>gasoline vehicle</t>
  </si>
  <si>
    <t>diesel vehicle</t>
  </si>
  <si>
    <t>plugin hybrid vehicle</t>
  </si>
  <si>
    <t>LPG vehicle</t>
  </si>
  <si>
    <t>hydrogen vehicle</t>
  </si>
  <si>
    <t>LDVs</t>
  </si>
  <si>
    <t>HDVs</t>
  </si>
  <si>
    <t>aircraft</t>
  </si>
  <si>
    <t>rail</t>
  </si>
  <si>
    <t>ships</t>
  </si>
  <si>
    <t>motorbikes</t>
  </si>
  <si>
    <t>Fuel Economy (freight ton*miles/BTU)</t>
  </si>
  <si>
    <t>Scenario: Business as Usual</t>
  </si>
  <si>
    <t>Branch: Demand\Transportation\Passenger\Road Transport\Car\Gasoline Car</t>
  </si>
  <si>
    <t>Region: Indonesia</t>
  </si>
  <si>
    <t>Branch</t>
  </si>
  <si>
    <t>Gasoline Car</t>
  </si>
  <si>
    <t>Electric Car</t>
  </si>
  <si>
    <t>CNG Car</t>
  </si>
  <si>
    <t>Diesel Car</t>
  </si>
  <si>
    <t>BioGasoil Car</t>
  </si>
  <si>
    <t>Variable: Car: Total Activity (Billion Passenger-km)</t>
  </si>
  <si>
    <t>Variable: Car: Total Final Energy Consumption (Million Gigajoule)</t>
  </si>
  <si>
    <t>Variable: Motorcycle: Total Activity (Billion Passenger-km)</t>
  </si>
  <si>
    <t>Branch: Demand\Transportation\Passenger\Road Transport\Motorcycle\Gasoline Motorcycle</t>
  </si>
  <si>
    <t>Gasoline Motorcycle</t>
  </si>
  <si>
    <t>Electric Motorcycle</t>
  </si>
  <si>
    <t>CNG Motorcycle</t>
  </si>
  <si>
    <t>Variable: Motorcycle: Total Final Energy Consumption (Million Gigajoule)</t>
  </si>
  <si>
    <t>Variable: Bus: Total Activity (Billion Passenger-km)</t>
  </si>
  <si>
    <t>Branch: Demand\Transportation\Passenger\Road Transport\Bus\Electric Bus</t>
  </si>
  <si>
    <t>Electric Bus</t>
  </si>
  <si>
    <t>CNG Bus</t>
  </si>
  <si>
    <t>Diesel Bus</t>
  </si>
  <si>
    <t>BioGasoil Bus</t>
  </si>
  <si>
    <t>Variable: Bus: Total Final Energy Consumption (Million Gigajoule)</t>
  </si>
  <si>
    <t>Variable: Railway: Total Activity (Billion Passenger-km)</t>
  </si>
  <si>
    <t>Branch: Demand\Transportation\Passenger\Railway\Urban Train</t>
  </si>
  <si>
    <t>Urban Train</t>
  </si>
  <si>
    <t>Diesel Train</t>
  </si>
  <si>
    <t>BioGasoil Train</t>
  </si>
  <si>
    <t>Variable: Railway: Total Final Energy Consumption (Thousand Gigajoule)</t>
  </si>
  <si>
    <t>Branch: Demand\Transportation\Passenger\Marine\Gasoline Passenger Ship</t>
  </si>
  <si>
    <t>Gasoline Passenger Ship</t>
  </si>
  <si>
    <t>MFO Passenger Ship</t>
  </si>
  <si>
    <t>MDF Passenger Ship</t>
  </si>
  <si>
    <t>Variable: Marine: Total Final Energy Consumption (Million Gigajoule)</t>
  </si>
  <si>
    <t>Variable: Aviation: Total Activity (Billion Passenger-km)</t>
  </si>
  <si>
    <t>Branch: Demand\Transportation\Passenger\Aviation\Avgas Plane</t>
  </si>
  <si>
    <t>Avgas Plane</t>
  </si>
  <si>
    <t>Avtur Plane</t>
  </si>
  <si>
    <t>Variable: Aviation: Total Final Energy Consumption (Million Gigajoule)</t>
  </si>
  <si>
    <t>Variable: Road: Total Activity (Billion Tonne-km)</t>
  </si>
  <si>
    <t>Branch: Demand\Transportation\Freight\Road\Light Truck</t>
  </si>
  <si>
    <t>Light Truck</t>
  </si>
  <si>
    <t>Medium Truck</t>
  </si>
  <si>
    <t>Heavy Truck</t>
  </si>
  <si>
    <t>Biodiesel Light Truck</t>
  </si>
  <si>
    <t>Biodiesel Medium Truck</t>
  </si>
  <si>
    <t>Biodiesel Heavy Truck</t>
  </si>
  <si>
    <t>Variable: Road: Total Final Energy Consumption (Million Gigajoule)</t>
  </si>
  <si>
    <t>Variable: Railway: Total Activity (Million Tonne-km)</t>
  </si>
  <si>
    <t>Branch: Demand\Transportation\Freight\Railway\Diesel Train</t>
  </si>
  <si>
    <t>Variable: Marine: Total Activity (Billion Metric Tonne)</t>
  </si>
  <si>
    <t>Branch: Demand\Transportation\Freight\Marine\MFO Freight Ship</t>
  </si>
  <si>
    <t>MFO Freight Ship</t>
  </si>
  <si>
    <t>MDF Freight Ship</t>
  </si>
  <si>
    <t>Diesel Freight Ship</t>
  </si>
  <si>
    <t>BioGasoil Freight Ship</t>
  </si>
  <si>
    <t>Variable: Aviation: Total Activity (Billion Tonne-km)</t>
  </si>
  <si>
    <t>Branch: Demand\Transportation\Freight\Aviation\Avgas Plane</t>
  </si>
  <si>
    <t>Variable: Car: Total Activity (Passenger*miles)</t>
  </si>
  <si>
    <t>Variable: Motorcycle: Total Activity (Passenger*miles)</t>
  </si>
  <si>
    <t>Variable: Bus: Total Activity (Passenger*miles)</t>
  </si>
  <si>
    <t>Variable: Railway: Total Activity (Passenger*miles)</t>
  </si>
  <si>
    <t>Variable: Marine: Total Activity (Passenger*miles)</t>
  </si>
  <si>
    <t>Variable: Aviation: Total Activity (Passenger*miles)</t>
  </si>
  <si>
    <t>Variable: Road: Total Activity (Ton*miles)</t>
  </si>
  <si>
    <t>Variable: Railway: Total Activity (Ton*miles)</t>
  </si>
  <si>
    <t>Variable: Marine: Total Activity (Ton*miles)</t>
  </si>
  <si>
    <t>Variable: Aviation: Total Activity (Ton*miles)</t>
  </si>
  <si>
    <t>Variable: Car: Total Final Energy Consumption (BTU)</t>
  </si>
  <si>
    <t>Variable: Motorcycle: Total Final Energy Consumption (BTU)</t>
  </si>
  <si>
    <t>Variable: Bus: Total Final Energy Consumption (BTU)</t>
  </si>
  <si>
    <t>Variable: Railway: Total Final Energy Consumption (BTU)</t>
  </si>
  <si>
    <t>Variable: Marine: Total Final Energy Consumption (BTU)</t>
  </si>
  <si>
    <t>Variable: Aviation: Total Final Energy Consumption (BTU)</t>
  </si>
  <si>
    <t>Variable: Road: Total Final Energy Consumption (BTU)</t>
  </si>
  <si>
    <t>Billion Passenger-km to Passenger*miles</t>
  </si>
  <si>
    <t>Variable: Marine: Total Activity (Million Passenger-km)</t>
  </si>
  <si>
    <t>Million Passenger-km to Passenger*miles</t>
  </si>
  <si>
    <t>Billion Ton*km to Ton*miles</t>
  </si>
  <si>
    <t>Million Ton*km to Ton*miles</t>
  </si>
  <si>
    <t>Million Gigajoule to BTU</t>
  </si>
  <si>
    <t>Thousand Gigajoule to BTU</t>
  </si>
  <si>
    <t>Energy Consumption (BTU)</t>
  </si>
  <si>
    <t>Level of Activity (passenger*miles)</t>
  </si>
  <si>
    <t>Fuel Economy (passenger*mile/BTU)</t>
  </si>
  <si>
    <t>Backcasting</t>
  </si>
  <si>
    <t>Source</t>
  </si>
  <si>
    <t>IESR (2024)</t>
  </si>
  <si>
    <t>https://iesr.or.id/en/</t>
  </si>
  <si>
    <t>Comments</t>
  </si>
  <si>
    <t>These data come from the LEAP (Long-range Energy Alternatives Planning) Indonesia model and represent BAU (Business As Usual) scenarios projected for the country. The BAU scenarios assume no significant changes to current energy policies or interventions, providing a baseline for analyzing future energy consumption, emissions, and sectoral growth under existing conditions. This model helps evaluate long-term trends in Indonesia's energy use and environmental impacts, serving as a foundation for comparing potential outcomes from alternative policy scenarios aimed at sustainable development and climate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</si>
</sst>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E+00"/>
    <numFmt numFmtId="165" formatCode="0.0000E+00"/>
    <numFmt numFmtId="166" formatCode="_ * #,##0.0_ ;_ * \-#,##0.0_ ;_ * &quot;&quot;\-&quot;&quot;??_ ;_ @_ "/>
  </numFmts>
  <fonts count="15" x14ac:knownFonts="1">
    <font>
      <sz val="11"/>
      <color theme="1"/>
      <name val="Calibri"/>
      <scheme val="minor"/>
    </font>
    <font>
      <sz val="12"/>
      <color theme="1"/>
      <name val="Calibri"/>
      <family val="2"/>
      <scheme val="minor"/>
    </font>
    <font>
      <sz val="12"/>
      <color theme="1"/>
      <name val="Calibri"/>
      <family val="2"/>
      <scheme val="minor"/>
    </font>
    <font>
      <b/>
      <sz val="11"/>
      <color theme="1"/>
      <name val="Calibri"/>
      <family val="2"/>
    </font>
    <font>
      <sz val="11"/>
      <color theme="1"/>
      <name val="Calibri"/>
      <family val="2"/>
    </font>
    <font>
      <u/>
      <sz val="11"/>
      <color theme="10"/>
      <name val="Calibri"/>
      <family val="2"/>
    </font>
    <font>
      <u/>
      <sz val="11"/>
      <color rgb="FF0000FF"/>
      <name val="Calibri"/>
      <family val="2"/>
    </font>
    <font>
      <i/>
      <sz val="11"/>
      <color theme="1"/>
      <name val="Calibri"/>
      <family val="2"/>
    </font>
    <font>
      <sz val="11"/>
      <color theme="1"/>
      <name val="Calibri"/>
      <family val="2"/>
      <scheme val="minor"/>
    </font>
    <font>
      <b/>
      <sz val="11"/>
      <color theme="1"/>
      <name val="Calibri"/>
      <family val="2"/>
      <scheme val="minor"/>
    </font>
    <font>
      <sz val="11"/>
      <color rgb="FF000000"/>
      <name val="Calibri"/>
      <family val="2"/>
      <scheme val="minor"/>
    </font>
    <font>
      <b/>
      <sz val="12"/>
      <color theme="1"/>
      <name val="Calibri"/>
      <family val="2"/>
      <scheme val="minor"/>
    </font>
    <font>
      <sz val="12"/>
      <color theme="1"/>
      <name val="Calibri"/>
      <family val="2"/>
      <scheme val="major"/>
    </font>
    <font>
      <b/>
      <sz val="12"/>
      <color theme="1"/>
      <name val="Calibri"/>
      <family val="2"/>
      <scheme val="major"/>
    </font>
    <font>
      <u/>
      <sz val="11"/>
      <color theme="10"/>
      <name val="Calibri"/>
      <family val="2"/>
      <scheme val="minor"/>
    </font>
  </fonts>
  <fills count="6">
    <fill>
      <patternFill patternType="none"/>
    </fill>
    <fill>
      <patternFill patternType="gray125"/>
    </fill>
    <fill>
      <patternFill patternType="solid">
        <fgColor rgb="FFDCDCDC"/>
        <bgColor indexed="64"/>
      </patternFill>
    </fill>
    <fill>
      <patternFill patternType="solid">
        <fgColor rgb="FFE2EDFA"/>
        <bgColor indexed="64"/>
      </patternFill>
    </fill>
    <fill>
      <patternFill patternType="solid">
        <fgColor rgb="FFDCDCDC"/>
        <bgColor rgb="FF000000"/>
      </patternFill>
    </fill>
    <fill>
      <patternFill patternType="solid">
        <fgColor rgb="FFFFFF00"/>
        <bgColor indexed="64"/>
      </patternFill>
    </fill>
  </fills>
  <borders count="2">
    <border>
      <left/>
      <right/>
      <top/>
      <bottom/>
      <diagonal/>
    </border>
    <border>
      <left/>
      <right/>
      <top/>
      <bottom/>
      <diagonal/>
    </border>
  </borders>
  <cellStyleXfs count="3">
    <xf numFmtId="0" fontId="0" fillId="0" borderId="0"/>
    <xf numFmtId="43" fontId="8" fillId="0" borderId="0" applyFont="0" applyFill="0" applyBorder="0" applyAlignment="0" applyProtection="0"/>
    <xf numFmtId="0" fontId="14" fillId="0" borderId="0" applyNumberFormat="0" applyFill="0" applyBorder="0" applyAlignment="0" applyProtection="0"/>
  </cellStyleXfs>
  <cellXfs count="45">
    <xf numFmtId="0" fontId="0" fillId="0" borderId="0" xfId="0"/>
    <xf numFmtId="0" fontId="3" fillId="0" borderId="0" xfId="0" applyFont="1"/>
    <xf numFmtId="0" fontId="4" fillId="0" borderId="0" xfId="0" applyFont="1"/>
    <xf numFmtId="0" fontId="4" fillId="0" borderId="0" xfId="0" applyFont="1" applyAlignment="1">
      <alignment horizontal="left"/>
    </xf>
    <xf numFmtId="0" fontId="5" fillId="0" borderId="0" xfId="0" applyFont="1"/>
    <xf numFmtId="0" fontId="6" fillId="0" borderId="0" xfId="0" applyFont="1"/>
    <xf numFmtId="0" fontId="7" fillId="0" borderId="0" xfId="0" applyFont="1"/>
    <xf numFmtId="11" fontId="4" fillId="0" borderId="0" xfId="0" applyNumberFormat="1" applyFont="1"/>
    <xf numFmtId="9" fontId="4" fillId="0" borderId="0" xfId="0" applyNumberFormat="1" applyFont="1"/>
    <xf numFmtId="0" fontId="4" fillId="0" borderId="0" xfId="0" applyFont="1" applyAlignment="1">
      <alignment horizontal="left" wrapText="1"/>
    </xf>
    <xf numFmtId="165" fontId="4" fillId="0" borderId="0" xfId="0" applyNumberFormat="1" applyFont="1"/>
    <xf numFmtId="0" fontId="3" fillId="0" borderId="1" xfId="0" applyFont="1" applyBorder="1"/>
    <xf numFmtId="0" fontId="9" fillId="0" borderId="0" xfId="0" applyFont="1"/>
    <xf numFmtId="0" fontId="4" fillId="0" borderId="1" xfId="0" applyFont="1" applyBorder="1"/>
    <xf numFmtId="0" fontId="0" fillId="2" borderId="0" xfId="0" applyFill="1"/>
    <xf numFmtId="0" fontId="0" fillId="3" borderId="0" xfId="0" applyFill="1"/>
    <xf numFmtId="166" fontId="0" fillId="0" borderId="0" xfId="1" applyNumberFormat="1" applyFont="1"/>
    <xf numFmtId="0" fontId="8" fillId="2" borderId="0" xfId="0" applyFont="1" applyFill="1"/>
    <xf numFmtId="3" fontId="0" fillId="0" borderId="0" xfId="0" applyNumberFormat="1"/>
    <xf numFmtId="0" fontId="10" fillId="4" borderId="1" xfId="0" applyFont="1" applyFill="1" applyBorder="1"/>
    <xf numFmtId="11" fontId="8" fillId="0" borderId="0" xfId="0" applyNumberFormat="1" applyFont="1"/>
    <xf numFmtId="11" fontId="0" fillId="0" borderId="0" xfId="0" applyNumberFormat="1"/>
    <xf numFmtId="11" fontId="0" fillId="0" borderId="0" xfId="1" applyNumberFormat="1" applyFont="1"/>
    <xf numFmtId="11" fontId="12" fillId="0" borderId="0" xfId="0" applyNumberFormat="1" applyFont="1" applyAlignment="1">
      <alignment horizontal="left"/>
    </xf>
    <xf numFmtId="0" fontId="13" fillId="0" borderId="0" xfId="0" applyFont="1" applyAlignment="1">
      <alignment horizontal="left"/>
    </xf>
    <xf numFmtId="0" fontId="11" fillId="0" borderId="0" xfId="0" applyFont="1" applyAlignment="1">
      <alignment horizontal="left"/>
    </xf>
    <xf numFmtId="0" fontId="2" fillId="0" borderId="0" xfId="0" applyFont="1" applyAlignment="1">
      <alignment horizontal="left"/>
    </xf>
    <xf numFmtId="11" fontId="2" fillId="0" borderId="0" xfId="0" applyNumberFormat="1" applyFont="1" applyAlignment="1">
      <alignment horizontal="left"/>
    </xf>
    <xf numFmtId="0" fontId="11" fillId="0" borderId="0" xfId="0" applyFont="1"/>
    <xf numFmtId="0" fontId="2" fillId="0" borderId="0" xfId="0" applyFont="1"/>
    <xf numFmtId="0" fontId="11" fillId="5" borderId="0" xfId="0" applyFont="1" applyFill="1"/>
    <xf numFmtId="0" fontId="0" fillId="5" borderId="0" xfId="0" applyFill="1"/>
    <xf numFmtId="0" fontId="11" fillId="5" borderId="0" xfId="0" applyFont="1" applyFill="1" applyAlignment="1">
      <alignment horizontal="left"/>
    </xf>
    <xf numFmtId="11" fontId="2" fillId="5" borderId="0" xfId="0" applyNumberFormat="1" applyFont="1" applyFill="1" applyAlignment="1">
      <alignment horizontal="left"/>
    </xf>
    <xf numFmtId="0" fontId="2" fillId="5" borderId="0" xfId="0" applyFont="1" applyFill="1"/>
    <xf numFmtId="0" fontId="2" fillId="5" borderId="0" xfId="0" applyFont="1" applyFill="1" applyAlignment="1">
      <alignment horizontal="left"/>
    </xf>
    <xf numFmtId="0" fontId="3" fillId="0" borderId="0" xfId="0" applyFont="1" applyAlignment="1">
      <alignment horizontal="left" wrapText="1"/>
    </xf>
    <xf numFmtId="164" fontId="4" fillId="0" borderId="0" xfId="0" applyNumberFormat="1" applyFont="1" applyAlignment="1">
      <alignment horizontal="left"/>
    </xf>
    <xf numFmtId="0" fontId="14" fillId="0" borderId="0" xfId="2"/>
    <xf numFmtId="0" fontId="0" fillId="0" borderId="0" xfId="0" applyAlignment="1">
      <alignment vertical="top" wrapText="1"/>
    </xf>
    <xf numFmtId="0" fontId="11" fillId="0" borderId="0" xfId="0" applyFont="1" applyAlignment="1">
      <alignment vertical="top" wrapText="1"/>
    </xf>
    <xf numFmtId="0" fontId="1" fillId="0" borderId="0" xfId="0" applyFont="1"/>
    <xf numFmtId="2" fontId="1" fillId="0" borderId="0" xfId="0" applyNumberFormat="1" applyFont="1"/>
    <xf numFmtId="11" fontId="2" fillId="0" borderId="0" xfId="0" applyNumberFormat="1" applyFont="1"/>
    <xf numFmtId="43" fontId="0" fillId="0" borderId="0" xfId="0" applyNumberFormat="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esr.or.id/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3"/>
  <sheetViews>
    <sheetView zoomScaleNormal="100" workbookViewId="0">
      <selection activeCell="B9" sqref="B9"/>
    </sheetView>
  </sheetViews>
  <sheetFormatPr baseColWidth="10" defaultColWidth="14.5" defaultRowHeight="15" customHeight="1" x14ac:dyDescent="0.2"/>
  <cols>
    <col min="1" max="1" width="13.5" customWidth="1"/>
    <col min="2" max="2" width="107.5" customWidth="1"/>
    <col min="3" max="26" width="8.6640625" customWidth="1"/>
  </cols>
  <sheetData>
    <row r="1" spans="1:2" ht="14.25" customHeight="1" x14ac:dyDescent="0.2">
      <c r="A1" s="1" t="s">
        <v>0</v>
      </c>
    </row>
    <row r="2" spans="1:2" ht="14.25" customHeight="1" x14ac:dyDescent="0.2"/>
    <row r="3" spans="1:2" ht="14.25" customHeight="1" x14ac:dyDescent="0.2">
      <c r="A3" s="28" t="s">
        <v>103</v>
      </c>
      <c r="B3" t="s">
        <v>104</v>
      </c>
    </row>
    <row r="4" spans="1:2" ht="14.25" customHeight="1" x14ac:dyDescent="0.2">
      <c r="B4" s="38" t="s">
        <v>105</v>
      </c>
    </row>
    <row r="5" spans="1:2" ht="14.25" customHeight="1" x14ac:dyDescent="0.2"/>
    <row r="6" spans="1:2" ht="14.25" customHeight="1" x14ac:dyDescent="0.2"/>
    <row r="7" spans="1:2" ht="14.25" customHeight="1" x14ac:dyDescent="0.2"/>
    <row r="8" spans="1:2" ht="14.25" customHeight="1" x14ac:dyDescent="0.2"/>
    <row r="9" spans="1:2" ht="14.25" customHeight="1" x14ac:dyDescent="0.2"/>
    <row r="10" spans="1:2" ht="87" customHeight="1" x14ac:dyDescent="0.2">
      <c r="A10" s="40" t="s">
        <v>106</v>
      </c>
      <c r="B10" s="39" t="s">
        <v>107</v>
      </c>
    </row>
    <row r="11" spans="1:2" ht="14.25" customHeight="1" x14ac:dyDescent="0.2">
      <c r="B11" s="3"/>
    </row>
    <row r="12" spans="1:2" ht="14.25" customHeight="1" x14ac:dyDescent="0.2">
      <c r="B12" s="2"/>
    </row>
    <row r="13" spans="1:2" ht="14.25" customHeight="1" x14ac:dyDescent="0.2">
      <c r="B13" s="4"/>
    </row>
    <row r="14" spans="1:2" ht="14.25" customHeight="1" x14ac:dyDescent="0.2">
      <c r="B14" s="2"/>
    </row>
    <row r="15" spans="1:2" ht="14.25" customHeight="1" x14ac:dyDescent="0.2"/>
    <row r="16" spans="1:2" ht="14.25" customHeight="1" x14ac:dyDescent="0.2">
      <c r="B16" s="2"/>
    </row>
    <row r="17" spans="1:2" ht="14.25" customHeight="1" x14ac:dyDescent="0.2">
      <c r="B17" s="3"/>
    </row>
    <row r="18" spans="1:2" ht="14.25" customHeight="1" x14ac:dyDescent="0.2">
      <c r="B18" s="2"/>
    </row>
    <row r="19" spans="1:2" ht="14.25" customHeight="1" x14ac:dyDescent="0.2">
      <c r="B19" s="2"/>
    </row>
    <row r="20" spans="1:2" ht="14.25" customHeight="1" x14ac:dyDescent="0.2">
      <c r="B20" s="2"/>
    </row>
    <row r="21" spans="1:2" ht="14.25" customHeight="1" x14ac:dyDescent="0.2"/>
    <row r="22" spans="1:2" ht="14.25" customHeight="1" x14ac:dyDescent="0.2">
      <c r="B22" s="2"/>
    </row>
    <row r="23" spans="1:2" ht="14.25" customHeight="1" x14ac:dyDescent="0.2">
      <c r="B23" s="3"/>
    </row>
    <row r="24" spans="1:2" ht="14.25" customHeight="1" x14ac:dyDescent="0.2">
      <c r="B24" s="2"/>
    </row>
    <row r="25" spans="1:2" ht="14.25" customHeight="1" x14ac:dyDescent="0.2">
      <c r="B25" s="4"/>
    </row>
    <row r="26" spans="1:2" ht="14.25" customHeight="1" x14ac:dyDescent="0.2"/>
    <row r="27" spans="1:2" ht="14.25" customHeight="1" x14ac:dyDescent="0.2">
      <c r="B27" s="2"/>
    </row>
    <row r="28" spans="1:2" ht="14.25" customHeight="1" x14ac:dyDescent="0.2"/>
    <row r="29" spans="1:2" ht="14.25" customHeight="1" x14ac:dyDescent="0.2">
      <c r="A29" s="1"/>
      <c r="B29" s="11"/>
    </row>
    <row r="30" spans="1:2" ht="14.25" customHeight="1" x14ac:dyDescent="0.2">
      <c r="A30" s="1"/>
      <c r="B30" s="2"/>
    </row>
    <row r="31" spans="1:2" ht="14.25" customHeight="1" x14ac:dyDescent="0.2">
      <c r="A31" s="1"/>
      <c r="B31" s="2"/>
    </row>
    <row r="32" spans="1:2" x14ac:dyDescent="0.2">
      <c r="A32" s="1"/>
      <c r="B32" s="3"/>
    </row>
    <row r="33" spans="1:2" x14ac:dyDescent="0.2">
      <c r="A33" s="1"/>
      <c r="B33" s="5"/>
    </row>
    <row r="34" spans="1:2" ht="14.25" customHeight="1" x14ac:dyDescent="0.2">
      <c r="A34" s="1"/>
      <c r="B34" s="2"/>
    </row>
    <row r="35" spans="1:2" ht="14.25" customHeight="1" x14ac:dyDescent="0.2">
      <c r="A35" s="1"/>
    </row>
    <row r="36" spans="1:2" ht="14.25" customHeight="1" x14ac:dyDescent="0.2">
      <c r="A36" s="1"/>
    </row>
    <row r="37" spans="1:2" ht="14.25" customHeight="1" x14ac:dyDescent="0.2">
      <c r="A37" s="1"/>
    </row>
    <row r="38" spans="1:2" ht="14.25" customHeight="1" x14ac:dyDescent="0.2">
      <c r="A38" s="1"/>
    </row>
    <row r="39" spans="1:2" ht="14.25" customHeight="1" x14ac:dyDescent="0.2">
      <c r="A39" s="1"/>
    </row>
    <row r="40" spans="1:2" ht="14.25" customHeight="1" x14ac:dyDescent="0.2">
      <c r="A40" s="2"/>
    </row>
    <row r="41" spans="1:2" ht="14.25" customHeight="1" x14ac:dyDescent="0.2"/>
    <row r="42" spans="1:2" ht="14.25" customHeight="1" x14ac:dyDescent="0.2">
      <c r="A42" s="1"/>
    </row>
    <row r="43" spans="1:2" ht="14.25" customHeight="1" x14ac:dyDescent="0.2">
      <c r="A43" s="6"/>
    </row>
    <row r="44" spans="1:2" ht="14.25" customHeight="1" x14ac:dyDescent="0.2">
      <c r="A44" s="2"/>
    </row>
    <row r="45" spans="1:2" ht="14.25" customHeight="1" x14ac:dyDescent="0.2">
      <c r="A45" s="2"/>
    </row>
    <row r="46" spans="1:2" ht="14.25" customHeight="1" x14ac:dyDescent="0.2">
      <c r="A46" s="2"/>
    </row>
    <row r="47" spans="1:2" ht="14.25" customHeight="1" x14ac:dyDescent="0.2">
      <c r="A47" s="2"/>
    </row>
    <row r="48" spans="1:2" ht="14.25" customHeight="1" x14ac:dyDescent="0.2"/>
    <row r="49" spans="1:1" ht="14.25" customHeight="1" x14ac:dyDescent="0.2">
      <c r="A49" s="1"/>
    </row>
    <row r="50" spans="1:1" ht="14.25" customHeight="1" x14ac:dyDescent="0.2">
      <c r="A50" s="6"/>
    </row>
    <row r="51" spans="1:1" ht="14.25" customHeight="1" x14ac:dyDescent="0.2">
      <c r="A51" s="2"/>
    </row>
    <row r="52" spans="1:1" ht="14.25" customHeight="1" x14ac:dyDescent="0.2"/>
    <row r="53" spans="1:1" ht="14.25" customHeight="1" x14ac:dyDescent="0.2">
      <c r="A53" s="1"/>
    </row>
    <row r="54" spans="1:1" ht="14.25" customHeight="1" x14ac:dyDescent="0.2">
      <c r="A54" s="6"/>
    </row>
    <row r="55" spans="1:1" ht="14.25" customHeight="1" x14ac:dyDescent="0.2">
      <c r="A55" s="2"/>
    </row>
    <row r="56" spans="1:1" ht="14.25" customHeight="1" x14ac:dyDescent="0.2">
      <c r="A56" s="2"/>
    </row>
    <row r="57" spans="1:1" ht="14.25" customHeight="1" x14ac:dyDescent="0.2">
      <c r="A57" s="2"/>
    </row>
    <row r="58" spans="1:1" ht="14.25" customHeight="1" x14ac:dyDescent="0.2"/>
    <row r="59" spans="1:1" ht="14.25" customHeight="1" x14ac:dyDescent="0.2">
      <c r="A59" s="1"/>
    </row>
    <row r="60" spans="1:1" ht="14.25" customHeight="1" x14ac:dyDescent="0.2">
      <c r="A60" s="6"/>
    </row>
    <row r="61" spans="1:1" ht="14.25" customHeight="1" x14ac:dyDescent="0.2">
      <c r="A61" s="2"/>
    </row>
    <row r="62" spans="1:1" ht="14.25" customHeight="1" x14ac:dyDescent="0.2">
      <c r="A62" s="2"/>
    </row>
    <row r="63" spans="1:1" ht="14.25" customHeight="1" x14ac:dyDescent="0.2"/>
    <row r="64" spans="1:1" ht="14.25" customHeight="1" x14ac:dyDescent="0.2">
      <c r="A64" s="1"/>
    </row>
    <row r="65" spans="1:2" ht="14.25" customHeight="1" x14ac:dyDescent="0.2">
      <c r="A65" s="6"/>
    </row>
    <row r="66" spans="1:2" ht="14.25" customHeight="1" x14ac:dyDescent="0.2">
      <c r="A66" s="2"/>
    </row>
    <row r="67" spans="1:2" ht="14.25" customHeight="1" x14ac:dyDescent="0.2">
      <c r="A67" s="2"/>
    </row>
    <row r="68" spans="1:2" ht="14.25" customHeight="1" x14ac:dyDescent="0.2"/>
    <row r="69" spans="1:2" ht="14.25" customHeight="1" x14ac:dyDescent="0.2">
      <c r="A69" s="2"/>
    </row>
    <row r="70" spans="1:2" ht="14.25" customHeight="1" x14ac:dyDescent="0.2">
      <c r="A70" s="2"/>
    </row>
    <row r="71" spans="1:2" ht="14.25" customHeight="1" x14ac:dyDescent="0.2">
      <c r="A71" s="2"/>
    </row>
    <row r="72" spans="1:2" ht="14.25" customHeight="1" x14ac:dyDescent="0.2"/>
    <row r="73" spans="1:2" ht="14.25" customHeight="1" x14ac:dyDescent="0.2">
      <c r="A73" s="1"/>
    </row>
    <row r="74" spans="1:2" ht="14.25" customHeight="1" x14ac:dyDescent="0.2">
      <c r="A74" s="2"/>
    </row>
    <row r="75" spans="1:2" ht="14.25" customHeight="1" x14ac:dyDescent="0.2"/>
    <row r="76" spans="1:2" ht="14.25" customHeight="1" x14ac:dyDescent="0.2">
      <c r="A76" s="1"/>
    </row>
    <row r="77" spans="1:2" ht="14.25" customHeight="1" x14ac:dyDescent="0.2">
      <c r="A77" s="2"/>
    </row>
    <row r="78" spans="1:2" ht="14.25" customHeight="1" x14ac:dyDescent="0.2"/>
    <row r="79" spans="1:2" ht="14.25" customHeight="1" x14ac:dyDescent="0.2">
      <c r="A79" s="11"/>
      <c r="B79" s="13"/>
    </row>
    <row r="80" spans="1:2" ht="14.25" customHeight="1" x14ac:dyDescent="0.2">
      <c r="A80" s="2"/>
    </row>
    <row r="81" spans="1:1" ht="14.25" customHeight="1" x14ac:dyDescent="0.2">
      <c r="A81" s="2"/>
    </row>
    <row r="82" spans="1:1" ht="14.25" customHeight="1" x14ac:dyDescent="0.2">
      <c r="A82" s="2"/>
    </row>
    <row r="83" spans="1:1" ht="14.25" customHeight="1" x14ac:dyDescent="0.2"/>
    <row r="84" spans="1:1" ht="14.25" customHeight="1" x14ac:dyDescent="0.2">
      <c r="A84" s="2"/>
    </row>
    <row r="85" spans="1:1" ht="14.25" customHeight="1" x14ac:dyDescent="0.2">
      <c r="A85" s="2"/>
    </row>
    <row r="86" spans="1:1" ht="14.25" customHeight="1" x14ac:dyDescent="0.2"/>
    <row r="87" spans="1:1" ht="14.25" customHeight="1" x14ac:dyDescent="0.2"/>
    <row r="88" spans="1:1" ht="14.25" customHeight="1" x14ac:dyDescent="0.2"/>
    <row r="89" spans="1:1" ht="14.25" customHeight="1" x14ac:dyDescent="0.2"/>
    <row r="90" spans="1:1" ht="14.25" customHeight="1" x14ac:dyDescent="0.2"/>
    <row r="91" spans="1:1" ht="14.25" customHeight="1" x14ac:dyDescent="0.2"/>
    <row r="92" spans="1:1" ht="14.25" customHeight="1" x14ac:dyDescent="0.2"/>
    <row r="93" spans="1:1" ht="14.25" customHeight="1" x14ac:dyDescent="0.2"/>
    <row r="94" spans="1:1" ht="14.25" customHeight="1" x14ac:dyDescent="0.2"/>
    <row r="95" spans="1:1" ht="14.25" customHeight="1" x14ac:dyDescent="0.2"/>
    <row r="96" spans="1:1"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sheetData>
  <hyperlinks>
    <hyperlink ref="B4" r:id="rId1" xr:uid="{1B4A8B1E-8690-7541-9A59-6F13E16FA956}"/>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B1CE8-B98E-9C4E-B2A3-4D1AC170ECA0}">
  <dimension ref="A1:AN66"/>
  <sheetViews>
    <sheetView topLeftCell="A16" workbookViewId="0">
      <selection activeCell="A31" sqref="A31:A34"/>
    </sheetView>
  </sheetViews>
  <sheetFormatPr baseColWidth="10" defaultRowHeight="15" x14ac:dyDescent="0.2"/>
  <cols>
    <col min="2" max="2" width="11.1640625" bestFit="1" customWidth="1"/>
  </cols>
  <sheetData>
    <row r="1" spans="1:40" x14ac:dyDescent="0.2">
      <c r="A1" s="14" t="s">
        <v>25</v>
      </c>
    </row>
    <row r="2" spans="1:40" x14ac:dyDescent="0.2">
      <c r="A2" s="14" t="s">
        <v>16</v>
      </c>
    </row>
    <row r="3" spans="1:40" x14ac:dyDescent="0.2">
      <c r="A3" s="14" t="s">
        <v>17</v>
      </c>
    </row>
    <row r="4" spans="1:40" x14ac:dyDescent="0.2">
      <c r="A4" s="14" t="s">
        <v>18</v>
      </c>
    </row>
    <row r="5" spans="1:40" x14ac:dyDescent="0.2">
      <c r="A5" s="17" t="s">
        <v>92</v>
      </c>
      <c r="B5" s="18">
        <v>621371000</v>
      </c>
    </row>
    <row r="6" spans="1:40" x14ac:dyDescent="0.2">
      <c r="A6" s="15" t="s">
        <v>19</v>
      </c>
      <c r="B6" s="15">
        <v>2022</v>
      </c>
      <c r="C6" s="15">
        <v>2023</v>
      </c>
      <c r="D6" s="15">
        <v>2024</v>
      </c>
      <c r="E6" s="15">
        <v>2025</v>
      </c>
      <c r="F6" s="15">
        <v>2026</v>
      </c>
      <c r="G6" s="15">
        <v>2027</v>
      </c>
      <c r="H6" s="15">
        <v>2028</v>
      </c>
      <c r="I6" s="15">
        <v>2029</v>
      </c>
      <c r="J6" s="15">
        <v>2030</v>
      </c>
      <c r="K6" s="15">
        <v>2031</v>
      </c>
      <c r="L6" s="15">
        <v>2032</v>
      </c>
      <c r="M6" s="15">
        <v>2033</v>
      </c>
      <c r="N6" s="15">
        <v>2034</v>
      </c>
      <c r="O6" s="15">
        <v>2035</v>
      </c>
      <c r="P6" s="15">
        <v>2036</v>
      </c>
      <c r="Q6" s="15">
        <v>2037</v>
      </c>
      <c r="R6" s="15">
        <v>2038</v>
      </c>
      <c r="S6" s="15">
        <v>2039</v>
      </c>
      <c r="T6" s="15">
        <v>2040</v>
      </c>
      <c r="U6" s="15">
        <v>2041</v>
      </c>
      <c r="V6" s="15">
        <v>2042</v>
      </c>
      <c r="W6" s="15">
        <v>2043</v>
      </c>
      <c r="X6" s="15">
        <v>2044</v>
      </c>
      <c r="Y6" s="15">
        <v>2045</v>
      </c>
      <c r="Z6" s="15">
        <v>2046</v>
      </c>
      <c r="AA6" s="15">
        <v>2047</v>
      </c>
      <c r="AB6" s="15">
        <v>2048</v>
      </c>
      <c r="AC6" s="15">
        <v>2049</v>
      </c>
      <c r="AD6" s="15">
        <v>2050</v>
      </c>
      <c r="AE6" s="15">
        <v>2051</v>
      </c>
      <c r="AF6" s="15">
        <v>2052</v>
      </c>
      <c r="AG6" s="15">
        <v>2053</v>
      </c>
      <c r="AH6" s="15">
        <v>2054</v>
      </c>
      <c r="AI6" s="15">
        <v>2055</v>
      </c>
      <c r="AJ6" s="15">
        <v>2056</v>
      </c>
      <c r="AK6" s="15">
        <v>2057</v>
      </c>
      <c r="AL6" s="15">
        <v>2058</v>
      </c>
      <c r="AM6" s="15">
        <v>2059</v>
      </c>
      <c r="AN6" s="15">
        <v>2060</v>
      </c>
    </row>
    <row r="7" spans="1:40" x14ac:dyDescent="0.2">
      <c r="A7" s="15" t="s">
        <v>20</v>
      </c>
      <c r="B7" s="16">
        <v>323.83387462431449</v>
      </c>
      <c r="C7" s="16">
        <v>332.93373124541131</v>
      </c>
      <c r="D7" s="16">
        <v>342.28929734291972</v>
      </c>
      <c r="E7" s="16">
        <v>351.90775845162887</v>
      </c>
      <c r="F7" s="16">
        <v>361.79650202262326</v>
      </c>
      <c r="G7" s="16">
        <v>371.96312309720878</v>
      </c>
      <c r="H7" s="16">
        <v>382.41543014027758</v>
      </c>
      <c r="I7" s="16">
        <v>393.16145103759334</v>
      </c>
      <c r="J7" s="16">
        <v>404.2094392616018</v>
      </c>
      <c r="K7" s="16">
        <v>415.56788021050414</v>
      </c>
      <c r="L7" s="16">
        <v>427.24549772545953</v>
      </c>
      <c r="M7" s="16">
        <v>439.25126079092394</v>
      </c>
      <c r="N7" s="16">
        <v>451.59439042327193</v>
      </c>
      <c r="O7" s="16">
        <v>464.2843667529898</v>
      </c>
      <c r="P7" s="16">
        <v>477.3309363058828</v>
      </c>
      <c r="Q7" s="16">
        <v>490.74411948888542</v>
      </c>
      <c r="R7" s="16">
        <v>504.53421828622726</v>
      </c>
      <c r="S7" s="16">
        <v>518.71182417186276</v>
      </c>
      <c r="T7" s="16">
        <v>533.28782624424491</v>
      </c>
      <c r="U7" s="16">
        <v>548.27341958968748</v>
      </c>
      <c r="V7" s="16">
        <v>563.6801138807424</v>
      </c>
      <c r="W7" s="16">
        <v>579.51974221619389</v>
      </c>
      <c r="X7" s="16">
        <v>595.80447020945974</v>
      </c>
      <c r="Y7" s="16">
        <v>612.54680533238195</v>
      </c>
      <c r="Z7" s="16">
        <v>629.75960652157858</v>
      </c>
      <c r="AA7" s="16">
        <v>647.45609405474056</v>
      </c>
      <c r="AB7" s="16">
        <v>665.64985970445412</v>
      </c>
      <c r="AC7" s="16">
        <v>684.35487717735134</v>
      </c>
      <c r="AD7" s="16">
        <v>703.58551284660268</v>
      </c>
      <c r="AE7" s="16">
        <v>723.35653678599954</v>
      </c>
      <c r="AF7" s="16">
        <v>743.68313411409611</v>
      </c>
      <c r="AG7" s="16">
        <v>764.58091665712755</v>
      </c>
      <c r="AH7" s="16">
        <v>786.06593493965966</v>
      </c>
      <c r="AI7" s="16">
        <v>808.15469051218213</v>
      </c>
      <c r="AJ7" s="16">
        <v>830.86414862510912</v>
      </c>
      <c r="AK7" s="16">
        <v>854.21175125892728</v>
      </c>
      <c r="AL7" s="16">
        <v>878.21543052049356</v>
      </c>
      <c r="AM7" s="16">
        <v>902.89362241577464</v>
      </c>
      <c r="AN7" s="16">
        <v>928.26528100960809</v>
      </c>
    </row>
    <row r="8" spans="1:40" x14ac:dyDescent="0.2">
      <c r="A8" s="15" t="s">
        <v>21</v>
      </c>
      <c r="B8" s="16">
        <v>0.32854726422258468</v>
      </c>
      <c r="C8" s="16">
        <v>0.33777956890703925</v>
      </c>
      <c r="D8" s="16">
        <v>0.34727130490950614</v>
      </c>
      <c r="E8" s="16">
        <v>0.35702976234995709</v>
      </c>
      <c r="F8" s="16">
        <v>0.36706243620354329</v>
      </c>
      <c r="G8" s="16">
        <v>0.37737703205710493</v>
      </c>
      <c r="H8" s="16">
        <v>0.38798147202744049</v>
      </c>
      <c r="I8" s="16">
        <v>0.39888390084588232</v>
      </c>
      <c r="J8" s="16">
        <v>0.41009269211385052</v>
      </c>
      <c r="K8" s="16">
        <v>0.42161645473419085</v>
      </c>
      <c r="L8" s="16">
        <v>0.43346403952323515</v>
      </c>
      <c r="M8" s="16">
        <v>0.4456445460086636</v>
      </c>
      <c r="N8" s="16">
        <v>0.45816732941838956</v>
      </c>
      <c r="O8" s="16">
        <v>0.47104200786583428</v>
      </c>
      <c r="P8" s="16">
        <v>0.48427846973711142</v>
      </c>
      <c r="Q8" s="16">
        <v>0.49788688128579311</v>
      </c>
      <c r="R8" s="16">
        <v>0.51187769444109366</v>
      </c>
      <c r="S8" s="16">
        <v>0.52626165483546383</v>
      </c>
      <c r="T8" s="16">
        <v>0.54104981005776587</v>
      </c>
      <c r="U8" s="16">
        <v>0.55625351813836477</v>
      </c>
      <c r="V8" s="16">
        <v>0.57188445627265394</v>
      </c>
      <c r="W8" s="16">
        <v>0.58795462978971558</v>
      </c>
      <c r="X8" s="16">
        <v>0.60447638137300319</v>
      </c>
      <c r="Y8" s="16">
        <v>0.62146240054013069</v>
      </c>
      <c r="Z8" s="16">
        <v>0.63892573338904457</v>
      </c>
      <c r="AA8" s="16">
        <v>0.65687979261806906</v>
      </c>
      <c r="AB8" s="16">
        <v>0.6753383678275181</v>
      </c>
      <c r="AC8" s="16">
        <v>0.69431563611078684</v>
      </c>
      <c r="AD8" s="16">
        <v>0.71382617294305495</v>
      </c>
      <c r="AE8" s="16">
        <v>0.73388496337597009</v>
      </c>
      <c r="AF8" s="16">
        <v>0.75450741354690365</v>
      </c>
      <c r="AG8" s="16">
        <v>0.77570936251162126</v>
      </c>
      <c r="AH8" s="16">
        <v>0.797507094409457</v>
      </c>
      <c r="AI8" s="16">
        <v>0.81991735097033336</v>
      </c>
      <c r="AJ8" s="16">
        <v>0.84295734437323289</v>
      </c>
      <c r="AK8" s="16">
        <v>0.86664477046599708</v>
      </c>
      <c r="AL8" s="16">
        <v>0.89099782235660951</v>
      </c>
      <c r="AM8" s="16">
        <v>0.91603520438639485</v>
      </c>
      <c r="AN8" s="16">
        <v>0.94177614649587571</v>
      </c>
    </row>
    <row r="9" spans="1:40" x14ac:dyDescent="0.2">
      <c r="A9" s="15" t="s">
        <v>22</v>
      </c>
      <c r="B9" s="16">
        <v>0.32433511980946694</v>
      </c>
      <c r="C9" s="16">
        <v>0.33344906161335142</v>
      </c>
      <c r="D9" s="16">
        <v>0.34281910869270948</v>
      </c>
      <c r="E9" s="16">
        <v>0.35245245770443656</v>
      </c>
      <c r="F9" s="16">
        <v>0.36235650753425863</v>
      </c>
      <c r="G9" s="16">
        <v>0.372538864979441</v>
      </c>
      <c r="H9" s="16">
        <v>0.38300735059118224</v>
      </c>
      <c r="I9" s="16">
        <v>0.39377000468118228</v>
      </c>
      <c r="J9" s="16">
        <v>0.40483509349699676</v>
      </c>
      <c r="K9" s="16">
        <v>0.41621111557092216</v>
      </c>
      <c r="L9" s="16">
        <v>0.42790680824728616</v>
      </c>
      <c r="M9" s="16">
        <v>0.43993115439315755</v>
      </c>
      <c r="N9" s="16">
        <v>0.4522933892976303</v>
      </c>
      <c r="O9" s="16">
        <v>0.46500300776497933</v>
      </c>
      <c r="P9" s="16">
        <v>0.47806977140713713</v>
      </c>
      <c r="Q9" s="16">
        <v>0.4915037161410919</v>
      </c>
      <c r="R9" s="16">
        <v>0.50531515989696518</v>
      </c>
      <c r="S9" s="16">
        <v>0.51951471054268927</v>
      </c>
      <c r="T9" s="16">
        <v>0.53411327403137165</v>
      </c>
      <c r="U9" s="16">
        <v>0.54912206277760367</v>
      </c>
      <c r="V9" s="16">
        <v>0.56455260426914511</v>
      </c>
      <c r="W9" s="16">
        <v>0.58041674992060288</v>
      </c>
      <c r="X9" s="16">
        <v>0.59672668417589936</v>
      </c>
      <c r="Y9" s="16">
        <v>0.61349493386652476</v>
      </c>
      <c r="Z9" s="16">
        <v>0.63073437783275987</v>
      </c>
      <c r="AA9" s="16">
        <v>0.64845825681525804</v>
      </c>
      <c r="AB9" s="16">
        <v>0.66668018362458548</v>
      </c>
      <c r="AC9" s="16">
        <v>0.6854141535965298</v>
      </c>
      <c r="AD9" s="16">
        <v>0.70467455534120427</v>
      </c>
      <c r="AE9" s="16">
        <v>0.72447618179420981</v>
      </c>
      <c r="AF9" s="16">
        <v>0.744834241578336</v>
      </c>
      <c r="AG9" s="16">
        <v>0.76576437068453107</v>
      </c>
      <c r="AH9" s="16">
        <v>0.78728264448111196</v>
      </c>
      <c r="AI9" s="16">
        <v>0.80940559006043833</v>
      </c>
      <c r="AJ9" s="16">
        <v>0.83215019893253073</v>
      </c>
      <c r="AK9" s="16">
        <v>0.85553394007538719</v>
      </c>
      <c r="AL9" s="16">
        <v>0.87957477335201684</v>
      </c>
      <c r="AM9" s="16">
        <v>0.90429116330449677</v>
      </c>
      <c r="AN9" s="16">
        <v>0.92970209333565035</v>
      </c>
    </row>
    <row r="10" spans="1:40" x14ac:dyDescent="0.2">
      <c r="A10" s="15" t="s">
        <v>23</v>
      </c>
      <c r="B10" s="16">
        <v>5.3296954050765368</v>
      </c>
      <c r="C10" s="16">
        <v>5.4794618990129118</v>
      </c>
      <c r="D10" s="16">
        <v>5.6334368891204987</v>
      </c>
      <c r="E10" s="16">
        <v>5.791738635762866</v>
      </c>
      <c r="F10" s="16">
        <v>5.9544887224653511</v>
      </c>
      <c r="G10" s="16">
        <v>6.1218121492971918</v>
      </c>
      <c r="H10" s="16">
        <v>6.2938374288777181</v>
      </c>
      <c r="I10" s="16">
        <v>6.4706966850803731</v>
      </c>
      <c r="J10" s="16">
        <v>6.6525257545103349</v>
      </c>
      <c r="K10" s="16">
        <v>6.8394642908337131</v>
      </c>
      <c r="L10" s="16">
        <v>7.0316558720384359</v>
      </c>
      <c r="M10" s="16">
        <v>7.2292481107091922</v>
      </c>
      <c r="N10" s="16">
        <v>7.4323927674011685</v>
      </c>
      <c r="O10" s="16">
        <v>7.6412458671996095</v>
      </c>
      <c r="P10" s="16">
        <v>7.855967819554758</v>
      </c>
      <c r="Q10" s="16">
        <v>8.0767235414841991</v>
      </c>
      <c r="R10" s="16">
        <v>8.3036825842372455</v>
      </c>
      <c r="S10" s="16">
        <v>8.5370192635186175</v>
      </c>
      <c r="T10" s="16">
        <v>8.7769127933714941</v>
      </c>
      <c r="U10" s="16">
        <v>9.0235474238227038</v>
      </c>
      <c r="V10" s="16">
        <v>9.2771125823957998</v>
      </c>
      <c r="W10" s="16">
        <v>9.5378030196007195</v>
      </c>
      <c r="X10" s="16">
        <v>9.8058189585117432</v>
      </c>
      <c r="Y10" s="16">
        <v>10.081366248548678</v>
      </c>
      <c r="Z10" s="16">
        <v>10.364656523579312</v>
      </c>
      <c r="AA10" s="16">
        <v>10.655907364464644</v>
      </c>
      <c r="AB10" s="16">
        <v>10.955342466171688</v>
      </c>
      <c r="AC10" s="16">
        <v>11.263191809582198</v>
      </c>
      <c r="AD10" s="16">
        <v>11.579691838129285</v>
      </c>
      <c r="AE10" s="16">
        <v>11.90508563939763</v>
      </c>
      <c r="AF10" s="16">
        <v>12.239623131826665</v>
      </c>
      <c r="AG10" s="16">
        <v>12.583561256660257</v>
      </c>
      <c r="AH10" s="16">
        <v>12.93716417529019</v>
      </c>
      <c r="AI10" s="16">
        <v>13.30070347214512</v>
      </c>
      <c r="AJ10" s="16">
        <v>13.674458363280767</v>
      </c>
      <c r="AK10" s="16">
        <v>14.058715910831571</v>
      </c>
      <c r="AL10" s="16">
        <v>14.45377124348853</v>
      </c>
      <c r="AM10" s="16">
        <v>14.859927783172541</v>
      </c>
      <c r="AN10" s="16">
        <v>15.27749747807737</v>
      </c>
    </row>
    <row r="11" spans="1:40" x14ac:dyDescent="0.2">
      <c r="A11" s="15" t="s">
        <v>24</v>
      </c>
      <c r="B11" s="16">
        <v>91.397988897582877</v>
      </c>
      <c r="C11" s="16">
        <v>93.966307593054381</v>
      </c>
      <c r="D11" s="16">
        <v>96.606797033211535</v>
      </c>
      <c r="E11" s="16">
        <v>99.321485243780913</v>
      </c>
      <c r="F11" s="16">
        <v>102.11245723879321</v>
      </c>
      <c r="G11" s="16">
        <v>104.98185662197662</v>
      </c>
      <c r="H11" s="16">
        <v>107.93188723314977</v>
      </c>
      <c r="I11" s="16">
        <v>110.96481484087913</v>
      </c>
      <c r="J11" s="16">
        <v>114.08296888270074</v>
      </c>
      <c r="K11" s="16">
        <v>117.28874425424267</v>
      </c>
      <c r="L11" s="16">
        <v>120.58460314862275</v>
      </c>
      <c r="M11" s="16">
        <v>123.97307694753377</v>
      </c>
      <c r="N11" s="16">
        <v>127.45676816546931</v>
      </c>
      <c r="O11" s="16">
        <v>131.03835244858269</v>
      </c>
      <c r="P11" s="16">
        <v>134.72058062971479</v>
      </c>
      <c r="Q11" s="16">
        <v>138.50628084116906</v>
      </c>
      <c r="R11" s="16">
        <v>142.39836068685602</v>
      </c>
      <c r="S11" s="16">
        <v>146.39980947547616</v>
      </c>
      <c r="T11" s="16">
        <v>150.51370051645588</v>
      </c>
      <c r="U11" s="16">
        <v>154.74319348040049</v>
      </c>
      <c r="V11" s="16">
        <v>159.09153682587635</v>
      </c>
      <c r="W11" s="16">
        <v>163.56207029438681</v>
      </c>
      <c r="X11" s="16">
        <v>168.15822747545806</v>
      </c>
      <c r="Y11" s="16">
        <v>172.8835384438047</v>
      </c>
      <c r="Z11" s="16">
        <v>177.74163247060042</v>
      </c>
      <c r="AA11" s="16">
        <v>182.73624081093709</v>
      </c>
      <c r="AB11" s="16">
        <v>187.871199569612</v>
      </c>
      <c r="AC11" s="16">
        <v>193.15045264744484</v>
      </c>
      <c r="AD11" s="16">
        <v>198.57805477038758</v>
      </c>
      <c r="AE11" s="16">
        <v>204.15817460375337</v>
      </c>
      <c r="AF11" s="16">
        <v>209.89509795395659</v>
      </c>
      <c r="AG11" s="16">
        <v>215.79323106022269</v>
      </c>
      <c r="AH11" s="16">
        <v>221.8571039787966</v>
      </c>
      <c r="AI11" s="16">
        <v>228.09137406224895</v>
      </c>
      <c r="AJ11" s="16">
        <v>234.50082953655152</v>
      </c>
      <c r="AK11" s="16">
        <v>241.09039317867047</v>
      </c>
      <c r="AL11" s="16">
        <v>247.86512609750093</v>
      </c>
      <c r="AM11" s="16">
        <v>254.8302316210476</v>
      </c>
      <c r="AN11" s="16">
        <v>261.99105929283661</v>
      </c>
    </row>
    <row r="14" spans="1:40" x14ac:dyDescent="0.2">
      <c r="A14" s="14" t="s">
        <v>27</v>
      </c>
    </row>
    <row r="15" spans="1:40" x14ac:dyDescent="0.2">
      <c r="A15" s="14" t="s">
        <v>16</v>
      </c>
    </row>
    <row r="16" spans="1:40" x14ac:dyDescent="0.2">
      <c r="A16" s="14" t="s">
        <v>28</v>
      </c>
    </row>
    <row r="17" spans="1:40" x14ac:dyDescent="0.2">
      <c r="A17" s="14" t="s">
        <v>18</v>
      </c>
    </row>
    <row r="18" spans="1:40" x14ac:dyDescent="0.2">
      <c r="A18" s="17" t="s">
        <v>92</v>
      </c>
      <c r="B18" s="18">
        <v>621371000</v>
      </c>
    </row>
    <row r="19" spans="1:40" x14ac:dyDescent="0.2">
      <c r="A19" s="15" t="s">
        <v>19</v>
      </c>
      <c r="B19" s="15">
        <v>2022</v>
      </c>
      <c r="C19" s="15">
        <v>2023</v>
      </c>
      <c r="D19" s="15">
        <v>2024</v>
      </c>
      <c r="E19" s="15">
        <v>2025</v>
      </c>
      <c r="F19" s="15">
        <v>2026</v>
      </c>
      <c r="G19" s="15">
        <v>2027</v>
      </c>
      <c r="H19" s="15">
        <v>2028</v>
      </c>
      <c r="I19" s="15">
        <v>2029</v>
      </c>
      <c r="J19" s="15">
        <v>2030</v>
      </c>
      <c r="K19" s="15">
        <v>2031</v>
      </c>
      <c r="L19" s="15">
        <v>2032</v>
      </c>
      <c r="M19" s="15">
        <v>2033</v>
      </c>
      <c r="N19" s="15">
        <v>2034</v>
      </c>
      <c r="O19" s="15">
        <v>2035</v>
      </c>
      <c r="P19" s="15">
        <v>2036</v>
      </c>
      <c r="Q19" s="15">
        <v>2037</v>
      </c>
      <c r="R19" s="15">
        <v>2038</v>
      </c>
      <c r="S19" s="15">
        <v>2039</v>
      </c>
      <c r="T19" s="15">
        <v>2040</v>
      </c>
      <c r="U19" s="15">
        <v>2041</v>
      </c>
      <c r="V19" s="15">
        <v>2042</v>
      </c>
      <c r="W19" s="15">
        <v>2043</v>
      </c>
      <c r="X19" s="15">
        <v>2044</v>
      </c>
      <c r="Y19" s="15">
        <v>2045</v>
      </c>
      <c r="Z19" s="15">
        <v>2046</v>
      </c>
      <c r="AA19" s="15">
        <v>2047</v>
      </c>
      <c r="AB19" s="15">
        <v>2048</v>
      </c>
      <c r="AC19" s="15">
        <v>2049</v>
      </c>
      <c r="AD19" s="15">
        <v>2050</v>
      </c>
      <c r="AE19" s="15">
        <v>2051</v>
      </c>
      <c r="AF19" s="15">
        <v>2052</v>
      </c>
      <c r="AG19" s="15">
        <v>2053</v>
      </c>
      <c r="AH19" s="15">
        <v>2054</v>
      </c>
      <c r="AI19" s="15">
        <v>2055</v>
      </c>
      <c r="AJ19" s="15">
        <v>2056</v>
      </c>
      <c r="AK19" s="15">
        <v>2057</v>
      </c>
      <c r="AL19" s="15">
        <v>2058</v>
      </c>
      <c r="AM19" s="15">
        <v>2059</v>
      </c>
      <c r="AN19" s="15">
        <v>2060</v>
      </c>
    </row>
    <row r="20" spans="1:40" x14ac:dyDescent="0.2">
      <c r="A20" s="15" t="s">
        <v>29</v>
      </c>
      <c r="B20" s="16">
        <v>1351.1259769573198</v>
      </c>
      <c r="C20" s="16">
        <v>1389.0931373775031</v>
      </c>
      <c r="D20" s="16">
        <v>1428.1271896308365</v>
      </c>
      <c r="E20" s="16">
        <v>1468.2581137888085</v>
      </c>
      <c r="F20" s="16">
        <v>1509.5167323744658</v>
      </c>
      <c r="G20" s="16">
        <v>1551.9347340356264</v>
      </c>
      <c r="H20" s="16">
        <v>1595.5446978833181</v>
      </c>
      <c r="I20" s="16">
        <v>1640.3801185141385</v>
      </c>
      <c r="J20" s="16">
        <v>1686.475431735752</v>
      </c>
      <c r="K20" s="16">
        <v>1733.8660410152834</v>
      </c>
      <c r="L20" s="16">
        <v>1782.5883446709224</v>
      </c>
      <c r="M20" s="16">
        <v>1832.6797638276191</v>
      </c>
      <c r="N20" s="16">
        <v>1884.1787711583511</v>
      </c>
      <c r="O20" s="16">
        <v>1937.1249204330263</v>
      </c>
      <c r="P20" s="16">
        <v>1991.5588768977236</v>
      </c>
      <c r="Q20" s="16">
        <v>2047.5224485076012</v>
      </c>
      <c r="R20" s="16">
        <v>2105.0586180374621</v>
      </c>
      <c r="S20" s="16">
        <v>2164.211576094639</v>
      </c>
      <c r="T20" s="16">
        <v>2225.0267550595531</v>
      </c>
      <c r="U20" s="16">
        <v>2287.5508639800164</v>
      </c>
      <c r="V20" s="16">
        <v>2351.8319244460772</v>
      </c>
      <c r="W20" s="16">
        <v>2417.9193074729633</v>
      </c>
      <c r="X20" s="16">
        <v>2485.8637714204469</v>
      </c>
      <c r="Y20" s="16">
        <v>2555.7175009777643</v>
      </c>
      <c r="Z20" s="16">
        <v>2627.5341472440205</v>
      </c>
      <c r="AA20" s="16">
        <v>2701.3688689348714</v>
      </c>
      <c r="AB20" s="16">
        <v>2777.2783747471344</v>
      </c>
      <c r="AC20" s="16">
        <v>2855.3209669138473</v>
      </c>
      <c r="AD20" s="16">
        <v>2935.5565859832573</v>
      </c>
      <c r="AE20" s="16">
        <v>3018.0468568561064</v>
      </c>
      <c r="AF20" s="16">
        <v>3102.8551361165883</v>
      </c>
      <c r="AG20" s="16">
        <v>3190.0465606933144</v>
      </c>
      <c r="AH20" s="16">
        <v>3279.6880978876834</v>
      </c>
      <c r="AI20" s="16">
        <v>3371.8485968080608</v>
      </c>
      <c r="AJ20" s="16">
        <v>3466.5988412492766</v>
      </c>
      <c r="AK20" s="16">
        <v>3564.0116040580638</v>
      </c>
      <c r="AL20" s="16">
        <v>3664.16170302618</v>
      </c>
      <c r="AM20" s="16">
        <v>3767.1260583541534</v>
      </c>
      <c r="AN20" s="16">
        <v>3872.983751729776</v>
      </c>
    </row>
    <row r="21" spans="1:40" x14ac:dyDescent="0.2">
      <c r="A21" s="15" t="s">
        <v>30</v>
      </c>
      <c r="B21" s="16">
        <v>0.47306912751224162</v>
      </c>
      <c r="C21" s="16">
        <v>0.48636255222645003</v>
      </c>
      <c r="D21" s="16">
        <v>0.50002952729589234</v>
      </c>
      <c r="E21" s="16">
        <v>0.51408054962944594</v>
      </c>
      <c r="F21" s="16">
        <v>0.52852641110317133</v>
      </c>
      <c r="G21" s="16">
        <v>0.54337820684900351</v>
      </c>
      <c r="H21" s="16">
        <v>0.55864734377635872</v>
      </c>
      <c r="I21" s="16">
        <v>0.57434554933320192</v>
      </c>
      <c r="J21" s="16">
        <v>0.59048488051330317</v>
      </c>
      <c r="K21" s="16">
        <v>0.60707773311660251</v>
      </c>
      <c r="L21" s="16">
        <v>0.62413685126979279</v>
      </c>
      <c r="M21" s="16">
        <v>0.64167533721443615</v>
      </c>
      <c r="N21" s="16">
        <v>0.6597066613701299</v>
      </c>
      <c r="O21" s="16">
        <v>0.67824467268045119</v>
      </c>
      <c r="P21" s="16">
        <v>0.69730360924962576</v>
      </c>
      <c r="Q21" s="16">
        <v>0.7168981092780935</v>
      </c>
      <c r="R21" s="16">
        <v>0.73704322230536501</v>
      </c>
      <c r="S21" s="16">
        <v>0.75775442076880839</v>
      </c>
      <c r="T21" s="16">
        <v>0.77904761188724192</v>
      </c>
      <c r="U21" s="16">
        <v>0.80093914987846104</v>
      </c>
      <c r="V21" s="16">
        <v>0.82344584852007974</v>
      </c>
      <c r="W21" s="16">
        <v>0.84658499406334076</v>
      </c>
      <c r="X21" s="16">
        <v>0.87037435850980516</v>
      </c>
      <c r="Y21" s="16">
        <v>0.89483221326112428</v>
      </c>
      <c r="Z21" s="16">
        <v>0.91997734315237367</v>
      </c>
      <c r="AA21" s="16">
        <v>0.94582906087973084</v>
      </c>
      <c r="AB21" s="16">
        <v>0.97240722183357575</v>
      </c>
      <c r="AC21" s="16">
        <v>0.9997322393484056</v>
      </c>
      <c r="AD21" s="16">
        <v>1.0278251003812813</v>
      </c>
      <c r="AE21" s="16">
        <v>1.056707381630841</v>
      </c>
      <c r="AF21" s="16">
        <v>1.0864012661092666</v>
      </c>
      <c r="AG21" s="16">
        <v>1.116929560179927</v>
      </c>
      <c r="AH21" s="16">
        <v>1.1483157110737869</v>
      </c>
      <c r="AI21" s="16">
        <v>1.1805838248980338</v>
      </c>
      <c r="AJ21" s="16">
        <v>1.2137586851507527</v>
      </c>
      <c r="AK21" s="16">
        <v>1.2478657717558725</v>
      </c>
      <c r="AL21" s="16">
        <v>1.2829312806329978</v>
      </c>
      <c r="AM21" s="16">
        <v>1.3189821438171663</v>
      </c>
      <c r="AN21" s="16">
        <v>1.3560460501439751</v>
      </c>
    </row>
    <row r="22" spans="1:40" x14ac:dyDescent="0.2">
      <c r="A22" s="15" t="s">
        <v>31</v>
      </c>
      <c r="B22" s="16">
        <v>2.7032521572257162E-2</v>
      </c>
      <c r="C22" s="16">
        <v>2.7792145841644127E-2</v>
      </c>
      <c r="D22" s="16">
        <v>2.857311584561599E-2</v>
      </c>
      <c r="E22" s="16">
        <v>2.9376031407537175E-2</v>
      </c>
      <c r="F22" s="16">
        <v>3.0201509206039708E-2</v>
      </c>
      <c r="G22" s="16">
        <v>3.1050183248662738E-2</v>
      </c>
      <c r="H22" s="16">
        <v>3.1922705358801491E-2</v>
      </c>
      <c r="I22" s="16">
        <v>3.2819745676339669E-2</v>
      </c>
      <c r="J22" s="16">
        <v>3.3741993172349861E-2</v>
      </c>
      <c r="K22" s="16">
        <v>3.4690156178257207E-2</v>
      </c>
      <c r="L22" s="16">
        <v>3.5664962929872736E-2</v>
      </c>
      <c r="M22" s="16">
        <v>3.6667162126714281E-2</v>
      </c>
      <c r="N22" s="16">
        <v>3.7697523507044563E-2</v>
      </c>
      <c r="O22" s="16">
        <v>3.8756838439067971E-2</v>
      </c>
      <c r="P22" s="16">
        <v>3.9845920528740295E-2</v>
      </c>
      <c r="Q22" s="16">
        <v>4.096560624465808E-2</v>
      </c>
      <c r="R22" s="16">
        <v>4.211675556050766E-2</v>
      </c>
      <c r="S22" s="16">
        <v>4.330025261556722E-2</v>
      </c>
      <c r="T22" s="16">
        <v>4.4517006393769244E-2</v>
      </c>
      <c r="U22" s="16">
        <v>4.5767951421844873E-2</v>
      </c>
      <c r="V22" s="16">
        <v>4.7054048487086365E-2</v>
      </c>
      <c r="W22" s="16">
        <v>4.8376285375279021E-2</v>
      </c>
      <c r="X22" s="16">
        <v>4.9735677629369202E-2</v>
      </c>
      <c r="Y22" s="16">
        <v>5.1133269329451239E-2</v>
      </c>
      <c r="Z22" s="16">
        <v>5.2570133894672355E-2</v>
      </c>
      <c r="AA22" s="16">
        <v>5.4047374907671253E-2</v>
      </c>
      <c r="AB22" s="16">
        <v>5.5566126962183923E-2</v>
      </c>
      <c r="AC22" s="16">
        <v>5.7127556534467369E-2</v>
      </c>
      <c r="AD22" s="16">
        <v>5.8732862879210791E-2</v>
      </c>
      <c r="AE22" s="16">
        <v>6.038327895062208E-2</v>
      </c>
      <c r="AF22" s="16">
        <v>6.2080072349397358E-2</v>
      </c>
      <c r="AG22" s="16">
        <v>6.3824546296300563E-2</v>
      </c>
      <c r="AH22" s="16">
        <v>6.561804063310113E-2</v>
      </c>
      <c r="AI22" s="16">
        <v>6.7461932851638332E-2</v>
      </c>
      <c r="AJ22" s="16">
        <v>6.935763915180275E-2</v>
      </c>
      <c r="AK22" s="16">
        <v>7.1306615529247469E-2</v>
      </c>
      <c r="AL22" s="16">
        <v>7.3310358893664176E-2</v>
      </c>
      <c r="AM22" s="16">
        <v>7.5370408218483662E-2</v>
      </c>
      <c r="AN22" s="16">
        <v>7.7488345722882837E-2</v>
      </c>
    </row>
    <row r="25" spans="1:40" x14ac:dyDescent="0.2">
      <c r="A25" s="14" t="s">
        <v>33</v>
      </c>
    </row>
    <row r="26" spans="1:40" x14ac:dyDescent="0.2">
      <c r="A26" s="14" t="s">
        <v>16</v>
      </c>
    </row>
    <row r="27" spans="1:40" x14ac:dyDescent="0.2">
      <c r="A27" s="14" t="s">
        <v>34</v>
      </c>
    </row>
    <row r="28" spans="1:40" x14ac:dyDescent="0.2">
      <c r="A28" s="14" t="s">
        <v>18</v>
      </c>
    </row>
    <row r="29" spans="1:40" x14ac:dyDescent="0.2">
      <c r="A29" s="17" t="s">
        <v>92</v>
      </c>
      <c r="B29" s="18">
        <v>621371000</v>
      </c>
    </row>
    <row r="30" spans="1:40" x14ac:dyDescent="0.2">
      <c r="A30" s="15" t="s">
        <v>19</v>
      </c>
      <c r="B30" s="15">
        <v>2022</v>
      </c>
      <c r="C30" s="15">
        <v>2023</v>
      </c>
      <c r="D30" s="15">
        <v>2024</v>
      </c>
      <c r="E30" s="15">
        <v>2025</v>
      </c>
      <c r="F30" s="15">
        <v>2026</v>
      </c>
      <c r="G30" s="15">
        <v>2027</v>
      </c>
      <c r="H30" s="15">
        <v>2028</v>
      </c>
      <c r="I30" s="15">
        <v>2029</v>
      </c>
      <c r="J30" s="15">
        <v>2030</v>
      </c>
      <c r="K30" s="15">
        <v>2031</v>
      </c>
      <c r="L30" s="15">
        <v>2032</v>
      </c>
      <c r="M30" s="15">
        <v>2033</v>
      </c>
      <c r="N30" s="15">
        <v>2034</v>
      </c>
      <c r="O30" s="15">
        <v>2035</v>
      </c>
      <c r="P30" s="15">
        <v>2036</v>
      </c>
      <c r="Q30" s="15">
        <v>2037</v>
      </c>
      <c r="R30" s="15">
        <v>2038</v>
      </c>
      <c r="S30" s="15">
        <v>2039</v>
      </c>
      <c r="T30" s="15">
        <v>2040</v>
      </c>
      <c r="U30" s="15">
        <v>2041</v>
      </c>
      <c r="V30" s="15">
        <v>2042</v>
      </c>
      <c r="W30" s="15">
        <v>2043</v>
      </c>
      <c r="X30" s="15">
        <v>2044</v>
      </c>
      <c r="Y30" s="15">
        <v>2045</v>
      </c>
      <c r="Z30" s="15">
        <v>2046</v>
      </c>
      <c r="AA30" s="15">
        <v>2047</v>
      </c>
      <c r="AB30" s="15">
        <v>2048</v>
      </c>
      <c r="AC30" s="15">
        <v>2049</v>
      </c>
      <c r="AD30" s="15">
        <v>2050</v>
      </c>
      <c r="AE30" s="15">
        <v>2051</v>
      </c>
      <c r="AF30" s="15">
        <v>2052</v>
      </c>
      <c r="AG30" s="15">
        <v>2053</v>
      </c>
      <c r="AH30" s="15">
        <v>2054</v>
      </c>
      <c r="AI30" s="15">
        <v>2055</v>
      </c>
      <c r="AJ30" s="15">
        <v>2056</v>
      </c>
      <c r="AK30" s="15">
        <v>2057</v>
      </c>
      <c r="AL30" s="15">
        <v>2058</v>
      </c>
      <c r="AM30" s="15">
        <v>2059</v>
      </c>
      <c r="AN30" s="15">
        <v>2060</v>
      </c>
    </row>
    <row r="31" spans="1:40" x14ac:dyDescent="0.2">
      <c r="A31" s="15" t="s">
        <v>35</v>
      </c>
      <c r="B31" s="16">
        <v>0.20608821540865466</v>
      </c>
      <c r="C31" s="16">
        <v>0.21187937364894721</v>
      </c>
      <c r="D31" s="16">
        <v>0.21783326566660605</v>
      </c>
      <c r="E31" s="16">
        <v>0.22395446434346172</v>
      </c>
      <c r="F31" s="16">
        <v>0.23024767106108607</v>
      </c>
      <c r="G31" s="16">
        <v>0.23671771931168384</v>
      </c>
      <c r="H31" s="16">
        <v>0.24336957841045281</v>
      </c>
      <c r="I31" s="16">
        <v>0.25020835731226204</v>
      </c>
      <c r="J31" s="16">
        <v>0.25723930853558041</v>
      </c>
      <c r="K31" s="16">
        <v>0.26446783219666908</v>
      </c>
      <c r="L31" s="16">
        <v>0.27189948015713633</v>
      </c>
      <c r="M31" s="16">
        <v>0.27953996028804023</v>
      </c>
      <c r="N31" s="16">
        <v>0.2873951408538144</v>
      </c>
      <c r="O31" s="16">
        <v>0.29547105501938353</v>
      </c>
      <c r="P31" s="16">
        <v>0.30377390548393074</v>
      </c>
      <c r="Q31" s="16">
        <v>0.31231006924487548</v>
      </c>
      <c r="R31" s="16">
        <v>0.32108610249572123</v>
      </c>
      <c r="S31" s="16">
        <v>0.33010874566153436</v>
      </c>
      <c r="T31" s="16">
        <v>0.33938492857592223</v>
      </c>
      <c r="U31" s="16">
        <v>0.34892177580348588</v>
      </c>
      <c r="V31" s="16">
        <v>0.3587266121118361</v>
      </c>
      <c r="W31" s="16">
        <v>0.36880696809737523</v>
      </c>
      <c r="X31" s="16">
        <v>0.3791705859691652</v>
      </c>
      <c r="Y31" s="16">
        <v>0.38982542549532506</v>
      </c>
      <c r="Z31" s="16">
        <v>0.40077967011652443</v>
      </c>
      <c r="AA31" s="16">
        <v>0.41204173323126758</v>
      </c>
      <c r="AB31" s="16">
        <v>0.42362026465779806</v>
      </c>
      <c r="AC31" s="16">
        <v>0.43552415727758398</v>
      </c>
      <c r="AD31" s="16">
        <v>0.4477625538654883</v>
      </c>
      <c r="AE31" s="16">
        <v>0.46034485411186943</v>
      </c>
      <c r="AF31" s="16">
        <v>0.47328072184200604</v>
      </c>
      <c r="AG31" s="16">
        <v>0.48658009243838929</v>
      </c>
      <c r="AH31" s="16">
        <v>0.50025318047158585</v>
      </c>
      <c r="AI31" s="16">
        <v>0.51431048754552999</v>
      </c>
      <c r="AJ31" s="16">
        <v>0.52876281036327188</v>
      </c>
      <c r="AK31" s="16">
        <v>0.54362124901937614</v>
      </c>
      <c r="AL31" s="16">
        <v>0.55889721552534122</v>
      </c>
      <c r="AM31" s="16">
        <v>0.57460244257458393</v>
      </c>
      <c r="AN31" s="16">
        <v>0.59074899255372604</v>
      </c>
    </row>
    <row r="32" spans="1:40" x14ac:dyDescent="0.2">
      <c r="A32" s="15" t="s">
        <v>36</v>
      </c>
      <c r="B32" s="16">
        <v>0.37470584619756814</v>
      </c>
      <c r="C32" s="16">
        <v>0.38523522481628225</v>
      </c>
      <c r="D32" s="16">
        <v>0.39606048303020774</v>
      </c>
      <c r="E32" s="16">
        <v>0.40718993516994584</v>
      </c>
      <c r="F32" s="16">
        <v>0.4186321292019905</v>
      </c>
      <c r="G32" s="16">
        <v>0.43039585329398694</v>
      </c>
      <c r="H32" s="16">
        <v>0.44249014256447644</v>
      </c>
      <c r="I32" s="16">
        <v>0.45492428602231189</v>
      </c>
      <c r="J32" s="16">
        <v>0.46770783370107305</v>
      </c>
      <c r="K32" s="16">
        <v>0.48085060399396201</v>
      </c>
      <c r="L32" s="16">
        <v>0.49436269119481208</v>
      </c>
      <c r="M32" s="16">
        <v>0.50825447325100148</v>
      </c>
      <c r="N32" s="16">
        <v>0.52253661973422783</v>
      </c>
      <c r="O32" s="16">
        <v>0.53722010003526321</v>
      </c>
      <c r="P32" s="16">
        <v>0.55231619178898583</v>
      </c>
      <c r="Q32" s="16">
        <v>0.56783648953615873</v>
      </c>
      <c r="R32" s="16">
        <v>0.58379291362860608</v>
      </c>
      <c r="S32" s="16">
        <v>0.60019771938463073</v>
      </c>
      <c r="T32" s="16">
        <v>0.61706350650170017</v>
      </c>
      <c r="U32" s="16">
        <v>0.63440322873363475</v>
      </c>
      <c r="V32" s="16">
        <v>0.65223020383972674</v>
      </c>
      <c r="W32" s="16">
        <v>0.67055812381343483</v>
      </c>
      <c r="X32" s="16">
        <v>0.68940106539850832</v>
      </c>
      <c r="Y32" s="16">
        <v>0.70877350090061797</v>
      </c>
      <c r="Z32" s="16">
        <v>0.72869030930279932</v>
      </c>
      <c r="AA32" s="16">
        <v>0.74916678769324208</v>
      </c>
      <c r="AB32" s="16">
        <v>0.77021866301420749</v>
      </c>
      <c r="AC32" s="16">
        <v>0.7918621041410917</v>
      </c>
      <c r="AD32" s="16">
        <v>0.8141137343009186</v>
      </c>
      <c r="AE32" s="16">
        <v>0.83699064383979438</v>
      </c>
      <c r="AF32" s="16">
        <v>0.86051040334913442</v>
      </c>
      <c r="AG32" s="16">
        <v>0.88469107716074136</v>
      </c>
      <c r="AH32" s="16">
        <v>0.90955123722109965</v>
      </c>
      <c r="AI32" s="16">
        <v>0.93510997735554446</v>
      </c>
      <c r="AJ32" s="16">
        <v>0.96138692793325797</v>
      </c>
      <c r="AK32" s="16">
        <v>0.98840227094435773</v>
      </c>
      <c r="AL32" s="16">
        <v>1.0161767555006589</v>
      </c>
      <c r="AM32" s="16">
        <v>1.0447317137720102</v>
      </c>
      <c r="AN32" s="16">
        <v>1.0740890773704517</v>
      </c>
    </row>
    <row r="33" spans="1:40" x14ac:dyDescent="0.2">
      <c r="A33" s="15" t="s">
        <v>37</v>
      </c>
      <c r="B33" s="16">
        <v>34.378485123014201</v>
      </c>
      <c r="C33" s="16">
        <v>35.34453379791848</v>
      </c>
      <c r="D33" s="16">
        <v>36.337728812719504</v>
      </c>
      <c r="E33" s="16">
        <v>37.358832990025419</v>
      </c>
      <c r="F33" s="16">
        <v>38.408630588053505</v>
      </c>
      <c r="G33" s="16">
        <v>39.48792790297906</v>
      </c>
      <c r="H33" s="16">
        <v>40.597553888210498</v>
      </c>
      <c r="I33" s="16">
        <v>41.73836079106632</v>
      </c>
      <c r="J33" s="16">
        <v>42.911224807343004</v>
      </c>
      <c r="K33" s="16">
        <v>44.117046754276394</v>
      </c>
      <c r="L33" s="16">
        <v>45.356752762413699</v>
      </c>
      <c r="M33" s="16">
        <v>46.631294986927202</v>
      </c>
      <c r="N33" s="16">
        <v>47.94165233891637</v>
      </c>
      <c r="O33" s="16">
        <v>49.288831237259622</v>
      </c>
      <c r="P33" s="16">
        <v>50.673866381593541</v>
      </c>
      <c r="Q33" s="16">
        <v>52.097821547013098</v>
      </c>
      <c r="R33" s="16">
        <v>53.561790401103181</v>
      </c>
      <c r="S33" s="16">
        <v>55.066897343929114</v>
      </c>
      <c r="T33" s="16">
        <v>56.614298371631207</v>
      </c>
      <c r="U33" s="16">
        <v>58.205181964286581</v>
      </c>
      <c r="V33" s="16">
        <v>59.840769998720369</v>
      </c>
      <c r="W33" s="16">
        <v>61.522318686967147</v>
      </c>
      <c r="X33" s="16">
        <v>63.251119541103584</v>
      </c>
      <c r="Y33" s="16">
        <v>65.028500365193196</v>
      </c>
      <c r="Z33" s="16">
        <v>66.855826275105187</v>
      </c>
      <c r="AA33" s="16">
        <v>68.73450074699052</v>
      </c>
      <c r="AB33" s="16">
        <v>70.665966695220646</v>
      </c>
      <c r="AC33" s="16">
        <v>72.651707580616673</v>
      </c>
      <c r="AD33" s="16">
        <v>74.693248549820225</v>
      </c>
      <c r="AE33" s="16">
        <v>76.792157606681059</v>
      </c>
      <c r="AF33" s="16">
        <v>78.950046816561155</v>
      </c>
      <c r="AG33" s="16">
        <v>81.168573544480083</v>
      </c>
      <c r="AH33" s="16">
        <v>83.449441728052946</v>
      </c>
      <c r="AI33" s="16">
        <v>85.794403186198195</v>
      </c>
      <c r="AJ33" s="16">
        <v>88.205258964620697</v>
      </c>
      <c r="AK33" s="16">
        <v>90.683860719103407</v>
      </c>
      <c r="AL33" s="16">
        <v>93.2321121376701</v>
      </c>
      <c r="AM33" s="16">
        <v>95.851970402711288</v>
      </c>
      <c r="AN33" s="16">
        <v>98.545447694196596</v>
      </c>
    </row>
    <row r="34" spans="1:40" x14ac:dyDescent="0.2">
      <c r="A34" s="15" t="s">
        <v>38</v>
      </c>
      <c r="B34" s="16">
        <v>589.55046447796951</v>
      </c>
      <c r="C34" s="16">
        <v>606.11705963072916</v>
      </c>
      <c r="D34" s="16">
        <v>623.14918248890501</v>
      </c>
      <c r="E34" s="16">
        <v>640.65991456034521</v>
      </c>
      <c r="F34" s="16">
        <v>658.66270494830781</v>
      </c>
      <c r="G34" s="16">
        <v>677.17138068103293</v>
      </c>
      <c r="H34" s="16">
        <v>696.20015733158073</v>
      </c>
      <c r="I34" s="16">
        <v>715.76364993609025</v>
      </c>
      <c r="J34" s="16">
        <v>735.87688421884593</v>
      </c>
      <c r="K34" s="16">
        <v>756.55530813277255</v>
      </c>
      <c r="L34" s="16">
        <v>777.81480372422322</v>
      </c>
      <c r="M34" s="16">
        <v>799.67169933117088</v>
      </c>
      <c r="N34" s="16">
        <v>822.14278212417571</v>
      </c>
      <c r="O34" s="16">
        <v>845.24531099975718</v>
      </c>
      <c r="P34" s="16">
        <v>868.99702983607517</v>
      </c>
      <c r="Q34" s="16">
        <v>893.41618112110132</v>
      </c>
      <c r="R34" s="16">
        <v>918.52151996374585</v>
      </c>
      <c r="S34" s="16">
        <v>944.33232849870467</v>
      </c>
      <c r="T34" s="16">
        <v>970.86843069608597</v>
      </c>
      <c r="U34" s="16">
        <v>998.15020758719413</v>
      </c>
      <c r="V34" s="16">
        <v>1026.1986129181648</v>
      </c>
      <c r="W34" s="16">
        <v>1055.0351892434712</v>
      </c>
      <c r="X34" s="16">
        <v>1084.6820844716658</v>
      </c>
      <c r="Y34" s="16">
        <v>1115.1620688760627</v>
      </c>
      <c r="Z34" s="16">
        <v>1146.4985525834284</v>
      </c>
      <c r="AA34" s="16">
        <v>1178.7156035541079</v>
      </c>
      <c r="AB34" s="16">
        <v>1211.8379660674045</v>
      </c>
      <c r="AC34" s="16">
        <v>1245.8910797264009</v>
      </c>
      <c r="AD34" s="16">
        <v>1280.9010989968265</v>
      </c>
      <c r="AE34" s="16">
        <v>1316.8949132949717</v>
      </c>
      <c r="AF34" s="16">
        <v>1353.9001676400842</v>
      </c>
      <c r="AG34" s="16">
        <v>1391.9452838871007</v>
      </c>
      <c r="AH34" s="16">
        <v>1431.0594825560297</v>
      </c>
      <c r="AI34" s="16">
        <v>1471.2728052747493</v>
      </c>
      <c r="AJ34" s="16">
        <v>1512.6161378524519</v>
      </c>
      <c r="AK34" s="16">
        <v>1555.1212340014667</v>
      </c>
      <c r="AL34" s="16">
        <v>1598.8207397256713</v>
      </c>
      <c r="AM34" s="16">
        <v>1643.7482183942268</v>
      </c>
      <c r="AN34" s="16">
        <v>1689.938176519898</v>
      </c>
    </row>
    <row r="37" spans="1:40" x14ac:dyDescent="0.2">
      <c r="A37" s="14" t="s">
        <v>40</v>
      </c>
    </row>
    <row r="38" spans="1:40" x14ac:dyDescent="0.2">
      <c r="A38" s="14" t="s">
        <v>16</v>
      </c>
    </row>
    <row r="39" spans="1:40" x14ac:dyDescent="0.2">
      <c r="A39" s="14" t="s">
        <v>41</v>
      </c>
    </row>
    <row r="40" spans="1:40" x14ac:dyDescent="0.2">
      <c r="A40" s="14" t="s">
        <v>18</v>
      </c>
    </row>
    <row r="41" spans="1:40" x14ac:dyDescent="0.2">
      <c r="A41" s="17" t="s">
        <v>92</v>
      </c>
      <c r="B41" s="18">
        <v>621371000</v>
      </c>
    </row>
    <row r="42" spans="1:40" x14ac:dyDescent="0.2">
      <c r="A42" s="15" t="s">
        <v>19</v>
      </c>
      <c r="B42" s="15">
        <v>2022</v>
      </c>
      <c r="C42" s="15">
        <v>2023</v>
      </c>
      <c r="D42" s="15">
        <v>2024</v>
      </c>
      <c r="E42" s="15">
        <v>2025</v>
      </c>
      <c r="F42" s="15">
        <v>2026</v>
      </c>
      <c r="G42" s="15">
        <v>2027</v>
      </c>
      <c r="H42" s="15">
        <v>2028</v>
      </c>
      <c r="I42" s="15">
        <v>2029</v>
      </c>
      <c r="J42" s="15">
        <v>2030</v>
      </c>
      <c r="K42" s="15">
        <v>2031</v>
      </c>
      <c r="L42" s="15">
        <v>2032</v>
      </c>
      <c r="M42" s="15">
        <v>2033</v>
      </c>
      <c r="N42" s="15">
        <v>2034</v>
      </c>
      <c r="O42" s="15">
        <v>2035</v>
      </c>
      <c r="P42" s="15">
        <v>2036</v>
      </c>
      <c r="Q42" s="15">
        <v>2037</v>
      </c>
      <c r="R42" s="15">
        <v>2038</v>
      </c>
      <c r="S42" s="15">
        <v>2039</v>
      </c>
      <c r="T42" s="15">
        <v>2040</v>
      </c>
      <c r="U42" s="15">
        <v>2041</v>
      </c>
      <c r="V42" s="15">
        <v>2042</v>
      </c>
      <c r="W42" s="15">
        <v>2043</v>
      </c>
      <c r="X42" s="15">
        <v>2044</v>
      </c>
      <c r="Y42" s="15">
        <v>2045</v>
      </c>
      <c r="Z42" s="15">
        <v>2046</v>
      </c>
      <c r="AA42" s="15">
        <v>2047</v>
      </c>
      <c r="AB42" s="15">
        <v>2048</v>
      </c>
      <c r="AC42" s="15">
        <v>2049</v>
      </c>
      <c r="AD42" s="15">
        <v>2050</v>
      </c>
      <c r="AE42" s="15">
        <v>2051</v>
      </c>
      <c r="AF42" s="15">
        <v>2052</v>
      </c>
      <c r="AG42" s="15">
        <v>2053</v>
      </c>
      <c r="AH42" s="15">
        <v>2054</v>
      </c>
      <c r="AI42" s="15">
        <v>2055</v>
      </c>
      <c r="AJ42" s="15">
        <v>2056</v>
      </c>
      <c r="AK42" s="15">
        <v>2057</v>
      </c>
      <c r="AL42" s="15">
        <v>2058</v>
      </c>
      <c r="AM42" s="15">
        <v>2059</v>
      </c>
      <c r="AN42" s="15">
        <v>2060</v>
      </c>
    </row>
    <row r="43" spans="1:40" x14ac:dyDescent="0.2">
      <c r="A43" s="15" t="s">
        <v>42</v>
      </c>
      <c r="B43" s="16">
        <v>5.5847886247760004</v>
      </c>
      <c r="C43" s="16">
        <v>5.6038854882991735</v>
      </c>
      <c r="D43" s="16">
        <v>5.6229823518223458</v>
      </c>
      <c r="E43" s="16">
        <v>5.6420792153455199</v>
      </c>
      <c r="F43" s="16">
        <v>5.6931630586275768</v>
      </c>
      <c r="G43" s="16">
        <v>5.7442469019096318</v>
      </c>
      <c r="H43" s="16">
        <v>5.7953307451916887</v>
      </c>
      <c r="I43" s="16">
        <v>5.8464145884737455</v>
      </c>
      <c r="J43" s="16">
        <v>5.8974984317558006</v>
      </c>
      <c r="K43" s="16">
        <v>5.9404049119146007</v>
      </c>
      <c r="L43" s="16">
        <v>5.9833113920734009</v>
      </c>
      <c r="M43" s="16">
        <v>6.0262178722321993</v>
      </c>
      <c r="N43" s="16">
        <v>6.0691243523910003</v>
      </c>
      <c r="O43" s="16">
        <v>6.1120308325497996</v>
      </c>
      <c r="P43" s="16">
        <v>6.1466654164049119</v>
      </c>
      <c r="Q43" s="16">
        <v>6.1813000002600242</v>
      </c>
      <c r="R43" s="16">
        <v>6.2159345841151348</v>
      </c>
      <c r="S43" s="16">
        <v>6.250569167970248</v>
      </c>
      <c r="T43" s="16">
        <v>6.2852037518253603</v>
      </c>
      <c r="U43" s="16">
        <v>6.3117480127477679</v>
      </c>
      <c r="V43" s="16">
        <v>6.3382922736701754</v>
      </c>
      <c r="W43" s="16">
        <v>6.364836534592583</v>
      </c>
      <c r="X43" s="16">
        <v>6.3913807955149915</v>
      </c>
      <c r="Y43" s="16">
        <v>6.4179250564373991</v>
      </c>
      <c r="Z43" s="16">
        <v>6.436706944367959</v>
      </c>
      <c r="AA43" s="16">
        <v>6.4554888322985189</v>
      </c>
      <c r="AB43" s="16">
        <v>6.4742707202290779</v>
      </c>
      <c r="AC43" s="16">
        <v>6.4930526081596396</v>
      </c>
      <c r="AD43" s="16">
        <v>6.5118344960901995</v>
      </c>
      <c r="AE43" s="16">
        <v>6.5118344960901995</v>
      </c>
      <c r="AF43" s="16">
        <v>6.5118344960901995</v>
      </c>
      <c r="AG43" s="16">
        <v>6.5118344960901995</v>
      </c>
      <c r="AH43" s="16">
        <v>6.5118344960901995</v>
      </c>
      <c r="AI43" s="16">
        <v>6.5118344960901995</v>
      </c>
      <c r="AJ43" s="16">
        <v>6.5118344960901995</v>
      </c>
      <c r="AK43" s="16">
        <v>6.5118344960901995</v>
      </c>
      <c r="AL43" s="16">
        <v>6.5118344960901995</v>
      </c>
      <c r="AM43" s="16">
        <v>6.5118344960901995</v>
      </c>
      <c r="AN43" s="16">
        <v>6.5118344960901995</v>
      </c>
    </row>
    <row r="44" spans="1:40" x14ac:dyDescent="0.2">
      <c r="A44" s="15" t="s">
        <v>43</v>
      </c>
      <c r="B44" s="16">
        <v>0.74201688345902594</v>
      </c>
      <c r="C44" s="16">
        <v>0.74455416751888159</v>
      </c>
      <c r="D44" s="16">
        <v>0.74709145157873702</v>
      </c>
      <c r="E44" s="16">
        <v>0.74962873563859289</v>
      </c>
      <c r="F44" s="16">
        <v>0.75641593507154925</v>
      </c>
      <c r="G44" s="16">
        <v>0.7632031345045055</v>
      </c>
      <c r="H44" s="16">
        <v>0.76999033393746186</v>
      </c>
      <c r="I44" s="16">
        <v>0.77677753337041822</v>
      </c>
      <c r="J44" s="16">
        <v>0.78356473280337446</v>
      </c>
      <c r="K44" s="16">
        <v>0.78926545575399576</v>
      </c>
      <c r="L44" s="16">
        <v>0.79496617870461705</v>
      </c>
      <c r="M44" s="16">
        <v>0.80066690165523824</v>
      </c>
      <c r="N44" s="16">
        <v>0.80636762460585965</v>
      </c>
      <c r="O44" s="16">
        <v>0.81206834755648105</v>
      </c>
      <c r="P44" s="16">
        <v>0.81667003397627835</v>
      </c>
      <c r="Q44" s="16">
        <v>0.82127172039607577</v>
      </c>
      <c r="R44" s="16">
        <v>0.82587340681587296</v>
      </c>
      <c r="S44" s="16">
        <v>0.83047509323567037</v>
      </c>
      <c r="T44" s="16">
        <v>0.83507677965546778</v>
      </c>
      <c r="U44" s="16">
        <v>0.83860355409344534</v>
      </c>
      <c r="V44" s="16">
        <v>0.842130328531423</v>
      </c>
      <c r="W44" s="16">
        <v>0.84565710296940055</v>
      </c>
      <c r="X44" s="16">
        <v>0.84918387740737833</v>
      </c>
      <c r="Y44" s="16">
        <v>0.85271065184535588</v>
      </c>
      <c r="Z44" s="16">
        <v>0.85520608701471634</v>
      </c>
      <c r="AA44" s="16">
        <v>0.85770152218407703</v>
      </c>
      <c r="AB44" s="16">
        <v>0.8601969573534376</v>
      </c>
      <c r="AC44" s="16">
        <v>0.86269239252279817</v>
      </c>
      <c r="AD44" s="16">
        <v>0.86518782769215874</v>
      </c>
      <c r="AE44" s="16">
        <v>0.86518782769215874</v>
      </c>
      <c r="AF44" s="16">
        <v>0.86518782769215874</v>
      </c>
      <c r="AG44" s="16">
        <v>0.86518782769215874</v>
      </c>
      <c r="AH44" s="16">
        <v>0.86518782769215874</v>
      </c>
      <c r="AI44" s="16">
        <v>0.86518782769215874</v>
      </c>
      <c r="AJ44" s="16">
        <v>0.86518782769215874</v>
      </c>
      <c r="AK44" s="16">
        <v>0.86518782769215874</v>
      </c>
      <c r="AL44" s="16">
        <v>0.86518782769215874</v>
      </c>
      <c r="AM44" s="16">
        <v>0.86518782769215874</v>
      </c>
      <c r="AN44" s="16">
        <v>0.86518782769215874</v>
      </c>
    </row>
    <row r="45" spans="1:40" x14ac:dyDescent="0.2">
      <c r="A45" s="15" t="s">
        <v>44</v>
      </c>
      <c r="B45" s="16">
        <v>12.720904671764975</v>
      </c>
      <c r="C45" s="16">
        <v>12.764403073715279</v>
      </c>
      <c r="D45" s="16">
        <v>12.807901475665581</v>
      </c>
      <c r="E45" s="16">
        <v>12.851399877615886</v>
      </c>
      <c r="F45" s="16">
        <v>12.967757495480877</v>
      </c>
      <c r="G45" s="16">
        <v>13.084115113345861</v>
      </c>
      <c r="H45" s="16">
        <v>13.200472731210851</v>
      </c>
      <c r="I45" s="16">
        <v>13.31683034907584</v>
      </c>
      <c r="J45" s="16">
        <v>13.433187966940826</v>
      </c>
      <c r="K45" s="16">
        <v>13.530919372831406</v>
      </c>
      <c r="L45" s="16">
        <v>13.628650778721985</v>
      </c>
      <c r="M45" s="16">
        <v>13.726382184612561</v>
      </c>
      <c r="N45" s="16">
        <v>13.824113590503142</v>
      </c>
      <c r="O45" s="16">
        <v>13.921844996393721</v>
      </c>
      <c r="P45" s="16">
        <v>14.00073486477881</v>
      </c>
      <c r="Q45" s="16">
        <v>14.0796247331639</v>
      </c>
      <c r="R45" s="16">
        <v>14.158514601548989</v>
      </c>
      <c r="S45" s="16">
        <v>14.237404469934082</v>
      </c>
      <c r="T45" s="16">
        <v>14.316294338319175</v>
      </c>
      <c r="U45" s="16">
        <v>14.376756252898787</v>
      </c>
      <c r="V45" s="16">
        <v>14.437218167478399</v>
      </c>
      <c r="W45" s="16">
        <v>14.497680082058015</v>
      </c>
      <c r="X45" s="16">
        <v>14.558141996637628</v>
      </c>
      <c r="Y45" s="16">
        <v>14.618603911217242</v>
      </c>
      <c r="Z45" s="16">
        <v>14.661384868917322</v>
      </c>
      <c r="AA45" s="16">
        <v>14.704165826617402</v>
      </c>
      <c r="AB45" s="16">
        <v>14.74694678431748</v>
      </c>
      <c r="AC45" s="16">
        <v>14.789727742017561</v>
      </c>
      <c r="AD45" s="16">
        <v>14.832508699717639</v>
      </c>
      <c r="AE45" s="16">
        <v>14.832508699717639</v>
      </c>
      <c r="AF45" s="16">
        <v>14.832508699717639</v>
      </c>
      <c r="AG45" s="16">
        <v>14.832508699717639</v>
      </c>
      <c r="AH45" s="16">
        <v>14.832508699717639</v>
      </c>
      <c r="AI45" s="16">
        <v>14.832508699717639</v>
      </c>
      <c r="AJ45" s="16">
        <v>14.832508699717639</v>
      </c>
      <c r="AK45" s="16">
        <v>14.832508699717639</v>
      </c>
      <c r="AL45" s="16">
        <v>14.832508699717639</v>
      </c>
      <c r="AM45" s="16">
        <v>14.832508699717639</v>
      </c>
      <c r="AN45" s="16">
        <v>14.832508699717639</v>
      </c>
    </row>
    <row r="48" spans="1:40" x14ac:dyDescent="0.2">
      <c r="A48" s="17" t="s">
        <v>93</v>
      </c>
    </row>
    <row r="49" spans="1:40" x14ac:dyDescent="0.2">
      <c r="A49" s="14" t="s">
        <v>16</v>
      </c>
    </row>
    <row r="50" spans="1:40" x14ac:dyDescent="0.2">
      <c r="A50" s="14" t="s">
        <v>46</v>
      </c>
    </row>
    <row r="51" spans="1:40" x14ac:dyDescent="0.2">
      <c r="A51" s="14" t="s">
        <v>18</v>
      </c>
    </row>
    <row r="52" spans="1:40" x14ac:dyDescent="0.2">
      <c r="A52" s="17" t="s">
        <v>94</v>
      </c>
      <c r="B52" s="18">
        <v>621371</v>
      </c>
    </row>
    <row r="53" spans="1:40" x14ac:dyDescent="0.2">
      <c r="A53" s="15" t="s">
        <v>19</v>
      </c>
      <c r="B53" s="15">
        <v>2022</v>
      </c>
      <c r="C53" s="15">
        <v>2023</v>
      </c>
      <c r="D53" s="15">
        <v>2024</v>
      </c>
      <c r="E53" s="15">
        <v>2025</v>
      </c>
      <c r="F53" s="15">
        <v>2026</v>
      </c>
      <c r="G53" s="15">
        <v>2027</v>
      </c>
      <c r="H53" s="15">
        <v>2028</v>
      </c>
      <c r="I53" s="15">
        <v>2029</v>
      </c>
      <c r="J53" s="15">
        <v>2030</v>
      </c>
      <c r="K53" s="15">
        <v>2031</v>
      </c>
      <c r="L53" s="15">
        <v>2032</v>
      </c>
      <c r="M53" s="15">
        <v>2033</v>
      </c>
      <c r="N53" s="15">
        <v>2034</v>
      </c>
      <c r="O53" s="15">
        <v>2035</v>
      </c>
      <c r="P53" s="15">
        <v>2036</v>
      </c>
      <c r="Q53" s="15">
        <v>2037</v>
      </c>
      <c r="R53" s="15">
        <v>2038</v>
      </c>
      <c r="S53" s="15">
        <v>2039</v>
      </c>
      <c r="T53" s="15">
        <v>2040</v>
      </c>
      <c r="U53" s="15">
        <v>2041</v>
      </c>
      <c r="V53" s="15">
        <v>2042</v>
      </c>
      <c r="W53" s="15">
        <v>2043</v>
      </c>
      <c r="X53" s="15">
        <v>2044</v>
      </c>
      <c r="Y53" s="15">
        <v>2045</v>
      </c>
      <c r="Z53" s="15">
        <v>2046</v>
      </c>
      <c r="AA53" s="15">
        <v>2047</v>
      </c>
      <c r="AB53" s="15">
        <v>2048</v>
      </c>
      <c r="AC53" s="15">
        <v>2049</v>
      </c>
      <c r="AD53" s="15">
        <v>2050</v>
      </c>
      <c r="AE53" s="15">
        <v>2051</v>
      </c>
      <c r="AF53" s="15">
        <v>2052</v>
      </c>
      <c r="AG53" s="15">
        <v>2053</v>
      </c>
      <c r="AH53" s="15">
        <v>2054</v>
      </c>
      <c r="AI53" s="15">
        <v>2055</v>
      </c>
      <c r="AJ53" s="15">
        <v>2056</v>
      </c>
      <c r="AK53" s="15">
        <v>2057</v>
      </c>
      <c r="AL53" s="15">
        <v>2058</v>
      </c>
      <c r="AM53" s="15">
        <v>2059</v>
      </c>
      <c r="AN53" s="15">
        <v>2060</v>
      </c>
    </row>
    <row r="54" spans="1:40" x14ac:dyDescent="0.2">
      <c r="A54" s="15" t="s">
        <v>47</v>
      </c>
      <c r="B54" s="16">
        <v>75.973561858543093</v>
      </c>
      <c r="C54" s="16">
        <v>79.772239951469075</v>
      </c>
      <c r="D54" s="16">
        <v>83.76085194904131</v>
      </c>
      <c r="E54" s="16">
        <v>87.948894546492113</v>
      </c>
      <c r="F54" s="16">
        <v>92.346339273813172</v>
      </c>
      <c r="G54" s="16">
        <v>96.963656237500174</v>
      </c>
      <c r="H54" s="16">
        <v>101.81183904937144</v>
      </c>
      <c r="I54" s="16">
        <v>106.90243100183611</v>
      </c>
      <c r="J54" s="16">
        <v>112.24755255192387</v>
      </c>
      <c r="K54" s="16">
        <v>117.85993017951661</v>
      </c>
      <c r="L54" s="16">
        <v>123.75292668848887</v>
      </c>
      <c r="M54" s="16">
        <v>129.9405730229096</v>
      </c>
      <c r="N54" s="16">
        <v>136.43760167405119</v>
      </c>
      <c r="O54" s="16">
        <v>143.25948175774977</v>
      </c>
      <c r="P54" s="16">
        <v>150.42245584563392</v>
      </c>
      <c r="Q54" s="16">
        <v>157.94357863791208</v>
      </c>
      <c r="R54" s="16">
        <v>165.84075756980414</v>
      </c>
      <c r="S54" s="16">
        <v>174.13279544829058</v>
      </c>
      <c r="T54" s="16">
        <v>182.8394352207012</v>
      </c>
      <c r="U54" s="16">
        <v>191.98140698173327</v>
      </c>
      <c r="V54" s="16">
        <v>201.58047733081665</v>
      </c>
      <c r="W54" s="16">
        <v>211.65950119735413</v>
      </c>
      <c r="X54" s="16">
        <v>222.24247625721833</v>
      </c>
      <c r="Y54" s="16">
        <v>233.35460007007561</v>
      </c>
      <c r="Z54" s="16">
        <v>245.02233007357668</v>
      </c>
      <c r="AA54" s="16">
        <v>257.27344657725274</v>
      </c>
      <c r="AB54" s="16">
        <v>270.13711890611251</v>
      </c>
      <c r="AC54" s="16">
        <v>283.64397485141507</v>
      </c>
      <c r="AD54" s="16">
        <v>297.82617359398262</v>
      </c>
      <c r="AE54" s="16">
        <v>312.7174822736817</v>
      </c>
      <c r="AF54" s="16">
        <v>328.35335638736586</v>
      </c>
      <c r="AG54" s="16">
        <v>344.77102420673418</v>
      </c>
      <c r="AH54" s="16">
        <v>362.00957541707089</v>
      </c>
      <c r="AI54" s="16">
        <v>380.11005418792445</v>
      </c>
      <c r="AJ54" s="16">
        <v>399.11555689732069</v>
      </c>
      <c r="AK54" s="16">
        <v>419.07133474218665</v>
      </c>
      <c r="AL54" s="16">
        <v>440.02490147929615</v>
      </c>
      <c r="AM54" s="16">
        <v>462.02614655326084</v>
      </c>
      <c r="AN54" s="16">
        <v>485.12745388092407</v>
      </c>
    </row>
    <row r="55" spans="1:40" x14ac:dyDescent="0.2">
      <c r="A55" s="15" t="s">
        <v>48</v>
      </c>
      <c r="B55" s="16">
        <v>3.2683339101769328E-2</v>
      </c>
      <c r="C55" s="16">
        <v>3.4317506056857287E-2</v>
      </c>
      <c r="D55" s="16">
        <v>3.6033381359699627E-2</v>
      </c>
      <c r="E55" s="16">
        <v>3.7835050427684064E-2</v>
      </c>
      <c r="F55" s="16">
        <v>3.972680294906674E-2</v>
      </c>
      <c r="G55" s="16">
        <v>4.171314309651851E-2</v>
      </c>
      <c r="H55" s="16">
        <v>4.379880025134282E-2</v>
      </c>
      <c r="I55" s="16">
        <v>4.5988740263908284E-2</v>
      </c>
      <c r="J55" s="16">
        <v>4.8288177277101961E-2</v>
      </c>
      <c r="K55" s="16">
        <v>5.0702586140955574E-2</v>
      </c>
      <c r="L55" s="16">
        <v>5.3237715448001814E-2</v>
      </c>
      <c r="M55" s="16">
        <v>5.5899601220400302E-2</v>
      </c>
      <c r="N55" s="16">
        <v>5.8694581281418648E-2</v>
      </c>
      <c r="O55" s="16">
        <v>6.1629310345487867E-2</v>
      </c>
      <c r="P55" s="16">
        <v>6.4710775862760819E-2</v>
      </c>
      <c r="Q55" s="16">
        <v>6.7946314655897358E-2</v>
      </c>
      <c r="R55" s="16">
        <v>7.1343630388690682E-2</v>
      </c>
      <c r="S55" s="16">
        <v>7.4910811908123598E-2</v>
      </c>
      <c r="T55" s="16">
        <v>7.8656352503528107E-2</v>
      </c>
      <c r="U55" s="16">
        <v>8.2589170128703218E-2</v>
      </c>
      <c r="V55" s="16">
        <v>8.6718628635136963E-2</v>
      </c>
      <c r="W55" s="16">
        <v>9.1054560066892373E-2</v>
      </c>
      <c r="X55" s="16">
        <v>9.5607288070235469E-2</v>
      </c>
      <c r="Y55" s="16">
        <v>0.10038765247374569</v>
      </c>
      <c r="Z55" s="16">
        <v>0.10540703509743181</v>
      </c>
      <c r="AA55" s="16">
        <v>0.11067738685230219</v>
      </c>
      <c r="AB55" s="16">
        <v>0.11621125619491607</v>
      </c>
      <c r="AC55" s="16">
        <v>0.12202181900466054</v>
      </c>
      <c r="AD55" s="16">
        <v>0.1281229099548922</v>
      </c>
      <c r="AE55" s="16">
        <v>0.13452905545263683</v>
      </c>
      <c r="AF55" s="16">
        <v>0.14125550822526869</v>
      </c>
      <c r="AG55" s="16">
        <v>0.14831828363653216</v>
      </c>
      <c r="AH55" s="16">
        <v>0.15573419781835873</v>
      </c>
      <c r="AI55" s="16">
        <v>0.16352090770927669</v>
      </c>
      <c r="AJ55" s="16">
        <v>0.17169695309474051</v>
      </c>
      <c r="AK55" s="16">
        <v>0.18028180074947753</v>
      </c>
      <c r="AL55" s="16">
        <v>0.18929589078695147</v>
      </c>
      <c r="AM55" s="16">
        <v>0.19876068532629898</v>
      </c>
      <c r="AN55" s="16">
        <v>0.20869871959261402</v>
      </c>
    </row>
    <row r="56" spans="1:40" x14ac:dyDescent="0.2">
      <c r="A56" s="15" t="s">
        <v>49</v>
      </c>
      <c r="B56" s="16">
        <v>1.5201553070554959E-3</v>
      </c>
      <c r="C56" s="16">
        <v>1.596163072408247E-3</v>
      </c>
      <c r="D56" s="16">
        <v>1.6759712260286347E-3</v>
      </c>
      <c r="E56" s="16">
        <v>1.7597697873300412E-3</v>
      </c>
      <c r="F56" s="16">
        <v>1.8477582766964723E-3</v>
      </c>
      <c r="G56" s="16">
        <v>1.9401461905312225E-3</v>
      </c>
      <c r="H56" s="16">
        <v>2.0371535000577091E-3</v>
      </c>
      <c r="I56" s="16">
        <v>2.1390111750605166E-3</v>
      </c>
      <c r="J56" s="16">
        <v>2.2459617338134613E-3</v>
      </c>
      <c r="K56" s="16">
        <v>2.3582598205040654E-3</v>
      </c>
      <c r="L56" s="16">
        <v>2.4761728115291971E-3</v>
      </c>
      <c r="M56" s="16">
        <v>2.5999814521055825E-3</v>
      </c>
      <c r="N56" s="16">
        <v>2.7299805247107843E-3</v>
      </c>
      <c r="O56" s="16">
        <v>2.8664795509462434E-3</v>
      </c>
      <c r="P56" s="16">
        <v>3.0098035284934887E-3</v>
      </c>
      <c r="Q56" s="16">
        <v>3.1602937049180933E-3</v>
      </c>
      <c r="R56" s="16">
        <v>3.3183083901639262E-3</v>
      </c>
      <c r="S56" s="16">
        <v>3.4842238096720471E-3</v>
      </c>
      <c r="T56" s="16">
        <v>3.6584350001555715E-3</v>
      </c>
      <c r="U56" s="16">
        <v>3.8413567501632898E-3</v>
      </c>
      <c r="V56" s="16">
        <v>4.0334245876713888E-3</v>
      </c>
      <c r="W56" s="16">
        <v>4.2350958170548911E-3</v>
      </c>
      <c r="X56" s="16">
        <v>4.446850607907565E-3</v>
      </c>
      <c r="Y56" s="16">
        <v>4.6691931383028712E-3</v>
      </c>
      <c r="Z56" s="16">
        <v>4.9026527952179605E-3</v>
      </c>
      <c r="AA56" s="16">
        <v>5.1477854349788023E-3</v>
      </c>
      <c r="AB56" s="16">
        <v>5.4051747067276855E-3</v>
      </c>
      <c r="AC56" s="16">
        <v>5.6754334420640084E-3</v>
      </c>
      <c r="AD56" s="16">
        <v>5.9592051141671449E-3</v>
      </c>
      <c r="AE56" s="16">
        <v>6.2571653698755012E-3</v>
      </c>
      <c r="AF56" s="16">
        <v>6.5700236383692779E-3</v>
      </c>
      <c r="AG56" s="16">
        <v>6.8985248202877427E-3</v>
      </c>
      <c r="AH56" s="16">
        <v>7.243451061302128E-3</v>
      </c>
      <c r="AI56" s="16">
        <v>7.6056236143672365E-3</v>
      </c>
      <c r="AJ56" s="16">
        <v>7.9859047950855983E-3</v>
      </c>
      <c r="AK56" s="16">
        <v>8.3852000348398781E-3</v>
      </c>
      <c r="AL56" s="16">
        <v>8.804460036581873E-3</v>
      </c>
      <c r="AM56" s="16">
        <v>9.2446830384109654E-3</v>
      </c>
      <c r="AN56" s="16">
        <v>9.7069171903315168E-3</v>
      </c>
    </row>
    <row r="59" spans="1:40" x14ac:dyDescent="0.2">
      <c r="A59" s="14" t="s">
        <v>51</v>
      </c>
    </row>
    <row r="60" spans="1:40" x14ac:dyDescent="0.2">
      <c r="A60" s="14" t="s">
        <v>16</v>
      </c>
    </row>
    <row r="61" spans="1:40" x14ac:dyDescent="0.2">
      <c r="A61" s="14" t="s">
        <v>52</v>
      </c>
    </row>
    <row r="62" spans="1:40" x14ac:dyDescent="0.2">
      <c r="A62" s="14" t="s">
        <v>18</v>
      </c>
    </row>
    <row r="63" spans="1:40" x14ac:dyDescent="0.2">
      <c r="A63" s="17" t="s">
        <v>92</v>
      </c>
      <c r="B63" s="18">
        <v>621371000</v>
      </c>
    </row>
    <row r="64" spans="1:40" x14ac:dyDescent="0.2">
      <c r="A64" s="15" t="s">
        <v>19</v>
      </c>
      <c r="B64" s="15">
        <v>2022</v>
      </c>
      <c r="C64" s="15">
        <v>2023</v>
      </c>
      <c r="D64" s="15">
        <v>2024</v>
      </c>
      <c r="E64" s="15">
        <v>2025</v>
      </c>
      <c r="F64" s="15">
        <v>2026</v>
      </c>
      <c r="G64" s="15">
        <v>2027</v>
      </c>
      <c r="H64" s="15">
        <v>2028</v>
      </c>
      <c r="I64" s="15">
        <v>2029</v>
      </c>
      <c r="J64" s="15">
        <v>2030</v>
      </c>
      <c r="K64" s="15">
        <v>2031</v>
      </c>
      <c r="L64" s="15">
        <v>2032</v>
      </c>
      <c r="M64" s="15">
        <v>2033</v>
      </c>
      <c r="N64" s="15">
        <v>2034</v>
      </c>
      <c r="O64" s="15">
        <v>2035</v>
      </c>
      <c r="P64" s="15">
        <v>2036</v>
      </c>
      <c r="Q64" s="15">
        <v>2037</v>
      </c>
      <c r="R64" s="15">
        <v>2038</v>
      </c>
      <c r="S64" s="15">
        <v>2039</v>
      </c>
      <c r="T64" s="15">
        <v>2040</v>
      </c>
      <c r="U64" s="15">
        <v>2041</v>
      </c>
      <c r="V64" s="15">
        <v>2042</v>
      </c>
      <c r="W64" s="15">
        <v>2043</v>
      </c>
      <c r="X64" s="15">
        <v>2044</v>
      </c>
      <c r="Y64" s="15">
        <v>2045</v>
      </c>
      <c r="Z64" s="15">
        <v>2046</v>
      </c>
      <c r="AA64" s="15">
        <v>2047</v>
      </c>
      <c r="AB64" s="15">
        <v>2048</v>
      </c>
      <c r="AC64" s="15">
        <v>2049</v>
      </c>
      <c r="AD64" s="15">
        <v>2050</v>
      </c>
      <c r="AE64" s="15">
        <v>2051</v>
      </c>
      <c r="AF64" s="15">
        <v>2052</v>
      </c>
      <c r="AG64" s="15">
        <v>2053</v>
      </c>
      <c r="AH64" s="15">
        <v>2054</v>
      </c>
      <c r="AI64" s="15">
        <v>2055</v>
      </c>
      <c r="AJ64" s="15">
        <v>2056</v>
      </c>
      <c r="AK64" s="15">
        <v>2057</v>
      </c>
      <c r="AL64" s="15">
        <v>2058</v>
      </c>
      <c r="AM64" s="15">
        <v>2059</v>
      </c>
      <c r="AN64" s="15">
        <v>2060</v>
      </c>
    </row>
    <row r="65" spans="1:40" x14ac:dyDescent="0.2">
      <c r="A65" s="15" t="s">
        <v>53</v>
      </c>
      <c r="B65" s="16">
        <v>5.1645992684618482E-2</v>
      </c>
      <c r="C65" s="16">
        <v>5.4228292318849403E-2</v>
      </c>
      <c r="D65" s="16">
        <v>5.6939706934791869E-2</v>
      </c>
      <c r="E65" s="16">
        <v>5.9786692281531474E-2</v>
      </c>
      <c r="F65" s="16">
        <v>6.2776026895608059E-2</v>
      </c>
      <c r="G65" s="16">
        <v>6.5914828240388454E-2</v>
      </c>
      <c r="H65" s="16">
        <v>6.9210569652407863E-2</v>
      </c>
      <c r="I65" s="16">
        <v>7.267109813502827E-2</v>
      </c>
      <c r="J65" s="16">
        <v>7.6304653041779677E-2</v>
      </c>
      <c r="K65" s="16">
        <v>8.0119885693868687E-2</v>
      </c>
      <c r="L65" s="16">
        <v>8.4125879978562135E-2</v>
      </c>
      <c r="M65" s="16">
        <v>8.8332173977490214E-2</v>
      </c>
      <c r="N65" s="16">
        <v>9.2748782676364744E-2</v>
      </c>
      <c r="O65" s="16">
        <v>9.7386221810182985E-2</v>
      </c>
      <c r="P65" s="16">
        <v>0.10225553290069216</v>
      </c>
      <c r="Q65" s="16">
        <v>0.10736830954572675</v>
      </c>
      <c r="R65" s="16">
        <v>0.11273672502301309</v>
      </c>
      <c r="S65" s="16">
        <v>0.11837356127416374</v>
      </c>
      <c r="T65" s="16">
        <v>0.12429223933787194</v>
      </c>
      <c r="U65" s="16">
        <v>0.13050685130476553</v>
      </c>
      <c r="V65" s="16">
        <v>0.13703219387000382</v>
      </c>
      <c r="W65" s="16">
        <v>0.143883803563504</v>
      </c>
      <c r="X65" s="16">
        <v>0.15107799374167921</v>
      </c>
      <c r="Y65" s="16">
        <v>0.15863189342876319</v>
      </c>
      <c r="Z65" s="16">
        <v>0.16656348810020133</v>
      </c>
      <c r="AA65" s="16">
        <v>0.1748916625052114</v>
      </c>
      <c r="AB65" s="16">
        <v>0.18363624563047201</v>
      </c>
      <c r="AC65" s="16">
        <v>0.19281805791199558</v>
      </c>
      <c r="AD65" s="16">
        <v>0.2024589608075954</v>
      </c>
      <c r="AE65" s="16">
        <v>0.21258190884797515</v>
      </c>
      <c r="AF65" s="16">
        <v>0.22321100429037394</v>
      </c>
      <c r="AG65" s="16">
        <v>0.23437155450489264</v>
      </c>
      <c r="AH65" s="16">
        <v>0.24609013223013729</v>
      </c>
      <c r="AI65" s="16">
        <v>0.25839463884164415</v>
      </c>
      <c r="AJ65" s="16">
        <v>0.27131437078372639</v>
      </c>
      <c r="AK65" s="16">
        <v>0.2848800893229127</v>
      </c>
      <c r="AL65" s="16">
        <v>0.29912409378905835</v>
      </c>
      <c r="AM65" s="16">
        <v>0.31408029847851127</v>
      </c>
      <c r="AN65" s="16">
        <v>0.32978431340243686</v>
      </c>
    </row>
    <row r="66" spans="1:40" x14ac:dyDescent="0.2">
      <c r="A66" s="15" t="s">
        <v>54</v>
      </c>
      <c r="B66" s="16">
        <v>129.06333571884139</v>
      </c>
      <c r="C66" s="16">
        <v>135.51650250478346</v>
      </c>
      <c r="D66" s="16">
        <v>142.29232763002264</v>
      </c>
      <c r="E66" s="16">
        <v>149.40694401152379</v>
      </c>
      <c r="F66" s="16">
        <v>156.8772912121</v>
      </c>
      <c r="G66" s="16">
        <v>164.72115577270498</v>
      </c>
      <c r="H66" s="16">
        <v>172.95721356134024</v>
      </c>
      <c r="I66" s="16">
        <v>181.60507423940726</v>
      </c>
      <c r="J66" s="16">
        <v>190.68532795137762</v>
      </c>
      <c r="K66" s="16">
        <v>200.21959434894652</v>
      </c>
      <c r="L66" s="16">
        <v>210.23057406639387</v>
      </c>
      <c r="M66" s="16">
        <v>220.74210276971357</v>
      </c>
      <c r="N66" s="16">
        <v>231.77920790819928</v>
      </c>
      <c r="O66" s="16">
        <v>243.36816830360922</v>
      </c>
      <c r="P66" s="16">
        <v>255.53657671878969</v>
      </c>
      <c r="Q66" s="16">
        <v>268.31340555472917</v>
      </c>
      <c r="R66" s="16">
        <v>281.72907583246564</v>
      </c>
      <c r="S66" s="16">
        <v>295.81552962408892</v>
      </c>
      <c r="T66" s="16">
        <v>310.60630610529341</v>
      </c>
      <c r="U66" s="16">
        <v>326.13662141055812</v>
      </c>
      <c r="V66" s="16">
        <v>342.44345248108601</v>
      </c>
      <c r="W66" s="16">
        <v>359.56562510514033</v>
      </c>
      <c r="X66" s="16">
        <v>377.54390636039733</v>
      </c>
      <c r="Y66" s="16">
        <v>396.42110167841719</v>
      </c>
      <c r="Z66" s="16">
        <v>416.24215676233803</v>
      </c>
      <c r="AA66" s="16">
        <v>437.05426460045504</v>
      </c>
      <c r="AB66" s="16">
        <v>458.90697783047779</v>
      </c>
      <c r="AC66" s="16">
        <v>481.85232672200164</v>
      </c>
      <c r="AD66" s="16">
        <v>505.94494305810173</v>
      </c>
      <c r="AE66" s="16">
        <v>531.2421902110068</v>
      </c>
      <c r="AF66" s="16">
        <v>557.8042997215573</v>
      </c>
      <c r="AG66" s="16">
        <v>585.69451470763511</v>
      </c>
      <c r="AH66" s="16">
        <v>614.97924044301692</v>
      </c>
      <c r="AI66" s="16">
        <v>645.72820246516767</v>
      </c>
      <c r="AJ66" s="16">
        <v>678.0146125884263</v>
      </c>
      <c r="AK66" s="16">
        <v>711.91534321784752</v>
      </c>
      <c r="AL66" s="16">
        <v>747.51111037873989</v>
      </c>
      <c r="AM66" s="16">
        <v>784.88666589767695</v>
      </c>
      <c r="AN66" s="16">
        <v>824.13099919256081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A7167-B8C9-D54F-99AC-D428BCC90683}">
  <dimension ref="A1:AN66"/>
  <sheetViews>
    <sheetView topLeftCell="A20" workbookViewId="0">
      <selection activeCell="E36" sqref="E36"/>
    </sheetView>
  </sheetViews>
  <sheetFormatPr baseColWidth="10" defaultRowHeight="15" x14ac:dyDescent="0.2"/>
  <sheetData>
    <row r="1" spans="1:40" x14ac:dyDescent="0.2">
      <c r="A1" s="14" t="s">
        <v>26</v>
      </c>
    </row>
    <row r="2" spans="1:40" x14ac:dyDescent="0.2">
      <c r="A2" s="14" t="s">
        <v>16</v>
      </c>
    </row>
    <row r="3" spans="1:40" x14ac:dyDescent="0.2">
      <c r="A3" s="14" t="s">
        <v>17</v>
      </c>
    </row>
    <row r="4" spans="1:40" x14ac:dyDescent="0.2">
      <c r="A4" s="14" t="s">
        <v>18</v>
      </c>
    </row>
    <row r="5" spans="1:40" x14ac:dyDescent="0.2">
      <c r="A5" s="17" t="s">
        <v>97</v>
      </c>
      <c r="B5" s="20">
        <v>947817120000</v>
      </c>
    </row>
    <row r="6" spans="1:40" x14ac:dyDescent="0.2">
      <c r="A6" s="15" t="s">
        <v>19</v>
      </c>
      <c r="B6" s="15">
        <v>2022</v>
      </c>
      <c r="C6" s="15">
        <v>2023</v>
      </c>
      <c r="D6" s="15">
        <v>2024</v>
      </c>
      <c r="E6" s="15">
        <v>2025</v>
      </c>
      <c r="F6" s="15">
        <v>2026</v>
      </c>
      <c r="G6" s="15">
        <v>2027</v>
      </c>
      <c r="H6" s="15">
        <v>2028</v>
      </c>
      <c r="I6" s="15">
        <v>2029</v>
      </c>
      <c r="J6" s="15">
        <v>2030</v>
      </c>
      <c r="K6" s="15">
        <v>2031</v>
      </c>
      <c r="L6" s="15">
        <v>2032</v>
      </c>
      <c r="M6" s="15">
        <v>2033</v>
      </c>
      <c r="N6" s="15">
        <v>2034</v>
      </c>
      <c r="O6" s="15">
        <v>2035</v>
      </c>
      <c r="P6" s="15">
        <v>2036</v>
      </c>
      <c r="Q6" s="15">
        <v>2037</v>
      </c>
      <c r="R6" s="15">
        <v>2038</v>
      </c>
      <c r="S6" s="15">
        <v>2039</v>
      </c>
      <c r="T6" s="15">
        <v>2040</v>
      </c>
      <c r="U6" s="15">
        <v>2041</v>
      </c>
      <c r="V6" s="15">
        <v>2042</v>
      </c>
      <c r="W6" s="15">
        <v>2043</v>
      </c>
      <c r="X6" s="15">
        <v>2044</v>
      </c>
      <c r="Y6" s="15">
        <v>2045</v>
      </c>
      <c r="Z6" s="15">
        <v>2046</v>
      </c>
      <c r="AA6" s="15">
        <v>2047</v>
      </c>
      <c r="AB6" s="15">
        <v>2048</v>
      </c>
      <c r="AC6" s="15">
        <v>2049</v>
      </c>
      <c r="AD6" s="15">
        <v>2050</v>
      </c>
      <c r="AE6" s="15">
        <v>2051</v>
      </c>
      <c r="AF6" s="15">
        <v>2052</v>
      </c>
      <c r="AG6" s="15">
        <v>2053</v>
      </c>
      <c r="AH6" s="15">
        <v>2054</v>
      </c>
      <c r="AI6" s="15">
        <v>2055</v>
      </c>
      <c r="AJ6" s="15">
        <v>2056</v>
      </c>
      <c r="AK6" s="15">
        <v>2057</v>
      </c>
      <c r="AL6" s="15">
        <v>2058</v>
      </c>
      <c r="AM6" s="15">
        <v>2059</v>
      </c>
      <c r="AN6" s="15">
        <v>2060</v>
      </c>
    </row>
    <row r="7" spans="1:40" x14ac:dyDescent="0.2">
      <c r="A7" s="15" t="s">
        <v>20</v>
      </c>
      <c r="B7" s="16">
        <v>397.62002264982505</v>
      </c>
      <c r="C7" s="16">
        <v>408.79329845362503</v>
      </c>
      <c r="D7" s="16">
        <v>420.28054761157313</v>
      </c>
      <c r="E7" s="16">
        <v>432.09059289586662</v>
      </c>
      <c r="F7" s="16">
        <v>444.23250500200015</v>
      </c>
      <c r="G7" s="16">
        <v>456.71560951550617</v>
      </c>
      <c r="H7" s="16">
        <v>469.5494940744623</v>
      </c>
      <c r="I7" s="16">
        <v>482.74401573327009</v>
      </c>
      <c r="J7" s="16">
        <v>496.30930853335644</v>
      </c>
      <c r="K7" s="16">
        <v>510.2557912866161</v>
      </c>
      <c r="L7" s="16">
        <v>524.5941755775716</v>
      </c>
      <c r="M7" s="16">
        <v>539.33547399039674</v>
      </c>
      <c r="N7" s="16">
        <v>554.49100856712255</v>
      </c>
      <c r="O7" s="16">
        <v>570.07241950352284</v>
      </c>
      <c r="P7" s="16">
        <v>586.0916740893565</v>
      </c>
      <c r="Q7" s="16">
        <v>602.56107589983446</v>
      </c>
      <c r="R7" s="16">
        <v>619.49327424537046</v>
      </c>
      <c r="S7" s="16">
        <v>636.90127388687381</v>
      </c>
      <c r="T7" s="16">
        <v>654.79844502404467</v>
      </c>
      <c r="U7" s="16">
        <v>673.1985335643451</v>
      </c>
      <c r="V7" s="16">
        <v>692.11567168053239</v>
      </c>
      <c r="W7" s="16">
        <v>711.56438866486144</v>
      </c>
      <c r="X7" s="16">
        <v>731.55962208829658</v>
      </c>
      <c r="Y7" s="16">
        <v>752.11672927330096</v>
      </c>
      <c r="Z7" s="16">
        <v>773.25149908901392</v>
      </c>
      <c r="AA7" s="16">
        <v>794.98016407787998</v>
      </c>
      <c r="AB7" s="16">
        <v>817.31941292303929</v>
      </c>
      <c r="AC7" s="16">
        <v>840.28640326605739</v>
      </c>
      <c r="AD7" s="16">
        <v>863.89877488483592</v>
      </c>
      <c r="AE7" s="16">
        <v>888.17466324183169</v>
      </c>
      <c r="AF7" s="16">
        <v>913.13271341298184</v>
      </c>
      <c r="AG7" s="16">
        <v>938.79209440804038</v>
      </c>
      <c r="AH7" s="16">
        <v>965.17251389331841</v>
      </c>
      <c r="AI7" s="16">
        <v>992.29423332814304</v>
      </c>
      <c r="AJ7" s="16">
        <v>1020.1780835266525</v>
      </c>
      <c r="AK7" s="16">
        <v>1048.8454806568873</v>
      </c>
      <c r="AL7" s="16">
        <v>1078.3184426894593</v>
      </c>
      <c r="AM7" s="16">
        <v>1108.6196063084358</v>
      </c>
      <c r="AN7" s="16">
        <v>1139.7722442974266</v>
      </c>
    </row>
    <row r="8" spans="1:40" x14ac:dyDescent="0.2">
      <c r="A8" s="15" t="s">
        <v>21</v>
      </c>
      <c r="B8" s="16">
        <v>5.5875385071868143E-2</v>
      </c>
      <c r="C8" s="16">
        <v>5.744550491616314E-2</v>
      </c>
      <c r="D8" s="16">
        <v>5.9059745732909216E-2</v>
      </c>
      <c r="E8" s="16">
        <v>6.0719347338428077E-2</v>
      </c>
      <c r="F8" s="16">
        <v>6.2425584388357713E-2</v>
      </c>
      <c r="G8" s="16">
        <v>6.4179767356650499E-2</v>
      </c>
      <c r="H8" s="16">
        <v>6.598324354208171E-2</v>
      </c>
      <c r="I8" s="16">
        <v>6.7837398103041208E-2</v>
      </c>
      <c r="J8" s="16">
        <v>6.9743655121403153E-2</v>
      </c>
      <c r="K8" s="16">
        <v>7.1703478696290956E-2</v>
      </c>
      <c r="L8" s="16">
        <v>7.3718374068577411E-2</v>
      </c>
      <c r="M8" s="16">
        <v>7.5789888776983616E-2</v>
      </c>
      <c r="N8" s="16">
        <v>7.791961384666489E-2</v>
      </c>
      <c r="O8" s="16">
        <v>8.0109185011196307E-2</v>
      </c>
      <c r="P8" s="16">
        <v>8.2360283968896497E-2</v>
      </c>
      <c r="Q8" s="16">
        <v>8.4674639674454613E-2</v>
      </c>
      <c r="R8" s="16">
        <v>8.7054029666852675E-2</v>
      </c>
      <c r="S8" s="16">
        <v>8.9500281434602688E-2</v>
      </c>
      <c r="T8" s="16">
        <v>9.2015273819347931E-2</v>
      </c>
      <c r="U8" s="16">
        <v>9.460093845890559E-2</v>
      </c>
      <c r="V8" s="16">
        <v>9.7259261270859529E-2</v>
      </c>
      <c r="W8" s="16">
        <v>9.999228397784278E-2</v>
      </c>
      <c r="X8" s="16">
        <v>0.10280210567568082</v>
      </c>
      <c r="Y8" s="16">
        <v>0.10569088444560047</v>
      </c>
      <c r="Z8" s="16">
        <v>0.10866083901174227</v>
      </c>
      <c r="AA8" s="16">
        <v>0.11171425044524985</v>
      </c>
      <c r="AB8" s="16">
        <v>0.11485346391624457</v>
      </c>
      <c r="AC8" s="16">
        <v>0.11808089049503177</v>
      </c>
      <c r="AD8" s="16">
        <v>0.12139900900392092</v>
      </c>
      <c r="AE8" s="16">
        <v>0.12481036792108337</v>
      </c>
      <c r="AF8" s="16">
        <v>0.1283175873379088</v>
      </c>
      <c r="AG8" s="16">
        <v>0.13192336097136417</v>
      </c>
      <c r="AH8" s="16">
        <v>0.13563045823290085</v>
      </c>
      <c r="AI8" s="16">
        <v>0.13944172635549887</v>
      </c>
      <c r="AJ8" s="16">
        <v>0.14336009258048177</v>
      </c>
      <c r="AK8" s="16">
        <v>0.14738856640578182</v>
      </c>
      <c r="AL8" s="16">
        <v>0.15153024189738257</v>
      </c>
      <c r="AM8" s="16">
        <v>0.1557883000657134</v>
      </c>
      <c r="AN8" s="16">
        <v>0.16016601130882241</v>
      </c>
    </row>
    <row r="9" spans="1:40" x14ac:dyDescent="0.2">
      <c r="A9" s="15" t="s">
        <v>22</v>
      </c>
      <c r="B9" s="16">
        <v>0.17696588964420623</v>
      </c>
      <c r="C9" s="16">
        <v>0.18193869931229717</v>
      </c>
      <c r="D9" s="16">
        <v>0.18705124684763902</v>
      </c>
      <c r="E9" s="16">
        <v>0.19230745893813014</v>
      </c>
      <c r="F9" s="16">
        <v>0.19771137261311125</v>
      </c>
      <c r="G9" s="16">
        <v>0.2032671383440027</v>
      </c>
      <c r="H9" s="16">
        <v>0.20897902323207052</v>
      </c>
      <c r="I9" s="16">
        <v>0.21485141428577015</v>
      </c>
      <c r="J9" s="16">
        <v>0.22088882179018438</v>
      </c>
      <c r="K9" s="16">
        <v>0.2270958827711444</v>
      </c>
      <c r="L9" s="16">
        <v>0.23347736455669343</v>
      </c>
      <c r="M9" s="16">
        <v>0.24003816843862913</v>
      </c>
      <c r="N9" s="16">
        <v>0.24678333343693662</v>
      </c>
      <c r="O9" s="16">
        <v>0.25371804017000377</v>
      </c>
      <c r="P9" s="16">
        <v>0.26084761483359076</v>
      </c>
      <c r="Q9" s="16">
        <v>0.26817753329161031</v>
      </c>
      <c r="R9" s="16">
        <v>0.27571342528186066</v>
      </c>
      <c r="S9" s="16">
        <v>0.28346107873994036</v>
      </c>
      <c r="T9" s="16">
        <v>0.29142644424466824</v>
      </c>
      <c r="U9" s="16">
        <v>0.29961563958842008</v>
      </c>
      <c r="V9" s="16">
        <v>0.30803495447589407</v>
      </c>
      <c r="W9" s="16">
        <v>0.31669085535491298</v>
      </c>
      <c r="X9" s="16">
        <v>0.32558999038297481</v>
      </c>
      <c r="Y9" s="16">
        <v>0.33473919453336393</v>
      </c>
      <c r="Z9" s="16">
        <v>0.34414549484474688</v>
      </c>
      <c r="AA9" s="16">
        <v>0.35381611581828376</v>
      </c>
      <c r="AB9" s="16">
        <v>0.36375848496640012</v>
      </c>
      <c r="AC9" s="16">
        <v>0.37398023851748191</v>
      </c>
      <c r="AD9" s="16">
        <v>0.38448922728087409</v>
      </c>
      <c r="AE9" s="16">
        <v>0.39529352267668866</v>
      </c>
      <c r="AF9" s="16">
        <v>0.40640142293505177</v>
      </c>
      <c r="AG9" s="16">
        <v>0.41782145946955285</v>
      </c>
      <c r="AH9" s="16">
        <v>0.42956240342978946</v>
      </c>
      <c r="AI9" s="16">
        <v>0.44163327243804157</v>
      </c>
      <c r="AJ9" s="16">
        <v>0.454043337515249</v>
      </c>
      <c r="AK9" s="16">
        <v>0.46680213020161115</v>
      </c>
      <c r="AL9" s="16">
        <v>0.47991944987727891</v>
      </c>
      <c r="AM9" s="16">
        <v>0.49340537128875994</v>
      </c>
      <c r="AN9" s="16">
        <v>0.50727025228681988</v>
      </c>
    </row>
    <row r="10" spans="1:40" x14ac:dyDescent="0.2">
      <c r="A10" s="15" t="s">
        <v>23</v>
      </c>
      <c r="B10" s="16">
        <v>5.7240473121000202</v>
      </c>
      <c r="C10" s="16">
        <v>5.8848952465321833</v>
      </c>
      <c r="D10" s="16">
        <v>6.050263069882174</v>
      </c>
      <c r="E10" s="16">
        <v>6.2202777927696955</v>
      </c>
      <c r="F10" s="16">
        <v>6.3950699948617826</v>
      </c>
      <c r="G10" s="16">
        <v>6.5747739251644202</v>
      </c>
      <c r="H10" s="16">
        <v>6.7595276051323703</v>
      </c>
      <c r="I10" s="16">
        <v>6.9494729346764474</v>
      </c>
      <c r="J10" s="16">
        <v>7.1447558011496159</v>
      </c>
      <c r="K10" s="16">
        <v>7.3455261913956571</v>
      </c>
      <c r="L10" s="16">
        <v>7.5519383069464414</v>
      </c>
      <c r="M10" s="16">
        <v>7.7641506824562816</v>
      </c>
      <c r="N10" s="16">
        <v>7.9823263074643469</v>
      </c>
      <c r="O10" s="16">
        <v>8.2066327515786437</v>
      </c>
      <c r="P10" s="16">
        <v>8.4372422931777109</v>
      </c>
      <c r="Q10" s="16">
        <v>8.6743320517288893</v>
      </c>
      <c r="R10" s="16">
        <v>8.9180841238247801</v>
      </c>
      <c r="S10" s="16">
        <v>9.1686857230423833</v>
      </c>
      <c r="T10" s="16">
        <v>9.4263293237323236</v>
      </c>
      <c r="U10" s="16">
        <v>9.6912128088486273</v>
      </c>
      <c r="V10" s="16">
        <v>9.9635396219325543</v>
      </c>
      <c r="W10" s="16">
        <v>10.243518923367246</v>
      </c>
      <c r="X10" s="16">
        <v>10.531365751023165</v>
      </c>
      <c r="Y10" s="16">
        <v>10.827301185417786</v>
      </c>
      <c r="Z10" s="16">
        <v>11.131552519516287</v>
      </c>
      <c r="AA10" s="16">
        <v>11.444353433303707</v>
      </c>
      <c r="AB10" s="16">
        <v>11.765944173262698</v>
      </c>
      <c r="AC10" s="16">
        <v>12.096571736894617</v>
      </c>
      <c r="AD10" s="16">
        <v>12.43649006242574</v>
      </c>
      <c r="AE10" s="16">
        <v>12.78596022384434</v>
      </c>
      <c r="AF10" s="16">
        <v>13.145250631418318</v>
      </c>
      <c r="AG10" s="16">
        <v>13.514637237847502</v>
      </c>
      <c r="AH10" s="16">
        <v>13.894403750208882</v>
      </c>
      <c r="AI10" s="16">
        <v>14.284841847857599</v>
      </c>
      <c r="AJ10" s="16">
        <v>14.686251406451035</v>
      </c>
      <c r="AK10" s="16">
        <v>15.098940728268056</v>
      </c>
      <c r="AL10" s="16">
        <v>15.523226779000327</v>
      </c>
      <c r="AM10" s="16">
        <v>15.959435431197537</v>
      </c>
      <c r="AN10" s="16">
        <v>16.407901714553571</v>
      </c>
    </row>
    <row r="11" spans="1:40" x14ac:dyDescent="0.2">
      <c r="A11" s="15" t="s">
        <v>24</v>
      </c>
      <c r="B11" s="16">
        <v>93.536311248090158</v>
      </c>
      <c r="C11" s="16">
        <v>96.164717625314793</v>
      </c>
      <c r="D11" s="16">
        <v>98.866983234228698</v>
      </c>
      <c r="E11" s="16">
        <v>101.64518354769375</v>
      </c>
      <c r="F11" s="16">
        <v>104.50145236015858</v>
      </c>
      <c r="G11" s="16">
        <v>107.43798342651795</v>
      </c>
      <c r="H11" s="16">
        <v>110.45703214702412</v>
      </c>
      <c r="I11" s="16">
        <v>113.56091729954527</v>
      </c>
      <c r="J11" s="16">
        <v>116.75202282050088</v>
      </c>
      <c r="K11" s="16">
        <v>120.03279963584215</v>
      </c>
      <c r="L11" s="16">
        <v>123.40576754348363</v>
      </c>
      <c r="M11" s="16">
        <v>126.87351714863193</v>
      </c>
      <c r="N11" s="16">
        <v>130.43871185349784</v>
      </c>
      <c r="O11" s="16">
        <v>134.10408990292032</v>
      </c>
      <c r="P11" s="16">
        <v>137.87246648747308</v>
      </c>
      <c r="Q11" s="16">
        <v>141.74673590566934</v>
      </c>
      <c r="R11" s="16">
        <v>145.72987378692548</v>
      </c>
      <c r="S11" s="16">
        <v>149.8249393769909</v>
      </c>
      <c r="T11" s="16">
        <v>154.03507788759853</v>
      </c>
      <c r="U11" s="16">
        <v>158.36352291214322</v>
      </c>
      <c r="V11" s="16">
        <v>162.81359890923935</v>
      </c>
      <c r="W11" s="16">
        <v>167.38872375606906</v>
      </c>
      <c r="X11" s="16">
        <v>172.09241137348002</v>
      </c>
      <c r="Y11" s="16">
        <v>176.92827442484932</v>
      </c>
      <c r="Z11" s="16">
        <v>181.90002709078652</v>
      </c>
      <c r="AA11" s="16">
        <v>187.01148792180703</v>
      </c>
      <c r="AB11" s="16">
        <v>192.26658277116672</v>
      </c>
      <c r="AC11" s="16">
        <v>197.66934781011017</v>
      </c>
      <c r="AD11" s="16">
        <v>203.22393262784897</v>
      </c>
      <c r="AE11" s="16">
        <v>208.93460341864954</v>
      </c>
      <c r="AF11" s="16">
        <v>214.80574625848109</v>
      </c>
      <c r="AG11" s="16">
        <v>220.84187047373678</v>
      </c>
      <c r="AH11" s="16">
        <v>227.04761210461845</v>
      </c>
      <c r="AI11" s="16">
        <v>233.42773746584373</v>
      </c>
      <c r="AJ11" s="16">
        <v>239.98714680740966</v>
      </c>
      <c r="AK11" s="16">
        <v>246.7308780782258</v>
      </c>
      <c r="AL11" s="16">
        <v>253.66411079550684</v>
      </c>
      <c r="AM11" s="16">
        <v>260.79217002289624</v>
      </c>
      <c r="AN11" s="16">
        <v>268.12053046037744</v>
      </c>
    </row>
    <row r="14" spans="1:40" x14ac:dyDescent="0.2">
      <c r="A14" s="14" t="s">
        <v>32</v>
      </c>
    </row>
    <row r="15" spans="1:40" x14ac:dyDescent="0.2">
      <c r="A15" s="14" t="s">
        <v>16</v>
      </c>
    </row>
    <row r="16" spans="1:40" x14ac:dyDescent="0.2">
      <c r="A16" s="14" t="s">
        <v>28</v>
      </c>
    </row>
    <row r="17" spans="1:40" x14ac:dyDescent="0.2">
      <c r="A17" s="14" t="s">
        <v>18</v>
      </c>
    </row>
    <row r="18" spans="1:40" x14ac:dyDescent="0.2">
      <c r="A18" s="17" t="s">
        <v>97</v>
      </c>
      <c r="B18" s="20">
        <v>947817120000</v>
      </c>
    </row>
    <row r="19" spans="1:40" x14ac:dyDescent="0.2">
      <c r="A19" s="15" t="s">
        <v>19</v>
      </c>
      <c r="B19" s="15">
        <v>2022</v>
      </c>
      <c r="C19" s="15">
        <v>2023</v>
      </c>
      <c r="D19" s="15">
        <v>2024</v>
      </c>
      <c r="E19" s="15">
        <v>2025</v>
      </c>
      <c r="F19" s="15">
        <v>2026</v>
      </c>
      <c r="G19" s="15">
        <v>2027</v>
      </c>
      <c r="H19" s="15">
        <v>2028</v>
      </c>
      <c r="I19" s="15">
        <v>2029</v>
      </c>
      <c r="J19" s="15">
        <v>2030</v>
      </c>
      <c r="K19" s="15">
        <v>2031</v>
      </c>
      <c r="L19" s="15">
        <v>2032</v>
      </c>
      <c r="M19" s="15">
        <v>2033</v>
      </c>
      <c r="N19" s="15">
        <v>2034</v>
      </c>
      <c r="O19" s="15">
        <v>2035</v>
      </c>
      <c r="P19" s="15">
        <v>2036</v>
      </c>
      <c r="Q19" s="15">
        <v>2037</v>
      </c>
      <c r="R19" s="15">
        <v>2038</v>
      </c>
      <c r="S19" s="15">
        <v>2039</v>
      </c>
      <c r="T19" s="15">
        <v>2040</v>
      </c>
      <c r="U19" s="15">
        <v>2041</v>
      </c>
      <c r="V19" s="15">
        <v>2042</v>
      </c>
      <c r="W19" s="15">
        <v>2043</v>
      </c>
      <c r="X19" s="15">
        <v>2044</v>
      </c>
      <c r="Y19" s="15">
        <v>2045</v>
      </c>
      <c r="Z19" s="15">
        <v>2046</v>
      </c>
      <c r="AA19" s="15">
        <v>2047</v>
      </c>
      <c r="AB19" s="15">
        <v>2048</v>
      </c>
      <c r="AC19" s="15">
        <v>2049</v>
      </c>
      <c r="AD19" s="15">
        <v>2050</v>
      </c>
      <c r="AE19" s="15">
        <v>2051</v>
      </c>
      <c r="AF19" s="15">
        <v>2052</v>
      </c>
      <c r="AG19" s="15">
        <v>2053</v>
      </c>
      <c r="AH19" s="15">
        <v>2054</v>
      </c>
      <c r="AI19" s="15">
        <v>2055</v>
      </c>
      <c r="AJ19" s="15">
        <v>2056</v>
      </c>
      <c r="AK19" s="15">
        <v>2057</v>
      </c>
      <c r="AL19" s="15">
        <v>2058</v>
      </c>
      <c r="AM19" s="15">
        <v>2059</v>
      </c>
      <c r="AN19" s="15">
        <v>2060</v>
      </c>
    </row>
    <row r="20" spans="1:40" x14ac:dyDescent="0.2">
      <c r="A20" s="15" t="s">
        <v>29</v>
      </c>
      <c r="B20" s="16">
        <v>783.08616063092768</v>
      </c>
      <c r="C20" s="16">
        <v>805.09118339753468</v>
      </c>
      <c r="D20" s="16">
        <v>827.71455578044561</v>
      </c>
      <c r="E20" s="16">
        <v>850.97365364207303</v>
      </c>
      <c r="F20" s="16">
        <v>874.88634111325666</v>
      </c>
      <c r="G20" s="16">
        <v>899.47098431379516</v>
      </c>
      <c r="H20" s="16">
        <v>924.74646545852715</v>
      </c>
      <c r="I20" s="16">
        <v>950.73219735980274</v>
      </c>
      <c r="J20" s="16">
        <v>977.44813833747628</v>
      </c>
      <c r="K20" s="16">
        <v>1004.9148075478788</v>
      </c>
      <c r="L20" s="16">
        <v>1033.1533007435387</v>
      </c>
      <c r="M20" s="16">
        <v>1062.1853064757556</v>
      </c>
      <c r="N20" s="16">
        <v>1092.0331227524764</v>
      </c>
      <c r="O20" s="16">
        <v>1122.7196741642601</v>
      </c>
      <c r="P20" s="16">
        <v>1154.2685294914918</v>
      </c>
      <c r="Q20" s="16">
        <v>1186.7039198063633</v>
      </c>
      <c r="R20" s="16">
        <v>1220.0507570835305</v>
      </c>
      <c r="S20" s="16">
        <v>1254.3346533337319</v>
      </c>
      <c r="T20" s="16">
        <v>1289.5819402750751</v>
      </c>
      <c r="U20" s="16">
        <v>1325.8196895570891</v>
      </c>
      <c r="V20" s="16">
        <v>1363.075733553083</v>
      </c>
      <c r="W20" s="16">
        <v>1401.3786867367776</v>
      </c>
      <c r="X20" s="16">
        <v>1440.7579676596267</v>
      </c>
      <c r="Y20" s="16">
        <v>1481.2438215457139</v>
      </c>
      <c r="Z20" s="16">
        <v>1522.8673435215692</v>
      </c>
      <c r="AA20" s="16">
        <v>1565.6605024987562</v>
      </c>
      <c r="AB20" s="16">
        <v>1609.6561657275697</v>
      </c>
      <c r="AC20" s="16">
        <v>1654.8881240406968</v>
      </c>
      <c r="AD20" s="16">
        <v>1701.3911178062403</v>
      </c>
      <c r="AE20" s="16">
        <v>1749.2008636100286</v>
      </c>
      <c r="AF20" s="16">
        <v>1798.3540816877119</v>
      </c>
      <c r="AG20" s="16">
        <v>1848.8885241277053</v>
      </c>
      <c r="AH20" s="16">
        <v>1900.8430038666518</v>
      </c>
      <c r="AI20" s="16">
        <v>1954.2574244996647</v>
      </c>
      <c r="AJ20" s="16">
        <v>2009.1728109282517</v>
      </c>
      <c r="AK20" s="16">
        <v>2065.6313408694568</v>
      </c>
      <c r="AL20" s="16">
        <v>2123.6763772504178</v>
      </c>
      <c r="AM20" s="16">
        <v>2183.3525015132323</v>
      </c>
      <c r="AN20" s="16">
        <v>2244.7055478556908</v>
      </c>
    </row>
    <row r="21" spans="1:40" x14ac:dyDescent="0.2">
      <c r="A21" s="15" t="s">
        <v>30</v>
      </c>
      <c r="B21" s="16">
        <v>3.1438386942165907E-2</v>
      </c>
      <c r="C21" s="16">
        <v>3.2321817725632161E-2</v>
      </c>
      <c r="D21" s="16">
        <v>3.3230073254420484E-2</v>
      </c>
      <c r="E21" s="16">
        <v>3.4163851113437171E-2</v>
      </c>
      <c r="F21" s="16">
        <v>3.5123868489993104E-2</v>
      </c>
      <c r="G21" s="16">
        <v>3.611086272463887E-2</v>
      </c>
      <c r="H21" s="16">
        <v>3.7125591877478561E-2</v>
      </c>
      <c r="I21" s="16">
        <v>3.8168835310397199E-2</v>
      </c>
      <c r="J21" s="16">
        <v>3.9241394285648983E-2</v>
      </c>
      <c r="K21" s="16">
        <v>4.0344092581266144E-2</v>
      </c>
      <c r="L21" s="16">
        <v>4.1477777123760932E-2</v>
      </c>
      <c r="M21" s="16">
        <v>4.2643318638606813E-2</v>
      </c>
      <c r="N21" s="16">
        <v>4.3841612318998496E-2</v>
      </c>
      <c r="O21" s="16">
        <v>4.507357851340428E-2</v>
      </c>
      <c r="P21" s="16">
        <v>4.6340163432438991E-2</v>
      </c>
      <c r="Q21" s="16">
        <v>4.7642339875600154E-2</v>
      </c>
      <c r="R21" s="16">
        <v>4.8981107978425968E-2</v>
      </c>
      <c r="S21" s="16">
        <v>5.0357495980648488E-2</v>
      </c>
      <c r="T21" s="16">
        <v>5.1772561015932334E-2</v>
      </c>
      <c r="U21" s="16">
        <v>5.3227389923805338E-2</v>
      </c>
      <c r="V21" s="16">
        <v>5.4723100084404688E-2</v>
      </c>
      <c r="W21" s="16">
        <v>5.626084027667988E-2</v>
      </c>
      <c r="X21" s="16">
        <v>5.7841791560711411E-2</v>
      </c>
      <c r="Y21" s="16">
        <v>5.9467168184822991E-2</v>
      </c>
      <c r="Z21" s="16">
        <v>6.113821851818399E-2</v>
      </c>
      <c r="AA21" s="16">
        <v>6.2856226009618238E-2</v>
      </c>
      <c r="AB21" s="16">
        <v>6.462251017335606E-2</v>
      </c>
      <c r="AC21" s="16">
        <v>6.6438427602485819E-2</v>
      </c>
      <c r="AD21" s="16">
        <v>6.8305373010884254E-2</v>
      </c>
      <c r="AE21" s="16">
        <v>7.022478030442536E-2</v>
      </c>
      <c r="AF21" s="16">
        <v>7.2198123682290505E-2</v>
      </c>
      <c r="AG21" s="16">
        <v>7.422691876922588E-2</v>
      </c>
      <c r="AH21" s="16">
        <v>7.6312723779616995E-2</v>
      </c>
      <c r="AI21" s="16">
        <v>7.8457140714273704E-2</v>
      </c>
      <c r="AJ21" s="16">
        <v>8.0661816590845814E-2</v>
      </c>
      <c r="AK21" s="16">
        <v>8.2928444708813567E-2</v>
      </c>
      <c r="AL21" s="16">
        <v>8.525876595002474E-2</v>
      </c>
      <c r="AM21" s="16">
        <v>8.7654570115777763E-2</v>
      </c>
      <c r="AN21" s="16">
        <v>9.0117697301476965E-2</v>
      </c>
    </row>
    <row r="22" spans="1:40" x14ac:dyDescent="0.2">
      <c r="A22" s="15" t="s">
        <v>31</v>
      </c>
      <c r="B22" s="16">
        <v>1.4699052987871475E-2</v>
      </c>
      <c r="C22" s="16">
        <v>1.5112102039057707E-2</v>
      </c>
      <c r="D22" s="16">
        <v>1.5536757927693037E-2</v>
      </c>
      <c r="E22" s="16">
        <v>1.5973346810380856E-2</v>
      </c>
      <c r="F22" s="16">
        <v>1.6422204008850746E-2</v>
      </c>
      <c r="G22" s="16">
        <v>1.6883674267502074E-2</v>
      </c>
      <c r="H22" s="16">
        <v>1.7358112018184612E-2</v>
      </c>
      <c r="I22" s="16">
        <v>1.784588165241965E-2</v>
      </c>
      <c r="J22" s="16">
        <v>1.83473578012706E-2</v>
      </c>
      <c r="K22" s="16">
        <v>1.886292562307805E-2</v>
      </c>
      <c r="L22" s="16">
        <v>1.9392981099280344E-2</v>
      </c>
      <c r="M22" s="16">
        <v>1.9937931338546763E-2</v>
      </c>
      <c r="N22" s="16">
        <v>2.0498194889457026E-2</v>
      </c>
      <c r="O22" s="16">
        <v>2.1074202061967182E-2</v>
      </c>
      <c r="P22" s="16">
        <v>2.1666395257908783E-2</v>
      </c>
      <c r="Q22" s="16">
        <v>2.2275229310775281E-2</v>
      </c>
      <c r="R22" s="16">
        <v>2.2901171835056491E-2</v>
      </c>
      <c r="S22" s="16">
        <v>2.3544703585389529E-2</v>
      </c>
      <c r="T22" s="16">
        <v>2.4206318825802001E-2</v>
      </c>
      <c r="U22" s="16">
        <v>2.4886525709331097E-2</v>
      </c>
      <c r="V22" s="16">
        <v>2.5585846668310073E-2</v>
      </c>
      <c r="W22" s="16">
        <v>2.6304818815622015E-2</v>
      </c>
      <c r="X22" s="16">
        <v>2.7043994357228922E-2</v>
      </c>
      <c r="Y22" s="16">
        <v>2.7803941016293032E-2</v>
      </c>
      <c r="Z22" s="16">
        <v>2.8585242469216156E-2</v>
      </c>
      <c r="AA22" s="16">
        <v>2.9388498793931798E-2</v>
      </c>
      <c r="AB22" s="16">
        <v>3.021432693079459E-2</v>
      </c>
      <c r="AC22" s="16">
        <v>3.1063361156420756E-2</v>
      </c>
      <c r="AD22" s="16">
        <v>3.1936253570843766E-2</v>
      </c>
      <c r="AE22" s="16">
        <v>3.2833674598359251E-2</v>
      </c>
      <c r="AF22" s="16">
        <v>3.3756313502443756E-2</v>
      </c>
      <c r="AG22" s="16">
        <v>3.4704878915143074E-2</v>
      </c>
      <c r="AH22" s="16">
        <v>3.5680099381336448E-2</v>
      </c>
      <c r="AI22" s="16">
        <v>3.668272391829485E-2</v>
      </c>
      <c r="AJ22" s="16">
        <v>3.7713522590963097E-2</v>
      </c>
      <c r="AK22" s="16">
        <v>3.8773287103407647E-2</v>
      </c>
      <c r="AL22" s="16">
        <v>3.986283140688409E-2</v>
      </c>
      <c r="AM22" s="16">
        <v>4.0982992324991967E-2</v>
      </c>
      <c r="AN22" s="16">
        <v>4.2134630196396225E-2</v>
      </c>
    </row>
    <row r="25" spans="1:40" x14ac:dyDescent="0.2">
      <c r="A25" s="14" t="s">
        <v>39</v>
      </c>
    </row>
    <row r="26" spans="1:40" x14ac:dyDescent="0.2">
      <c r="A26" s="14" t="s">
        <v>16</v>
      </c>
    </row>
    <row r="27" spans="1:40" x14ac:dyDescent="0.2">
      <c r="A27" s="14" t="s">
        <v>34</v>
      </c>
    </row>
    <row r="28" spans="1:40" x14ac:dyDescent="0.2">
      <c r="A28" s="14" t="s">
        <v>18</v>
      </c>
    </row>
    <row r="29" spans="1:40" x14ac:dyDescent="0.2">
      <c r="A29" s="17" t="s">
        <v>97</v>
      </c>
      <c r="B29" s="20">
        <v>947817120000</v>
      </c>
    </row>
    <row r="30" spans="1:40" x14ac:dyDescent="0.2">
      <c r="A30" s="15" t="s">
        <v>19</v>
      </c>
      <c r="B30" s="15">
        <v>2022</v>
      </c>
      <c r="C30" s="15">
        <v>2023</v>
      </c>
      <c r="D30" s="15">
        <v>2024</v>
      </c>
      <c r="E30" s="15">
        <v>2025</v>
      </c>
      <c r="F30" s="15">
        <v>2026</v>
      </c>
      <c r="G30" s="15">
        <v>2027</v>
      </c>
      <c r="H30" s="15">
        <v>2028</v>
      </c>
      <c r="I30" s="15">
        <v>2029</v>
      </c>
      <c r="J30" s="15">
        <v>2030</v>
      </c>
      <c r="K30" s="15">
        <v>2031</v>
      </c>
      <c r="L30" s="15">
        <v>2032</v>
      </c>
      <c r="M30" s="15">
        <v>2033</v>
      </c>
      <c r="N30" s="15">
        <v>2034</v>
      </c>
      <c r="O30" s="15">
        <v>2035</v>
      </c>
      <c r="P30" s="15">
        <v>2036</v>
      </c>
      <c r="Q30" s="15">
        <v>2037</v>
      </c>
      <c r="R30" s="15">
        <v>2038</v>
      </c>
      <c r="S30" s="15">
        <v>2039</v>
      </c>
      <c r="T30" s="15">
        <v>2040</v>
      </c>
      <c r="U30" s="15">
        <v>2041</v>
      </c>
      <c r="V30" s="15">
        <v>2042</v>
      </c>
      <c r="W30" s="15">
        <v>2043</v>
      </c>
      <c r="X30" s="15">
        <v>2044</v>
      </c>
      <c r="Y30" s="15">
        <v>2045</v>
      </c>
      <c r="Z30" s="15">
        <v>2046</v>
      </c>
      <c r="AA30" s="15">
        <v>2047</v>
      </c>
      <c r="AB30" s="15">
        <v>2048</v>
      </c>
      <c r="AC30" s="15">
        <v>2049</v>
      </c>
      <c r="AD30" s="15">
        <v>2050</v>
      </c>
      <c r="AE30" s="15">
        <v>2051</v>
      </c>
      <c r="AF30" s="15">
        <v>2052</v>
      </c>
      <c r="AG30" s="15">
        <v>2053</v>
      </c>
      <c r="AH30" s="15">
        <v>2054</v>
      </c>
      <c r="AI30" s="15">
        <v>2055</v>
      </c>
      <c r="AJ30" s="15">
        <v>2056</v>
      </c>
      <c r="AK30" s="15">
        <v>2057</v>
      </c>
      <c r="AL30" s="15">
        <v>2058</v>
      </c>
      <c r="AM30" s="15">
        <v>2059</v>
      </c>
      <c r="AN30" s="15">
        <v>2060</v>
      </c>
    </row>
    <row r="31" spans="1:40" x14ac:dyDescent="0.2">
      <c r="A31" s="15" t="s">
        <v>35</v>
      </c>
      <c r="B31" s="16">
        <v>2.2941174256993095E-2</v>
      </c>
      <c r="C31" s="16">
        <v>2.3585830090791893E-2</v>
      </c>
      <c r="D31" s="16">
        <v>2.4248601001848537E-2</v>
      </c>
      <c r="E31" s="16">
        <v>2.4929996030812064E-2</v>
      </c>
      <c r="F31" s="16">
        <v>2.5630538522569874E-2</v>
      </c>
      <c r="G31" s="16">
        <v>2.6350766528202278E-2</v>
      </c>
      <c r="H31" s="16">
        <v>2.7091233218232223E-2</v>
      </c>
      <c r="I31" s="16">
        <v>2.7852507307487423E-2</v>
      </c>
      <c r="J31" s="16">
        <v>2.8635173491901342E-2</v>
      </c>
      <c r="K31" s="16">
        <v>2.9439832897588392E-2</v>
      </c>
      <c r="L31" s="16">
        <v>3.0267103542538368E-2</v>
      </c>
      <c r="M31" s="16">
        <v>3.1117620811284625E-2</v>
      </c>
      <c r="N31" s="16">
        <v>3.1992037942910695E-2</v>
      </c>
      <c r="O31" s="16">
        <v>3.2891026532769964E-2</v>
      </c>
      <c r="P31" s="16">
        <v>3.3815277048303977E-2</v>
      </c>
      <c r="Q31" s="16">
        <v>3.4765499359355335E-2</v>
      </c>
      <c r="R31" s="16">
        <v>3.5742423283382688E-2</v>
      </c>
      <c r="S31" s="16">
        <v>3.6746799145996406E-2</v>
      </c>
      <c r="T31" s="16">
        <v>3.7779398357245517E-2</v>
      </c>
      <c r="U31" s="16">
        <v>3.884101400409861E-2</v>
      </c>
      <c r="V31" s="16">
        <v>3.993246145957359E-2</v>
      </c>
      <c r="W31" s="16">
        <v>4.1054579008984252E-2</v>
      </c>
      <c r="X31" s="16">
        <v>4.2208228493784618E-2</v>
      </c>
      <c r="Y31" s="16">
        <v>4.3394295973505567E-2</v>
      </c>
      <c r="Z31" s="16">
        <v>4.4613692406292142E-2</v>
      </c>
      <c r="AA31" s="16">
        <v>4.58673543485641E-2</v>
      </c>
      <c r="AB31" s="16">
        <v>4.7156244674337447E-2</v>
      </c>
      <c r="AC31" s="16">
        <v>4.8481353314758877E-2</v>
      </c>
      <c r="AD31" s="16">
        <v>4.9843698018421694E-2</v>
      </c>
      <c r="AE31" s="16">
        <v>5.1244325133046678E-2</v>
      </c>
      <c r="AF31" s="16">
        <v>5.268431040912868E-2</v>
      </c>
      <c r="AG31" s="16">
        <v>5.4164759826165781E-2</v>
      </c>
      <c r="AH31" s="16">
        <v>5.5686810442106029E-2</v>
      </c>
      <c r="AI31" s="16">
        <v>5.7251631266663813E-2</v>
      </c>
      <c r="AJ31" s="16">
        <v>5.8860424159176819E-2</v>
      </c>
      <c r="AK31" s="16">
        <v>6.051442475169308E-2</v>
      </c>
      <c r="AL31" s="16">
        <v>6.2214903397997172E-2</v>
      </c>
      <c r="AM31" s="16">
        <v>6.3963166149304321E-2</v>
      </c>
      <c r="AN31" s="16">
        <v>6.5760555757372108E-2</v>
      </c>
    </row>
    <row r="32" spans="1:40" x14ac:dyDescent="0.2">
      <c r="A32" s="15" t="s">
        <v>36</v>
      </c>
      <c r="B32" s="16">
        <v>0.19792658842491392</v>
      </c>
      <c r="C32" s="16">
        <v>0.20348840180302036</v>
      </c>
      <c r="D32" s="16">
        <v>0.20920650427951959</v>
      </c>
      <c r="E32" s="16">
        <v>0.21508528763828055</v>
      </c>
      <c r="F32" s="16">
        <v>0.2211292670739908</v>
      </c>
      <c r="G32" s="16">
        <v>0.22734308466004785</v>
      </c>
      <c r="H32" s="16">
        <v>0.23373151291389974</v>
      </c>
      <c r="I32" s="16">
        <v>0.24029945846257345</v>
      </c>
      <c r="J32" s="16">
        <v>0.24705196581120537</v>
      </c>
      <c r="K32" s="16">
        <v>0.25399422121746945</v>
      </c>
      <c r="L32" s="16">
        <v>0.26113155667487803</v>
      </c>
      <c r="M32" s="16">
        <v>0.26846945400801508</v>
      </c>
      <c r="N32" s="16">
        <v>0.27601354908284725</v>
      </c>
      <c r="O32" s="16">
        <v>0.28376963613534545</v>
      </c>
      <c r="P32" s="16">
        <v>0.29174367222174374</v>
      </c>
      <c r="Q32" s="16">
        <v>0.29994178179385089</v>
      </c>
      <c r="R32" s="16">
        <v>0.30837026140293078</v>
      </c>
      <c r="S32" s="16">
        <v>0.31703558453576319</v>
      </c>
      <c r="T32" s="16">
        <v>0.32594440658660018</v>
      </c>
      <c r="U32" s="16">
        <v>0.33510356996883589</v>
      </c>
      <c r="V32" s="16">
        <v>0.34452010937031691</v>
      </c>
      <c r="W32" s="16">
        <v>0.35420125715632772</v>
      </c>
      <c r="X32" s="16">
        <v>0.36415444892440352</v>
      </c>
      <c r="Y32" s="16">
        <v>0.37438732921523454</v>
      </c>
      <c r="Z32" s="16">
        <v>0.3849077573840492</v>
      </c>
      <c r="AA32" s="16">
        <v>0.39572381363698494</v>
      </c>
      <c r="AB32" s="16">
        <v>0.40684380523708497</v>
      </c>
      <c r="AC32" s="16">
        <v>0.41827627288468333</v>
      </c>
      <c r="AD32" s="16">
        <v>0.43002999727708391</v>
      </c>
      <c r="AE32" s="16">
        <v>0.44211400585256699</v>
      </c>
      <c r="AF32" s="16">
        <v>0.45453757972390607</v>
      </c>
      <c r="AG32" s="16">
        <v>0.46731026080671884</v>
      </c>
      <c r="AH32" s="16">
        <v>0.4804418591481272</v>
      </c>
      <c r="AI32" s="16">
        <v>0.49394246046135654</v>
      </c>
      <c r="AJ32" s="16">
        <v>0.50782243387205872</v>
      </c>
      <c r="AK32" s="16">
        <v>0.52209243988231058</v>
      </c>
      <c r="AL32" s="16">
        <v>0.53676343855840458</v>
      </c>
      <c r="AM32" s="16">
        <v>0.55184669794871666</v>
      </c>
      <c r="AN32" s="16">
        <v>0.56735380273812408</v>
      </c>
    </row>
    <row r="33" spans="1:40" x14ac:dyDescent="0.2">
      <c r="A33" s="15" t="s">
        <v>37</v>
      </c>
      <c r="B33" s="16">
        <v>20.570939548107596</v>
      </c>
      <c r="C33" s="16">
        <v>21.14899087354782</v>
      </c>
      <c r="D33" s="16">
        <v>21.74328566390426</v>
      </c>
      <c r="E33" s="16">
        <v>22.354280366798207</v>
      </c>
      <c r="F33" s="16">
        <v>22.982444256204946</v>
      </c>
      <c r="G33" s="16">
        <v>23.628259792879231</v>
      </c>
      <c r="H33" s="16">
        <v>24.292222994908879</v>
      </c>
      <c r="I33" s="16">
        <v>24.974843818681052</v>
      </c>
      <c r="J33" s="16">
        <v>25.676646550553805</v>
      </c>
      <c r="K33" s="16">
        <v>26.398170209533848</v>
      </c>
      <c r="L33" s="16">
        <v>27.139968961269606</v>
      </c>
      <c r="M33" s="16">
        <v>27.902612543677666</v>
      </c>
      <c r="N33" s="16">
        <v>28.686686704529585</v>
      </c>
      <c r="O33" s="16">
        <v>29.49279365133491</v>
      </c>
      <c r="P33" s="16">
        <v>30.321552513866187</v>
      </c>
      <c r="Q33" s="16">
        <v>31.173599819681069</v>
      </c>
      <c r="R33" s="16">
        <v>32.049589983006769</v>
      </c>
      <c r="S33" s="16">
        <v>32.950195807362384</v>
      </c>
      <c r="T33" s="16">
        <v>33.876109002305064</v>
      </c>
      <c r="U33" s="16">
        <v>34.828040714696947</v>
      </c>
      <c r="V33" s="16">
        <v>35.806722074900968</v>
      </c>
      <c r="W33" s="16">
        <v>36.812904758324905</v>
      </c>
      <c r="X33" s="16">
        <v>37.847361562745014</v>
      </c>
      <c r="Y33" s="16">
        <v>38.910887001852764</v>
      </c>
      <c r="Z33" s="16">
        <v>40.004297915480443</v>
      </c>
      <c r="AA33" s="16">
        <v>41.128434096974225</v>
      </c>
      <c r="AB33" s="16">
        <v>42.284158938196853</v>
      </c>
      <c r="AC33" s="16">
        <v>43.472360092654988</v>
      </c>
      <c r="AD33" s="16">
        <v>44.693950157260751</v>
      </c>
      <c r="AE33" s="16">
        <v>45.949867373251053</v>
      </c>
      <c r="AF33" s="16">
        <v>47.24107634680297</v>
      </c>
      <c r="AG33" s="16">
        <v>48.568568789898734</v>
      </c>
      <c r="AH33" s="16">
        <v>49.933364282009272</v>
      </c>
      <c r="AI33" s="16">
        <v>51.336511053181454</v>
      </c>
      <c r="AJ33" s="16">
        <v>52.779086789130197</v>
      </c>
      <c r="AK33" s="16">
        <v>54.262199458954171</v>
      </c>
      <c r="AL33" s="16">
        <v>55.786988166110532</v>
      </c>
      <c r="AM33" s="16">
        <v>57.354624023302343</v>
      </c>
      <c r="AN33" s="16">
        <v>58.966311051950768</v>
      </c>
    </row>
    <row r="34" spans="1:40" x14ac:dyDescent="0.2">
      <c r="A34" s="15" t="s">
        <v>38</v>
      </c>
      <c r="B34" s="16">
        <v>336.14848014446653</v>
      </c>
      <c r="C34" s="16">
        <v>345.59438192439279</v>
      </c>
      <c r="D34" s="16">
        <v>355.30571718299404</v>
      </c>
      <c r="E34" s="16">
        <v>365.28994470326865</v>
      </c>
      <c r="F34" s="16">
        <v>375.55473286289055</v>
      </c>
      <c r="G34" s="16">
        <v>386.10796552390019</v>
      </c>
      <c r="H34" s="16">
        <v>396.95774808789838</v>
      </c>
      <c r="I34" s="16">
        <v>408.11241372139335</v>
      </c>
      <c r="J34" s="16">
        <v>419.58052975608194</v>
      </c>
      <c r="K34" s="16">
        <v>431.37090426898203</v>
      </c>
      <c r="L34" s="16">
        <v>443.4925928474687</v>
      </c>
      <c r="M34" s="16">
        <v>455.95490554441045</v>
      </c>
      <c r="N34" s="16">
        <v>468.76741402874785</v>
      </c>
      <c r="O34" s="16">
        <v>481.93995893700577</v>
      </c>
      <c r="P34" s="16">
        <v>495.48265743138609</v>
      </c>
      <c r="Q34" s="16">
        <v>509.40591097024588</v>
      </c>
      <c r="R34" s="16">
        <v>523.72041329692865</v>
      </c>
      <c r="S34" s="16">
        <v>538.43715865308548</v>
      </c>
      <c r="T34" s="16">
        <v>553.56745022279267</v>
      </c>
      <c r="U34" s="16">
        <v>569.1229088139529</v>
      </c>
      <c r="V34" s="16">
        <v>585.11548178364842</v>
      </c>
      <c r="W34" s="16">
        <v>601.55745221429663</v>
      </c>
      <c r="X34" s="16">
        <v>618.46144834766267</v>
      </c>
      <c r="Y34" s="16">
        <v>635.84045328397031</v>
      </c>
      <c r="Z34" s="16">
        <v>653.70781495356061</v>
      </c>
      <c r="AA34" s="16">
        <v>672.07725636875841</v>
      </c>
      <c r="AB34" s="16">
        <v>690.96288616382208</v>
      </c>
      <c r="AC34" s="16">
        <v>710.37920943106656</v>
      </c>
      <c r="AD34" s="16">
        <v>730.34113886148907</v>
      </c>
      <c r="AE34" s="16">
        <v>750.86400619844767</v>
      </c>
      <c r="AF34" s="16">
        <v>771.96357401319551</v>
      </c>
      <c r="AG34" s="16">
        <v>793.65604781130912</v>
      </c>
      <c r="AH34" s="16">
        <v>815.95808847931471</v>
      </c>
      <c r="AI34" s="16">
        <v>838.88682508106763</v>
      </c>
      <c r="AJ34" s="16">
        <v>862.45986801371612</v>
      </c>
      <c r="AK34" s="16">
        <v>886.69532253335149</v>
      </c>
      <c r="AL34" s="16">
        <v>911.6118026607362</v>
      </c>
      <c r="AM34" s="16">
        <v>937.22844547778584</v>
      </c>
      <c r="AN34" s="16">
        <v>963.56492582579028</v>
      </c>
    </row>
    <row r="37" spans="1:40" x14ac:dyDescent="0.2">
      <c r="A37" s="14" t="s">
        <v>45</v>
      </c>
    </row>
    <row r="38" spans="1:40" x14ac:dyDescent="0.2">
      <c r="A38" s="14" t="s">
        <v>16</v>
      </c>
    </row>
    <row r="39" spans="1:40" x14ac:dyDescent="0.2">
      <c r="A39" s="14" t="s">
        <v>41</v>
      </c>
    </row>
    <row r="40" spans="1:40" x14ac:dyDescent="0.2">
      <c r="A40" s="14" t="s">
        <v>18</v>
      </c>
    </row>
    <row r="41" spans="1:40" x14ac:dyDescent="0.2">
      <c r="A41" s="17" t="s">
        <v>98</v>
      </c>
      <c r="B41" s="21">
        <v>947817120</v>
      </c>
    </row>
    <row r="42" spans="1:40" x14ac:dyDescent="0.2">
      <c r="A42" s="15" t="s">
        <v>19</v>
      </c>
      <c r="B42" s="15">
        <v>2022</v>
      </c>
      <c r="C42" s="15">
        <v>2023</v>
      </c>
      <c r="D42" s="15">
        <v>2024</v>
      </c>
      <c r="E42" s="15">
        <v>2025</v>
      </c>
      <c r="F42" s="15">
        <v>2026</v>
      </c>
      <c r="G42" s="15">
        <v>2027</v>
      </c>
      <c r="H42" s="15">
        <v>2028</v>
      </c>
      <c r="I42" s="15">
        <v>2029</v>
      </c>
      <c r="J42" s="15">
        <v>2030</v>
      </c>
      <c r="K42" s="15">
        <v>2031</v>
      </c>
      <c r="L42" s="15">
        <v>2032</v>
      </c>
      <c r="M42" s="15">
        <v>2033</v>
      </c>
      <c r="N42" s="15">
        <v>2034</v>
      </c>
      <c r="O42" s="15">
        <v>2035</v>
      </c>
      <c r="P42" s="15">
        <v>2036</v>
      </c>
      <c r="Q42" s="15">
        <v>2037</v>
      </c>
      <c r="R42" s="15">
        <v>2038</v>
      </c>
      <c r="S42" s="15">
        <v>2039</v>
      </c>
      <c r="T42" s="15">
        <v>2040</v>
      </c>
      <c r="U42" s="15">
        <v>2041</v>
      </c>
      <c r="V42" s="15">
        <v>2042</v>
      </c>
      <c r="W42" s="15">
        <v>2043</v>
      </c>
      <c r="X42" s="15">
        <v>2044</v>
      </c>
      <c r="Y42" s="15">
        <v>2045</v>
      </c>
      <c r="Z42" s="15">
        <v>2046</v>
      </c>
      <c r="AA42" s="15">
        <v>2047</v>
      </c>
      <c r="AB42" s="15">
        <v>2048</v>
      </c>
      <c r="AC42" s="15">
        <v>2049</v>
      </c>
      <c r="AD42" s="15">
        <v>2050</v>
      </c>
      <c r="AE42" s="15">
        <v>2051</v>
      </c>
      <c r="AF42" s="15">
        <v>2052</v>
      </c>
      <c r="AG42" s="15">
        <v>2053</v>
      </c>
      <c r="AH42" s="15">
        <v>2054</v>
      </c>
      <c r="AI42" s="15">
        <v>2055</v>
      </c>
      <c r="AJ42" s="15">
        <v>2056</v>
      </c>
      <c r="AK42" s="15">
        <v>2057</v>
      </c>
      <c r="AL42" s="15">
        <v>2058</v>
      </c>
      <c r="AM42" s="15">
        <v>2059</v>
      </c>
      <c r="AN42" s="15">
        <v>2060</v>
      </c>
    </row>
    <row r="43" spans="1:40" x14ac:dyDescent="0.2">
      <c r="A43" s="15" t="s">
        <v>42</v>
      </c>
      <c r="B43" s="16">
        <v>1128.8736130934083</v>
      </c>
      <c r="C43" s="16">
        <v>1132.7337314922529</v>
      </c>
      <c r="D43" s="16">
        <v>1136.5938498910975</v>
      </c>
      <c r="E43" s="16">
        <v>1140.4539682899422</v>
      </c>
      <c r="F43" s="16">
        <v>1150.7797311094484</v>
      </c>
      <c r="G43" s="16">
        <v>1161.1054939289543</v>
      </c>
      <c r="H43" s="16">
        <v>1171.4312567484606</v>
      </c>
      <c r="I43" s="16">
        <v>1181.7570195679664</v>
      </c>
      <c r="J43" s="16">
        <v>1192.0827823874722</v>
      </c>
      <c r="K43" s="16">
        <v>1200.7556250922271</v>
      </c>
      <c r="L43" s="16">
        <v>1209.4284677969815</v>
      </c>
      <c r="M43" s="16">
        <v>1218.1013105017362</v>
      </c>
      <c r="N43" s="16">
        <v>1226.7741532064908</v>
      </c>
      <c r="O43" s="16">
        <v>1235.4469959112455</v>
      </c>
      <c r="P43" s="16">
        <v>1242.4478101660686</v>
      </c>
      <c r="Q43" s="16">
        <v>1249.4486244208922</v>
      </c>
      <c r="R43" s="16">
        <v>1256.4494386757151</v>
      </c>
      <c r="S43" s="16">
        <v>1263.4502529305387</v>
      </c>
      <c r="T43" s="16">
        <v>1270.451067185362</v>
      </c>
      <c r="U43" s="16">
        <v>1275.816555075349</v>
      </c>
      <c r="V43" s="16">
        <v>1281.1820429653358</v>
      </c>
      <c r="W43" s="16">
        <v>1286.5475308553227</v>
      </c>
      <c r="X43" s="16">
        <v>1291.9130187453102</v>
      </c>
      <c r="Y43" s="16">
        <v>1297.2785066352969</v>
      </c>
      <c r="Z43" s="16">
        <v>1301.0749578733662</v>
      </c>
      <c r="AA43" s="16">
        <v>1304.8714091114357</v>
      </c>
      <c r="AB43" s="16">
        <v>1308.667860349505</v>
      </c>
      <c r="AC43" s="16">
        <v>1312.4643115875745</v>
      </c>
      <c r="AD43" s="16">
        <v>1316.2607628256442</v>
      </c>
      <c r="AE43" s="16">
        <v>1316.2607628256442</v>
      </c>
      <c r="AF43" s="16">
        <v>1316.2607628256442</v>
      </c>
      <c r="AG43" s="16">
        <v>1316.2607628256442</v>
      </c>
      <c r="AH43" s="16">
        <v>1316.2607628256442</v>
      </c>
      <c r="AI43" s="16">
        <v>1316.2607628256442</v>
      </c>
      <c r="AJ43" s="16">
        <v>1316.2607628256442</v>
      </c>
      <c r="AK43" s="16">
        <v>1316.2607628256442</v>
      </c>
      <c r="AL43" s="16">
        <v>1316.2607628256442</v>
      </c>
      <c r="AM43" s="16">
        <v>1316.2607628256442</v>
      </c>
      <c r="AN43" s="16">
        <v>1316.2607628256442</v>
      </c>
    </row>
    <row r="44" spans="1:40" x14ac:dyDescent="0.2">
      <c r="A44" s="15" t="s">
        <v>43</v>
      </c>
      <c r="B44" s="16">
        <v>504.5433740520067</v>
      </c>
      <c r="C44" s="16">
        <v>506.26863110346375</v>
      </c>
      <c r="D44" s="16">
        <v>507.9938881549208</v>
      </c>
      <c r="E44" s="16">
        <v>509.71914520637802</v>
      </c>
      <c r="F44" s="16">
        <v>514.33418372990081</v>
      </c>
      <c r="G44" s="16">
        <v>518.9492222534235</v>
      </c>
      <c r="H44" s="16">
        <v>523.56426077694618</v>
      </c>
      <c r="I44" s="16">
        <v>528.17929930046887</v>
      </c>
      <c r="J44" s="16">
        <v>532.79433782399155</v>
      </c>
      <c r="K44" s="16">
        <v>536.67061349393862</v>
      </c>
      <c r="L44" s="16">
        <v>540.54688916388557</v>
      </c>
      <c r="M44" s="16">
        <v>544.42316483383263</v>
      </c>
      <c r="N44" s="16">
        <v>548.29944050377981</v>
      </c>
      <c r="O44" s="16">
        <v>552.17571617372698</v>
      </c>
      <c r="P44" s="16">
        <v>555.30468863288536</v>
      </c>
      <c r="Q44" s="16">
        <v>558.43366109204374</v>
      </c>
      <c r="R44" s="16">
        <v>561.56263355120211</v>
      </c>
      <c r="S44" s="16">
        <v>564.69160601036049</v>
      </c>
      <c r="T44" s="16">
        <v>567.82057846951909</v>
      </c>
      <c r="U44" s="16">
        <v>570.2186514974029</v>
      </c>
      <c r="V44" s="16">
        <v>572.61672452528694</v>
      </c>
      <c r="W44" s="16">
        <v>575.01479755317087</v>
      </c>
      <c r="X44" s="16">
        <v>577.41287058105479</v>
      </c>
      <c r="Y44" s="16">
        <v>579.81094360893883</v>
      </c>
      <c r="Z44" s="16">
        <v>581.50774500004445</v>
      </c>
      <c r="AA44" s="16">
        <v>583.20454639115019</v>
      </c>
      <c r="AB44" s="16">
        <v>584.90134778225593</v>
      </c>
      <c r="AC44" s="16">
        <v>586.59814917336178</v>
      </c>
      <c r="AD44" s="16">
        <v>588.29495056446751</v>
      </c>
      <c r="AE44" s="16">
        <v>588.29495056446751</v>
      </c>
      <c r="AF44" s="16">
        <v>588.29495056446751</v>
      </c>
      <c r="AG44" s="16">
        <v>588.29495056446751</v>
      </c>
      <c r="AH44" s="16">
        <v>588.29495056446751</v>
      </c>
      <c r="AI44" s="16">
        <v>588.29495056446751</v>
      </c>
      <c r="AJ44" s="16">
        <v>588.29495056446751</v>
      </c>
      <c r="AK44" s="16">
        <v>588.29495056446751</v>
      </c>
      <c r="AL44" s="16">
        <v>588.29495056446751</v>
      </c>
      <c r="AM44" s="16">
        <v>588.29495056446751</v>
      </c>
      <c r="AN44" s="16">
        <v>588.29495056446751</v>
      </c>
    </row>
    <row r="45" spans="1:40" x14ac:dyDescent="0.2">
      <c r="A45" s="15" t="s">
        <v>44</v>
      </c>
      <c r="B45" s="16">
        <v>826.03277089382948</v>
      </c>
      <c r="C45" s="16">
        <v>828.85734244904415</v>
      </c>
      <c r="D45" s="16">
        <v>831.6819140042586</v>
      </c>
      <c r="E45" s="16">
        <v>834.50648555947328</v>
      </c>
      <c r="F45" s="16">
        <v>842.06217503122593</v>
      </c>
      <c r="G45" s="16">
        <v>849.61786450297802</v>
      </c>
      <c r="H45" s="16">
        <v>857.17355397473068</v>
      </c>
      <c r="I45" s="16">
        <v>864.72924344648311</v>
      </c>
      <c r="J45" s="16">
        <v>872.28493291823554</v>
      </c>
      <c r="K45" s="16">
        <v>878.63112810593555</v>
      </c>
      <c r="L45" s="16">
        <v>884.97732329363544</v>
      </c>
      <c r="M45" s="16">
        <v>891.3235184813351</v>
      </c>
      <c r="N45" s="16">
        <v>897.66971366903522</v>
      </c>
      <c r="O45" s="16">
        <v>904.01590885673522</v>
      </c>
      <c r="P45" s="16">
        <v>909.13862758303969</v>
      </c>
      <c r="Q45" s="16">
        <v>914.26134630934428</v>
      </c>
      <c r="R45" s="16">
        <v>919.38406503564863</v>
      </c>
      <c r="S45" s="16">
        <v>924.50678376195344</v>
      </c>
      <c r="T45" s="16">
        <v>929.62950248825803</v>
      </c>
      <c r="U45" s="16">
        <v>933.55560083758348</v>
      </c>
      <c r="V45" s="16">
        <v>937.48169918690917</v>
      </c>
      <c r="W45" s="16">
        <v>941.40779753623474</v>
      </c>
      <c r="X45" s="16">
        <v>945.33389588556031</v>
      </c>
      <c r="Y45" s="16">
        <v>949.25999423488599</v>
      </c>
      <c r="Z45" s="16">
        <v>952.03797850112494</v>
      </c>
      <c r="AA45" s="16">
        <v>954.81596276736377</v>
      </c>
      <c r="AB45" s="16">
        <v>957.5939470336026</v>
      </c>
      <c r="AC45" s="16">
        <v>960.37193129984178</v>
      </c>
      <c r="AD45" s="16">
        <v>963.14991556608061</v>
      </c>
      <c r="AE45" s="16">
        <v>963.14991556608061</v>
      </c>
      <c r="AF45" s="16">
        <v>963.14991556608061</v>
      </c>
      <c r="AG45" s="16">
        <v>963.14991556608061</v>
      </c>
      <c r="AH45" s="16">
        <v>963.14991556608061</v>
      </c>
      <c r="AI45" s="16">
        <v>963.14991556608061</v>
      </c>
      <c r="AJ45" s="16">
        <v>963.14991556608061</v>
      </c>
      <c r="AK45" s="16">
        <v>963.14991556608061</v>
      </c>
      <c r="AL45" s="16">
        <v>963.14991556608061</v>
      </c>
      <c r="AM45" s="16">
        <v>963.14991556608061</v>
      </c>
      <c r="AN45" s="16">
        <v>963.14991556608061</v>
      </c>
    </row>
    <row r="48" spans="1:40" x14ac:dyDescent="0.2">
      <c r="A48" s="14" t="s">
        <v>50</v>
      </c>
    </row>
    <row r="49" spans="1:40" x14ac:dyDescent="0.2">
      <c r="A49" s="14" t="s">
        <v>16</v>
      </c>
    </row>
    <row r="50" spans="1:40" x14ac:dyDescent="0.2">
      <c r="A50" s="14" t="s">
        <v>46</v>
      </c>
    </row>
    <row r="51" spans="1:40" x14ac:dyDescent="0.2">
      <c r="A51" s="14" t="s">
        <v>18</v>
      </c>
    </row>
    <row r="52" spans="1:40" x14ac:dyDescent="0.2">
      <c r="A52" s="17" t="s">
        <v>97</v>
      </c>
      <c r="B52" s="20">
        <v>947817120000</v>
      </c>
    </row>
    <row r="53" spans="1:40" x14ac:dyDescent="0.2">
      <c r="A53" s="15" t="s">
        <v>19</v>
      </c>
      <c r="B53" s="15">
        <v>2022</v>
      </c>
      <c r="C53" s="15">
        <v>2023</v>
      </c>
      <c r="D53" s="15">
        <v>2024</v>
      </c>
      <c r="E53" s="15">
        <v>2025</v>
      </c>
      <c r="F53" s="15">
        <v>2026</v>
      </c>
      <c r="G53" s="15">
        <v>2027</v>
      </c>
      <c r="H53" s="15">
        <v>2028</v>
      </c>
      <c r="I53" s="15">
        <v>2029</v>
      </c>
      <c r="J53" s="15">
        <v>2030</v>
      </c>
      <c r="K53" s="15">
        <v>2031</v>
      </c>
      <c r="L53" s="15">
        <v>2032</v>
      </c>
      <c r="M53" s="15">
        <v>2033</v>
      </c>
      <c r="N53" s="15">
        <v>2034</v>
      </c>
      <c r="O53" s="15">
        <v>2035</v>
      </c>
      <c r="P53" s="15">
        <v>2036</v>
      </c>
      <c r="Q53" s="15">
        <v>2037</v>
      </c>
      <c r="R53" s="15">
        <v>2038</v>
      </c>
      <c r="S53" s="15">
        <v>2039</v>
      </c>
      <c r="T53" s="15">
        <v>2040</v>
      </c>
      <c r="U53" s="15">
        <v>2041</v>
      </c>
      <c r="V53" s="15">
        <v>2042</v>
      </c>
      <c r="W53" s="15">
        <v>2043</v>
      </c>
      <c r="X53" s="15">
        <v>2044</v>
      </c>
      <c r="Y53" s="15">
        <v>2045</v>
      </c>
      <c r="Z53" s="15">
        <v>2046</v>
      </c>
      <c r="AA53" s="15">
        <v>2047</v>
      </c>
      <c r="AB53" s="15">
        <v>2048</v>
      </c>
      <c r="AC53" s="15">
        <v>2049</v>
      </c>
      <c r="AD53" s="15">
        <v>2050</v>
      </c>
      <c r="AE53" s="15">
        <v>2051</v>
      </c>
      <c r="AF53" s="15">
        <v>2052</v>
      </c>
      <c r="AG53" s="15">
        <v>2053</v>
      </c>
      <c r="AH53" s="15">
        <v>2054</v>
      </c>
      <c r="AI53" s="15">
        <v>2055</v>
      </c>
      <c r="AJ53" s="15">
        <v>2056</v>
      </c>
      <c r="AK53" s="15">
        <v>2057</v>
      </c>
      <c r="AL53" s="15">
        <v>2058</v>
      </c>
      <c r="AM53" s="15">
        <v>2059</v>
      </c>
      <c r="AN53" s="15">
        <v>2060</v>
      </c>
    </row>
    <row r="54" spans="1:40" x14ac:dyDescent="0.2">
      <c r="A54" s="15" t="s">
        <v>47</v>
      </c>
      <c r="B54" s="16">
        <v>5.9968464827010015</v>
      </c>
      <c r="C54" s="16">
        <v>6.2966888068359594</v>
      </c>
      <c r="D54" s="16">
        <v>6.6115232471776606</v>
      </c>
      <c r="E54" s="16">
        <v>6.9420994095364437</v>
      </c>
      <c r="F54" s="16">
        <v>7.2892043800129871</v>
      </c>
      <c r="G54" s="16">
        <v>7.6536645990133483</v>
      </c>
      <c r="H54" s="16">
        <v>8.0363478289637182</v>
      </c>
      <c r="I54" s="16">
        <v>8.4381652204115962</v>
      </c>
      <c r="J54" s="16">
        <v>8.8600734814318578</v>
      </c>
      <c r="K54" s="16">
        <v>9.3030771555031784</v>
      </c>
      <c r="L54" s="16">
        <v>9.7682310132780561</v>
      </c>
      <c r="M54" s="16">
        <v>10.256642563941664</v>
      </c>
      <c r="N54" s="16">
        <v>10.769474692138441</v>
      </c>
      <c r="O54" s="16">
        <v>11.307948426745048</v>
      </c>
      <c r="P54" s="16">
        <v>11.873345848082039</v>
      </c>
      <c r="Q54" s="16">
        <v>12.467013140485863</v>
      </c>
      <c r="R54" s="16">
        <v>13.090363797509873</v>
      </c>
      <c r="S54" s="16">
        <v>13.744881987385071</v>
      </c>
      <c r="T54" s="16">
        <v>14.432126086754016</v>
      </c>
      <c r="U54" s="16">
        <v>15.153732391091479</v>
      </c>
      <c r="V54" s="16">
        <v>15.911419010645796</v>
      </c>
      <c r="W54" s="16">
        <v>16.706989961177822</v>
      </c>
      <c r="X54" s="16">
        <v>17.542339459236434</v>
      </c>
      <c r="Y54" s="16">
        <v>18.419456432197968</v>
      </c>
      <c r="Z54" s="16">
        <v>19.340429253807653</v>
      </c>
      <c r="AA54" s="16">
        <v>20.307450716497815</v>
      </c>
      <c r="AB54" s="16">
        <v>21.322823252322479</v>
      </c>
      <c r="AC54" s="16">
        <v>22.388964414938361</v>
      </c>
      <c r="AD54" s="16">
        <v>23.508412635685026</v>
      </c>
      <c r="AE54" s="16">
        <v>24.683833267469275</v>
      </c>
      <c r="AF54" s="16">
        <v>25.918024930842748</v>
      </c>
      <c r="AG54" s="16">
        <v>27.213926177384884</v>
      </c>
      <c r="AH54" s="16">
        <v>28.574622486254125</v>
      </c>
      <c r="AI54" s="16">
        <v>30.00335361056684</v>
      </c>
      <c r="AJ54" s="16">
        <v>31.503521291095183</v>
      </c>
      <c r="AK54" s="16">
        <v>33.078697355649936</v>
      </c>
      <c r="AL54" s="16">
        <v>34.732632223432446</v>
      </c>
      <c r="AM54" s="16">
        <v>36.469263834604057</v>
      </c>
      <c r="AN54" s="16">
        <v>38.292727026334269</v>
      </c>
    </row>
    <row r="55" spans="1:40" x14ac:dyDescent="0.2">
      <c r="A55" s="15" t="s">
        <v>48</v>
      </c>
      <c r="B55" s="16">
        <v>2.9711100680359604E-3</v>
      </c>
      <c r="C55" s="16">
        <v>3.1196655714377125E-3</v>
      </c>
      <c r="D55" s="16">
        <v>3.275648850009551E-3</v>
      </c>
      <c r="E55" s="16">
        <v>3.4394312925099795E-3</v>
      </c>
      <c r="F55" s="16">
        <v>3.6114028571353394E-3</v>
      </c>
      <c r="G55" s="16">
        <v>3.7919729999919632E-3</v>
      </c>
      <c r="H55" s="16">
        <v>3.9815716499914154E-3</v>
      </c>
      <c r="I55" s="16">
        <v>4.1806502324908332E-3</v>
      </c>
      <c r="J55" s="16">
        <v>4.3896827441152163E-3</v>
      </c>
      <c r="K55" s="16">
        <v>4.6091668813208423E-3</v>
      </c>
      <c r="L55" s="16">
        <v>4.839625225386745E-3</v>
      </c>
      <c r="M55" s="16">
        <v>5.0816064866559376E-3</v>
      </c>
      <c r="N55" s="16">
        <v>5.3356868109885819E-3</v>
      </c>
      <c r="O55" s="16">
        <v>5.6024711515378547E-3</v>
      </c>
      <c r="P55" s="16">
        <v>5.8825947091146165E-3</v>
      </c>
      <c r="Q55" s="16">
        <v>6.1767244445702111E-3</v>
      </c>
      <c r="R55" s="16">
        <v>6.4855606667985812E-3</v>
      </c>
      <c r="S55" s="16">
        <v>6.8098387001383626E-3</v>
      </c>
      <c r="T55" s="16">
        <v>7.1503306351451282E-3</v>
      </c>
      <c r="U55" s="16">
        <v>7.5078471669022687E-3</v>
      </c>
      <c r="V55" s="16">
        <v>7.8832395252472539E-3</v>
      </c>
      <c r="W55" s="16">
        <v>8.2774015015094852E-3</v>
      </c>
      <c r="X55" s="16">
        <v>8.6912715765848202E-3</v>
      </c>
      <c r="Y55" s="16">
        <v>9.1258351554139201E-3</v>
      </c>
      <c r="Z55" s="16">
        <v>9.5821269131845105E-3</v>
      </c>
      <c r="AA55" s="16">
        <v>1.0061233258843628E-2</v>
      </c>
      <c r="AB55" s="16">
        <v>1.0564294921785696E-2</v>
      </c>
      <c r="AC55" s="16">
        <v>1.109250966787486E-2</v>
      </c>
      <c r="AD55" s="16">
        <v>1.1647135151268478E-2</v>
      </c>
      <c r="AE55" s="16">
        <v>1.2229491908831904E-2</v>
      </c>
      <c r="AF55" s="16">
        <v>1.28409665042735E-2</v>
      </c>
      <c r="AG55" s="16">
        <v>1.3483014829487178E-2</v>
      </c>
      <c r="AH55" s="16">
        <v>1.4157165570961533E-2</v>
      </c>
      <c r="AI55" s="16">
        <v>1.4865023849509613E-2</v>
      </c>
      <c r="AJ55" s="16">
        <v>1.5608275041985092E-2</v>
      </c>
      <c r="AK55" s="16">
        <v>1.6388688794084345E-2</v>
      </c>
      <c r="AL55" s="16">
        <v>1.7208123233788567E-2</v>
      </c>
      <c r="AM55" s="16">
        <v>1.806852939547799E-2</v>
      </c>
      <c r="AN55" s="16">
        <v>1.8971955865251897E-2</v>
      </c>
    </row>
    <row r="56" spans="1:40" x14ac:dyDescent="0.2">
      <c r="A56" s="15" t="s">
        <v>49</v>
      </c>
      <c r="B56" s="16">
        <v>1.3644153958476603E-4</v>
      </c>
      <c r="C56" s="16">
        <v>1.4326361656400219E-4</v>
      </c>
      <c r="D56" s="16">
        <v>1.5042679739220009E-4</v>
      </c>
      <c r="E56" s="16">
        <v>1.5794813726180784E-4</v>
      </c>
      <c r="F56" s="16">
        <v>1.6584554412489184E-4</v>
      </c>
      <c r="G56" s="16">
        <v>1.7413782133112986E-4</v>
      </c>
      <c r="H56" s="16">
        <v>1.8284471239767965E-4</v>
      </c>
      <c r="I56" s="16">
        <v>1.9198694801755663E-4</v>
      </c>
      <c r="J56" s="16">
        <v>2.0158629541842721E-4</v>
      </c>
      <c r="K56" s="16">
        <v>2.1166561018934235E-4</v>
      </c>
      <c r="L56" s="16">
        <v>2.2224889069880307E-4</v>
      </c>
      <c r="M56" s="16">
        <v>2.3336133523373649E-4</v>
      </c>
      <c r="N56" s="16">
        <v>2.4502940199541641E-4</v>
      </c>
      <c r="O56" s="16">
        <v>2.5728087209518006E-4</v>
      </c>
      <c r="P56" s="16">
        <v>2.7014491569993303E-4</v>
      </c>
      <c r="Q56" s="16">
        <v>2.8365216148492338E-4</v>
      </c>
      <c r="R56" s="16">
        <v>2.9783476955916316E-4</v>
      </c>
      <c r="S56" s="16">
        <v>3.1272650803711459E-4</v>
      </c>
      <c r="T56" s="16">
        <v>3.2836283343896331E-4</v>
      </c>
      <c r="U56" s="16">
        <v>3.4478097511090602E-4</v>
      </c>
      <c r="V56" s="16">
        <v>3.620200238664455E-4</v>
      </c>
      <c r="W56" s="16">
        <v>3.8012102505976175E-4</v>
      </c>
      <c r="X56" s="16">
        <v>3.9912707631274349E-4</v>
      </c>
      <c r="Y56" s="16">
        <v>4.1908343012837416E-4</v>
      </c>
      <c r="Z56" s="16">
        <v>4.40037601634788E-4</v>
      </c>
      <c r="AA56" s="16">
        <v>4.6203948171652233E-4</v>
      </c>
      <c r="AB56" s="16">
        <v>4.8514145580234332E-4</v>
      </c>
      <c r="AC56" s="16">
        <v>5.0939852859245495E-4</v>
      </c>
      <c r="AD56" s="16">
        <v>5.3486845502207197E-4</v>
      </c>
      <c r="AE56" s="16">
        <v>5.6161187777317549E-4</v>
      </c>
      <c r="AF56" s="16">
        <v>5.8969247166183443E-4</v>
      </c>
      <c r="AG56" s="16">
        <v>6.1917709524492626E-4</v>
      </c>
      <c r="AH56" s="16">
        <v>6.5013595000717247E-4</v>
      </c>
      <c r="AI56" s="16">
        <v>6.8264274750753126E-4</v>
      </c>
      <c r="AJ56" s="16">
        <v>7.1677488488290772E-4</v>
      </c>
      <c r="AK56" s="16">
        <v>7.5261362912705315E-4</v>
      </c>
      <c r="AL56" s="16">
        <v>7.9024431058340595E-4</v>
      </c>
      <c r="AM56" s="16">
        <v>8.297565261125761E-4</v>
      </c>
      <c r="AN56" s="16">
        <v>8.7124435241820516E-4</v>
      </c>
    </row>
    <row r="59" spans="1:40" x14ac:dyDescent="0.2">
      <c r="A59" s="14" t="s">
        <v>55</v>
      </c>
    </row>
    <row r="60" spans="1:40" x14ac:dyDescent="0.2">
      <c r="A60" s="14" t="s">
        <v>16</v>
      </c>
    </row>
    <row r="61" spans="1:40" x14ac:dyDescent="0.2">
      <c r="A61" s="14" t="s">
        <v>52</v>
      </c>
    </row>
    <row r="62" spans="1:40" x14ac:dyDescent="0.2">
      <c r="A62" s="14" t="s">
        <v>18</v>
      </c>
    </row>
    <row r="63" spans="1:40" x14ac:dyDescent="0.2">
      <c r="A63" s="17" t="s">
        <v>97</v>
      </c>
      <c r="B63" s="20">
        <v>947817120000</v>
      </c>
    </row>
    <row r="64" spans="1:40" x14ac:dyDescent="0.2">
      <c r="A64" s="15" t="s">
        <v>19</v>
      </c>
      <c r="B64" s="15">
        <v>2022</v>
      </c>
      <c r="C64" s="15">
        <v>2023</v>
      </c>
      <c r="D64" s="15">
        <v>2024</v>
      </c>
      <c r="E64" s="15">
        <v>2025</v>
      </c>
      <c r="F64" s="15">
        <v>2026</v>
      </c>
      <c r="G64" s="15">
        <v>2027</v>
      </c>
      <c r="H64" s="15">
        <v>2028</v>
      </c>
      <c r="I64" s="15">
        <v>2029</v>
      </c>
      <c r="J64" s="15">
        <v>2030</v>
      </c>
      <c r="K64" s="15">
        <v>2031</v>
      </c>
      <c r="L64" s="15">
        <v>2032</v>
      </c>
      <c r="M64" s="15">
        <v>2033</v>
      </c>
      <c r="N64" s="15">
        <v>2034</v>
      </c>
      <c r="O64" s="15">
        <v>2035</v>
      </c>
      <c r="P64" s="15">
        <v>2036</v>
      </c>
      <c r="Q64" s="15">
        <v>2037</v>
      </c>
      <c r="R64" s="15">
        <v>2038</v>
      </c>
      <c r="S64" s="15">
        <v>2039</v>
      </c>
      <c r="T64" s="15">
        <v>2040</v>
      </c>
      <c r="U64" s="15">
        <v>2041</v>
      </c>
      <c r="V64" s="15">
        <v>2042</v>
      </c>
      <c r="W64" s="15">
        <v>2043</v>
      </c>
      <c r="X64" s="15">
        <v>2044</v>
      </c>
      <c r="Y64" s="15">
        <v>2045</v>
      </c>
      <c r="Z64" s="15">
        <v>2046</v>
      </c>
      <c r="AA64" s="15">
        <v>2047</v>
      </c>
      <c r="AB64" s="15">
        <v>2048</v>
      </c>
      <c r="AC64" s="15">
        <v>2049</v>
      </c>
      <c r="AD64" s="15">
        <v>2050</v>
      </c>
      <c r="AE64" s="15">
        <v>2051</v>
      </c>
      <c r="AF64" s="15">
        <v>2052</v>
      </c>
      <c r="AG64" s="15">
        <v>2053</v>
      </c>
      <c r="AH64" s="15">
        <v>2054</v>
      </c>
      <c r="AI64" s="15">
        <v>2055</v>
      </c>
      <c r="AJ64" s="15">
        <v>2056</v>
      </c>
      <c r="AK64" s="15">
        <v>2057</v>
      </c>
      <c r="AL64" s="15">
        <v>2058</v>
      </c>
      <c r="AM64" s="15">
        <v>2059</v>
      </c>
      <c r="AN64" s="15">
        <v>2060</v>
      </c>
    </row>
    <row r="65" spans="1:40" x14ac:dyDescent="0.2">
      <c r="A65" s="15" t="s">
        <v>53</v>
      </c>
      <c r="B65" s="16">
        <v>1.7041979061222505E-2</v>
      </c>
      <c r="C65" s="16">
        <v>1.7894078014283631E-2</v>
      </c>
      <c r="D65" s="16">
        <v>1.8788781914997811E-2</v>
      </c>
      <c r="E65" s="16">
        <v>1.9728221010747709E-2</v>
      </c>
      <c r="F65" s="16">
        <v>2.0714632061285092E-2</v>
      </c>
      <c r="G65" s="16">
        <v>2.1750363664349345E-2</v>
      </c>
      <c r="H65" s="16">
        <v>2.2837881847566813E-2</v>
      </c>
      <c r="I65" s="16">
        <v>2.3979775939945158E-2</v>
      </c>
      <c r="J65" s="16">
        <v>2.5178764736942413E-2</v>
      </c>
      <c r="K65" s="16">
        <v>2.6437702973789539E-2</v>
      </c>
      <c r="L65" s="16">
        <v>2.7759588122479022E-2</v>
      </c>
      <c r="M65" s="16">
        <v>2.9147567528602966E-2</v>
      </c>
      <c r="N65" s="16">
        <v>3.0604945905033119E-2</v>
      </c>
      <c r="O65" s="16">
        <v>3.2135193200284774E-2</v>
      </c>
      <c r="P65" s="16">
        <v>3.3741952860299018E-2</v>
      </c>
      <c r="Q65" s="16">
        <v>3.5429050503313964E-2</v>
      </c>
      <c r="R65" s="16">
        <v>3.7200503028479659E-2</v>
      </c>
      <c r="S65" s="16">
        <v>3.9060528179903645E-2</v>
      </c>
      <c r="T65" s="16">
        <v>4.1013554588898833E-2</v>
      </c>
      <c r="U65" s="16">
        <v>4.3064232318343776E-2</v>
      </c>
      <c r="V65" s="16">
        <v>4.5217443934260963E-2</v>
      </c>
      <c r="W65" s="16">
        <v>4.7478316130974009E-2</v>
      </c>
      <c r="X65" s="16">
        <v>4.9852231937522716E-2</v>
      </c>
      <c r="Y65" s="16">
        <v>5.2344843534398854E-2</v>
      </c>
      <c r="Z65" s="16">
        <v>5.4962085711118797E-2</v>
      </c>
      <c r="AA65" s="16">
        <v>5.7710189996674738E-2</v>
      </c>
      <c r="AB65" s="16">
        <v>6.0595699496508483E-2</v>
      </c>
      <c r="AC65" s="16">
        <v>6.3625484471333899E-2</v>
      </c>
      <c r="AD65" s="16">
        <v>6.6806758694900603E-2</v>
      </c>
      <c r="AE65" s="16">
        <v>7.0147096629645633E-2</v>
      </c>
      <c r="AF65" s="16">
        <v>7.3654451461127909E-2</v>
      </c>
      <c r="AG65" s="16">
        <v>7.7337174034184331E-2</v>
      </c>
      <c r="AH65" s="16">
        <v>8.1204032735893536E-2</v>
      </c>
      <c r="AI65" s="16">
        <v>8.5264234372688208E-2</v>
      </c>
      <c r="AJ65" s="16">
        <v>8.9527446091322654E-2</v>
      </c>
      <c r="AK65" s="16">
        <v>9.4003818395888769E-2</v>
      </c>
      <c r="AL65" s="16">
        <v>9.8704009315683197E-2</v>
      </c>
      <c r="AM65" s="16">
        <v>0.10363920978146737</v>
      </c>
      <c r="AN65" s="16">
        <v>0.10882117027054075</v>
      </c>
    </row>
    <row r="66" spans="1:40" x14ac:dyDescent="0.2">
      <c r="A66" s="15" t="s">
        <v>54</v>
      </c>
      <c r="B66" s="16">
        <v>47.033565262431061</v>
      </c>
      <c r="C66" s="16">
        <v>49.385243525552617</v>
      </c>
      <c r="D66" s="16">
        <v>51.854505701830256</v>
      </c>
      <c r="E66" s="16">
        <v>54.447230986921774</v>
      </c>
      <c r="F66" s="16">
        <v>57.169592536267864</v>
      </c>
      <c r="G66" s="16">
        <v>60.028072163081248</v>
      </c>
      <c r="H66" s="16">
        <v>63.029475771235319</v>
      </c>
      <c r="I66" s="16">
        <v>66.180949559797085</v>
      </c>
      <c r="J66" s="16">
        <v>69.489997037786949</v>
      </c>
      <c r="K66" s="16">
        <v>72.964496889676269</v>
      </c>
      <c r="L66" s="16">
        <v>76.612721734160104</v>
      </c>
      <c r="M66" s="16">
        <v>80.443357820868115</v>
      </c>
      <c r="N66" s="16">
        <v>84.465525711911539</v>
      </c>
      <c r="O66" s="16">
        <v>88.688801997507113</v>
      </c>
      <c r="P66" s="16">
        <v>93.123242097382459</v>
      </c>
      <c r="Q66" s="16">
        <v>97.779404202251584</v>
      </c>
      <c r="R66" s="16">
        <v>102.66837441236417</v>
      </c>
      <c r="S66" s="16">
        <v>107.80179313298238</v>
      </c>
      <c r="T66" s="16">
        <v>113.19188278963151</v>
      </c>
      <c r="U66" s="16">
        <v>118.85147692911309</v>
      </c>
      <c r="V66" s="16">
        <v>124.79405077556875</v>
      </c>
      <c r="W66" s="16">
        <v>131.03375331434719</v>
      </c>
      <c r="X66" s="16">
        <v>137.58544098006453</v>
      </c>
      <c r="Y66" s="16">
        <v>144.46471302906775</v>
      </c>
      <c r="Z66" s="16">
        <v>151.68794868052117</v>
      </c>
      <c r="AA66" s="16">
        <v>159.27234611454725</v>
      </c>
      <c r="AB66" s="16">
        <v>167.23596342027463</v>
      </c>
      <c r="AC66" s="16">
        <v>175.59776159128833</v>
      </c>
      <c r="AD66" s="16">
        <v>184.37764967085278</v>
      </c>
      <c r="AE66" s="16">
        <v>193.59653215439539</v>
      </c>
      <c r="AF66" s="16">
        <v>203.27635876211522</v>
      </c>
      <c r="AG66" s="16">
        <v>213.44017670022097</v>
      </c>
      <c r="AH66" s="16">
        <v>224.11218553523204</v>
      </c>
      <c r="AI66" s="16">
        <v>235.31779481199359</v>
      </c>
      <c r="AJ66" s="16">
        <v>247.08368455259335</v>
      </c>
      <c r="AK66" s="16">
        <v>259.43786878022297</v>
      </c>
      <c r="AL66" s="16">
        <v>272.40976221923415</v>
      </c>
      <c r="AM66" s="16">
        <v>286.03025033019583</v>
      </c>
      <c r="AN66" s="16">
        <v>300.33176284670566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2716-81D8-6D45-A9DC-F4008A99D462}">
  <sheetPr>
    <tabColor theme="4" tint="0.59999389629810485"/>
  </sheetPr>
  <dimension ref="A1:AN66"/>
  <sheetViews>
    <sheetView workbookViewId="0">
      <selection activeCell="H13" sqref="H13"/>
    </sheetView>
  </sheetViews>
  <sheetFormatPr baseColWidth="10" defaultRowHeight="15" x14ac:dyDescent="0.2"/>
  <cols>
    <col min="2" max="2" width="17" bestFit="1" customWidth="1"/>
  </cols>
  <sheetData>
    <row r="1" spans="1:40" x14ac:dyDescent="0.2">
      <c r="A1" s="17" t="s">
        <v>75</v>
      </c>
    </row>
    <row r="2" spans="1:40" x14ac:dyDescent="0.2">
      <c r="A2" s="14" t="s">
        <v>16</v>
      </c>
    </row>
    <row r="3" spans="1:40" x14ac:dyDescent="0.2">
      <c r="A3" s="14" t="s">
        <v>17</v>
      </c>
    </row>
    <row r="4" spans="1:40" x14ac:dyDescent="0.2">
      <c r="A4" s="14" t="s">
        <v>18</v>
      </c>
    </row>
    <row r="5" spans="1:40" x14ac:dyDescent="0.2">
      <c r="A5" s="14"/>
    </row>
    <row r="6" spans="1:40" x14ac:dyDescent="0.2">
      <c r="A6" s="15" t="s">
        <v>19</v>
      </c>
      <c r="B6" s="15">
        <v>2022</v>
      </c>
      <c r="C6" s="15">
        <v>2023</v>
      </c>
      <c r="D6" s="15">
        <v>2024</v>
      </c>
      <c r="E6" s="15">
        <v>2025</v>
      </c>
      <c r="F6" s="15">
        <v>2026</v>
      </c>
      <c r="G6" s="15">
        <v>2027</v>
      </c>
      <c r="H6" s="15">
        <v>2028</v>
      </c>
      <c r="I6" s="15">
        <v>2029</v>
      </c>
      <c r="J6" s="15">
        <v>2030</v>
      </c>
      <c r="K6" s="15">
        <v>2031</v>
      </c>
      <c r="L6" s="15">
        <v>2032</v>
      </c>
      <c r="M6" s="15">
        <v>2033</v>
      </c>
      <c r="N6" s="15">
        <v>2034</v>
      </c>
      <c r="O6" s="15">
        <v>2035</v>
      </c>
      <c r="P6" s="15">
        <v>2036</v>
      </c>
      <c r="Q6" s="15">
        <v>2037</v>
      </c>
      <c r="R6" s="15">
        <v>2038</v>
      </c>
      <c r="S6" s="15">
        <v>2039</v>
      </c>
      <c r="T6" s="15">
        <v>2040</v>
      </c>
      <c r="U6" s="15">
        <v>2041</v>
      </c>
      <c r="V6" s="15">
        <v>2042</v>
      </c>
      <c r="W6" s="15">
        <v>2043</v>
      </c>
      <c r="X6" s="15">
        <v>2044</v>
      </c>
      <c r="Y6" s="15">
        <v>2045</v>
      </c>
      <c r="Z6" s="15">
        <v>2046</v>
      </c>
      <c r="AA6" s="15">
        <v>2047</v>
      </c>
      <c r="AB6" s="15">
        <v>2048</v>
      </c>
      <c r="AC6" s="15">
        <v>2049</v>
      </c>
      <c r="AD6" s="15">
        <v>2050</v>
      </c>
      <c r="AE6" s="15">
        <v>2051</v>
      </c>
      <c r="AF6" s="15">
        <v>2052</v>
      </c>
      <c r="AG6" s="15">
        <v>2053</v>
      </c>
      <c r="AH6" s="15">
        <v>2054</v>
      </c>
      <c r="AI6" s="15">
        <v>2055</v>
      </c>
      <c r="AJ6" s="15">
        <v>2056</v>
      </c>
      <c r="AK6" s="15">
        <v>2057</v>
      </c>
      <c r="AL6" s="15">
        <v>2058</v>
      </c>
      <c r="AM6" s="15">
        <v>2059</v>
      </c>
      <c r="AN6" s="15">
        <v>2060</v>
      </c>
    </row>
    <row r="7" spans="1:40" x14ac:dyDescent="0.2">
      <c r="A7" s="15" t="s">
        <v>20</v>
      </c>
      <c r="B7" s="22">
        <f>'Level of Activity (LA) - psgr'!B7*'Level of Activity (LA) - psgr'!$B$5</f>
        <v>201220978509.18491</v>
      </c>
      <c r="C7" s="22">
        <f>'Level of Activity (LA) - psgr'!C7*'Level of Activity (LA) - psgr'!$B$5</f>
        <v>206875365517.69247</v>
      </c>
      <c r="D7" s="22">
        <f>'Level of Activity (LA) - psgr'!D7*'Level of Activity (LA) - psgr'!$B$5</f>
        <v>212688642979.26736</v>
      </c>
      <c r="E7" s="22">
        <f>'Level of Activity (LA) - psgr'!E7*'Level of Activity (LA) - psgr'!$B$5</f>
        <v>218665275776.84708</v>
      </c>
      <c r="F7" s="22">
        <f>'Level of Activity (LA) - psgr'!F7*'Level of Activity (LA) - psgr'!$B$5</f>
        <v>224809854258.29944</v>
      </c>
      <c r="G7" s="22">
        <f>'Level of Activity (LA) - psgr'!G7*'Level of Activity (LA) - psgr'!$B$5</f>
        <v>231127097762.03571</v>
      </c>
      <c r="H7" s="22">
        <f>'Level of Activity (LA) - psgr'!H7*'Level of Activity (LA) - psgr'!$B$5</f>
        <v>237621858241.69443</v>
      </c>
      <c r="I7" s="22">
        <f>'Level of Activity (LA) - psgr'!I7*'Level of Activity (LA) - psgr'!$B$5</f>
        <v>244299123992.68042</v>
      </c>
      <c r="J7" s="22">
        <f>'Level of Activity (LA) - psgr'!J7*'Level of Activity (LA) - psgr'!$B$5</f>
        <v>251164023483.42078</v>
      </c>
      <c r="K7" s="22">
        <f>'Level of Activity (LA) - psgr'!K7*'Level of Activity (LA) - psgr'!$B$5</f>
        <v>258221829294.28116</v>
      </c>
      <c r="L7" s="22">
        <f>'Level of Activity (LA) - psgr'!L7*'Level of Activity (LA) - psgr'!$B$5</f>
        <v>265477962167.1665</v>
      </c>
      <c r="M7" s="22">
        <f>'Level of Activity (LA) - psgr'!M7*'Level of Activity (LA) - psgr'!$B$5</f>
        <v>272937995168.91721</v>
      </c>
      <c r="N7" s="22">
        <f>'Level of Activity (LA) - psgr'!N7*'Level of Activity (LA) - psgr'!$B$5</f>
        <v>280607657971.69891</v>
      </c>
      <c r="O7" s="22">
        <f>'Level of Activity (LA) - psgr'!O7*'Level of Activity (LA) - psgr'!$B$5</f>
        <v>288492841253.672</v>
      </c>
      <c r="P7" s="22">
        <f>'Level of Activity (LA) - psgr'!P7*'Level of Activity (LA) - psgr'!$B$5</f>
        <v>296599601223.32269</v>
      </c>
      <c r="Q7" s="22">
        <f>'Level of Activity (LA) - psgr'!Q7*'Level of Activity (LA) - psgr'!$B$5</f>
        <v>304934164270.92822</v>
      </c>
      <c r="R7" s="22">
        <f>'Level of Activity (LA) - psgr'!R7*'Level of Activity (LA) - psgr'!$B$5</f>
        <v>313502931750.73132</v>
      </c>
      <c r="S7" s="22">
        <f>'Level of Activity (LA) - psgr'!S7*'Level of Activity (LA) - psgr'!$B$5</f>
        <v>322312484897.49451</v>
      </c>
      <c r="T7" s="22">
        <f>'Level of Activity (LA) - psgr'!T7*'Level of Activity (LA) - psgr'!$B$5</f>
        <v>331369589881.21271</v>
      </c>
      <c r="U7" s="22">
        <f>'Level of Activity (LA) - psgr'!U7*'Level of Activity (LA) - psgr'!$B$5</f>
        <v>340681203003.86371</v>
      </c>
      <c r="V7" s="22">
        <f>'Level of Activity (LA) - psgr'!V7*'Level of Activity (LA) - psgr'!$B$5</f>
        <v>350254476042.1908</v>
      </c>
      <c r="W7" s="22">
        <f>'Level of Activity (LA) - psgr'!W7*'Level of Activity (LA) - psgr'!$B$5</f>
        <v>360096761740.61859</v>
      </c>
      <c r="X7" s="22">
        <f>'Level of Activity (LA) - psgr'!X7*'Level of Activity (LA) - psgr'!$B$5</f>
        <v>370215619458.52222</v>
      </c>
      <c r="Y7" s="22">
        <f>'Level of Activity (LA) - psgr'!Y7*'Level of Activity (LA) - psgr'!$B$5</f>
        <v>380618820976.1875</v>
      </c>
      <c r="Z7" s="22">
        <f>'Level of Activity (LA) - psgr'!Z7*'Level of Activity (LA) - psgr'!$B$5</f>
        <v>391314356463.9198</v>
      </c>
      <c r="AA7" s="22">
        <f>'Level of Activity (LA) - psgr'!AA7*'Level of Activity (LA) - psgr'!$B$5</f>
        <v>402310440618.88818</v>
      </c>
      <c r="AB7" s="22">
        <f>'Level of Activity (LA) - psgr'!AB7*'Level of Activity (LA) - psgr'!$B$5</f>
        <v>413615518974.41638</v>
      </c>
      <c r="AC7" s="22">
        <f>'Level of Activity (LA) - psgr'!AC7*'Level of Activity (LA) - psgr'!$B$5</f>
        <v>425238274386.56799</v>
      </c>
      <c r="AD7" s="22">
        <f>'Level of Activity (LA) - psgr'!AD7*'Level of Activity (LA) - psgr'!$B$5</f>
        <v>437187633703.00635</v>
      </c>
      <c r="AE7" s="22">
        <f>'Level of Activity (LA) - psgr'!AE7*'Level of Activity (LA) - psgr'!$B$5</f>
        <v>449472774619.2533</v>
      </c>
      <c r="AF7" s="22">
        <f>'Level of Activity (LA) - psgr'!AF7*'Level of Activity (LA) - psgr'!$B$5</f>
        <v>462103132727.60999</v>
      </c>
      <c r="AG7" s="22">
        <f>'Level of Activity (LA) - psgr'!AG7*'Level of Activity (LA) - psgr'!$B$5</f>
        <v>475088408764.15601</v>
      </c>
      <c r="AH7" s="22">
        <f>'Level of Activity (LA) - psgr'!AH7*'Level of Activity (LA) - psgr'!$B$5</f>
        <v>488438576059.39124</v>
      </c>
      <c r="AI7" s="22">
        <f>'Level of Activity (LA) - psgr'!AI7*'Level of Activity (LA) - psgr'!$B$5</f>
        <v>502163888198.24512</v>
      </c>
      <c r="AJ7" s="22">
        <f>'Level of Activity (LA) - psgr'!AJ7*'Level of Activity (LA) - psgr'!$B$5</f>
        <v>516274886895.3327</v>
      </c>
      <c r="AK7" s="22">
        <f>'Level of Activity (LA) - psgr'!AK7*'Level of Activity (LA) - psgr'!$B$5</f>
        <v>530782410091.51093</v>
      </c>
      <c r="AL7" s="22">
        <f>'Level of Activity (LA) - psgr'!AL7*'Level of Activity (LA) - psgr'!$B$5</f>
        <v>545697600277.94958</v>
      </c>
      <c r="AM7" s="22">
        <f>'Level of Activity (LA) - psgr'!AM7*'Level of Activity (LA) - psgr'!$B$5</f>
        <v>561031913054.1123</v>
      </c>
      <c r="AN7" s="22">
        <f>'Level of Activity (LA) - psgr'!AN7*'Level of Activity (LA) - psgr'!$B$5</f>
        <v>576797125926.22119</v>
      </c>
    </row>
    <row r="8" spans="1:40" x14ac:dyDescent="0.2">
      <c r="A8" s="15" t="s">
        <v>21</v>
      </c>
      <c r="B8" s="22">
        <f>'Level of Activity (LA) - psgr'!B8*'Level of Activity (LA) - psgr'!$B$5</f>
        <v>204149742.11725166</v>
      </c>
      <c r="C8" s="22">
        <f>'Level of Activity (LA) - psgr'!C8*'Level of Activity (LA) - psgr'!$B$5</f>
        <v>209886428.51133588</v>
      </c>
      <c r="D8" s="22">
        <f>'Level of Activity (LA) - psgr'!D8*'Level of Activity (LA) - psgr'!$B$5</f>
        <v>215784318.00292474</v>
      </c>
      <c r="E8" s="22">
        <f>'Level of Activity (LA) - psgr'!E8*'Level of Activity (LA) - psgr'!$B$5</f>
        <v>221847940.46115518</v>
      </c>
      <c r="F8" s="22">
        <f>'Level of Activity (LA) - psgr'!F8*'Level of Activity (LA) - psgr'!$B$5</f>
        <v>228081953.0462319</v>
      </c>
      <c r="G8" s="22">
        <f>'Level of Activity (LA) - psgr'!G8*'Level of Activity (LA) - psgr'!$B$5</f>
        <v>234491143.78635535</v>
      </c>
      <c r="H8" s="22">
        <f>'Level of Activity (LA) - psgr'!H8*'Level of Activity (LA) - psgr'!$B$5</f>
        <v>241080435.25516272</v>
      </c>
      <c r="I8" s="22">
        <f>'Level of Activity (LA) - psgr'!I8*'Level of Activity (LA) - psgr'!$B$5</f>
        <v>247854888.35250676</v>
      </c>
      <c r="J8" s="22">
        <f>'Level of Activity (LA) - psgr'!J8*'Level of Activity (LA) - psgr'!$B$5</f>
        <v>254819706.19147542</v>
      </c>
      <c r="K8" s="22">
        <f>'Level of Activity (LA) - psgr'!K8*'Level of Activity (LA) - psgr'!$B$5</f>
        <v>261980238.09463891</v>
      </c>
      <c r="L8" s="22">
        <f>'Level of Activity (LA) - psgr'!L8*'Level of Activity (LA) - psgr'!$B$5</f>
        <v>269341983.70259213</v>
      </c>
      <c r="M8" s="22">
        <f>'Level of Activity (LA) - psgr'!M8*'Level of Activity (LA) - psgr'!$B$5</f>
        <v>276910597.19794929</v>
      </c>
      <c r="N8" s="22">
        <f>'Level of Activity (LA) - psgr'!N8*'Level of Activity (LA) - psgr'!$B$5</f>
        <v>284691891.64803416</v>
      </c>
      <c r="O8" s="22">
        <f>'Level of Activity (LA) - psgr'!O8*'Level of Activity (LA) - psgr'!$B$5</f>
        <v>292691843.46960133</v>
      </c>
      <c r="P8" s="22">
        <f>'Level of Activity (LA) - psgr'!P8*'Level of Activity (LA) - psgr'!$B$5</f>
        <v>300916597.01901865</v>
      </c>
      <c r="Q8" s="22">
        <f>'Level of Activity (LA) - psgr'!Q8*'Level of Activity (LA) - psgr'!$B$5</f>
        <v>309372469.31143457</v>
      </c>
      <c r="R8" s="22">
        <f>'Level of Activity (LA) - psgr'!R8*'Level of Activity (LA) - psgr'!$B$5</f>
        <v>318065954.87255681</v>
      </c>
      <c r="S8" s="22">
        <f>'Level of Activity (LA) - psgr'!S8*'Level of Activity (LA) - psgr'!$B$5</f>
        <v>327003730.726767</v>
      </c>
      <c r="T8" s="22">
        <f>'Level of Activity (LA) - psgr'!T8*'Level of Activity (LA) - psgr'!$B$5</f>
        <v>336192661.52540404</v>
      </c>
      <c r="U8" s="22">
        <f>'Level of Activity (LA) - psgr'!U8*'Level of Activity (LA) - psgr'!$B$5</f>
        <v>345639804.81915385</v>
      </c>
      <c r="V8" s="22">
        <f>'Level of Activity (LA) - psgr'!V8*'Level of Activity (LA) - psgr'!$B$5</f>
        <v>355352416.47859526</v>
      </c>
      <c r="W8" s="22">
        <f>'Level of Activity (LA) - psgr'!W8*'Level of Activity (LA) - psgr'!$B$5</f>
        <v>365337956.26706535</v>
      </c>
      <c r="X8" s="22">
        <f>'Level of Activity (LA) - psgr'!X8*'Level of Activity (LA) - psgr'!$B$5</f>
        <v>375604093.57012439</v>
      </c>
      <c r="Y8" s="22">
        <f>'Level of Activity (LA) - psgr'!Y8*'Level of Activity (LA) - psgr'!$B$5</f>
        <v>386158713.28602153</v>
      </c>
      <c r="Z8" s="22">
        <f>'Level of Activity (LA) - psgr'!Z8*'Level of Activity (LA) - psgr'!$B$5</f>
        <v>397009921.88168401</v>
      </c>
      <c r="AA8" s="22">
        <f>'Level of Activity (LA) - psgr'!AA8*'Level of Activity (LA) - psgr'!$B$5</f>
        <v>408166053.61888218</v>
      </c>
      <c r="AB8" s="22">
        <f>'Level of Activity (LA) - psgr'!AB8*'Level of Activity (LA) - psgr'!$B$5</f>
        <v>419635676.95535272</v>
      </c>
      <c r="AC8" s="22">
        <f>'Level of Activity (LA) - psgr'!AC8*'Level of Activity (LA) - psgr'!$B$5</f>
        <v>431427601.12579572</v>
      </c>
      <c r="AD8" s="22">
        <f>'Level of Activity (LA) - psgr'!AD8*'Level of Activity (LA) - psgr'!$B$5</f>
        <v>443550882.90779901</v>
      </c>
      <c r="AE8" s="22">
        <f>'Level of Activity (LA) - psgr'!AE8*'Level of Activity (LA) - psgr'!$B$5</f>
        <v>456014833.57788992</v>
      </c>
      <c r="AF8" s="22">
        <f>'Level of Activity (LA) - psgr'!AF8*'Level of Activity (LA) - psgr'!$B$5</f>
        <v>468829026.06305307</v>
      </c>
      <c r="AG8" s="22">
        <f>'Level of Activity (LA) - psgr'!AG8*'Level of Activity (LA) - psgr'!$B$5</f>
        <v>482003302.2932086</v>
      </c>
      <c r="AH8" s="22">
        <f>'Level of Activity (LA) - psgr'!AH8*'Level of Activity (LA) - psgr'!$B$5</f>
        <v>495547780.76029873</v>
      </c>
      <c r="AI8" s="22">
        <f>'Level of Activity (LA) - psgr'!AI8*'Level of Activity (LA) - psgr'!$B$5</f>
        <v>509472864.28978699</v>
      </c>
      <c r="AJ8" s="22">
        <f>'Level of Activity (LA) - psgr'!AJ8*'Level of Activity (LA) - psgr'!$B$5</f>
        <v>523789248.03054011</v>
      </c>
      <c r="AK8" s="22">
        <f>'Level of Activity (LA) - psgr'!AK8*'Level of Activity (LA) - psgr'!$B$5</f>
        <v>538507927.66922712</v>
      </c>
      <c r="AL8" s="22">
        <f>'Level of Activity (LA) - psgr'!AL8*'Level of Activity (LA) - psgr'!$B$5</f>
        <v>553640207.87554884</v>
      </c>
      <c r="AM8" s="22">
        <f>'Level of Activity (LA) - psgr'!AM8*'Level of Activity (LA) - psgr'!$B$5</f>
        <v>569197710.98477852</v>
      </c>
      <c r="AN8" s="22">
        <f>'Level of Activity (LA) - psgr'!AN8*'Level of Activity (LA) - psgr'!$B$5</f>
        <v>585192385.92428875</v>
      </c>
    </row>
    <row r="9" spans="1:40" x14ac:dyDescent="0.2">
      <c r="A9" s="15" t="s">
        <v>22</v>
      </c>
      <c r="B9" s="22">
        <f>'Level of Activity (LA) - psgr'!B9*'Level of Activity (LA) - psgr'!$B$5</f>
        <v>201532437.73112828</v>
      </c>
      <c r="C9" s="22">
        <f>'Level of Activity (LA) - psgr'!C9*'Level of Activity (LA) - psgr'!$B$5</f>
        <v>207195576.86374977</v>
      </c>
      <c r="D9" s="22">
        <f>'Level of Activity (LA) - psgr'!D9*'Level of Activity (LA) - psgr'!$B$5</f>
        <v>213017852.38749757</v>
      </c>
      <c r="E9" s="22">
        <f>'Level of Activity (LA) - psgr'!E9*'Level of Activity (LA) - psgr'!$B$5</f>
        <v>219003736.09626344</v>
      </c>
      <c r="F9" s="22">
        <f>'Level of Activity (LA) - psgr'!F9*'Level of Activity (LA) - psgr'!$B$5</f>
        <v>225157825.44306982</v>
      </c>
      <c r="G9" s="22">
        <f>'Level of Activity (LA) - psgr'!G9*'Level of Activity (LA) - psgr'!$B$5</f>
        <v>231484847.07114023</v>
      </c>
      <c r="H9" s="22">
        <f>'Level of Activity (LA) - psgr'!H9*'Level of Activity (LA) - psgr'!$B$5</f>
        <v>237989660.44419351</v>
      </c>
      <c r="I9" s="22">
        <f>'Level of Activity (LA) - psgr'!I9*'Level of Activity (LA) - psgr'!$B$5</f>
        <v>244677261.57875091</v>
      </c>
      <c r="J9" s="22">
        <f>'Level of Activity (LA) - psgr'!J9*'Level of Activity (LA) - psgr'!$B$5</f>
        <v>251552786.88132238</v>
      </c>
      <c r="K9" s="22">
        <f>'Level of Activity (LA) - psgr'!K9*'Level of Activity (LA) - psgr'!$B$5</f>
        <v>258621517.09341946</v>
      </c>
      <c r="L9" s="22">
        <f>'Level of Activity (LA) - psgr'!L9*'Level of Activity (LA) - psgr'!$B$5</f>
        <v>265888881.34742445</v>
      </c>
      <c r="M9" s="22">
        <f>'Level of Activity (LA) - psgr'!M9*'Level of Activity (LA) - psgr'!$B$5</f>
        <v>273360461.33643073</v>
      </c>
      <c r="N9" s="22">
        <f>'Level of Activity (LA) - psgr'!N9*'Level of Activity (LA) - psgr'!$B$5</f>
        <v>281041995.60125786</v>
      </c>
      <c r="O9" s="22">
        <f>'Level of Activity (LA) - psgr'!O9*'Level of Activity (LA) - psgr'!$B$5</f>
        <v>288939383.93793297</v>
      </c>
      <c r="P9" s="22">
        <f>'Level of Activity (LA) - psgr'!P9*'Level of Activity (LA) - psgr'!$B$5</f>
        <v>297058691.92902422</v>
      </c>
      <c r="Q9" s="22">
        <f>'Level of Activity (LA) - psgr'!Q9*'Level of Activity (LA) - psgr'!$B$5</f>
        <v>305406155.60230643</v>
      </c>
      <c r="R9" s="22">
        <f>'Level of Activity (LA) - psgr'!R9*'Level of Activity (LA) - psgr'!$B$5</f>
        <v>313988186.22033715</v>
      </c>
      <c r="S9" s="22">
        <f>'Level of Activity (LA) - psgr'!S9*'Level of Activity (LA) - psgr'!$B$5</f>
        <v>322811375.20462137</v>
      </c>
      <c r="T9" s="22">
        <f>'Level of Activity (LA) - psgr'!T9*'Level of Activity (LA) - psgr'!$B$5</f>
        <v>331882499.19814742</v>
      </c>
      <c r="U9" s="22">
        <f>'Level of Activity (LA) - psgr'!U9*'Level of Activity (LA) - psgr'!$B$5</f>
        <v>341208525.27018237</v>
      </c>
      <c r="V9" s="22">
        <f>'Level of Activity (LA) - psgr'!V9*'Level of Activity (LA) - psgr'!$B$5</f>
        <v>350796616.26732296</v>
      </c>
      <c r="W9" s="22">
        <f>'Level of Activity (LA) - psgr'!W9*'Level of Activity (LA) - psgr'!$B$5</f>
        <v>360654136.31491494</v>
      </c>
      <c r="X9" s="22">
        <f>'Level of Activity (LA) - psgr'!X9*'Level of Activity (LA) - psgr'!$B$5</f>
        <v>370788656.47306275</v>
      </c>
      <c r="Y9" s="22">
        <f>'Level of Activity (LA) - psgr'!Y9*'Level of Activity (LA) - psgr'!$B$5</f>
        <v>381207960.55157638</v>
      </c>
      <c r="Z9" s="22">
        <f>'Level of Activity (LA) - psgr'!Z9*'Level of Activity (LA) - psgr'!$B$5</f>
        <v>391920051.08831984</v>
      </c>
      <c r="AA9" s="22">
        <f>'Level of Activity (LA) - psgr'!AA9*'Level of Activity (LA) - psgr'!$B$5</f>
        <v>402933155.49555373</v>
      </c>
      <c r="AB9" s="22">
        <f>'Level of Activity (LA) - psgr'!AB9*'Level of Activity (LA) - psgr'!$B$5</f>
        <v>414255732.37899232</v>
      </c>
      <c r="AC9" s="22">
        <f>'Level of Activity (LA) - psgr'!AC9*'Level of Activity (LA) - psgr'!$B$5</f>
        <v>425896478.03442931</v>
      </c>
      <c r="AD9" s="22">
        <f>'Level of Activity (LA) - psgr'!AD9*'Level of Activity (LA) - psgr'!$B$5</f>
        <v>437864333.12691945</v>
      </c>
      <c r="AE9" s="22">
        <f>'Level of Activity (LA) - psgr'!AE9*'Level of Activity (LA) - psgr'!$B$5</f>
        <v>450168489.55764997</v>
      </c>
      <c r="AF9" s="22">
        <f>'Level of Activity (LA) - psgr'!AF9*'Level of Activity (LA) - psgr'!$B$5</f>
        <v>462818397.52377224</v>
      </c>
      <c r="AG9" s="22">
        <f>'Level of Activity (LA) - psgr'!AG9*'Level of Activity (LA) - psgr'!$B$5</f>
        <v>475823772.77661777</v>
      </c>
      <c r="AH9" s="22">
        <f>'Level of Activity (LA) - psgr'!AH9*'Level of Activity (LA) - psgr'!$B$5</f>
        <v>489194604.08387303</v>
      </c>
      <c r="AI9" s="22">
        <f>'Level of Activity (LA) - psgr'!AI9*'Level of Activity (LA) - psgr'!$B$5</f>
        <v>502941160.90144461</v>
      </c>
      <c r="AJ9" s="22">
        <f>'Level of Activity (LA) - psgr'!AJ9*'Level of Activity (LA) - psgr'!$B$5</f>
        <v>517074001.26090556</v>
      </c>
      <c r="AK9" s="22">
        <f>'Level of Activity (LA) - psgr'!AK9*'Level of Activity (LA) - psgr'!$B$5</f>
        <v>531603979.87858343</v>
      </c>
      <c r="AL9" s="22">
        <f>'Level of Activity (LA) - psgr'!AL9*'Level of Activity (LA) - psgr'!$B$5</f>
        <v>546542256.49251604</v>
      </c>
      <c r="AM9" s="22">
        <f>'Level of Activity (LA) - psgr'!AM9*'Level of Activity (LA) - psgr'!$B$5</f>
        <v>561900304.43367851</v>
      </c>
      <c r="AN9" s="22">
        <f>'Level of Activity (LA) - psgr'!AN9*'Level of Activity (LA) - psgr'!$B$5</f>
        <v>577689919.43806636</v>
      </c>
    </row>
    <row r="10" spans="1:40" x14ac:dyDescent="0.2">
      <c r="A10" s="15" t="s">
        <v>23</v>
      </c>
      <c r="B10" s="22">
        <f>'Level of Activity (LA) - psgr'!B10*'Level of Activity (LA) - psgr'!$B$5</f>
        <v>3311718163.5478129</v>
      </c>
      <c r="C10" s="22">
        <f>'Level of Activity (LA) - psgr'!C10*'Level of Activity (LA) - psgr'!$B$5</f>
        <v>3404778719.6515522</v>
      </c>
      <c r="D10" s="22">
        <f>'Level of Activity (LA) - psgr'!D10*'Level of Activity (LA) - psgr'!$B$5</f>
        <v>3500454313.2296934</v>
      </c>
      <c r="E10" s="22">
        <f>'Level of Activity (LA) - psgr'!E10*'Level of Activity (LA) - psgr'!$B$5</f>
        <v>3598818427.842608</v>
      </c>
      <c r="F10" s="22">
        <f>'Level of Activity (LA) - psgr'!F10*'Level of Activity (LA) - psgr'!$B$5</f>
        <v>3699946611.9670177</v>
      </c>
      <c r="G10" s="22">
        <f>'Level of Activity (LA) - psgr'!G10*'Level of Activity (LA) - psgr'!$B$5</f>
        <v>3803916537.0209455</v>
      </c>
      <c r="H10" s="22">
        <f>'Level of Activity (LA) - psgr'!H10*'Level of Activity (LA) - psgr'!$B$5</f>
        <v>3910808057.0191765</v>
      </c>
      <c r="I10" s="22">
        <f>'Level of Activity (LA) - psgr'!I10*'Level of Activity (LA) - psgr'!$B$5</f>
        <v>4020703269.9050765</v>
      </c>
      <c r="J10" s="22">
        <f>'Level of Activity (LA) - psgr'!J10*'Level of Activity (LA) - psgr'!$B$5</f>
        <v>4133686580.6058412</v>
      </c>
      <c r="K10" s="22">
        <f>'Level of Activity (LA) - psgr'!K10*'Level of Activity (LA) - psgr'!$B$5</f>
        <v>4249844765.8596354</v>
      </c>
      <c r="L10" s="22">
        <f>'Level of Activity (LA) - psgr'!L10*'Level of Activity (LA) - psgr'!$B$5</f>
        <v>4369267040.8643951</v>
      </c>
      <c r="M10" s="22">
        <f>'Level of Activity (LA) - psgr'!M10*'Level of Activity (LA) - psgr'!$B$5</f>
        <v>4492045127.7994814</v>
      </c>
      <c r="N10" s="22">
        <f>'Level of Activity (LA) - psgr'!N10*'Level of Activity (LA) - psgr'!$B$5</f>
        <v>4618273326.2728319</v>
      </c>
      <c r="O10" s="22">
        <f>'Level of Activity (LA) - psgr'!O10*'Level of Activity (LA) - psgr'!$B$5</f>
        <v>4748048585.7476883</v>
      </c>
      <c r="P10" s="22">
        <f>'Level of Activity (LA) - psgr'!P10*'Level of Activity (LA) - psgr'!$B$5</f>
        <v>4881470580.0045595</v>
      </c>
      <c r="Q10" s="22">
        <f>'Level of Activity (LA) - psgr'!Q10*'Level of Activity (LA) - psgr'!$B$5</f>
        <v>5018641783.6955786</v>
      </c>
      <c r="R10" s="22">
        <f>'Level of Activity (LA) - psgr'!R10*'Level of Activity (LA) - psgr'!$B$5</f>
        <v>5159667551.0500813</v>
      </c>
      <c r="S10" s="22">
        <f>'Level of Activity (LA) - psgr'!S10*'Level of Activity (LA) - psgr'!$B$5</f>
        <v>5304656196.7918272</v>
      </c>
      <c r="T10" s="22">
        <f>'Level of Activity (LA) - psgr'!T10*'Level of Activity (LA) - psgr'!$B$5</f>
        <v>5453719079.330039</v>
      </c>
      <c r="U10" s="22">
        <f>'Level of Activity (LA) - psgr'!U10*'Level of Activity (LA) - psgr'!$B$5</f>
        <v>5606970686.2881374</v>
      </c>
      <c r="V10" s="22">
        <f>'Level of Activity (LA) - psgr'!V10*'Level of Activity (LA) - psgr'!$B$5</f>
        <v>5764528722.4358606</v>
      </c>
      <c r="W10" s="22">
        <f>'Level of Activity (LA) - psgr'!W10*'Level of Activity (LA) - psgr'!$B$5</f>
        <v>5926514200.0923185</v>
      </c>
      <c r="X10" s="22">
        <f>'Level of Activity (LA) - psgr'!X10*'Level of Activity (LA) - psgr'!$B$5</f>
        <v>6093051532.0694008</v>
      </c>
      <c r="Y10" s="22">
        <f>'Level of Activity (LA) - psgr'!Y10*'Level of Activity (LA) - psgr'!$B$5</f>
        <v>6264268627.2269402</v>
      </c>
      <c r="Z10" s="22">
        <f>'Level of Activity (LA) - psgr'!Z10*'Level of Activity (LA) - psgr'!$B$5</f>
        <v>6440296988.7130003</v>
      </c>
      <c r="AA10" s="22">
        <f>'Level of Activity (LA) - psgr'!AA10*'Level of Activity (LA) - psgr'!$B$5</f>
        <v>6621271814.9647608</v>
      </c>
      <c r="AB10" s="22">
        <f>'Level of Activity (LA) - psgr'!AB10*'Level of Activity (LA) - psgr'!$B$5</f>
        <v>6807332103.5475674</v>
      </c>
      <c r="AC10" s="22">
        <f>'Level of Activity (LA) - psgr'!AC10*'Level of Activity (LA) - psgr'!$B$5</f>
        <v>6998620757.9118996</v>
      </c>
      <c r="AD10" s="22">
        <f>'Level of Activity (LA) - psgr'!AD10*'Level of Activity (LA) - psgr'!$B$5</f>
        <v>7195284697.1502323</v>
      </c>
      <c r="AE10" s="22">
        <f>'Level of Activity (LA) - psgr'!AE10*'Level of Activity (LA) - psgr'!$B$5</f>
        <v>7397474968.8381443</v>
      </c>
      <c r="AF10" s="22">
        <f>'Level of Activity (LA) - psgr'!AF10*'Level of Activity (LA) - psgr'!$B$5</f>
        <v>7605346865.0462666</v>
      </c>
      <c r="AG10" s="22">
        <f>'Level of Activity (LA) - psgr'!AG10*'Level of Activity (LA) - psgr'!$B$5</f>
        <v>7819060041.6122408</v>
      </c>
      <c r="AH10" s="22">
        <f>'Level of Activity (LA) - psgr'!AH10*'Level of Activity (LA) - psgr'!$B$5</f>
        <v>8038778640.7642412</v>
      </c>
      <c r="AI10" s="22">
        <f>'Level of Activity (LA) - psgr'!AI10*'Level of Activity (LA) - psgr'!$B$5</f>
        <v>8264671417.1902857</v>
      </c>
      <c r="AJ10" s="22">
        <f>'Level of Activity (LA) - psgr'!AJ10*'Level of Activity (LA) - psgr'!$B$5</f>
        <v>8496911867.6501331</v>
      </c>
      <c r="AK10" s="22">
        <f>'Level of Activity (LA) - psgr'!AK10*'Level of Activity (LA) - psgr'!$B$5</f>
        <v>8735678364.2293243</v>
      </c>
      <c r="AL10" s="22">
        <f>'Level of Activity (LA) - psgr'!AL10*'Level of Activity (LA) - psgr'!$B$5</f>
        <v>8981154291.3377113</v>
      </c>
      <c r="AM10" s="22">
        <f>'Level of Activity (LA) - psgr'!AM10*'Level of Activity (LA) - psgr'!$B$5</f>
        <v>9233528186.5577049</v>
      </c>
      <c r="AN10" s="22">
        <f>'Level of Activity (LA) - psgr'!AN10*'Level of Activity (LA) - psgr'!$B$5</f>
        <v>9492993885.4504128</v>
      </c>
    </row>
    <row r="11" spans="1:40" x14ac:dyDescent="0.2">
      <c r="A11" s="15" t="s">
        <v>24</v>
      </c>
      <c r="B11" s="22">
        <f>'Level of Activity (LA) - psgr'!B11*'Level of Activity (LA) - psgr'!$B$5</f>
        <v>56792059759.279968</v>
      </c>
      <c r="C11" s="22">
        <f>'Level of Activity (LA) - psgr'!C11*'Level of Activity (LA) - psgr'!$B$5</f>
        <v>58387938515.403793</v>
      </c>
      <c r="D11" s="22">
        <f>'Level of Activity (LA) - psgr'!D11*'Level of Activity (LA) - psgr'!$B$5</f>
        <v>60028662079.323685</v>
      </c>
      <c r="E11" s="22">
        <f>'Level of Activity (LA) - psgr'!E11*'Level of Activity (LA) - psgr'!$B$5</f>
        <v>61715490607.413391</v>
      </c>
      <c r="F11" s="22">
        <f>'Level of Activity (LA) - psgr'!F11*'Level of Activity (LA) - psgr'!$B$5</f>
        <v>63449719666.926178</v>
      </c>
      <c r="G11" s="22">
        <f>'Level of Activity (LA) - psgr'!G11*'Level of Activity (LA) - psgr'!$B$5</f>
        <v>65232681231.05423</v>
      </c>
      <c r="H11" s="22">
        <f>'Level of Activity (LA) - psgr'!H11*'Level of Activity (LA) - psgr'!$B$5</f>
        <v>67065744701.949501</v>
      </c>
      <c r="I11" s="22">
        <f>'Level of Activity (LA) - psgr'!I11*'Level of Activity (LA) - psgr'!$B$5</f>
        <v>68950317962.491898</v>
      </c>
      <c r="J11" s="22">
        <f>'Level of Activity (LA) - psgr'!J11*'Level of Activity (LA) - psgr'!$B$5</f>
        <v>70887848457.61264</v>
      </c>
      <c r="K11" s="22">
        <f>'Level of Activity (LA) - psgr'!K11*'Level of Activity (LA) - psgr'!$B$5</f>
        <v>72879824306.003021</v>
      </c>
      <c r="L11" s="22">
        <f>'Level of Activity (LA) - psgr'!L11*'Level of Activity (LA) - psgr'!$B$5</f>
        <v>74927775443.062866</v>
      </c>
      <c r="M11" s="22">
        <f>'Level of Activity (LA) - psgr'!M11*'Level of Activity (LA) - psgr'!$B$5</f>
        <v>77033274795.966003</v>
      </c>
      <c r="N11" s="22">
        <f>'Level of Activity (LA) - psgr'!N11*'Level of Activity (LA) - psgr'!$B$5</f>
        <v>79197939491.745834</v>
      </c>
      <c r="O11" s="22">
        <f>'Level of Activity (LA) - psgr'!O11*'Level of Activity (LA) - psgr'!$B$5</f>
        <v>81423432099.328278</v>
      </c>
      <c r="P11" s="22">
        <f>'Level of Activity (LA) - psgr'!P11*'Level of Activity (LA) - psgr'!$B$5</f>
        <v>83711461906.466507</v>
      </c>
      <c r="Q11" s="22">
        <f>'Level of Activity (LA) - psgr'!Q11*'Level of Activity (LA) - psgr'!$B$5</f>
        <v>86063786232.55806</v>
      </c>
      <c r="R11" s="22">
        <f>'Level of Activity (LA) - psgr'!R11*'Level of Activity (LA) - psgr'!$B$5</f>
        <v>88482211778.352417</v>
      </c>
      <c r="S11" s="22">
        <f>'Level of Activity (LA) - psgr'!S11*'Level of Activity (LA) - psgr'!$B$5</f>
        <v>90968596013.58609</v>
      </c>
      <c r="T11" s="22">
        <f>'Level of Activity (LA) - psgr'!T11*'Level of Activity (LA) - psgr'!$B$5</f>
        <v>93524848603.610703</v>
      </c>
      <c r="U11" s="22">
        <f>'Level of Activity (LA) - psgr'!U11*'Level of Activity (LA) - psgr'!$B$5</f>
        <v>96152932876.10994</v>
      </c>
      <c r="V11" s="22">
        <f>'Level of Activity (LA) - psgr'!V11*'Level of Activity (LA) - psgr'!$B$5</f>
        <v>98854867329.031616</v>
      </c>
      <c r="W11" s="22">
        <f>'Level of Activity (LA) - psgr'!W11*'Level of Activity (LA) - psgr'!$B$5</f>
        <v>101632727180.89343</v>
      </c>
      <c r="X11" s="22">
        <f>'Level of Activity (LA) - psgr'!X11*'Level of Activity (LA) - psgr'!$B$5</f>
        <v>104488645964.65285</v>
      </c>
      <c r="Y11" s="22">
        <f>'Level of Activity (LA) - psgr'!Y11*'Level of Activity (LA) - psgr'!$B$5</f>
        <v>107424817166.36537</v>
      </c>
      <c r="Z11" s="22">
        <f>'Level of Activity (LA) - psgr'!Z11*'Level of Activity (LA) - psgr'!$B$5</f>
        <v>110443495909.88945</v>
      </c>
      <c r="AA11" s="22">
        <f>'Level of Activity (LA) - psgr'!AA11*'Level of Activity (LA) - psgr'!$B$5</f>
        <v>113547000688.93279</v>
      </c>
      <c r="AB11" s="22">
        <f>'Level of Activity (LA) - psgr'!AB11*'Level of Activity (LA) - psgr'!$B$5</f>
        <v>116737715147.76938</v>
      </c>
      <c r="AC11" s="22">
        <f>'Level of Activity (LA) - psgr'!AC11*'Level of Activity (LA) - psgr'!$B$5</f>
        <v>120018089911.99545</v>
      </c>
      <c r="AD11" s="22">
        <f>'Level of Activity (LA) - psgr'!AD11*'Level of Activity (LA) - psgr'!$B$5</f>
        <v>123390644470.7305</v>
      </c>
      <c r="AE11" s="22">
        <f>'Level of Activity (LA) - psgr'!AE11*'Level of Activity (LA) - psgr'!$B$5</f>
        <v>126857969111.70883</v>
      </c>
      <c r="AF11" s="22">
        <f>'Level of Activity (LA) - psgr'!AF11*'Level of Activity (LA) - psgr'!$B$5</f>
        <v>130422726910.74796</v>
      </c>
      <c r="AG11" s="22">
        <f>'Level of Activity (LA) - psgr'!AG11*'Level of Activity (LA) - psgr'!$B$5</f>
        <v>134087655777.12164</v>
      </c>
      <c r="AH11" s="22">
        <f>'Level of Activity (LA) - psgr'!AH11*'Level of Activity (LA) - psgr'!$B$5</f>
        <v>137855570556.40881</v>
      </c>
      <c r="AI11" s="22">
        <f>'Level of Activity (LA) - psgr'!AI11*'Level of Activity (LA) - psgr'!$B$5</f>
        <v>141729365192.43369</v>
      </c>
      <c r="AJ11" s="22">
        <f>'Level of Activity (LA) - psgr'!AJ11*'Level of Activity (LA) - psgr'!$B$5</f>
        <v>145712014949.95654</v>
      </c>
      <c r="AK11" s="22">
        <f>'Level of Activity (LA) - psgr'!AK11*'Level of Activity (LA) - psgr'!$B$5</f>
        <v>149806578699.82364</v>
      </c>
      <c r="AL11" s="22">
        <f>'Level of Activity (LA) - psgr'!AL11*'Level of Activity (LA) - psgr'!$B$5</f>
        <v>154016201268.33026</v>
      </c>
      <c r="AM11" s="22">
        <f>'Level of Activity (LA) - psgr'!AM11*'Level of Activity (LA) - psgr'!$B$5</f>
        <v>158344115852.60196</v>
      </c>
      <c r="AN11" s="22">
        <f>'Level of Activity (LA) - psgr'!AN11*'Level of Activity (LA) - psgr'!$B$5</f>
        <v>162793646503.84918</v>
      </c>
    </row>
    <row r="14" spans="1:40" x14ac:dyDescent="0.2">
      <c r="A14" s="17" t="s">
        <v>76</v>
      </c>
    </row>
    <row r="15" spans="1:40" x14ac:dyDescent="0.2">
      <c r="A15" s="14" t="s">
        <v>16</v>
      </c>
    </row>
    <row r="16" spans="1:40" x14ac:dyDescent="0.2">
      <c r="A16" s="14" t="s">
        <v>28</v>
      </c>
    </row>
    <row r="17" spans="1:40" x14ac:dyDescent="0.2">
      <c r="A17" s="14" t="s">
        <v>18</v>
      </c>
    </row>
    <row r="18" spans="1:40" x14ac:dyDescent="0.2">
      <c r="A18" s="14"/>
    </row>
    <row r="19" spans="1:40" x14ac:dyDescent="0.2">
      <c r="A19" s="15" t="s">
        <v>19</v>
      </c>
      <c r="B19" s="15">
        <v>2022</v>
      </c>
      <c r="C19" s="15">
        <v>2023</v>
      </c>
      <c r="D19" s="15">
        <v>2024</v>
      </c>
      <c r="E19" s="15">
        <v>2025</v>
      </c>
      <c r="F19" s="15">
        <v>2026</v>
      </c>
      <c r="G19" s="15">
        <v>2027</v>
      </c>
      <c r="H19" s="15">
        <v>2028</v>
      </c>
      <c r="I19" s="15">
        <v>2029</v>
      </c>
      <c r="J19" s="15">
        <v>2030</v>
      </c>
      <c r="K19" s="15">
        <v>2031</v>
      </c>
      <c r="L19" s="15">
        <v>2032</v>
      </c>
      <c r="M19" s="15">
        <v>2033</v>
      </c>
      <c r="N19" s="15">
        <v>2034</v>
      </c>
      <c r="O19" s="15">
        <v>2035</v>
      </c>
      <c r="P19" s="15">
        <v>2036</v>
      </c>
      <c r="Q19" s="15">
        <v>2037</v>
      </c>
      <c r="R19" s="15">
        <v>2038</v>
      </c>
      <c r="S19" s="15">
        <v>2039</v>
      </c>
      <c r="T19" s="15">
        <v>2040</v>
      </c>
      <c r="U19" s="15">
        <v>2041</v>
      </c>
      <c r="V19" s="15">
        <v>2042</v>
      </c>
      <c r="W19" s="15">
        <v>2043</v>
      </c>
      <c r="X19" s="15">
        <v>2044</v>
      </c>
      <c r="Y19" s="15">
        <v>2045</v>
      </c>
      <c r="Z19" s="15">
        <v>2046</v>
      </c>
      <c r="AA19" s="15">
        <v>2047</v>
      </c>
      <c r="AB19" s="15">
        <v>2048</v>
      </c>
      <c r="AC19" s="15">
        <v>2049</v>
      </c>
      <c r="AD19" s="15">
        <v>2050</v>
      </c>
      <c r="AE19" s="15">
        <v>2051</v>
      </c>
      <c r="AF19" s="15">
        <v>2052</v>
      </c>
      <c r="AG19" s="15">
        <v>2053</v>
      </c>
      <c r="AH19" s="15">
        <v>2054</v>
      </c>
      <c r="AI19" s="15">
        <v>2055</v>
      </c>
      <c r="AJ19" s="15">
        <v>2056</v>
      </c>
      <c r="AK19" s="15">
        <v>2057</v>
      </c>
      <c r="AL19" s="15">
        <v>2058</v>
      </c>
      <c r="AM19" s="15">
        <v>2059</v>
      </c>
      <c r="AN19" s="15">
        <v>2060</v>
      </c>
    </row>
    <row r="20" spans="1:40" x14ac:dyDescent="0.2">
      <c r="A20" s="15" t="s">
        <v>29</v>
      </c>
      <c r="B20" s="22">
        <f>'Level of Activity (LA) - psgr'!B20*'Level of Activity (LA) - psgr'!$B$18</f>
        <v>839550499427.94678</v>
      </c>
      <c r="C20" s="22">
        <f>'Level of Activity (LA) - psgr'!C20*'Level of Activity (LA) - psgr'!$B$18</f>
        <v>863142191865.39648</v>
      </c>
      <c r="D20" s="22">
        <f>'Level of Activity (LA) - psgr'!D20*'Level of Activity (LA) - psgr'!$B$18</f>
        <v>887396819948.10254</v>
      </c>
      <c r="E20" s="22">
        <f>'Level of Activity (LA) - psgr'!E20*'Level of Activity (LA) - psgr'!$B$18</f>
        <v>912333012423.06567</v>
      </c>
      <c r="F20" s="22">
        <f>'Level of Activity (LA) - psgr'!F20*'Level of Activity (LA) - psgr'!$B$18</f>
        <v>937969921512.25427</v>
      </c>
      <c r="G20" s="22">
        <f>'Level of Activity (LA) - psgr'!G20*'Level of Activity (LA) - psgr'!$B$18</f>
        <v>964327237622.45117</v>
      </c>
      <c r="H20" s="22">
        <f>'Level of Activity (LA) - psgr'!H20*'Level of Activity (LA) - psgr'!$B$18</f>
        <v>991425204468.45532</v>
      </c>
      <c r="I20" s="22">
        <f>'Level of Activity (LA) - psgr'!I20*'Level of Activity (LA) - psgr'!$B$18</f>
        <v>1019284634621.2488</v>
      </c>
      <c r="J20" s="22">
        <f>'Level of Activity (LA) - psgr'!J20*'Level of Activity (LA) - psgr'!$B$18</f>
        <v>1047926925493.0759</v>
      </c>
      <c r="K20" s="22">
        <f>'Level of Activity (LA) - psgr'!K20*'Level of Activity (LA) - psgr'!$B$18</f>
        <v>1077374075771.7076</v>
      </c>
      <c r="L20" s="22">
        <f>'Level of Activity (LA) - psgr'!L20*'Level of Activity (LA) - psgr'!$B$18</f>
        <v>1107648702316.5156</v>
      </c>
      <c r="M20" s="22">
        <f>'Level of Activity (LA) - psgr'!M20*'Level of Activity (LA) - psgr'!$B$18</f>
        <v>1138774057529.3315</v>
      </c>
      <c r="N20" s="22">
        <f>'Level of Activity (LA) - psgr'!N20*'Level of Activity (LA) - psgr'!$B$18</f>
        <v>1170774047213.4358</v>
      </c>
      <c r="O20" s="22">
        <f>'Level of Activity (LA) - psgr'!O20*'Level of Activity (LA) - psgr'!$B$18</f>
        <v>1203673248934.3899</v>
      </c>
      <c r="P20" s="22">
        <f>'Level of Activity (LA) - psgr'!P20*'Level of Activity (LA) - psgr'!$B$18</f>
        <v>1237496930896.8154</v>
      </c>
      <c r="Q20" s="22">
        <f>'Level of Activity (LA) - psgr'!Q20*'Level of Activity (LA) - psgr'!$B$18</f>
        <v>1272271071351.6167</v>
      </c>
      <c r="R20" s="22">
        <f>'Level of Activity (LA) - psgr'!R20*'Level of Activity (LA) - psgr'!$B$18</f>
        <v>1308022378548.5559</v>
      </c>
      <c r="S20" s="22">
        <f>'Level of Activity (LA) - psgr'!S20*'Level of Activity (LA) - psgr'!$B$18</f>
        <v>1344778311249.502</v>
      </c>
      <c r="T20" s="22">
        <f>'Level of Activity (LA) - psgr'!T20*'Level of Activity (LA) - psgr'!$B$18</f>
        <v>1382567099818.1096</v>
      </c>
      <c r="U20" s="22">
        <f>'Level of Activity (LA) - psgr'!U20*'Level of Activity (LA) - psgr'!$B$18</f>
        <v>1421417767902.1267</v>
      </c>
      <c r="V20" s="22">
        <f>'Level of Activity (LA) - psgr'!V20*'Level of Activity (LA) - psgr'!$B$18</f>
        <v>1461360154724.9834</v>
      </c>
      <c r="W20" s="22">
        <f>'Level of Activity (LA) - psgr'!W20*'Level of Activity (LA) - psgr'!$B$18</f>
        <v>1502424938003.7827</v>
      </c>
      <c r="X20" s="22">
        <f>'Level of Activity (LA) - psgr'!X20*'Level of Activity (LA) - psgr'!$B$18</f>
        <v>1544643657511.2944</v>
      </c>
      <c r="Y20" s="22">
        <f>'Level of Activity (LA) - psgr'!Y20*'Level of Activity (LA) - psgr'!$B$18</f>
        <v>1588048739300.0544</v>
      </c>
      <c r="Z20" s="22">
        <f>'Level of Activity (LA) - psgr'!Z20*'Level of Activity (LA) - psgr'!$B$18</f>
        <v>1632673520607.1643</v>
      </c>
      <c r="AA20" s="22">
        <f>'Level of Activity (LA) - psgr'!AA20*'Level of Activity (LA) - psgr'!$B$18</f>
        <v>1678552275458.9299</v>
      </c>
      <c r="AB20" s="22">
        <f>'Level of Activity (LA) - psgr'!AB20*'Level of Activity (LA) - psgr'!$B$18</f>
        <v>1725720240995.0017</v>
      </c>
      <c r="AC20" s="22">
        <f>'Level of Activity (LA) - psgr'!AC20*'Level of Activity (LA) - psgr'!$B$18</f>
        <v>1774213644532.2241</v>
      </c>
      <c r="AD20" s="22">
        <f>'Level of Activity (LA) - psgr'!AD20*'Level of Activity (LA) - psgr'!$B$18</f>
        <v>1824069731389.0024</v>
      </c>
      <c r="AE20" s="22">
        <f>'Level of Activity (LA) - psgr'!AE20*'Level of Activity (LA) - psgr'!$B$18</f>
        <v>1875326793491.5356</v>
      </c>
      <c r="AF20" s="22">
        <f>'Level of Activity (LA) - psgr'!AF20*'Level of Activity (LA) - psgr'!$B$18</f>
        <v>1928024198783.9006</v>
      </c>
      <c r="AG20" s="22">
        <f>'Level of Activity (LA) - psgr'!AG20*'Level of Activity (LA) - psgr'!$B$18</f>
        <v>1982202421464.5654</v>
      </c>
      <c r="AH20" s="22">
        <f>'Level of Activity (LA) - psgr'!AH20*'Level of Activity (LA) - psgr'!$B$18</f>
        <v>2037903073072.5676</v>
      </c>
      <c r="AI20" s="22">
        <f>'Level of Activity (LA) - psgr'!AI20*'Level of Activity (LA) - psgr'!$B$18</f>
        <v>2095168934447.2217</v>
      </c>
      <c r="AJ20" s="22">
        <f>'Level of Activity (LA) - psgr'!AJ20*'Level of Activity (LA) - psgr'!$B$18</f>
        <v>2154043988585.9043</v>
      </c>
      <c r="AK20" s="22">
        <f>'Level of Activity (LA) - psgr'!AK20*'Level of Activity (LA) - psgr'!$B$18</f>
        <v>2214573454425.1631</v>
      </c>
      <c r="AL20" s="22">
        <f>'Level of Activity (LA) - psgr'!AL20*'Level of Activity (LA) - psgr'!$B$18</f>
        <v>2276803821571.0806</v>
      </c>
      <c r="AM20" s="22">
        <f>'Level of Activity (LA) - psgr'!AM20*'Level of Activity (LA) - psgr'!$B$18</f>
        <v>2340782886005.5786</v>
      </c>
      <c r="AN20" s="22">
        <f>'Level of Activity (LA) - psgr'!AN20*'Level of Activity (LA) - psgr'!$B$18</f>
        <v>2406559786796.0825</v>
      </c>
    </row>
    <row r="21" spans="1:40" x14ac:dyDescent="0.2">
      <c r="A21" s="15" t="s">
        <v>30</v>
      </c>
      <c r="B21" s="22">
        <f>'Level of Activity (LA) - psgr'!B21*'Level of Activity (LA) - psgr'!$B$18</f>
        <v>293951436.8314091</v>
      </c>
      <c r="C21" s="22">
        <f>'Level of Activity (LA) - psgr'!C21*'Level of Activity (LA) - psgr'!$B$18</f>
        <v>302211585.43950146</v>
      </c>
      <c r="D21" s="22">
        <f>'Level of Activity (LA) - psgr'!D21*'Level of Activity (LA) - psgr'!$B$18</f>
        <v>310703847.4053759</v>
      </c>
      <c r="E21" s="22">
        <f>'Level of Activity (LA) - psgr'!E21*'Level of Activity (LA) - psgr'!$B$18</f>
        <v>319434745.20379847</v>
      </c>
      <c r="F21" s="22">
        <f>'Level of Activity (LA) - psgr'!F21*'Level of Activity (LA) - psgr'!$B$18</f>
        <v>328410984.59358865</v>
      </c>
      <c r="G21" s="22">
        <f>'Level of Activity (LA) - psgr'!G21*'Level of Activity (LA) - psgr'!$B$18</f>
        <v>337639459.76797217</v>
      </c>
      <c r="H21" s="22">
        <f>'Level of Activity (LA) - psgr'!H21*'Level of Activity (LA) - psgr'!$B$18</f>
        <v>347127258.64965981</v>
      </c>
      <c r="I21" s="22">
        <f>'Level of Activity (LA) - psgr'!I21*'Level of Activity (LA) - psgr'!$B$18</f>
        <v>356881668.33472103</v>
      </c>
      <c r="J21" s="22">
        <f>'Level of Activity (LA) - psgr'!J21*'Level of Activity (LA) - psgr'!$B$18</f>
        <v>366910180.68943173</v>
      </c>
      <c r="K21" s="22">
        <f>'Level of Activity (LA) - psgr'!K21*'Level of Activity (LA) - psgr'!$B$18</f>
        <v>377220498.1043964</v>
      </c>
      <c r="L21" s="22">
        <f>'Level of Activity (LA) - psgr'!L21*'Level of Activity (LA) - psgr'!$B$18</f>
        <v>387820539.41036242</v>
      </c>
      <c r="M21" s="22">
        <f>'Level of Activity (LA) - psgr'!M21*'Level of Activity (LA) - psgr'!$B$18</f>
        <v>398718445.96027142</v>
      </c>
      <c r="N21" s="22">
        <f>'Level of Activity (LA) - psgr'!N21*'Level of Activity (LA) - psgr'!$B$18</f>
        <v>409922587.88221896</v>
      </c>
      <c r="O21" s="22">
        <f>'Level of Activity (LA) - psgr'!O21*'Level of Activity (LA) - psgr'!$B$18</f>
        <v>421441570.50812465</v>
      </c>
      <c r="P21" s="22">
        <f>'Level of Activity (LA) - psgr'!P21*'Level of Activity (LA) - psgr'!$B$18</f>
        <v>433284240.98304921</v>
      </c>
      <c r="Q21" s="22">
        <f>'Level of Activity (LA) - psgr'!Q21*'Level of Activity (LA) - psgr'!$B$18</f>
        <v>445459695.06023824</v>
      </c>
      <c r="R21" s="22">
        <f>'Level of Activity (LA) - psgr'!R21*'Level of Activity (LA) - psgr'!$B$18</f>
        <v>457977284.08710694</v>
      </c>
      <c r="S21" s="22">
        <f>'Level of Activity (LA) - psgr'!S21*'Level of Activity (LA) - psgr'!$B$18</f>
        <v>470846622.18753523</v>
      </c>
      <c r="T21" s="22">
        <f>'Level of Activity (LA) - psgr'!T21*'Level of Activity (LA) - psgr'!$B$18</f>
        <v>484077593.64598739</v>
      </c>
      <c r="U21" s="22">
        <f>'Level of Activity (LA) - psgr'!U21*'Level of Activity (LA) - psgr'!$B$18</f>
        <v>497680360.49912924</v>
      </c>
      <c r="V21" s="22">
        <f>'Level of Activity (LA) - psgr'!V21*'Level of Activity (LA) - psgr'!$B$18</f>
        <v>511665370.34077048</v>
      </c>
      <c r="W21" s="22">
        <f>'Level of Activity (LA) - psgr'!W21*'Level of Activity (LA) - psgr'!$B$18</f>
        <v>526043364.3461321</v>
      </c>
      <c r="X21" s="22">
        <f>'Level of Activity (LA) - psgr'!X21*'Level of Activity (LA) - psgr'!$B$18</f>
        <v>540825385.52159619</v>
      </c>
      <c r="Y21" s="22">
        <f>'Level of Activity (LA) - psgr'!Y21*'Level of Activity (LA) - psgr'!$B$18</f>
        <v>556022787.1862781</v>
      </c>
      <c r="Z21" s="22">
        <f>'Level of Activity (LA) - psgr'!Z21*'Level of Activity (LA) - psgr'!$B$18</f>
        <v>571647241.69193363</v>
      </c>
      <c r="AA21" s="22">
        <f>'Level of Activity (LA) - psgr'!AA21*'Level of Activity (LA) - psgr'!$B$18</f>
        <v>587710749.38789928</v>
      </c>
      <c r="AB21" s="22">
        <f>'Level of Activity (LA) - psgr'!AB21*'Level of Activity (LA) - psgr'!$B$18</f>
        <v>604225647.83795083</v>
      </c>
      <c r="AC21" s="22">
        <f>'Level of Activity (LA) - psgr'!AC21*'Level of Activity (LA) - psgr'!$B$18</f>
        <v>621204621.29615819</v>
      </c>
      <c r="AD21" s="22">
        <f>'Level of Activity (LA) - psgr'!AD21*'Level of Activity (LA) - psgr'!$B$18</f>
        <v>638660710.44901717</v>
      </c>
      <c r="AE21" s="22">
        <f>'Level of Activity (LA) - psgr'!AE21*'Level of Activity (LA) - psgr'!$B$18</f>
        <v>656607322.43133736</v>
      </c>
      <c r="AF21" s="22">
        <f>'Level of Activity (LA) - psgr'!AF21*'Level of Activity (LA) - psgr'!$B$18</f>
        <v>675058241.12358105</v>
      </c>
      <c r="AG21" s="22">
        <f>'Level of Activity (LA) - psgr'!AG21*'Level of Activity (LA) - psgr'!$B$18</f>
        <v>694027637.73856139</v>
      </c>
      <c r="AH21" s="22">
        <f>'Level of Activity (LA) - psgr'!AH21*'Level of Activity (LA) - psgr'!$B$18</f>
        <v>713530081.70563006</v>
      </c>
      <c r="AI21" s="22">
        <f>'Level of Activity (LA) - psgr'!AI21*'Level of Activity (LA) - psgr'!$B$18</f>
        <v>733580551.86071622</v>
      </c>
      <c r="AJ21" s="22">
        <f>'Level of Activity (LA) - psgr'!AJ21*'Level of Activity (LA) - psgr'!$B$18</f>
        <v>754194447.95080841</v>
      </c>
      <c r="AK21" s="22">
        <f>'Level of Activity (LA) - psgr'!AK21*'Level of Activity (LA) - psgr'!$B$18</f>
        <v>775387602.46171832</v>
      </c>
      <c r="AL21" s="22">
        <f>'Level of Activity (LA) - psgr'!AL21*'Level of Activity (LA) - psgr'!$B$18</f>
        <v>797176292.77820647</v>
      </c>
      <c r="AM21" s="22">
        <f>'Level of Activity (LA) - psgr'!AM21*'Level of Activity (LA) - psgr'!$B$18</f>
        <v>819577253.68581641</v>
      </c>
      <c r="AN21" s="22">
        <f>'Level of Activity (LA) - psgr'!AN21*'Level of Activity (LA) - psgr'!$B$18</f>
        <v>842607690.2240119</v>
      </c>
    </row>
    <row r="22" spans="1:40" x14ac:dyDescent="0.2">
      <c r="A22" s="15" t="s">
        <v>31</v>
      </c>
      <c r="B22" s="22">
        <f>'Level of Activity (LA) - psgr'!B22*'Level of Activity (LA) - psgr'!$B$18</f>
        <v>16797224.961875007</v>
      </c>
      <c r="C22" s="22">
        <f>'Level of Activity (LA) - psgr'!C22*'Level of Activity (LA) - psgr'!$B$18</f>
        <v>17269233.453768253</v>
      </c>
      <c r="D22" s="22">
        <f>'Level of Activity (LA) - psgr'!D22*'Level of Activity (LA) - psgr'!$B$18</f>
        <v>17754505.566106252</v>
      </c>
      <c r="E22" s="22">
        <f>'Level of Activity (LA) - psgr'!E22*'Level of Activity (LA) - psgr'!$B$18</f>
        <v>18253414.011732783</v>
      </c>
      <c r="F22" s="22">
        <f>'Level of Activity (LA) - psgr'!F22*'Level of Activity (LA) - psgr'!$B$18</f>
        <v>18766341.9768661</v>
      </c>
      <c r="G22" s="22">
        <f>'Level of Activity (LA) - psgr'!G22*'Level of Activity (LA) - psgr'!$B$18</f>
        <v>19293683.415404815</v>
      </c>
      <c r="H22" s="22">
        <f>'Level of Activity (LA) - psgr'!H22*'Level of Activity (LA) - psgr'!$B$18</f>
        <v>19835843.351503842</v>
      </c>
      <c r="I22" s="22">
        <f>'Level of Activity (LA) - psgr'!I22*'Level of Activity (LA) - psgr'!$B$18</f>
        <v>20393238.190652855</v>
      </c>
      <c r="J22" s="22">
        <f>'Level of Activity (LA) - psgr'!J22*'Level of Activity (LA) - psgr'!$B$18</f>
        <v>20966296.039496206</v>
      </c>
      <c r="K22" s="22">
        <f>'Level of Activity (LA) - psgr'!K22*'Level of Activity (LA) - psgr'!$B$18</f>
        <v>21555457.034639858</v>
      </c>
      <c r="L22" s="22">
        <f>'Level of Activity (LA) - psgr'!L22*'Level of Activity (LA) - psgr'!$B$18</f>
        <v>22161173.680697951</v>
      </c>
      <c r="M22" s="22">
        <f>'Level of Activity (LA) - psgr'!M22*'Level of Activity (LA) - psgr'!$B$18</f>
        <v>22783911.197838578</v>
      </c>
      <c r="N22" s="22">
        <f>'Level of Activity (LA) - psgr'!N22*'Level of Activity (LA) - psgr'!$B$18</f>
        <v>23424147.879095785</v>
      </c>
      <c r="O22" s="22">
        <f>'Level of Activity (LA) - psgr'!O22*'Level of Activity (LA) - psgr'!$B$18</f>
        <v>24082375.457722105</v>
      </c>
      <c r="P22" s="22">
        <f>'Level of Activity (LA) - psgr'!P22*'Level of Activity (LA) - psgr'!$B$18</f>
        <v>24759099.484863885</v>
      </c>
      <c r="Q22" s="22">
        <f>'Level of Activity (LA) - psgr'!Q22*'Level of Activity (LA) - psgr'!$B$18</f>
        <v>25454839.717849437</v>
      </c>
      <c r="R22" s="22">
        <f>'Level of Activity (LA) - psgr'!R22*'Level of Activity (LA) - psgr'!$B$18</f>
        <v>26170130.519388206</v>
      </c>
      <c r="S22" s="22">
        <f>'Level of Activity (LA) - psgr'!S22*'Level of Activity (LA) - psgr'!$B$18</f>
        <v>26905521.26798762</v>
      </c>
      <c r="T22" s="22">
        <f>'Level of Activity (LA) - psgr'!T22*'Level of Activity (LA) - psgr'!$B$18</f>
        <v>27661576.77990279</v>
      </c>
      <c r="U22" s="22">
        <f>'Level of Activity (LA) - psgr'!U22*'Level of Activity (LA) - psgr'!$B$18</f>
        <v>28438877.742943171</v>
      </c>
      <c r="V22" s="22">
        <f>'Level of Activity (LA) - psgr'!V22*'Level of Activity (LA) - psgr'!$B$18</f>
        <v>29238021.162469342</v>
      </c>
      <c r="W22" s="22">
        <f>'Level of Activity (LA) - psgr'!W22*'Level of Activity (LA) - psgr'!$B$18</f>
        <v>30059620.819922499</v>
      </c>
      <c r="X22" s="22">
        <f>'Level of Activity (LA) - psgr'!X22*'Level of Activity (LA) - psgr'!$B$18</f>
        <v>30904307.744238771</v>
      </c>
      <c r="Y22" s="22">
        <f>'Level of Activity (LA) - psgr'!Y22*'Level of Activity (LA) - psgr'!$B$18</f>
        <v>31772730.696510445</v>
      </c>
      <c r="Z22" s="22">
        <f>'Level of Activity (LA) - psgr'!Z22*'Level of Activity (LA) - psgr'!$B$18</f>
        <v>32665556.668266457</v>
      </c>
      <c r="AA22" s="22">
        <f>'Level of Activity (LA) - psgr'!AA22*'Level of Activity (LA) - psgr'!$B$18</f>
        <v>33583471.393754594</v>
      </c>
      <c r="AB22" s="22">
        <f>'Level of Activity (LA) - psgr'!AB22*'Level of Activity (LA) - psgr'!$B$18</f>
        <v>34527179.87661919</v>
      </c>
      <c r="AC22" s="22">
        <f>'Level of Activity (LA) - psgr'!AC22*'Level of Activity (LA) - psgr'!$B$18</f>
        <v>35497406.931378521</v>
      </c>
      <c r="AD22" s="22">
        <f>'Level of Activity (LA) - psgr'!AD22*'Level of Activity (LA) - psgr'!$B$18</f>
        <v>36494897.740118086</v>
      </c>
      <c r="AE22" s="22">
        <f>'Level of Activity (LA) - psgr'!AE22*'Level of Activity (LA) - psgr'!$B$18</f>
        <v>37520418.424826995</v>
      </c>
      <c r="AF22" s="22">
        <f>'Level of Activity (LA) - psgr'!AF22*'Level of Activity (LA) - psgr'!$B$18</f>
        <v>38574756.635817386</v>
      </c>
      <c r="AG22" s="22">
        <f>'Level of Activity (LA) - psgr'!AG22*'Level of Activity (LA) - psgr'!$B$18</f>
        <v>39658722.15667858</v>
      </c>
      <c r="AH22" s="22">
        <f>'Level of Activity (LA) - psgr'!AH22*'Level of Activity (LA) - psgr'!$B$18</f>
        <v>40773147.526230685</v>
      </c>
      <c r="AI22" s="22">
        <f>'Level of Activity (LA) - psgr'!AI22*'Level of Activity (LA) - psgr'!$B$18</f>
        <v>41918888.677955359</v>
      </c>
      <c r="AJ22" s="22">
        <f>'Level of Activity (LA) - psgr'!AJ22*'Level of Activity (LA) - psgr'!$B$18</f>
        <v>43096825.597394824</v>
      </c>
      <c r="AK22" s="22">
        <f>'Level of Activity (LA) - psgr'!AK22*'Level of Activity (LA) - psgr'!$B$18</f>
        <v>44307862.998024032</v>
      </c>
      <c r="AL22" s="22">
        <f>'Level of Activity (LA) - psgr'!AL22*'Level of Activity (LA) - psgr'!$B$18</f>
        <v>45552931.016115002</v>
      </c>
      <c r="AM22" s="22">
        <f>'Level of Activity (LA) - psgr'!AM22*'Level of Activity (LA) - psgr'!$B$18</f>
        <v>46832985.925127409</v>
      </c>
      <c r="AN22" s="22">
        <f>'Level of Activity (LA) - psgr'!AN22*'Level of Activity (LA) - psgr'!$B$18</f>
        <v>48149010.870173432</v>
      </c>
    </row>
    <row r="25" spans="1:40" x14ac:dyDescent="0.2">
      <c r="A25" s="17" t="s">
        <v>77</v>
      </c>
    </row>
    <row r="26" spans="1:40" x14ac:dyDescent="0.2">
      <c r="A26" s="14" t="s">
        <v>16</v>
      </c>
    </row>
    <row r="27" spans="1:40" x14ac:dyDescent="0.2">
      <c r="A27" s="14" t="s">
        <v>34</v>
      </c>
    </row>
    <row r="28" spans="1:40" x14ac:dyDescent="0.2">
      <c r="A28" s="14" t="s">
        <v>18</v>
      </c>
    </row>
    <row r="29" spans="1:40" x14ac:dyDescent="0.2">
      <c r="A29" s="14"/>
    </row>
    <row r="30" spans="1:40" x14ac:dyDescent="0.2">
      <c r="A30" s="15" t="s">
        <v>19</v>
      </c>
      <c r="B30" s="15">
        <v>2022</v>
      </c>
      <c r="C30" s="15">
        <v>2023</v>
      </c>
      <c r="D30" s="15">
        <v>2024</v>
      </c>
      <c r="E30" s="15">
        <v>2025</v>
      </c>
      <c r="F30" s="15">
        <v>2026</v>
      </c>
      <c r="G30" s="15">
        <v>2027</v>
      </c>
      <c r="H30" s="15">
        <v>2028</v>
      </c>
      <c r="I30" s="15">
        <v>2029</v>
      </c>
      <c r="J30" s="15">
        <v>2030</v>
      </c>
      <c r="K30" s="15">
        <v>2031</v>
      </c>
      <c r="L30" s="15">
        <v>2032</v>
      </c>
      <c r="M30" s="15">
        <v>2033</v>
      </c>
      <c r="N30" s="15">
        <v>2034</v>
      </c>
      <c r="O30" s="15">
        <v>2035</v>
      </c>
      <c r="P30" s="15">
        <v>2036</v>
      </c>
      <c r="Q30" s="15">
        <v>2037</v>
      </c>
      <c r="R30" s="15">
        <v>2038</v>
      </c>
      <c r="S30" s="15">
        <v>2039</v>
      </c>
      <c r="T30" s="15">
        <v>2040</v>
      </c>
      <c r="U30" s="15">
        <v>2041</v>
      </c>
      <c r="V30" s="15">
        <v>2042</v>
      </c>
      <c r="W30" s="15">
        <v>2043</v>
      </c>
      <c r="X30" s="15">
        <v>2044</v>
      </c>
      <c r="Y30" s="15">
        <v>2045</v>
      </c>
      <c r="Z30" s="15">
        <v>2046</v>
      </c>
      <c r="AA30" s="15">
        <v>2047</v>
      </c>
      <c r="AB30" s="15">
        <v>2048</v>
      </c>
      <c r="AC30" s="15">
        <v>2049</v>
      </c>
      <c r="AD30" s="15">
        <v>2050</v>
      </c>
      <c r="AE30" s="15">
        <v>2051</v>
      </c>
      <c r="AF30" s="15">
        <v>2052</v>
      </c>
      <c r="AG30" s="15">
        <v>2053</v>
      </c>
      <c r="AH30" s="15">
        <v>2054</v>
      </c>
      <c r="AI30" s="15">
        <v>2055</v>
      </c>
      <c r="AJ30" s="15">
        <v>2056</v>
      </c>
      <c r="AK30" s="15">
        <v>2057</v>
      </c>
      <c r="AL30" s="15">
        <v>2058</v>
      </c>
      <c r="AM30" s="15">
        <v>2059</v>
      </c>
      <c r="AN30" s="15">
        <v>2060</v>
      </c>
    </row>
    <row r="31" spans="1:40" x14ac:dyDescent="0.2">
      <c r="A31" s="15" t="s">
        <v>35</v>
      </c>
      <c r="B31" s="22">
        <f>'Level of Activity (LA) - psgr'!B31*'Level of Activity (LA) - psgr'!$B$29</f>
        <v>128057240.49669115</v>
      </c>
      <c r="C31" s="22">
        <f>'Level of Activity (LA) - psgr'!C31*'Level of Activity (LA) - psgr'!$B$29</f>
        <v>131655698.28361998</v>
      </c>
      <c r="D31" s="22">
        <f>'Level of Activity (LA) - psgr'!D31*'Level of Activity (LA) - psgr'!$B$29</f>
        <v>135355274.12052467</v>
      </c>
      <c r="E31" s="22">
        <f>'Level of Activity (LA) - psgr'!E31*'Level of Activity (LA) - psgr'!$B$29</f>
        <v>139158809.46356115</v>
      </c>
      <c r="F31" s="22">
        <f>'Level of Activity (LA) - psgr'!F31*'Level of Activity (LA) - psgr'!$B$29</f>
        <v>143069225.61489812</v>
      </c>
      <c r="G31" s="22">
        <f>'Level of Activity (LA) - psgr'!G31*'Level of Activity (LA) - psgr'!$B$29</f>
        <v>147089525.96642029</v>
      </c>
      <c r="H31" s="22">
        <f>'Level of Activity (LA) - psgr'!H31*'Level of Activity (LA) - psgr'!$B$29</f>
        <v>151222798.30648148</v>
      </c>
      <c r="I31" s="22">
        <f>'Level of Activity (LA) - psgr'!I31*'Level of Activity (LA) - psgr'!$B$29</f>
        <v>155472217.19147757</v>
      </c>
      <c r="J31" s="22">
        <f>'Level of Activity (LA) - psgr'!J31*'Level of Activity (LA) - psgr'!$B$29</f>
        <v>159841046.38406214</v>
      </c>
      <c r="K31" s="22">
        <f>'Level of Activity (LA) - psgr'!K31*'Level of Activity (LA) - psgr'!$B$29</f>
        <v>164332641.35987645</v>
      </c>
      <c r="L31" s="22">
        <f>'Level of Activity (LA) - psgr'!L31*'Level of Activity (LA) - psgr'!$B$29</f>
        <v>168950451.88471997</v>
      </c>
      <c r="M31" s="22">
        <f>'Level of Activity (LA) - psgr'!M31*'Level of Activity (LA) - psgr'!$B$29</f>
        <v>173698024.66413984</v>
      </c>
      <c r="N31" s="22">
        <f>'Level of Activity (LA) - psgr'!N31*'Level of Activity (LA) - psgr'!$B$29</f>
        <v>178579006.0674755</v>
      </c>
      <c r="O31" s="22">
        <f>'Level of Activity (LA) - psgr'!O31*'Level of Activity (LA) - psgr'!$B$29</f>
        <v>183597144.92844936</v>
      </c>
      <c r="P31" s="22">
        <f>'Level of Activity (LA) - psgr'!P31*'Level of Activity (LA) - psgr'!$B$29</f>
        <v>188756295.42445552</v>
      </c>
      <c r="Q31" s="22">
        <f>'Level of Activity (LA) - psgr'!Q31*'Level of Activity (LA) - psgr'!$B$29</f>
        <v>194060420.03675753</v>
      </c>
      <c r="R31" s="22">
        <f>'Level of Activity (LA) - psgr'!R31*'Level of Activity (LA) - psgr'!$B$29</f>
        <v>199513592.59386879</v>
      </c>
      <c r="S31" s="22">
        <f>'Level of Activity (LA) - psgr'!S31*'Level of Activity (LA) - psgr'!$B$29</f>
        <v>205120001.40045327</v>
      </c>
      <c r="T31" s="22">
        <f>'Level of Activity (LA) - psgr'!T31*'Level of Activity (LA) - psgr'!$B$29</f>
        <v>210883952.45414937</v>
      </c>
      <c r="U31" s="22">
        <f>'Level of Activity (LA) - psgr'!U31*'Level of Activity (LA) - psgr'!$B$29</f>
        <v>216809872.75278783</v>
      </c>
      <c r="V31" s="22">
        <f>'Level of Activity (LA) - psgr'!V31*'Level of Activity (LA) - psgr'!$B$29</f>
        <v>222902313.69454372</v>
      </c>
      <c r="W31" s="22">
        <f>'Level of Activity (LA) - psgr'!W31*'Level of Activity (LA) - psgr'!$B$29</f>
        <v>229165954.57363415</v>
      </c>
      <c r="X31" s="22">
        <f>'Level of Activity (LA) - psgr'!X31*'Level of Activity (LA) - psgr'!$B$29</f>
        <v>235605606.17424616</v>
      </c>
      <c r="Y31" s="22">
        <f>'Level of Activity (LA) - psgr'!Y31*'Level of Activity (LA) - psgr'!$B$29</f>
        <v>242226214.46545562</v>
      </c>
      <c r="Z31" s="22">
        <f>'Level of Activity (LA) - psgr'!Z31*'Level of Activity (LA) - psgr'!$B$29</f>
        <v>249032864.39997491</v>
      </c>
      <c r="AA31" s="22">
        <f>'Level of Activity (LA) - psgr'!AA31*'Level of Activity (LA) - psgr'!$B$29</f>
        <v>256030783.81964597</v>
      </c>
      <c r="AB31" s="22">
        <f>'Level of Activity (LA) - psgr'!AB31*'Level of Activity (LA) - psgr'!$B$29</f>
        <v>263225347.47068065</v>
      </c>
      <c r="AC31" s="22">
        <f>'Level of Activity (LA) - psgr'!AC31*'Level of Activity (LA) - psgr'!$B$29</f>
        <v>270622081.13172966</v>
      </c>
      <c r="AD31" s="22">
        <f>'Level of Activity (LA) - psgr'!AD31*'Level of Activity (LA) - psgr'!$B$29</f>
        <v>278226665.85795236</v>
      </c>
      <c r="AE31" s="22">
        <f>'Level of Activity (LA) - psgr'!AE31*'Level of Activity (LA) - psgr'!$B$29</f>
        <v>286044942.3443464</v>
      </c>
      <c r="AF31" s="22">
        <f>'Level of Activity (LA) - psgr'!AF31*'Level of Activity (LA) - psgr'!$B$29</f>
        <v>294082915.41168916</v>
      </c>
      <c r="AG31" s="22">
        <f>'Level of Activity (LA) - psgr'!AG31*'Level of Activity (LA) - psgr'!$B$29</f>
        <v>302346758.61853439</v>
      </c>
      <c r="AH31" s="22">
        <f>'Level of Activity (LA) - psgr'!AH31*'Level of Activity (LA) - psgr'!$B$29</f>
        <v>310842819.00280976</v>
      </c>
      <c r="AI31" s="22">
        <f>'Level of Activity (LA) - psgr'!AI31*'Level of Activity (LA) - psgr'!$B$29</f>
        <v>319577621.95665354</v>
      </c>
      <c r="AJ31" s="22">
        <f>'Level of Activity (LA) - psgr'!AJ31*'Level of Activity (LA) - psgr'!$B$29</f>
        <v>328557876.23823661</v>
      </c>
      <c r="AK31" s="22">
        <f>'Level of Activity (LA) - psgr'!AK31*'Level of Activity (LA) - psgr'!$B$29</f>
        <v>337790479.1244188</v>
      </c>
      <c r="AL31" s="22">
        <f>'Level of Activity (LA) - psgr'!AL31*'Level of Activity (LA) - psgr'!$B$29</f>
        <v>347282521.70819682</v>
      </c>
      <c r="AM31" s="22">
        <f>'Level of Activity (LA) - psgr'!AM31*'Level of Activity (LA) - psgr'!$B$29</f>
        <v>357041294.34501177</v>
      </c>
      <c r="AN31" s="22">
        <f>'Level of Activity (LA) - psgr'!AN31*'Level of Activity (LA) - psgr'!$B$29</f>
        <v>367074292.2521013</v>
      </c>
    </row>
    <row r="32" spans="1:40" x14ac:dyDescent="0.2">
      <c r="A32" s="15" t="s">
        <v>36</v>
      </c>
      <c r="B32" s="22">
        <f>'Level of Activity (LA) - psgr'!B32*'Level of Activity (LA) - psgr'!$B$29</f>
        <v>232831346.35762912</v>
      </c>
      <c r="C32" s="22">
        <f>'Level of Activity (LA) - psgr'!C32*'Level of Activity (LA) - psgr'!$B$29</f>
        <v>239373996.87931812</v>
      </c>
      <c r="D32" s="22">
        <f>'Level of Activity (LA) - psgr'!D32*'Level of Activity (LA) - psgr'!$B$29</f>
        <v>246100498.40096322</v>
      </c>
      <c r="E32" s="22">
        <f>'Level of Activity (LA) - psgr'!E32*'Level of Activity (LA) - psgr'!$B$29</f>
        <v>253016017.20648441</v>
      </c>
      <c r="F32" s="22">
        <f>'Level of Activity (LA) - psgr'!F32*'Level of Activity (LA) - psgr'!$B$29</f>
        <v>260125864.75437003</v>
      </c>
      <c r="G32" s="22">
        <f>'Level of Activity (LA) - psgr'!G32*'Level of Activity (LA) - psgr'!$B$29</f>
        <v>267435501.75713795</v>
      </c>
      <c r="H32" s="22">
        <f>'Level of Activity (LA) - psgr'!H32*'Level of Activity (LA) - psgr'!$B$29</f>
        <v>274950542.3754313</v>
      </c>
      <c r="I32" s="22">
        <f>'Level of Activity (LA) - psgr'!I32*'Level of Activity (LA) - psgr'!$B$29</f>
        <v>282676758.52996993</v>
      </c>
      <c r="J32" s="22">
        <f>'Level of Activity (LA) - psgr'!J32*'Level of Activity (LA) - psgr'!$B$29</f>
        <v>290620084.33466947</v>
      </c>
      <c r="K32" s="22">
        <f>'Level of Activity (LA) - psgr'!K32*'Level of Activity (LA) - psgr'!$B$29</f>
        <v>298786620.65433216</v>
      </c>
      <c r="L32" s="22">
        <f>'Level of Activity (LA) - psgr'!L32*'Level of Activity (LA) - psgr'!$B$29</f>
        <v>307182639.79041159</v>
      </c>
      <c r="M32" s="22">
        <f>'Level of Activity (LA) - psgr'!M32*'Level of Activity (LA) - psgr'!$B$29</f>
        <v>315814590.29844803</v>
      </c>
      <c r="N32" s="22">
        <f>'Level of Activity (LA) - psgr'!N32*'Level of Activity (LA) - psgr'!$B$29</f>
        <v>324689101.9408769</v>
      </c>
      <c r="O32" s="22">
        <f>'Level of Activity (LA) - psgr'!O32*'Level of Activity (LA) - psgr'!$B$29</f>
        <v>333812990.77901155</v>
      </c>
      <c r="P32" s="22">
        <f>'Level of Activity (LA) - psgr'!P32*'Level of Activity (LA) - psgr'!$B$29</f>
        <v>343193264.4081139</v>
      </c>
      <c r="Q32" s="22">
        <f>'Level of Activity (LA) - psgr'!Q32*'Level of Activity (LA) - psgr'!$B$29</f>
        <v>352837127.33957249</v>
      </c>
      <c r="R32" s="22">
        <f>'Level of Activity (LA) - psgr'!R32*'Level of Activity (LA) - psgr'!$B$29</f>
        <v>362751986.53432059</v>
      </c>
      <c r="S32" s="22">
        <f>'Level of Activity (LA) - psgr'!S32*'Level of Activity (LA) - psgr'!$B$29</f>
        <v>372945457.0917474</v>
      </c>
      <c r="T32" s="22">
        <f>'Level of Activity (LA) - psgr'!T32*'Level of Activity (LA) - psgr'!$B$29</f>
        <v>383425368.09846795</v>
      </c>
      <c r="U32" s="22">
        <f>'Level of Activity (LA) - psgr'!U32*'Level of Activity (LA) - psgr'!$B$29</f>
        <v>394199768.64144737</v>
      </c>
      <c r="V32" s="22">
        <f>'Level of Activity (LA) - psgr'!V32*'Level of Activity (LA) - psgr'!$B$29</f>
        <v>405276933.99009484</v>
      </c>
      <c r="W32" s="22">
        <f>'Level of Activity (LA) - psgr'!W32*'Level of Activity (LA) - psgr'!$B$29</f>
        <v>416665371.95207781</v>
      </c>
      <c r="X32" s="22">
        <f>'Level of Activity (LA) - psgr'!X32*'Level of Activity (LA) - psgr'!$B$29</f>
        <v>428373829.40773654</v>
      </c>
      <c r="Y32" s="22">
        <f>'Level of Activity (LA) - psgr'!Y32*'Level of Activity (LA) - psgr'!$B$29</f>
        <v>440411299.0281179</v>
      </c>
      <c r="Z32" s="22">
        <f>'Level of Activity (LA) - psgr'!Z32*'Level of Activity (LA) - psgr'!$B$29</f>
        <v>452787026.1817897</v>
      </c>
      <c r="AA32" s="22">
        <f>'Level of Activity (LA) - psgr'!AA32*'Level of Activity (LA) - psgr'!$B$29</f>
        <v>465510516.03573751</v>
      </c>
      <c r="AB32" s="22">
        <f>'Level of Activity (LA) - psgr'!AB32*'Level of Activity (LA) - psgr'!$B$29</f>
        <v>478591540.85580111</v>
      </c>
      <c r="AC32" s="22">
        <f>'Level of Activity (LA) - psgr'!AC32*'Level of Activity (LA) - psgr'!$B$29</f>
        <v>492040147.5122543</v>
      </c>
      <c r="AD32" s="22">
        <f>'Level of Activity (LA) - psgr'!AD32*'Level of Activity (LA) - psgr'!$B$29</f>
        <v>505866665.1962961</v>
      </c>
      <c r="AE32" s="22">
        <f>'Level of Activity (LA) - psgr'!AE32*'Level of Activity (LA) - psgr'!$B$29</f>
        <v>520081713.35337687</v>
      </c>
      <c r="AF32" s="22">
        <f>'Level of Activity (LA) - psgr'!AF32*'Level of Activity (LA) - psgr'!$B$29</f>
        <v>534696209.83945501</v>
      </c>
      <c r="AG32" s="22">
        <f>'Level of Activity (LA) - psgr'!AG32*'Level of Activity (LA) - psgr'!$B$29</f>
        <v>549721379.30644703</v>
      </c>
      <c r="AH32" s="22">
        <f>'Level of Activity (LA) - psgr'!AH32*'Level of Activity (LA) - psgr'!$B$29</f>
        <v>565168761.82331192</v>
      </c>
      <c r="AI32" s="22">
        <f>'Level of Activity (LA) - psgr'!AI32*'Level of Activity (LA) - psgr'!$B$29</f>
        <v>581050221.73939204</v>
      </c>
      <c r="AJ32" s="22">
        <f>'Level of Activity (LA) - psgr'!AJ32*'Level of Activity (LA) - psgr'!$B$29</f>
        <v>597377956.79681647</v>
      </c>
      <c r="AK32" s="22">
        <f>'Level of Activity (LA) - psgr'!AK32*'Level of Activity (LA) - psgr'!$B$29</f>
        <v>614164507.49896646</v>
      </c>
      <c r="AL32" s="22">
        <f>'Level of Activity (LA) - psgr'!AL32*'Level of Activity (LA) - psgr'!$B$29</f>
        <v>631422766.7421999</v>
      </c>
      <c r="AM32" s="22">
        <f>'Level of Activity (LA) - psgr'!AM32*'Level of Activity (LA) - psgr'!$B$29</f>
        <v>649165989.71822774</v>
      </c>
      <c r="AN32" s="22">
        <f>'Level of Activity (LA) - psgr'!AN32*'Level of Activity (LA) - psgr'!$B$29</f>
        <v>667407804.09475493</v>
      </c>
    </row>
    <row r="33" spans="1:40" x14ac:dyDescent="0.2">
      <c r="A33" s="15" t="s">
        <v>37</v>
      </c>
      <c r="B33" s="22">
        <f>'Level of Activity (LA) - psgr'!B33*'Level of Activity (LA) - psgr'!$B$29</f>
        <v>21361793679.372456</v>
      </c>
      <c r="C33" s="22">
        <f>'Level of Activity (LA) - psgr'!C33*'Level of Activity (LA) - psgr'!$B$29</f>
        <v>21962068310.546402</v>
      </c>
      <c r="D33" s="22">
        <f>'Level of Activity (LA) - psgr'!D33*'Level of Activity (LA) - psgr'!$B$29</f>
        <v>22579210890.088329</v>
      </c>
      <c r="E33" s="22">
        <f>'Level of Activity (LA) - psgr'!E33*'Level of Activity (LA) - psgr'!$B$29</f>
        <v>23213695413.845085</v>
      </c>
      <c r="F33" s="22">
        <f>'Level of Activity (LA) - psgr'!F33*'Level of Activity (LA) - psgr'!$B$29</f>
        <v>23866009197.129395</v>
      </c>
      <c r="G33" s="22">
        <f>'Level of Activity (LA) - psgr'!G33*'Level of Activity (LA) - psgr'!$B$29</f>
        <v>24536653249.002003</v>
      </c>
      <c r="H33" s="22">
        <f>'Level of Activity (LA) - psgr'!H33*'Level of Activity (LA) - psgr'!$B$29</f>
        <v>25226142657.071247</v>
      </c>
      <c r="I33" s="22">
        <f>'Level of Activity (LA) - psgr'!I33*'Level of Activity (LA) - psgr'!$B$29</f>
        <v>25935006983.105671</v>
      </c>
      <c r="J33" s="22">
        <f>'Level of Activity (LA) - psgr'!J33*'Level of Activity (LA) - psgr'!$B$29</f>
        <v>26663790669.763531</v>
      </c>
      <c r="K33" s="22">
        <f>'Level of Activity (LA) - psgr'!K33*'Level of Activity (LA) - psgr'!$B$29</f>
        <v>27413053458.751476</v>
      </c>
      <c r="L33" s="22">
        <f>'Level of Activity (LA) - psgr'!L33*'Level of Activity (LA) - psgr'!$B$29</f>
        <v>28183370820.733761</v>
      </c>
      <c r="M33" s="22">
        <f>'Level of Activity (LA) - psgr'!M33*'Level of Activity (LA) - psgr'!$B$29</f>
        <v>28975334397.321941</v>
      </c>
      <c r="N33" s="22">
        <f>'Level of Activity (LA) - psgr'!N33*'Level of Activity (LA) - psgr'!$B$29</f>
        <v>29789552455.484802</v>
      </c>
      <c r="O33" s="22">
        <f>'Level of Activity (LA) - psgr'!O33*'Level of Activity (LA) - psgr'!$B$29</f>
        <v>30626650354.727249</v>
      </c>
      <c r="P33" s="22">
        <f>'Level of Activity (LA) - psgr'!P33*'Level of Activity (LA) - psgr'!$B$29</f>
        <v>31487271027.39716</v>
      </c>
      <c r="Q33" s="22">
        <f>'Level of Activity (LA) - psgr'!Q33*'Level of Activity (LA) - psgr'!$B$29</f>
        <v>32372075472.489075</v>
      </c>
      <c r="R33" s="22">
        <f>'Level of Activity (LA) - psgr'!R33*'Level of Activity (LA) - psgr'!$B$29</f>
        <v>33281743263.323883</v>
      </c>
      <c r="S33" s="22">
        <f>'Level of Activity (LA) - psgr'!S33*'Level of Activity (LA) - psgr'!$B$29</f>
        <v>34216973069.494576</v>
      </c>
      <c r="T33" s="22">
        <f>'Level of Activity (LA) - psgr'!T33*'Level of Activity (LA) - psgr'!$B$29</f>
        <v>35178483193.478851</v>
      </c>
      <c r="U33" s="22">
        <f>'Level of Activity (LA) - psgr'!U33*'Level of Activity (LA) - psgr'!$B$29</f>
        <v>36167012122.330719</v>
      </c>
      <c r="V33" s="22">
        <f>'Level of Activity (LA) - psgr'!V33*'Level of Activity (LA) - psgr'!$B$29</f>
        <v>37183319094.87487</v>
      </c>
      <c r="W33" s="22">
        <f>'Level of Activity (LA) - psgr'!W33*'Level of Activity (LA) - psgr'!$B$29</f>
        <v>38228184684.839462</v>
      </c>
      <c r="X33" s="22">
        <f>'Level of Activity (LA) - psgr'!X33*'Level of Activity (LA) - psgr'!$B$29</f>
        <v>39302411400.375076</v>
      </c>
      <c r="Y33" s="22">
        <f>'Level of Activity (LA) - psgr'!Y33*'Level of Activity (LA) - psgr'!$B$29</f>
        <v>40406824300.420464</v>
      </c>
      <c r="Z33" s="22">
        <f>'Level of Activity (LA) - psgr'!Z33*'Level of Activity (LA) - psgr'!$B$29</f>
        <v>41542271628.388382</v>
      </c>
      <c r="AA33" s="22">
        <f>'Level of Activity (LA) - psgr'!AA33*'Level of Activity (LA) - psgr'!$B$29</f>
        <v>42709625463.658249</v>
      </c>
      <c r="AB33" s="22">
        <f>'Level of Activity (LA) - psgr'!AB33*'Level of Activity (LA) - psgr'!$B$29</f>
        <v>43909782391.375946</v>
      </c>
      <c r="AC33" s="22">
        <f>'Level of Activity (LA) - psgr'!AC33*'Level of Activity (LA) - psgr'!$B$29</f>
        <v>45143664191.075363</v>
      </c>
      <c r="AD33" s="22">
        <f>'Level of Activity (LA) - psgr'!AD33*'Level of Activity (LA) - psgr'!$B$29</f>
        <v>46412218544.650345</v>
      </c>
      <c r="AE33" s="22">
        <f>'Level of Activity (LA) - psgr'!AE33*'Level of Activity (LA) - psgr'!$B$29</f>
        <v>47716419764.221016</v>
      </c>
      <c r="AF33" s="22">
        <f>'Level of Activity (LA) - psgr'!AF33*'Level of Activity (LA) - psgr'!$B$29</f>
        <v>49057269540.453423</v>
      </c>
      <c r="AG33" s="22">
        <f>'Level of Activity (LA) - psgr'!AG33*'Level of Activity (LA) - psgr'!$B$29</f>
        <v>50435797711.907135</v>
      </c>
      <c r="AH33" s="22">
        <f>'Level of Activity (LA) - psgr'!AH33*'Level of Activity (LA) - psgr'!$B$29</f>
        <v>51853063056.001984</v>
      </c>
      <c r="AI33" s="22">
        <f>'Level of Activity (LA) - psgr'!AI33*'Level of Activity (LA) - psgr'!$B$29</f>
        <v>53310154102.211159</v>
      </c>
      <c r="AJ33" s="22">
        <f>'Level of Activity (LA) - psgr'!AJ33*'Level of Activity (LA) - psgr'!$B$29</f>
        <v>54808189968.105324</v>
      </c>
      <c r="AK33" s="22">
        <f>'Level of Activity (LA) - psgr'!AK33*'Level of Activity (LA) - psgr'!$B$29</f>
        <v>56348321218.890007</v>
      </c>
      <c r="AL33" s="22">
        <f>'Level of Activity (LA) - psgr'!AL33*'Level of Activity (LA) - psgr'!$B$29</f>
        <v>57931730751.096207</v>
      </c>
      <c r="AM33" s="22">
        <f>'Level of Activity (LA) - psgr'!AM33*'Level of Activity (LA) - psgr'!$B$29</f>
        <v>59559634701.103119</v>
      </c>
      <c r="AN33" s="22">
        <f>'Level of Activity (LA) - psgr'!AN33*'Level of Activity (LA) - psgr'!$B$29</f>
        <v>61233283379.190636</v>
      </c>
    </row>
    <row r="34" spans="1:40" x14ac:dyDescent="0.2">
      <c r="A34" s="15" t="s">
        <v>38</v>
      </c>
      <c r="B34" s="22">
        <f>'Level of Activity (LA) - psgr'!B34*'Level of Activity (LA) - psgr'!$B$29</f>
        <v>366329561663.14038</v>
      </c>
      <c r="C34" s="22">
        <f>'Level of Activity (LA) - psgr'!C34*'Level of Activity (LA) - psgr'!$B$29</f>
        <v>376623563459.80579</v>
      </c>
      <c r="D34" s="22">
        <f>'Level of Activity (LA) - psgr'!D34*'Level of Activity (LA) - psgr'!$B$29</f>
        <v>387206830672.31342</v>
      </c>
      <c r="E34" s="22">
        <f>'Level of Activity (LA) - psgr'!E34*'Level of Activity (LA) - psgr'!$B$29</f>
        <v>398087491770.27625</v>
      </c>
      <c r="F34" s="22">
        <f>'Level of Activity (LA) - psgr'!F34*'Level of Activity (LA) - psgr'!$B$29</f>
        <v>409273903636.435</v>
      </c>
      <c r="G34" s="22">
        <f>'Level of Activity (LA) - psgr'!G34*'Level of Activity (LA) - psgr'!$B$29</f>
        <v>420774657985.15411</v>
      </c>
      <c r="H34" s="22">
        <f>'Level of Activity (LA) - psgr'!H34*'Level of Activity (LA) - psgr'!$B$29</f>
        <v>432598587961.28168</v>
      </c>
      <c r="I34" s="22">
        <f>'Level of Activity (LA) - psgr'!I34*'Level of Activity (LA) - psgr'!$B$29</f>
        <v>444754774924.43835</v>
      </c>
      <c r="J34" s="22">
        <f>'Level of Activity (LA) - psgr'!J34*'Level of Activity (LA) - psgr'!$B$29</f>
        <v>457252555423.94849</v>
      </c>
      <c r="K34" s="22">
        <f>'Level of Activity (LA) - psgr'!K34*'Level of Activity (LA) - psgr'!$B$29</f>
        <v>470101528369.76904</v>
      </c>
      <c r="L34" s="22">
        <f>'Level of Activity (LA) - psgr'!L34*'Level of Activity (LA) - psgr'!$B$29</f>
        <v>483311562404.92432</v>
      </c>
      <c r="M34" s="22">
        <f>'Level of Activity (LA) - psgr'!M34*'Level of Activity (LA) - psgr'!$B$29</f>
        <v>496892803485.10901</v>
      </c>
      <c r="N34" s="22">
        <f>'Level of Activity (LA) - psgr'!N34*'Level of Activity (LA) - psgr'!$B$29</f>
        <v>510855682671.28119</v>
      </c>
      <c r="O34" s="22">
        <f>'Level of Activity (LA) - psgr'!O34*'Level of Activity (LA) - psgr'!$B$29</f>
        <v>525210924141.2301</v>
      </c>
      <c r="P34" s="22">
        <f>'Level of Activity (LA) - psgr'!P34*'Level of Activity (LA) - psgr'!$B$29</f>
        <v>539969553426.27185</v>
      </c>
      <c r="Q34" s="22">
        <f>'Level of Activity (LA) - psgr'!Q34*'Level of Activity (LA) - psgr'!$B$29</f>
        <v>555142905879.3999</v>
      </c>
      <c r="R34" s="22">
        <f>'Level of Activity (LA) - psgr'!R34*'Level of Activity (LA) - psgr'!$B$29</f>
        <v>570742635381.3927</v>
      </c>
      <c r="S34" s="22">
        <f>'Level of Activity (LA) - psgr'!S34*'Level of Activity (LA) - psgr'!$B$29</f>
        <v>586780723291.5686</v>
      </c>
      <c r="T34" s="22">
        <f>'Level of Activity (LA) - psgr'!T34*'Level of Activity (LA) - psgr'!$B$29</f>
        <v>603269487650.05762</v>
      </c>
      <c r="U34" s="22">
        <f>'Level of Activity (LA) - psgr'!U34*'Level of Activity (LA) - psgr'!$B$29</f>
        <v>620221592638.66235</v>
      </c>
      <c r="V34" s="22">
        <f>'Level of Activity (LA) - psgr'!V34*'Level of Activity (LA) - psgr'!$B$29</f>
        <v>637650058307.573</v>
      </c>
      <c r="W34" s="22">
        <f>'Level of Activity (LA) - psgr'!W34*'Level of Activity (LA) - psgr'!$B$29</f>
        <v>655568270575.40491</v>
      </c>
      <c r="X34" s="22">
        <f>'Level of Activity (LA) - psgr'!X34*'Level of Activity (LA) - psgr'!$B$29</f>
        <v>673989991510.24341</v>
      </c>
      <c r="Y34" s="22">
        <f>'Level of Activity (LA) - psgr'!Y34*'Level of Activity (LA) - psgr'!$B$29</f>
        <v>692929369899.58789</v>
      </c>
      <c r="Z34" s="22">
        <f>'Level of Activity (LA) - psgr'!Z34*'Level of Activity (LA) - psgr'!$B$29</f>
        <v>712400952117.3175</v>
      </c>
      <c r="AA34" s="22">
        <f>'Level of Activity (LA) - psgr'!AA34*'Level of Activity (LA) - psgr'!$B$29</f>
        <v>732419693296.01965</v>
      </c>
      <c r="AB34" s="22">
        <f>'Level of Activity (LA) - psgr'!AB34*'Level of Activity (LA) - psgr'!$B$29</f>
        <v>753000968813.26917</v>
      </c>
      <c r="AC34" s="22">
        <f>'Level of Activity (LA) - psgr'!AC34*'Level of Activity (LA) - psgr'!$B$29</f>
        <v>774160586100.67346</v>
      </c>
      <c r="AD34" s="22">
        <f>'Level of Activity (LA) - psgr'!AD34*'Level of Activity (LA) - psgr'!$B$29</f>
        <v>795914796784.75708</v>
      </c>
      <c r="AE34" s="22">
        <f>'Level of Activity (LA) - psgr'!AE34*'Level of Activity (LA) - psgr'!$B$29</f>
        <v>818280309169.00989</v>
      </c>
      <c r="AF34" s="22">
        <f>'Level of Activity (LA) - psgr'!AF34*'Level of Activity (LA) - psgr'!$B$29</f>
        <v>841274301066.68677</v>
      </c>
      <c r="AG34" s="22">
        <f>'Level of Activity (LA) - psgr'!AG34*'Level of Activity (LA) - psgr'!$B$29</f>
        <v>864914432994.21167</v>
      </c>
      <c r="AH34" s="22">
        <f>'Level of Activity (LA) - psgr'!AH34*'Level of Activity (LA) - psgr'!$B$29</f>
        <v>889218861735.32275</v>
      </c>
      <c r="AI34" s="22">
        <f>'Level of Activity (LA) - psgr'!AI34*'Level of Activity (LA) - psgr'!$B$29</f>
        <v>914206254286.37622</v>
      </c>
      <c r="AJ34" s="22">
        <f>'Level of Activity (LA) - psgr'!AJ34*'Level of Activity (LA) - psgr'!$B$29</f>
        <v>939895802193.51587</v>
      </c>
      <c r="AK34" s="22">
        <f>'Level of Activity (LA) - psgr'!AK34*'Level of Activity (LA) - psgr'!$B$29</f>
        <v>966307236292.72534</v>
      </c>
      <c r="AL34" s="22">
        <f>'Level of Activity (LA) - psgr'!AL34*'Level of Activity (LA) - psgr'!$B$29</f>
        <v>993460841864.08008</v>
      </c>
      <c r="AM34" s="22">
        <f>'Level of Activity (LA) - psgr'!AM34*'Level of Activity (LA) - psgr'!$B$29</f>
        <v>1021377474211.8391</v>
      </c>
      <c r="AN34" s="22">
        <f>'Level of Activity (LA) - psgr'!AN34*'Level of Activity (LA) - psgr'!$B$29</f>
        <v>1050078574682.3456</v>
      </c>
    </row>
    <row r="37" spans="1:40" x14ac:dyDescent="0.2">
      <c r="A37" s="17" t="s">
        <v>78</v>
      </c>
    </row>
    <row r="38" spans="1:40" x14ac:dyDescent="0.2">
      <c r="A38" s="14" t="s">
        <v>16</v>
      </c>
    </row>
    <row r="39" spans="1:40" x14ac:dyDescent="0.2">
      <c r="A39" s="14" t="s">
        <v>41</v>
      </c>
    </row>
    <row r="40" spans="1:40" x14ac:dyDescent="0.2">
      <c r="A40" s="14" t="s">
        <v>18</v>
      </c>
    </row>
    <row r="41" spans="1:40" x14ac:dyDescent="0.2">
      <c r="A41" s="14"/>
    </row>
    <row r="42" spans="1:40" x14ac:dyDescent="0.2">
      <c r="A42" s="15" t="s">
        <v>19</v>
      </c>
      <c r="B42" s="15">
        <v>2022</v>
      </c>
      <c r="C42" s="15">
        <v>2023</v>
      </c>
      <c r="D42" s="15">
        <v>2024</v>
      </c>
      <c r="E42" s="15">
        <v>2025</v>
      </c>
      <c r="F42" s="15">
        <v>2026</v>
      </c>
      <c r="G42" s="15">
        <v>2027</v>
      </c>
      <c r="H42" s="15">
        <v>2028</v>
      </c>
      <c r="I42" s="15">
        <v>2029</v>
      </c>
      <c r="J42" s="15">
        <v>2030</v>
      </c>
      <c r="K42" s="15">
        <v>2031</v>
      </c>
      <c r="L42" s="15">
        <v>2032</v>
      </c>
      <c r="M42" s="15">
        <v>2033</v>
      </c>
      <c r="N42" s="15">
        <v>2034</v>
      </c>
      <c r="O42" s="15">
        <v>2035</v>
      </c>
      <c r="P42" s="15">
        <v>2036</v>
      </c>
      <c r="Q42" s="15">
        <v>2037</v>
      </c>
      <c r="R42" s="15">
        <v>2038</v>
      </c>
      <c r="S42" s="15">
        <v>2039</v>
      </c>
      <c r="T42" s="15">
        <v>2040</v>
      </c>
      <c r="U42" s="15">
        <v>2041</v>
      </c>
      <c r="V42" s="15">
        <v>2042</v>
      </c>
      <c r="W42" s="15">
        <v>2043</v>
      </c>
      <c r="X42" s="15">
        <v>2044</v>
      </c>
      <c r="Y42" s="15">
        <v>2045</v>
      </c>
      <c r="Z42" s="15">
        <v>2046</v>
      </c>
      <c r="AA42" s="15">
        <v>2047</v>
      </c>
      <c r="AB42" s="15">
        <v>2048</v>
      </c>
      <c r="AC42" s="15">
        <v>2049</v>
      </c>
      <c r="AD42" s="15">
        <v>2050</v>
      </c>
      <c r="AE42" s="15">
        <v>2051</v>
      </c>
      <c r="AF42" s="15">
        <v>2052</v>
      </c>
      <c r="AG42" s="15">
        <v>2053</v>
      </c>
      <c r="AH42" s="15">
        <v>2054</v>
      </c>
      <c r="AI42" s="15">
        <v>2055</v>
      </c>
      <c r="AJ42" s="15">
        <v>2056</v>
      </c>
      <c r="AK42" s="15">
        <v>2057</v>
      </c>
      <c r="AL42" s="15">
        <v>2058</v>
      </c>
      <c r="AM42" s="15">
        <v>2059</v>
      </c>
      <c r="AN42" s="15">
        <v>2060</v>
      </c>
    </row>
    <row r="43" spans="1:40" x14ac:dyDescent="0.2">
      <c r="A43" s="15" t="s">
        <v>42</v>
      </c>
      <c r="B43" s="22">
        <f>'Level of Activity (LA) - psgr'!B43*'Level of Activity (LA) - psgr'!$B$41</f>
        <v>3470225692.5656881</v>
      </c>
      <c r="C43" s="22">
        <f>'Level of Activity (LA) - psgr'!C43*'Level of Activity (LA) - psgr'!$B$41</f>
        <v>3482091929.7499456</v>
      </c>
      <c r="D43" s="22">
        <f>'Level of Activity (LA) - psgr'!D43*'Level of Activity (LA) - psgr'!$B$41</f>
        <v>3493958166.9342027</v>
      </c>
      <c r="E43" s="22">
        <f>'Level of Activity (LA) - psgr'!E43*'Level of Activity (LA) - psgr'!$B$41</f>
        <v>3505824404.1184611</v>
      </c>
      <c r="F43" s="22">
        <f>'Level of Activity (LA) - psgr'!F43*'Level of Activity (LA) - psgr'!$B$41</f>
        <v>3537566422.9024758</v>
      </c>
      <c r="G43" s="22">
        <f>'Level of Activity (LA) - psgr'!G43*'Level of Activity (LA) - psgr'!$B$41</f>
        <v>3569308441.6864901</v>
      </c>
      <c r="H43" s="22">
        <f>'Level of Activity (LA) - psgr'!H43*'Level of Activity (LA) - psgr'!$B$41</f>
        <v>3601050460.4705048</v>
      </c>
      <c r="I43" s="22">
        <f>'Level of Activity (LA) - psgr'!I43*'Level of Activity (LA) - psgr'!$B$41</f>
        <v>3632792479.2545199</v>
      </c>
      <c r="J43" s="22">
        <f>'Level of Activity (LA) - psgr'!J43*'Level of Activity (LA) - psgr'!$B$41</f>
        <v>3664534498.0385337</v>
      </c>
      <c r="K43" s="22">
        <f>'Level of Activity (LA) - psgr'!K43*'Level of Activity (LA) - psgr'!$B$41</f>
        <v>3691195340.5212874</v>
      </c>
      <c r="L43" s="22">
        <f>'Level of Activity (LA) - psgr'!L43*'Level of Activity (LA) - psgr'!$B$41</f>
        <v>3717856183.0040412</v>
      </c>
      <c r="M43" s="22">
        <f>'Level of Activity (LA) - psgr'!M43*'Level of Activity (LA) - psgr'!$B$41</f>
        <v>3744517025.486794</v>
      </c>
      <c r="N43" s="22">
        <f>'Level of Activity (LA) - psgr'!N43*'Level of Activity (LA) - psgr'!$B$41</f>
        <v>3771177867.9695482</v>
      </c>
      <c r="O43" s="22">
        <f>'Level of Activity (LA) - psgr'!O43*'Level of Activity (LA) - psgr'!$B$41</f>
        <v>3797838710.4523015</v>
      </c>
      <c r="P43" s="22">
        <f>'Level of Activity (LA) - psgr'!P43*'Level of Activity (LA) - psgr'!$B$41</f>
        <v>3819359636.4569364</v>
      </c>
      <c r="Q43" s="22">
        <f>'Level of Activity (LA) - psgr'!Q43*'Level of Activity (LA) - psgr'!$B$41</f>
        <v>3840880562.4615717</v>
      </c>
      <c r="R43" s="22">
        <f>'Level of Activity (LA) - psgr'!R43*'Level of Activity (LA) - psgr'!$B$41</f>
        <v>3862401488.4662056</v>
      </c>
      <c r="S43" s="22">
        <f>'Level of Activity (LA) - psgr'!S43*'Level of Activity (LA) - psgr'!$B$41</f>
        <v>3883922414.4708409</v>
      </c>
      <c r="T43" s="22">
        <f>'Level of Activity (LA) - psgr'!T43*'Level of Activity (LA) - psgr'!$B$41</f>
        <v>3905443340.4754758</v>
      </c>
      <c r="U43" s="22">
        <f>'Level of Activity (LA) - psgr'!U43*'Level of Activity (LA) - psgr'!$B$41</f>
        <v>3921937174.4290934</v>
      </c>
      <c r="V43" s="22">
        <f>'Level of Activity (LA) - psgr'!V43*'Level of Activity (LA) - psgr'!$B$41</f>
        <v>3938431008.3827105</v>
      </c>
      <c r="W43" s="22">
        <f>'Level of Activity (LA) - psgr'!W43*'Level of Activity (LA) - psgr'!$B$41</f>
        <v>3954924842.336328</v>
      </c>
      <c r="X43" s="22">
        <f>'Level of Activity (LA) - psgr'!X43*'Level of Activity (LA) - psgr'!$B$41</f>
        <v>3971418676.2899456</v>
      </c>
      <c r="Y43" s="22">
        <f>'Level of Activity (LA) - psgr'!Y43*'Level of Activity (LA) - psgr'!$B$41</f>
        <v>3987912510.2435632</v>
      </c>
      <c r="Z43" s="22">
        <f>'Level of Activity (LA) - psgr'!Z43*'Level of Activity (LA) - psgr'!$B$41</f>
        <v>3999583030.7288632</v>
      </c>
      <c r="AA43" s="22">
        <f>'Level of Activity (LA) - psgr'!AA43*'Level of Activity (LA) - psgr'!$B$41</f>
        <v>4011253551.2141628</v>
      </c>
      <c r="AB43" s="22">
        <f>'Level of Activity (LA) - psgr'!AB43*'Level of Activity (LA) - psgr'!$B$41</f>
        <v>4022924071.6994624</v>
      </c>
      <c r="AC43" s="22">
        <f>'Level of Activity (LA) - psgr'!AC43*'Level of Activity (LA) - psgr'!$B$41</f>
        <v>4034594592.1847634</v>
      </c>
      <c r="AD43" s="22">
        <f>'Level of Activity (LA) - psgr'!AD43*'Level of Activity (LA) - psgr'!$B$41</f>
        <v>4046265112.6700635</v>
      </c>
      <c r="AE43" s="22">
        <f>'Level of Activity (LA) - psgr'!AE43*'Level of Activity (LA) - psgr'!$B$41</f>
        <v>4046265112.6700635</v>
      </c>
      <c r="AF43" s="22">
        <f>'Level of Activity (LA) - psgr'!AF43*'Level of Activity (LA) - psgr'!$B$41</f>
        <v>4046265112.6700635</v>
      </c>
      <c r="AG43" s="22">
        <f>'Level of Activity (LA) - psgr'!AG43*'Level of Activity (LA) - psgr'!$B$41</f>
        <v>4046265112.6700635</v>
      </c>
      <c r="AH43" s="22">
        <f>'Level of Activity (LA) - psgr'!AH43*'Level of Activity (LA) - psgr'!$B$41</f>
        <v>4046265112.6700635</v>
      </c>
      <c r="AI43" s="22">
        <f>'Level of Activity (LA) - psgr'!AI43*'Level of Activity (LA) - psgr'!$B$41</f>
        <v>4046265112.6700635</v>
      </c>
      <c r="AJ43" s="22">
        <f>'Level of Activity (LA) - psgr'!AJ43*'Level of Activity (LA) - psgr'!$B$41</f>
        <v>4046265112.6700635</v>
      </c>
      <c r="AK43" s="22">
        <f>'Level of Activity (LA) - psgr'!AK43*'Level of Activity (LA) - psgr'!$B$41</f>
        <v>4046265112.6700635</v>
      </c>
      <c r="AL43" s="22">
        <f>'Level of Activity (LA) - psgr'!AL43*'Level of Activity (LA) - psgr'!$B$41</f>
        <v>4046265112.6700635</v>
      </c>
      <c r="AM43" s="22">
        <f>'Level of Activity (LA) - psgr'!AM43*'Level of Activity (LA) - psgr'!$B$41</f>
        <v>4046265112.6700635</v>
      </c>
      <c r="AN43" s="22">
        <f>'Level of Activity (LA) - psgr'!AN43*'Level of Activity (LA) - psgr'!$B$41</f>
        <v>4046265112.6700635</v>
      </c>
    </row>
    <row r="44" spans="1:40" x14ac:dyDescent="0.2">
      <c r="A44" s="15" t="s">
        <v>43</v>
      </c>
      <c r="B44" s="22">
        <f>'Level of Activity (LA) - psgr'!B44*'Level of Activity (LA) - psgr'!$B$41</f>
        <v>461067772.8918184</v>
      </c>
      <c r="C44" s="22">
        <f>'Level of Activity (LA) - psgr'!C44*'Level of Activity (LA) - psgr'!$B$41</f>
        <v>462644367.62537497</v>
      </c>
      <c r="D44" s="22">
        <f>'Level of Activity (LA) - psgr'!D44*'Level of Activity (LA) - psgr'!$B$41</f>
        <v>464220962.35893142</v>
      </c>
      <c r="E44" s="22">
        <f>'Level of Activity (LA) - psgr'!E44*'Level of Activity (LA) - psgr'!$B$41</f>
        <v>465797557.09248811</v>
      </c>
      <c r="F44" s="22">
        <f>'Level of Activity (LA) - psgr'!F44*'Level of Activity (LA) - psgr'!$B$41</f>
        <v>470014925.99134362</v>
      </c>
      <c r="G44" s="22">
        <f>'Level of Activity (LA) - psgr'!G44*'Level of Activity (LA) - psgr'!$B$41</f>
        <v>474232294.89019907</v>
      </c>
      <c r="H44" s="22">
        <f>'Level of Activity (LA) - psgr'!H44*'Level of Activity (LA) - psgr'!$B$41</f>
        <v>478449663.78905463</v>
      </c>
      <c r="I44" s="22">
        <f>'Level of Activity (LA) - psgr'!I44*'Level of Activity (LA) - psgr'!$B$41</f>
        <v>482667032.68791014</v>
      </c>
      <c r="J44" s="22">
        <f>'Level of Activity (LA) - psgr'!J44*'Level of Activity (LA) - psgr'!$B$41</f>
        <v>486884401.58676559</v>
      </c>
      <c r="K44" s="22">
        <f>'Level of Activity (LA) - psgr'!K44*'Level of Activity (LA) - psgr'!$B$41</f>
        <v>490426665.50731611</v>
      </c>
      <c r="L44" s="22">
        <f>'Level of Activity (LA) - psgr'!L44*'Level of Activity (LA) - psgr'!$B$41</f>
        <v>493968929.42786658</v>
      </c>
      <c r="M44" s="22">
        <f>'Level of Activity (LA) - psgr'!M44*'Level of Activity (LA) - psgr'!$B$41</f>
        <v>497511193.34841704</v>
      </c>
      <c r="N44" s="22">
        <f>'Level of Activity (LA) - psgr'!N44*'Level of Activity (LA) - psgr'!$B$41</f>
        <v>501053457.26896763</v>
      </c>
      <c r="O44" s="22">
        <f>'Level of Activity (LA) - psgr'!O44*'Level of Activity (LA) - psgr'!$B$41</f>
        <v>504595721.18951821</v>
      </c>
      <c r="P44" s="22">
        <f>'Level of Activity (LA) - psgr'!P44*'Level of Activity (LA) - psgr'!$B$41</f>
        <v>507455075.68187404</v>
      </c>
      <c r="Q44" s="22">
        <f>'Level of Activity (LA) - psgr'!Q44*'Level of Activity (LA) - psgr'!$B$41</f>
        <v>510314430.17422998</v>
      </c>
      <c r="R44" s="22">
        <f>'Level of Activity (LA) - psgr'!R44*'Level of Activity (LA) - psgr'!$B$41</f>
        <v>513173784.6665858</v>
      </c>
      <c r="S44" s="22">
        <f>'Level of Activity (LA) - psgr'!S44*'Level of Activity (LA) - psgr'!$B$41</f>
        <v>516033139.15894175</v>
      </c>
      <c r="T44" s="22">
        <f>'Level of Activity (LA) - psgr'!T44*'Level of Activity (LA) - psgr'!$B$41</f>
        <v>518892493.65129769</v>
      </c>
      <c r="U44" s="22">
        <f>'Level of Activity (LA) - psgr'!U44*'Level of Activity (LA) - psgr'!$B$41</f>
        <v>521083929.01059824</v>
      </c>
      <c r="V44" s="22">
        <f>'Level of Activity (LA) - psgr'!V44*'Level of Activity (LA) - psgr'!$B$41</f>
        <v>523275364.36989886</v>
      </c>
      <c r="W44" s="22">
        <f>'Level of Activity (LA) - psgr'!W44*'Level of Activity (LA) - psgr'!$B$41</f>
        <v>525466799.72919941</v>
      </c>
      <c r="X44" s="22">
        <f>'Level of Activity (LA) - psgr'!X44*'Level of Activity (LA) - psgr'!$B$41</f>
        <v>527658235.08850008</v>
      </c>
      <c r="Y44" s="22">
        <f>'Level of Activity (LA) - psgr'!Y44*'Level of Activity (LA) - psgr'!$B$41</f>
        <v>529849670.44780064</v>
      </c>
      <c r="Z44" s="22">
        <f>'Level of Activity (LA) - psgr'!Z44*'Level of Activity (LA) - psgr'!$B$41</f>
        <v>531400261.4944213</v>
      </c>
      <c r="AA44" s="22">
        <f>'Level of Activity (LA) - psgr'!AA44*'Level of Activity (LA) - psgr'!$B$41</f>
        <v>532950852.54104215</v>
      </c>
      <c r="AB44" s="22">
        <f>'Level of Activity (LA) - psgr'!AB44*'Level of Activity (LA) - psgr'!$B$41</f>
        <v>534501443.58766288</v>
      </c>
      <c r="AC44" s="22">
        <f>'Level of Activity (LA) - psgr'!AC44*'Level of Activity (LA) - psgr'!$B$41</f>
        <v>536052034.6342836</v>
      </c>
      <c r="AD44" s="22">
        <f>'Level of Activity (LA) - psgr'!AD44*'Level of Activity (LA) - psgr'!$B$41</f>
        <v>537602625.68090439</v>
      </c>
      <c r="AE44" s="22">
        <f>'Level of Activity (LA) - psgr'!AE44*'Level of Activity (LA) - psgr'!$B$41</f>
        <v>537602625.68090439</v>
      </c>
      <c r="AF44" s="22">
        <f>'Level of Activity (LA) - psgr'!AF44*'Level of Activity (LA) - psgr'!$B$41</f>
        <v>537602625.68090439</v>
      </c>
      <c r="AG44" s="22">
        <f>'Level of Activity (LA) - psgr'!AG44*'Level of Activity (LA) - psgr'!$B$41</f>
        <v>537602625.68090439</v>
      </c>
      <c r="AH44" s="22">
        <f>'Level of Activity (LA) - psgr'!AH44*'Level of Activity (LA) - psgr'!$B$41</f>
        <v>537602625.68090439</v>
      </c>
      <c r="AI44" s="22">
        <f>'Level of Activity (LA) - psgr'!AI44*'Level of Activity (LA) - psgr'!$B$41</f>
        <v>537602625.68090439</v>
      </c>
      <c r="AJ44" s="22">
        <f>'Level of Activity (LA) - psgr'!AJ44*'Level of Activity (LA) - psgr'!$B$41</f>
        <v>537602625.68090439</v>
      </c>
      <c r="AK44" s="22">
        <f>'Level of Activity (LA) - psgr'!AK44*'Level of Activity (LA) - psgr'!$B$41</f>
        <v>537602625.68090439</v>
      </c>
      <c r="AL44" s="22">
        <f>'Level of Activity (LA) - psgr'!AL44*'Level of Activity (LA) - psgr'!$B$41</f>
        <v>537602625.68090439</v>
      </c>
      <c r="AM44" s="22">
        <f>'Level of Activity (LA) - psgr'!AM44*'Level of Activity (LA) - psgr'!$B$41</f>
        <v>537602625.68090439</v>
      </c>
      <c r="AN44" s="22">
        <f>'Level of Activity (LA) - psgr'!AN44*'Level of Activity (LA) - psgr'!$B$41</f>
        <v>537602625.68090439</v>
      </c>
    </row>
    <row r="45" spans="1:40" x14ac:dyDescent="0.2">
      <c r="A45" s="15" t="s">
        <v>44</v>
      </c>
      <c r="B45" s="22">
        <f>'Level of Activity (LA) - psgr'!B45*'Level of Activity (LA) - psgr'!$B$41</f>
        <v>7904401256.7992744</v>
      </c>
      <c r="C45" s="22">
        <f>'Level of Activity (LA) - psgr'!C45*'Level of Activity (LA) - psgr'!$B$41</f>
        <v>7931429902.3175364</v>
      </c>
      <c r="D45" s="22">
        <f>'Level of Activity (LA) - psgr'!D45*'Level of Activity (LA) - psgr'!$B$41</f>
        <v>7958458547.8357973</v>
      </c>
      <c r="E45" s="22">
        <f>'Level of Activity (LA) - psgr'!E45*'Level of Activity (LA) - psgr'!$B$41</f>
        <v>7985487193.3540611</v>
      </c>
      <c r="F45" s="22">
        <f>'Level of Activity (LA) - psgr'!F45*'Level of Activity (LA) - psgr'!$B$41</f>
        <v>8057788442.7244482</v>
      </c>
      <c r="G45" s="22">
        <f>'Level of Activity (LA) - psgr'!G45*'Level of Activity (LA) - psgr'!$B$41</f>
        <v>8130089692.0948315</v>
      </c>
      <c r="H45" s="22">
        <f>'Level of Activity (LA) - psgr'!H45*'Level of Activity (LA) - psgr'!$B$41</f>
        <v>8202390941.4652176</v>
      </c>
      <c r="I45" s="22">
        <f>'Level of Activity (LA) - psgr'!I45*'Level of Activity (LA) - psgr'!$B$41</f>
        <v>8274692190.8356037</v>
      </c>
      <c r="J45" s="22">
        <f>'Level of Activity (LA) - psgr'!J45*'Level of Activity (LA) - psgr'!$B$41</f>
        <v>8346993440.2059879</v>
      </c>
      <c r="K45" s="22">
        <f>'Level of Activity (LA) - psgr'!K45*'Level of Activity (LA) - psgr'!$B$41</f>
        <v>8407720901.6156235</v>
      </c>
      <c r="L45" s="22">
        <f>'Level of Activity (LA) - psgr'!L45*'Level of Activity (LA) - psgr'!$B$41</f>
        <v>8468448363.025259</v>
      </c>
      <c r="M45" s="22">
        <f>'Level of Activity (LA) - psgr'!M45*'Level of Activity (LA) - psgr'!$B$41</f>
        <v>8529175824.4348917</v>
      </c>
      <c r="N45" s="22">
        <f>'Level of Activity (LA) - psgr'!N45*'Level of Activity (LA) - psgr'!$B$41</f>
        <v>8589903285.8445282</v>
      </c>
      <c r="O45" s="22">
        <f>'Level of Activity (LA) - psgr'!O45*'Level of Activity (LA) - psgr'!$B$41</f>
        <v>8650630747.2541637</v>
      </c>
      <c r="P45" s="22">
        <f>'Level of Activity (LA) - psgr'!P45*'Level of Activity (LA) - psgr'!$B$41</f>
        <v>8699650623.6624737</v>
      </c>
      <c r="Q45" s="22">
        <f>'Level of Activity (LA) - psgr'!Q45*'Level of Activity (LA) - psgr'!$B$41</f>
        <v>8748670500.0707855</v>
      </c>
      <c r="R45" s="22">
        <f>'Level of Activity (LA) - psgr'!R45*'Level of Activity (LA) - psgr'!$B$41</f>
        <v>8797690376.4790974</v>
      </c>
      <c r="S45" s="22">
        <f>'Level of Activity (LA) - psgr'!S45*'Level of Activity (LA) - psgr'!$B$41</f>
        <v>8846710252.8874111</v>
      </c>
      <c r="T45" s="22">
        <f>'Level of Activity (LA) - psgr'!T45*'Level of Activity (LA) - psgr'!$B$41</f>
        <v>8895730129.295723</v>
      </c>
      <c r="U45" s="22">
        <f>'Level of Activity (LA) - psgr'!U45*'Level of Activity (LA) - psgr'!$B$41</f>
        <v>8933299409.6199722</v>
      </c>
      <c r="V45" s="22">
        <f>'Level of Activity (LA) - psgr'!V45*'Level of Activity (LA) - psgr'!$B$41</f>
        <v>8970868689.9442196</v>
      </c>
      <c r="W45" s="22">
        <f>'Level of Activity (LA) - psgr'!W45*'Level of Activity (LA) - psgr'!$B$41</f>
        <v>9008437970.2684708</v>
      </c>
      <c r="X45" s="22">
        <f>'Level of Activity (LA) - psgr'!X45*'Level of Activity (LA) - psgr'!$B$41</f>
        <v>9046007250.59272</v>
      </c>
      <c r="Y45" s="22">
        <f>'Level of Activity (LA) - psgr'!Y45*'Level of Activity (LA) - psgr'!$B$41</f>
        <v>9083576530.9169693</v>
      </c>
      <c r="Z45" s="22">
        <f>'Level of Activity (LA) - psgr'!Z45*'Level of Activity (LA) - psgr'!$B$41</f>
        <v>9110159377.3840256</v>
      </c>
      <c r="AA45" s="22">
        <f>'Level of Activity (LA) - psgr'!AA45*'Level of Activity (LA) - psgr'!$B$41</f>
        <v>9136742223.8510818</v>
      </c>
      <c r="AB45" s="22">
        <f>'Level of Activity (LA) - psgr'!AB45*'Level of Activity (LA) - psgr'!$B$41</f>
        <v>9163325070.3181362</v>
      </c>
      <c r="AC45" s="22">
        <f>'Level of Activity (LA) - psgr'!AC45*'Level of Activity (LA) - psgr'!$B$41</f>
        <v>9189907916.7851944</v>
      </c>
      <c r="AD45" s="22">
        <f>'Level of Activity (LA) - psgr'!AD45*'Level of Activity (LA) - psgr'!$B$41</f>
        <v>9216490763.2522488</v>
      </c>
      <c r="AE45" s="22">
        <f>'Level of Activity (LA) - psgr'!AE45*'Level of Activity (LA) - psgr'!$B$41</f>
        <v>9216490763.2522488</v>
      </c>
      <c r="AF45" s="22">
        <f>'Level of Activity (LA) - psgr'!AF45*'Level of Activity (LA) - psgr'!$B$41</f>
        <v>9216490763.2522488</v>
      </c>
      <c r="AG45" s="22">
        <f>'Level of Activity (LA) - psgr'!AG45*'Level of Activity (LA) - psgr'!$B$41</f>
        <v>9216490763.2522488</v>
      </c>
      <c r="AH45" s="22">
        <f>'Level of Activity (LA) - psgr'!AH45*'Level of Activity (LA) - psgr'!$B$41</f>
        <v>9216490763.2522488</v>
      </c>
      <c r="AI45" s="22">
        <f>'Level of Activity (LA) - psgr'!AI45*'Level of Activity (LA) - psgr'!$B$41</f>
        <v>9216490763.2522488</v>
      </c>
      <c r="AJ45" s="22">
        <f>'Level of Activity (LA) - psgr'!AJ45*'Level of Activity (LA) - psgr'!$B$41</f>
        <v>9216490763.2522488</v>
      </c>
      <c r="AK45" s="22">
        <f>'Level of Activity (LA) - psgr'!AK45*'Level of Activity (LA) - psgr'!$B$41</f>
        <v>9216490763.2522488</v>
      </c>
      <c r="AL45" s="22">
        <f>'Level of Activity (LA) - psgr'!AL45*'Level of Activity (LA) - psgr'!$B$41</f>
        <v>9216490763.2522488</v>
      </c>
      <c r="AM45" s="22">
        <f>'Level of Activity (LA) - psgr'!AM45*'Level of Activity (LA) - psgr'!$B$41</f>
        <v>9216490763.2522488</v>
      </c>
      <c r="AN45" s="22">
        <f>'Level of Activity (LA) - psgr'!AN45*'Level of Activity (LA) - psgr'!$B$41</f>
        <v>9216490763.2522488</v>
      </c>
    </row>
    <row r="48" spans="1:40" x14ac:dyDescent="0.2">
      <c r="A48" s="17" t="s">
        <v>79</v>
      </c>
    </row>
    <row r="49" spans="1:40" x14ac:dyDescent="0.2">
      <c r="A49" s="14" t="s">
        <v>16</v>
      </c>
    </row>
    <row r="50" spans="1:40" x14ac:dyDescent="0.2">
      <c r="A50" s="14" t="s">
        <v>46</v>
      </c>
    </row>
    <row r="51" spans="1:40" x14ac:dyDescent="0.2">
      <c r="A51" s="14" t="s">
        <v>18</v>
      </c>
    </row>
    <row r="52" spans="1:40" x14ac:dyDescent="0.2">
      <c r="A52" s="14"/>
    </row>
    <row r="53" spans="1:40" x14ac:dyDescent="0.2">
      <c r="A53" s="15" t="s">
        <v>19</v>
      </c>
      <c r="B53" s="15">
        <v>2022</v>
      </c>
      <c r="C53" s="15">
        <v>2023</v>
      </c>
      <c r="D53" s="15">
        <v>2024</v>
      </c>
      <c r="E53" s="15">
        <v>2025</v>
      </c>
      <c r="F53" s="15">
        <v>2026</v>
      </c>
      <c r="G53" s="15">
        <v>2027</v>
      </c>
      <c r="H53" s="15">
        <v>2028</v>
      </c>
      <c r="I53" s="15">
        <v>2029</v>
      </c>
      <c r="J53" s="15">
        <v>2030</v>
      </c>
      <c r="K53" s="15">
        <v>2031</v>
      </c>
      <c r="L53" s="15">
        <v>2032</v>
      </c>
      <c r="M53" s="15">
        <v>2033</v>
      </c>
      <c r="N53" s="15">
        <v>2034</v>
      </c>
      <c r="O53" s="15">
        <v>2035</v>
      </c>
      <c r="P53" s="15">
        <v>2036</v>
      </c>
      <c r="Q53" s="15">
        <v>2037</v>
      </c>
      <c r="R53" s="15">
        <v>2038</v>
      </c>
      <c r="S53" s="15">
        <v>2039</v>
      </c>
      <c r="T53" s="15">
        <v>2040</v>
      </c>
      <c r="U53" s="15">
        <v>2041</v>
      </c>
      <c r="V53" s="15">
        <v>2042</v>
      </c>
      <c r="W53" s="15">
        <v>2043</v>
      </c>
      <c r="X53" s="15">
        <v>2044</v>
      </c>
      <c r="Y53" s="15">
        <v>2045</v>
      </c>
      <c r="Z53" s="15">
        <v>2046</v>
      </c>
      <c r="AA53" s="15">
        <v>2047</v>
      </c>
      <c r="AB53" s="15">
        <v>2048</v>
      </c>
      <c r="AC53" s="15">
        <v>2049</v>
      </c>
      <c r="AD53" s="15">
        <v>2050</v>
      </c>
      <c r="AE53" s="15">
        <v>2051</v>
      </c>
      <c r="AF53" s="15">
        <v>2052</v>
      </c>
      <c r="AG53" s="15">
        <v>2053</v>
      </c>
      <c r="AH53" s="15">
        <v>2054</v>
      </c>
      <c r="AI53" s="15">
        <v>2055</v>
      </c>
      <c r="AJ53" s="15">
        <v>2056</v>
      </c>
      <c r="AK53" s="15">
        <v>2057</v>
      </c>
      <c r="AL53" s="15">
        <v>2058</v>
      </c>
      <c r="AM53" s="15">
        <v>2059</v>
      </c>
      <c r="AN53" s="15">
        <v>2060</v>
      </c>
    </row>
    <row r="54" spans="1:40" x14ac:dyDescent="0.2">
      <c r="A54" s="15" t="s">
        <v>47</v>
      </c>
      <c r="B54" s="22">
        <f>'Level of Activity (LA) - psgr'!B54*'Level of Activity (LA) - psgr'!B54*'Level of Activity (LA) - psgr'!$B$52</f>
        <v>3586542290.3749223</v>
      </c>
      <c r="C54" s="22">
        <f>'Level of Activity (LA) - psgr'!C54*'Level of Activity (LA) - psgr'!C54*'Level of Activity (LA) - psgr'!$B$52</f>
        <v>3954162875.138236</v>
      </c>
      <c r="D54" s="22">
        <f>'Level of Activity (LA) - psgr'!D54*'Level of Activity (LA) - psgr'!D54*'Level of Activity (LA) - psgr'!$B$52</f>
        <v>4359464569.8397779</v>
      </c>
      <c r="E54" s="22">
        <f>'Level of Activity (LA) - psgr'!E54*'Level of Activity (LA) - psgr'!E54*'Level of Activity (LA) - psgr'!$B$52</f>
        <v>4806309688.2482166</v>
      </c>
      <c r="F54" s="22">
        <f>'Level of Activity (LA) - psgr'!F54*'Level of Activity (LA) - psgr'!F54*'Level of Activity (LA) - psgr'!$B$52</f>
        <v>5298956431.293252</v>
      </c>
      <c r="G54" s="22">
        <f>'Level of Activity (LA) - psgr'!G54*'Level of Activity (LA) - psgr'!G54*'Level of Activity (LA) - psgr'!$B$52</f>
        <v>5842099465.50037</v>
      </c>
      <c r="H54" s="22">
        <f>'Level of Activity (LA) - psgr'!H54*'Level of Activity (LA) - psgr'!H54*'Level of Activity (LA) - psgr'!$B$52</f>
        <v>6440914660.713686</v>
      </c>
      <c r="I54" s="22">
        <f>'Level of Activity (LA) - psgr'!I54*'Level of Activity (LA) - psgr'!I54*'Level of Activity (LA) - psgr'!$B$52</f>
        <v>7101108413.4363184</v>
      </c>
      <c r="J54" s="22">
        <f>'Level of Activity (LA) - psgr'!J54*'Level of Activity (LA) - psgr'!J54*'Level of Activity (LA) - psgr'!$B$52</f>
        <v>7828972025.8129778</v>
      </c>
      <c r="K54" s="22">
        <f>'Level of Activity (LA) - psgr'!K54*'Level of Activity (LA) - psgr'!K54*'Level of Activity (LA) - psgr'!$B$52</f>
        <v>8631441658.4583015</v>
      </c>
      <c r="L54" s="22">
        <f>'Level of Activity (LA) - psgr'!L54*'Level of Activity (LA) - psgr'!L54*'Level of Activity (LA) - psgr'!$B$52</f>
        <v>9516164428.449728</v>
      </c>
      <c r="M54" s="22">
        <f>'Level of Activity (LA) - psgr'!M54*'Level of Activity (LA) - psgr'!M54*'Level of Activity (LA) - psgr'!$B$52</f>
        <v>10491571282.365227</v>
      </c>
      <c r="N54" s="22">
        <f>'Level of Activity (LA) - psgr'!N54*'Level of Activity (LA) - psgr'!N54*'Level of Activity (LA) - psgr'!$B$52</f>
        <v>11566957338.807003</v>
      </c>
      <c r="O54" s="22">
        <f>'Level of Activity (LA) - psgr'!O54*'Level of Activity (LA) - psgr'!O54*'Level of Activity (LA) - psgr'!$B$52</f>
        <v>12752570466.034012</v>
      </c>
      <c r="P54" s="22">
        <f>'Level of Activity (LA) - psgr'!P54*'Level of Activity (LA) - psgr'!P54*'Level of Activity (LA) - psgr'!$B$52</f>
        <v>14059708938.801874</v>
      </c>
      <c r="Q54" s="22">
        <f>'Level of Activity (LA) - psgr'!Q54*'Level of Activity (LA) - psgr'!Q54*'Level of Activity (LA) - psgr'!$B$52</f>
        <v>15500829105.028372</v>
      </c>
      <c r="R54" s="22">
        <f>'Level of Activity (LA) - psgr'!R54*'Level of Activity (LA) - psgr'!R54*'Level of Activity (LA) - psgr'!$B$52</f>
        <v>17089664088.293049</v>
      </c>
      <c r="S54" s="22">
        <f>'Level of Activity (LA) - psgr'!S54*'Level of Activity (LA) - psgr'!S54*'Level of Activity (LA) - psgr'!$B$52</f>
        <v>18841354657.34227</v>
      </c>
      <c r="T54" s="22">
        <f>'Level of Activity (LA) - psgr'!T54*'Level of Activity (LA) - psgr'!T54*'Level of Activity (LA) - psgr'!$B$52</f>
        <v>20772593509.718967</v>
      </c>
      <c r="U54" s="22">
        <f>'Level of Activity (LA) - psgr'!U54*'Level of Activity (LA) - psgr'!U54*'Level of Activity (LA) - psgr'!$B$52</f>
        <v>22901784344.464447</v>
      </c>
      <c r="V54" s="22">
        <f>'Level of Activity (LA) - psgr'!V54*'Level of Activity (LA) - psgr'!V54*'Level of Activity (LA) - psgr'!$B$52</f>
        <v>25249217239.771233</v>
      </c>
      <c r="W54" s="22">
        <f>'Level of Activity (LA) - psgr'!W54*'Level of Activity (LA) - psgr'!W54*'Level of Activity (LA) - psgr'!$B$52</f>
        <v>27837262006.846897</v>
      </c>
      <c r="X54" s="22">
        <f>'Level of Activity (LA) - psgr'!X54*'Level of Activity (LA) - psgr'!X54*'Level of Activity (LA) - psgr'!$B$52</f>
        <v>30690581362.547737</v>
      </c>
      <c r="Y54" s="22">
        <f>'Level of Activity (LA) - psgr'!Y54*'Level of Activity (LA) - psgr'!Y54*'Level of Activity (LA) - psgr'!$B$52</f>
        <v>33836365952.207825</v>
      </c>
      <c r="Z54" s="22">
        <f>'Level of Activity (LA) - psgr'!Z54*'Level of Activity (LA) - psgr'!Z54*'Level of Activity (LA) - psgr'!$B$52</f>
        <v>37304593462.308304</v>
      </c>
      <c r="AA54" s="22">
        <f>'Level of Activity (LA) - psgr'!AA54*'Level of Activity (LA) - psgr'!AA54*'Level of Activity (LA) - psgr'!$B$52</f>
        <v>41128314292.194023</v>
      </c>
      <c r="AB54" s="22">
        <f>'Level of Activity (LA) - psgr'!AB54*'Level of Activity (LA) - psgr'!AB54*'Level of Activity (LA) - psgr'!$B$52</f>
        <v>45343966507.142937</v>
      </c>
      <c r="AC54" s="22">
        <f>'Level of Activity (LA) - psgr'!AC54*'Level of Activity (LA) - psgr'!AC54*'Level of Activity (LA) - psgr'!$B$52</f>
        <v>49991723074.124008</v>
      </c>
      <c r="AD54" s="22">
        <f>'Level of Activity (LA) - psgr'!AD54*'Level of Activity (LA) - psgr'!AD54*'Level of Activity (LA) - psgr'!$B$52</f>
        <v>55115874689.220543</v>
      </c>
      <c r="AE54" s="22">
        <f>'Level of Activity (LA) - psgr'!AE54*'Level of Activity (LA) - psgr'!AE54*'Level of Activity (LA) - psgr'!$B$52</f>
        <v>60765251844.865623</v>
      </c>
      <c r="AF54" s="22">
        <f>'Level of Activity (LA) - psgr'!AF54*'Level of Activity (LA) - psgr'!AF54*'Level of Activity (LA) - psgr'!$B$52</f>
        <v>66993690158.964386</v>
      </c>
      <c r="AG54" s="22">
        <f>'Level of Activity (LA) - psgr'!AG54*'Level of Activity (LA) - psgr'!AG54*'Level of Activity (LA) - psgr'!$B$52</f>
        <v>73860543400.25824</v>
      </c>
      <c r="AH54" s="22">
        <f>'Level of Activity (LA) - psgr'!AH54*'Level of Activity (LA) - psgr'!AH54*'Level of Activity (LA) - psgr'!$B$52</f>
        <v>81431249098.784714</v>
      </c>
      <c r="AI54" s="22">
        <f>'Level of Activity (LA) - psgr'!AI54*'Level of Activity (LA) - psgr'!AI54*'Level of Activity (LA) - psgr'!$B$52</f>
        <v>89777952131.410141</v>
      </c>
      <c r="AJ54" s="22">
        <f>'Level of Activity (LA) - psgr'!AJ54*'Level of Activity (LA) - psgr'!AJ54*'Level of Activity (LA) - psgr'!$B$52</f>
        <v>98980192224.8797</v>
      </c>
      <c r="AK54" s="22">
        <f>'Level of Activity (LA) - psgr'!AK54*'Level of Activity (LA) - psgr'!AK54*'Level of Activity (LA) - psgr'!$B$52</f>
        <v>109125661927.92984</v>
      </c>
      <c r="AL54" s="22">
        <f>'Level of Activity (LA) - psgr'!AL54*'Level of Activity (LA) - psgr'!AL54*'Level of Activity (LA) - psgr'!$B$52</f>
        <v>120311042275.54272</v>
      </c>
      <c r="AM54" s="22">
        <f>'Level of Activity (LA) - psgr'!AM54*'Level of Activity (LA) - psgr'!AM54*'Level of Activity (LA) - psgr'!$B$52</f>
        <v>132642924108.7858</v>
      </c>
      <c r="AN54" s="22">
        <f>'Level of Activity (LA) - psgr'!AN54*'Level of Activity (LA) - psgr'!AN54*'Level of Activity (LA) - psgr'!$B$52</f>
        <v>146238823829.93646</v>
      </c>
    </row>
    <row r="55" spans="1:40" x14ac:dyDescent="0.2">
      <c r="A55" s="15" t="s">
        <v>48</v>
      </c>
      <c r="B55" s="22">
        <f>'Level of Activity (LA) - psgr'!B55*'Level of Activity (LA) - psgr'!B55*'Level of Activity (LA) - psgr'!$B$52</f>
        <v>663.74890909935857</v>
      </c>
      <c r="C55" s="22">
        <f>'Level of Activity (LA) - psgr'!C55*'Level of Activity (LA) - psgr'!C55*'Level of Activity (LA) - psgr'!$B$52</f>
        <v>731.78317228202116</v>
      </c>
      <c r="D55" s="22">
        <f>'Level of Activity (LA) - psgr'!D55*'Level of Activity (LA) - psgr'!D55*'Level of Activity (LA) - psgr'!$B$52</f>
        <v>806.79094744090492</v>
      </c>
      <c r="E55" s="22">
        <f>'Level of Activity (LA) - psgr'!E55*'Level of Activity (LA) - psgr'!E55*'Level of Activity (LA) - psgr'!$B$52</f>
        <v>889.48701955357205</v>
      </c>
      <c r="F55" s="22">
        <f>'Level of Activity (LA) - psgr'!F55*'Level of Activity (LA) - psgr'!F55*'Level of Activity (LA) - psgr'!$B$52</f>
        <v>980.6594390577377</v>
      </c>
      <c r="G55" s="22">
        <f>'Level of Activity (LA) - psgr'!G55*'Level of Activity (LA) - psgr'!G55*'Level of Activity (LA) - psgr'!$B$52</f>
        <v>1081.1770315610745</v>
      </c>
      <c r="H55" s="22">
        <f>'Level of Activity (LA) - psgr'!H55*'Level of Activity (LA) - psgr'!H55*'Level of Activity (LA) - psgr'!$B$52</f>
        <v>1191.9976772959969</v>
      </c>
      <c r="I55" s="22">
        <f>'Level of Activity (LA) - psgr'!I55*'Level of Activity (LA) - psgr'!I55*'Level of Activity (LA) - psgr'!$B$52</f>
        <v>1314.1774392187408</v>
      </c>
      <c r="J55" s="22">
        <f>'Level of Activity (LA) - psgr'!J55*'Level of Activity (LA) - psgr'!J55*'Level of Activity (LA) - psgr'!$B$52</f>
        <v>1448.8806267385573</v>
      </c>
      <c r="K55" s="22">
        <f>'Level of Activity (LA) - psgr'!K55*'Level of Activity (LA) - psgr'!K55*'Level of Activity (LA) - psgr'!$B$52</f>
        <v>1597.3908909791658</v>
      </c>
      <c r="L55" s="22">
        <f>'Level of Activity (LA) - psgr'!L55*'Level of Activity (LA) - psgr'!L55*'Level of Activity (LA) - psgr'!$B$52</f>
        <v>1761.1234573044287</v>
      </c>
      <c r="M55" s="22">
        <f>'Level of Activity (LA) - psgr'!M55*'Level of Activity (LA) - psgr'!M55*'Level of Activity (LA) - psgr'!$B$52</f>
        <v>1941.6386116780211</v>
      </c>
      <c r="N55" s="22">
        <f>'Level of Activity (LA) - psgr'!N55*'Level of Activity (LA) - psgr'!N55*'Level of Activity (LA) - psgr'!$B$52</f>
        <v>2140.6565693748967</v>
      </c>
      <c r="O55" s="22">
        <f>'Level of Activity (LA) - psgr'!O55*'Level of Activity (LA) - psgr'!O55*'Level of Activity (LA) - psgr'!$B$52</f>
        <v>2360.0738677356926</v>
      </c>
      <c r="P55" s="22">
        <f>'Level of Activity (LA) - psgr'!P55*'Level of Activity (LA) - psgr'!P55*'Level of Activity (LA) - psgr'!$B$52</f>
        <v>2601.9814391784853</v>
      </c>
      <c r="Q55" s="22">
        <f>'Level of Activity (LA) - psgr'!Q55*'Level of Activity (LA) - psgr'!Q55*'Level of Activity (LA) - psgr'!$B$52</f>
        <v>2868.6845366941525</v>
      </c>
      <c r="R55" s="22">
        <f>'Level of Activity (LA) - psgr'!R55*'Level of Activity (LA) - psgr'!R55*'Level of Activity (LA) - psgr'!$B$52</f>
        <v>3162.7247017051668</v>
      </c>
      <c r="S55" s="22">
        <f>'Level of Activity (LA) - psgr'!S55*'Level of Activity (LA) - psgr'!S55*'Level of Activity (LA) - psgr'!$B$52</f>
        <v>3486.9039836297957</v>
      </c>
      <c r="T55" s="22">
        <f>'Level of Activity (LA) - psgr'!T55*'Level of Activity (LA) - psgr'!T55*'Level of Activity (LA) - psgr'!$B$52</f>
        <v>3844.3116419516859</v>
      </c>
      <c r="U55" s="22">
        <f>'Level of Activity (LA) - psgr'!U55*'Level of Activity (LA) - psgr'!U55*'Level of Activity (LA) - psgr'!$B$52</f>
        <v>4238.3535852516015</v>
      </c>
      <c r="V55" s="22">
        <f>'Level of Activity (LA) - psgr'!V55*'Level of Activity (LA) - psgr'!V55*'Level of Activity (LA) - psgr'!$B$52</f>
        <v>4672.7848277397379</v>
      </c>
      <c r="W55" s="22">
        <f>'Level of Activity (LA) - psgr'!W55*'Level of Activity (LA) - psgr'!W55*'Level of Activity (LA) - psgr'!$B$52</f>
        <v>5151.745272582898</v>
      </c>
      <c r="X55" s="22">
        <f>'Level of Activity (LA) - psgr'!X55*'Level of Activity (LA) - psgr'!X55*'Level of Activity (LA) - psgr'!$B$52</f>
        <v>5679.7991630224642</v>
      </c>
      <c r="Y55" s="22">
        <f>'Level of Activity (LA) - psgr'!Y55*'Level of Activity (LA) - psgr'!Y55*'Level of Activity (LA) - psgr'!$B$52</f>
        <v>6261.9785772320729</v>
      </c>
      <c r="Z55" s="22">
        <f>'Level of Activity (LA) - psgr'!Z55*'Level of Activity (LA) - psgr'!Z55*'Level of Activity (LA) - psgr'!$B$52</f>
        <v>6903.8313813982077</v>
      </c>
      <c r="AA55" s="22">
        <f>'Level of Activity (LA) - psgr'!AA55*'Level of Activity (LA) - psgr'!AA55*'Level of Activity (LA) - psgr'!$B$52</f>
        <v>7611.4740979913577</v>
      </c>
      <c r="AB55" s="22">
        <f>'Level of Activity (LA) - psgr'!AB55*'Level of Activity (LA) - psgr'!AB55*'Level of Activity (LA) - psgr'!$B$52</f>
        <v>8391.6501930352933</v>
      </c>
      <c r="AC55" s="22">
        <f>'Level of Activity (LA) - psgr'!AC55*'Level of Activity (LA) - psgr'!AC55*'Level of Activity (LA) - psgr'!$B$52</f>
        <v>9251.7943378212094</v>
      </c>
      <c r="AD55" s="22">
        <f>'Level of Activity (LA) - psgr'!AD55*'Level of Activity (LA) - psgr'!AD55*'Level of Activity (LA) - psgr'!$B$52</f>
        <v>10200.103257447667</v>
      </c>
      <c r="AE55" s="22">
        <f>'Level of Activity (LA) - psgr'!AE55*'Level of Activity (LA) - psgr'!AE55*'Level of Activity (LA) - psgr'!$B$52</f>
        <v>11245.613841336055</v>
      </c>
      <c r="AF55" s="22">
        <f>'Level of Activity (LA) - psgr'!AF55*'Level of Activity (LA) - psgr'!AF55*'Level of Activity (LA) - psgr'!$B$52</f>
        <v>12398.289260073007</v>
      </c>
      <c r="AG55" s="22">
        <f>'Level of Activity (LA) - psgr'!AG55*'Level of Activity (LA) - psgr'!AG55*'Level of Activity (LA) - psgr'!$B$52</f>
        <v>13669.113909230495</v>
      </c>
      <c r="AH55" s="22">
        <f>'Level of Activity (LA) - psgr'!AH55*'Level of Activity (LA) - psgr'!AH55*'Level of Activity (LA) - psgr'!$B$52</f>
        <v>15070.198084926611</v>
      </c>
      <c r="AI55" s="22">
        <f>'Level of Activity (LA) - psgr'!AI55*'Level of Activity (LA) - psgr'!AI55*'Level of Activity (LA) - psgr'!$B$52</f>
        <v>16614.893388631594</v>
      </c>
      <c r="AJ55" s="22">
        <f>'Level of Activity (LA) - psgr'!AJ55*'Level of Activity (LA) - psgr'!AJ55*'Level of Activity (LA) - psgr'!$B$52</f>
        <v>18317.91996096633</v>
      </c>
      <c r="AK55" s="22">
        <f>'Level of Activity (LA) - psgr'!AK55*'Level of Activity (LA) - psgr'!AK55*'Level of Activity (LA) - psgr'!$B$52</f>
        <v>20195.506756965377</v>
      </c>
      <c r="AL55" s="22">
        <f>'Level of Activity (LA) - psgr'!AL55*'Level of Activity (LA) - psgr'!AL55*'Level of Activity (LA) - psgr'!$B$52</f>
        <v>22265.546199554345</v>
      </c>
      <c r="AM55" s="22">
        <f>'Level of Activity (LA) - psgr'!AM55*'Level of Activity (LA) - psgr'!AM55*'Level of Activity (LA) - psgr'!$B$52</f>
        <v>24547.764685008646</v>
      </c>
      <c r="AN55" s="22">
        <f>'Level of Activity (LA) - psgr'!AN55*'Level of Activity (LA) - psgr'!AN55*'Level of Activity (LA) - psgr'!$B$52</f>
        <v>27063.910565222057</v>
      </c>
    </row>
    <row r="56" spans="1:40" x14ac:dyDescent="0.2">
      <c r="A56" s="15" t="s">
        <v>49</v>
      </c>
      <c r="B56" s="22">
        <f>'Level of Activity (LA) - psgr'!B56*'Level of Activity (LA) - psgr'!B56*'Level of Activity (LA) - psgr'!$B$52</f>
        <v>1.4359089434208001</v>
      </c>
      <c r="C56" s="22">
        <f>'Level of Activity (LA) - psgr'!C56*'Level of Activity (LA) - psgr'!C56*'Level of Activity (LA) - psgr'!$B$52</f>
        <v>1.5830896101213852</v>
      </c>
      <c r="D56" s="22">
        <f>'Level of Activity (LA) - psgr'!D56*'Level of Activity (LA) - psgr'!D56*'Level of Activity (LA) - psgr'!$B$52</f>
        <v>1.745356295158776</v>
      </c>
      <c r="E56" s="22">
        <f>'Level of Activity (LA) - psgr'!E56*'Level of Activity (LA) - psgr'!E56*'Level of Activity (LA) - psgr'!$B$52</f>
        <v>1.9242553154124953</v>
      </c>
      <c r="F56" s="22">
        <f>'Level of Activity (LA) - psgr'!F56*'Level of Activity (LA) - psgr'!F56*'Level of Activity (LA) - psgr'!$B$52</f>
        <v>2.121491485242113</v>
      </c>
      <c r="G56" s="22">
        <f>'Level of Activity (LA) - psgr'!G56*'Level of Activity (LA) - psgr'!G56*'Level of Activity (LA) - psgr'!$B$52</f>
        <v>2.338944362479253</v>
      </c>
      <c r="H56" s="22">
        <f>'Level of Activity (LA) - psgr'!H56*'Level of Activity (LA) - psgr'!H56*'Level of Activity (LA) - psgr'!$B$52</f>
        <v>2.5786861596331874</v>
      </c>
      <c r="I56" s="22">
        <f>'Level of Activity (LA) - psgr'!I56*'Level of Activity (LA) - psgr'!I56*'Level of Activity (LA) - psgr'!$B$52</f>
        <v>2.8430014909953818</v>
      </c>
      <c r="J56" s="22">
        <f>'Level of Activity (LA) - psgr'!J56*'Level of Activity (LA) - psgr'!J56*'Level of Activity (LA) - psgr'!$B$52</f>
        <v>3.1344091438221819</v>
      </c>
      <c r="K56" s="22">
        <f>'Level of Activity (LA) - psgr'!K56*'Level of Activity (LA) - psgr'!K56*'Level of Activity (LA) - psgr'!$B$52</f>
        <v>3.455686081063754</v>
      </c>
      <c r="L56" s="22">
        <f>'Level of Activity (LA) - psgr'!L56*'Level of Activity (LA) - psgr'!L56*'Level of Activity (LA) - psgr'!$B$52</f>
        <v>3.8098939043725681</v>
      </c>
      <c r="M56" s="22">
        <f>'Level of Activity (LA) - psgr'!M56*'Level of Activity (LA) - psgr'!M56*'Level of Activity (LA) - psgr'!$B$52</f>
        <v>4.2004080295705162</v>
      </c>
      <c r="N56" s="22">
        <f>'Level of Activity (LA) - psgr'!N56*'Level of Activity (LA) - psgr'!N56*'Level of Activity (LA) - psgr'!$B$52</f>
        <v>4.6309498526012316</v>
      </c>
      <c r="O56" s="22">
        <f>'Level of Activity (LA) - psgr'!O56*'Level of Activity (LA) - psgr'!O56*'Level of Activity (LA) - psgr'!$B$52</f>
        <v>5.1056222124925723</v>
      </c>
      <c r="P56" s="22">
        <f>'Level of Activity (LA) - psgr'!P56*'Level of Activity (LA) - psgr'!P56*'Level of Activity (LA) - psgr'!$B$52</f>
        <v>5.628948489272811</v>
      </c>
      <c r="Q56" s="22">
        <f>'Level of Activity (LA) - psgr'!Q56*'Level of Activity (LA) - psgr'!Q56*'Level of Activity (LA) - psgr'!$B$52</f>
        <v>6.2059157094229995</v>
      </c>
      <c r="R56" s="22">
        <f>'Level of Activity (LA) - psgr'!R56*'Level of Activity (LA) - psgr'!R56*'Level of Activity (LA) - psgr'!$B$52</f>
        <v>6.8420220696385616</v>
      </c>
      <c r="S56" s="22">
        <f>'Level of Activity (LA) - psgr'!S56*'Level of Activity (LA) - psgr'!S56*'Level of Activity (LA) - psgr'!$B$52</f>
        <v>7.5433293317761869</v>
      </c>
      <c r="T56" s="22">
        <f>'Level of Activity (LA) - psgr'!T56*'Level of Activity (LA) - psgr'!T56*'Level of Activity (LA) - psgr'!$B$52</f>
        <v>8.3165205882828914</v>
      </c>
      <c r="U56" s="22">
        <f>'Level of Activity (LA) - psgr'!U56*'Level of Activity (LA) - psgr'!U56*'Level of Activity (LA) - psgr'!$B$52</f>
        <v>9.1689639485816006</v>
      </c>
      <c r="V56" s="22">
        <f>'Level of Activity (LA) - psgr'!V56*'Level of Activity (LA) - psgr'!V56*'Level of Activity (LA) - psgr'!$B$52</f>
        <v>10.108782753310885</v>
      </c>
      <c r="W56" s="22">
        <f>'Level of Activity (LA) - psgr'!W56*'Level of Activity (LA) - psgr'!W56*'Level of Activity (LA) - psgr'!$B$52</f>
        <v>11.144932985524898</v>
      </c>
      <c r="X56" s="22">
        <f>'Level of Activity (LA) - psgr'!X56*'Level of Activity (LA) - psgr'!X56*'Level of Activity (LA) - psgr'!$B$52</f>
        <v>12.287288616540812</v>
      </c>
      <c r="Y56" s="22">
        <f>'Level of Activity (LA) - psgr'!Y56*'Level of Activity (LA) - psgr'!Y56*'Level of Activity (LA) - psgr'!$B$52</f>
        <v>13.546735699735825</v>
      </c>
      <c r="Z56" s="22">
        <f>'Level of Activity (LA) - psgr'!Z56*'Level of Activity (LA) - psgr'!Z56*'Level of Activity (LA) - psgr'!$B$52</f>
        <v>14.935276108958416</v>
      </c>
      <c r="AA56" s="22">
        <f>'Level of Activity (LA) - psgr'!AA56*'Level of Activity (LA) - psgr'!AA56*'Level of Activity (LA) - psgr'!$B$52</f>
        <v>16.466141910126296</v>
      </c>
      <c r="AB56" s="22">
        <f>'Level of Activity (LA) - psgr'!AB56*'Level of Activity (LA) - psgr'!AB56*'Level of Activity (LA) - psgr'!$B$52</f>
        <v>18.153921455913856</v>
      </c>
      <c r="AC56" s="22">
        <f>'Level of Activity (LA) - psgr'!AC56*'Level of Activity (LA) - psgr'!AC56*'Level of Activity (LA) - psgr'!$B$52</f>
        <v>20.014698405144596</v>
      </c>
      <c r="AD56" s="22">
        <f>'Level of Activity (LA) - psgr'!AD56*'Level of Activity (LA) - psgr'!AD56*'Level of Activity (LA) - psgr'!$B$52</f>
        <v>22.066204991671444</v>
      </c>
      <c r="AE56" s="22">
        <f>'Level of Activity (LA) - psgr'!AE56*'Level of Activity (LA) - psgr'!AE56*'Level of Activity (LA) - psgr'!$B$52</f>
        <v>24.327991003317759</v>
      </c>
      <c r="AF56" s="22">
        <f>'Level of Activity (LA) - psgr'!AF56*'Level of Activity (LA) - psgr'!AF56*'Level of Activity (LA) - psgr'!$B$52</f>
        <v>26.821610081157839</v>
      </c>
      <c r="AG56" s="22">
        <f>'Level of Activity (LA) - psgr'!AG56*'Level of Activity (LA) - psgr'!AG56*'Level of Activity (LA) - psgr'!$B$52</f>
        <v>29.570825114476531</v>
      </c>
      <c r="AH56" s="22">
        <f>'Level of Activity (LA) - psgr'!AH56*'Level of Activity (LA) - psgr'!AH56*'Level of Activity (LA) - psgr'!$B$52</f>
        <v>32.601834688710355</v>
      </c>
      <c r="AI56" s="22">
        <f>'Level of Activity (LA) - psgr'!AI56*'Level of Activity (LA) - psgr'!AI56*'Level of Activity (LA) - psgr'!$B$52</f>
        <v>35.943522744303188</v>
      </c>
      <c r="AJ56" s="22">
        <f>'Level of Activity (LA) - psgr'!AJ56*'Level of Activity (LA) - psgr'!AJ56*'Level of Activity (LA) - psgr'!$B$52</f>
        <v>39.627733825594262</v>
      </c>
      <c r="AK56" s="22">
        <f>'Level of Activity (LA) - psgr'!AK56*'Level of Activity (LA) - psgr'!AK56*'Level of Activity (LA) - psgr'!$B$52</f>
        <v>43.689576542717674</v>
      </c>
      <c r="AL56" s="22">
        <f>'Level of Activity (LA) - psgr'!AL56*'Level of Activity (LA) - psgr'!AL56*'Level of Activity (LA) - psgr'!$B$52</f>
        <v>48.167758138346251</v>
      </c>
      <c r="AM56" s="22">
        <f>'Level of Activity (LA) - psgr'!AM56*'Level of Activity (LA) - psgr'!AM56*'Level of Activity (LA) - psgr'!$B$52</f>
        <v>53.104953347526724</v>
      </c>
      <c r="AN56" s="22">
        <f>'Level of Activity (LA) - psgr'!AN56*'Level of Activity (LA) - psgr'!AN56*'Level of Activity (LA) - psgr'!$B$52</f>
        <v>58.548211065648253</v>
      </c>
    </row>
    <row r="59" spans="1:40" x14ac:dyDescent="0.2">
      <c r="A59" s="17" t="s">
        <v>80</v>
      </c>
    </row>
    <row r="60" spans="1:40" x14ac:dyDescent="0.2">
      <c r="A60" s="14" t="s">
        <v>16</v>
      </c>
    </row>
    <row r="61" spans="1:40" x14ac:dyDescent="0.2">
      <c r="A61" s="14" t="s">
        <v>52</v>
      </c>
    </row>
    <row r="62" spans="1:40" x14ac:dyDescent="0.2">
      <c r="A62" s="14" t="s">
        <v>18</v>
      </c>
    </row>
    <row r="63" spans="1:40" x14ac:dyDescent="0.2">
      <c r="A63" s="14"/>
    </row>
    <row r="64" spans="1:40" x14ac:dyDescent="0.2">
      <c r="A64" s="15" t="s">
        <v>19</v>
      </c>
      <c r="B64" s="15">
        <v>2022</v>
      </c>
      <c r="C64" s="15">
        <v>2023</v>
      </c>
      <c r="D64" s="15">
        <v>2024</v>
      </c>
      <c r="E64" s="15">
        <v>2025</v>
      </c>
      <c r="F64" s="15">
        <v>2026</v>
      </c>
      <c r="G64" s="15">
        <v>2027</v>
      </c>
      <c r="H64" s="15">
        <v>2028</v>
      </c>
      <c r="I64" s="15">
        <v>2029</v>
      </c>
      <c r="J64" s="15">
        <v>2030</v>
      </c>
      <c r="K64" s="15">
        <v>2031</v>
      </c>
      <c r="L64" s="15">
        <v>2032</v>
      </c>
      <c r="M64" s="15">
        <v>2033</v>
      </c>
      <c r="N64" s="15">
        <v>2034</v>
      </c>
      <c r="O64" s="15">
        <v>2035</v>
      </c>
      <c r="P64" s="15">
        <v>2036</v>
      </c>
      <c r="Q64" s="15">
        <v>2037</v>
      </c>
      <c r="R64" s="15">
        <v>2038</v>
      </c>
      <c r="S64" s="15">
        <v>2039</v>
      </c>
      <c r="T64" s="15">
        <v>2040</v>
      </c>
      <c r="U64" s="15">
        <v>2041</v>
      </c>
      <c r="V64" s="15">
        <v>2042</v>
      </c>
      <c r="W64" s="15">
        <v>2043</v>
      </c>
      <c r="X64" s="15">
        <v>2044</v>
      </c>
      <c r="Y64" s="15">
        <v>2045</v>
      </c>
      <c r="Z64" s="15">
        <v>2046</v>
      </c>
      <c r="AA64" s="15">
        <v>2047</v>
      </c>
      <c r="AB64" s="15">
        <v>2048</v>
      </c>
      <c r="AC64" s="15">
        <v>2049</v>
      </c>
      <c r="AD64" s="15">
        <v>2050</v>
      </c>
      <c r="AE64" s="15">
        <v>2051</v>
      </c>
      <c r="AF64" s="15">
        <v>2052</v>
      </c>
      <c r="AG64" s="15">
        <v>2053</v>
      </c>
      <c r="AH64" s="15">
        <v>2054</v>
      </c>
      <c r="AI64" s="15">
        <v>2055</v>
      </c>
      <c r="AJ64" s="15">
        <v>2056</v>
      </c>
      <c r="AK64" s="15">
        <v>2057</v>
      </c>
      <c r="AL64" s="15">
        <v>2058</v>
      </c>
      <c r="AM64" s="15">
        <v>2059</v>
      </c>
      <c r="AN64" s="15">
        <v>2060</v>
      </c>
    </row>
    <row r="65" spans="1:40" x14ac:dyDescent="0.2">
      <c r="A65" s="15" t="s">
        <v>53</v>
      </c>
      <c r="B65" s="22">
        <f>'Level of Activity (LA) - psgr'!B65*'Level of Activity (LA) - psgr'!$B$63</f>
        <v>32091322.120434072</v>
      </c>
      <c r="C65" s="22">
        <f>'Level of Activity (LA) - psgr'!C65*'Level of Activity (LA) - psgr'!$B$63</f>
        <v>33695888.22645577</v>
      </c>
      <c r="D65" s="22">
        <f>'Level of Activity (LA) - psgr'!D65*'Level of Activity (LA) - psgr'!$B$63</f>
        <v>35380682.637778558</v>
      </c>
      <c r="E65" s="22">
        <f>'Level of Activity (LA) - psgr'!E65*'Level of Activity (LA) - psgr'!$B$63</f>
        <v>37149716.769667491</v>
      </c>
      <c r="F65" s="22">
        <f>'Level of Activity (LA) - psgr'!F65*'Level of Activity (LA) - psgr'!$B$63</f>
        <v>39007202.608150877</v>
      </c>
      <c r="G65" s="22">
        <f>'Level of Activity (LA) - psgr'!G65*'Level of Activity (LA) - psgr'!$B$63</f>
        <v>40957562.738558412</v>
      </c>
      <c r="H65" s="22">
        <f>'Level of Activity (LA) - psgr'!H65*'Level of Activity (LA) - psgr'!$B$63</f>
        <v>43005440.875486329</v>
      </c>
      <c r="I65" s="22">
        <f>'Level of Activity (LA) - psgr'!I65*'Level of Activity (LA) - psgr'!$B$63</f>
        <v>45155712.919260651</v>
      </c>
      <c r="J65" s="22">
        <f>'Level of Activity (LA) - psgr'!J65*'Level of Activity (LA) - psgr'!$B$63</f>
        <v>47413498.565223679</v>
      </c>
      <c r="K65" s="22">
        <f>'Level of Activity (LA) - psgr'!K65*'Level of Activity (LA) - psgr'!$B$63</f>
        <v>49784173.493484877</v>
      </c>
      <c r="L65" s="22">
        <f>'Level of Activity (LA) - psgr'!L65*'Level of Activity (LA) - psgr'!$B$63</f>
        <v>52273382.168159135</v>
      </c>
      <c r="M65" s="22">
        <f>'Level of Activity (LA) - psgr'!M65*'Level of Activity (LA) - psgr'!$B$63</f>
        <v>54887051.276567072</v>
      </c>
      <c r="N65" s="22">
        <f>'Level of Activity (LA) - psgr'!N65*'Level of Activity (LA) - psgr'!$B$63</f>
        <v>57631403.840395436</v>
      </c>
      <c r="O65" s="22">
        <f>'Level of Activity (LA) - psgr'!O65*'Level of Activity (LA) - psgr'!$B$63</f>
        <v>60512974.032415211</v>
      </c>
      <c r="P65" s="22">
        <f>'Level of Activity (LA) - psgr'!P65*'Level of Activity (LA) - psgr'!$B$63</f>
        <v>63538622.734035984</v>
      </c>
      <c r="Q65" s="22">
        <f>'Level of Activity (LA) - psgr'!Q65*'Level of Activity (LA) - psgr'!$B$63</f>
        <v>66715553.870737776</v>
      </c>
      <c r="R65" s="22">
        <f>'Level of Activity (LA) - psgr'!R65*'Level of Activity (LA) - psgr'!$B$63</f>
        <v>70051331.564274669</v>
      </c>
      <c r="S65" s="22">
        <f>'Level of Activity (LA) - psgr'!S65*'Level of Activity (LA) - psgr'!$B$63</f>
        <v>73553898.14248839</v>
      </c>
      <c r="T65" s="22">
        <f>'Level of Activity (LA) - psgr'!T65*'Level of Activity (LA) - psgr'!$B$63</f>
        <v>77231593.04961282</v>
      </c>
      <c r="U65" s="22">
        <f>'Level of Activity (LA) - psgr'!U65*'Level of Activity (LA) - psgr'!$B$63</f>
        <v>81093172.702093452</v>
      </c>
      <c r="V65" s="22">
        <f>'Level of Activity (LA) - psgr'!V65*'Level of Activity (LA) - psgr'!$B$63</f>
        <v>85147831.337198138</v>
      </c>
      <c r="W65" s="22">
        <f>'Level of Activity (LA) - psgr'!W65*'Level of Activity (LA) - psgr'!$B$63</f>
        <v>89405222.904058039</v>
      </c>
      <c r="X65" s="22">
        <f>'Level of Activity (LA) - psgr'!X65*'Level of Activity (LA) - psgr'!$B$63</f>
        <v>93875484.049260959</v>
      </c>
      <c r="Y65" s="22">
        <f>'Level of Activity (LA) - psgr'!Y65*'Level of Activity (LA) - psgr'!$B$63</f>
        <v>98569258.251724005</v>
      </c>
      <c r="Z65" s="22">
        <f>'Level of Activity (LA) - psgr'!Z65*'Level of Activity (LA) - psgr'!$B$63</f>
        <v>103497721.1643102</v>
      </c>
      <c r="AA65" s="22">
        <f>'Level of Activity (LA) - psgr'!AA65*'Level of Activity (LA) - psgr'!$B$63</f>
        <v>108672607.22252572</v>
      </c>
      <c r="AB65" s="22">
        <f>'Level of Activity (LA) - psgr'!AB65*'Level of Activity (LA) - psgr'!$B$63</f>
        <v>114106237.58365202</v>
      </c>
      <c r="AC65" s="22">
        <f>'Level of Activity (LA) - psgr'!AC65*'Level of Activity (LA) - psgr'!$B$63</f>
        <v>119811549.4628346</v>
      </c>
      <c r="AD65" s="22">
        <f>'Level of Activity (LA) - psgr'!AD65*'Level of Activity (LA) - psgr'!$B$63</f>
        <v>125802126.93597636</v>
      </c>
      <c r="AE65" s="22">
        <f>'Level of Activity (LA) - psgr'!AE65*'Level of Activity (LA) - psgr'!$B$63</f>
        <v>132092233.28277516</v>
      </c>
      <c r="AF65" s="22">
        <f>'Level of Activity (LA) - psgr'!AF65*'Level of Activity (LA) - psgr'!$B$63</f>
        <v>138696844.94691396</v>
      </c>
      <c r="AG65" s="22">
        <f>'Level of Activity (LA) - psgr'!AG65*'Level of Activity (LA) - psgr'!$B$63</f>
        <v>145631687.19425964</v>
      </c>
      <c r="AH65" s="22">
        <f>'Level of Activity (LA) - psgr'!AH65*'Level of Activity (LA) - psgr'!$B$63</f>
        <v>152913271.55397263</v>
      </c>
      <c r="AI65" s="22">
        <f>'Level of Activity (LA) - psgr'!AI65*'Level of Activity (LA) - psgr'!$B$63</f>
        <v>160558935.13167128</v>
      </c>
      <c r="AJ65" s="22">
        <f>'Level of Activity (LA) - psgr'!AJ65*'Level of Activity (LA) - psgr'!$B$63</f>
        <v>168586881.88825485</v>
      </c>
      <c r="AK65" s="22">
        <f>'Level of Activity (LA) - psgr'!AK65*'Level of Activity (LA) - psgr'!$B$63</f>
        <v>177016225.9826676</v>
      </c>
      <c r="AL65" s="22">
        <f>'Level of Activity (LA) - psgr'!AL65*'Level of Activity (LA) - psgr'!$B$63</f>
        <v>185867037.28180099</v>
      </c>
      <c r="AM65" s="22">
        <f>'Level of Activity (LA) - psgr'!AM65*'Level of Activity (LA) - psgr'!$B$63</f>
        <v>195160389.14589101</v>
      </c>
      <c r="AN65" s="22">
        <f>'Level of Activity (LA) - psgr'!AN65*'Level of Activity (LA) - psgr'!$B$63</f>
        <v>204918408.60318559</v>
      </c>
    </row>
    <row r="66" spans="1:40" x14ac:dyDescent="0.2">
      <c r="A66" s="15" t="s">
        <v>54</v>
      </c>
      <c r="B66" s="22">
        <f>'Level of Activity (LA) - psgr'!B66*'Level of Activity (LA) - psgr'!$B$63</f>
        <v>80196213978.952194</v>
      </c>
      <c r="C66" s="22">
        <f>'Level of Activity (LA) - psgr'!C66*'Level of Activity (LA) - psgr'!$B$63</f>
        <v>84206024677.899811</v>
      </c>
      <c r="D66" s="22">
        <f>'Level of Activity (LA) - psgr'!D66*'Level of Activity (LA) - psgr'!$B$63</f>
        <v>88416325911.7948</v>
      </c>
      <c r="E66" s="22">
        <f>'Level of Activity (LA) - psgr'!E66*'Level of Activity (LA) - psgr'!$B$63</f>
        <v>92837142207.384552</v>
      </c>
      <c r="F66" s="22">
        <f>'Level of Activity (LA) - psgr'!F66*'Level of Activity (LA) - psgr'!$B$63</f>
        <v>97478999317.753799</v>
      </c>
      <c r="G66" s="22">
        <f>'Level of Activity (LA) - psgr'!G66*'Level of Activity (LA) - psgr'!$B$63</f>
        <v>102352949283.64146</v>
      </c>
      <c r="H66" s="22">
        <f>'Level of Activity (LA) - psgr'!H66*'Level of Activity (LA) - psgr'!$B$63</f>
        <v>107470596747.82355</v>
      </c>
      <c r="I66" s="22">
        <f>'Level of Activity (LA) - psgr'!I66*'Level of Activity (LA) - psgr'!$B$63</f>
        <v>112844126585.21472</v>
      </c>
      <c r="J66" s="22">
        <f>'Level of Activity (LA) - psgr'!J66*'Level of Activity (LA) - psgr'!$B$63</f>
        <v>118486332914.47546</v>
      </c>
      <c r="K66" s="22">
        <f>'Level of Activity (LA) - psgr'!K66*'Level of Activity (LA) - psgr'!$B$63</f>
        <v>124410649560.19925</v>
      </c>
      <c r="L66" s="22">
        <f>'Level of Activity (LA) - psgr'!L66*'Level of Activity (LA) - psgr'!$B$63</f>
        <v>130631182038.20923</v>
      </c>
      <c r="M66" s="22">
        <f>'Level of Activity (LA) - psgr'!M66*'Level of Activity (LA) - psgr'!$B$63</f>
        <v>137162741140.11969</v>
      </c>
      <c r="N66" s="22">
        <f>'Level of Activity (LA) - psgr'!N66*'Level of Activity (LA) - psgr'!$B$63</f>
        <v>144020878197.1257</v>
      </c>
      <c r="O66" s="22">
        <f>'Level of Activity (LA) - psgr'!O66*'Level of Activity (LA) - psgr'!$B$63</f>
        <v>151221922106.98196</v>
      </c>
      <c r="P66" s="22">
        <f>'Level of Activity (LA) - psgr'!P66*'Level of Activity (LA) - psgr'!$B$63</f>
        <v>158783018212.33105</v>
      </c>
      <c r="Q66" s="22">
        <f>'Level of Activity (LA) - psgr'!Q66*'Level of Activity (LA) - psgr'!$B$63</f>
        <v>166722169122.94763</v>
      </c>
      <c r="R66" s="22">
        <f>'Level of Activity (LA) - psgr'!R66*'Level of Activity (LA) - psgr'!$B$63</f>
        <v>175058277579.095</v>
      </c>
      <c r="S66" s="22">
        <f>'Level of Activity (LA) - psgr'!S66*'Level of Activity (LA) - psgr'!$B$63</f>
        <v>183811191458.04977</v>
      </c>
      <c r="T66" s="22">
        <f>'Level of Activity (LA) - psgr'!T66*'Level of Activity (LA) - psgr'!$B$63</f>
        <v>193001751030.95227</v>
      </c>
      <c r="U66" s="22">
        <f>'Level of Activity (LA) - psgr'!U66*'Level of Activity (LA) - psgr'!$B$63</f>
        <v>202651838582.49991</v>
      </c>
      <c r="V66" s="22">
        <f>'Level of Activity (LA) - psgr'!V66*'Level of Activity (LA) - psgr'!$B$63</f>
        <v>212784430511.62491</v>
      </c>
      <c r="W66" s="22">
        <f>'Level of Activity (LA) - psgr'!W66*'Level of Activity (LA) - psgr'!$B$63</f>
        <v>223423652037.20615</v>
      </c>
      <c r="X66" s="22">
        <f>'Level of Activity (LA) - psgr'!X66*'Level of Activity (LA) - psgr'!$B$63</f>
        <v>234594834639.06644</v>
      </c>
      <c r="Y66" s="22">
        <f>'Level of Activity (LA) - psgr'!Y66*'Level of Activity (LA) - psgr'!$B$63</f>
        <v>246324576371.01978</v>
      </c>
      <c r="Z66" s="22">
        <f>'Level of Activity (LA) - psgr'!Z66*'Level of Activity (LA) - psgr'!$B$63</f>
        <v>258640805189.57074</v>
      </c>
      <c r="AA66" s="22">
        <f>'Level of Activity (LA) - psgr'!AA66*'Level of Activity (LA) - psgr'!$B$63</f>
        <v>271572845449.04935</v>
      </c>
      <c r="AB66" s="22">
        <f>'Level of Activity (LA) - psgr'!AB66*'Level of Activity (LA) - psgr'!$B$63</f>
        <v>285151487721.50183</v>
      </c>
      <c r="AC66" s="22">
        <f>'Level of Activity (LA) - psgr'!AC66*'Level of Activity (LA) - psgr'!$B$63</f>
        <v>299409062107.5769</v>
      </c>
      <c r="AD66" s="22">
        <f>'Level of Activity (LA) - psgr'!AD66*'Level of Activity (LA) - psgr'!$B$63</f>
        <v>314379515212.95575</v>
      </c>
      <c r="AE66" s="22">
        <f>'Level of Activity (LA) - psgr'!AE66*'Level of Activity (LA) - psgr'!$B$63</f>
        <v>330098490973.60352</v>
      </c>
      <c r="AF66" s="22">
        <f>'Level of Activity (LA) - psgr'!AF66*'Level of Activity (LA) - psgr'!$B$63</f>
        <v>346603415522.28375</v>
      </c>
      <c r="AG66" s="22">
        <f>'Level of Activity (LA) - psgr'!AG66*'Level of Activity (LA) - psgr'!$B$63</f>
        <v>363933586298.39795</v>
      </c>
      <c r="AH66" s="22">
        <f>'Level of Activity (LA) - psgr'!AH66*'Level of Activity (LA) - psgr'!$B$63</f>
        <v>382130265613.31787</v>
      </c>
      <c r="AI66" s="22">
        <f>'Level of Activity (LA) - psgr'!AI66*'Level of Activity (LA) - psgr'!$B$63</f>
        <v>401236778893.9837</v>
      </c>
      <c r="AJ66" s="22">
        <f>'Level of Activity (LA) - psgr'!AJ66*'Level of Activity (LA) - psgr'!$B$63</f>
        <v>421298617838.68304</v>
      </c>
      <c r="AK66" s="22">
        <f>'Level of Activity (LA) - psgr'!AK66*'Level of Activity (LA) - psgr'!$B$63</f>
        <v>442363548730.61713</v>
      </c>
      <c r="AL66" s="22">
        <f>'Level of Activity (LA) - psgr'!AL66*'Level of Activity (LA) - psgr'!$B$63</f>
        <v>464481726167.14801</v>
      </c>
      <c r="AM66" s="22">
        <f>'Level of Activity (LA) - psgr'!AM66*'Level of Activity (LA) - psgr'!$B$63</f>
        <v>487705812475.50543</v>
      </c>
      <c r="AN66" s="22">
        <f>'Level of Activity (LA) - psgr'!AN66*'Level of Activity (LA) - psgr'!$B$63</f>
        <v>512091103099.2807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B90F1-9FB9-9741-BECC-B27E77F2D159}">
  <sheetPr>
    <tabColor theme="4" tint="0.59999389629810485"/>
  </sheetPr>
  <dimension ref="A1:AN66"/>
  <sheetViews>
    <sheetView topLeftCell="Q24" workbookViewId="0">
      <selection activeCell="B65" sqref="B65:AN66"/>
    </sheetView>
  </sheetViews>
  <sheetFormatPr baseColWidth="10" defaultRowHeight="15" x14ac:dyDescent="0.2"/>
  <cols>
    <col min="2" max="2" width="20.5" bestFit="1" customWidth="1"/>
  </cols>
  <sheetData>
    <row r="1" spans="1:40" x14ac:dyDescent="0.2">
      <c r="A1" s="17" t="s">
        <v>85</v>
      </c>
    </row>
    <row r="2" spans="1:40" x14ac:dyDescent="0.2">
      <c r="A2" s="14" t="s">
        <v>16</v>
      </c>
    </row>
    <row r="3" spans="1:40" x14ac:dyDescent="0.2">
      <c r="A3" s="14" t="s">
        <v>17</v>
      </c>
    </row>
    <row r="4" spans="1:40" x14ac:dyDescent="0.2">
      <c r="A4" s="14" t="s">
        <v>18</v>
      </c>
    </row>
    <row r="5" spans="1:40" x14ac:dyDescent="0.2">
      <c r="A5" s="14"/>
    </row>
    <row r="6" spans="1:40" x14ac:dyDescent="0.2">
      <c r="A6" s="15" t="s">
        <v>19</v>
      </c>
      <c r="B6" s="15">
        <v>2022</v>
      </c>
      <c r="C6" s="15">
        <v>2023</v>
      </c>
      <c r="D6" s="15">
        <v>2024</v>
      </c>
      <c r="E6" s="15">
        <v>2025</v>
      </c>
      <c r="F6" s="15">
        <v>2026</v>
      </c>
      <c r="G6" s="15">
        <v>2027</v>
      </c>
      <c r="H6" s="15">
        <v>2028</v>
      </c>
      <c r="I6" s="15">
        <v>2029</v>
      </c>
      <c r="J6" s="15">
        <v>2030</v>
      </c>
      <c r="K6" s="15">
        <v>2031</v>
      </c>
      <c r="L6" s="15">
        <v>2032</v>
      </c>
      <c r="M6" s="15">
        <v>2033</v>
      </c>
      <c r="N6" s="15">
        <v>2034</v>
      </c>
      <c r="O6" s="15">
        <v>2035</v>
      </c>
      <c r="P6" s="15">
        <v>2036</v>
      </c>
      <c r="Q6" s="15">
        <v>2037</v>
      </c>
      <c r="R6" s="15">
        <v>2038</v>
      </c>
      <c r="S6" s="15">
        <v>2039</v>
      </c>
      <c r="T6" s="15">
        <v>2040</v>
      </c>
      <c r="U6" s="15">
        <v>2041</v>
      </c>
      <c r="V6" s="15">
        <v>2042</v>
      </c>
      <c r="W6" s="15">
        <v>2043</v>
      </c>
      <c r="X6" s="15">
        <v>2044</v>
      </c>
      <c r="Y6" s="15">
        <v>2045</v>
      </c>
      <c r="Z6" s="15">
        <v>2046</v>
      </c>
      <c r="AA6" s="15">
        <v>2047</v>
      </c>
      <c r="AB6" s="15">
        <v>2048</v>
      </c>
      <c r="AC6" s="15">
        <v>2049</v>
      </c>
      <c r="AD6" s="15">
        <v>2050</v>
      </c>
      <c r="AE6" s="15">
        <v>2051</v>
      </c>
      <c r="AF6" s="15">
        <v>2052</v>
      </c>
      <c r="AG6" s="15">
        <v>2053</v>
      </c>
      <c r="AH6" s="15">
        <v>2054</v>
      </c>
      <c r="AI6" s="15">
        <v>2055</v>
      </c>
      <c r="AJ6" s="15">
        <v>2056</v>
      </c>
      <c r="AK6" s="15">
        <v>2057</v>
      </c>
      <c r="AL6" s="15">
        <v>2058</v>
      </c>
      <c r="AM6" s="15">
        <v>2059</v>
      </c>
      <c r="AN6" s="15">
        <v>2060</v>
      </c>
    </row>
    <row r="7" spans="1:40" x14ac:dyDescent="0.2">
      <c r="A7" s="15" t="s">
        <v>20</v>
      </c>
      <c r="B7" s="22">
        <f>'Energy Consumption (EC) - psgr'!B7*'Energy Consumption (EC) - psgr'!$B$5</f>
        <v>376871064722291.94</v>
      </c>
      <c r="C7" s="22">
        <f>'Energy Consumption (EC) - psgr'!C7*'Energy Consumption (EC) - psgr'!$B$5</f>
        <v>387461286815615.31</v>
      </c>
      <c r="D7" s="22">
        <f>'Energy Consumption (EC) - psgr'!D7*'Energy Consumption (EC) - psgr'!$B$5</f>
        <v>398349098229224.12</v>
      </c>
      <c r="E7" s="22">
        <f>'Energy Consumption (EC) - psgr'!E7*'Energy Consumption (EC) - psgr'!$B$5</f>
        <v>409542861337652.75</v>
      </c>
      <c r="F7" s="22">
        <f>'Energy Consumption (EC) - psgr'!F7*'Energy Consumption (EC) - psgr'!$B$5</f>
        <v>421051173501381.38</v>
      </c>
      <c r="G7" s="22">
        <f>'Energy Consumption (EC) - psgr'!G7*'Energy Consumption (EC) - psgr'!$B$5</f>
        <v>432882873670031.69</v>
      </c>
      <c r="H7" s="22">
        <f>'Energy Consumption (EC) - psgr'!H7*'Energy Consumption (EC) - psgr'!$B$5</f>
        <v>445047049171113.94</v>
      </c>
      <c r="I7" s="22">
        <f>'Energy Consumption (EC) - psgr'!I7*'Energy Consumption (EC) - psgr'!$B$5</f>
        <v>457553042689542.75</v>
      </c>
      <c r="J7" s="22">
        <f>'Energy Consumption (EC) - psgr'!J7*'Energy Consumption (EC) - psgr'!$B$5</f>
        <v>470410459443277.31</v>
      </c>
      <c r="K7" s="22">
        <f>'Energy Consumption (EC) - psgr'!K7*'Energy Consumption (EC) - psgr'!$B$5</f>
        <v>483629174560601.56</v>
      </c>
      <c r="L7" s="22">
        <f>'Energy Consumption (EC) - psgr'!L7*'Energy Consumption (EC) - psgr'!$B$5</f>
        <v>497219340664708.25</v>
      </c>
      <c r="M7" s="22">
        <f>'Energy Consumption (EC) - psgr'!M7*'Energy Consumption (EC) - psgr'!$B$5</f>
        <v>511191395671412.75</v>
      </c>
      <c r="N7" s="22">
        <f>'Energy Consumption (EC) - psgr'!N7*'Energy Consumption (EC) - psgr'!$B$5</f>
        <v>525556070805985.44</v>
      </c>
      <c r="O7" s="22">
        <f>'Energy Consumption (EC) - psgr'!O7*'Energy Consumption (EC) - psgr'!$B$5</f>
        <v>540324398845260.88</v>
      </c>
      <c r="P7" s="22">
        <f>'Energy Consumption (EC) - psgr'!P7*'Energy Consumption (EC) - psgr'!$B$5</f>
        <v>555507722591352.5</v>
      </c>
      <c r="Q7" s="22">
        <f>'Energy Consumption (EC) - psgr'!Q7*'Energy Consumption (EC) - psgr'!$B$5</f>
        <v>571117703583482.5</v>
      </c>
      <c r="R7" s="22">
        <f>'Energy Consumption (EC) - psgr'!R7*'Energy Consumption (EC) - psgr'!$B$5</f>
        <v>587166331054617.25</v>
      </c>
      <c r="S7" s="22">
        <f>'Energy Consumption (EC) - psgr'!S7*'Energy Consumption (EC) - psgr'!$B$5</f>
        <v>603665931139788</v>
      </c>
      <c r="T7" s="22">
        <f>'Energy Consumption (EC) - psgr'!T7*'Energy Consumption (EC) - psgr'!$B$5</f>
        <v>620629176343168.38</v>
      </c>
      <c r="U7" s="22">
        <f>'Energy Consumption (EC) - psgr'!U7*'Energy Consumption (EC) - psgr'!$B$5</f>
        <v>638069095271180.88</v>
      </c>
      <c r="V7" s="22">
        <f>'Energy Consumption (EC) - psgr'!V7*'Energy Consumption (EC) - psgr'!$B$5</f>
        <v>655999082639107.75</v>
      </c>
      <c r="W7" s="22">
        <f>'Energy Consumption (EC) - psgr'!W7*'Energy Consumption (EC) - psgr'!$B$5</f>
        <v>674432909558889.62</v>
      </c>
      <c r="X7" s="22">
        <f>'Energy Consumption (EC) - psgr'!X7*'Energy Consumption (EC) - psgr'!$B$5</f>
        <v>693384734116017.62</v>
      </c>
      <c r="Y7" s="22">
        <f>'Energy Consumption (EC) - psgr'!Y7*'Energy Consumption (EC) - psgr'!$B$5</f>
        <v>712869112243639.75</v>
      </c>
      <c r="Z7" s="22">
        <f>'Energy Consumption (EC) - psgr'!Z7*'Energy Consumption (EC) - psgr'!$B$5</f>
        <v>732901008902231.75</v>
      </c>
      <c r="AA7" s="22">
        <f>'Energy Consumption (EC) - psgr'!AA7*'Energy Consumption (EC) - psgr'!$B$5</f>
        <v>753495809573423.62</v>
      </c>
      <c r="AB7" s="22">
        <f>'Energy Consumption (EC) - psgr'!AB7*'Energy Consumption (EC) - psgr'!$B$5</f>
        <v>774669332076805.88</v>
      </c>
      <c r="AC7" s="22">
        <f>'Energy Consumption (EC) - psgr'!AC7*'Energy Consumption (EC) - psgr'!$B$5</f>
        <v>796437838718793.12</v>
      </c>
      <c r="AD7" s="22">
        <f>'Energy Consumption (EC) - psgr'!AD7*'Energy Consumption (EC) - psgr'!$B$5</f>
        <v>818818048782873.5</v>
      </c>
      <c r="AE7" s="22">
        <f>'Energy Consumption (EC) - psgr'!AE7*'Energy Consumption (EC) - psgr'!$B$5</f>
        <v>841827151370842.75</v>
      </c>
      <c r="AF7" s="22">
        <f>'Energy Consumption (EC) - psgr'!AF7*'Energy Consumption (EC) - psgr'!$B$5</f>
        <v>865482818604877.88</v>
      </c>
      <c r="AG7" s="22">
        <f>'Energy Consumption (EC) - psgr'!AG7*'Energy Consumption (EC) - psgr'!$B$5</f>
        <v>889803219200597</v>
      </c>
      <c r="AH7" s="22">
        <f>'Energy Consumption (EC) - psgr'!AH7*'Energy Consumption (EC) - psgr'!$B$5</f>
        <v>914807032421525</v>
      </c>
      <c r="AI7" s="22">
        <f>'Energy Consumption (EC) - psgr'!AI7*'Energy Consumption (EC) - psgr'!$B$5</f>
        <v>940513462425688.5</v>
      </c>
      <c r="AJ7" s="22">
        <f>'Energy Consumption (EC) - psgr'!AJ7*'Energy Consumption (EC) - psgr'!$B$5</f>
        <v>966942253015351.25</v>
      </c>
      <c r="AK7" s="22">
        <f>'Energy Consumption (EC) - psgr'!AK7*'Energy Consumption (EC) - psgr'!$B$5</f>
        <v>994113702801226.62</v>
      </c>
      <c r="AL7" s="22">
        <f>'Energy Consumption (EC) - psgr'!AL7*'Energy Consumption (EC) - psgr'!$B$5</f>
        <v>1022048680792808.4</v>
      </c>
      <c r="AM7" s="22">
        <f>'Energy Consumption (EC) - psgr'!AM7*'Energy Consumption (EC) - psgr'!$B$5</f>
        <v>1050768642426795.4</v>
      </c>
      <c r="AN7" s="22">
        <f>'Energy Consumption (EC) - psgr'!AN7*'Energy Consumption (EC) - psgr'!$B$5</f>
        <v>1080295646045923.2</v>
      </c>
    </row>
    <row r="8" spans="1:40" x14ac:dyDescent="0.2">
      <c r="A8" s="15" t="s">
        <v>21</v>
      </c>
      <c r="B8" s="22">
        <f>'Energy Consumption (EC) - psgr'!B8*'Energy Consumption (EC) - psgr'!$B$5</f>
        <v>52959646557.709053</v>
      </c>
      <c r="C8" s="22">
        <f>'Energy Consumption (EC) - psgr'!C8*'Energy Consumption (EC) - psgr'!$B$5</f>
        <v>54447833026.583588</v>
      </c>
      <c r="D8" s="22">
        <f>'Energy Consumption (EC) - psgr'!D8*'Energy Consumption (EC) - psgr'!$B$5</f>
        <v>55977838108.498306</v>
      </c>
      <c r="E8" s="22">
        <f>'Energy Consumption (EC) - psgr'!E8*'Energy Consumption (EC) - psgr'!$B$5</f>
        <v>57550836922.588562</v>
      </c>
      <c r="F8" s="22">
        <f>'Energy Consumption (EC) - psgr'!F8*'Energy Consumption (EC) - psgr'!$B$5</f>
        <v>59168037609.290169</v>
      </c>
      <c r="G8" s="22">
        <f>'Energy Consumption (EC) - psgr'!G8*'Energy Consumption (EC) - psgr'!$B$5</f>
        <v>60830682258.250488</v>
      </c>
      <c r="H8" s="22">
        <f>'Energy Consumption (EC) - psgr'!H8*'Energy Consumption (EC) - psgr'!$B$5</f>
        <v>62540047862.314484</v>
      </c>
      <c r="I8" s="22">
        <f>'Energy Consumption (EC) - psgr'!I8*'Energy Consumption (EC) - psgr'!$B$5</f>
        <v>64297447298.317978</v>
      </c>
      <c r="J8" s="22">
        <f>'Energy Consumption (EC) - psgr'!J8*'Energy Consumption (EC) - psgr'!$B$5</f>
        <v>66104230335.441589</v>
      </c>
      <c r="K8" s="22">
        <f>'Energy Consumption (EC) - psgr'!K8*'Energy Consumption (EC) - psgr'!$B$5</f>
        <v>67961784671.899849</v>
      </c>
      <c r="L8" s="22">
        <f>'Energy Consumption (EC) - psgr'!L8*'Energy Consumption (EC) - psgr'!$B$5</f>
        <v>69871537000.761719</v>
      </c>
      <c r="M8" s="22">
        <f>'Energy Consumption (EC) - psgr'!M8*'Energy Consumption (EC) - psgr'!$B$5</f>
        <v>71834954105.720932</v>
      </c>
      <c r="N8" s="22">
        <f>'Energy Consumption (EC) - psgr'!N8*'Energy Consumption (EC) - psgr'!$B$5</f>
        <v>73853543987.658035</v>
      </c>
      <c r="O8" s="22">
        <f>'Energy Consumption (EC) - psgr'!O8*'Energy Consumption (EC) - psgr'!$B$5</f>
        <v>75928857022.859253</v>
      </c>
      <c r="P8" s="22">
        <f>'Energy Consumption (EC) - psgr'!P8*'Energy Consumption (EC) - psgr'!$B$5</f>
        <v>78062487153.781647</v>
      </c>
      <c r="Q8" s="22">
        <f>'Energy Consumption (EC) - psgr'!Q8*'Energy Consumption (EC) - psgr'!$B$5</f>
        <v>80256073113.279312</v>
      </c>
      <c r="R8" s="22">
        <f>'Energy Consumption (EC) - psgr'!R8*'Energy Consumption (EC) - psgr'!$B$5</f>
        <v>82511299683.230865</v>
      </c>
      <c r="S8" s="22">
        <f>'Energy Consumption (EC) - psgr'!S8*'Energy Consumption (EC) - psgr'!$B$5</f>
        <v>84829898988.534592</v>
      </c>
      <c r="T8" s="22">
        <f>'Energy Consumption (EC) - psgr'!T8*'Energy Consumption (EC) - psgr'!$B$5</f>
        <v>87213651827.465759</v>
      </c>
      <c r="U8" s="22">
        <f>'Energy Consumption (EC) - psgr'!U8*'Energy Consumption (EC) - psgr'!$B$5</f>
        <v>89664389039.41713</v>
      </c>
      <c r="V8" s="22">
        <f>'Energy Consumption (EC) - psgr'!V8*'Energy Consumption (EC) - psgr'!$B$5</f>
        <v>92183992911.073624</v>
      </c>
      <c r="W8" s="22">
        <f>'Energy Consumption (EC) - psgr'!W8*'Energy Consumption (EC) - psgr'!$B$5</f>
        <v>94774398622.101089</v>
      </c>
      <c r="X8" s="22">
        <f>'Energy Consumption (EC) - psgr'!X8*'Energy Consumption (EC) - psgr'!$B$5</f>
        <v>97437595731.459457</v>
      </c>
      <c r="Y8" s="22">
        <f>'Energy Consumption (EC) - psgr'!Y8*'Energy Consumption (EC) - psgr'!$B$5</f>
        <v>100175629705.48184</v>
      </c>
      <c r="Z8" s="22">
        <f>'Energy Consumption (EC) - psgr'!Z8*'Energy Consumption (EC) - psgr'!$B$5</f>
        <v>102990603488.8932</v>
      </c>
      <c r="AA8" s="22">
        <f>'Energy Consumption (EC) - psgr'!AA8*'Energy Consumption (EC) - psgr'!$B$5</f>
        <v>105884679119.97543</v>
      </c>
      <c r="AB8" s="22">
        <f>'Energy Consumption (EC) - psgr'!AB8*'Energy Consumption (EC) - psgr'!$B$5</f>
        <v>108860079391.11885</v>
      </c>
      <c r="AC8" s="22">
        <f>'Energy Consumption (EC) - psgr'!AC8*'Energy Consumption (EC) - psgr'!$B$5</f>
        <v>111919089556.03639</v>
      </c>
      <c r="AD8" s="22">
        <f>'Energy Consumption (EC) - psgr'!AD8*'Energy Consumption (EC) - psgr'!$B$5</f>
        <v>115064059084.95039</v>
      </c>
      <c r="AE8" s="22">
        <f>'Energy Consumption (EC) - psgr'!AE8*'Energy Consumption (EC) - psgr'!$B$5</f>
        <v>118297403469.10162</v>
      </c>
      <c r="AF8" s="22">
        <f>'Energy Consumption (EC) - psgr'!AF8*'Energy Consumption (EC) - psgr'!$B$5</f>
        <v>121621606075.96518</v>
      </c>
      <c r="AG8" s="22">
        <f>'Energy Consumption (EC) - psgr'!AG8*'Energy Consumption (EC) - psgr'!$B$5</f>
        <v>125039220056.59879</v>
      </c>
      <c r="AH8" s="22">
        <f>'Energy Consumption (EC) - psgr'!AH8*'Energy Consumption (EC) - psgr'!$B$5</f>
        <v>128552870306.58836</v>
      </c>
      <c r="AI8" s="22">
        <f>'Energy Consumption (EC) - psgr'!AI8*'Energy Consumption (EC) - psgr'!$B$5</f>
        <v>132165255482.09703</v>
      </c>
      <c r="AJ8" s="22">
        <f>'Energy Consumption (EC) - psgr'!AJ8*'Energy Consumption (EC) - psgr'!$B$5</f>
        <v>135879150072.5656</v>
      </c>
      <c r="AK8" s="22">
        <f>'Energy Consumption (EC) - psgr'!AK8*'Energy Consumption (EC) - psgr'!$B$5</f>
        <v>139697406531.65689</v>
      </c>
      <c r="AL8" s="22">
        <f>'Energy Consumption (EC) - psgr'!AL8*'Energy Consumption (EC) - psgr'!$B$5</f>
        <v>143622957468.08047</v>
      </c>
      <c r="AM8" s="22">
        <f>'Energy Consumption (EC) - psgr'!AM8*'Energy Consumption (EC) - psgr'!$B$5</f>
        <v>147658817897.98029</v>
      </c>
      <c r="AN8" s="22">
        <f>'Energy Consumption (EC) - psgr'!AN8*'Energy Consumption (EC) - psgr'!$B$5</f>
        <v>151808087560.61548</v>
      </c>
    </row>
    <row r="9" spans="1:40" x14ac:dyDescent="0.2">
      <c r="A9" s="15" t="s">
        <v>22</v>
      </c>
      <c r="B9" s="22">
        <f>'Energy Consumption (EC) - psgr'!B9*'Energy Consumption (EC) - psgr'!$B$5</f>
        <v>167731299860.80939</v>
      </c>
      <c r="C9" s="22">
        <f>'Energy Consumption (EC) - psgr'!C9*'Energy Consumption (EC) - psgr'!$B$5</f>
        <v>172444613998.72748</v>
      </c>
      <c r="D9" s="22">
        <f>'Energy Consumption (EC) - psgr'!D9*'Energy Consumption (EC) - psgr'!$B$5</f>
        <v>177290374079.5383</v>
      </c>
      <c r="E9" s="22">
        <f>'Energy Consumption (EC) - psgr'!E9*'Energy Consumption (EC) - psgr'!$B$5</f>
        <v>182272301885.25677</v>
      </c>
      <c r="F9" s="22">
        <f>'Energy Consumption (EC) - psgr'!F9*'Energy Consumption (EC) - psgr'!$B$5</f>
        <v>187394223781.40598</v>
      </c>
      <c r="G9" s="22">
        <f>'Energy Consumption (EC) - psgr'!G9*'Energy Consumption (EC) - psgr'!$B$5</f>
        <v>192660073655.85422</v>
      </c>
      <c r="H9" s="22">
        <f>'Energy Consumption (EC) - psgr'!H9*'Energy Consumption (EC) - psgr'!$B$5</f>
        <v>198073895940.23416</v>
      </c>
      <c r="I9" s="22">
        <f>'Energy Consumption (EC) - psgr'!I9*'Energy Consumption (EC) - psgr'!$B$5</f>
        <v>203639848716.26553</v>
      </c>
      <c r="J9" s="22">
        <f>'Energy Consumption (EC) - psgr'!J9*'Energy Consumption (EC) - psgr'!$B$5</f>
        <v>209362206909.36578</v>
      </c>
      <c r="K9" s="22">
        <f>'Energy Consumption (EC) - psgr'!K9*'Energy Consumption (EC) - psgr'!$B$5</f>
        <v>215245365572.00369</v>
      </c>
      <c r="L9" s="22">
        <f>'Energy Consumption (EC) - psgr'!L9*'Energy Consumption (EC) - psgr'!$B$5</f>
        <v>221293843259.31525</v>
      </c>
      <c r="M9" s="22">
        <f>'Energy Consumption (EC) - psgr'!M9*'Energy Consumption (EC) - psgr'!$B$5</f>
        <v>227512285499.57635</v>
      </c>
      <c r="N9" s="22">
        <f>'Energy Consumption (EC) - psgr'!N9*'Energy Consumption (EC) - psgr'!$B$5</f>
        <v>233905468362.19696</v>
      </c>
      <c r="O9" s="22">
        <f>'Energy Consumption (EC) - psgr'!O9*'Energy Consumption (EC) - psgr'!$B$5</f>
        <v>240478302125.97729</v>
      </c>
      <c r="P9" s="22">
        <f>'Energy Consumption (EC) - psgr'!P9*'Energy Consumption (EC) - psgr'!$B$5</f>
        <v>247235835050.44327</v>
      </c>
      <c r="Q9" s="22">
        <f>'Energy Consumption (EC) - psgr'!Q9*'Energy Consumption (EC) - psgr'!$B$5</f>
        <v>254183257253.1582</v>
      </c>
      <c r="R9" s="22">
        <f>'Energy Consumption (EC) - psgr'!R9*'Energy Consumption (EC) - psgr'!$B$5</f>
        <v>261325904695.98834</v>
      </c>
      <c r="S9" s="22">
        <f>'Energy Consumption (EC) - psgr'!S9*'Energy Consumption (EC) - psgr'!$B$5</f>
        <v>268669263283.38351</v>
      </c>
      <c r="T9" s="22">
        <f>'Energy Consumption (EC) - psgr'!T9*'Energy Consumption (EC) - psgr'!$B$5</f>
        <v>276218973075.82202</v>
      </c>
      <c r="U9" s="22">
        <f>'Energy Consumption (EC) - psgr'!U9*'Energy Consumption (EC) - psgr'!$B$5</f>
        <v>283980832621.6543</v>
      </c>
      <c r="V9" s="22">
        <f>'Energy Consumption (EC) - psgr'!V9*'Energy Consumption (EC) - psgr'!$B$5</f>
        <v>291960803410.67303</v>
      </c>
      <c r="W9" s="22">
        <f>'Energy Consumption (EC) - psgr'!W9*'Energy Consumption (EC) - psgr'!$B$5</f>
        <v>300165014452.8302</v>
      </c>
      <c r="X9" s="22">
        <f>'Energy Consumption (EC) - psgr'!X9*'Energy Consumption (EC) - psgr'!$B$5</f>
        <v>308599766985.6189</v>
      </c>
      <c r="Y9" s="22">
        <f>'Energy Consumption (EC) - psgr'!Y9*'Energy Consumption (EC) - psgr'!$B$5</f>
        <v>317271539313.73273</v>
      </c>
      <c r="Z9" s="22">
        <f>'Energy Consumption (EC) - psgr'!Z9*'Energy Consumption (EC) - psgr'!$B$5</f>
        <v>326186991784.72284</v>
      </c>
      <c r="AA9" s="22">
        <f>'Energy Consumption (EC) - psgr'!AA9*'Energy Consumption (EC) - psgr'!$B$5</f>
        <v>335352971904.47217</v>
      </c>
      <c r="AB9" s="22">
        <f>'Energy Consumption (EC) - psgr'!AB9*'Energy Consumption (EC) - psgr'!$B$5</f>
        <v>344776519596.41669</v>
      </c>
      <c r="AC9" s="22">
        <f>'Energy Consumption (EC) - psgr'!AC9*'Energy Consumption (EC) - psgr'!$B$5</f>
        <v>354464872608.5528</v>
      </c>
      <c r="AD9" s="22">
        <f>'Energy Consumption (EC) - psgr'!AD9*'Energy Consumption (EC) - psgr'!$B$5</f>
        <v>364425472072.38348</v>
      </c>
      <c r="AE9" s="22">
        <f>'Energy Consumption (EC) - psgr'!AE9*'Energy Consumption (EC) - psgr'!$B$5</f>
        <v>374665968218.07373</v>
      </c>
      <c r="AF9" s="22">
        <f>'Energy Consumption (EC) - psgr'!AF9*'Energy Consumption (EC) - psgr'!$B$5</f>
        <v>385194226250.2027</v>
      </c>
      <c r="AG9" s="22">
        <f>'Energy Consumption (EC) - psgr'!AG9*'Energy Consumption (EC) - psgr'!$B$5</f>
        <v>396018332388.6283</v>
      </c>
      <c r="AH9" s="22">
        <f>'Energy Consumption (EC) - psgr'!AH9*'Energy Consumption (EC) - psgr'!$B$5</f>
        <v>407146600079.1012</v>
      </c>
      <c r="AI9" s="22">
        <f>'Energy Consumption (EC) - psgr'!AI9*'Energy Consumption (EC) - psgr'!$B$5</f>
        <v>418587576378.39996</v>
      </c>
      <c r="AJ9" s="22">
        <f>'Energy Consumption (EC) - psgr'!AJ9*'Energy Consumption (EC) - psgr'!$B$5</f>
        <v>430350048518.89124</v>
      </c>
      <c r="AK9" s="22">
        <f>'Energy Consumption (EC) - psgr'!AK9*'Energy Consumption (EC) - psgr'!$B$5</f>
        <v>442443050657.55609</v>
      </c>
      <c r="AL9" s="22">
        <f>'Energy Consumption (EC) - psgr'!AL9*'Energy Consumption (EC) - psgr'!$B$5</f>
        <v>454875870814.66687</v>
      </c>
      <c r="AM9" s="22">
        <f>'Energy Consumption (EC) - psgr'!AM9*'Energy Consumption (EC) - psgr'!$B$5</f>
        <v>467658058007.44312</v>
      </c>
      <c r="AN9" s="22">
        <f>'Energy Consumption (EC) - psgr'!AN9*'Energy Consumption (EC) - psgr'!$B$5</f>
        <v>480799429584.16705</v>
      </c>
    </row>
    <row r="10" spans="1:40" x14ac:dyDescent="0.2">
      <c r="A10" s="15" t="s">
        <v>23</v>
      </c>
      <c r="B10" s="22">
        <f>'Energy Consumption (EC) - psgr'!B10*'Energy Consumption (EC) - psgr'!$B$5</f>
        <v>5425350038098.3818</v>
      </c>
      <c r="C10" s="22">
        <f>'Energy Consumption (EC) - psgr'!C10*'Energy Consumption (EC) - psgr'!$B$5</f>
        <v>5577804464069.8242</v>
      </c>
      <c r="D10" s="22">
        <f>'Energy Consumption (EC) - psgr'!D10*'Energy Consumption (EC) - psgr'!$B$5</f>
        <v>5734542918138.0811</v>
      </c>
      <c r="E10" s="22">
        <f>'Energy Consumption (EC) - psgr'!E10*'Energy Consumption (EC) - psgr'!$B$5</f>
        <v>5895685783142.9297</v>
      </c>
      <c r="F10" s="22">
        <f>'Energy Consumption (EC) - psgr'!F10*'Energy Consumption (EC) - psgr'!$B$5</f>
        <v>6061356824728.3096</v>
      </c>
      <c r="G10" s="22">
        <f>'Energy Consumption (EC) - psgr'!G10*'Energy Consumption (EC) - psgr'!$B$5</f>
        <v>6231683286400.4365</v>
      </c>
      <c r="H10" s="22">
        <f>'Energy Consumption (EC) - psgr'!H10*'Energy Consumption (EC) - psgr'!$B$5</f>
        <v>6406795987257.0605</v>
      </c>
      <c r="I10" s="22">
        <f>'Energy Consumption (EC) - psgr'!I10*'Energy Consumption (EC) - psgr'!$B$5</f>
        <v>6586829422462.9785</v>
      </c>
      <c r="J10" s="22">
        <f>'Energy Consumption (EC) - psgr'!J10*'Energy Consumption (EC) - psgr'!$B$5</f>
        <v>6771921866548.9219</v>
      </c>
      <c r="K10" s="22">
        <f>'Energy Consumption (EC) - psgr'!K10*'Energy Consumption (EC) - psgr'!$B$5</f>
        <v>6962215479613.2002</v>
      </c>
      <c r="L10" s="22">
        <f>'Energy Consumption (EC) - psgr'!L10*'Energy Consumption (EC) - psgr'!$B$5</f>
        <v>7157856416507.6523</v>
      </c>
      <c r="M10" s="22">
        <f>'Energy Consumption (EC) - psgr'!M10*'Energy Consumption (EC) - psgr'!$B$5</f>
        <v>7358994939091.7471</v>
      </c>
      <c r="N10" s="22">
        <f>'Energy Consumption (EC) - psgr'!N10*'Energy Consumption (EC) - psgr'!$B$5</f>
        <v>7565785531641.0918</v>
      </c>
      <c r="O10" s="22">
        <f>'Energy Consumption (EC) - psgr'!O10*'Energy Consumption (EC) - psgr'!$B$5</f>
        <v>7778387019498.9453</v>
      </c>
      <c r="P10" s="22">
        <f>'Energy Consumption (EC) - psgr'!P10*'Energy Consumption (EC) - psgr'!$B$5</f>
        <v>7996962691061.8936</v>
      </c>
      <c r="Q10" s="22">
        <f>'Energy Consumption (EC) - psgr'!Q10*'Energy Consumption (EC) - psgr'!$B$5</f>
        <v>8221680423193.3672</v>
      </c>
      <c r="R10" s="22">
        <f>'Energy Consumption (EC) - psgr'!R10*'Energy Consumption (EC) - psgr'!$B$5</f>
        <v>8452712810161.3262</v>
      </c>
      <c r="S10" s="22">
        <f>'Energy Consumption (EC) - psgr'!S10*'Energy Consumption (EC) - psgr'!$B$5</f>
        <v>8690237296199.1494</v>
      </c>
      <c r="T10" s="22">
        <f>'Energy Consumption (EC) - psgr'!T10*'Energy Consumption (EC) - psgr'!$B$5</f>
        <v>8934436311791.5195</v>
      </c>
      <c r="U10" s="22">
        <f>'Energy Consumption (EC) - psgr'!U10*'Energy Consumption (EC) - psgr'!$B$5</f>
        <v>9185497413790.0156</v>
      </c>
      <c r="V10" s="22">
        <f>'Energy Consumption (EC) - psgr'!V10*'Energy Consumption (EC) - psgr'!$B$5</f>
        <v>9443613429466.002</v>
      </c>
      <c r="W10" s="22">
        <f>'Energy Consumption (EC) - psgr'!W10*'Energy Consumption (EC) - psgr'!$B$5</f>
        <v>9708982604611.4434</v>
      </c>
      <c r="X10" s="22">
        <f>'Energy Consumption (EC) - psgr'!X10*'Energy Consumption (EC) - psgr'!$B$5</f>
        <v>9981808755801.4121</v>
      </c>
      <c r="Y10" s="22">
        <f>'Energy Consumption (EC) - psgr'!Y10*'Energy Consumption (EC) - psgr'!$B$5</f>
        <v>10262301426935.271</v>
      </c>
      <c r="Z10" s="22">
        <f>'Energy Consumption (EC) - psgr'!Z10*'Energy Consumption (EC) - psgr'!$B$5</f>
        <v>10550676050176.672</v>
      </c>
      <c r="AA10" s="22">
        <f>'Energy Consumption (EC) - psgr'!AA10*'Energy Consumption (EC) - psgr'!$B$5</f>
        <v>10847154111416.031</v>
      </c>
      <c r="AB10" s="22">
        <f>'Energy Consumption (EC) - psgr'!AB10*'Energy Consumption (EC) - psgr'!$B$5</f>
        <v>11151963320382.631</v>
      </c>
      <c r="AC10" s="22">
        <f>'Energy Consumption (EC) - psgr'!AC10*'Energy Consumption (EC) - psgr'!$B$5</f>
        <v>11465337785536.854</v>
      </c>
      <c r="AD10" s="22">
        <f>'Energy Consumption (EC) - psgr'!AD10*'Energy Consumption (EC) - psgr'!$B$5</f>
        <v>11787518193876.984</v>
      </c>
      <c r="AE10" s="22">
        <f>'Energy Consumption (EC) - psgr'!AE10*'Energy Consumption (EC) - psgr'!$B$5</f>
        <v>12118751995798.697</v>
      </c>
      <c r="AF10" s="22">
        <f>'Energy Consumption (EC) - psgr'!AF10*'Energy Consumption (EC) - psgr'!$B$5</f>
        <v>12459293595149.092</v>
      </c>
      <c r="AG10" s="22">
        <f>'Energy Consumption (EC) - psgr'!AG10*'Energy Consumption (EC) - psgr'!$B$5</f>
        <v>12809404544621.375</v>
      </c>
      <c r="AH10" s="22">
        <f>'Energy Consumption (EC) - psgr'!AH10*'Energy Consumption (EC) - psgr'!$B$5</f>
        <v>13169353746640.182</v>
      </c>
      <c r="AI10" s="22">
        <f>'Energy Consumption (EC) - psgr'!AI10*'Energy Consumption (EC) - psgr'!$B$5</f>
        <v>13539417659891.867</v>
      </c>
      <c r="AJ10" s="22">
        <f>'Energy Consumption (EC) - psgr'!AJ10*'Energy Consumption (EC) - psgr'!$B$5</f>
        <v>13919880511658.369</v>
      </c>
      <c r="AK10" s="22">
        <f>'Energy Consumption (EC) - psgr'!AK10*'Energy Consumption (EC) - psgr'!$B$5</f>
        <v>14311034516117.732</v>
      </c>
      <c r="AL10" s="22">
        <f>'Energy Consumption (EC) - psgr'!AL10*'Energy Consumption (EC) - psgr'!$B$5</f>
        <v>14713180098778.967</v>
      </c>
      <c r="AM10" s="22">
        <f>'Energy Consumption (EC) - psgr'!AM10*'Energy Consumption (EC) - psgr'!$B$5</f>
        <v>15126626127223.607</v>
      </c>
      <c r="AN10" s="22">
        <f>'Energy Consumption (EC) - psgr'!AN10*'Energy Consumption (EC) - psgr'!$B$5</f>
        <v>15551690148331.229</v>
      </c>
    </row>
    <row r="11" spans="1:40" x14ac:dyDescent="0.2">
      <c r="A11" s="15" t="s">
        <v>24</v>
      </c>
      <c r="B11" s="22">
        <f>'Energy Consumption (EC) - psgr'!B11*'Energy Consumption (EC) - psgr'!$B$5</f>
        <v>88655317142588.422</v>
      </c>
      <c r="C11" s="22">
        <f>'Energy Consumption (EC) - psgr'!C11*'Energy Consumption (EC) - psgr'!$B$5</f>
        <v>91146565705239.109</v>
      </c>
      <c r="D11" s="22">
        <f>'Energy Consumption (EC) - psgr'!D11*'Energy Consumption (EC) - psgr'!$B$5</f>
        <v>93707819312154.938</v>
      </c>
      <c r="E11" s="22">
        <f>'Energy Consumption (EC) - psgr'!E11*'Energy Consumption (EC) - psgr'!$B$5</f>
        <v>96341045132046.469</v>
      </c>
      <c r="F11" s="22">
        <f>'Energy Consumption (EC) - psgr'!F11*'Energy Consumption (EC) - psgr'!$B$5</f>
        <v>99048265611822.703</v>
      </c>
      <c r="G11" s="22">
        <f>'Energy Consumption (EC) - psgr'!G11*'Energy Consumption (EC) - psgr'!$B$5</f>
        <v>101831560029929.97</v>
      </c>
      <c r="H11" s="22">
        <f>'Energy Consumption (EC) - psgr'!H11*'Energy Consumption (EC) - psgr'!$B$5</f>
        <v>104693066093339.83</v>
      </c>
      <c r="I11" s="22">
        <f>'Energy Consumption (EC) - psgr'!I11*'Energy Consumption (EC) - psgr'!$B$5</f>
        <v>107634981579413.17</v>
      </c>
      <c r="J11" s="22">
        <f>'Energy Consumption (EC) - psgr'!J11*'Energy Consumption (EC) - psgr'!$B$5</f>
        <v>110659566023901.42</v>
      </c>
      <c r="K11" s="22">
        <f>'Energy Consumption (EC) - psgr'!K11*'Energy Consumption (EC) - psgr'!$B$5</f>
        <v>113769142456380.95</v>
      </c>
      <c r="L11" s="22">
        <f>'Energy Consumption (EC) - psgr'!L11*'Energy Consumption (EC) - psgr'!$B$5</f>
        <v>116966099184454.14</v>
      </c>
      <c r="M11" s="22">
        <f>'Energy Consumption (EC) - psgr'!M11*'Energy Consumption (EC) - psgr'!$B$5</f>
        <v>120252891628086.94</v>
      </c>
      <c r="N11" s="22">
        <f>'Energy Consumption (EC) - psgr'!N11*'Energy Consumption (EC) - psgr'!$B$5</f>
        <v>123632044205492.19</v>
      </c>
      <c r="O11" s="22">
        <f>'Energy Consumption (EC) - psgr'!O11*'Energy Consumption (EC) - psgr'!$B$5</f>
        <v>127106152272007.02</v>
      </c>
      <c r="P11" s="22">
        <f>'Energy Consumption (EC) - psgr'!P11*'Energy Consumption (EC) - psgr'!$B$5</f>
        <v>130677884113453.25</v>
      </c>
      <c r="Q11" s="22">
        <f>'Energy Consumption (EC) - psgr'!Q11*'Energy Consumption (EC) - psgr'!$B$5</f>
        <v>134349982995512.11</v>
      </c>
      <c r="R11" s="22">
        <f>'Energy Consumption (EC) - psgr'!R11*'Energy Consumption (EC) - psgr'!$B$5</f>
        <v>138125269270687.2</v>
      </c>
      <c r="S11" s="22">
        <f>'Energy Consumption (EC) - psgr'!S11*'Energy Consumption (EC) - psgr'!$B$5</f>
        <v>142006642544474.09</v>
      </c>
      <c r="T11" s="22">
        <f>'Energy Consumption (EC) - psgr'!T11*'Energy Consumption (EC) - psgr'!$B$5</f>
        <v>145997083902399.31</v>
      </c>
      <c r="U11" s="22">
        <f>'Energy Consumption (EC) - psgr'!U11*'Energy Consumption (EC) - psgr'!$B$5</f>
        <v>150099658199641.59</v>
      </c>
      <c r="V11" s="22">
        <f>'Energy Consumption (EC) - psgr'!V11*'Energy Consumption (EC) - psgr'!$B$5</f>
        <v>154317516414990.38</v>
      </c>
      <c r="W11" s="22">
        <f>'Energy Consumption (EC) - psgr'!W11*'Energy Consumption (EC) - psgr'!$B$5</f>
        <v>158653898070952.97</v>
      </c>
      <c r="X11" s="22">
        <f>'Energy Consumption (EC) - psgr'!X11*'Energy Consumption (EC) - psgr'!$B$5</f>
        <v>163112133721867.06</v>
      </c>
      <c r="Y11" s="22">
        <f>'Energy Consumption (EC) - psgr'!Y11*'Energy Consumption (EC) - psgr'!$B$5</f>
        <v>167695647511930.34</v>
      </c>
      <c r="Z11" s="22">
        <f>'Energy Consumption (EC) - psgr'!Z11*'Energy Consumption (EC) - psgr'!$B$5</f>
        <v>172407959805111.25</v>
      </c>
      <c r="AA11" s="22">
        <f>'Energy Consumption (EC) - psgr'!AA11*'Energy Consumption (EC) - psgr'!$B$5</f>
        <v>177252689888961.94</v>
      </c>
      <c r="AB11" s="22">
        <f>'Energy Consumption (EC) - psgr'!AB11*'Energy Consumption (EC) - psgr'!$B$5</f>
        <v>182233558754408.88</v>
      </c>
      <c r="AC11" s="22">
        <f>'Energy Consumption (EC) - psgr'!AC11*'Energy Consumption (EC) - psgr'!$B$5</f>
        <v>187354391953656.94</v>
      </c>
      <c r="AD11" s="22">
        <f>'Energy Consumption (EC) - psgr'!AD11*'Energy Consumption (EC) - psgr'!$B$5</f>
        <v>192619122538401.84</v>
      </c>
      <c r="AE11" s="22">
        <f>'Energy Consumption (EC) - psgr'!AE11*'Energy Consumption (EC) - psgr'!$B$5</f>
        <v>198031794080606.56</v>
      </c>
      <c r="AF11" s="22">
        <f>'Energy Consumption (EC) - psgr'!AF11*'Energy Consumption (EC) - psgr'!$B$5</f>
        <v>203596563778164.31</v>
      </c>
      <c r="AG11" s="22">
        <f>'Energy Consumption (EC) - psgr'!AG11*'Energy Consumption (EC) - psgr'!$B$5</f>
        <v>209317705647830.22</v>
      </c>
      <c r="AH11" s="22">
        <f>'Energy Consumption (EC) - psgr'!AH11*'Energy Consumption (EC) - psgr'!$B$5</f>
        <v>215199613807876.59</v>
      </c>
      <c r="AI11" s="22">
        <f>'Energy Consumption (EC) - psgr'!AI11*'Energy Consumption (EC) - psgr'!$B$5</f>
        <v>221246805852992.09</v>
      </c>
      <c r="AJ11" s="22">
        <f>'Energy Consumption (EC) - psgr'!AJ11*'Energy Consumption (EC) - psgr'!$B$5</f>
        <v>227463926324016.22</v>
      </c>
      <c r="AK11" s="22">
        <f>'Energy Consumption (EC) - psgr'!AK11*'Energy Consumption (EC) - psgr'!$B$5</f>
        <v>233855750275175.12</v>
      </c>
      <c r="AL11" s="22">
        <f>'Energy Consumption (EC) - psgr'!AL11*'Energy Consumption (EC) - psgr'!$B$5</f>
        <v>240427186941558.22</v>
      </c>
      <c r="AM11" s="22">
        <f>'Energy Consumption (EC) - psgr'!AM11*'Energy Consumption (EC) - psgr'!$B$5</f>
        <v>247183283509651.84</v>
      </c>
      <c r="AN11" s="22">
        <f>'Energy Consumption (EC) - psgr'!AN11*'Energy Consumption (EC) - psgr'!$B$5</f>
        <v>254129228993827.22</v>
      </c>
    </row>
    <row r="14" spans="1:40" x14ac:dyDescent="0.2">
      <c r="A14" s="17" t="s">
        <v>86</v>
      </c>
    </row>
    <row r="15" spans="1:40" x14ac:dyDescent="0.2">
      <c r="A15" s="14" t="s">
        <v>16</v>
      </c>
    </row>
    <row r="16" spans="1:40" x14ac:dyDescent="0.2">
      <c r="A16" s="14" t="s">
        <v>28</v>
      </c>
    </row>
    <row r="17" spans="1:40" x14ac:dyDescent="0.2">
      <c r="A17" s="14" t="s">
        <v>18</v>
      </c>
    </row>
    <row r="18" spans="1:40" x14ac:dyDescent="0.2">
      <c r="A18" s="14"/>
    </row>
    <row r="19" spans="1:40" x14ac:dyDescent="0.2">
      <c r="A19" s="15" t="s">
        <v>19</v>
      </c>
      <c r="B19" s="15">
        <v>2022</v>
      </c>
      <c r="C19" s="15">
        <v>2023</v>
      </c>
      <c r="D19" s="15">
        <v>2024</v>
      </c>
      <c r="E19" s="15">
        <v>2025</v>
      </c>
      <c r="F19" s="15">
        <v>2026</v>
      </c>
      <c r="G19" s="15">
        <v>2027</v>
      </c>
      <c r="H19" s="15">
        <v>2028</v>
      </c>
      <c r="I19" s="15">
        <v>2029</v>
      </c>
      <c r="J19" s="15">
        <v>2030</v>
      </c>
      <c r="K19" s="15">
        <v>2031</v>
      </c>
      <c r="L19" s="15">
        <v>2032</v>
      </c>
      <c r="M19" s="15">
        <v>2033</v>
      </c>
      <c r="N19" s="15">
        <v>2034</v>
      </c>
      <c r="O19" s="15">
        <v>2035</v>
      </c>
      <c r="P19" s="15">
        <v>2036</v>
      </c>
      <c r="Q19" s="15">
        <v>2037</v>
      </c>
      <c r="R19" s="15">
        <v>2038</v>
      </c>
      <c r="S19" s="15">
        <v>2039</v>
      </c>
      <c r="T19" s="15">
        <v>2040</v>
      </c>
      <c r="U19" s="15">
        <v>2041</v>
      </c>
      <c r="V19" s="15">
        <v>2042</v>
      </c>
      <c r="W19" s="15">
        <v>2043</v>
      </c>
      <c r="X19" s="15">
        <v>2044</v>
      </c>
      <c r="Y19" s="15">
        <v>2045</v>
      </c>
      <c r="Z19" s="15">
        <v>2046</v>
      </c>
      <c r="AA19" s="15">
        <v>2047</v>
      </c>
      <c r="AB19" s="15">
        <v>2048</v>
      </c>
      <c r="AC19" s="15">
        <v>2049</v>
      </c>
      <c r="AD19" s="15">
        <v>2050</v>
      </c>
      <c r="AE19" s="15">
        <v>2051</v>
      </c>
      <c r="AF19" s="15">
        <v>2052</v>
      </c>
      <c r="AG19" s="15">
        <v>2053</v>
      </c>
      <c r="AH19" s="15">
        <v>2054</v>
      </c>
      <c r="AI19" s="15">
        <v>2055</v>
      </c>
      <c r="AJ19" s="15">
        <v>2056</v>
      </c>
      <c r="AK19" s="15">
        <v>2057</v>
      </c>
      <c r="AL19" s="15">
        <v>2058</v>
      </c>
      <c r="AM19" s="15">
        <v>2059</v>
      </c>
      <c r="AN19" s="15">
        <v>2060</v>
      </c>
    </row>
    <row r="20" spans="1:40" x14ac:dyDescent="0.2">
      <c r="A20" s="15" t="s">
        <v>29</v>
      </c>
      <c r="B20" s="22">
        <f>'Energy Consumption (EC) - psgr'!B20*'Energy Consumption (EC) - psgr'!$B$18</f>
        <v>742222469481063.25</v>
      </c>
      <c r="C20" s="22">
        <f>'Energy Consumption (EC) - psgr'!C20*'Energy Consumption (EC) - psgr'!$B$18</f>
        <v>763079206785243.12</v>
      </c>
      <c r="D20" s="22">
        <f>'Energy Consumption (EC) - psgr'!D20*'Energy Consumption (EC) - psgr'!$B$18</f>
        <v>784522026441901.25</v>
      </c>
      <c r="E20" s="22">
        <f>'Energy Consumption (EC) - psgr'!E20*'Energy Consumption (EC) - psgr'!$B$18</f>
        <v>806567397590907.12</v>
      </c>
      <c r="F20" s="22">
        <f>'Energy Consumption (EC) - psgr'!F20*'Energy Consumption (EC) - psgr'!$B$18</f>
        <v>829232252161304.5</v>
      </c>
      <c r="G20" s="22">
        <f>'Energy Consumption (EC) - psgr'!G20*'Energy Consumption (EC) - psgr'!$B$18</f>
        <v>852533997875866.5</v>
      </c>
      <c r="H20" s="22">
        <f>'Energy Consumption (EC) - psgr'!H20*'Energy Consumption (EC) - psgr'!$B$18</f>
        <v>876490531621080.62</v>
      </c>
      <c r="I20" s="22">
        <f>'Energy Consumption (EC) - psgr'!I20*'Energy Consumption (EC) - psgr'!$B$18</f>
        <v>901120253192839.88</v>
      </c>
      <c r="J20" s="22">
        <f>'Energy Consumption (EC) - psgr'!J20*'Energy Consumption (EC) - psgr'!$B$18</f>
        <v>926442079428388.38</v>
      </c>
      <c r="K20" s="22">
        <f>'Energy Consumption (EC) - psgr'!K20*'Energy Consumption (EC) - psgr'!$B$18</f>
        <v>952475458735384.75</v>
      </c>
      <c r="L20" s="22">
        <f>'Energy Consumption (EC) - psgr'!L20*'Energy Consumption (EC) - psgr'!$B$18</f>
        <v>979240386029234.75</v>
      </c>
      <c r="M20" s="22">
        <f>'Energy Consumption (EC) - psgr'!M20*'Energy Consumption (EC) - psgr'!$B$18</f>
        <v>1006757418090168</v>
      </c>
      <c r="N20" s="22">
        <f>'Energy Consumption (EC) - psgr'!N20*'Energy Consumption (EC) - psgr'!$B$18</f>
        <v>1035047689351858.6</v>
      </c>
      <c r="O20" s="22">
        <f>'Energy Consumption (EC) - psgr'!O20*'Energy Consumption (EC) - psgr'!$B$18</f>
        <v>1064132928133707.5</v>
      </c>
      <c r="P20" s="22">
        <f>'Energy Consumption (EC) - psgr'!P20*'Energy Consumption (EC) - psgr'!$B$18</f>
        <v>1094035473329260.9</v>
      </c>
      <c r="Q20" s="22">
        <f>'Energy Consumption (EC) - psgr'!Q20*'Energy Consumption (EC) - psgr'!$B$18</f>
        <v>1124778291563578.2</v>
      </c>
      <c r="R20" s="22">
        <f>'Energy Consumption (EC) - psgr'!R20*'Energy Consumption (EC) - psgr'!$B$18</f>
        <v>1156384994832731.5</v>
      </c>
      <c r="S20" s="22">
        <f>'Energy Consumption (EC) - psgr'!S20*'Energy Consumption (EC) - psgr'!$B$18</f>
        <v>1188879858638976.2</v>
      </c>
      <c r="T20" s="22">
        <f>'Energy Consumption (EC) - psgr'!T20*'Energy Consumption (EC) - psgr'!$B$18</f>
        <v>1222287840635533.8</v>
      </c>
      <c r="U20" s="22">
        <f>'Energy Consumption (EC) - psgr'!U20*'Energy Consumption (EC) - psgr'!$B$18</f>
        <v>1256634599795294.2</v>
      </c>
      <c r="V20" s="22">
        <f>'Energy Consumption (EC) - psgr'!V20*'Energy Consumption (EC) - psgr'!$B$18</f>
        <v>1291946516118170.5</v>
      </c>
      <c r="W20" s="22">
        <f>'Energy Consumption (EC) - psgr'!W20*'Energy Consumption (EC) - psgr'!$B$18</f>
        <v>1328250710892234.8</v>
      </c>
      <c r="X20" s="22">
        <f>'Energy Consumption (EC) - psgr'!X20*'Energy Consumption (EC) - psgr'!$B$18</f>
        <v>1365575067524200.5</v>
      </c>
      <c r="Y20" s="22">
        <f>'Energy Consumption (EC) - psgr'!Y20*'Energy Consumption (EC) - psgr'!$B$18</f>
        <v>1403948252955252.5</v>
      </c>
      <c r="Z20" s="22">
        <f>'Energy Consumption (EC) - psgr'!Z20*'Energy Consumption (EC) - psgr'!$B$18</f>
        <v>1443399739678664.2</v>
      </c>
      <c r="AA20" s="22">
        <f>'Energy Consumption (EC) - psgr'!AA20*'Energy Consumption (EC) - psgr'!$B$18</f>
        <v>1483959828376123.8</v>
      </c>
      <c r="AB20" s="22">
        <f>'Energy Consumption (EC) - psgr'!AB20*'Energy Consumption (EC) - psgr'!$B$18</f>
        <v>1525659671190147.8</v>
      </c>
      <c r="AC20" s="22">
        <f>'Energy Consumption (EC) - psgr'!AC20*'Energy Consumption (EC) - psgr'!$B$18</f>
        <v>1568531295650456</v>
      </c>
      <c r="AD20" s="22">
        <f>'Energy Consumption (EC) - psgr'!AD20*'Energy Consumption (EC) - psgr'!$B$18</f>
        <v>1612607629272691.5</v>
      </c>
      <c r="AE20" s="22">
        <f>'Energy Consumption (EC) - psgr'!AE20*'Energy Consumption (EC) - psgr'!$B$18</f>
        <v>1657922524848370</v>
      </c>
      <c r="AF20" s="22">
        <f>'Energy Consumption (EC) - psgr'!AF20*'Energy Consumption (EC) - psgr'!$B$18</f>
        <v>1704510786445491.8</v>
      </c>
      <c r="AG20" s="22">
        <f>'Energy Consumption (EC) - psgr'!AG20*'Energy Consumption (EC) - psgr'!$B$18</f>
        <v>1752408196139772.2</v>
      </c>
      <c r="AH20" s="22">
        <f>'Energy Consumption (EC) - psgr'!AH20*'Energy Consumption (EC) - psgr'!$B$18</f>
        <v>1801651541497038.8</v>
      </c>
      <c r="AI20" s="22">
        <f>'Energy Consumption (EC) - psgr'!AI20*'Energy Consumption (EC) - psgr'!$B$18</f>
        <v>1852278643827889.8</v>
      </c>
      <c r="AJ20" s="22">
        <f>'Energy Consumption (EC) - psgr'!AJ20*'Energy Consumption (EC) - psgr'!$B$18</f>
        <v>1904328387236320</v>
      </c>
      <c r="AK20" s="22">
        <f>'Energy Consumption (EC) - psgr'!AK20*'Energy Consumption (EC) - psgr'!$B$18</f>
        <v>1957840748484626.8</v>
      </c>
      <c r="AL20" s="22">
        <f>'Energy Consumption (EC) - psgr'!AL20*'Energy Consumption (EC) - psgr'!$B$18</f>
        <v>2012856827697524.5</v>
      </c>
      <c r="AM20" s="22">
        <f>'Energy Consumption (EC) - psgr'!AM20*'Energy Consumption (EC) - psgr'!$B$18</f>
        <v>2069418879929067.5</v>
      </c>
      <c r="AN20" s="22">
        <f>'Energy Consumption (EC) - psgr'!AN20*'Energy Consumption (EC) - psgr'!$B$18</f>
        <v>2127570347616603</v>
      </c>
    </row>
    <row r="21" spans="1:40" x14ac:dyDescent="0.2">
      <c r="A21" s="15" t="s">
        <v>30</v>
      </c>
      <c r="B21" s="22">
        <f>'Energy Consumption (EC) - psgr'!B21*'Energy Consumption (EC) - psgr'!$B$18</f>
        <v>29797841368.969296</v>
      </c>
      <c r="C21" s="22">
        <f>'Energy Consumption (EC) - psgr'!C21*'Energy Consumption (EC) - psgr'!$B$18</f>
        <v>30635172189.873627</v>
      </c>
      <c r="D21" s="22">
        <f>'Energy Consumption (EC) - psgr'!D21*'Energy Consumption (EC) - psgr'!$B$18</f>
        <v>31496032329.393848</v>
      </c>
      <c r="E21" s="22">
        <f>'Energy Consumption (EC) - psgr'!E21*'Energy Consumption (EC) - psgr'!$B$18</f>
        <v>32381082970.446812</v>
      </c>
      <c r="F21" s="22">
        <f>'Energy Consumption (EC) - psgr'!F21*'Energy Consumption (EC) - psgr'!$B$18</f>
        <v>33291003875.444012</v>
      </c>
      <c r="G21" s="22">
        <f>'Energy Consumption (EC) - psgr'!G21*'Energy Consumption (EC) - psgr'!$B$18</f>
        <v>34226493908.382568</v>
      </c>
      <c r="H21" s="22">
        <f>'Energy Consumption (EC) - psgr'!H21*'Energy Consumption (EC) - psgr'!$B$18</f>
        <v>35188271571.607124</v>
      </c>
      <c r="I21" s="22">
        <f>'Energy Consumption (EC) - psgr'!I21*'Energy Consumption (EC) - psgr'!$B$18</f>
        <v>36177075557.654976</v>
      </c>
      <c r="J21" s="22">
        <f>'Energy Consumption (EC) - psgr'!J21*'Energy Consumption (EC) - psgr'!$B$18</f>
        <v>37193665316.608276</v>
      </c>
      <c r="K21" s="22">
        <f>'Energy Consumption (EC) - psgr'!K21*'Energy Consumption (EC) - psgr'!$B$18</f>
        <v>38238821639.389046</v>
      </c>
      <c r="L21" s="22">
        <f>'Energy Consumption (EC) - psgr'!L21*'Energy Consumption (EC) - psgr'!$B$18</f>
        <v>39313347257.444969</v>
      </c>
      <c r="M21" s="22">
        <f>'Energy Consumption (EC) - psgr'!M21*'Energy Consumption (EC) - psgr'!$B$18</f>
        <v>40418067459.286629</v>
      </c>
      <c r="N21" s="22">
        <f>'Energy Consumption (EC) - psgr'!N21*'Energy Consumption (EC) - psgr'!$B$18</f>
        <v>41553830724.349678</v>
      </c>
      <c r="O21" s="22">
        <f>'Energy Consumption (EC) - psgr'!O21*'Energy Consumption (EC) - psgr'!$B$18</f>
        <v>42721509374.668724</v>
      </c>
      <c r="P21" s="22">
        <f>'Energy Consumption (EC) - psgr'!P21*'Energy Consumption (EC) - psgr'!$B$18</f>
        <v>43922000244.86364</v>
      </c>
      <c r="Q21" s="22">
        <f>'Energy Consumption (EC) - psgr'!Q21*'Energy Consumption (EC) - psgr'!$B$18</f>
        <v>45156225370.952499</v>
      </c>
      <c r="R21" s="22">
        <f>'Energy Consumption (EC) - psgr'!R21*'Energy Consumption (EC) - psgr'!$B$18</f>
        <v>46425132698.520721</v>
      </c>
      <c r="S21" s="22">
        <f>'Energy Consumption (EC) - psgr'!S21*'Energy Consumption (EC) - psgr'!$B$18</f>
        <v>47729696810.789825</v>
      </c>
      <c r="T21" s="22">
        <f>'Energy Consumption (EC) - psgr'!T21*'Energy Consumption (EC) - psgr'!$B$18</f>
        <v>49070919677.145256</v>
      </c>
      <c r="U21" s="22">
        <f>'Energy Consumption (EC) - psgr'!U21*'Energy Consumption (EC) - psgr'!$B$18</f>
        <v>50449831422.698196</v>
      </c>
      <c r="V21" s="22">
        <f>'Energy Consumption (EC) - psgr'!V21*'Energy Consumption (EC) - psgr'!$B$18</f>
        <v>51867491119.472206</v>
      </c>
      <c r="W21" s="22">
        <f>'Energy Consumption (EC) - psgr'!W21*'Energy Consumption (EC) - psgr'!$B$18</f>
        <v>53324987599.822723</v>
      </c>
      <c r="X21" s="22">
        <f>'Energy Consumption (EC) - psgr'!X21*'Energy Consumption (EC) - psgr'!$B$18</f>
        <v>54823440292.713799</v>
      </c>
      <c r="Y21" s="22">
        <f>'Energy Consumption (EC) - psgr'!Y21*'Energy Consumption (EC) - psgr'!$B$18</f>
        <v>56364000083.494553</v>
      </c>
      <c r="Z21" s="22">
        <f>'Energy Consumption (EC) - psgr'!Z21*'Energy Consumption (EC) - psgr'!$B$18</f>
        <v>57947850197.835815</v>
      </c>
      <c r="AA21" s="22">
        <f>'Energy Consumption (EC) - psgr'!AA21*'Energy Consumption (EC) - psgr'!$B$18</f>
        <v>59576207110.505447</v>
      </c>
      <c r="AB21" s="22">
        <f>'Energy Consumption (EC) - psgr'!AB21*'Energy Consumption (EC) - psgr'!$B$18</f>
        <v>61250321479.681038</v>
      </c>
      <c r="AC21" s="22">
        <f>'Energy Consumption (EC) - psgr'!AC21*'Energy Consumption (EC) - psgr'!$B$18</f>
        <v>62971479107.516617</v>
      </c>
      <c r="AD21" s="22">
        <f>'Energy Consumption (EC) - psgr'!AD21*'Energy Consumption (EC) - psgr'!$B$18</f>
        <v>64741001927.702042</v>
      </c>
      <c r="AE21" s="22">
        <f>'Energy Consumption (EC) - psgr'!AE21*'Energy Consumption (EC) - psgr'!$B$18</f>
        <v>66560249020.77317</v>
      </c>
      <c r="AF21" s="22">
        <f>'Energy Consumption (EC) - psgr'!AF21*'Energy Consumption (EC) - psgr'!$B$18</f>
        <v>68430617657.952385</v>
      </c>
      <c r="AG21" s="22">
        <f>'Energy Consumption (EC) - psgr'!AG21*'Energy Consumption (EC) - psgr'!$B$18</f>
        <v>70353544374.321625</v>
      </c>
      <c r="AH21" s="22">
        <f>'Energy Consumption (EC) - psgr'!AH21*'Energy Consumption (EC) - psgr'!$B$18</f>
        <v>72330506072.1521</v>
      </c>
      <c r="AI21" s="22">
        <f>'Energy Consumption (EC) - psgr'!AI21*'Energy Consumption (EC) - psgr'!$B$18</f>
        <v>74363021155.23764</v>
      </c>
      <c r="AJ21" s="22">
        <f>'Energy Consumption (EC) - psgr'!AJ21*'Energy Consumption (EC) - psgr'!$B$18</f>
        <v>76452650695.103699</v>
      </c>
      <c r="AK21" s="22">
        <f>'Energy Consumption (EC) - psgr'!AK21*'Energy Consumption (EC) - psgr'!$B$18</f>
        <v>78600999629.986908</v>
      </c>
      <c r="AL21" s="22">
        <f>'Energy Consumption (EC) - psgr'!AL21*'Energy Consumption (EC) - psgr'!$B$18</f>
        <v>80809717997.506516</v>
      </c>
      <c r="AM21" s="22">
        <f>'Energy Consumption (EC) - psgr'!AM21*'Energy Consumption (EC) - psgr'!$B$18</f>
        <v>83080502201.974548</v>
      </c>
      <c r="AN21" s="22">
        <f>'Energy Consumption (EC) - psgr'!AN21*'Energy Consumption (EC) - psgr'!$B$18</f>
        <v>85415096317.317673</v>
      </c>
    </row>
    <row r="22" spans="1:40" x14ac:dyDescent="0.2">
      <c r="A22" s="15" t="s">
        <v>31</v>
      </c>
      <c r="B22" s="22">
        <f>'Energy Consumption (EC) - psgr'!B22*'Energy Consumption (EC) - psgr'!$B$18</f>
        <v>13932014069.691736</v>
      </c>
      <c r="C22" s="22">
        <f>'Energy Consumption (EC) - psgr'!C22*'Energy Consumption (EC) - psgr'!$B$18</f>
        <v>14323509031.805803</v>
      </c>
      <c r="D22" s="22">
        <f>'Energy Consumption (EC) - psgr'!D22*'Energy Consumption (EC) - psgr'!$B$18</f>
        <v>14726005153.163183</v>
      </c>
      <c r="E22" s="22">
        <f>'Energy Consumption (EC) - psgr'!E22*'Energy Consumption (EC) - psgr'!$B$18</f>
        <v>15139811570.576368</v>
      </c>
      <c r="F22" s="22">
        <f>'Energy Consumption (EC) - psgr'!F22*'Energy Consumption (EC) - psgr'!$B$18</f>
        <v>15565246107.721369</v>
      </c>
      <c r="G22" s="22">
        <f>'Energy Consumption (EC) - psgr'!G22*'Energy Consumption (EC) - psgr'!$B$18</f>
        <v>16002635519.241926</v>
      </c>
      <c r="H22" s="22">
        <f>'Energy Consumption (EC) - psgr'!H22*'Energy Consumption (EC) - psgr'!$B$18</f>
        <v>16452315741.713127</v>
      </c>
      <c r="I22" s="22">
        <f>'Energy Consumption (EC) - psgr'!I22*'Energy Consumption (EC) - psgr'!$B$18</f>
        <v>16914632151.657234</v>
      </c>
      <c r="J22" s="22">
        <f>'Energy Consumption (EC) - psgr'!J22*'Energy Consumption (EC) - psgr'!$B$18</f>
        <v>17389939830.809834</v>
      </c>
      <c r="K22" s="22">
        <f>'Energy Consumption (EC) - psgr'!K22*'Energy Consumption (EC) - psgr'!$B$18</f>
        <v>17878603838.840042</v>
      </c>
      <c r="L22" s="22">
        <f>'Energy Consumption (EC) - psgr'!L22*'Energy Consumption (EC) - psgr'!$B$18</f>
        <v>18380999493.734329</v>
      </c>
      <c r="M22" s="22">
        <f>'Energy Consumption (EC) - psgr'!M22*'Energy Consumption (EC) - psgr'!$B$18</f>
        <v>18897512660.059139</v>
      </c>
      <c r="N22" s="22">
        <f>'Energy Consumption (EC) - psgr'!N22*'Energy Consumption (EC) - psgr'!$B$18</f>
        <v>19428540045.323875</v>
      </c>
      <c r="O22" s="22">
        <f>'Energy Consumption (EC) - psgr'!O22*'Energy Consumption (EC) - psgr'!$B$18</f>
        <v>19974489504.671795</v>
      </c>
      <c r="P22" s="22">
        <f>'Energy Consumption (EC) - psgr'!P22*'Energy Consumption (EC) - psgr'!$B$18</f>
        <v>20535780354.132759</v>
      </c>
      <c r="Q22" s="22">
        <f>'Energy Consumption (EC) - psgr'!Q22*'Energy Consumption (EC) - psgr'!$B$18</f>
        <v>21112843692.678612</v>
      </c>
      <c r="R22" s="22">
        <f>'Energy Consumption (EC) - psgr'!R22*'Energy Consumption (EC) - psgr'!$B$18</f>
        <v>21706122733.328358</v>
      </c>
      <c r="S22" s="22">
        <f>'Energy Consumption (EC) - psgr'!S22*'Energy Consumption (EC) - psgr'!$B$18</f>
        <v>22316073143.557579</v>
      </c>
      <c r="T22" s="22">
        <f>'Energy Consumption (EC) - psgr'!T22*'Energy Consumption (EC) - psgr'!$B$18</f>
        <v>22943163395.273434</v>
      </c>
      <c r="U22" s="22">
        <f>'Energy Consumption (EC) - psgr'!U22*'Energy Consumption (EC) - psgr'!$B$18</f>
        <v>23587875124.624157</v>
      </c>
      <c r="V22" s="22">
        <f>'Energy Consumption (EC) - psgr'!V22*'Energy Consumption (EC) - psgr'!$B$18</f>
        <v>24250703501.919247</v>
      </c>
      <c r="W22" s="22">
        <f>'Energy Consumption (EC) - psgr'!W22*'Energy Consumption (EC) - psgr'!$B$18</f>
        <v>24932157611.944668</v>
      </c>
      <c r="X22" s="22">
        <f>'Energy Consumption (EC) - psgr'!X22*'Energy Consumption (EC) - psgr'!$B$18</f>
        <v>25632760844.96497</v>
      </c>
      <c r="Y22" s="22">
        <f>'Energy Consumption (EC) - psgr'!Y22*'Energy Consumption (EC) - psgr'!$B$18</f>
        <v>26353051298.712734</v>
      </c>
      <c r="Z22" s="22">
        <f>'Energy Consumption (EC) - psgr'!Z22*'Energy Consumption (EC) - psgr'!$B$18</f>
        <v>27093582191.674145</v>
      </c>
      <c r="AA22" s="22">
        <f>'Energy Consumption (EC) - psgr'!AA22*'Energy Consumption (EC) - psgr'!$B$18</f>
        <v>27854922287.987911</v>
      </c>
      <c r="AB22" s="22">
        <f>'Energy Consumption (EC) - psgr'!AB22*'Energy Consumption (EC) - psgr'!$B$18</f>
        <v>28637656334.284168</v>
      </c>
      <c r="AC22" s="22">
        <f>'Energy Consumption (EC) - psgr'!AC22*'Energy Consumption (EC) - psgr'!$B$18</f>
        <v>29442385508.798592</v>
      </c>
      <c r="AD22" s="22">
        <f>'Energy Consumption (EC) - psgr'!AD22*'Energy Consumption (EC) - psgr'!$B$18</f>
        <v>30269727883.106853</v>
      </c>
      <c r="AE22" s="22">
        <f>'Energy Consumption (EC) - psgr'!AE22*'Energy Consumption (EC) - psgr'!$B$18</f>
        <v>31120318896.834023</v>
      </c>
      <c r="AF22" s="22">
        <f>'Energy Consumption (EC) - psgr'!AF22*'Energy Consumption (EC) - psgr'!$B$18</f>
        <v>31994811845.703354</v>
      </c>
      <c r="AG22" s="22">
        <f>'Energy Consumption (EC) - psgr'!AG22*'Energy Consumption (EC) - psgr'!$B$18</f>
        <v>32893878383.299633</v>
      </c>
      <c r="AH22" s="22">
        <f>'Energy Consumption (EC) - psgr'!AH22*'Energy Consumption (EC) - psgr'!$B$18</f>
        <v>33818209036.932095</v>
      </c>
      <c r="AI22" s="22">
        <f>'Energy Consumption (EC) - psgr'!AI22*'Energy Consumption (EC) - psgr'!$B$18</f>
        <v>34768513737.99334</v>
      </c>
      <c r="AJ22" s="22">
        <f>'Energy Consumption (EC) - psgr'!AJ22*'Energy Consumption (EC) - psgr'!$B$18</f>
        <v>35745522367.221581</v>
      </c>
      <c r="AK22" s="22">
        <f>'Energy Consumption (EC) - psgr'!AK22*'Energy Consumption (EC) - psgr'!$B$18</f>
        <v>36749985315.284981</v>
      </c>
      <c r="AL22" s="22">
        <f>'Energy Consumption (EC) - psgr'!AL22*'Energy Consumption (EC) - psgr'!$B$18</f>
        <v>37782674059.118423</v>
      </c>
      <c r="AM22" s="22">
        <f>'Energy Consumption (EC) - psgr'!AM22*'Energy Consumption (EC) - psgr'!$B$18</f>
        <v>38844381754.455994</v>
      </c>
      <c r="AN22" s="22">
        <f>'Energy Consumption (EC) - psgr'!AN22*'Energy Consumption (EC) - psgr'!$B$18</f>
        <v>39935923845.013306</v>
      </c>
    </row>
    <row r="25" spans="1:40" x14ac:dyDescent="0.2">
      <c r="A25" s="17" t="s">
        <v>87</v>
      </c>
    </row>
    <row r="26" spans="1:40" x14ac:dyDescent="0.2">
      <c r="A26" s="14" t="s">
        <v>16</v>
      </c>
    </row>
    <row r="27" spans="1:40" x14ac:dyDescent="0.2">
      <c r="A27" s="14" t="s">
        <v>34</v>
      </c>
    </row>
    <row r="28" spans="1:40" x14ac:dyDescent="0.2">
      <c r="A28" s="14" t="s">
        <v>18</v>
      </c>
    </row>
    <row r="29" spans="1:40" x14ac:dyDescent="0.2">
      <c r="A29" s="14"/>
    </row>
    <row r="30" spans="1:40" x14ac:dyDescent="0.2">
      <c r="A30" s="15" t="s">
        <v>19</v>
      </c>
      <c r="B30" s="15">
        <v>2022</v>
      </c>
      <c r="C30" s="15">
        <v>2023</v>
      </c>
      <c r="D30" s="15">
        <v>2024</v>
      </c>
      <c r="E30" s="15">
        <v>2025</v>
      </c>
      <c r="F30" s="15">
        <v>2026</v>
      </c>
      <c r="G30" s="15">
        <v>2027</v>
      </c>
      <c r="H30" s="15">
        <v>2028</v>
      </c>
      <c r="I30" s="15">
        <v>2029</v>
      </c>
      <c r="J30" s="15">
        <v>2030</v>
      </c>
      <c r="K30" s="15">
        <v>2031</v>
      </c>
      <c r="L30" s="15">
        <v>2032</v>
      </c>
      <c r="M30" s="15">
        <v>2033</v>
      </c>
      <c r="N30" s="15">
        <v>2034</v>
      </c>
      <c r="O30" s="15">
        <v>2035</v>
      </c>
      <c r="P30" s="15">
        <v>2036</v>
      </c>
      <c r="Q30" s="15">
        <v>2037</v>
      </c>
      <c r="R30" s="15">
        <v>2038</v>
      </c>
      <c r="S30" s="15">
        <v>2039</v>
      </c>
      <c r="T30" s="15">
        <v>2040</v>
      </c>
      <c r="U30" s="15">
        <v>2041</v>
      </c>
      <c r="V30" s="15">
        <v>2042</v>
      </c>
      <c r="W30" s="15">
        <v>2043</v>
      </c>
      <c r="X30" s="15">
        <v>2044</v>
      </c>
      <c r="Y30" s="15">
        <v>2045</v>
      </c>
      <c r="Z30" s="15">
        <v>2046</v>
      </c>
      <c r="AA30" s="15">
        <v>2047</v>
      </c>
      <c r="AB30" s="15">
        <v>2048</v>
      </c>
      <c r="AC30" s="15">
        <v>2049</v>
      </c>
      <c r="AD30" s="15">
        <v>2050</v>
      </c>
      <c r="AE30" s="15">
        <v>2051</v>
      </c>
      <c r="AF30" s="15">
        <v>2052</v>
      </c>
      <c r="AG30" s="15">
        <v>2053</v>
      </c>
      <c r="AH30" s="15">
        <v>2054</v>
      </c>
      <c r="AI30" s="15">
        <v>2055</v>
      </c>
      <c r="AJ30" s="15">
        <v>2056</v>
      </c>
      <c r="AK30" s="15">
        <v>2057</v>
      </c>
      <c r="AL30" s="15">
        <v>2058</v>
      </c>
      <c r="AM30" s="15">
        <v>2059</v>
      </c>
      <c r="AN30" s="15">
        <v>2060</v>
      </c>
    </row>
    <row r="31" spans="1:40" x14ac:dyDescent="0.2">
      <c r="A31" s="15" t="s">
        <v>35</v>
      </c>
      <c r="B31" s="22">
        <f>'Energy Consumption (EC) - psgr'!B31*'Energy Consumption (EC) - psgr'!$B$29</f>
        <v>21744037713.681335</v>
      </c>
      <c r="C31" s="22">
        <f>'Energy Consumption (EC) - psgr'!C31*'Energy Consumption (EC) - psgr'!$B$29</f>
        <v>22355053549.463711</v>
      </c>
      <c r="D31" s="22">
        <f>'Energy Consumption (EC) - psgr'!D31*'Energy Consumption (EC) - psgr'!$B$29</f>
        <v>22983239165.601196</v>
      </c>
      <c r="E31" s="22">
        <f>'Energy Consumption (EC) - psgr'!E31*'Energy Consumption (EC) - psgr'!$B$29</f>
        <v>23629077039.535721</v>
      </c>
      <c r="F31" s="22">
        <f>'Energy Consumption (EC) - psgr'!F31*'Energy Consumption (EC) - psgr'!$B$29</f>
        <v>24293063206.511234</v>
      </c>
      <c r="G31" s="22">
        <f>'Energy Consumption (EC) - psgr'!G31*'Energy Consumption (EC) - psgr'!$B$29</f>
        <v>24975707640.553082</v>
      </c>
      <c r="H31" s="22">
        <f>'Energy Consumption (EC) - psgr'!H31*'Energy Consumption (EC) - psgr'!$B$29</f>
        <v>25677534646.153198</v>
      </c>
      <c r="I31" s="22">
        <f>'Energy Consumption (EC) - psgr'!I31*'Energy Consumption (EC) - psgr'!$B$29</f>
        <v>26399083260.961685</v>
      </c>
      <c r="J31" s="22">
        <f>'Energy Consumption (EC) - psgr'!J31*'Energy Consumption (EC) - psgr'!$B$29</f>
        <v>27140907669.794273</v>
      </c>
      <c r="K31" s="22">
        <f>'Energy Consumption (EC) - psgr'!K31*'Energy Consumption (EC) - psgr'!$B$29</f>
        <v>27903577630.273483</v>
      </c>
      <c r="L31" s="22">
        <f>'Energy Consumption (EC) - psgr'!L31*'Energy Consumption (EC) - psgr'!$B$29</f>
        <v>28687678910.430515</v>
      </c>
      <c r="M31" s="22">
        <f>'Energy Consumption (EC) - psgr'!M31*'Energy Consumption (EC) - psgr'!$B$29</f>
        <v>29493813738.603855</v>
      </c>
      <c r="N31" s="22">
        <f>'Energy Consumption (EC) - psgr'!N31*'Energy Consumption (EC) - psgr'!$B$29</f>
        <v>30322601265.980339</v>
      </c>
      <c r="O31" s="22">
        <f>'Energy Consumption (EC) - psgr'!O31*'Energy Consumption (EC) - psgr'!$B$29</f>
        <v>31174678042.133614</v>
      </c>
      <c r="P31" s="22">
        <f>'Energy Consumption (EC) - psgr'!P31*'Energy Consumption (EC) - psgr'!$B$29</f>
        <v>32050698503.925575</v>
      </c>
      <c r="Q31" s="22">
        <f>'Energy Consumption (EC) - psgr'!Q31*'Energy Consumption (EC) - psgr'!$B$29</f>
        <v>32951335478.146019</v>
      </c>
      <c r="R31" s="22">
        <f>'Energy Consumption (EC) - psgr'!R31*'Energy Consumption (EC) - psgr'!$B$29</f>
        <v>33877280698.276722</v>
      </c>
      <c r="S31" s="22">
        <f>'Energy Consumption (EC) - psgr'!S31*'Energy Consumption (EC) - psgr'!$B$29</f>
        <v>34829245335.776772</v>
      </c>
      <c r="T31" s="22">
        <f>'Energy Consumption (EC) - psgr'!T31*'Energy Consumption (EC) - psgr'!$B$29</f>
        <v>35807960546.29718</v>
      </c>
      <c r="U31" s="22">
        <f>'Energy Consumption (EC) - psgr'!U31*'Energy Consumption (EC) - psgr'!$B$29</f>
        <v>36814178031.244415</v>
      </c>
      <c r="V31" s="22">
        <f>'Energy Consumption (EC) - psgr'!V31*'Energy Consumption (EC) - psgr'!$B$29</f>
        <v>37848670615.124039</v>
      </c>
      <c r="W31" s="22">
        <f>'Energy Consumption (EC) - psgr'!W31*'Energy Consumption (EC) - psgr'!$B$29</f>
        <v>38912232839.10791</v>
      </c>
      <c r="X31" s="22">
        <f>'Energy Consumption (EC) - psgr'!X31*'Energy Consumption (EC) - psgr'!$B$29</f>
        <v>40005681571.280876</v>
      </c>
      <c r="Y31" s="22">
        <f>'Energy Consumption (EC) - psgr'!Y31*'Energy Consumption (EC) - psgr'!$B$29</f>
        <v>41129856634.035645</v>
      </c>
      <c r="Z31" s="22">
        <f>'Energy Consumption (EC) - psgr'!Z31*'Energy Consumption (EC) - psgr'!$B$29</f>
        <v>42285621449.097687</v>
      </c>
      <c r="AA31" s="22">
        <f>'Energy Consumption (EC) - psgr'!AA31*'Energy Consumption (EC) - psgr'!$B$29</f>
        <v>43473863700.675499</v>
      </c>
      <c r="AB31" s="22">
        <f>'Energy Consumption (EC) - psgr'!AB31*'Energy Consumption (EC) - psgr'!$B$29</f>
        <v>44695496017.245857</v>
      </c>
      <c r="AC31" s="22">
        <f>'Energy Consumption (EC) - psgr'!AC31*'Energy Consumption (EC) - psgr'!$B$29</f>
        <v>45951456672.497215</v>
      </c>
      <c r="AD31" s="22">
        <f>'Energy Consumption (EC) - psgr'!AD31*'Energy Consumption (EC) - psgr'!$B$29</f>
        <v>47242710305.970154</v>
      </c>
      <c r="AE31" s="22">
        <f>'Energy Consumption (EC) - psgr'!AE31*'Energy Consumption (EC) - psgr'!$B$29</f>
        <v>48570248663.947922</v>
      </c>
      <c r="AF31" s="22">
        <f>'Energy Consumption (EC) - psgr'!AF31*'Energy Consumption (EC) - psgr'!$B$29</f>
        <v>49935091361.166367</v>
      </c>
      <c r="AG31" s="22">
        <f>'Energy Consumption (EC) - psgr'!AG31*'Energy Consumption (EC) - psgr'!$B$29</f>
        <v>51338286663.928154</v>
      </c>
      <c r="AH31" s="22">
        <f>'Energy Consumption (EC) - psgr'!AH31*'Energy Consumption (EC) - psgr'!$B$29</f>
        <v>52780912295.222862</v>
      </c>
      <c r="AI31" s="22">
        <f>'Energy Consumption (EC) - psgr'!AI31*'Energy Consumption (EC) - psgr'!$B$29</f>
        <v>54264076262.471245</v>
      </c>
      <c r="AJ31" s="22">
        <f>'Energy Consumption (EC) - psgr'!AJ31*'Energy Consumption (EC) - psgr'!$B$29</f>
        <v>55788917708.529396</v>
      </c>
      <c r="AK31" s="22">
        <f>'Energy Consumption (EC) - psgr'!AK31*'Energy Consumption (EC) - psgr'!$B$29</f>
        <v>57356607786.606453</v>
      </c>
      <c r="AL31" s="22">
        <f>'Energy Consumption (EC) - psgr'!AL31*'Energy Consumption (EC) - psgr'!$B$29</f>
        <v>58968350559.767891</v>
      </c>
      <c r="AM31" s="22">
        <f>'Energy Consumption (EC) - psgr'!AM31*'Energy Consumption (EC) - psgr'!$B$29</f>
        <v>60625383925.715111</v>
      </c>
      <c r="AN31" s="22">
        <f>'Energy Consumption (EC) - psgr'!AN31*'Energy Consumption (EC) - psgr'!$B$29</f>
        <v>62328980567.551849</v>
      </c>
    </row>
    <row r="32" spans="1:40" x14ac:dyDescent="0.2">
      <c r="A32" s="15" t="s">
        <v>36</v>
      </c>
      <c r="B32" s="22">
        <f>'Energy Consumption (EC) - psgr'!B32*'Energy Consumption (EC) - psgr'!$B$29</f>
        <v>187598209012.32724</v>
      </c>
      <c r="C32" s="22">
        <f>'Energy Consumption (EC) - psgr'!C32*'Energy Consumption (EC) - psgr'!$B$29</f>
        <v>192869790950.34155</v>
      </c>
      <c r="D32" s="22">
        <f>'Energy Consumption (EC) - psgr'!D32*'Energy Consumption (EC) - psgr'!$B$29</f>
        <v>198289506371.48193</v>
      </c>
      <c r="E32" s="22">
        <f>'Energy Consumption (EC) - psgr'!E32*'Energy Consumption (EC) - psgr'!$B$29</f>
        <v>203861517883.68668</v>
      </c>
      <c r="F32" s="22">
        <f>'Energy Consumption (EC) - psgr'!F32*'Energy Consumption (EC) - psgr'!$B$29</f>
        <v>209590105065.78079</v>
      </c>
      <c r="G32" s="22">
        <f>'Energy Consumption (EC) - psgr'!G32*'Energy Consumption (EC) - psgr'!$B$29</f>
        <v>215479667754.40274</v>
      </c>
      <c r="H32" s="22">
        <f>'Energy Consumption (EC) - psgr'!H32*'Energy Consumption (EC) - psgr'!$B$29</f>
        <v>221534729423.29526</v>
      </c>
      <c r="I32" s="22">
        <f>'Energy Consumption (EC) - psgr'!I32*'Energy Consumption (EC) - psgr'!$B$29</f>
        <v>227759940657.556</v>
      </c>
      <c r="J32" s="22">
        <f>'Energy Consumption (EC) - psgr'!J32*'Energy Consumption (EC) - psgr'!$B$29</f>
        <v>234160082725.51514</v>
      </c>
      <c r="K32" s="22">
        <f>'Energy Consumption (EC) - psgr'!K32*'Energy Consumption (EC) - psgr'!$B$29</f>
        <v>240740071250.9848</v>
      </c>
      <c r="L32" s="22">
        <f>'Energy Consumption (EC) - psgr'!L32*'Energy Consumption (EC) - psgr'!$B$29</f>
        <v>247504959988.69968</v>
      </c>
      <c r="M32" s="22">
        <f>'Energy Consumption (EC) - psgr'!M32*'Energy Consumption (EC) - psgr'!$B$29</f>
        <v>254459944705.8493</v>
      </c>
      <c r="N32" s="22">
        <f>'Energy Consumption (EC) - psgr'!N32*'Energy Consumption (EC) - psgr'!$B$29</f>
        <v>261610367172.68292</v>
      </c>
      <c r="O32" s="22">
        <f>'Energy Consumption (EC) - psgr'!O32*'Energy Consumption (EC) - psgr'!$B$29</f>
        <v>268961719265.25107</v>
      </c>
      <c r="P32" s="22">
        <f>'Energy Consumption (EC) - psgr'!P32*'Energy Consumption (EC) - psgr'!$B$29</f>
        <v>276519647183.43713</v>
      </c>
      <c r="Q32" s="22">
        <f>'Energy Consumption (EC) - psgr'!Q32*'Energy Consumption (EC) - psgr'!$B$29</f>
        <v>284289955787.51617</v>
      </c>
      <c r="R32" s="22">
        <f>'Energy Consumption (EC) - psgr'!R32*'Energy Consumption (EC) - psgr'!$B$29</f>
        <v>292278613056.573</v>
      </c>
      <c r="S32" s="22">
        <f>'Energy Consumption (EC) - psgr'!S32*'Energy Consumption (EC) - psgr'!$B$29</f>
        <v>300491754672.20361</v>
      </c>
      <c r="T32" s="22">
        <f>'Energy Consumption (EC) - psgr'!T32*'Energy Consumption (EC) - psgr'!$B$29</f>
        <v>308935688731.02039</v>
      </c>
      <c r="U32" s="22">
        <f>'Energy Consumption (EC) - psgr'!U32*'Energy Consumption (EC) - psgr'!$B$29</f>
        <v>317616900589.58051</v>
      </c>
      <c r="V32" s="22">
        <f>'Energy Consumption (EC) - psgr'!V32*'Energy Consumption (EC) - psgr'!$B$29</f>
        <v>326542057845.4588</v>
      </c>
      <c r="W32" s="22">
        <f>'Energy Consumption (EC) - psgr'!W32*'Energy Consumption (EC) - psgr'!$B$29</f>
        <v>335718015458.28992</v>
      </c>
      <c r="X32" s="22">
        <f>'Energy Consumption (EC) - psgr'!X32*'Energy Consumption (EC) - psgr'!$B$29</f>
        <v>345151821014.71521</v>
      </c>
      <c r="Y32" s="22">
        <f>'Energy Consumption (EC) - psgr'!Y32*'Energy Consumption (EC) - psgr'!$B$29</f>
        <v>354850720141.27545</v>
      </c>
      <c r="Z32" s="22">
        <f>'Energy Consumption (EC) - psgr'!Z32*'Energy Consumption (EC) - psgr'!$B$29</f>
        <v>364822162069.40826</v>
      </c>
      <c r="AA32" s="22">
        <f>'Energy Consumption (EC) - psgr'!AA32*'Energy Consumption (EC) - psgr'!$B$29</f>
        <v>375073805356.82379</v>
      </c>
      <c r="AB32" s="22">
        <f>'Energy Consumption (EC) - psgr'!AB32*'Energy Consumption (EC) - psgr'!$B$29</f>
        <v>385613523769.65479</v>
      </c>
      <c r="AC32" s="22">
        <f>'Energy Consumption (EC) - psgr'!AC32*'Energy Consumption (EC) - psgr'!$B$29</f>
        <v>396449412329.89465</v>
      </c>
      <c r="AD32" s="22">
        <f>'Energy Consumption (EC) - psgr'!AD32*'Energy Consumption (EC) - psgr'!$B$29</f>
        <v>407589793532.7735</v>
      </c>
      <c r="AE32" s="22">
        <f>'Energy Consumption (EC) - psgr'!AE32*'Energy Consumption (EC) - psgr'!$B$29</f>
        <v>419043223738.8432</v>
      </c>
      <c r="AF32" s="22">
        <f>'Energy Consumption (EC) - psgr'!AF32*'Energy Consumption (EC) - psgr'!$B$29</f>
        <v>430818499745.68304</v>
      </c>
      <c r="AG32" s="22">
        <f>'Energy Consumption (EC) - psgr'!AG32*'Energy Consumption (EC) - psgr'!$B$29</f>
        <v>442924665544.27313</v>
      </c>
      <c r="AH32" s="22">
        <f>'Energy Consumption (EC) - psgr'!AH32*'Energy Consumption (EC) - psgr'!$B$29</f>
        <v>455371019265.22357</v>
      </c>
      <c r="AI32" s="22">
        <f>'Energy Consumption (EC) - psgr'!AI32*'Energy Consumption (EC) - psgr'!$B$29</f>
        <v>468167120320.19684</v>
      </c>
      <c r="AJ32" s="22">
        <f>'Energy Consumption (EC) - psgr'!AJ32*'Energy Consumption (EC) - psgr'!$B$29</f>
        <v>481322796744.00513</v>
      </c>
      <c r="AK32" s="22">
        <f>'Energy Consumption (EC) - psgr'!AK32*'Energy Consumption (EC) - psgr'!$B$29</f>
        <v>494848152743.02478</v>
      </c>
      <c r="AL32" s="22">
        <f>'Energy Consumption (EC) - psgr'!AL32*'Energy Consumption (EC) - psgr'!$B$29</f>
        <v>508753576455.724</v>
      </c>
      <c r="AM32" s="22">
        <f>'Energy Consumption (EC) - psgr'!AM32*'Energy Consumption (EC) - psgr'!$B$29</f>
        <v>523049747931.26251</v>
      </c>
      <c r="AN32" s="22">
        <f>'Energy Consumption (EC) - psgr'!AN32*'Energy Consumption (EC) - psgr'!$B$29</f>
        <v>537747647332.29688</v>
      </c>
    </row>
    <row r="33" spans="1:40" x14ac:dyDescent="0.2">
      <c r="A33" s="15" t="s">
        <v>37</v>
      </c>
      <c r="B33" s="22">
        <f>'Energy Consumption (EC) - psgr'!B33*'Energy Consumption (EC) - psgr'!$B$29</f>
        <v>19497488678181.441</v>
      </c>
      <c r="C33" s="22">
        <f>'Energy Consumption (EC) - psgr'!C33*'Energy Consumption (EC) - psgr'!$B$29</f>
        <v>20045375620672.379</v>
      </c>
      <c r="D33" s="22">
        <f>'Energy Consumption (EC) - psgr'!D33*'Energy Consumption (EC) - psgr'!$B$29</f>
        <v>20608658397299.023</v>
      </c>
      <c r="E33" s="22">
        <f>'Energy Consumption (EC) - psgr'!E33*'Energy Consumption (EC) - psgr'!$B$29</f>
        <v>21187769636931.219</v>
      </c>
      <c r="F33" s="22">
        <f>'Energy Consumption (EC) - psgr'!F33*'Energy Consumption (EC) - psgr'!$B$29</f>
        <v>21783154125476.715</v>
      </c>
      <c r="G33" s="22">
        <f>'Energy Consumption (EC) - psgr'!G33*'Energy Consumption (EC) - psgr'!$B$29</f>
        <v>22395269147498.59</v>
      </c>
      <c r="H33" s="22">
        <f>'Energy Consumption (EC) - psgr'!H33*'Energy Consumption (EC) - psgr'!$B$29</f>
        <v>23024584837432.309</v>
      </c>
      <c r="I33" s="22">
        <f>'Energy Consumption (EC) - psgr'!I33*'Energy Consumption (EC) - psgr'!$B$29</f>
        <v>23671584540672.078</v>
      </c>
      <c r="J33" s="22">
        <f>'Energy Consumption (EC) - psgr'!J33*'Energy Consumption (EC) - psgr'!$B$29</f>
        <v>24336765184803.844</v>
      </c>
      <c r="K33" s="22">
        <f>'Energy Consumption (EC) - psgr'!K33*'Energy Consumption (EC) - psgr'!$B$29</f>
        <v>25020637661270.168</v>
      </c>
      <c r="L33" s="22">
        <f>'Energy Consumption (EC) - psgr'!L33*'Energy Consumption (EC) - psgr'!$B$29</f>
        <v>25723727217759.949</v>
      </c>
      <c r="M33" s="22">
        <f>'Energy Consumption (EC) - psgr'!M33*'Energy Consumption (EC) - psgr'!$B$29</f>
        <v>26446573861624.441</v>
      </c>
      <c r="N33" s="22">
        <f>'Energy Consumption (EC) - psgr'!N33*'Energy Consumption (EC) - psgr'!$B$29</f>
        <v>27189732774629.523</v>
      </c>
      <c r="O33" s="22">
        <f>'Energy Consumption (EC) - psgr'!O33*'Energy Consumption (EC) - psgr'!$B$29</f>
        <v>27953774739362.539</v>
      </c>
      <c r="P33" s="22">
        <f>'Energy Consumption (EC) - psgr'!P33*'Energy Consumption (EC) - psgr'!$B$29</f>
        <v>28739286577621.41</v>
      </c>
      <c r="Q33" s="22">
        <f>'Energy Consumption (EC) - psgr'!Q33*'Energy Consumption (EC) - psgr'!$B$29</f>
        <v>29546871601122.629</v>
      </c>
      <c r="R33" s="22">
        <f>'Energy Consumption (EC) - psgr'!R33*'Energy Consumption (EC) - psgr'!$B$29</f>
        <v>30377150074874.324</v>
      </c>
      <c r="S33" s="22">
        <f>'Energy Consumption (EC) - psgr'!S33*'Energy Consumption (EC) - psgr'!$B$29</f>
        <v>31230759693570.289</v>
      </c>
      <c r="T33" s="22">
        <f>'Energy Consumption (EC) - psgr'!T33*'Energy Consumption (EC) - psgr'!$B$29</f>
        <v>32108356071370.859</v>
      </c>
      <c r="U33" s="22">
        <f>'Energy Consumption (EC) - psgr'!U33*'Energy Consumption (EC) - psgr'!$B$29</f>
        <v>33010613245446.801</v>
      </c>
      <c r="V33" s="22">
        <f>'Energy Consumption (EC) - psgr'!V33*'Energy Consumption (EC) - psgr'!$B$29</f>
        <v>33938224193673.059</v>
      </c>
      <c r="W33" s="22">
        <f>'Energy Consumption (EC) - psgr'!W33*'Energy Consumption (EC) - psgr'!$B$29</f>
        <v>34891901366869.809</v>
      </c>
      <c r="X33" s="22">
        <f>'Energy Consumption (EC) - psgr'!X33*'Energy Consumption (EC) - psgr'!$B$29</f>
        <v>35872377235999.68</v>
      </c>
      <c r="Y33" s="22">
        <f>'Energy Consumption (EC) - psgr'!Y33*'Energy Consumption (EC) - psgr'!$B$29</f>
        <v>36880404854741.523</v>
      </c>
      <c r="Z33" s="22">
        <f>'Energy Consumption (EC) - psgr'!Z33*'Energy Consumption (EC) - psgr'!$B$29</f>
        <v>37916758437872.68</v>
      </c>
      <c r="AA33" s="22">
        <f>'Energy Consumption (EC) - psgr'!AA33*'Energy Consumption (EC) - psgr'!$B$29</f>
        <v>38982233955903.914</v>
      </c>
      <c r="AB33" s="22">
        <f>'Energy Consumption (EC) - psgr'!AB33*'Energy Consumption (EC) - psgr'!$B$29</f>
        <v>40077649746424</v>
      </c>
      <c r="AC33" s="22">
        <f>'Energy Consumption (EC) - psgr'!AC33*'Energy Consumption (EC) - psgr'!$B$29</f>
        <v>41203847142623.188</v>
      </c>
      <c r="AD33" s="22">
        <f>'Energy Consumption (EC) - psgr'!AD33*'Energy Consumption (EC) - psgr'!$B$29</f>
        <v>42361691119478.43</v>
      </c>
      <c r="AE33" s="22">
        <f>'Energy Consumption (EC) - psgr'!AE33*'Energy Consumption (EC) - psgr'!$B$29</f>
        <v>43552070958096.781</v>
      </c>
      <c r="AF33" s="22">
        <f>'Energy Consumption (EC) - psgr'!AF33*'Energy Consumption (EC) - psgr'!$B$29</f>
        <v>44775900928726.914</v>
      </c>
      <c r="AG33" s="22">
        <f>'Energy Consumption (EC) - psgr'!AG33*'Energy Consumption (EC) - psgr'!$B$29</f>
        <v>46034120992963.703</v>
      </c>
      <c r="AH33" s="22">
        <f>'Energy Consumption (EC) - psgr'!AH33*'Energy Consumption (EC) - psgr'!$B$29</f>
        <v>47327697525684.898</v>
      </c>
      <c r="AI33" s="22">
        <f>'Energy Consumption (EC) - psgr'!AI33*'Energy Consumption (EC) - psgr'!$B$29</f>
        <v>48657624057274.609</v>
      </c>
      <c r="AJ33" s="22">
        <f>'Energy Consumption (EC) - psgr'!AJ33*'Energy Consumption (EC) - psgr'!$B$29</f>
        <v>50024922036703.43</v>
      </c>
      <c r="AK33" s="22">
        <f>'Energy Consumption (EC) - psgr'!AK33*'Energy Consumption (EC) - psgr'!$B$29</f>
        <v>51430641616051.5</v>
      </c>
      <c r="AL33" s="22">
        <f>'Energy Consumption (EC) - psgr'!AL33*'Energy Consumption (EC) - psgr'!$B$29</f>
        <v>52875862457076.969</v>
      </c>
      <c r="AM33" s="22">
        <f>'Energy Consumption (EC) - psgr'!AM33*'Energy Consumption (EC) - psgr'!$B$29</f>
        <v>54361694560449.242</v>
      </c>
      <c r="AN33" s="22">
        <f>'Energy Consumption (EC) - psgr'!AN33*'Energy Consumption (EC) - psgr'!$B$29</f>
        <v>55889279118284.148</v>
      </c>
    </row>
    <row r="34" spans="1:40" x14ac:dyDescent="0.2">
      <c r="A34" s="15" t="s">
        <v>38</v>
      </c>
      <c r="B34" s="22">
        <f>'Energy Consumption (EC) - psgr'!B34*'Energy Consumption (EC) - psgr'!$B$29</f>
        <v>318607284342905.44</v>
      </c>
      <c r="C34" s="22">
        <f>'Energy Consumption (EC) - psgr'!C34*'Energy Consumption (EC) - psgr'!$B$29</f>
        <v>327560271763758.06</v>
      </c>
      <c r="D34" s="22">
        <f>'Energy Consumption (EC) - psgr'!D34*'Energy Consumption (EC) - psgr'!$B$29</f>
        <v>336764841579919.94</v>
      </c>
      <c r="E34" s="22">
        <f>'Energy Consumption (EC) - psgr'!E34*'Energy Consumption (EC) - psgr'!$B$29</f>
        <v>346228063353611.31</v>
      </c>
      <c r="F34" s="22">
        <f>'Energy Consumption (EC) - psgr'!F34*'Energy Consumption (EC) - psgr'!$B$29</f>
        <v>355957205304474.25</v>
      </c>
      <c r="G34" s="22">
        <f>'Energy Consumption (EC) - psgr'!G34*'Energy Consumption (EC) - psgr'!$B$29</f>
        <v>365959739891922.38</v>
      </c>
      <c r="H34" s="22">
        <f>'Energy Consumption (EC) - psgr'!H34*'Energy Consumption (EC) - psgr'!$B$29</f>
        <v>376243349554357.38</v>
      </c>
      <c r="I34" s="22">
        <f>'Energy Consumption (EC) - psgr'!I34*'Energy Consumption (EC) - psgr'!$B$29</f>
        <v>386815932609659.5</v>
      </c>
      <c r="J34" s="22">
        <f>'Energy Consumption (EC) - psgr'!J34*'Energy Consumption (EC) - psgr'!$B$29</f>
        <v>397685609321483.88</v>
      </c>
      <c r="K34" s="22">
        <f>'Energy Consumption (EC) - psgr'!K34*'Energy Consumption (EC) - psgr'!$B$29</f>
        <v>408860728136022.25</v>
      </c>
      <c r="L34" s="22">
        <f>'Energy Consumption (EC) - psgr'!L34*'Energy Consumption (EC) - psgr'!$B$29</f>
        <v>420349872094020.38</v>
      </c>
      <c r="M34" s="22">
        <f>'Energy Consumption (EC) - psgr'!M34*'Energy Consumption (EC) - psgr'!$B$29</f>
        <v>432161865422975.12</v>
      </c>
      <c r="N34" s="22">
        <f>'Energy Consumption (EC) - psgr'!N34*'Energy Consumption (EC) - psgr'!$B$29</f>
        <v>444305780314575.38</v>
      </c>
      <c r="O34" s="22">
        <f>'Energy Consumption (EC) - psgr'!O34*'Energy Consumption (EC) - psgr'!$B$29</f>
        <v>456790943892591.06</v>
      </c>
      <c r="P34" s="22">
        <f>'Energy Consumption (EC) - psgr'!P34*'Energy Consumption (EC) - psgr'!$B$29</f>
        <v>469626945376562.94</v>
      </c>
      <c r="Q34" s="22">
        <f>'Energy Consumption (EC) - psgr'!Q34*'Energy Consumption (EC) - psgr'!$B$29</f>
        <v>482823643446794.88</v>
      </c>
      <c r="R34" s="22">
        <f>'Energy Consumption (EC) - psgr'!R34*'Energy Consumption (EC) - psgr'!$B$29</f>
        <v>496391173816304.62</v>
      </c>
      <c r="S34" s="22">
        <f>'Energy Consumption (EC) - psgr'!S34*'Energy Consumption (EC) - psgr'!$B$29</f>
        <v>510339957015550.56</v>
      </c>
      <c r="T34" s="22">
        <f>'Energy Consumption (EC) - psgr'!T34*'Energy Consumption (EC) - psgr'!$B$29</f>
        <v>524680706395910.69</v>
      </c>
      <c r="U34" s="22">
        <f>'Energy Consumption (EC) - psgr'!U34*'Energy Consumption (EC) - psgr'!$B$29</f>
        <v>539424436358063.44</v>
      </c>
      <c r="V34" s="22">
        <f>'Energy Consumption (EC) - psgr'!V34*'Energy Consumption (EC) - psgr'!$B$29</f>
        <v>554582470811590.12</v>
      </c>
      <c r="W34" s="22">
        <f>'Energy Consumption (EC) - psgr'!W34*'Energy Consumption (EC) - psgr'!$B$29</f>
        <v>570166451872292.25</v>
      </c>
      <c r="X34" s="22">
        <f>'Energy Consumption (EC) - psgr'!X34*'Energy Consumption (EC) - psgr'!$B$29</f>
        <v>586188348803910.38</v>
      </c>
      <c r="Y34" s="22">
        <f>'Energy Consumption (EC) - psgr'!Y34*'Energy Consumption (EC) - psgr'!$B$29</f>
        <v>602660467211107.25</v>
      </c>
      <c r="Z34" s="22">
        <f>'Energy Consumption (EC) - psgr'!Z34*'Energy Consumption (EC) - psgr'!$B$29</f>
        <v>619595458490776.75</v>
      </c>
      <c r="AA34" s="22">
        <f>'Energy Consumption (EC) - psgr'!AA34*'Energy Consumption (EC) - psgr'!$B$29</f>
        <v>637006329548938.25</v>
      </c>
      <c r="AB34" s="22">
        <f>'Energy Consumption (EC) - psgr'!AB34*'Energy Consumption (EC) - psgr'!$B$29</f>
        <v>654906452790681.75</v>
      </c>
      <c r="AC34" s="22">
        <f>'Energy Consumption (EC) - psgr'!AC34*'Energy Consumption (EC) - psgr'!$B$29</f>
        <v>673309576390830.38</v>
      </c>
      <c r="AD34" s="22">
        <f>'Energy Consumption (EC) - psgr'!AD34*'Energy Consumption (EC) - psgr'!$B$29</f>
        <v>692229834853216.62</v>
      </c>
      <c r="AE34" s="22">
        <f>'Energy Consumption (EC) - psgr'!AE34*'Energy Consumption (EC) - psgr'!$B$29</f>
        <v>711681759866674.88</v>
      </c>
      <c r="AF34" s="22">
        <f>'Energy Consumption (EC) - psgr'!AF34*'Energy Consumption (EC) - psgr'!$B$29</f>
        <v>731680291466093.75</v>
      </c>
      <c r="AG34" s="22">
        <f>'Energy Consumption (EC) - psgr'!AG34*'Energy Consumption (EC) - psgr'!$B$29</f>
        <v>752240789507097.38</v>
      </c>
      <c r="AH34" s="22">
        <f>'Energy Consumption (EC) - psgr'!AH34*'Energy Consumption (EC) - psgr'!$B$29</f>
        <v>773379045463169.25</v>
      </c>
      <c r="AI34" s="22">
        <f>'Energy Consumption (EC) - psgr'!AI34*'Energy Consumption (EC) - psgr'!$B$29</f>
        <v>795111294554281.25</v>
      </c>
      <c r="AJ34" s="22">
        <f>'Energy Consumption (EC) - psgr'!AJ34*'Energy Consumption (EC) - psgr'!$B$29</f>
        <v>817454228216340.5</v>
      </c>
      <c r="AK34" s="22">
        <f>'Energy Consumption (EC) - psgr'!AK34*'Energy Consumption (EC) - psgr'!$B$29</f>
        <v>840425006921032.25</v>
      </c>
      <c r="AL34" s="22">
        <f>'Energy Consumption (EC) - psgr'!AL34*'Energy Consumption (EC) - psgr'!$B$29</f>
        <v>864041273355907.38</v>
      </c>
      <c r="AM34" s="22">
        <f>'Energy Consumption (EC) - psgr'!AM34*'Energy Consumption (EC) - psgr'!$B$29</f>
        <v>888321165974832</v>
      </c>
      <c r="AN34" s="22">
        <f>'Energy Consumption (EC) - psgr'!AN34*'Energy Consumption (EC) - psgr'!$B$29</f>
        <v>913283332929214.12</v>
      </c>
    </row>
    <row r="37" spans="1:40" x14ac:dyDescent="0.2">
      <c r="A37" s="17" t="s">
        <v>88</v>
      </c>
    </row>
    <row r="38" spans="1:40" x14ac:dyDescent="0.2">
      <c r="A38" s="14" t="s">
        <v>16</v>
      </c>
    </row>
    <row r="39" spans="1:40" x14ac:dyDescent="0.2">
      <c r="A39" s="14" t="s">
        <v>41</v>
      </c>
    </row>
    <row r="40" spans="1:40" x14ac:dyDescent="0.2">
      <c r="A40" s="14" t="s">
        <v>18</v>
      </c>
    </row>
    <row r="41" spans="1:40" x14ac:dyDescent="0.2">
      <c r="A41" s="14"/>
    </row>
    <row r="42" spans="1:40" x14ac:dyDescent="0.2">
      <c r="A42" s="15" t="s">
        <v>19</v>
      </c>
      <c r="B42" s="15">
        <v>2022</v>
      </c>
      <c r="C42" s="15">
        <v>2023</v>
      </c>
      <c r="D42" s="15">
        <v>2024</v>
      </c>
      <c r="E42" s="15">
        <v>2025</v>
      </c>
      <c r="F42" s="15">
        <v>2026</v>
      </c>
      <c r="G42" s="15">
        <v>2027</v>
      </c>
      <c r="H42" s="15">
        <v>2028</v>
      </c>
      <c r="I42" s="15">
        <v>2029</v>
      </c>
      <c r="J42" s="15">
        <v>2030</v>
      </c>
      <c r="K42" s="15">
        <v>2031</v>
      </c>
      <c r="L42" s="15">
        <v>2032</v>
      </c>
      <c r="M42" s="15">
        <v>2033</v>
      </c>
      <c r="N42" s="15">
        <v>2034</v>
      </c>
      <c r="O42" s="15">
        <v>2035</v>
      </c>
      <c r="P42" s="15">
        <v>2036</v>
      </c>
      <c r="Q42" s="15">
        <v>2037</v>
      </c>
      <c r="R42" s="15">
        <v>2038</v>
      </c>
      <c r="S42" s="15">
        <v>2039</v>
      </c>
      <c r="T42" s="15">
        <v>2040</v>
      </c>
      <c r="U42" s="15">
        <v>2041</v>
      </c>
      <c r="V42" s="15">
        <v>2042</v>
      </c>
      <c r="W42" s="15">
        <v>2043</v>
      </c>
      <c r="X42" s="15">
        <v>2044</v>
      </c>
      <c r="Y42" s="15">
        <v>2045</v>
      </c>
      <c r="Z42" s="15">
        <v>2046</v>
      </c>
      <c r="AA42" s="15">
        <v>2047</v>
      </c>
      <c r="AB42" s="15">
        <v>2048</v>
      </c>
      <c r="AC42" s="15">
        <v>2049</v>
      </c>
      <c r="AD42" s="15">
        <v>2050</v>
      </c>
      <c r="AE42" s="15">
        <v>2051</v>
      </c>
      <c r="AF42" s="15">
        <v>2052</v>
      </c>
      <c r="AG42" s="15">
        <v>2053</v>
      </c>
      <c r="AH42" s="15">
        <v>2054</v>
      </c>
      <c r="AI42" s="15">
        <v>2055</v>
      </c>
      <c r="AJ42" s="15">
        <v>2056</v>
      </c>
      <c r="AK42" s="15">
        <v>2057</v>
      </c>
      <c r="AL42" s="15">
        <v>2058</v>
      </c>
      <c r="AM42" s="15">
        <v>2059</v>
      </c>
      <c r="AN42" s="15">
        <v>2060</v>
      </c>
    </row>
    <row r="43" spans="1:40" x14ac:dyDescent="0.2">
      <c r="A43" s="15" t="s">
        <v>42</v>
      </c>
      <c r="B43" s="22">
        <f>'Energy Consumption (EC) - psgr'!B43*'Energy Consumption (EC) - psgr'!$B$41</f>
        <v>1069965736806.1885</v>
      </c>
      <c r="C43" s="22">
        <f>'Energy Consumption (EC) - psgr'!C43*'Energy Consumption (EC) - psgr'!$B$41</f>
        <v>1073624423109.8405</v>
      </c>
      <c r="D43" s="22">
        <f>'Energy Consumption (EC) - psgr'!D43*'Energy Consumption (EC) - psgr'!$B$41</f>
        <v>1077283109413.4924</v>
      </c>
      <c r="E43" s="22">
        <f>'Energy Consumption (EC) - psgr'!E43*'Energy Consumption (EC) - psgr'!$B$41</f>
        <v>1080941795717.1443</v>
      </c>
      <c r="F43" s="22">
        <f>'Energy Consumption (EC) - psgr'!F43*'Energy Consumption (EC) - psgr'!$B$41</f>
        <v>1090728730494.5319</v>
      </c>
      <c r="G43" s="22">
        <f>'Energy Consumption (EC) - psgr'!G43*'Energy Consumption (EC) - psgr'!$B$41</f>
        <v>1100515665271.9189</v>
      </c>
      <c r="H43" s="22">
        <f>'Energy Consumption (EC) - psgr'!H43*'Energy Consumption (EC) - psgr'!$B$41</f>
        <v>1110302600049.3064</v>
      </c>
      <c r="I43" s="22">
        <f>'Energy Consumption (EC) - psgr'!I43*'Energy Consumption (EC) - psgr'!$B$41</f>
        <v>1120089534826.6936</v>
      </c>
      <c r="J43" s="22">
        <f>'Energy Consumption (EC) - psgr'!J43*'Energy Consumption (EC) - psgr'!$B$41</f>
        <v>1129876469604.0806</v>
      </c>
      <c r="K43" s="22">
        <f>'Energy Consumption (EC) - psgr'!K43*'Energy Consumption (EC) - psgr'!$B$41</f>
        <v>1138096738398.7144</v>
      </c>
      <c r="L43" s="22">
        <f>'Energy Consumption (EC) - psgr'!L43*'Energy Consumption (EC) - psgr'!$B$41</f>
        <v>1146317007193.3477</v>
      </c>
      <c r="M43" s="22">
        <f>'Energy Consumption (EC) - psgr'!M43*'Energy Consumption (EC) - psgr'!$B$41</f>
        <v>1154537275987.9814</v>
      </c>
      <c r="N43" s="22">
        <f>'Energy Consumption (EC) - psgr'!N43*'Energy Consumption (EC) - psgr'!$B$41</f>
        <v>1162757544782.615</v>
      </c>
      <c r="O43" s="22">
        <f>'Energy Consumption (EC) - psgr'!O43*'Energy Consumption (EC) - psgr'!$B$41</f>
        <v>1170977813577.2485</v>
      </c>
      <c r="P43" s="22">
        <f>'Energy Consumption (EC) - psgr'!P43*'Energy Consumption (EC) - psgr'!$B$41</f>
        <v>1177613305181.9099</v>
      </c>
      <c r="Q43" s="22">
        <f>'Energy Consumption (EC) - psgr'!Q43*'Energy Consumption (EC) - psgr'!$B$41</f>
        <v>1184248796786.5718</v>
      </c>
      <c r="R43" s="22">
        <f>'Energy Consumption (EC) - psgr'!R43*'Energy Consumption (EC) - psgr'!$B$41</f>
        <v>1190884288391.2329</v>
      </c>
      <c r="S43" s="22">
        <f>'Energy Consumption (EC) - psgr'!S43*'Energy Consumption (EC) - psgr'!$B$41</f>
        <v>1197519779995.8948</v>
      </c>
      <c r="T43" s="22">
        <f>'Energy Consumption (EC) - psgr'!T43*'Energy Consumption (EC) - psgr'!$B$41</f>
        <v>1204155271600.5564</v>
      </c>
      <c r="U43" s="22">
        <f>'Energy Consumption (EC) - psgr'!U43*'Energy Consumption (EC) - psgr'!$B$41</f>
        <v>1209240772879.8386</v>
      </c>
      <c r="V43" s="22">
        <f>'Energy Consumption (EC) - psgr'!V43*'Energy Consumption (EC) - psgr'!$B$41</f>
        <v>1214326274159.1208</v>
      </c>
      <c r="W43" s="22">
        <f>'Energy Consumption (EC) - psgr'!W43*'Energy Consumption (EC) - psgr'!$B$41</f>
        <v>1219411775438.4031</v>
      </c>
      <c r="X43" s="22">
        <f>'Energy Consumption (EC) - psgr'!X43*'Energy Consumption (EC) - psgr'!$B$41</f>
        <v>1224497276717.6858</v>
      </c>
      <c r="Y43" s="22">
        <f>'Energy Consumption (EC) - psgr'!Y43*'Energy Consumption (EC) - psgr'!$B$41</f>
        <v>1229582777996.968</v>
      </c>
      <c r="Z43" s="22">
        <f>'Energy Consumption (EC) - psgr'!Z43*'Energy Consumption (EC) - psgr'!$B$41</f>
        <v>1233181119475.6553</v>
      </c>
      <c r="AA43" s="22">
        <f>'Energy Consumption (EC) - psgr'!AA43*'Energy Consumption (EC) - psgr'!$B$41</f>
        <v>1236779460954.3428</v>
      </c>
      <c r="AB43" s="22">
        <f>'Energy Consumption (EC) - psgr'!AB43*'Energy Consumption (EC) - psgr'!$B$41</f>
        <v>1240377802433.03</v>
      </c>
      <c r="AC43" s="22">
        <f>'Energy Consumption (EC) - psgr'!AC43*'Energy Consumption (EC) - psgr'!$B$41</f>
        <v>1243976143911.7175</v>
      </c>
      <c r="AD43" s="22">
        <f>'Energy Consumption (EC) - psgr'!AD43*'Energy Consumption (EC) - psgr'!$B$41</f>
        <v>1247574485390.405</v>
      </c>
      <c r="AE43" s="22">
        <f>'Energy Consumption (EC) - psgr'!AE43*'Energy Consumption (EC) - psgr'!$B$41</f>
        <v>1247574485390.405</v>
      </c>
      <c r="AF43" s="22">
        <f>'Energy Consumption (EC) - psgr'!AF43*'Energy Consumption (EC) - psgr'!$B$41</f>
        <v>1247574485390.405</v>
      </c>
      <c r="AG43" s="22">
        <f>'Energy Consumption (EC) - psgr'!AG43*'Energy Consumption (EC) - psgr'!$B$41</f>
        <v>1247574485390.405</v>
      </c>
      <c r="AH43" s="22">
        <f>'Energy Consumption (EC) - psgr'!AH43*'Energy Consumption (EC) - psgr'!$B$41</f>
        <v>1247574485390.405</v>
      </c>
      <c r="AI43" s="22">
        <f>'Energy Consumption (EC) - psgr'!AI43*'Energy Consumption (EC) - psgr'!$B$41</f>
        <v>1247574485390.405</v>
      </c>
      <c r="AJ43" s="22">
        <f>'Energy Consumption (EC) - psgr'!AJ43*'Energy Consumption (EC) - psgr'!$B$41</f>
        <v>1247574485390.405</v>
      </c>
      <c r="AK43" s="22">
        <f>'Energy Consumption (EC) - psgr'!AK43*'Energy Consumption (EC) - psgr'!$B$41</f>
        <v>1247574485390.405</v>
      </c>
      <c r="AL43" s="22">
        <f>'Energy Consumption (EC) - psgr'!AL43*'Energy Consumption (EC) - psgr'!$B$41</f>
        <v>1247574485390.405</v>
      </c>
      <c r="AM43" s="22">
        <f>'Energy Consumption (EC) - psgr'!AM43*'Energy Consumption (EC) - psgr'!$B$41</f>
        <v>1247574485390.405</v>
      </c>
      <c r="AN43" s="22">
        <f>'Energy Consumption (EC) - psgr'!AN43*'Energy Consumption (EC) - psgr'!$B$41</f>
        <v>1247574485390.405</v>
      </c>
    </row>
    <row r="44" spans="1:40" x14ac:dyDescent="0.2">
      <c r="A44" s="15" t="s">
        <v>43</v>
      </c>
      <c r="B44" s="22">
        <f>'Energy Consumption (EC) - psgr'!B44*'Energy Consumption (EC) - psgr'!$B$41</f>
        <v>478214847709.05573</v>
      </c>
      <c r="C44" s="22">
        <f>'Energy Consumption (EC) - psgr'!C44*'Energy Consumption (EC) - psgr'!$B$41</f>
        <v>479850075878.82745</v>
      </c>
      <c r="D44" s="22">
        <f>'Energy Consumption (EC) - psgr'!D44*'Energy Consumption (EC) - psgr'!$B$41</f>
        <v>481485304048.59912</v>
      </c>
      <c r="E44" s="22">
        <f>'Energy Consumption (EC) - psgr'!E44*'Energy Consumption (EC) - psgr'!$B$41</f>
        <v>483120532218.37103</v>
      </c>
      <c r="F44" s="22">
        <f>'Energy Consumption (EC) - psgr'!F44*'Energy Consumption (EC) - psgr'!$B$41</f>
        <v>487494744740.42548</v>
      </c>
      <c r="G44" s="22">
        <f>'Energy Consumption (EC) - psgr'!G44*'Energy Consumption (EC) - psgr'!$B$41</f>
        <v>491868957262.4798</v>
      </c>
      <c r="H44" s="22">
        <f>'Energy Consumption (EC) - psgr'!H44*'Energy Consumption (EC) - psgr'!$B$41</f>
        <v>496243169784.53412</v>
      </c>
      <c r="I44" s="22">
        <f>'Energy Consumption (EC) - psgr'!I44*'Energy Consumption (EC) - psgr'!$B$41</f>
        <v>500617382306.58844</v>
      </c>
      <c r="J44" s="22">
        <f>'Energy Consumption (EC) - psgr'!J44*'Energy Consumption (EC) - psgr'!$B$41</f>
        <v>504991594828.64276</v>
      </c>
      <c r="K44" s="22">
        <f>'Energy Consumption (EC) - psgr'!K44*'Energy Consumption (EC) - psgr'!$B$41</f>
        <v>508665595270.45801</v>
      </c>
      <c r="L44" s="22">
        <f>'Energy Consumption (EC) - psgr'!L44*'Energy Consumption (EC) - psgr'!$B$41</f>
        <v>512339595712.27325</v>
      </c>
      <c r="M44" s="22">
        <f>'Energy Consumption (EC) - psgr'!M44*'Energy Consumption (EC) - psgr'!$B$41</f>
        <v>516013596154.0885</v>
      </c>
      <c r="N44" s="22">
        <f>'Energy Consumption (EC) - psgr'!N44*'Energy Consumption (EC) - psgr'!$B$41</f>
        <v>519687596595.90393</v>
      </c>
      <c r="O44" s="22">
        <f>'Energy Consumption (EC) - psgr'!O44*'Energy Consumption (EC) - psgr'!$B$41</f>
        <v>523361597037.7193</v>
      </c>
      <c r="P44" s="22">
        <f>'Energy Consumption (EC) - psgr'!P44*'Energy Consumption (EC) - psgr'!$B$41</f>
        <v>526327290702.51813</v>
      </c>
      <c r="Q44" s="22">
        <f>'Energy Consumption (EC) - psgr'!Q44*'Energy Consumption (EC) - psgr'!$B$41</f>
        <v>529292984367.31696</v>
      </c>
      <c r="R44" s="22">
        <f>'Energy Consumption (EC) - psgr'!R44*'Energy Consumption (EC) - psgr'!$B$41</f>
        <v>532258678032.11578</v>
      </c>
      <c r="S44" s="22">
        <f>'Energy Consumption (EC) - psgr'!S44*'Energy Consumption (EC) - psgr'!$B$41</f>
        <v>535224371696.91455</v>
      </c>
      <c r="T44" s="22">
        <f>'Energy Consumption (EC) - psgr'!T44*'Energy Consumption (EC) - psgr'!$B$41</f>
        <v>538190065361.71362</v>
      </c>
      <c r="U44" s="22">
        <f>'Energy Consumption (EC) - psgr'!U44*'Energy Consumption (EC) - psgr'!$B$41</f>
        <v>540463000032.55212</v>
      </c>
      <c r="V44" s="22">
        <f>'Energy Consumption (EC) - psgr'!V44*'Energy Consumption (EC) - psgr'!$B$41</f>
        <v>542735934703.39081</v>
      </c>
      <c r="W44" s="22">
        <f>'Energy Consumption (EC) - psgr'!W44*'Energy Consumption (EC) - psgr'!$B$41</f>
        <v>545008869374.22943</v>
      </c>
      <c r="X44" s="22">
        <f>'Energy Consumption (EC) - psgr'!X44*'Energy Consumption (EC) - psgr'!$B$41</f>
        <v>547281804045.06805</v>
      </c>
      <c r="Y44" s="22">
        <f>'Energy Consumption (EC) - psgr'!Y44*'Energy Consumption (EC) - psgr'!$B$41</f>
        <v>549554738715.9068</v>
      </c>
      <c r="Z44" s="22">
        <f>'Energy Consumption (EC) - psgr'!Z44*'Energy Consumption (EC) - psgr'!$B$41</f>
        <v>551162996123.63647</v>
      </c>
      <c r="AA44" s="22">
        <f>'Energy Consumption (EC) - psgr'!AA44*'Energy Consumption (EC) - psgr'!$B$41</f>
        <v>552771253531.36633</v>
      </c>
      <c r="AB44" s="22">
        <f>'Energy Consumption (EC) - psgr'!AB44*'Energy Consumption (EC) - psgr'!$B$41</f>
        <v>554379510939.09619</v>
      </c>
      <c r="AC44" s="22">
        <f>'Energy Consumption (EC) - psgr'!AC44*'Energy Consumption (EC) - psgr'!$B$41</f>
        <v>555987768346.82617</v>
      </c>
      <c r="AD44" s="22">
        <f>'Energy Consumption (EC) - psgr'!AD44*'Energy Consumption (EC) - psgr'!$B$41</f>
        <v>557596025754.55603</v>
      </c>
      <c r="AE44" s="22">
        <f>'Energy Consumption (EC) - psgr'!AE44*'Energy Consumption (EC) - psgr'!$B$41</f>
        <v>557596025754.55603</v>
      </c>
      <c r="AF44" s="22">
        <f>'Energy Consumption (EC) - psgr'!AF44*'Energy Consumption (EC) - psgr'!$B$41</f>
        <v>557596025754.55603</v>
      </c>
      <c r="AG44" s="22">
        <f>'Energy Consumption (EC) - psgr'!AG44*'Energy Consumption (EC) - psgr'!$B$41</f>
        <v>557596025754.55603</v>
      </c>
      <c r="AH44" s="22">
        <f>'Energy Consumption (EC) - psgr'!AH44*'Energy Consumption (EC) - psgr'!$B$41</f>
        <v>557596025754.55603</v>
      </c>
      <c r="AI44" s="22">
        <f>'Energy Consumption (EC) - psgr'!AI44*'Energy Consumption (EC) - psgr'!$B$41</f>
        <v>557596025754.55603</v>
      </c>
      <c r="AJ44" s="22">
        <f>'Energy Consumption (EC) - psgr'!AJ44*'Energy Consumption (EC) - psgr'!$B$41</f>
        <v>557596025754.55603</v>
      </c>
      <c r="AK44" s="22">
        <f>'Energy Consumption (EC) - psgr'!AK44*'Energy Consumption (EC) - psgr'!$B$41</f>
        <v>557596025754.55603</v>
      </c>
      <c r="AL44" s="22">
        <f>'Energy Consumption (EC) - psgr'!AL44*'Energy Consumption (EC) - psgr'!$B$41</f>
        <v>557596025754.55603</v>
      </c>
      <c r="AM44" s="22">
        <f>'Energy Consumption (EC) - psgr'!AM44*'Energy Consumption (EC) - psgr'!$B$41</f>
        <v>557596025754.55603</v>
      </c>
      <c r="AN44" s="22">
        <f>'Energy Consumption (EC) - psgr'!AN44*'Energy Consumption (EC) - psgr'!$B$41</f>
        <v>557596025754.55603</v>
      </c>
    </row>
    <row r="45" spans="1:40" x14ac:dyDescent="0.2">
      <c r="A45" s="15" t="s">
        <v>44</v>
      </c>
      <c r="B45" s="22">
        <f>'Energy Consumption (EC) - psgr'!B45*'Energy Consumption (EC) - psgr'!$B$41</f>
        <v>782928001934.20923</v>
      </c>
      <c r="C45" s="22">
        <f>'Energy Consumption (EC) - psgr'!C45*'Energy Consumption (EC) - psgr'!$B$41</f>
        <v>785605179210.90674</v>
      </c>
      <c r="D45" s="22">
        <f>'Energy Consumption (EC) - psgr'!D45*'Energy Consumption (EC) - psgr'!$B$41</f>
        <v>788282356487.604</v>
      </c>
      <c r="E45" s="22">
        <f>'Energy Consumption (EC) - psgr'!E45*'Energy Consumption (EC) - psgr'!$B$41</f>
        <v>790959533764.30151</v>
      </c>
      <c r="F45" s="22">
        <f>'Energy Consumption (EC) - psgr'!F45*'Energy Consumption (EC) - psgr'!$B$41</f>
        <v>798120945599.03247</v>
      </c>
      <c r="G45" s="22">
        <f>'Energy Consumption (EC) - psgr'!G45*'Energy Consumption (EC) - psgr'!$B$41</f>
        <v>805282357433.76282</v>
      </c>
      <c r="H45" s="22">
        <f>'Energy Consumption (EC) - psgr'!H45*'Energy Consumption (EC) - psgr'!$B$41</f>
        <v>812443769268.49377</v>
      </c>
      <c r="I45" s="22">
        <f>'Energy Consumption (EC) - psgr'!I45*'Energy Consumption (EC) - psgr'!$B$41</f>
        <v>819605181103.22449</v>
      </c>
      <c r="J45" s="22">
        <f>'Energy Consumption (EC) - psgr'!J45*'Energy Consumption (EC) - psgr'!$B$41</f>
        <v>826766592937.9552</v>
      </c>
      <c r="K45" s="22">
        <f>'Energy Consumption (EC) - psgr'!K45*'Energy Consumption (EC) - psgr'!$B$41</f>
        <v>832781625383.71887</v>
      </c>
      <c r="L45" s="22">
        <f>'Energy Consumption (EC) - psgr'!L45*'Energy Consumption (EC) - psgr'!$B$41</f>
        <v>838796657829.48242</v>
      </c>
      <c r="M45" s="22">
        <f>'Energy Consumption (EC) - psgr'!M45*'Energy Consumption (EC) - psgr'!$B$41</f>
        <v>844811690275.24585</v>
      </c>
      <c r="N45" s="22">
        <f>'Energy Consumption (EC) - psgr'!N45*'Energy Consumption (EC) - psgr'!$B$41</f>
        <v>850826722721.00964</v>
      </c>
      <c r="O45" s="22">
        <f>'Energy Consumption (EC) - psgr'!O45*'Energy Consumption (EC) - psgr'!$B$41</f>
        <v>856841755166.77332</v>
      </c>
      <c r="P45" s="22">
        <f>'Energy Consumption (EC) - psgr'!P45*'Energy Consumption (EC) - psgr'!$B$41</f>
        <v>861697155676.50928</v>
      </c>
      <c r="Q45" s="22">
        <f>'Energy Consumption (EC) - psgr'!Q45*'Energy Consumption (EC) - psgr'!$B$41</f>
        <v>866552556186.24536</v>
      </c>
      <c r="R45" s="22">
        <f>'Energy Consumption (EC) - psgr'!R45*'Energy Consumption (EC) - psgr'!$B$41</f>
        <v>871407956695.9812</v>
      </c>
      <c r="S45" s="22">
        <f>'Energy Consumption (EC) - psgr'!S45*'Energy Consumption (EC) - psgr'!$B$41</f>
        <v>876263357205.71753</v>
      </c>
      <c r="T45" s="22">
        <f>'Energy Consumption (EC) - psgr'!T45*'Energy Consumption (EC) - psgr'!$B$41</f>
        <v>881118757715.45361</v>
      </c>
      <c r="U45" s="22">
        <f>'Energy Consumption (EC) - psgr'!U45*'Energy Consumption (EC) - psgr'!$B$41</f>
        <v>884839980945.74792</v>
      </c>
      <c r="V45" s="22">
        <f>'Energy Consumption (EC) - psgr'!V45*'Energy Consumption (EC) - psgr'!$B$41</f>
        <v>888561204176.0426</v>
      </c>
      <c r="W45" s="22">
        <f>'Energy Consumption (EC) - psgr'!W45*'Energy Consumption (EC) - psgr'!$B$41</f>
        <v>892282427406.33716</v>
      </c>
      <c r="X45" s="22">
        <f>'Energy Consumption (EC) - psgr'!X45*'Energy Consumption (EC) - psgr'!$B$41</f>
        <v>896003650636.63159</v>
      </c>
      <c r="Y45" s="22">
        <f>'Energy Consumption (EC) - psgr'!Y45*'Energy Consumption (EC) - psgr'!$B$41</f>
        <v>899724873866.92627</v>
      </c>
      <c r="Z45" s="22">
        <f>'Energy Consumption (EC) - psgr'!Z45*'Energy Consumption (EC) - psgr'!$B$41</f>
        <v>902357894913.55811</v>
      </c>
      <c r="AA45" s="22">
        <f>'Energy Consumption (EC) - psgr'!AA45*'Energy Consumption (EC) - psgr'!$B$41</f>
        <v>904990915960.18994</v>
      </c>
      <c r="AB45" s="22">
        <f>'Energy Consumption (EC) - psgr'!AB45*'Energy Consumption (EC) - psgr'!$B$41</f>
        <v>907623937006.82178</v>
      </c>
      <c r="AC45" s="22">
        <f>'Energy Consumption (EC) - psgr'!AC45*'Energy Consumption (EC) - psgr'!$B$41</f>
        <v>910256958053.45386</v>
      </c>
      <c r="AD45" s="22">
        <f>'Energy Consumption (EC) - psgr'!AD45*'Energy Consumption (EC) - psgr'!$B$41</f>
        <v>912889979100.08569</v>
      </c>
      <c r="AE45" s="22">
        <f>'Energy Consumption (EC) - psgr'!AE45*'Energy Consumption (EC) - psgr'!$B$41</f>
        <v>912889979100.08569</v>
      </c>
      <c r="AF45" s="22">
        <f>'Energy Consumption (EC) - psgr'!AF45*'Energy Consumption (EC) - psgr'!$B$41</f>
        <v>912889979100.08569</v>
      </c>
      <c r="AG45" s="22">
        <f>'Energy Consumption (EC) - psgr'!AG45*'Energy Consumption (EC) - psgr'!$B$41</f>
        <v>912889979100.08569</v>
      </c>
      <c r="AH45" s="22">
        <f>'Energy Consumption (EC) - psgr'!AH45*'Energy Consumption (EC) - psgr'!$B$41</f>
        <v>912889979100.08569</v>
      </c>
      <c r="AI45" s="22">
        <f>'Energy Consumption (EC) - psgr'!AI45*'Energy Consumption (EC) - psgr'!$B$41</f>
        <v>912889979100.08569</v>
      </c>
      <c r="AJ45" s="22">
        <f>'Energy Consumption (EC) - psgr'!AJ45*'Energy Consumption (EC) - psgr'!$B$41</f>
        <v>912889979100.08569</v>
      </c>
      <c r="AK45" s="22">
        <f>'Energy Consumption (EC) - psgr'!AK45*'Energy Consumption (EC) - psgr'!$B$41</f>
        <v>912889979100.08569</v>
      </c>
      <c r="AL45" s="22">
        <f>'Energy Consumption (EC) - psgr'!AL45*'Energy Consumption (EC) - psgr'!$B$41</f>
        <v>912889979100.08569</v>
      </c>
      <c r="AM45" s="22">
        <f>'Energy Consumption (EC) - psgr'!AM45*'Energy Consumption (EC) - psgr'!$B$41</f>
        <v>912889979100.08569</v>
      </c>
      <c r="AN45" s="22">
        <f>'Energy Consumption (EC) - psgr'!AN45*'Energy Consumption (EC) - psgr'!$B$41</f>
        <v>912889979100.08569</v>
      </c>
    </row>
    <row r="48" spans="1:40" x14ac:dyDescent="0.2">
      <c r="A48" s="17" t="s">
        <v>89</v>
      </c>
    </row>
    <row r="49" spans="1:40" x14ac:dyDescent="0.2">
      <c r="A49" s="14" t="s">
        <v>16</v>
      </c>
    </row>
    <row r="50" spans="1:40" x14ac:dyDescent="0.2">
      <c r="A50" s="14" t="s">
        <v>46</v>
      </c>
    </row>
    <row r="51" spans="1:40" x14ac:dyDescent="0.2">
      <c r="A51" s="14" t="s">
        <v>18</v>
      </c>
    </row>
    <row r="52" spans="1:40" x14ac:dyDescent="0.2">
      <c r="A52" s="14"/>
    </row>
    <row r="53" spans="1:40" x14ac:dyDescent="0.2">
      <c r="A53" s="15" t="s">
        <v>19</v>
      </c>
      <c r="B53" s="15">
        <v>2022</v>
      </c>
      <c r="C53" s="15">
        <v>2023</v>
      </c>
      <c r="D53" s="15">
        <v>2024</v>
      </c>
      <c r="E53" s="15">
        <v>2025</v>
      </c>
      <c r="F53" s="15">
        <v>2026</v>
      </c>
      <c r="G53" s="15">
        <v>2027</v>
      </c>
      <c r="H53" s="15">
        <v>2028</v>
      </c>
      <c r="I53" s="15">
        <v>2029</v>
      </c>
      <c r="J53" s="15">
        <v>2030</v>
      </c>
      <c r="K53" s="15">
        <v>2031</v>
      </c>
      <c r="L53" s="15">
        <v>2032</v>
      </c>
      <c r="M53" s="15">
        <v>2033</v>
      </c>
      <c r="N53" s="15">
        <v>2034</v>
      </c>
      <c r="O53" s="15">
        <v>2035</v>
      </c>
      <c r="P53" s="15">
        <v>2036</v>
      </c>
      <c r="Q53" s="15">
        <v>2037</v>
      </c>
      <c r="R53" s="15">
        <v>2038</v>
      </c>
      <c r="S53" s="15">
        <v>2039</v>
      </c>
      <c r="T53" s="15">
        <v>2040</v>
      </c>
      <c r="U53" s="15">
        <v>2041</v>
      </c>
      <c r="V53" s="15">
        <v>2042</v>
      </c>
      <c r="W53" s="15">
        <v>2043</v>
      </c>
      <c r="X53" s="15">
        <v>2044</v>
      </c>
      <c r="Y53" s="15">
        <v>2045</v>
      </c>
      <c r="Z53" s="15">
        <v>2046</v>
      </c>
      <c r="AA53" s="15">
        <v>2047</v>
      </c>
      <c r="AB53" s="15">
        <v>2048</v>
      </c>
      <c r="AC53" s="15">
        <v>2049</v>
      </c>
      <c r="AD53" s="15">
        <v>2050</v>
      </c>
      <c r="AE53" s="15">
        <v>2051</v>
      </c>
      <c r="AF53" s="15">
        <v>2052</v>
      </c>
      <c r="AG53" s="15">
        <v>2053</v>
      </c>
      <c r="AH53" s="15">
        <v>2054</v>
      </c>
      <c r="AI53" s="15">
        <v>2055</v>
      </c>
      <c r="AJ53" s="15">
        <v>2056</v>
      </c>
      <c r="AK53" s="15">
        <v>2057</v>
      </c>
      <c r="AL53" s="15">
        <v>2058</v>
      </c>
      <c r="AM53" s="15">
        <v>2059</v>
      </c>
      <c r="AN53" s="15">
        <v>2060</v>
      </c>
    </row>
    <row r="54" spans="1:40" x14ac:dyDescent="0.2">
      <c r="A54" s="15" t="s">
        <v>47</v>
      </c>
      <c r="B54" s="22">
        <f>'Energy Consumption (EC) - psgr'!B54*'Energy Consumption (EC) - psgr'!$B$52</f>
        <v>5683913762315.793</v>
      </c>
      <c r="C54" s="22">
        <f>'Energy Consumption (EC) - psgr'!C54*'Energy Consumption (EC) - psgr'!$B$52</f>
        <v>5968109450431.4951</v>
      </c>
      <c r="D54" s="22">
        <f>'Energy Consumption (EC) - psgr'!D54*'Energy Consumption (EC) - psgr'!$B$52</f>
        <v>6266514922952.9785</v>
      </c>
      <c r="E54" s="22">
        <f>'Energy Consumption (EC) - psgr'!E54*'Energy Consumption (EC) - psgr'!$B$52</f>
        <v>6579840669100.5322</v>
      </c>
      <c r="F54" s="22">
        <f>'Energy Consumption (EC) - psgr'!F54*'Energy Consumption (EC) - psgr'!$B$52</f>
        <v>6908832702555.2949</v>
      </c>
      <c r="G54" s="22">
        <f>'Energy Consumption (EC) - psgr'!G54*'Energy Consumption (EC) - psgr'!$B$52</f>
        <v>7254274337682.7861</v>
      </c>
      <c r="H54" s="22">
        <f>'Energy Consumption (EC) - psgr'!H54*'Energy Consumption (EC) - psgr'!$B$52</f>
        <v>7616988054566.6436</v>
      </c>
      <c r="I54" s="22">
        <f>'Energy Consumption (EC) - psgr'!I54*'Energy Consumption (EC) - psgr'!$B$52</f>
        <v>7997837457294.6846</v>
      </c>
      <c r="J54" s="22">
        <f>'Energy Consumption (EC) - psgr'!J54*'Energy Consumption (EC) - psgr'!$B$52</f>
        <v>8397729330159.1172</v>
      </c>
      <c r="K54" s="22">
        <f>'Energy Consumption (EC) - psgr'!K54*'Energy Consumption (EC) - psgr'!$B$52</f>
        <v>8817615796666.8145</v>
      </c>
      <c r="L54" s="22">
        <f>'Energy Consumption (EC) - psgr'!L54*'Energy Consumption (EC) - psgr'!$B$52</f>
        <v>9258496586499.8887</v>
      </c>
      <c r="M54" s="22">
        <f>'Energy Consumption (EC) - psgr'!M54*'Energy Consumption (EC) - psgr'!$B$52</f>
        <v>9721421415824.6035</v>
      </c>
      <c r="N54" s="22">
        <f>'Energy Consumption (EC) - psgr'!N54*'Energy Consumption (EC) - psgr'!$B$52</f>
        <v>10207492486615.545</v>
      </c>
      <c r="O54" s="22">
        <f>'Energy Consumption (EC) - psgr'!O54*'Energy Consumption (EC) - psgr'!$B$52</f>
        <v>10717867110946.021</v>
      </c>
      <c r="P54" s="22">
        <f>'Energy Consumption (EC) - psgr'!P54*'Energy Consumption (EC) - psgr'!$B$52</f>
        <v>11253760466493.076</v>
      </c>
      <c r="Q54" s="22">
        <f>'Energy Consumption (EC) - psgr'!Q54*'Energy Consumption (EC) - psgr'!$B$52</f>
        <v>11816448489817.465</v>
      </c>
      <c r="R54" s="22">
        <f>'Energy Consumption (EC) - psgr'!R54*'Energy Consumption (EC) - psgr'!$B$52</f>
        <v>12407270914308.07</v>
      </c>
      <c r="S54" s="22">
        <f>'Energy Consumption (EC) - psgr'!S54*'Energy Consumption (EC) - psgr'!$B$52</f>
        <v>13027634460023.193</v>
      </c>
      <c r="T54" s="22">
        <f>'Energy Consumption (EC) - psgr'!T54*'Energy Consumption (EC) - psgr'!$B$52</f>
        <v>13679016183024.061</v>
      </c>
      <c r="U54" s="22">
        <f>'Energy Consumption (EC) - psgr'!U54*'Energy Consumption (EC) - psgr'!$B$52</f>
        <v>14362966992175.039</v>
      </c>
      <c r="V54" s="22">
        <f>'Energy Consumption (EC) - psgr'!V54*'Energy Consumption (EC) - psgr'!$B$52</f>
        <v>15081115341783.547</v>
      </c>
      <c r="W54" s="22">
        <f>'Energy Consumption (EC) - psgr'!W54*'Energy Consumption (EC) - psgr'!$B$52</f>
        <v>15835171108872.475</v>
      </c>
      <c r="X54" s="22">
        <f>'Energy Consumption (EC) - psgr'!X54*'Energy Consumption (EC) - psgr'!$B$52</f>
        <v>16626929664315.834</v>
      </c>
      <c r="Y54" s="22">
        <f>'Energy Consumption (EC) - psgr'!Y54*'Energy Consumption (EC) - psgr'!$B$52</f>
        <v>17458276147531.354</v>
      </c>
      <c r="Z54" s="22">
        <f>'Energy Consumption (EC) - psgr'!Z54*'Energy Consumption (EC) - psgr'!$B$52</f>
        <v>18331189954907.719</v>
      </c>
      <c r="AA54" s="22">
        <f>'Energy Consumption (EC) - psgr'!AA54*'Energy Consumption (EC) - psgr'!$B$52</f>
        <v>19247749452652.895</v>
      </c>
      <c r="AB54" s="22">
        <f>'Energy Consumption (EC) - psgr'!AB54*'Energy Consumption (EC) - psgr'!$B$52</f>
        <v>20210136925285.324</v>
      </c>
      <c r="AC54" s="22">
        <f>'Energy Consumption (EC) - psgr'!AC54*'Energy Consumption (EC) - psgr'!$B$52</f>
        <v>21220643771549.363</v>
      </c>
      <c r="AD54" s="22">
        <f>'Energy Consumption (EC) - psgr'!AD54*'Energy Consumption (EC) - psgr'!$B$52</f>
        <v>22281675960126.59</v>
      </c>
      <c r="AE54" s="22">
        <f>'Energy Consumption (EC) - psgr'!AE54*'Energy Consumption (EC) - psgr'!$B$52</f>
        <v>23395759758132.918</v>
      </c>
      <c r="AF54" s="22">
        <f>'Energy Consumption (EC) - psgr'!AF54*'Energy Consumption (EC) - psgr'!$B$52</f>
        <v>24565547746039.574</v>
      </c>
      <c r="AG54" s="22">
        <f>'Energy Consumption (EC) - psgr'!AG54*'Energy Consumption (EC) - psgr'!$B$52</f>
        <v>25793825133341.551</v>
      </c>
      <c r="AH54" s="22">
        <f>'Energy Consumption (EC) - psgr'!AH54*'Energy Consumption (EC) - psgr'!$B$52</f>
        <v>27083516390008.625</v>
      </c>
      <c r="AI54" s="22">
        <f>'Energy Consumption (EC) - psgr'!AI54*'Energy Consumption (EC) - psgr'!$B$52</f>
        <v>28437692209509.062</v>
      </c>
      <c r="AJ54" s="22">
        <f>'Energy Consumption (EC) - psgr'!AJ54*'Energy Consumption (EC) - psgr'!$B$52</f>
        <v>29859576819984.52</v>
      </c>
      <c r="AK54" s="22">
        <f>'Energy Consumption (EC) - psgr'!AK54*'Energy Consumption (EC) - psgr'!$B$52</f>
        <v>31352555660983.738</v>
      </c>
      <c r="AL54" s="22">
        <f>'Energy Consumption (EC) - psgr'!AL54*'Energy Consumption (EC) - psgr'!$B$52</f>
        <v>32920183444032.938</v>
      </c>
      <c r="AM54" s="22">
        <f>'Energy Consumption (EC) - psgr'!AM54*'Energy Consumption (EC) - psgr'!$B$52</f>
        <v>34566192616234.574</v>
      </c>
      <c r="AN54" s="22">
        <f>'Energy Consumption (EC) - psgr'!AN54*'Energy Consumption (EC) - psgr'!$B$52</f>
        <v>36294502247046.312</v>
      </c>
    </row>
    <row r="55" spans="1:40" x14ac:dyDescent="0.2">
      <c r="A55" s="15" t="s">
        <v>48</v>
      </c>
      <c r="B55" s="22">
        <f>'Energy Consumption (EC) - psgr'!B55*'Energy Consumption (EC) - psgr'!$B$52</f>
        <v>2816068987.8888483</v>
      </c>
      <c r="C55" s="22">
        <f>'Energy Consumption (EC) - psgr'!C55*'Energy Consumption (EC) - psgr'!$B$52</f>
        <v>2956872437.283247</v>
      </c>
      <c r="D55" s="22">
        <f>'Energy Consumption (EC) - psgr'!D55*'Energy Consumption (EC) - psgr'!$B$52</f>
        <v>3104716059.1473646</v>
      </c>
      <c r="E55" s="22">
        <f>'Energy Consumption (EC) - psgr'!E55*'Energy Consumption (EC) - psgr'!$B$52</f>
        <v>3259951862.1046863</v>
      </c>
      <c r="F55" s="22">
        <f>'Energy Consumption (EC) - psgr'!F55*'Energy Consumption (EC) - psgr'!$B$52</f>
        <v>3422949455.2097888</v>
      </c>
      <c r="G55" s="22">
        <f>'Energy Consumption (EC) - psgr'!G55*'Energy Consumption (EC) - psgr'!$B$52</f>
        <v>3594096927.9701424</v>
      </c>
      <c r="H55" s="22">
        <f>'Energy Consumption (EC) - psgr'!H55*'Energy Consumption (EC) - psgr'!$B$52</f>
        <v>3773801774.3685112</v>
      </c>
      <c r="I55" s="22">
        <f>'Energy Consumption (EC) - psgr'!I55*'Energy Consumption (EC) - psgr'!$B$52</f>
        <v>3962491863.086792</v>
      </c>
      <c r="J55" s="22">
        <f>'Energy Consumption (EC) - psgr'!J55*'Energy Consumption (EC) - psgr'!$B$52</f>
        <v>4160616456.2409811</v>
      </c>
      <c r="K55" s="22">
        <f>'Energy Consumption (EC) - psgr'!K55*'Energy Consumption (EC) - psgr'!$B$52</f>
        <v>4368647279.0529022</v>
      </c>
      <c r="L55" s="22">
        <f>'Energy Consumption (EC) - psgr'!L55*'Energy Consumption (EC) - psgr'!$B$52</f>
        <v>4587079643.0054159</v>
      </c>
      <c r="M55" s="22">
        <f>'Energy Consumption (EC) - psgr'!M55*'Energy Consumption (EC) - psgr'!$B$52</f>
        <v>4816433625.155549</v>
      </c>
      <c r="N55" s="22">
        <f>'Energy Consumption (EC) - psgr'!N55*'Energy Consumption (EC) - psgr'!$B$52</f>
        <v>5057255306.4131823</v>
      </c>
      <c r="O55" s="22">
        <f>'Energy Consumption (EC) - psgr'!O55*'Energy Consumption (EC) - psgr'!$B$52</f>
        <v>5310118071.7336931</v>
      </c>
      <c r="P55" s="22">
        <f>'Energy Consumption (EC) - psgr'!P55*'Energy Consumption (EC) - psgr'!$B$52</f>
        <v>5575623975.3202534</v>
      </c>
      <c r="Q55" s="22">
        <f>'Energy Consumption (EC) - psgr'!Q55*'Energy Consumption (EC) - psgr'!$B$52</f>
        <v>5854405174.0861368</v>
      </c>
      <c r="R55" s="22">
        <f>'Energy Consumption (EC) - psgr'!R55*'Energy Consumption (EC) - psgr'!$B$52</f>
        <v>6147125432.7903109</v>
      </c>
      <c r="S55" s="22">
        <f>'Energy Consumption (EC) - psgr'!S55*'Energy Consumption (EC) - psgr'!$B$52</f>
        <v>6454481704.4296865</v>
      </c>
      <c r="T55" s="22">
        <f>'Energy Consumption (EC) - psgr'!T55*'Energy Consumption (EC) - psgr'!$B$52</f>
        <v>6777205789.6510258</v>
      </c>
      <c r="U55" s="22">
        <f>'Energy Consumption (EC) - psgr'!U55*'Energy Consumption (EC) - psgr'!$B$52</f>
        <v>7116066079.1334677</v>
      </c>
      <c r="V55" s="22">
        <f>'Energy Consumption (EC) - psgr'!V55*'Energy Consumption (EC) - psgr'!$B$52</f>
        <v>7471869383.0900192</v>
      </c>
      <c r="W55" s="22">
        <f>'Energy Consumption (EC) - psgr'!W55*'Energy Consumption (EC) - psgr'!$B$52</f>
        <v>7845462852.2443962</v>
      </c>
      <c r="X55" s="22">
        <f>'Energy Consumption (EC) - psgr'!X55*'Energy Consumption (EC) - psgr'!$B$52</f>
        <v>8237735994.8564835</v>
      </c>
      <c r="Y55" s="22">
        <f>'Energy Consumption (EC) - psgr'!Y55*'Energy Consumption (EC) - psgr'!$B$52</f>
        <v>8649622794.5991745</v>
      </c>
      <c r="Z55" s="22">
        <f>'Energy Consumption (EC) - psgr'!Z55*'Energy Consumption (EC) - psgr'!$B$52</f>
        <v>9082103934.3290329</v>
      </c>
      <c r="AA55" s="22">
        <f>'Energy Consumption (EC) - psgr'!AA55*'Energy Consumption (EC) - psgr'!$B$52</f>
        <v>9536209131.0453815</v>
      </c>
      <c r="AB55" s="22">
        <f>'Energy Consumption (EC) - psgr'!AB55*'Energy Consumption (EC) - psgr'!$B$52</f>
        <v>10013019587.597544</v>
      </c>
      <c r="AC55" s="22">
        <f>'Energy Consumption (EC) - psgr'!AC55*'Energy Consumption (EC) - psgr'!$B$52</f>
        <v>10513670566.977306</v>
      </c>
      <c r="AD55" s="22">
        <f>'Energy Consumption (EC) - psgr'!AD55*'Energy Consumption (EC) - psgr'!$B$52</f>
        <v>11039354095.326054</v>
      </c>
      <c r="AE55" s="22">
        <f>'Energy Consumption (EC) - psgr'!AE55*'Energy Consumption (EC) - psgr'!$B$52</f>
        <v>11591321800.092358</v>
      </c>
      <c r="AF55" s="22">
        <f>'Energy Consumption (EC) - psgr'!AF55*'Energy Consumption (EC) - psgr'!$B$52</f>
        <v>12170887890.096977</v>
      </c>
      <c r="AG55" s="22">
        <f>'Energy Consumption (EC) - psgr'!AG55*'Energy Consumption (EC) - psgr'!$B$52</f>
        <v>12779432284.601828</v>
      </c>
      <c r="AH55" s="22">
        <f>'Energy Consumption (EC) - psgr'!AH55*'Energy Consumption (EC) - psgr'!$B$52</f>
        <v>13418403898.831915</v>
      </c>
      <c r="AI55" s="22">
        <f>'Energy Consumption (EC) - psgr'!AI55*'Energy Consumption (EC) - psgr'!$B$52</f>
        <v>14089324093.773516</v>
      </c>
      <c r="AJ55" s="22">
        <f>'Energy Consumption (EC) - psgr'!AJ55*'Energy Consumption (EC) - psgr'!$B$52</f>
        <v>14793790298.462189</v>
      </c>
      <c r="AK55" s="22">
        <f>'Energy Consumption (EC) - psgr'!AK55*'Energy Consumption (EC) - psgr'!$B$52</f>
        <v>15533479813.385298</v>
      </c>
      <c r="AL55" s="22">
        <f>'Energy Consumption (EC) - psgr'!AL55*'Energy Consumption (EC) - psgr'!$B$52</f>
        <v>16310153804.054567</v>
      </c>
      <c r="AM55" s="22">
        <f>'Energy Consumption (EC) - psgr'!AM55*'Energy Consumption (EC) - psgr'!$B$52</f>
        <v>17125661494.25729</v>
      </c>
      <c r="AN55" s="22">
        <f>'Energy Consumption (EC) - psgr'!AN55*'Energy Consumption (EC) - psgr'!$B$52</f>
        <v>17981944568.970161</v>
      </c>
    </row>
    <row r="56" spans="1:40" x14ac:dyDescent="0.2">
      <c r="A56" s="15" t="s">
        <v>49</v>
      </c>
      <c r="B56" s="22">
        <f>'Energy Consumption (EC) - psgr'!B56*'Energy Consumption (EC) - psgr'!$B$52</f>
        <v>129321627.09759894</v>
      </c>
      <c r="C56" s="22">
        <f>'Energy Consumption (EC) - psgr'!C56*'Energy Consumption (EC) - psgr'!$B$52</f>
        <v>135787708.45247686</v>
      </c>
      <c r="D56" s="22">
        <f>'Energy Consumption (EC) - psgr'!D56*'Energy Consumption (EC) - psgr'!$B$52</f>
        <v>142577093.87509862</v>
      </c>
      <c r="E56" s="22">
        <f>'Energy Consumption (EC) - psgr'!E56*'Energy Consumption (EC) - psgr'!$B$52</f>
        <v>149705948.56885138</v>
      </c>
      <c r="F56" s="22">
        <f>'Energy Consumption (EC) - psgr'!F56*'Energy Consumption (EC) - psgr'!$B$52</f>
        <v>157191245.9972879</v>
      </c>
      <c r="G56" s="22">
        <f>'Energy Consumption (EC) - psgr'!G56*'Energy Consumption (EC) - psgr'!$B$52</f>
        <v>165050808.29714608</v>
      </c>
      <c r="H56" s="22">
        <f>'Energy Consumption (EC) - psgr'!H56*'Energy Consumption (EC) - psgr'!$B$52</f>
        <v>173303348.71199703</v>
      </c>
      <c r="I56" s="22">
        <f>'Energy Consumption (EC) - psgr'!I56*'Energy Consumption (EC) - psgr'!$B$52</f>
        <v>181968516.14759022</v>
      </c>
      <c r="J56" s="22">
        <f>'Energy Consumption (EC) - psgr'!J56*'Energy Consumption (EC) - psgr'!$B$52</f>
        <v>191066941.95496288</v>
      </c>
      <c r="K56" s="22">
        <f>'Energy Consumption (EC) - psgr'!K56*'Energy Consumption (EC) - psgr'!$B$52</f>
        <v>200620289.05270511</v>
      </c>
      <c r="L56" s="22">
        <f>'Energy Consumption (EC) - psgr'!L56*'Energy Consumption (EC) - psgr'!$B$52</f>
        <v>210651303.50533432</v>
      </c>
      <c r="M56" s="22">
        <f>'Energy Consumption (EC) - psgr'!M56*'Energy Consumption (EC) - psgr'!$B$52</f>
        <v>221183868.68059465</v>
      </c>
      <c r="N56" s="22">
        <f>'Energy Consumption (EC) - psgr'!N56*'Energy Consumption (EC) - psgr'!$B$52</f>
        <v>232243062.11461782</v>
      </c>
      <c r="O56" s="22">
        <f>'Energy Consumption (EC) - psgr'!O56*'Energy Consumption (EC) - psgr'!$B$52</f>
        <v>243855215.22034192</v>
      </c>
      <c r="P56" s="22">
        <f>'Energy Consumption (EC) - psgr'!P56*'Energy Consumption (EC) - psgr'!$B$52</f>
        <v>256047975.98135331</v>
      </c>
      <c r="Q56" s="22">
        <f>'Energy Consumption (EC) - psgr'!Q56*'Energy Consumption (EC) - psgr'!$B$52</f>
        <v>268850374.780415</v>
      </c>
      <c r="R56" s="22">
        <f>'Energy Consumption (EC) - psgr'!R56*'Energy Consumption (EC) - psgr'!$B$52</f>
        <v>282292893.51942968</v>
      </c>
      <c r="S56" s="22">
        <f>'Energy Consumption (EC) - psgr'!S56*'Energy Consumption (EC) - psgr'!$B$52</f>
        <v>296407538.19539481</v>
      </c>
      <c r="T56" s="22">
        <f>'Energy Consumption (EC) - psgr'!T56*'Energy Consumption (EC) - psgr'!$B$52</f>
        <v>311227915.10515791</v>
      </c>
      <c r="U56" s="22">
        <f>'Energy Consumption (EC) - psgr'!U56*'Energy Consumption (EC) - psgr'!$B$52</f>
        <v>326789310.86041063</v>
      </c>
      <c r="V56" s="22">
        <f>'Energy Consumption (EC) - psgr'!V56*'Energy Consumption (EC) - psgr'!$B$52</f>
        <v>343128776.40342563</v>
      </c>
      <c r="W56" s="22">
        <f>'Energy Consumption (EC) - psgr'!W56*'Energy Consumption (EC) - psgr'!$B$52</f>
        <v>360285215.22359121</v>
      </c>
      <c r="X56" s="22">
        <f>'Energy Consumption (EC) - psgr'!X56*'Energy Consumption (EC) - psgr'!$B$52</f>
        <v>378299475.98476475</v>
      </c>
      <c r="Y56" s="22">
        <f>'Energy Consumption (EC) - psgr'!Y56*'Energy Consumption (EC) - psgr'!$B$52</f>
        <v>397214449.78399682</v>
      </c>
      <c r="Z56" s="22">
        <f>'Energy Consumption (EC) - psgr'!Z56*'Energy Consumption (EC) - psgr'!$B$52</f>
        <v>417075172.27319205</v>
      </c>
      <c r="AA56" s="22">
        <f>'Energy Consumption (EC) - psgr'!AA56*'Energy Consumption (EC) - psgr'!$B$52</f>
        <v>437928930.88684684</v>
      </c>
      <c r="AB56" s="22">
        <f>'Energy Consumption (EC) - psgr'!AB56*'Energy Consumption (EC) - psgr'!$B$52</f>
        <v>459825377.43118435</v>
      </c>
      <c r="AC56" s="22">
        <f>'Energy Consumption (EC) - psgr'!AC56*'Energy Consumption (EC) - psgr'!$B$52</f>
        <v>482816646.30273831</v>
      </c>
      <c r="AD56" s="22">
        <f>'Energy Consumption (EC) - psgr'!AD56*'Energy Consumption (EC) - psgr'!$B$52</f>
        <v>506957478.61786979</v>
      </c>
      <c r="AE56" s="22">
        <f>'Energy Consumption (EC) - psgr'!AE56*'Energy Consumption (EC) - psgr'!$B$52</f>
        <v>532305352.54876322</v>
      </c>
      <c r="AF56" s="22">
        <f>'Energy Consumption (EC) - psgr'!AF56*'Energy Consumption (EC) - psgr'!$B$52</f>
        <v>558920620.17620158</v>
      </c>
      <c r="AG56" s="22">
        <f>'Energy Consumption (EC) - psgr'!AG56*'Energy Consumption (EC) - psgr'!$B$52</f>
        <v>586866651.18501174</v>
      </c>
      <c r="AH56" s="22">
        <f>'Energy Consumption (EC) - psgr'!AH56*'Energy Consumption (EC) - psgr'!$B$52</f>
        <v>616209983.74426222</v>
      </c>
      <c r="AI56" s="22">
        <f>'Energy Consumption (EC) - psgr'!AI56*'Energy Consumption (EC) - psgr'!$B$52</f>
        <v>647020482.9314754</v>
      </c>
      <c r="AJ56" s="22">
        <f>'Energy Consumption (EC) - psgr'!AJ56*'Energy Consumption (EC) - psgr'!$B$52</f>
        <v>679371507.07804918</v>
      </c>
      <c r="AK56" s="22">
        <f>'Energy Consumption (EC) - psgr'!AK56*'Energy Consumption (EC) - psgr'!$B$52</f>
        <v>713340082.43195164</v>
      </c>
      <c r="AL56" s="22">
        <f>'Energy Consumption (EC) - psgr'!AL56*'Energy Consumption (EC) - psgr'!$B$52</f>
        <v>749007086.55354929</v>
      </c>
      <c r="AM56" s="22">
        <f>'Energy Consumption (EC) - psgr'!AM56*'Energy Consumption (EC) - psgr'!$B$52</f>
        <v>786457440.88122666</v>
      </c>
      <c r="AN56" s="22">
        <f>'Energy Consumption (EC) - psgr'!AN56*'Energy Consumption (EC) - psgr'!$B$52</f>
        <v>825780312.9252882</v>
      </c>
    </row>
    <row r="59" spans="1:40" x14ac:dyDescent="0.2">
      <c r="A59" s="17" t="s">
        <v>90</v>
      </c>
    </row>
    <row r="60" spans="1:40" x14ac:dyDescent="0.2">
      <c r="A60" s="14" t="s">
        <v>16</v>
      </c>
    </row>
    <row r="61" spans="1:40" x14ac:dyDescent="0.2">
      <c r="A61" s="14" t="s">
        <v>52</v>
      </c>
    </row>
    <row r="62" spans="1:40" x14ac:dyDescent="0.2">
      <c r="A62" s="14" t="s">
        <v>18</v>
      </c>
    </row>
    <row r="63" spans="1:40" x14ac:dyDescent="0.2">
      <c r="A63" s="14"/>
    </row>
    <row r="64" spans="1:40" x14ac:dyDescent="0.2">
      <c r="A64" s="15" t="s">
        <v>19</v>
      </c>
      <c r="B64" s="15">
        <v>2022</v>
      </c>
      <c r="C64" s="15">
        <v>2023</v>
      </c>
      <c r="D64" s="15">
        <v>2024</v>
      </c>
      <c r="E64" s="15">
        <v>2025</v>
      </c>
      <c r="F64" s="15">
        <v>2026</v>
      </c>
      <c r="G64" s="15">
        <v>2027</v>
      </c>
      <c r="H64" s="15">
        <v>2028</v>
      </c>
      <c r="I64" s="15">
        <v>2029</v>
      </c>
      <c r="J64" s="15">
        <v>2030</v>
      </c>
      <c r="K64" s="15">
        <v>2031</v>
      </c>
      <c r="L64" s="15">
        <v>2032</v>
      </c>
      <c r="M64" s="15">
        <v>2033</v>
      </c>
      <c r="N64" s="15">
        <v>2034</v>
      </c>
      <c r="O64" s="15">
        <v>2035</v>
      </c>
      <c r="P64" s="15">
        <v>2036</v>
      </c>
      <c r="Q64" s="15">
        <v>2037</v>
      </c>
      <c r="R64" s="15">
        <v>2038</v>
      </c>
      <c r="S64" s="15">
        <v>2039</v>
      </c>
      <c r="T64" s="15">
        <v>2040</v>
      </c>
      <c r="U64" s="15">
        <v>2041</v>
      </c>
      <c r="V64" s="15">
        <v>2042</v>
      </c>
      <c r="W64" s="15">
        <v>2043</v>
      </c>
      <c r="X64" s="15">
        <v>2044</v>
      </c>
      <c r="Y64" s="15">
        <v>2045</v>
      </c>
      <c r="Z64" s="15">
        <v>2046</v>
      </c>
      <c r="AA64" s="15">
        <v>2047</v>
      </c>
      <c r="AB64" s="15">
        <v>2048</v>
      </c>
      <c r="AC64" s="15">
        <v>2049</v>
      </c>
      <c r="AD64" s="15">
        <v>2050</v>
      </c>
      <c r="AE64" s="15">
        <v>2051</v>
      </c>
      <c r="AF64" s="15">
        <v>2052</v>
      </c>
      <c r="AG64" s="15">
        <v>2053</v>
      </c>
      <c r="AH64" s="15">
        <v>2054</v>
      </c>
      <c r="AI64" s="15">
        <v>2055</v>
      </c>
      <c r="AJ64" s="15">
        <v>2056</v>
      </c>
      <c r="AK64" s="15">
        <v>2057</v>
      </c>
      <c r="AL64" s="15">
        <v>2058</v>
      </c>
      <c r="AM64" s="15">
        <v>2059</v>
      </c>
      <c r="AN64" s="15">
        <v>2060</v>
      </c>
    </row>
    <row r="65" spans="1:40" x14ac:dyDescent="0.2">
      <c r="A65" s="15" t="s">
        <v>53</v>
      </c>
      <c r="B65" s="22">
        <f>'Energy Consumption (EC) - psgr'!B65*'Energy Consumption (EC) - psgr'!$B$63</f>
        <v>16152679512.908218</v>
      </c>
      <c r="C65" s="22">
        <f>'Energy Consumption (EC) - psgr'!C65*'Energy Consumption (EC) - psgr'!$B$63</f>
        <v>16960313488.553629</v>
      </c>
      <c r="D65" s="22">
        <f>'Energy Consumption (EC) - psgr'!D65*'Energy Consumption (EC) - psgr'!$B$63</f>
        <v>17808329162.981312</v>
      </c>
      <c r="E65" s="22">
        <f>'Energy Consumption (EC) - psgr'!E65*'Energy Consumption (EC) - psgr'!$B$63</f>
        <v>18698745621.130383</v>
      </c>
      <c r="F65" s="22">
        <f>'Energy Consumption (EC) - psgr'!F65*'Energy Consumption (EC) - psgr'!$B$63</f>
        <v>19633682902.186897</v>
      </c>
      <c r="G65" s="22">
        <f>'Energy Consumption (EC) - psgr'!G65*'Energy Consumption (EC) - psgr'!$B$63</f>
        <v>20615367047.296242</v>
      </c>
      <c r="H65" s="22">
        <f>'Energy Consumption (EC) - psgr'!H65*'Energy Consumption (EC) - psgr'!$B$63</f>
        <v>21646135399.661057</v>
      </c>
      <c r="I65" s="22">
        <f>'Energy Consumption (EC) - psgr'!I65*'Energy Consumption (EC) - psgr'!$B$63</f>
        <v>22728442169.644112</v>
      </c>
      <c r="J65" s="22">
        <f>'Energy Consumption (EC) - psgr'!J65*'Energy Consumption (EC) - psgr'!$B$63</f>
        <v>23864864278.126316</v>
      </c>
      <c r="K65" s="22">
        <f>'Energy Consumption (EC) - psgr'!K65*'Energy Consumption (EC) - psgr'!$B$63</f>
        <v>25058107492.032635</v>
      </c>
      <c r="L65" s="22">
        <f>'Energy Consumption (EC) - psgr'!L65*'Energy Consumption (EC) - psgr'!$B$63</f>
        <v>26311012866.634274</v>
      </c>
      <c r="M65" s="22">
        <f>'Energy Consumption (EC) - psgr'!M65*'Energy Consumption (EC) - psgr'!$B$63</f>
        <v>27626563509.965981</v>
      </c>
      <c r="N65" s="22">
        <f>'Energy Consumption (EC) - psgr'!N65*'Energy Consumption (EC) - psgr'!$B$63</f>
        <v>29007891685.464283</v>
      </c>
      <c r="O65" s="22">
        <f>'Energy Consumption (EC) - psgr'!O65*'Energy Consumption (EC) - psgr'!$B$63</f>
        <v>30458286269.737499</v>
      </c>
      <c r="P65" s="22">
        <f>'Energy Consumption (EC) - psgr'!P65*'Energy Consumption (EC) - psgr'!$B$63</f>
        <v>31981200583.224377</v>
      </c>
      <c r="Q65" s="22">
        <f>'Energy Consumption (EC) - psgr'!Q65*'Energy Consumption (EC) - psgr'!$B$63</f>
        <v>33580260612.38559</v>
      </c>
      <c r="R65" s="22">
        <f>'Energy Consumption (EC) - psgr'!R65*'Energy Consumption (EC) - psgr'!$B$63</f>
        <v>35259273643.004868</v>
      </c>
      <c r="S65" s="22">
        <f>'Energy Consumption (EC) - psgr'!S65*'Energy Consumption (EC) - psgr'!$B$63</f>
        <v>37022237325.155113</v>
      </c>
      <c r="T65" s="22">
        <f>'Energy Consumption (EC) - psgr'!T65*'Energy Consumption (EC) - psgr'!$B$63</f>
        <v>38873349191.412872</v>
      </c>
      <c r="U65" s="22">
        <f>'Energy Consumption (EC) - psgr'!U65*'Energy Consumption (EC) - psgr'!$B$63</f>
        <v>40817016650.983521</v>
      </c>
      <c r="V65" s="22">
        <f>'Energy Consumption (EC) - psgr'!V65*'Energy Consumption (EC) - psgr'!$B$63</f>
        <v>42857867483.532692</v>
      </c>
      <c r="W65" s="22">
        <f>'Energy Consumption (EC) - psgr'!W65*'Energy Consumption (EC) - psgr'!$B$63</f>
        <v>45000760857.709328</v>
      </c>
      <c r="X65" s="22">
        <f>'Energy Consumption (EC) - psgr'!X65*'Energy Consumption (EC) - psgr'!$B$63</f>
        <v>47250798900.594803</v>
      </c>
      <c r="Y65" s="22">
        <f>'Energy Consumption (EC) - psgr'!Y65*'Energy Consumption (EC) - psgr'!$B$63</f>
        <v>49613338845.624542</v>
      </c>
      <c r="Z65" s="22">
        <f>'Energy Consumption (EC) - psgr'!Z65*'Energy Consumption (EC) - psgr'!$B$63</f>
        <v>52094005787.905769</v>
      </c>
      <c r="AA65" s="22">
        <f>'Energy Consumption (EC) - psgr'!AA65*'Energy Consumption (EC) - psgr'!$B$63</f>
        <v>54698706077.301056</v>
      </c>
      <c r="AB65" s="22">
        <f>'Energy Consumption (EC) - psgr'!AB65*'Energy Consumption (EC) - psgr'!$B$63</f>
        <v>57433641381.166122</v>
      </c>
      <c r="AC65" s="22">
        <f>'Energy Consumption (EC) - psgr'!AC65*'Energy Consumption (EC) - psgr'!$B$63</f>
        <v>60305323450.224419</v>
      </c>
      <c r="AD65" s="22">
        <f>'Energy Consumption (EC) - psgr'!AD65*'Energy Consumption (EC) - psgr'!$B$63</f>
        <v>63320589622.735649</v>
      </c>
      <c r="AE65" s="22">
        <f>'Energy Consumption (EC) - psgr'!AE65*'Energy Consumption (EC) - psgr'!$B$63</f>
        <v>66486619103.872429</v>
      </c>
      <c r="AF65" s="22">
        <f>'Energy Consumption (EC) - psgr'!AF65*'Energy Consumption (EC) - psgr'!$B$63</f>
        <v>69810950059.06604</v>
      </c>
      <c r="AG65" s="22">
        <f>'Energy Consumption (EC) - psgr'!AG65*'Energy Consumption (EC) - psgr'!$B$63</f>
        <v>73301497562.019379</v>
      </c>
      <c r="AH65" s="22">
        <f>'Energy Consumption (EC) - psgr'!AH65*'Energy Consumption (EC) - psgr'!$B$63</f>
        <v>76966572440.120331</v>
      </c>
      <c r="AI65" s="22">
        <f>'Energy Consumption (EC) - psgr'!AI65*'Energy Consumption (EC) - psgr'!$B$63</f>
        <v>80814901062.126343</v>
      </c>
      <c r="AJ65" s="22">
        <f>'Energy Consumption (EC) - psgr'!AJ65*'Energy Consumption (EC) - psgr'!$B$63</f>
        <v>84855646115.232697</v>
      </c>
      <c r="AK65" s="22">
        <f>'Energy Consumption (EC) - psgr'!AK65*'Energy Consumption (EC) - psgr'!$B$63</f>
        <v>89098428420.994308</v>
      </c>
      <c r="AL65" s="22">
        <f>'Energy Consumption (EC) - psgr'!AL65*'Energy Consumption (EC) - psgr'!$B$63</f>
        <v>93553349842.044022</v>
      </c>
      <c r="AM65" s="22">
        <f>'Energy Consumption (EC) - psgr'!AM65*'Energy Consumption (EC) - psgr'!$B$63</f>
        <v>98231017334.14624</v>
      </c>
      <c r="AN65" s="22">
        <f>'Energy Consumption (EC) - psgr'!AN65*'Energy Consumption (EC) - psgr'!$B$63</f>
        <v>103142568200.85356</v>
      </c>
    </row>
    <row r="66" spans="1:40" x14ac:dyDescent="0.2">
      <c r="A66" s="15" t="s">
        <v>54</v>
      </c>
      <c r="B66" s="22">
        <f>'Energy Consumption (EC) - psgr'!B66*'Energy Consumption (EC) - psgr'!$B$63</f>
        <v>44579218370369.453</v>
      </c>
      <c r="C66" s="22">
        <f>'Energy Consumption (EC) - psgr'!C66*'Energy Consumption (EC) - psgr'!$B$63</f>
        <v>46808179288887.93</v>
      </c>
      <c r="D66" s="22">
        <f>'Energy Consumption (EC) - psgr'!D66*'Energy Consumption (EC) - psgr'!$B$63</f>
        <v>49148588253332.328</v>
      </c>
      <c r="E66" s="22">
        <f>'Energy Consumption (EC) - psgr'!E66*'Energy Consumption (EC) - psgr'!$B$63</f>
        <v>51606017665998.953</v>
      </c>
      <c r="F66" s="22">
        <f>'Energy Consumption (EC) - psgr'!F66*'Energy Consumption (EC) - psgr'!$B$63</f>
        <v>54186318549298.898</v>
      </c>
      <c r="G66" s="22">
        <f>'Energy Consumption (EC) - psgr'!G66*'Energy Consumption (EC) - psgr'!$B$63</f>
        <v>56895634476763.836</v>
      </c>
      <c r="H66" s="22">
        <f>'Energy Consumption (EC) - psgr'!H66*'Energy Consumption (EC) - psgr'!$B$63</f>
        <v>59740416200602.039</v>
      </c>
      <c r="I66" s="22">
        <f>'Energy Consumption (EC) - psgr'!I66*'Energy Consumption (EC) - psgr'!$B$63</f>
        <v>62727437010632.141</v>
      </c>
      <c r="J66" s="22">
        <f>'Energy Consumption (EC) - psgr'!J66*'Energy Consumption (EC) - psgr'!$B$63</f>
        <v>65863808861163.758</v>
      </c>
      <c r="K66" s="22">
        <f>'Energy Consumption (EC) - psgr'!K66*'Energy Consumption (EC) - psgr'!$B$63</f>
        <v>69156999304221.922</v>
      </c>
      <c r="L66" s="22">
        <f>'Energy Consumption (EC) - psgr'!L66*'Energy Consumption (EC) - psgr'!$B$63</f>
        <v>72614849269433.031</v>
      </c>
      <c r="M66" s="22">
        <f>'Energy Consumption (EC) - psgr'!M66*'Energy Consumption (EC) - psgr'!$B$63</f>
        <v>76245591732904.688</v>
      </c>
      <c r="N66" s="22">
        <f>'Energy Consumption (EC) - psgr'!N66*'Energy Consumption (EC) - psgr'!$B$63</f>
        <v>80057871319549.938</v>
      </c>
      <c r="O66" s="22">
        <f>'Energy Consumption (EC) - psgr'!O66*'Energy Consumption (EC) - psgr'!$B$63</f>
        <v>84060764885527.438</v>
      </c>
      <c r="P66" s="22">
        <f>'Energy Consumption (EC) - psgr'!P66*'Energy Consumption (EC) - psgr'!$B$63</f>
        <v>88263803129803.797</v>
      </c>
      <c r="Q66" s="22">
        <f>'Energy Consumption (EC) - psgr'!Q66*'Energy Consumption (EC) - psgr'!$B$63</f>
        <v>92676993286294</v>
      </c>
      <c r="R66" s="22">
        <f>'Energy Consumption (EC) - psgr'!R66*'Energy Consumption (EC) - psgr'!$B$63</f>
        <v>97310842950608.703</v>
      </c>
      <c r="S66" s="22">
        <f>'Energy Consumption (EC) - psgr'!S66*'Energy Consumption (EC) - psgr'!$B$63</f>
        <v>102176385098139.14</v>
      </c>
      <c r="T66" s="22">
        <f>'Energy Consumption (EC) - psgr'!T66*'Energy Consumption (EC) - psgr'!$B$63</f>
        <v>107285204353046.09</v>
      </c>
      <c r="U66" s="22">
        <f>'Energy Consumption (EC) - psgr'!U66*'Energy Consumption (EC) - psgr'!$B$63</f>
        <v>112649464570698.41</v>
      </c>
      <c r="V66" s="22">
        <f>'Energy Consumption (EC) - psgr'!V66*'Energy Consumption (EC) - psgr'!$B$63</f>
        <v>118281937799233.34</v>
      </c>
      <c r="W66" s="22">
        <f>'Energy Consumption (EC) - psgr'!W66*'Energy Consumption (EC) - psgr'!$B$63</f>
        <v>124196034689195.02</v>
      </c>
      <c r="X66" s="22">
        <f>'Energy Consumption (EC) - psgr'!X66*'Energy Consumption (EC) - psgr'!$B$63</f>
        <v>130405836423654.75</v>
      </c>
      <c r="Y66" s="22">
        <f>'Energy Consumption (EC) - psgr'!Y66*'Energy Consumption (EC) - psgr'!$B$63</f>
        <v>136926128244837.47</v>
      </c>
      <c r="Z66" s="22">
        <f>'Energy Consumption (EC) - psgr'!Z66*'Energy Consumption (EC) - psgr'!$B$63</f>
        <v>143772434657079.38</v>
      </c>
      <c r="AA66" s="22">
        <f>'Energy Consumption (EC) - psgr'!AA66*'Energy Consumption (EC) - psgr'!$B$63</f>
        <v>150961056389933.38</v>
      </c>
      <c r="AB66" s="22">
        <f>'Energy Consumption (EC) - psgr'!AB66*'Energy Consumption (EC) - psgr'!$B$63</f>
        <v>158509109209430.06</v>
      </c>
      <c r="AC66" s="22">
        <f>'Energy Consumption (EC) - psgr'!AC66*'Energy Consumption (EC) - psgr'!$B$63</f>
        <v>166434564669901.53</v>
      </c>
      <c r="AD66" s="22">
        <f>'Energy Consumption (EC) - psgr'!AD66*'Energy Consumption (EC) - psgr'!$B$63</f>
        <v>174756292903396.62</v>
      </c>
      <c r="AE66" s="22">
        <f>'Energy Consumption (EC) - psgr'!AE66*'Energy Consumption (EC) - psgr'!$B$63</f>
        <v>183494107548566.44</v>
      </c>
      <c r="AF66" s="22">
        <f>'Energy Consumption (EC) - psgr'!AF66*'Energy Consumption (EC) - psgr'!$B$63</f>
        <v>192668812925994.81</v>
      </c>
      <c r="AG66" s="22">
        <f>'Energy Consumption (EC) - psgr'!AG66*'Energy Consumption (EC) - psgr'!$B$63</f>
        <v>202302253572294.53</v>
      </c>
      <c r="AH66" s="22">
        <f>'Energy Consumption (EC) - psgr'!AH66*'Energy Consumption (EC) - psgr'!$B$63</f>
        <v>212417366250909.28</v>
      </c>
      <c r="AI66" s="22">
        <f>'Energy Consumption (EC) - psgr'!AI66*'Energy Consumption (EC) - psgr'!$B$63</f>
        <v>223038234563454.72</v>
      </c>
      <c r="AJ66" s="22">
        <f>'Energy Consumption (EC) - psgr'!AJ66*'Energy Consumption (EC) - psgr'!$B$63</f>
        <v>234190146291627.53</v>
      </c>
      <c r="AK66" s="22">
        <f>'Energy Consumption (EC) - psgr'!AK66*'Energy Consumption (EC) - psgr'!$B$63</f>
        <v>245899653606208.84</v>
      </c>
      <c r="AL66" s="22">
        <f>'Energy Consumption (EC) - psgr'!AL66*'Energy Consumption (EC) - psgr'!$B$63</f>
        <v>258194636286519.31</v>
      </c>
      <c r="AM66" s="22">
        <f>'Energy Consumption (EC) - psgr'!AM66*'Energy Consumption (EC) - psgr'!$B$63</f>
        <v>271104368100845.25</v>
      </c>
      <c r="AN66" s="22">
        <f>'Energy Consumption (EC) - psgr'!AN66*'Energy Consumption (EC) - psgr'!$B$63</f>
        <v>284659586505887.56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E647F-F1C8-5A44-8A70-DA4165BD5577}">
  <dimension ref="A1:AN44"/>
  <sheetViews>
    <sheetView topLeftCell="M1" workbookViewId="0">
      <selection activeCell="B31" sqref="B31"/>
    </sheetView>
  </sheetViews>
  <sheetFormatPr baseColWidth="10" defaultRowHeight="15" x14ac:dyDescent="0.2"/>
  <cols>
    <col min="2" max="2" width="11.1640625" bestFit="1" customWidth="1"/>
  </cols>
  <sheetData>
    <row r="1" spans="1:40" x14ac:dyDescent="0.2">
      <c r="A1" s="14" t="s">
        <v>56</v>
      </c>
    </row>
    <row r="2" spans="1:40" x14ac:dyDescent="0.2">
      <c r="A2" s="14" t="s">
        <v>16</v>
      </c>
    </row>
    <row r="3" spans="1:40" x14ac:dyDescent="0.2">
      <c r="A3" s="14" t="s">
        <v>57</v>
      </c>
    </row>
    <row r="4" spans="1:40" x14ac:dyDescent="0.2">
      <c r="A4" s="14" t="s">
        <v>18</v>
      </c>
    </row>
    <row r="5" spans="1:40" x14ac:dyDescent="0.2">
      <c r="A5" s="17" t="s">
        <v>95</v>
      </c>
      <c r="B5" s="18">
        <v>621371192</v>
      </c>
    </row>
    <row r="6" spans="1:40" x14ac:dyDescent="0.2">
      <c r="A6" s="15" t="s">
        <v>19</v>
      </c>
      <c r="B6" s="15">
        <v>2022</v>
      </c>
      <c r="C6" s="15">
        <v>2023</v>
      </c>
      <c r="D6" s="15">
        <v>2024</v>
      </c>
      <c r="E6" s="15">
        <v>2025</v>
      </c>
      <c r="F6" s="15">
        <v>2026</v>
      </c>
      <c r="G6" s="15">
        <v>2027</v>
      </c>
      <c r="H6" s="15">
        <v>2028</v>
      </c>
      <c r="I6" s="15">
        <v>2029</v>
      </c>
      <c r="J6" s="15">
        <v>2030</v>
      </c>
      <c r="K6" s="15">
        <v>2031</v>
      </c>
      <c r="L6" s="15">
        <v>2032</v>
      </c>
      <c r="M6" s="15">
        <v>2033</v>
      </c>
      <c r="N6" s="15">
        <v>2034</v>
      </c>
      <c r="O6" s="15">
        <v>2035</v>
      </c>
      <c r="P6" s="15">
        <v>2036</v>
      </c>
      <c r="Q6" s="15">
        <v>2037</v>
      </c>
      <c r="R6" s="15">
        <v>2038</v>
      </c>
      <c r="S6" s="15">
        <v>2039</v>
      </c>
      <c r="T6" s="15">
        <v>2040</v>
      </c>
      <c r="U6" s="15">
        <v>2041</v>
      </c>
      <c r="V6" s="15">
        <v>2042</v>
      </c>
      <c r="W6" s="15">
        <v>2043</v>
      </c>
      <c r="X6" s="15">
        <v>2044</v>
      </c>
      <c r="Y6" s="15">
        <v>2045</v>
      </c>
      <c r="Z6" s="15">
        <v>2046</v>
      </c>
      <c r="AA6" s="15">
        <v>2047</v>
      </c>
      <c r="AB6" s="15">
        <v>2048</v>
      </c>
      <c r="AC6" s="15">
        <v>2049</v>
      </c>
      <c r="AD6" s="15">
        <v>2050</v>
      </c>
      <c r="AE6" s="15">
        <v>2051</v>
      </c>
      <c r="AF6" s="15">
        <v>2052</v>
      </c>
      <c r="AG6" s="15">
        <v>2053</v>
      </c>
      <c r="AH6" s="15">
        <v>2054</v>
      </c>
      <c r="AI6" s="15">
        <v>2055</v>
      </c>
      <c r="AJ6" s="15">
        <v>2056</v>
      </c>
      <c r="AK6" s="15">
        <v>2057</v>
      </c>
      <c r="AL6" s="15">
        <v>2058</v>
      </c>
      <c r="AM6" s="15">
        <v>2059</v>
      </c>
      <c r="AN6" s="15">
        <v>2060</v>
      </c>
    </row>
    <row r="7" spans="1:40" x14ac:dyDescent="0.2">
      <c r="A7" s="15" t="s">
        <v>58</v>
      </c>
      <c r="B7" s="16">
        <v>16.265339683579224</v>
      </c>
      <c r="C7" s="16">
        <v>17.087145971092067</v>
      </c>
      <c r="D7" s="16">
        <v>17.950474021281494</v>
      </c>
      <c r="E7" s="16">
        <v>18.857421721206737</v>
      </c>
      <c r="F7" s="16">
        <v>19.810192953670708</v>
      </c>
      <c r="G7" s="16">
        <v>20.81110295265492</v>
      </c>
      <c r="H7" s="16">
        <v>21.862583929337813</v>
      </c>
      <c r="I7" s="16">
        <v>22.967190982367608</v>
      </c>
      <c r="J7" s="16">
        <v>24.127608306751732</v>
      </c>
      <c r="K7" s="16">
        <v>25.346655716450364</v>
      </c>
      <c r="L7" s="16">
        <v>26.62729549652402</v>
      </c>
      <c r="M7" s="16">
        <v>27.972639601485895</v>
      </c>
      <c r="N7" s="16">
        <v>29.38595721735097</v>
      </c>
      <c r="O7" s="16">
        <v>30.870682705757623</v>
      </c>
      <c r="P7" s="16">
        <v>32.430423949466032</v>
      </c>
      <c r="Q7" s="16">
        <v>34.068971119512788</v>
      </c>
      <c r="R7" s="16">
        <v>35.790305885326177</v>
      </c>
      <c r="S7" s="16">
        <v>37.598611090182288</v>
      </c>
      <c r="T7" s="16">
        <v>39.498280915513739</v>
      </c>
      <c r="U7" s="16">
        <v>41.493931558770072</v>
      </c>
      <c r="V7" s="16">
        <v>43.590412450776938</v>
      </c>
      <c r="W7" s="16">
        <v>45.792818039852442</v>
      </c>
      <c r="X7" s="16">
        <v>48.106500171315979</v>
      </c>
      <c r="Y7" s="16">
        <v>50.537081092471709</v>
      </c>
      <c r="Z7" s="16">
        <v>53.09046711466884</v>
      </c>
      <c r="AA7" s="16">
        <v>55.772862965637486</v>
      </c>
      <c r="AB7" s="16">
        <v>58.590786866976323</v>
      </c>
      <c r="AC7" s="16">
        <v>61.551086373430287</v>
      </c>
      <c r="AD7" s="16">
        <v>64.660955012447872</v>
      </c>
      <c r="AE7" s="16">
        <v>67.927949764451782</v>
      </c>
      <c r="AF7" s="16">
        <v>71.360009426300707</v>
      </c>
      <c r="AG7" s="16">
        <v>74.96547390256454</v>
      </c>
      <c r="AH7" s="16">
        <v>78.753104471491611</v>
      </c>
      <c r="AI7" s="16">
        <v>82.732105074913747</v>
      </c>
      <c r="AJ7" s="16">
        <v>86.912144683823755</v>
      </c>
      <c r="AK7" s="16">
        <v>91.303380793973943</v>
      </c>
      <c r="AL7" s="16">
        <v>95.916484108589472</v>
      </c>
      <c r="AM7" s="16">
        <v>100.76266446817597</v>
      </c>
      <c r="AN7" s="16">
        <v>105.85369809043056</v>
      </c>
    </row>
    <row r="8" spans="1:40" x14ac:dyDescent="0.2">
      <c r="A8" s="15" t="s">
        <v>59</v>
      </c>
      <c r="B8" s="16">
        <v>17.743321407260975</v>
      </c>
      <c r="C8" s="16">
        <v>18.639802721362837</v>
      </c>
      <c r="D8" s="16">
        <v>19.581578753859691</v>
      </c>
      <c r="E8" s="16">
        <v>20.570938020398447</v>
      </c>
      <c r="F8" s="16">
        <v>21.610284663879082</v>
      </c>
      <c r="G8" s="16">
        <v>22.702144296521571</v>
      </c>
      <c r="H8" s="16">
        <v>23.849170137103329</v>
      </c>
      <c r="I8" s="16">
        <v>25.054149458280477</v>
      </c>
      <c r="J8" s="16">
        <v>26.320010359660095</v>
      </c>
      <c r="K8" s="16">
        <v>27.649828883081923</v>
      </c>
      <c r="L8" s="16">
        <v>29.046836487399638</v>
      </c>
      <c r="M8" s="16">
        <v>30.514427900925508</v>
      </c>
      <c r="N8" s="16">
        <v>32.05616937061977</v>
      </c>
      <c r="O8" s="16">
        <v>33.675807328070327</v>
      </c>
      <c r="P8" s="16">
        <v>35.377277493321081</v>
      </c>
      <c r="Q8" s="16">
        <v>37.164714438671119</v>
      </c>
      <c r="R8" s="16">
        <v>39.042461635684987</v>
      </c>
      <c r="S8" s="16">
        <v>41.015082009827971</v>
      </c>
      <c r="T8" s="16">
        <v>43.087369028374525</v>
      </c>
      <c r="U8" s="16">
        <v>45.264358348533143</v>
      </c>
      <c r="V8" s="16">
        <v>47.55134005409279</v>
      </c>
      <c r="W8" s="16">
        <v>49.953871510325818</v>
      </c>
      <c r="X8" s="16">
        <v>52.477790868385028</v>
      </c>
      <c r="Y8" s="16">
        <v>55.129231252010179</v>
      </c>
      <c r="Z8" s="16">
        <v>57.914635661017982</v>
      </c>
      <c r="AA8" s="16">
        <v>60.840772627790926</v>
      </c>
      <c r="AB8" s="16">
        <v>63.914752664810067</v>
      </c>
      <c r="AC8" s="16">
        <v>67.144045543199582</v>
      </c>
      <c r="AD8" s="16">
        <v>70.536498444269739</v>
      </c>
      <c r="AE8" s="16">
        <v>74.100355028166462</v>
      </c>
      <c r="AF8" s="16">
        <v>77.844275465964571</v>
      </c>
      <c r="AG8" s="16">
        <v>81.777357483882426</v>
      </c>
      <c r="AH8" s="16">
        <v>85.909158470755585</v>
      </c>
      <c r="AI8" s="16">
        <v>90.249718702490526</v>
      </c>
      <c r="AJ8" s="16">
        <v>94.809585739933866</v>
      </c>
      <c r="AK8" s="16">
        <v>99.599840059444006</v>
      </c>
      <c r="AL8" s="16">
        <v>104.6321219784474</v>
      </c>
      <c r="AM8" s="16">
        <v>109.91865994140846</v>
      </c>
      <c r="AN8" s="16">
        <v>115.47230023494814</v>
      </c>
    </row>
    <row r="9" spans="1:40" x14ac:dyDescent="0.2">
      <c r="A9" s="15" t="s">
        <v>60</v>
      </c>
      <c r="B9" s="16">
        <v>3.6949543092043662</v>
      </c>
      <c r="C9" s="16">
        <v>3.8816418756769169</v>
      </c>
      <c r="D9" s="16">
        <v>4.0777618314454935</v>
      </c>
      <c r="E9" s="16">
        <v>4.2837907479792756</v>
      </c>
      <c r="F9" s="16">
        <v>4.5002292755209288</v>
      </c>
      <c r="G9" s="16">
        <v>4.7276033596666229</v>
      </c>
      <c r="H9" s="16">
        <v>4.9664655194137808</v>
      </c>
      <c r="I9" s="16">
        <v>5.2173961897821615</v>
      </c>
      <c r="J9" s="16">
        <v>5.4810051322709068</v>
      </c>
      <c r="K9" s="16">
        <v>5.7579329165788939</v>
      </c>
      <c r="L9" s="16">
        <v>6.0488524771890431</v>
      </c>
      <c r="M9" s="16">
        <v>6.3544707485990193</v>
      </c>
      <c r="N9" s="16">
        <v>6.675530383171985</v>
      </c>
      <c r="O9" s="16">
        <v>7.0128115557817479</v>
      </c>
      <c r="P9" s="16">
        <v>7.3671338596376206</v>
      </c>
      <c r="Q9" s="16">
        <v>7.7393582978958104</v>
      </c>
      <c r="R9" s="16">
        <v>8.1303893758969981</v>
      </c>
      <c r="S9" s="16">
        <v>8.5411772991141923</v>
      </c>
      <c r="T9" s="16">
        <v>8.9727202821519381</v>
      </c>
      <c r="U9" s="16">
        <v>9.4260669744076626</v>
      </c>
      <c r="V9" s="16">
        <v>9.9023190082896111</v>
      </c>
      <c r="W9" s="16">
        <v>10.402633676183443</v>
      </c>
      <c r="X9" s="16">
        <v>10.928226742672612</v>
      </c>
      <c r="Y9" s="16">
        <v>11.480375398846144</v>
      </c>
      <c r="Z9" s="16">
        <v>12.060421365872843</v>
      </c>
      <c r="AA9" s="16">
        <v>12.669774155383569</v>
      </c>
      <c r="AB9" s="16">
        <v>13.309914494584326</v>
      </c>
      <c r="AC9" s="16">
        <v>13.982397924423195</v>
      </c>
      <c r="AD9" s="16">
        <v>14.68885857955468</v>
      </c>
      <c r="AE9" s="16">
        <v>15.431013159286676</v>
      </c>
      <c r="AF9" s="16">
        <v>16.210665099159637</v>
      </c>
      <c r="AG9" s="16">
        <v>17.029708953294676</v>
      </c>
      <c r="AH9" s="16">
        <v>17.890134998159891</v>
      </c>
      <c r="AI9" s="16">
        <v>18.794034068941922</v>
      </c>
      <c r="AJ9" s="16">
        <v>19.74360264027521</v>
      </c>
      <c r="AK9" s="16">
        <v>20.74114816367511</v>
      </c>
      <c r="AL9" s="16">
        <v>21.789094674644797</v>
      </c>
      <c r="AM9" s="16">
        <v>22.889988683081228</v>
      </c>
      <c r="AN9" s="16">
        <v>24.046505361293907</v>
      </c>
    </row>
    <row r="10" spans="1:40" x14ac:dyDescent="0.2">
      <c r="A10" s="15" t="s">
        <v>61</v>
      </c>
      <c r="B10" s="16">
        <v>278.93138778609818</v>
      </c>
      <c r="C10" s="16">
        <v>293.02439615399084</v>
      </c>
      <c r="D10" s="16">
        <v>307.8294537696712</v>
      </c>
      <c r="E10" s="16">
        <v>323.3825369213838</v>
      </c>
      <c r="F10" s="16">
        <v>339.72143959933669</v>
      </c>
      <c r="G10" s="16">
        <v>356.88586533509323</v>
      </c>
      <c r="H10" s="16">
        <v>374.91752368114885</v>
      </c>
      <c r="I10" s="16">
        <v>393.86023156513892</v>
      </c>
      <c r="J10" s="16">
        <v>413.76001976496752</v>
      </c>
      <c r="K10" s="16">
        <v>434.66524476359257</v>
      </c>
      <c r="L10" s="16">
        <v>456.62670625527312</v>
      </c>
      <c r="M10" s="16">
        <v>479.69777058882073</v>
      </c>
      <c r="N10" s="16">
        <v>503.93450044782099</v>
      </c>
      <c r="O10" s="16">
        <v>529.39579108294697</v>
      </c>
      <c r="P10" s="16">
        <v>556.14351342741293</v>
      </c>
      <c r="Q10" s="16">
        <v>584.24266444333284</v>
      </c>
      <c r="R10" s="16">
        <v>613.76152506433243</v>
      </c>
      <c r="S10" s="16">
        <v>644.77182611820774</v>
      </c>
      <c r="T10" s="16">
        <v>677.34892263283007</v>
      </c>
      <c r="U10" s="16">
        <v>711.57197694885372</v>
      </c>
      <c r="V10" s="16">
        <v>747.52415108419484</v>
      </c>
      <c r="W10" s="16">
        <v>785.29280881772365</v>
      </c>
      <c r="X10" s="16">
        <v>824.96972798323907</v>
      </c>
      <c r="Y10" s="16">
        <v>866.65132348959219</v>
      </c>
      <c r="Z10" s="16">
        <v>910.43888160890356</v>
      </c>
      <c r="AA10" s="16">
        <v>956.43880610219355</v>
      </c>
      <c r="AB10" s="16">
        <v>1004.762876780507</v>
      </c>
      <c r="AC10" s="16">
        <v>1055.5285211298417</v>
      </c>
      <c r="AD10" s="16">
        <v>1108.8590996599273</v>
      </c>
      <c r="AE10" s="16">
        <v>1164.8842056702449</v>
      </c>
      <c r="AF10" s="16">
        <v>1223.7399801617341</v>
      </c>
      <c r="AG10" s="16">
        <v>1285.5694426594055</v>
      </c>
      <c r="AH10" s="16">
        <v>1350.5228387497721</v>
      </c>
      <c r="AI10" s="16">
        <v>1418.7580051776044</v>
      </c>
      <c r="AJ10" s="16">
        <v>1490.4407533892029</v>
      </c>
      <c r="AK10" s="16">
        <v>1565.7452724541922</v>
      </c>
      <c r="AL10" s="16">
        <v>1644.8545523449402</v>
      </c>
      <c r="AM10" s="16">
        <v>1727.9608286021682</v>
      </c>
      <c r="AN10" s="16">
        <v>1815.266049467293</v>
      </c>
    </row>
    <row r="11" spans="1:40" x14ac:dyDescent="0.2">
      <c r="A11" s="15" t="s">
        <v>62</v>
      </c>
      <c r="B11" s="16">
        <v>304.27703081163145</v>
      </c>
      <c r="C11" s="16">
        <v>319.65062779338916</v>
      </c>
      <c r="D11" s="16">
        <v>335.80097576265013</v>
      </c>
      <c r="E11" s="16">
        <v>352.76732006305792</v>
      </c>
      <c r="F11" s="16">
        <v>370.59088890924397</v>
      </c>
      <c r="G11" s="16">
        <v>389.31499357138347</v>
      </c>
      <c r="H11" s="16">
        <v>408.98513362157775</v>
      </c>
      <c r="I11" s="16">
        <v>429.6491074978079</v>
      </c>
      <c r="J11" s="16">
        <v>451.35712865413473</v>
      </c>
      <c r="K11" s="16">
        <v>474.1619475793849</v>
      </c>
      <c r="L11" s="16">
        <v>498.11897998083339</v>
      </c>
      <c r="M11" s="16">
        <v>523.28644144436498</v>
      </c>
      <c r="N11" s="16">
        <v>549.72548889834161</v>
      </c>
      <c r="O11" s="16">
        <v>577.50036922493007</v>
      </c>
      <c r="P11" s="16">
        <v>606.67857538001977</v>
      </c>
      <c r="Q11" s="16">
        <v>637.33101040109511</v>
      </c>
      <c r="R11" s="16">
        <v>669.53215970161057</v>
      </c>
      <c r="S11" s="16">
        <v>703.36027207053439</v>
      </c>
      <c r="T11" s="16">
        <v>738.89754981689805</v>
      </c>
      <c r="U11" s="16">
        <v>776.23034852139688</v>
      </c>
      <c r="V11" s="16">
        <v>815.44938688044056</v>
      </c>
      <c r="W11" s="16">
        <v>856.64996715257473</v>
      </c>
      <c r="X11" s="16">
        <v>899.93220674295833</v>
      </c>
      <c r="Y11" s="16">
        <v>945.40128148864642</v>
      </c>
      <c r="Z11" s="16">
        <v>993.16768123585996</v>
      </c>
      <c r="AA11" s="16">
        <v>1043.347478330302</v>
      </c>
      <c r="AB11" s="16">
        <v>1096.0626096729407</v>
      </c>
      <c r="AC11" s="16">
        <v>1151.4411730266656</v>
      </c>
      <c r="AD11" s="16">
        <v>1209.6177382938381</v>
      </c>
      <c r="AE11" s="16">
        <v>1270.7336745211339</v>
      </c>
      <c r="AF11" s="16">
        <v>1334.9374934263144</v>
      </c>
      <c r="AG11" s="16">
        <v>1402.3852102816786</v>
      </c>
      <c r="AH11" s="16">
        <v>1473.2407230311603</v>
      </c>
      <c r="AI11" s="16">
        <v>1547.67621056231</v>
      </c>
      <c r="AJ11" s="16">
        <v>1625.8725511009709</v>
      </c>
      <c r="AK11" s="16">
        <v>1708.0197617453471</v>
      </c>
      <c r="AL11" s="16">
        <v>1794.3174602075308</v>
      </c>
      <c r="AM11" s="16">
        <v>1884.9753498845164</v>
      </c>
      <c r="AN11" s="16">
        <v>1980.2137294374315</v>
      </c>
    </row>
    <row r="12" spans="1:40" x14ac:dyDescent="0.2">
      <c r="A12" s="15" t="s">
        <v>63</v>
      </c>
      <c r="B12" s="16">
        <v>63.364107563833144</v>
      </c>
      <c r="C12" s="16">
        <v>66.565579098495817</v>
      </c>
      <c r="D12" s="16">
        <v>69.928804982447318</v>
      </c>
      <c r="E12" s="16">
        <v>73.461957854185457</v>
      </c>
      <c r="F12" s="16">
        <v>77.173623274768175</v>
      </c>
      <c r="G12" s="16">
        <v>81.072820590725826</v>
      </c>
      <c r="H12" s="16">
        <v>85.169024851072265</v>
      </c>
      <c r="I12" s="16">
        <v>89.472189831672694</v>
      </c>
      <c r="J12" s="16">
        <v>93.992772222917964</v>
      </c>
      <c r="K12" s="16">
        <v>98.741757039480902</v>
      </c>
      <c r="L12" s="16">
        <v>103.73068431390068</v>
      </c>
      <c r="M12" s="16">
        <v>108.9716771388605</v>
      </c>
      <c r="N12" s="16">
        <v>114.47747112630144</v>
      </c>
      <c r="O12" s="16">
        <v>120.2614453549578</v>
      </c>
      <c r="P12" s="16">
        <v>126.33765488151704</v>
      </c>
      <c r="Q12" s="16">
        <v>132.72086489440568</v>
      </c>
      <c r="R12" s="16">
        <v>139.42658659319554</v>
      </c>
      <c r="S12" s="16">
        <v>146.47111488081674</v>
      </c>
      <c r="T12" s="16">
        <v>153.87156796016998</v>
      </c>
      <c r="U12" s="16">
        <v>161.64592893135759</v>
      </c>
      <c r="V12" s="16">
        <v>169.81308949061443</v>
      </c>
      <c r="W12" s="16">
        <v>178.39289583712772</v>
      </c>
      <c r="X12" s="16">
        <v>187.40619689929855</v>
      </c>
      <c r="Y12" s="16">
        <v>196.87489499763561</v>
      </c>
      <c r="Z12" s="16">
        <v>206.82199906739112</v>
      </c>
      <c r="AA12" s="16">
        <v>217.27168057027109</v>
      </c>
      <c r="AB12" s="16">
        <v>228.24933223108405</v>
      </c>
      <c r="AC12" s="16">
        <v>239.78162974205952</v>
      </c>
      <c r="AD12" s="16">
        <v>251.89659658477714</v>
      </c>
      <c r="AE12" s="16">
        <v>264.6236721272229</v>
      </c>
      <c r="AF12" s="16">
        <v>277.99378316145089</v>
      </c>
      <c r="AG12" s="16">
        <v>292.03941905568314</v>
      </c>
      <c r="AH12" s="16">
        <v>306.79471070347148</v>
      </c>
      <c r="AI12" s="16">
        <v>322.29551346176447</v>
      </c>
      <c r="AJ12" s="16">
        <v>338.57949427942015</v>
      </c>
      <c r="AK12" s="16">
        <v>355.68622322788775</v>
      </c>
      <c r="AL12" s="16">
        <v>373.65726965647679</v>
      </c>
      <c r="AM12" s="16">
        <v>392.5363032058703</v>
      </c>
      <c r="AN12" s="16">
        <v>412.36919992534695</v>
      </c>
    </row>
    <row r="15" spans="1:40" x14ac:dyDescent="0.2">
      <c r="A15" s="14" t="s">
        <v>65</v>
      </c>
    </row>
    <row r="16" spans="1:40" x14ac:dyDescent="0.2">
      <c r="A16" s="14" t="s">
        <v>16</v>
      </c>
    </row>
    <row r="17" spans="1:40" x14ac:dyDescent="0.2">
      <c r="A17" s="14" t="s">
        <v>66</v>
      </c>
    </row>
    <row r="18" spans="1:40" x14ac:dyDescent="0.2">
      <c r="A18" s="14" t="s">
        <v>18</v>
      </c>
    </row>
    <row r="19" spans="1:40" x14ac:dyDescent="0.2">
      <c r="A19" s="17" t="s">
        <v>96</v>
      </c>
      <c r="B19" s="18">
        <v>621371.19200000004</v>
      </c>
    </row>
    <row r="20" spans="1:40" x14ac:dyDescent="0.2">
      <c r="A20" s="15" t="s">
        <v>19</v>
      </c>
      <c r="B20" s="15">
        <v>2022</v>
      </c>
      <c r="C20" s="15">
        <v>2023</v>
      </c>
      <c r="D20" s="15">
        <v>2024</v>
      </c>
      <c r="E20" s="15">
        <v>2025</v>
      </c>
      <c r="F20" s="15">
        <v>2026</v>
      </c>
      <c r="G20" s="15">
        <v>2027</v>
      </c>
      <c r="H20" s="15">
        <v>2028</v>
      </c>
      <c r="I20" s="15">
        <v>2029</v>
      </c>
      <c r="J20" s="15">
        <v>2030</v>
      </c>
      <c r="K20" s="15">
        <v>2031</v>
      </c>
      <c r="L20" s="15">
        <v>2032</v>
      </c>
      <c r="M20" s="15">
        <v>2033</v>
      </c>
      <c r="N20" s="15">
        <v>2034</v>
      </c>
      <c r="O20" s="15">
        <v>2035</v>
      </c>
      <c r="P20" s="15">
        <v>2036</v>
      </c>
      <c r="Q20" s="15">
        <v>2037</v>
      </c>
      <c r="R20" s="15">
        <v>2038</v>
      </c>
      <c r="S20" s="15">
        <v>2039</v>
      </c>
      <c r="T20" s="15">
        <v>2040</v>
      </c>
      <c r="U20" s="15">
        <v>2041</v>
      </c>
      <c r="V20" s="15">
        <v>2042</v>
      </c>
      <c r="W20" s="15">
        <v>2043</v>
      </c>
      <c r="X20" s="15">
        <v>2044</v>
      </c>
      <c r="Y20" s="15">
        <v>2045</v>
      </c>
      <c r="Z20" s="15">
        <v>2046</v>
      </c>
      <c r="AA20" s="15">
        <v>2047</v>
      </c>
      <c r="AB20" s="15">
        <v>2048</v>
      </c>
      <c r="AC20" s="15">
        <v>2049</v>
      </c>
      <c r="AD20" s="15">
        <v>2050</v>
      </c>
      <c r="AE20" s="15">
        <v>2051</v>
      </c>
      <c r="AF20" s="15">
        <v>2052</v>
      </c>
      <c r="AG20" s="15">
        <v>2053</v>
      </c>
      <c r="AH20" s="15">
        <v>2054</v>
      </c>
      <c r="AI20" s="15">
        <v>2055</v>
      </c>
      <c r="AJ20" s="15">
        <v>2056</v>
      </c>
      <c r="AK20" s="15">
        <v>2057</v>
      </c>
      <c r="AL20" s="15">
        <v>2058</v>
      </c>
      <c r="AM20" s="15">
        <v>2059</v>
      </c>
      <c r="AN20" s="15">
        <v>2060</v>
      </c>
    </row>
    <row r="21" spans="1:40" x14ac:dyDescent="0.2">
      <c r="A21" s="15" t="s">
        <v>43</v>
      </c>
      <c r="B21" s="16">
        <v>0.76451779824719168</v>
      </c>
      <c r="C21" s="16">
        <v>0.80314506000363095</v>
      </c>
      <c r="D21" s="16">
        <v>0.84372396416031437</v>
      </c>
      <c r="E21" s="16">
        <v>0.88635311744951417</v>
      </c>
      <c r="F21" s="16">
        <v>0.93113610870865093</v>
      </c>
      <c r="G21" s="16">
        <v>0.97818176060115569</v>
      </c>
      <c r="H21" s="16">
        <v>1.0276043940555291</v>
      </c>
      <c r="I21" s="16">
        <v>1.0795241060651848</v>
      </c>
      <c r="J21" s="16">
        <v>1.1340670615241282</v>
      </c>
      <c r="K21" s="16">
        <v>1.1913657998076346</v>
      </c>
      <c r="L21" s="16">
        <v>1.2515595568429156</v>
      </c>
      <c r="M21" s="16">
        <v>1.3147946034524041</v>
      </c>
      <c r="N21" s="16">
        <v>1.381224600791837</v>
      </c>
      <c r="O21" s="16">
        <v>1.4510109737468442</v>
      </c>
      <c r="P21" s="16">
        <v>1.5243233031954033</v>
      </c>
      <c r="Q21" s="16">
        <v>1.6013397380893508</v>
      </c>
      <c r="R21" s="16">
        <v>1.6822474283563158</v>
      </c>
      <c r="S21" s="16">
        <v>1.7672429796740181</v>
      </c>
      <c r="T21" s="16">
        <v>1.8565329312220484</v>
      </c>
      <c r="U21" s="16">
        <v>1.9503342575720422</v>
      </c>
      <c r="V21" s="16">
        <v>2.0488748959358691</v>
      </c>
      <c r="W21" s="16">
        <v>2.1523943000530288</v>
      </c>
      <c r="X21" s="16">
        <v>2.2611440220632084</v>
      </c>
      <c r="Y21" s="16">
        <v>2.3753883237779516</v>
      </c>
      <c r="Z21" s="16">
        <v>2.4954048188368323</v>
      </c>
      <c r="AA21" s="16">
        <v>2.6214851473085634</v>
      </c>
      <c r="AB21" s="16">
        <v>2.7539356843763292</v>
      </c>
      <c r="AC21" s="16">
        <v>2.8930782848294423</v>
      </c>
      <c r="AD21" s="16">
        <v>3.0392510651704501</v>
      </c>
      <c r="AE21" s="16">
        <v>3.1928092252381859</v>
      </c>
      <c r="AF21" s="16">
        <v>3.3541259113433464</v>
      </c>
      <c r="AG21" s="16">
        <v>3.5235931230139683</v>
      </c>
      <c r="AH21" s="16">
        <v>3.701622665554249</v>
      </c>
      <c r="AI21" s="16">
        <v>3.8886471507313787</v>
      </c>
      <c r="AJ21" s="16">
        <v>4.0851210480220814</v>
      </c>
      <c r="AK21" s="16">
        <v>4.2915217889733954</v>
      </c>
      <c r="AL21" s="16">
        <v>4.5083509273612759</v>
      </c>
      <c r="AM21" s="16">
        <v>4.7361353579662051</v>
      </c>
      <c r="AN21" s="16">
        <v>4.975428596927447</v>
      </c>
    </row>
    <row r="22" spans="1:40" x14ac:dyDescent="0.2">
      <c r="A22" s="15" t="s">
        <v>44</v>
      </c>
      <c r="B22" s="16">
        <v>13.110578358689137</v>
      </c>
      <c r="C22" s="16">
        <v>13.772990330261905</v>
      </c>
      <c r="D22" s="16">
        <v>14.468870666698386</v>
      </c>
      <c r="E22" s="16">
        <v>15.199910357133321</v>
      </c>
      <c r="F22" s="16">
        <v>15.967885827927484</v>
      </c>
      <c r="G22" s="16">
        <v>16.774663259383519</v>
      </c>
      <c r="H22" s="16">
        <v>17.622203120563871</v>
      </c>
      <c r="I22" s="16">
        <v>18.512564933230365</v>
      </c>
      <c r="J22" s="16">
        <v>19.447912276481826</v>
      </c>
      <c r="K22" s="16">
        <v>20.430518044251073</v>
      </c>
      <c r="L22" s="16">
        <v>21.462769968436863</v>
      </c>
      <c r="M22" s="16">
        <v>22.547176421092136</v>
      </c>
      <c r="N22" s="16">
        <v>23.686372509767814</v>
      </c>
      <c r="O22" s="16">
        <v>24.883126480823829</v>
      </c>
      <c r="P22" s="16">
        <v>26.140346446267451</v>
      </c>
      <c r="Q22" s="16">
        <v>27.461087450465108</v>
      </c>
      <c r="R22" s="16">
        <v>28.84855889389987</v>
      </c>
      <c r="S22" s="16">
        <v>30.306132332014155</v>
      </c>
      <c r="T22" s="16">
        <v>31.837349668089175</v>
      </c>
      <c r="U22" s="16">
        <v>33.445931760069371</v>
      </c>
      <c r="V22" s="16">
        <v>35.135787462246881</v>
      </c>
      <c r="W22" s="16">
        <v>36.9110231237769</v>
      </c>
      <c r="X22" s="16">
        <v>38.775952567105726</v>
      </c>
      <c r="Y22" s="16">
        <v>40.735107570558739</v>
      </c>
      <c r="Z22" s="16">
        <v>42.793248880561215</v>
      </c>
      <c r="AA22" s="16">
        <v>44.955377780251567</v>
      </c>
      <c r="AB22" s="16">
        <v>47.226748242598795</v>
      </c>
      <c r="AC22" s="16">
        <v>49.612879697556089</v>
      </c>
      <c r="AD22" s="16">
        <v>52.119570444275112</v>
      </c>
      <c r="AE22" s="16">
        <v>54.752911740972088</v>
      </c>
      <c r="AF22" s="16">
        <v>57.519302606684711</v>
      </c>
      <c r="AG22" s="16">
        <v>60.425465370887451</v>
      </c>
      <c r="AH22" s="16">
        <v>63.478462008751542</v>
      </c>
      <c r="AI22" s="16">
        <v>66.685711301743737</v>
      </c>
      <c r="AJ22" s="16">
        <v>70.055006865264332</v>
      </c>
      <c r="AK22" s="16">
        <v>73.594536087131786</v>
      </c>
      <c r="AL22" s="16">
        <v>77.31290002293413</v>
      </c>
      <c r="AM22" s="16">
        <v>81.219134296592856</v>
      </c>
      <c r="AN22" s="16">
        <v>85.322731056928234</v>
      </c>
    </row>
    <row r="25" spans="1:40" x14ac:dyDescent="0.2">
      <c r="A25" s="14" t="s">
        <v>67</v>
      </c>
    </row>
    <row r="26" spans="1:40" x14ac:dyDescent="0.2">
      <c r="A26" s="14" t="s">
        <v>16</v>
      </c>
    </row>
    <row r="27" spans="1:40" x14ac:dyDescent="0.2">
      <c r="A27" s="14" t="s">
        <v>68</v>
      </c>
    </row>
    <row r="28" spans="1:40" x14ac:dyDescent="0.2">
      <c r="A28" s="14" t="s">
        <v>18</v>
      </c>
    </row>
    <row r="29" spans="1:40" x14ac:dyDescent="0.2">
      <c r="A29" s="19" t="s">
        <v>95</v>
      </c>
      <c r="B29" s="18">
        <v>621371192</v>
      </c>
    </row>
    <row r="30" spans="1:40" x14ac:dyDescent="0.2">
      <c r="A30" s="15" t="s">
        <v>19</v>
      </c>
      <c r="B30" s="15">
        <v>2022</v>
      </c>
      <c r="C30" s="15">
        <v>2023</v>
      </c>
      <c r="D30" s="15">
        <v>2024</v>
      </c>
      <c r="E30" s="15">
        <v>2025</v>
      </c>
      <c r="F30" s="15">
        <v>2026</v>
      </c>
      <c r="G30" s="15">
        <v>2027</v>
      </c>
      <c r="H30" s="15">
        <v>2028</v>
      </c>
      <c r="I30" s="15">
        <v>2029</v>
      </c>
      <c r="J30" s="15">
        <v>2030</v>
      </c>
      <c r="K30" s="15">
        <v>2031</v>
      </c>
      <c r="L30" s="15">
        <v>2032</v>
      </c>
      <c r="M30" s="15">
        <v>2033</v>
      </c>
      <c r="N30" s="15">
        <v>2034</v>
      </c>
      <c r="O30" s="15">
        <v>2035</v>
      </c>
      <c r="P30" s="15">
        <v>2036</v>
      </c>
      <c r="Q30" s="15">
        <v>2037</v>
      </c>
      <c r="R30" s="15">
        <v>2038</v>
      </c>
      <c r="S30" s="15">
        <v>2039</v>
      </c>
      <c r="T30" s="15">
        <v>2040</v>
      </c>
      <c r="U30" s="15">
        <v>2041</v>
      </c>
      <c r="V30" s="15">
        <v>2042</v>
      </c>
      <c r="W30" s="15">
        <v>2043</v>
      </c>
      <c r="X30" s="15">
        <v>2044</v>
      </c>
      <c r="Y30" s="15">
        <v>2045</v>
      </c>
      <c r="Z30" s="15">
        <v>2046</v>
      </c>
      <c r="AA30" s="15">
        <v>2047</v>
      </c>
      <c r="AB30" s="15">
        <v>2048</v>
      </c>
      <c r="AC30" s="15">
        <v>2049</v>
      </c>
      <c r="AD30" s="15">
        <v>2050</v>
      </c>
      <c r="AE30" s="15">
        <v>2051</v>
      </c>
      <c r="AF30" s="15">
        <v>2052</v>
      </c>
      <c r="AG30" s="15">
        <v>2053</v>
      </c>
      <c r="AH30" s="15">
        <v>2054</v>
      </c>
      <c r="AI30" s="15">
        <v>2055</v>
      </c>
      <c r="AJ30" s="15">
        <v>2056</v>
      </c>
      <c r="AK30" s="15">
        <v>2057</v>
      </c>
      <c r="AL30" s="15">
        <v>2058</v>
      </c>
      <c r="AM30" s="15">
        <v>2059</v>
      </c>
      <c r="AN30" s="15">
        <v>2060</v>
      </c>
    </row>
    <row r="31" spans="1:40" x14ac:dyDescent="0.2">
      <c r="A31" s="15" t="s">
        <v>69</v>
      </c>
      <c r="B31" s="16">
        <v>4.9768685768416566E-2</v>
      </c>
      <c r="C31" s="16">
        <v>5.2283248616865813E-2</v>
      </c>
      <c r="D31" s="16">
        <v>5.4924859753232955E-2</v>
      </c>
      <c r="E31" s="16">
        <v>5.7699938292265052E-2</v>
      </c>
      <c r="F31" s="16">
        <v>6.0615227674481735E-2</v>
      </c>
      <c r="G31" s="16">
        <v>6.3677812052734928E-2</v>
      </c>
      <c r="H31" s="16">
        <v>6.6895133506699372E-2</v>
      </c>
      <c r="I31" s="16">
        <v>7.0275010127125351E-2</v>
      </c>
      <c r="J31" s="16">
        <v>7.3825655013798355E-2</v>
      </c>
      <c r="K31" s="16">
        <v>7.7555696233370525E-2</v>
      </c>
      <c r="L31" s="16">
        <v>8.1474197785561586E-2</v>
      </c>
      <c r="M31" s="16">
        <v>8.5590681628677084E-2</v>
      </c>
      <c r="N31" s="16">
        <v>8.9915150817966E-2</v>
      </c>
      <c r="O31" s="16">
        <v>9.4458113813043726E-2</v>
      </c>
      <c r="P31" s="16">
        <v>9.923061001344774E-2</v>
      </c>
      <c r="Q31" s="16">
        <v>0.10424423658437719</v>
      </c>
      <c r="R31" s="16">
        <v>0.10951117663780284</v>
      </c>
      <c r="S31" s="16">
        <v>0.11504422883742781</v>
      </c>
      <c r="T31" s="16">
        <v>0.12085683849943889</v>
      </c>
      <c r="U31" s="16">
        <v>0.12696313026462303</v>
      </c>
      <c r="V31" s="16">
        <v>0.13337794242124312</v>
      </c>
      <c r="W31" s="16">
        <v>0.1401168629620764</v>
      </c>
      <c r="X31" s="16">
        <v>0.14719626746323533</v>
      </c>
      <c r="Y31" s="16">
        <v>0.15463335887681526</v>
      </c>
      <c r="Z31" s="16">
        <v>0.16244620933406631</v>
      </c>
      <c r="AA31" s="16">
        <v>0.17065380406066999</v>
      </c>
      <c r="AB31" s="16">
        <v>0.1792760875108354</v>
      </c>
      <c r="AC31" s="16">
        <v>0.18833401183232037</v>
      </c>
      <c r="AD31" s="16">
        <v>0.19784958778014833</v>
      </c>
      <c r="AE31" s="16">
        <v>0.2078459382027403</v>
      </c>
      <c r="AF31" s="16">
        <v>0.21834735423043375</v>
      </c>
      <c r="AG31" s="16">
        <v>0.22937935430292639</v>
      </c>
      <c r="AH31" s="16">
        <v>0.24096874617908176</v>
      </c>
      <c r="AI31" s="16">
        <v>0.25314369207977988</v>
      </c>
      <c r="AJ31" s="16">
        <v>0.26593377712211075</v>
      </c>
      <c r="AK31" s="16">
        <v>0.27937008121120538</v>
      </c>
      <c r="AL31" s="16">
        <v>0.2934852545644015</v>
      </c>
      <c r="AM31" s="16">
        <v>0.30831359705126793</v>
      </c>
      <c r="AN31" s="16">
        <v>0.32389114154228316</v>
      </c>
    </row>
    <row r="32" spans="1:40" x14ac:dyDescent="0.2">
      <c r="A32" s="15" t="s">
        <v>70</v>
      </c>
      <c r="B32" s="16">
        <v>2.1756802521711699E-3</v>
      </c>
      <c r="C32" s="16">
        <v>2.2856064969121181E-3</v>
      </c>
      <c r="D32" s="16">
        <v>2.4010867651686032E-3</v>
      </c>
      <c r="E32" s="16">
        <v>2.5224016739787466E-3</v>
      </c>
      <c r="F32" s="16">
        <v>2.6498460185565222E-3</v>
      </c>
      <c r="G32" s="16">
        <v>2.7837294886440904E-3</v>
      </c>
      <c r="H32" s="16">
        <v>2.9243774210578337E-3</v>
      </c>
      <c r="I32" s="16">
        <v>3.072131590256781E-3</v>
      </c>
      <c r="J32" s="16">
        <v>3.2273510388545045E-3</v>
      </c>
      <c r="K32" s="16">
        <v>3.3904129500926285E-3</v>
      </c>
      <c r="L32" s="16">
        <v>3.5617135643960592E-3</v>
      </c>
      <c r="M32" s="16">
        <v>3.7416691422371699E-3</v>
      </c>
      <c r="N32" s="16">
        <v>3.9307169756487032E-3</v>
      </c>
      <c r="O32" s="16">
        <v>4.129316450843354E-3</v>
      </c>
      <c r="P32" s="16">
        <v>4.3379501645222137E-3</v>
      </c>
      <c r="Q32" s="16">
        <v>4.5571250965846981E-3</v>
      </c>
      <c r="R32" s="16">
        <v>4.7873738420896404E-3</v>
      </c>
      <c r="S32" s="16">
        <v>5.029255905461218E-3</v>
      </c>
      <c r="T32" s="16">
        <v>5.2833590600846478E-3</v>
      </c>
      <c r="U32" s="16">
        <v>5.5503007765954236E-3</v>
      </c>
      <c r="V32" s="16">
        <v>5.8307297233329081E-3</v>
      </c>
      <c r="W32" s="16">
        <v>6.1253273426043024E-3</v>
      </c>
      <c r="X32" s="16">
        <v>6.4348095065893847E-3</v>
      </c>
      <c r="Y32" s="16">
        <v>6.759928256909813E-3</v>
      </c>
      <c r="Z32" s="16">
        <v>7.1014736320901802E-3</v>
      </c>
      <c r="AA32" s="16">
        <v>7.4602755873515352E-3</v>
      </c>
      <c r="AB32" s="16">
        <v>7.8372060114024755E-3</v>
      </c>
      <c r="AC32" s="16">
        <v>8.2331808451285831E-3</v>
      </c>
      <c r="AD32" s="16">
        <v>8.6491623073287043E-3</v>
      </c>
      <c r="AE32" s="16">
        <v>9.0861612329064863E-3</v>
      </c>
      <c r="AF32" s="16">
        <v>9.5452395291990878E-3</v>
      </c>
      <c r="AG32" s="16">
        <v>1.0027512756411869E-2</v>
      </c>
      <c r="AH32" s="16">
        <v>1.0534152838429579E-2</v>
      </c>
      <c r="AI32" s="16">
        <v>1.1066390910591233E-2</v>
      </c>
      <c r="AJ32" s="16">
        <v>1.1625520311348855E-2</v>
      </c>
      <c r="AK32" s="16">
        <v>1.2212899725079756E-2</v>
      </c>
      <c r="AL32" s="16">
        <v>1.2829956483689411E-2</v>
      </c>
      <c r="AM32" s="16">
        <v>1.3478190035027818E-2</v>
      </c>
      <c r="AN32" s="16">
        <v>1.4159175586547596E-2</v>
      </c>
    </row>
    <row r="33" spans="1:40" x14ac:dyDescent="0.2">
      <c r="A33" s="15" t="s">
        <v>71</v>
      </c>
      <c r="B33" s="16">
        <v>0.14698784280055813</v>
      </c>
      <c r="C33" s="16">
        <v>0.1544144035580563</v>
      </c>
      <c r="D33" s="16">
        <v>0.16221619129782711</v>
      </c>
      <c r="E33" s="16">
        <v>0.17041216436314979</v>
      </c>
      <c r="F33" s="16">
        <v>0.17902223896759789</v>
      </c>
      <c r="G33" s="16">
        <v>0.18806733759143579</v>
      </c>
      <c r="H33" s="16">
        <v>0.19756943982324315</v>
      </c>
      <c r="I33" s="16">
        <v>0.20755163577031249</v>
      </c>
      <c r="J33" s="16">
        <v>0.21803818216760751</v>
      </c>
      <c r="K33" s="16">
        <v>0.22905456132162588</v>
      </c>
      <c r="L33" s="16">
        <v>0.24062754303240108</v>
      </c>
      <c r="M33" s="16">
        <v>0.25278524964411314</v>
      </c>
      <c r="N33" s="16">
        <v>0.265557224382382</v>
      </c>
      <c r="O33" s="16">
        <v>0.27897450314430183</v>
      </c>
      <c r="P33" s="16">
        <v>0.29306968991566767</v>
      </c>
      <c r="Q33" s="16">
        <v>0.30787703599865668</v>
      </c>
      <c r="R33" s="16">
        <v>0.32343252324248878</v>
      </c>
      <c r="S33" s="16">
        <v>0.33977395147931549</v>
      </c>
      <c r="T33" s="16">
        <v>0.35694103037780806</v>
      </c>
      <c r="U33" s="16">
        <v>0.37497547593764674</v>
      </c>
      <c r="V33" s="16">
        <v>0.39392111185939638</v>
      </c>
      <c r="W33" s="16">
        <v>0.41382397603609233</v>
      </c>
      <c r="X33" s="16">
        <v>0.4347324324253159</v>
      </c>
      <c r="Y33" s="16">
        <v>0.45669728857360492</v>
      </c>
      <c r="Z33" s="16">
        <v>0.47977191907878619</v>
      </c>
      <c r="AA33" s="16">
        <v>0.50401239529024189</v>
      </c>
      <c r="AB33" s="16">
        <v>0.52947762156228151</v>
      </c>
      <c r="AC33" s="16">
        <v>0.55622947839171566</v>
      </c>
      <c r="AD33" s="16">
        <v>0.58433297278745711</v>
      </c>
      <c r="AE33" s="16">
        <v>0.61385639623754329</v>
      </c>
      <c r="AF33" s="16">
        <v>0.64487149065744531</v>
      </c>
      <c r="AG33" s="16">
        <v>0.67745362272291254</v>
      </c>
      <c r="AH33" s="16">
        <v>0.71168196701098774</v>
      </c>
      <c r="AI33" s="16">
        <v>0.74763969839421784</v>
      </c>
      <c r="AJ33" s="16">
        <v>0.78541419415558578</v>
      </c>
      <c r="AK33" s="16">
        <v>0.82509724631529668</v>
      </c>
      <c r="AL33" s="16">
        <v>0.86678528468537697</v>
      </c>
      <c r="AM33" s="16">
        <v>0.9105796111941058</v>
      </c>
      <c r="AN33" s="16">
        <v>0.95658664604968779</v>
      </c>
    </row>
    <row r="34" spans="1:40" x14ac:dyDescent="0.2">
      <c r="A34" s="15" t="s">
        <v>72</v>
      </c>
      <c r="B34" s="16">
        <v>2.5206681063928746</v>
      </c>
      <c r="C34" s="16">
        <v>2.6480248624683744</v>
      </c>
      <c r="D34" s="16">
        <v>2.781816318644589</v>
      </c>
      <c r="E34" s="16">
        <v>2.9223675881441062</v>
      </c>
      <c r="F34" s="16">
        <v>3.0700202105350871</v>
      </c>
      <c r="G34" s="16">
        <v>3.2251329816723722</v>
      </c>
      <c r="H34" s="16">
        <v>3.3880828255713697</v>
      </c>
      <c r="I34" s="16">
        <v>3.5592657103333636</v>
      </c>
      <c r="J34" s="16">
        <v>3.7390976103479563</v>
      </c>
      <c r="K34" s="16">
        <v>3.9280155171107869</v>
      </c>
      <c r="L34" s="16">
        <v>4.1264785011128104</v>
      </c>
      <c r="M34" s="16">
        <v>4.3349688273815348</v>
      </c>
      <c r="N34" s="16">
        <v>4.5539931273849872</v>
      </c>
      <c r="O34" s="16">
        <v>4.7840836301461138</v>
      </c>
      <c r="P34" s="16">
        <v>5.0257994555592447</v>
      </c>
      <c r="Q34" s="16">
        <v>5.2797279730513758</v>
      </c>
      <c r="R34" s="16">
        <v>5.5464862288897967</v>
      </c>
      <c r="S34" s="16">
        <v>5.8267224456044522</v>
      </c>
      <c r="T34" s="16">
        <v>6.1211175971686185</v>
      </c>
      <c r="U34" s="16">
        <v>6.4303870637655622</v>
      </c>
      <c r="V34" s="16">
        <v>6.7552823701623179</v>
      </c>
      <c r="W34" s="16">
        <v>7.0965930119147682</v>
      </c>
      <c r="X34" s="16">
        <v>7.4551483738417614</v>
      </c>
      <c r="Y34" s="16">
        <v>7.8318197454301153</v>
      </c>
      <c r="Z34" s="16">
        <v>8.2275224380679717</v>
      </c>
      <c r="AA34" s="16">
        <v>8.6432180092513544</v>
      </c>
      <c r="AB34" s="16">
        <v>9.0799165991687829</v>
      </c>
      <c r="AC34" s="16">
        <v>9.5386793853417835</v>
      </c>
      <c r="AD34" s="16">
        <v>10.020621161286178</v>
      </c>
      <c r="AE34" s="16">
        <v>10.52691304546016</v>
      </c>
      <c r="AF34" s="16">
        <v>11.058785327082035</v>
      </c>
      <c r="AG34" s="16">
        <v>11.617530455732853</v>
      </c>
      <c r="AH34" s="16">
        <v>12.204506182008757</v>
      </c>
      <c r="AI34" s="16">
        <v>12.821138856854748</v>
      </c>
      <c r="AJ34" s="16">
        <v>13.468926897597333</v>
      </c>
      <c r="AK34" s="16">
        <v>14.149444429098438</v>
      </c>
      <c r="AL34" s="16">
        <v>14.864345108878638</v>
      </c>
      <c r="AM34" s="16">
        <v>15.61536614550473</v>
      </c>
      <c r="AN34" s="16">
        <v>16.404332520006353</v>
      </c>
    </row>
    <row r="37" spans="1:40" x14ac:dyDescent="0.2">
      <c r="A37" s="14" t="s">
        <v>73</v>
      </c>
    </row>
    <row r="38" spans="1:40" x14ac:dyDescent="0.2">
      <c r="A38" s="14" t="s">
        <v>16</v>
      </c>
    </row>
    <row r="39" spans="1:40" x14ac:dyDescent="0.2">
      <c r="A39" s="14" t="s">
        <v>74</v>
      </c>
    </row>
    <row r="40" spans="1:40" x14ac:dyDescent="0.2">
      <c r="A40" s="14" t="s">
        <v>18</v>
      </c>
    </row>
    <row r="41" spans="1:40" x14ac:dyDescent="0.2">
      <c r="A41" s="19" t="s">
        <v>95</v>
      </c>
      <c r="B41" s="18">
        <v>621371192</v>
      </c>
    </row>
    <row r="42" spans="1:40" x14ac:dyDescent="0.2">
      <c r="A42" s="15" t="s">
        <v>19</v>
      </c>
      <c r="B42" s="15">
        <v>2022</v>
      </c>
      <c r="C42" s="15">
        <v>2023</v>
      </c>
      <c r="D42" s="15">
        <v>2024</v>
      </c>
      <c r="E42" s="15">
        <v>2025</v>
      </c>
      <c r="F42" s="15">
        <v>2026</v>
      </c>
      <c r="G42" s="15">
        <v>2027</v>
      </c>
      <c r="H42" s="15">
        <v>2028</v>
      </c>
      <c r="I42" s="15">
        <v>2029</v>
      </c>
      <c r="J42" s="15">
        <v>2030</v>
      </c>
      <c r="K42" s="15">
        <v>2031</v>
      </c>
      <c r="L42" s="15">
        <v>2032</v>
      </c>
      <c r="M42" s="15">
        <v>2033</v>
      </c>
      <c r="N42" s="15">
        <v>2034</v>
      </c>
      <c r="O42" s="15">
        <v>2035</v>
      </c>
      <c r="P42" s="15">
        <v>2036</v>
      </c>
      <c r="Q42" s="15">
        <v>2037</v>
      </c>
      <c r="R42" s="15">
        <v>2038</v>
      </c>
      <c r="S42" s="15">
        <v>2039</v>
      </c>
      <c r="T42" s="15">
        <v>2040</v>
      </c>
      <c r="U42" s="15">
        <v>2041</v>
      </c>
      <c r="V42" s="15">
        <v>2042</v>
      </c>
      <c r="W42" s="15">
        <v>2043</v>
      </c>
      <c r="X42" s="15">
        <v>2044</v>
      </c>
      <c r="Y42" s="15">
        <v>2045</v>
      </c>
      <c r="Z42" s="15">
        <v>2046</v>
      </c>
      <c r="AA42" s="15">
        <v>2047</v>
      </c>
      <c r="AB42" s="15">
        <v>2048</v>
      </c>
      <c r="AC42" s="15">
        <v>2049</v>
      </c>
      <c r="AD42" s="15">
        <v>2050</v>
      </c>
      <c r="AE42" s="15">
        <v>2051</v>
      </c>
      <c r="AF42" s="15">
        <v>2052</v>
      </c>
      <c r="AG42" s="15">
        <v>2053</v>
      </c>
      <c r="AH42" s="15">
        <v>2054</v>
      </c>
      <c r="AI42" s="15">
        <v>2055</v>
      </c>
      <c r="AJ42" s="15">
        <v>2056</v>
      </c>
      <c r="AK42" s="15">
        <v>2057</v>
      </c>
      <c r="AL42" s="15">
        <v>2058</v>
      </c>
      <c r="AM42" s="15">
        <v>2059</v>
      </c>
      <c r="AN42" s="15">
        <v>2060</v>
      </c>
    </row>
    <row r="43" spans="1:40" x14ac:dyDescent="0.2">
      <c r="A43" s="15" t="s">
        <v>53</v>
      </c>
      <c r="B43" s="16">
        <v>4.8551919776381822E-3</v>
      </c>
      <c r="C43" s="16">
        <v>5.100500552308351E-3</v>
      </c>
      <c r="D43" s="16">
        <v>5.3582033427137287E-3</v>
      </c>
      <c r="E43" s="16">
        <v>5.6289265666043401E-3</v>
      </c>
      <c r="F43" s="16">
        <v>5.9133280813820251E-3</v>
      </c>
      <c r="G43" s="16">
        <v>6.2120989826938517E-3</v>
      </c>
      <c r="H43" s="16">
        <v>6.52596528379446E-3</v>
      </c>
      <c r="I43" s="16">
        <v>6.855689679758175E-3</v>
      </c>
      <c r="J43" s="16">
        <v>7.2020734008279566E-3</v>
      </c>
      <c r="K43" s="16">
        <v>7.5659581594047899E-3</v>
      </c>
      <c r="L43" s="16">
        <v>7.9482281954087169E-3</v>
      </c>
      <c r="M43" s="16">
        <v>8.3498124249817424E-3</v>
      </c>
      <c r="N43" s="16">
        <v>8.7716866977539474E-3</v>
      </c>
      <c r="O43" s="16">
        <v>9.2148761681579618E-3</v>
      </c>
      <c r="P43" s="16">
        <v>9.6804577865541429E-3</v>
      </c>
      <c r="Q43" s="16">
        <v>1.0169562916219789E-2</v>
      </c>
      <c r="R43" s="16">
        <v>1.0683380082561797E-2</v>
      </c>
      <c r="S43" s="16">
        <v>1.1223157861233228E-2</v>
      </c>
      <c r="T43" s="16">
        <v>1.179020791217204E-2</v>
      </c>
      <c r="U43" s="16">
        <v>1.2385908166934528E-2</v>
      </c>
      <c r="V43" s="16">
        <v>1.3011706177068899E-2</v>
      </c>
      <c r="W43" s="16">
        <v>1.3669122631665302E-2</v>
      </c>
      <c r="X43" s="16">
        <v>1.4359755052630192E-2</v>
      </c>
      <c r="Y43" s="16">
        <v>1.5085281676664333E-2</v>
      </c>
      <c r="Z43" s="16">
        <v>1.5847465533377795E-2</v>
      </c>
      <c r="AA43" s="16">
        <v>1.6648158729451704E-2</v>
      </c>
      <c r="AB43" s="16">
        <v>1.7489306949257256E-2</v>
      </c>
      <c r="AC43" s="16">
        <v>1.8372954182868478E-2</v>
      </c>
      <c r="AD43" s="16">
        <v>1.9301247692957907E-2</v>
      </c>
      <c r="AE43" s="16">
        <v>2.0276443232644603E-2</v>
      </c>
      <c r="AF43" s="16">
        <v>2.1300910526973974E-2</v>
      </c>
      <c r="AG43" s="16">
        <v>2.2377139031349334E-2</v>
      </c>
      <c r="AH43" s="16">
        <v>2.3507743980908255E-2</v>
      </c>
      <c r="AI43" s="16">
        <v>2.4695472745543647E-2</v>
      </c>
      <c r="AJ43" s="16">
        <v>2.5943211506012243E-2</v>
      </c>
      <c r="AK43" s="16">
        <v>2.7253992267353505E-2</v>
      </c>
      <c r="AL43" s="16">
        <v>2.8631000226661537E-2</v>
      </c>
      <c r="AM43" s="16">
        <v>3.0077581513113613E-2</v>
      </c>
      <c r="AN43" s="16">
        <v>3.1597251319063678E-2</v>
      </c>
    </row>
    <row r="44" spans="1:40" x14ac:dyDescent="0.2">
      <c r="A44" s="15" t="s">
        <v>54</v>
      </c>
      <c r="B44" s="16">
        <v>12.133124752115918</v>
      </c>
      <c r="C44" s="16">
        <v>12.746150880216575</v>
      </c>
      <c r="D44" s="16">
        <v>13.390150153439514</v>
      </c>
      <c r="E44" s="16">
        <v>14.066687489942048</v>
      </c>
      <c r="F44" s="16">
        <v>14.777406875371369</v>
      </c>
      <c r="G44" s="16">
        <v>15.524035357749508</v>
      </c>
      <c r="H44" s="16">
        <v>16.308387244199803</v>
      </c>
      <c r="I44" s="16">
        <v>17.132368509713</v>
      </c>
      <c r="J44" s="16">
        <v>17.997981428666247</v>
      </c>
      <c r="K44" s="16">
        <v>18.907329440349613</v>
      </c>
      <c r="L44" s="16">
        <v>19.862622260323281</v>
      </c>
      <c r="M44" s="16">
        <v>20.866181250026116</v>
      </c>
      <c r="N44" s="16">
        <v>21.920445057683686</v>
      </c>
      <c r="O44" s="16">
        <v>23.027975544223146</v>
      </c>
      <c r="P44" s="16">
        <v>24.191464008595023</v>
      </c>
      <c r="Q44" s="16">
        <v>25.413737727629279</v>
      </c>
      <c r="R44" s="16">
        <v>26.697766826317753</v>
      </c>
      <c r="S44" s="16">
        <v>28.046671495217453</v>
      </c>
      <c r="T44" s="16">
        <v>29.463729572513319</v>
      </c>
      <c r="U44" s="16">
        <v>30.952384509164542</v>
      </c>
      <c r="V44" s="16">
        <v>32.516253736490093</v>
      </c>
      <c r="W44" s="16">
        <v>34.159137456526246</v>
      </c>
      <c r="X44" s="16">
        <v>35.885027876517242</v>
      </c>
      <c r="Y44" s="16">
        <v>37.69811890997827</v>
      </c>
      <c r="Z44" s="16">
        <v>39.602816367904914</v>
      </c>
      <c r="AA44" s="16">
        <v>41.603748664893303</v>
      </c>
      <c r="AB44" s="16">
        <v>43.705778066187051</v>
      </c>
      <c r="AC44" s="16">
        <v>45.914012502981144</v>
      </c>
      <c r="AD44" s="16">
        <v>48.233817984694277</v>
      </c>
      <c r="AE44" s="16">
        <v>50.670831638370942</v>
      </c>
      <c r="AF44" s="16">
        <v>53.230975406899638</v>
      </c>
      <c r="AG44" s="16">
        <v>55.920470439333243</v>
      </c>
      <c r="AH44" s="16">
        <v>58.745852208280539</v>
      </c>
      <c r="AI44" s="16">
        <v>61.71398639110393</v>
      </c>
      <c r="AJ44" s="16">
        <v>64.83208555351446</v>
      </c>
      <c r="AK44" s="16">
        <v>68.107726676105756</v>
      </c>
      <c r="AL44" s="16">
        <v>71.548869566415988</v>
      </c>
      <c r="AM44" s="16">
        <v>75.163876201259171</v>
      </c>
      <c r="AN44" s="16">
        <v>78.961531046327792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BBF2A-68AC-B440-A606-1116A0D6A613}">
  <dimension ref="A1:AN44"/>
  <sheetViews>
    <sheetView tabSelected="1" topLeftCell="A9" workbookViewId="0">
      <selection activeCell="B50" sqref="B50"/>
    </sheetView>
  </sheetViews>
  <sheetFormatPr baseColWidth="10" defaultRowHeight="15" x14ac:dyDescent="0.2"/>
  <cols>
    <col min="2" max="2" width="11.1640625" bestFit="1" customWidth="1"/>
  </cols>
  <sheetData>
    <row r="1" spans="1:40" x14ac:dyDescent="0.2">
      <c r="A1" s="14" t="s">
        <v>64</v>
      </c>
    </row>
    <row r="2" spans="1:40" x14ac:dyDescent="0.2">
      <c r="A2" s="14" t="s">
        <v>16</v>
      </c>
    </row>
    <row r="3" spans="1:40" x14ac:dyDescent="0.2">
      <c r="A3" s="14" t="s">
        <v>57</v>
      </c>
    </row>
    <row r="4" spans="1:40" x14ac:dyDescent="0.2">
      <c r="A4" s="14" t="s">
        <v>18</v>
      </c>
    </row>
    <row r="5" spans="1:40" x14ac:dyDescent="0.2">
      <c r="A5" s="17" t="s">
        <v>97</v>
      </c>
      <c r="B5" s="20">
        <v>947817120000</v>
      </c>
    </row>
    <row r="6" spans="1:40" x14ac:dyDescent="0.2">
      <c r="A6" s="15" t="s">
        <v>19</v>
      </c>
      <c r="B6" s="15">
        <v>2022</v>
      </c>
      <c r="C6" s="15">
        <v>2023</v>
      </c>
      <c r="D6" s="15">
        <v>2024</v>
      </c>
      <c r="E6" s="15">
        <v>2025</v>
      </c>
      <c r="F6" s="15">
        <v>2026</v>
      </c>
      <c r="G6" s="15">
        <v>2027</v>
      </c>
      <c r="H6" s="15">
        <v>2028</v>
      </c>
      <c r="I6" s="15">
        <v>2029</v>
      </c>
      <c r="J6" s="15">
        <v>2030</v>
      </c>
      <c r="K6" s="15">
        <v>2031</v>
      </c>
      <c r="L6" s="15">
        <v>2032</v>
      </c>
      <c r="M6" s="15">
        <v>2033</v>
      </c>
      <c r="N6" s="15">
        <v>2034</v>
      </c>
      <c r="O6" s="15">
        <v>2035</v>
      </c>
      <c r="P6" s="15">
        <v>2036</v>
      </c>
      <c r="Q6" s="15">
        <v>2037</v>
      </c>
      <c r="R6" s="15">
        <v>2038</v>
      </c>
      <c r="S6" s="15">
        <v>2039</v>
      </c>
      <c r="T6" s="15">
        <v>2040</v>
      </c>
      <c r="U6" s="15">
        <v>2041</v>
      </c>
      <c r="V6" s="15">
        <v>2042</v>
      </c>
      <c r="W6" s="15">
        <v>2043</v>
      </c>
      <c r="X6" s="15">
        <v>2044</v>
      </c>
      <c r="Y6" s="15">
        <v>2045</v>
      </c>
      <c r="Z6" s="15">
        <v>2046</v>
      </c>
      <c r="AA6" s="15">
        <v>2047</v>
      </c>
      <c r="AB6" s="15">
        <v>2048</v>
      </c>
      <c r="AC6" s="15">
        <v>2049</v>
      </c>
      <c r="AD6" s="15">
        <v>2050</v>
      </c>
      <c r="AE6" s="15">
        <v>2051</v>
      </c>
      <c r="AF6" s="15">
        <v>2052</v>
      </c>
      <c r="AG6" s="15">
        <v>2053</v>
      </c>
      <c r="AH6" s="15">
        <v>2054</v>
      </c>
      <c r="AI6" s="15">
        <v>2055</v>
      </c>
      <c r="AJ6" s="15">
        <v>2056</v>
      </c>
      <c r="AK6" s="15">
        <v>2057</v>
      </c>
      <c r="AL6" s="15">
        <v>2058</v>
      </c>
      <c r="AM6" s="15">
        <v>2059</v>
      </c>
      <c r="AN6" s="15">
        <v>2060</v>
      </c>
    </row>
    <row r="7" spans="1:40" x14ac:dyDescent="0.2">
      <c r="A7" s="15" t="s">
        <v>58</v>
      </c>
      <c r="B7" s="16">
        <v>21.898433449494799</v>
      </c>
      <c r="C7" s="16">
        <v>23.004851799530528</v>
      </c>
      <c r="D7" s="16">
        <v>24.167171936701806</v>
      </c>
      <c r="E7" s="16">
        <v>25.388218298803661</v>
      </c>
      <c r="F7" s="16">
        <v>26.670958028350714</v>
      </c>
      <c r="G7" s="16">
        <v>28.018508182733129</v>
      </c>
      <c r="H7" s="16">
        <v>29.434143308665732</v>
      </c>
      <c r="I7" s="16">
        <v>30.921303399336061</v>
      </c>
      <c r="J7" s="16">
        <v>32.48360225358752</v>
      </c>
      <c r="K7" s="16">
        <v>34.124836257450028</v>
      </c>
      <c r="L7" s="16">
        <v>35.848993609357699</v>
      </c>
      <c r="M7" s="16">
        <v>37.660264011470488</v>
      </c>
      <c r="N7" s="16">
        <v>39.563048850650041</v>
      </c>
      <c r="O7" s="16">
        <v>41.561971893829124</v>
      </c>
      <c r="P7" s="16">
        <v>43.661890523764839</v>
      </c>
      <c r="Q7" s="16">
        <v>45.867907542478058</v>
      </c>
      <c r="R7" s="16">
        <v>48.185383571061763</v>
      </c>
      <c r="S7" s="16">
        <v>50.619950075989664</v>
      </c>
      <c r="T7" s="16">
        <v>53.177523053579023</v>
      </c>
      <c r="U7" s="16">
        <v>55.864317405861108</v>
      </c>
      <c r="V7" s="16">
        <v>58.686862042792264</v>
      </c>
      <c r="W7" s="16">
        <v>61.652015747504329</v>
      </c>
      <c r="X7" s="16">
        <v>64.766983843146974</v>
      </c>
      <c r="Y7" s="16">
        <v>68.039335701821969</v>
      </c>
      <c r="Z7" s="16">
        <v>71.477023138156525</v>
      </c>
      <c r="AA7" s="16">
        <v>75.088399732211883</v>
      </c>
      <c r="AB7" s="16">
        <v>78.882241128681898</v>
      </c>
      <c r="AC7" s="16">
        <v>82.867766361708533</v>
      </c>
      <c r="AD7" s="16">
        <v>87.054660257133861</v>
      </c>
      <c r="AE7" s="16">
        <v>91.453096966625523</v>
      </c>
      <c r="AF7" s="16">
        <v>96.073764690864294</v>
      </c>
      <c r="AG7" s="16">
        <v>100.9278916518702</v>
      </c>
      <c r="AH7" s="16">
        <v>106.02727337758093</v>
      </c>
      <c r="AI7" s="16">
        <v>111.38430136498323</v>
      </c>
      <c r="AJ7" s="16">
        <v>117.01199319144902</v>
      </c>
      <c r="AK7" s="16">
        <v>122.92402414744693</v>
      </c>
      <c r="AL7" s="16">
        <v>129.13476046749673</v>
      </c>
      <c r="AM7" s="16">
        <v>135.65929424011699</v>
      </c>
      <c r="AN7" s="16">
        <v>142.51348008159891</v>
      </c>
    </row>
    <row r="8" spans="1:40" x14ac:dyDescent="0.2">
      <c r="A8" s="15" t="s">
        <v>59</v>
      </c>
      <c r="B8" s="16">
        <v>9.2898855753007989</v>
      </c>
      <c r="C8" s="16">
        <v>9.759257043992875</v>
      </c>
      <c r="D8" s="16">
        <v>10.252343506140612</v>
      </c>
      <c r="E8" s="16">
        <v>10.770343161788364</v>
      </c>
      <c r="F8" s="16">
        <v>11.314514750037722</v>
      </c>
      <c r="G8" s="16">
        <v>11.886180607783377</v>
      </c>
      <c r="H8" s="16">
        <v>12.486729882991636</v>
      </c>
      <c r="I8" s="16">
        <v>13.117621910329788</v>
      </c>
      <c r="J8" s="16">
        <v>13.780389757349202</v>
      </c>
      <c r="K8" s="16">
        <v>14.47664394983927</v>
      </c>
      <c r="L8" s="16">
        <v>15.208076385404899</v>
      </c>
      <c r="M8" s="16">
        <v>15.976464444777481</v>
      </c>
      <c r="N8" s="16">
        <v>16.783675310849869</v>
      </c>
      <c r="O8" s="16">
        <v>17.631670505930551</v>
      </c>
      <c r="P8" s="16">
        <v>18.522510658242695</v>
      </c>
      <c r="Q8" s="16">
        <v>19.458360509250397</v>
      </c>
      <c r="R8" s="16">
        <v>20.441494173980285</v>
      </c>
      <c r="S8" s="16">
        <v>21.474300667120641</v>
      </c>
      <c r="T8" s="16">
        <v>22.559289708326901</v>
      </c>
      <c r="U8" s="16">
        <v>23.699097820840116</v>
      </c>
      <c r="V8" s="16">
        <v>24.896494738238069</v>
      </c>
      <c r="W8" s="16">
        <v>26.154390134887546</v>
      </c>
      <c r="X8" s="16">
        <v>27.475840696452732</v>
      </c>
      <c r="Y8" s="16">
        <v>28.864057547641011</v>
      </c>
      <c r="Z8" s="16">
        <v>30.322414055235566</v>
      </c>
      <c r="AA8" s="16">
        <v>31.854454025376345</v>
      </c>
      <c r="AB8" s="16">
        <v>33.463900315008495</v>
      </c>
      <c r="AC8" s="16">
        <v>35.154663878424287</v>
      </c>
      <c r="AD8" s="16">
        <v>36.930853270881677</v>
      </c>
      <c r="AE8" s="16">
        <v>38.796784632392963</v>
      </c>
      <c r="AF8" s="16">
        <v>40.756992175944617</v>
      </c>
      <c r="AG8" s="16">
        <v>42.816239205634218</v>
      </c>
      <c r="AH8" s="16">
        <v>44.979529691498882</v>
      </c>
      <c r="AI8" s="16">
        <v>47.252120429161877</v>
      </c>
      <c r="AJ8" s="16">
        <v>49.639533813845283</v>
      </c>
      <c r="AK8" s="16">
        <v>52.1475712597898</v>
      </c>
      <c r="AL8" s="16">
        <v>54.782327297690692</v>
      </c>
      <c r="AM8" s="16">
        <v>57.550204384406506</v>
      </c>
      <c r="AN8" s="16">
        <v>60.457928460928656</v>
      </c>
    </row>
    <row r="9" spans="1:40" x14ac:dyDescent="0.2">
      <c r="A9" s="15" t="s">
        <v>60</v>
      </c>
      <c r="B9" s="16">
        <v>1.1607421840792327</v>
      </c>
      <c r="C9" s="16">
        <v>1.2193886829298357</v>
      </c>
      <c r="D9" s="16">
        <v>1.2809982961348656</v>
      </c>
      <c r="E9" s="16">
        <v>1.3457207350470795</v>
      </c>
      <c r="F9" s="16">
        <v>1.4137132751853332</v>
      </c>
      <c r="G9" s="16">
        <v>1.485141138414072</v>
      </c>
      <c r="H9" s="16">
        <v>1.5601778944324436</v>
      </c>
      <c r="I9" s="16">
        <v>1.6390058825486429</v>
      </c>
      <c r="J9" s="16">
        <v>1.7218166547644131</v>
      </c>
      <c r="K9" s="16">
        <v>1.8088114412463849</v>
      </c>
      <c r="L9" s="16">
        <v>1.9002016393153589</v>
      </c>
      <c r="M9" s="16">
        <v>1.9962093271417674</v>
      </c>
      <c r="N9" s="16">
        <v>2.0970678033956052</v>
      </c>
      <c r="O9" s="16">
        <v>2.2030221541621677</v>
      </c>
      <c r="P9" s="16">
        <v>2.3143298485012109</v>
      </c>
      <c r="Q9" s="16">
        <v>2.4312613640967342</v>
      </c>
      <c r="R9" s="16">
        <v>2.5541008445177225</v>
      </c>
      <c r="S9" s="16">
        <v>2.6831467896869801</v>
      </c>
      <c r="T9" s="16">
        <v>2.8187127812359152</v>
      </c>
      <c r="U9" s="16">
        <v>2.9611282445078588</v>
      </c>
      <c r="V9" s="16">
        <v>3.1107392490616195</v>
      </c>
      <c r="W9" s="16">
        <v>3.2679093496204574</v>
      </c>
      <c r="X9" s="16">
        <v>3.4330204695100304</v>
      </c>
      <c r="Y9" s="16">
        <v>3.6064738287320246</v>
      </c>
      <c r="Z9" s="16">
        <v>3.7886909189287095</v>
      </c>
      <c r="AA9" s="16">
        <v>3.9801145276075824</v>
      </c>
      <c r="AB9" s="16">
        <v>4.1812098141149558</v>
      </c>
      <c r="AC9" s="16">
        <v>4.3924654399731136</v>
      </c>
      <c r="AD9" s="16">
        <v>4.6143947563277559</v>
      </c>
      <c r="AE9" s="16">
        <v>4.8475370513912139</v>
      </c>
      <c r="AF9" s="16">
        <v>5.0924588609127559</v>
      </c>
      <c r="AG9" s="16">
        <v>5.3497553448603723</v>
      </c>
      <c r="AH9" s="16">
        <v>5.6200517336594427</v>
      </c>
      <c r="AI9" s="16">
        <v>5.9040048475025868</v>
      </c>
      <c r="AJ9" s="16">
        <v>6.202304692422655</v>
      </c>
      <c r="AK9" s="16">
        <v>6.5156761370073086</v>
      </c>
      <c r="AL9" s="16">
        <v>6.8448806738296026</v>
      </c>
      <c r="AM9" s="16">
        <v>7.1907182698748437</v>
      </c>
      <c r="AN9" s="16">
        <v>7.5540293104602707</v>
      </c>
    </row>
    <row r="10" spans="1:40" x14ac:dyDescent="0.2">
      <c r="A10" s="15" t="s">
        <v>61</v>
      </c>
      <c r="B10" s="16">
        <v>357.84097777243255</v>
      </c>
      <c r="C10" s="16">
        <v>375.92089317438479</v>
      </c>
      <c r="D10" s="16">
        <v>394.91429630202055</v>
      </c>
      <c r="E10" s="16">
        <v>414.86734112268005</v>
      </c>
      <c r="F10" s="16">
        <v>435.8285135329034</v>
      </c>
      <c r="G10" s="16">
        <v>457.8487491791534</v>
      </c>
      <c r="H10" s="16">
        <v>480.98155723143026</v>
      </c>
      <c r="I10" s="16">
        <v>505.28315041054822</v>
      </c>
      <c r="J10" s="16">
        <v>530.81258158504113</v>
      </c>
      <c r="K10" s="16">
        <v>557.63188726962539</v>
      </c>
      <c r="L10" s="16">
        <v>585.80623837392329</v>
      </c>
      <c r="M10" s="16">
        <v>615.40409856776569</v>
      </c>
      <c r="N10" s="16">
        <v>646.49739064790208</v>
      </c>
      <c r="O10" s="16">
        <v>679.16167131038731</v>
      </c>
      <c r="P10" s="16">
        <v>713.4763147533447</v>
      </c>
      <c r="Q10" s="16">
        <v>749.52470555625723</v>
      </c>
      <c r="R10" s="16">
        <v>787.39444130448726</v>
      </c>
      <c r="S10" s="16">
        <v>827.17754545139644</v>
      </c>
      <c r="T10" s="16">
        <v>868.97069093532809</v>
      </c>
      <c r="U10" s="16">
        <v>912.87543509483555</v>
      </c>
      <c r="V10" s="16">
        <v>958.99846645300238</v>
      </c>
      <c r="W10" s="16">
        <v>1007.4518639705401</v>
      </c>
      <c r="X10" s="16">
        <v>1058.3533693976515</v>
      </c>
      <c r="Y10" s="16">
        <v>1111.826673386468</v>
      </c>
      <c r="Z10" s="16">
        <v>1168.0017160593188</v>
      </c>
      <c r="AA10" s="16">
        <v>1227.0150027632162</v>
      </c>
      <c r="AB10" s="16">
        <v>1289.0099357778276</v>
      </c>
      <c r="AC10" s="16">
        <v>1354.1371627830022</v>
      </c>
      <c r="AD10" s="16">
        <v>1422.5549429326136</v>
      </c>
      <c r="AE10" s="16">
        <v>1494.4295314242836</v>
      </c>
      <c r="AF10" s="16">
        <v>1569.9355834994958</v>
      </c>
      <c r="AG10" s="16">
        <v>1649.2565788558074</v>
      </c>
      <c r="AH10" s="16">
        <v>1732.5852675024969</v>
      </c>
      <c r="AI10" s="16">
        <v>1820.1241381430611</v>
      </c>
      <c r="AJ10" s="16">
        <v>1912.0859102227389</v>
      </c>
      <c r="AK10" s="16">
        <v>2008.6940508367429</v>
      </c>
      <c r="AL10" s="16">
        <v>2110.1833177552689</v>
      </c>
      <c r="AM10" s="16">
        <v>2216.8003298848539</v>
      </c>
      <c r="AN10" s="16">
        <v>2328.8041665522865</v>
      </c>
    </row>
    <row r="11" spans="1:40" x14ac:dyDescent="0.2">
      <c r="A11" s="15" t="s">
        <v>62</v>
      </c>
      <c r="B11" s="16">
        <v>151.80545883917313</v>
      </c>
      <c r="C11" s="16">
        <v>159.47542964702239</v>
      </c>
      <c r="D11" s="16">
        <v>167.5329257299382</v>
      </c>
      <c r="E11" s="16">
        <v>175.99752680244328</v>
      </c>
      <c r="F11" s="16">
        <v>184.88980184413671</v>
      </c>
      <c r="G11" s="16">
        <v>194.23135908231171</v>
      </c>
      <c r="H11" s="16">
        <v>204.04489849994559</v>
      </c>
      <c r="I11" s="16">
        <v>214.3542669966553</v>
      </c>
      <c r="J11" s="16">
        <v>225.18451633666135</v>
      </c>
      <c r="K11" s="16">
        <v>236.56196402457118</v>
      </c>
      <c r="L11" s="16">
        <v>248.51425725691266</v>
      </c>
      <c r="M11" s="16">
        <v>261.07044010481809</v>
      </c>
      <c r="N11" s="16">
        <v>274.26102409111411</v>
      </c>
      <c r="O11" s="16">
        <v>288.11806233331754</v>
      </c>
      <c r="P11" s="16">
        <v>302.67522743270843</v>
      </c>
      <c r="Q11" s="16">
        <v>317.96789329874599</v>
      </c>
      <c r="R11" s="16">
        <v>334.03322110766521</v>
      </c>
      <c r="S11" s="16">
        <v>350.91024960412994</v>
      </c>
      <c r="T11" s="16">
        <v>368.63998996537862</v>
      </c>
      <c r="U11" s="16">
        <v>387.26552545837933</v>
      </c>
      <c r="V11" s="16">
        <v>406.832116132164</v>
      </c>
      <c r="W11" s="16">
        <v>427.3873087997415</v>
      </c>
      <c r="X11" s="16">
        <v>448.98105257684847</v>
      </c>
      <c r="Y11" s="16">
        <v>471.66582025829371</v>
      </c>
      <c r="Z11" s="16">
        <v>495.49673582684386</v>
      </c>
      <c r="AA11" s="16">
        <v>520.53170840449525</v>
      </c>
      <c r="AB11" s="16">
        <v>546.83157297163234</v>
      </c>
      <c r="AC11" s="16">
        <v>574.46023819602397</v>
      </c>
      <c r="AD11" s="16">
        <v>603.4848417308782</v>
      </c>
      <c r="AE11" s="16">
        <v>633.97591335933066</v>
      </c>
      <c r="AF11" s="16">
        <v>666.00754638181093</v>
      </c>
      <c r="AG11" s="16">
        <v>699.65757766275181</v>
      </c>
      <c r="AH11" s="16">
        <v>735.00777677416227</v>
      </c>
      <c r="AI11" s="16">
        <v>772.14404469567705</v>
      </c>
      <c r="AJ11" s="16">
        <v>811.15662255392613</v>
      </c>
      <c r="AK11" s="16">
        <v>852.14031090846299</v>
      </c>
      <c r="AL11" s="16">
        <v>895.19470011711314</v>
      </c>
      <c r="AM11" s="16">
        <v>940.42441234053035</v>
      </c>
      <c r="AN11" s="16">
        <v>987.93935577403568</v>
      </c>
    </row>
    <row r="12" spans="1:40" x14ac:dyDescent="0.2">
      <c r="A12" s="15" t="s">
        <v>63</v>
      </c>
      <c r="B12" s="16">
        <v>18.967617891507395</v>
      </c>
      <c r="C12" s="16">
        <v>19.925956785475805</v>
      </c>
      <c r="D12" s="16">
        <v>20.932715752061966</v>
      </c>
      <c r="E12" s="16">
        <v>21.990341215434899</v>
      </c>
      <c r="F12" s="16">
        <v>23.101403205344745</v>
      </c>
      <c r="G12" s="16">
        <v>24.268601602294787</v>
      </c>
      <c r="H12" s="16">
        <v>25.494772698250738</v>
      </c>
      <c r="I12" s="16">
        <v>26.782896088829855</v>
      </c>
      <c r="J12" s="16">
        <v>28.136101913717987</v>
      </c>
      <c r="K12" s="16">
        <v>29.557678462908587</v>
      </c>
      <c r="L12" s="16">
        <v>31.051080167247047</v>
      </c>
      <c r="M12" s="16">
        <v>32.619935992697201</v>
      </c>
      <c r="N12" s="16">
        <v>34.268058258728232</v>
      </c>
      <c r="O12" s="16">
        <v>35.99945190225047</v>
      </c>
      <c r="P12" s="16">
        <v>37.818324209611674</v>
      </c>
      <c r="Q12" s="16">
        <v>39.729095040302298</v>
      </c>
      <c r="R12" s="16">
        <v>41.736407567213575</v>
      </c>
      <c r="S12" s="16">
        <v>43.845139559547043</v>
      </c>
      <c r="T12" s="16">
        <v>46.060415235793151</v>
      </c>
      <c r="U12" s="16">
        <v>48.387617715581605</v>
      </c>
      <c r="V12" s="16">
        <v>50.832402100661376</v>
      </c>
      <c r="W12" s="16">
        <v>53.400709216797281</v>
      </c>
      <c r="X12" s="16">
        <v>56.098780049975957</v>
      </c>
      <c r="Y12" s="16">
        <v>58.933170912000982</v>
      </c>
      <c r="Z12" s="16">
        <v>61.910769372329817</v>
      </c>
      <c r="AA12" s="16">
        <v>65.038810994866793</v>
      </c>
      <c r="AB12" s="16">
        <v>68.324896920382443</v>
      </c>
      <c r="AC12" s="16">
        <v>71.777012337284745</v>
      </c>
      <c r="AD12" s="16">
        <v>75.403545885626073</v>
      </c>
      <c r="AE12" s="16">
        <v>79.213310041497323</v>
      </c>
      <c r="AF12" s="16">
        <v>83.215562531343963</v>
      </c>
      <c r="AG12" s="16">
        <v>87.42002882824012</v>
      </c>
      <c r="AH12" s="16">
        <v>91.836925784786942</v>
      </c>
      <c r="AI12" s="16">
        <v>96.47698646006333</v>
      </c>
      <c r="AJ12" s="16">
        <v>101.35148620095805</v>
      </c>
      <c r="AK12" s="16">
        <v>106.47227004126141</v>
      </c>
      <c r="AL12" s="16">
        <v>111.85178148509615</v>
      </c>
      <c r="AM12" s="16">
        <v>117.50309274463064</v>
      </c>
      <c r="AN12" s="16">
        <v>123.43993650555309</v>
      </c>
    </row>
    <row r="15" spans="1:40" x14ac:dyDescent="0.2">
      <c r="A15" s="14" t="s">
        <v>45</v>
      </c>
    </row>
    <row r="16" spans="1:40" x14ac:dyDescent="0.2">
      <c r="A16" s="14" t="s">
        <v>16</v>
      </c>
    </row>
    <row r="17" spans="1:40" x14ac:dyDescent="0.2">
      <c r="A17" s="14" t="s">
        <v>66</v>
      </c>
    </row>
    <row r="18" spans="1:40" x14ac:dyDescent="0.2">
      <c r="A18" s="14" t="s">
        <v>18</v>
      </c>
    </row>
    <row r="19" spans="1:40" x14ac:dyDescent="0.2">
      <c r="A19" s="17" t="s">
        <v>98</v>
      </c>
      <c r="B19" s="21">
        <v>947817120</v>
      </c>
    </row>
    <row r="20" spans="1:40" x14ac:dyDescent="0.2">
      <c r="A20" s="15" t="s">
        <v>19</v>
      </c>
      <c r="B20" s="15">
        <v>2022</v>
      </c>
      <c r="C20" s="15">
        <v>2023</v>
      </c>
      <c r="D20" s="15">
        <v>2024</v>
      </c>
      <c r="E20" s="15">
        <v>2025</v>
      </c>
      <c r="F20" s="15">
        <v>2026</v>
      </c>
      <c r="G20" s="15">
        <v>2027</v>
      </c>
      <c r="H20" s="15">
        <v>2028</v>
      </c>
      <c r="I20" s="15">
        <v>2029</v>
      </c>
      <c r="J20" s="15">
        <v>2030</v>
      </c>
      <c r="K20" s="15">
        <v>2031</v>
      </c>
      <c r="L20" s="15">
        <v>2032</v>
      </c>
      <c r="M20" s="15">
        <v>2033</v>
      </c>
      <c r="N20" s="15">
        <v>2034</v>
      </c>
      <c r="O20" s="15">
        <v>2035</v>
      </c>
      <c r="P20" s="15">
        <v>2036</v>
      </c>
      <c r="Q20" s="15">
        <v>2037</v>
      </c>
      <c r="R20" s="15">
        <v>2038</v>
      </c>
      <c r="S20" s="15">
        <v>2039</v>
      </c>
      <c r="T20" s="15">
        <v>2040</v>
      </c>
      <c r="U20" s="15">
        <v>2041</v>
      </c>
      <c r="V20" s="15">
        <v>2042</v>
      </c>
      <c r="W20" s="15">
        <v>2043</v>
      </c>
      <c r="X20" s="15">
        <v>2044</v>
      </c>
      <c r="Y20" s="15">
        <v>2045</v>
      </c>
      <c r="Z20" s="15">
        <v>2046</v>
      </c>
      <c r="AA20" s="15">
        <v>2047</v>
      </c>
      <c r="AB20" s="15">
        <v>2048</v>
      </c>
      <c r="AC20" s="15">
        <v>2049</v>
      </c>
      <c r="AD20" s="15">
        <v>2050</v>
      </c>
      <c r="AE20" s="15">
        <v>2051</v>
      </c>
      <c r="AF20" s="15">
        <v>2052</v>
      </c>
      <c r="AG20" s="15">
        <v>2053</v>
      </c>
      <c r="AH20" s="15">
        <v>2054</v>
      </c>
      <c r="AI20" s="15">
        <v>2055</v>
      </c>
      <c r="AJ20" s="15">
        <v>2056</v>
      </c>
      <c r="AK20" s="15">
        <v>2057</v>
      </c>
      <c r="AL20" s="15">
        <v>2058</v>
      </c>
      <c r="AM20" s="15">
        <v>2059</v>
      </c>
      <c r="AN20" s="15">
        <v>2060</v>
      </c>
    </row>
    <row r="21" spans="1:40" x14ac:dyDescent="0.2">
      <c r="A21" s="15" t="s">
        <v>43</v>
      </c>
      <c r="B21" s="16">
        <v>8.654685853544807</v>
      </c>
      <c r="C21" s="16">
        <v>9.0919638562951572</v>
      </c>
      <c r="D21" s="16">
        <v>9.5513353301344708</v>
      </c>
      <c r="E21" s="16">
        <v>10.033916547689515</v>
      </c>
      <c r="F21" s="16">
        <v>10.540880181261528</v>
      </c>
      <c r="G21" s="16">
        <v>11.073458152419766</v>
      </c>
      <c r="H21" s="16">
        <v>11.632944625570776</v>
      </c>
      <c r="I21" s="16">
        <v>12.220699152777739</v>
      </c>
      <c r="J21" s="16">
        <v>12.838149977471835</v>
      </c>
      <c r="K21" s="16">
        <v>13.486797505083597</v>
      </c>
      <c r="L21" s="16">
        <v>14.16821794902795</v>
      </c>
      <c r="M21" s="16">
        <v>14.884067160902589</v>
      </c>
      <c r="N21" s="16">
        <v>15.636084654207192</v>
      </c>
      <c r="O21" s="16">
        <v>16.426097831361005</v>
      </c>
      <c r="P21" s="16">
        <v>17.256026424290521</v>
      </c>
      <c r="Q21" s="16">
        <v>18.127887159377796</v>
      </c>
      <c r="R21" s="16">
        <v>19.043798658105366</v>
      </c>
      <c r="S21" s="16">
        <v>20.005986585306136</v>
      </c>
      <c r="T21" s="16">
        <v>21.016789057528733</v>
      </c>
      <c r="U21" s="16">
        <v>22.078662324660371</v>
      </c>
      <c r="V21" s="16">
        <v>23.19418673861383</v>
      </c>
      <c r="W21" s="16">
        <v>24.366073023582292</v>
      </c>
      <c r="X21" s="16">
        <v>25.597168863098787</v>
      </c>
      <c r="Y21" s="16">
        <v>26.890465819906851</v>
      </c>
      <c r="Z21" s="16">
        <v>28.249106605457644</v>
      </c>
      <c r="AA21" s="16">
        <v>29.676392716698388</v>
      </c>
      <c r="AB21" s="16">
        <v>31.175792458709584</v>
      </c>
      <c r="AC21" s="16">
        <v>32.750949372685881</v>
      </c>
      <c r="AD21" s="16">
        <v>34.405691089740827</v>
      </c>
      <c r="AE21" s="16">
        <v>36.14403863204997</v>
      </c>
      <c r="AF21" s="16">
        <v>37.970216183934312</v>
      </c>
      <c r="AG21" s="16">
        <v>39.88866135662758</v>
      </c>
      <c r="AH21" s="16">
        <v>41.904035971671192</v>
      </c>
      <c r="AI21" s="16">
        <v>44.021237389139891</v>
      </c>
      <c r="AJ21" s="16">
        <v>46.245410408226185</v>
      </c>
      <c r="AK21" s="16">
        <v>48.5819597691018</v>
      </c>
      <c r="AL21" s="16">
        <v>51.036563286435658</v>
      </c>
      <c r="AM21" s="16">
        <v>53.615185646482828</v>
      </c>
      <c r="AN21" s="16">
        <v>56.324092901271371</v>
      </c>
    </row>
    <row r="22" spans="1:40" x14ac:dyDescent="0.2">
      <c r="A22" s="15" t="s">
        <v>44</v>
      </c>
      <c r="B22" s="16">
        <v>141.42569856827646</v>
      </c>
      <c r="C22" s="16">
        <v>148.57123198843863</v>
      </c>
      <c r="D22" s="16">
        <v>156.07779348465448</v>
      </c>
      <c r="E22" s="16">
        <v>163.96362400046664</v>
      </c>
      <c r="F22" s="16">
        <v>172.24788610309022</v>
      </c>
      <c r="G22" s="16">
        <v>180.95071054844885</v>
      </c>
      <c r="H22" s="16">
        <v>190.09324519890924</v>
      </c>
      <c r="I22" s="16">
        <v>199.69770641258421</v>
      </c>
      <c r="J22" s="16">
        <v>209.78743302907992</v>
      </c>
      <c r="K22" s="16">
        <v>220.38694308287424</v>
      </c>
      <c r="L22" s="16">
        <v>231.52199338213651</v>
      </c>
      <c r="M22" s="16">
        <v>243.21964209776894</v>
      </c>
      <c r="N22" s="16">
        <v>255.50831451475869</v>
      </c>
      <c r="O22" s="16">
        <v>268.41787210561682</v>
      </c>
      <c r="P22" s="16">
        <v>281.97968509375318</v>
      </c>
      <c r="Q22" s="16">
        <v>296.22670868311491</v>
      </c>
      <c r="R22" s="16">
        <v>311.19356313932946</v>
      </c>
      <c r="S22" s="16">
        <v>326.91661791694401</v>
      </c>
      <c r="T22" s="16">
        <v>343.43408003719765</v>
      </c>
      <c r="U22" s="16">
        <v>360.78608693107697</v>
      </c>
      <c r="V22" s="16">
        <v>379.01480397326964</v>
      </c>
      <c r="W22" s="16">
        <v>398.16452694401909</v>
      </c>
      <c r="X22" s="16">
        <v>418.28178966786561</v>
      </c>
      <c r="Y22" s="16">
        <v>439.41547709083449</v>
      </c>
      <c r="Z22" s="16">
        <v>461.61694407084894</v>
      </c>
      <c r="AA22" s="16">
        <v>484.94014017002849</v>
      </c>
      <c r="AB22" s="16">
        <v>509.4417407521193</v>
      </c>
      <c r="AC22" s="16">
        <v>535.18128470362001</v>
      </c>
      <c r="AD22" s="16">
        <v>562.22131911327051</v>
      </c>
      <c r="AE22" s="16">
        <v>590.62755126146817</v>
      </c>
      <c r="AF22" s="16">
        <v>620.46900828895389</v>
      </c>
      <c r="AG22" s="16">
        <v>651.81820493275336</v>
      </c>
      <c r="AH22" s="16">
        <v>684.75131973698069</v>
      </c>
      <c r="AI22" s="16">
        <v>719.34838016669187</v>
      </c>
      <c r="AJ22" s="16">
        <v>755.69345707461389</v>
      </c>
      <c r="AK22" s="16">
        <v>793.8748689933085</v>
      </c>
      <c r="AL22" s="16">
        <v>833.98539674919539</v>
      </c>
      <c r="AM22" s="16">
        <v>876.12250891994847</v>
      </c>
      <c r="AN22" s="16">
        <v>920.38859868312909</v>
      </c>
    </row>
    <row r="25" spans="1:40" x14ac:dyDescent="0.2">
      <c r="A25" s="14" t="s">
        <v>50</v>
      </c>
    </row>
    <row r="26" spans="1:40" x14ac:dyDescent="0.2">
      <c r="A26" s="14" t="s">
        <v>16</v>
      </c>
    </row>
    <row r="27" spans="1:40" x14ac:dyDescent="0.2">
      <c r="A27" s="14" t="s">
        <v>68</v>
      </c>
    </row>
    <row r="28" spans="1:40" x14ac:dyDescent="0.2">
      <c r="A28" s="14" t="s">
        <v>18</v>
      </c>
    </row>
    <row r="29" spans="1:40" x14ac:dyDescent="0.2">
      <c r="A29" s="17" t="s">
        <v>97</v>
      </c>
      <c r="B29" s="20">
        <v>947817120000</v>
      </c>
    </row>
    <row r="30" spans="1:40" x14ac:dyDescent="0.2">
      <c r="A30" s="15" t="s">
        <v>19</v>
      </c>
      <c r="B30" s="15">
        <v>2022</v>
      </c>
      <c r="C30" s="15">
        <v>2023</v>
      </c>
      <c r="D30" s="15">
        <v>2024</v>
      </c>
      <c r="E30" s="15">
        <v>2025</v>
      </c>
      <c r="F30" s="15">
        <v>2026</v>
      </c>
      <c r="G30" s="15">
        <v>2027</v>
      </c>
      <c r="H30" s="15">
        <v>2028</v>
      </c>
      <c r="I30" s="15">
        <v>2029</v>
      </c>
      <c r="J30" s="15">
        <v>2030</v>
      </c>
      <c r="K30" s="15">
        <v>2031</v>
      </c>
      <c r="L30" s="15">
        <v>2032</v>
      </c>
      <c r="M30" s="15">
        <v>2033</v>
      </c>
      <c r="N30" s="15">
        <v>2034</v>
      </c>
      <c r="O30" s="15">
        <v>2035</v>
      </c>
      <c r="P30" s="15">
        <v>2036</v>
      </c>
      <c r="Q30" s="15">
        <v>2037</v>
      </c>
      <c r="R30" s="15">
        <v>2038</v>
      </c>
      <c r="S30" s="15">
        <v>2039</v>
      </c>
      <c r="T30" s="15">
        <v>2040</v>
      </c>
      <c r="U30" s="15">
        <v>2041</v>
      </c>
      <c r="V30" s="15">
        <v>2042</v>
      </c>
      <c r="W30" s="15">
        <v>2043</v>
      </c>
      <c r="X30" s="15">
        <v>2044</v>
      </c>
      <c r="Y30" s="15">
        <v>2045</v>
      </c>
      <c r="Z30" s="15">
        <v>2046</v>
      </c>
      <c r="AA30" s="15">
        <v>2047</v>
      </c>
      <c r="AB30" s="15">
        <v>2048</v>
      </c>
      <c r="AC30" s="15">
        <v>2049</v>
      </c>
      <c r="AD30" s="15">
        <v>2050</v>
      </c>
      <c r="AE30" s="15">
        <v>2051</v>
      </c>
      <c r="AF30" s="15">
        <v>2052</v>
      </c>
      <c r="AG30" s="15">
        <v>2053</v>
      </c>
      <c r="AH30" s="15">
        <v>2054</v>
      </c>
      <c r="AI30" s="15">
        <v>2055</v>
      </c>
      <c r="AJ30" s="15">
        <v>2056</v>
      </c>
      <c r="AK30" s="15">
        <v>2057</v>
      </c>
      <c r="AL30" s="15">
        <v>2058</v>
      </c>
      <c r="AM30" s="15">
        <v>2059</v>
      </c>
      <c r="AN30" s="15">
        <v>2060</v>
      </c>
    </row>
    <row r="31" spans="1:40" x14ac:dyDescent="0.2">
      <c r="A31" s="15" t="s">
        <v>69</v>
      </c>
      <c r="B31" s="16">
        <v>1.7926351952651212</v>
      </c>
      <c r="C31" s="16">
        <v>1.8832080885058911</v>
      </c>
      <c r="D31" s="16">
        <v>1.9783571771776511</v>
      </c>
      <c r="E31" s="16">
        <v>2.0783136735545522</v>
      </c>
      <c r="F31" s="16">
        <v>2.1833204719108958</v>
      </c>
      <c r="G31" s="16">
        <v>2.2936327387541939</v>
      </c>
      <c r="H31" s="16">
        <v>2.4095185328797499</v>
      </c>
      <c r="I31" s="16">
        <v>2.5312594567534989</v>
      </c>
      <c r="J31" s="16">
        <v>2.6591513408059693</v>
      </c>
      <c r="K31" s="16">
        <v>2.7935049623001911</v>
      </c>
      <c r="L31" s="16">
        <v>2.9346468005204085</v>
      </c>
      <c r="M31" s="16">
        <v>3.0829198301167025</v>
      </c>
      <c r="N31" s="16">
        <v>3.2386843545333486</v>
      </c>
      <c r="O31" s="16">
        <v>3.402318881546146</v>
      </c>
      <c r="P31" s="16">
        <v>3.5742210430362649</v>
      </c>
      <c r="Q31" s="16">
        <v>3.7548085612356719</v>
      </c>
      <c r="R31" s="16">
        <v>3.944520263792104</v>
      </c>
      <c r="S31" s="16">
        <v>4.1438171501201992</v>
      </c>
      <c r="T31" s="16">
        <v>4.3531835116300233</v>
      </c>
      <c r="U31" s="16">
        <v>4.5731281085551299</v>
      </c>
      <c r="V31" s="16">
        <v>4.8041854062398786</v>
      </c>
      <c r="W31" s="16">
        <v>5.0469168738901473</v>
      </c>
      <c r="X31" s="16">
        <v>5.3019123489434481</v>
      </c>
      <c r="Y31" s="16">
        <v>5.5697914703738149</v>
      </c>
      <c r="Z31" s="16">
        <v>5.8512051844144501</v>
      </c>
      <c r="AA31" s="16">
        <v>6.1468373263569891</v>
      </c>
      <c r="AB31" s="16">
        <v>6.4574062822711786</v>
      </c>
      <c r="AC31" s="16">
        <v>6.7836667346829289</v>
      </c>
      <c r="AD31" s="16">
        <v>7.1264114964527838</v>
      </c>
      <c r="AE31" s="16">
        <v>7.4864734373110595</v>
      </c>
      <c r="AF31" s="16">
        <v>7.8647275077312022</v>
      </c>
      <c r="AG31" s="16">
        <v>8.2620928650593193</v>
      </c>
      <c r="AH31" s="16">
        <v>8.6795351070664406</v>
      </c>
      <c r="AI31" s="16">
        <v>9.1180686183509732</v>
      </c>
      <c r="AJ31" s="16">
        <v>9.5787590352931566</v>
      </c>
      <c r="AK31" s="16">
        <v>10.062725835551342</v>
      </c>
      <c r="AL31" s="16">
        <v>10.571145058392574</v>
      </c>
      <c r="AM31" s="16">
        <v>11.10525216246786</v>
      </c>
      <c r="AN31" s="16">
        <v>11.666345027976547</v>
      </c>
    </row>
    <row r="32" spans="1:40" x14ac:dyDescent="0.2">
      <c r="A32" s="15" t="s">
        <v>70</v>
      </c>
      <c r="B32" s="44">
        <v>7.7374373617096037E-4</v>
      </c>
      <c r="C32" s="44">
        <v>8.128371384409981E-4</v>
      </c>
      <c r="D32" s="44">
        <v>8.5390573486072963E-4</v>
      </c>
      <c r="E32" s="44">
        <v>8.9704932211456768E-4</v>
      </c>
      <c r="F32" s="44">
        <v>9.423727391144062E-4</v>
      </c>
      <c r="G32" s="44">
        <v>9.899861217581617E-4</v>
      </c>
      <c r="H32" s="44">
        <v>1.0400051705599931E-3</v>
      </c>
      <c r="I32" s="44">
        <v>1.0925514318025366E-3</v>
      </c>
      <c r="J32" s="44">
        <v>1.1477525928943596E-3</v>
      </c>
      <c r="K32" s="44">
        <v>1.2057427926503472E-3</v>
      </c>
      <c r="L32" s="44">
        <v>1.266662947249006E-3</v>
      </c>
      <c r="M32" s="44">
        <v>1.3306610926587623E-3</v>
      </c>
      <c r="N32" s="44">
        <v>1.3978927443653465E-3</v>
      </c>
      <c r="O32" s="44">
        <v>1.4685212752744057E-3</v>
      </c>
      <c r="P32" s="44">
        <v>1.5427183127076447E-3</v>
      </c>
      <c r="Q32" s="44">
        <v>1.6206641554571983E-3</v>
      </c>
      <c r="R32" s="44">
        <v>1.702548211911673E-3</v>
      </c>
      <c r="S32" s="44">
        <v>1.7885694603185099E-3</v>
      </c>
      <c r="T32" s="44">
        <v>1.8789369323011032E-3</v>
      </c>
      <c r="U32" s="44">
        <v>1.9738702208056159E-3</v>
      </c>
      <c r="V32" s="44">
        <v>2.0736000137118204E-3</v>
      </c>
      <c r="W32" s="44">
        <v>2.1783686544046099E-3</v>
      </c>
      <c r="X32" s="44">
        <v>2.2884307306684022E-3</v>
      </c>
      <c r="Y32" s="44">
        <v>2.4040536933354235E-3</v>
      </c>
      <c r="Z32" s="44">
        <v>2.5255185061911958E-3</v>
      </c>
      <c r="AA32" s="44">
        <v>2.6531203287165051E-3</v>
      </c>
      <c r="AB32" s="44">
        <v>2.7871692333249071E-3</v>
      </c>
      <c r="AC32" s="44">
        <v>2.9279909588386479E-3</v>
      </c>
      <c r="AD32" s="44">
        <v>3.0759277020339705E-3</v>
      </c>
      <c r="AE32" s="44">
        <v>3.2313389491792368E-3</v>
      </c>
      <c r="AF32" s="44">
        <v>3.3946023495865173E-3</v>
      </c>
      <c r="AG32" s="44">
        <v>3.5661146332993756E-3</v>
      </c>
      <c r="AH32" s="44">
        <v>3.7462925751468269E-3</v>
      </c>
      <c r="AI32" s="44">
        <v>3.9355740075061197E-3</v>
      </c>
      <c r="AJ32" s="44">
        <v>4.1344188842353663E-3</v>
      </c>
      <c r="AK32" s="44">
        <v>4.3433103983613582E-3</v>
      </c>
      <c r="AL32" s="44">
        <v>4.5627561562385658E-3</v>
      </c>
      <c r="AM32" s="44">
        <v>4.7932894110325206E-3</v>
      </c>
      <c r="AN32" s="44">
        <v>5.0354703585249365E-3</v>
      </c>
    </row>
    <row r="33" spans="1:40" x14ac:dyDescent="0.2">
      <c r="A33" s="15" t="s">
        <v>71</v>
      </c>
      <c r="B33" s="44">
        <v>5.2273730272046404E-2</v>
      </c>
      <c r="C33" s="44">
        <v>5.491486049404154E-2</v>
      </c>
      <c r="D33" s="44">
        <v>5.768943382050299E-2</v>
      </c>
      <c r="E33" s="44">
        <v>6.0604192464283897E-2</v>
      </c>
      <c r="F33" s="44">
        <v>6.3666219288541839E-2</v>
      </c>
      <c r="G33" s="44">
        <v>6.6882955018095394E-2</v>
      </c>
      <c r="H33" s="44">
        <v>7.0262216320384693E-2</v>
      </c>
      <c r="I33" s="44">
        <v>7.3812214799972117E-2</v>
      </c>
      <c r="J33" s="44">
        <v>7.7541576952740721E-2</v>
      </c>
      <c r="K33" s="44">
        <v>8.145936512827795E-2</v>
      </c>
      <c r="L33" s="44">
        <v>8.5575099551384218E-2</v>
      </c>
      <c r="M33" s="44">
        <v>8.989878145621788E-2</v>
      </c>
      <c r="N33" s="44">
        <v>9.4440917389293319E-2</v>
      </c>
      <c r="O33" s="44">
        <v>9.9212544740387348E-2</v>
      </c>
      <c r="P33" s="44">
        <v>0.1042252585633954</v>
      </c>
      <c r="Q33" s="44">
        <v>0.10949123975231094</v>
      </c>
      <c r="R33" s="44">
        <v>0.11502328464079643</v>
      </c>
      <c r="S33" s="44">
        <v>0.12083483609727265</v>
      </c>
      <c r="T33" s="44">
        <v>0.12694001619108738</v>
      </c>
      <c r="U33" s="44">
        <v>0.13335366050914207</v>
      </c>
      <c r="V33" s="44">
        <v>0.14009135420636651</v>
      </c>
      <c r="W33" s="44">
        <v>0.14716946987764315</v>
      </c>
      <c r="X33" s="44">
        <v>0.15460520734321107</v>
      </c>
      <c r="Y33" s="44">
        <v>0.16241663544422683</v>
      </c>
      <c r="Z33" s="44">
        <v>0.17062273595004629</v>
      </c>
      <c r="AA33" s="44">
        <v>0.17924344968392236</v>
      </c>
      <c r="AB33" s="44">
        <v>0.18829972497920264</v>
      </c>
      <c r="AC33" s="44">
        <v>0.1978135685837768</v>
      </c>
      <c r="AD33" s="44">
        <v>0.20780809913647214</v>
      </c>
      <c r="AE33" s="44">
        <v>0.21830760334534241</v>
      </c>
      <c r="AF33" s="44">
        <v>0.22933759500436585</v>
      </c>
      <c r="AG33" s="44">
        <v>0.24092487699196136</v>
      </c>
      <c r="AH33" s="44">
        <v>0.2530976064019802</v>
      </c>
      <c r="AI33" s="44">
        <v>0.26588536296544024</v>
      </c>
      <c r="AJ33" s="44">
        <v>0.27931922092926914</v>
      </c>
      <c r="AK33" s="44">
        <v>0.29343182456672046</v>
      </c>
      <c r="AL33" s="44">
        <v>0.30825746750295396</v>
      </c>
      <c r="AM33" s="44">
        <v>0.32383217604854075</v>
      </c>
      <c r="AN33" s="44">
        <v>0.34019379674339317</v>
      </c>
    </row>
    <row r="34" spans="1:40" x14ac:dyDescent="0.2">
      <c r="A34" s="15" t="s">
        <v>72</v>
      </c>
      <c r="B34" s="16">
        <v>85.420186770451565</v>
      </c>
      <c r="C34" s="16">
        <v>89.736041707028619</v>
      </c>
      <c r="D34" s="16">
        <v>94.269955214276223</v>
      </c>
      <c r="E34" s="16">
        <v>99.032944701477518</v>
      </c>
      <c r="F34" s="16">
        <v>104.03658423251967</v>
      </c>
      <c r="G34" s="16">
        <v>109.29303265086772</v>
      </c>
      <c r="H34" s="16">
        <v>114.81506312555284</v>
      </c>
      <c r="I34" s="16">
        <v>120.61609418997142</v>
      </c>
      <c r="J34" s="16">
        <v>126.71022234891969</v>
      </c>
      <c r="K34" s="16">
        <v>133.11225633309888</v>
      </c>
      <c r="L34" s="16">
        <v>139.83775308432871</v>
      </c>
      <c r="M34" s="16">
        <v>146.90305555891442</v>
      </c>
      <c r="N34" s="16">
        <v>154.32533244102856</v>
      </c>
      <c r="O34" s="16">
        <v>162.12261986261157</v>
      </c>
      <c r="P34" s="16">
        <v>170.31386523116996</v>
      </c>
      <c r="Q34" s="16">
        <v>178.91897327197483</v>
      </c>
      <c r="R34" s="16">
        <v>187.95885439654137</v>
      </c>
      <c r="S34" s="16">
        <v>197.45547551492658</v>
      </c>
      <c r="T34" s="16">
        <v>207.43191341531826</v>
      </c>
      <c r="U34" s="16">
        <v>217.91241084062722</v>
      </c>
      <c r="V34" s="16">
        <v>228.92243539834993</v>
      </c>
      <c r="W34" s="16">
        <v>240.48874144685152</v>
      </c>
      <c r="X34" s="16">
        <v>252.63943510845368</v>
      </c>
      <c r="Y34" s="16">
        <v>265.4040425673083</v>
      </c>
      <c r="Z34" s="16">
        <v>278.81358181802148</v>
      </c>
      <c r="AA34" s="16">
        <v>292.90063803937699</v>
      </c>
      <c r="AB34" s="16">
        <v>307.69944277631663</v>
      </c>
      <c r="AC34" s="16">
        <v>323.24595712258997</v>
      </c>
      <c r="AD34" s="16">
        <v>339.57795910620882</v>
      </c>
      <c r="AE34" s="16">
        <v>356.73513549005003</v>
      </c>
      <c r="AF34" s="16">
        <v>374.75917821068481</v>
      </c>
      <c r="AG34" s="16">
        <v>393.69388568977956</v>
      </c>
      <c r="AH34" s="16">
        <v>413.58526926425577</v>
      </c>
      <c r="AI34" s="16">
        <v>434.48166499383217</v>
      </c>
      <c r="AJ34" s="16">
        <v>456.43385111764559</v>
      </c>
      <c r="AK34" s="16">
        <v>479.49517144536458</v>
      </c>
      <c r="AL34" s="16">
        <v>503.72166498264164</v>
      </c>
      <c r="AM34" s="16">
        <v>529.1722021058896</v>
      </c>
      <c r="AN34" s="16">
        <v>555.90862761728954</v>
      </c>
    </row>
    <row r="37" spans="1:40" x14ac:dyDescent="0.2">
      <c r="A37" s="14" t="s">
        <v>55</v>
      </c>
    </row>
    <row r="38" spans="1:40" x14ac:dyDescent="0.2">
      <c r="A38" s="14" t="s">
        <v>16</v>
      </c>
    </row>
    <row r="39" spans="1:40" x14ac:dyDescent="0.2">
      <c r="A39" s="14" t="s">
        <v>74</v>
      </c>
    </row>
    <row r="40" spans="1:40" x14ac:dyDescent="0.2">
      <c r="A40" s="14" t="s">
        <v>18</v>
      </c>
    </row>
    <row r="41" spans="1:40" x14ac:dyDescent="0.2">
      <c r="A41" s="17" t="s">
        <v>97</v>
      </c>
      <c r="B41" s="20">
        <v>947817120000</v>
      </c>
    </row>
    <row r="42" spans="1:40" x14ac:dyDescent="0.2">
      <c r="A42" s="15" t="s">
        <v>19</v>
      </c>
      <c r="B42" s="15">
        <v>2022</v>
      </c>
      <c r="C42" s="15">
        <v>2023</v>
      </c>
      <c r="D42" s="15">
        <v>2024</v>
      </c>
      <c r="E42" s="15">
        <v>2025</v>
      </c>
      <c r="F42" s="15">
        <v>2026</v>
      </c>
      <c r="G42" s="15">
        <v>2027</v>
      </c>
      <c r="H42" s="15">
        <v>2028</v>
      </c>
      <c r="I42" s="15">
        <v>2029</v>
      </c>
      <c r="J42" s="15">
        <v>2030</v>
      </c>
      <c r="K42" s="15">
        <v>2031</v>
      </c>
      <c r="L42" s="15">
        <v>2032</v>
      </c>
      <c r="M42" s="15">
        <v>2033</v>
      </c>
      <c r="N42" s="15">
        <v>2034</v>
      </c>
      <c r="O42" s="15">
        <v>2035</v>
      </c>
      <c r="P42" s="15">
        <v>2036</v>
      </c>
      <c r="Q42" s="15">
        <v>2037</v>
      </c>
      <c r="R42" s="15">
        <v>2038</v>
      </c>
      <c r="S42" s="15">
        <v>2039</v>
      </c>
      <c r="T42" s="15">
        <v>2040</v>
      </c>
      <c r="U42" s="15">
        <v>2041</v>
      </c>
      <c r="V42" s="15">
        <v>2042</v>
      </c>
      <c r="W42" s="15">
        <v>2043</v>
      </c>
      <c r="X42" s="15">
        <v>2044</v>
      </c>
      <c r="Y42" s="15">
        <v>2045</v>
      </c>
      <c r="Z42" s="15">
        <v>2046</v>
      </c>
      <c r="AA42" s="15">
        <v>2047</v>
      </c>
      <c r="AB42" s="15">
        <v>2048</v>
      </c>
      <c r="AC42" s="15">
        <v>2049</v>
      </c>
      <c r="AD42" s="15">
        <v>2050</v>
      </c>
      <c r="AE42" s="15">
        <v>2051</v>
      </c>
      <c r="AF42" s="15">
        <v>2052</v>
      </c>
      <c r="AG42" s="15">
        <v>2053</v>
      </c>
      <c r="AH42" s="15">
        <v>2054</v>
      </c>
      <c r="AI42" s="15">
        <v>2055</v>
      </c>
      <c r="AJ42" s="15">
        <v>2056</v>
      </c>
      <c r="AK42" s="15">
        <v>2057</v>
      </c>
      <c r="AL42" s="15">
        <v>2058</v>
      </c>
      <c r="AM42" s="15">
        <v>2059</v>
      </c>
      <c r="AN42" s="15">
        <v>2060</v>
      </c>
    </row>
    <row r="43" spans="1:40" x14ac:dyDescent="0.2">
      <c r="A43" s="15" t="s">
        <v>53</v>
      </c>
      <c r="B43" s="16">
        <v>2.6686419905324214E-2</v>
      </c>
      <c r="C43" s="16">
        <v>2.8034751271040721E-2</v>
      </c>
      <c r="D43" s="16">
        <v>2.9451207079010042E-2</v>
      </c>
      <c r="E43" s="16">
        <v>3.0939229316677027E-2</v>
      </c>
      <c r="F43" s="16">
        <v>3.2502433877902137E-2</v>
      </c>
      <c r="G43" s="16">
        <v>3.4144619349583141E-2</v>
      </c>
      <c r="H43" s="16">
        <v>3.586977624222084E-2</v>
      </c>
      <c r="I43" s="16">
        <v>3.7682096686859047E-2</v>
      </c>
      <c r="J43" s="16">
        <v>3.958598462196259E-2</v>
      </c>
      <c r="K43" s="16">
        <v>4.1586066494987264E-2</v>
      </c>
      <c r="L43" s="16">
        <v>4.36872025046465E-2</v>
      </c>
      <c r="M43" s="16">
        <v>4.5894498411193765E-2</v>
      </c>
      <c r="N43" s="16">
        <v>4.8213317943419334E-2</v>
      </c>
      <c r="O43" s="16">
        <v>5.0649295832510571E-2</v>
      </c>
      <c r="P43" s="16">
        <v>5.3208351504448179E-2</v>
      </c>
      <c r="Q43" s="16">
        <v>5.5896703464210412E-2</v>
      </c>
      <c r="R43" s="16">
        <v>5.872088440673965E-2</v>
      </c>
      <c r="S43" s="16">
        <v>6.1687757091390155E-2</v>
      </c>
      <c r="T43" s="16">
        <v>6.4804531018432657E-2</v>
      </c>
      <c r="U43" s="16">
        <v>6.8078779948138948E-2</v>
      </c>
      <c r="V43" s="16">
        <v>7.1518460305018683E-2</v>
      </c>
      <c r="W43" s="16">
        <v>7.5131930511929748E-2</v>
      </c>
      <c r="X43" s="16">
        <v>7.892797130104498E-2</v>
      </c>
      <c r="Y43" s="16">
        <v>8.2915807051030299E-2</v>
      </c>
      <c r="Z43" s="16">
        <v>8.7105128202283569E-2</v>
      </c>
      <c r="AA43" s="16">
        <v>9.1506114804703928E-2</v>
      </c>
      <c r="AB43" s="16">
        <v>9.6129461255211615E-2</v>
      </c>
      <c r="AC43" s="16">
        <v>0.10098640228513119</v>
      </c>
      <c r="AD43" s="16">
        <v>0.10608874026058746</v>
      </c>
      <c r="AE43" s="16">
        <v>0.11144887386225362</v>
      </c>
      <c r="AF43" s="16">
        <v>0.11707982821414399</v>
      </c>
      <c r="AG43" s="16">
        <v>0.12299528653466361</v>
      </c>
      <c r="AH43" s="16">
        <v>0.12920962338682748</v>
      </c>
      <c r="AI43" s="16">
        <v>0.13573793960844693</v>
      </c>
      <c r="AJ43" s="16">
        <v>0.14259609900716372</v>
      </c>
      <c r="AK43" s="16">
        <v>0.14980076690950067</v>
      </c>
      <c r="AL43" s="16">
        <v>0.15736945065760316</v>
      </c>
      <c r="AM43" s="16">
        <v>0.16532054215207856</v>
      </c>
      <c r="AN43" s="16">
        <v>0.17367336254431232</v>
      </c>
    </row>
    <row r="44" spans="1:40" x14ac:dyDescent="0.2">
      <c r="A44" s="15" t="s">
        <v>54</v>
      </c>
      <c r="B44" s="16">
        <v>73.650922098226488</v>
      </c>
      <c r="C44" s="16">
        <v>77.37213493723938</v>
      </c>
      <c r="D44" s="16">
        <v>81.281362054943386</v>
      </c>
      <c r="E44" s="16">
        <v>85.388102872769394</v>
      </c>
      <c r="F44" s="16">
        <v>89.702336770416082</v>
      </c>
      <c r="G44" s="16">
        <v>94.234547335741354</v>
      </c>
      <c r="H44" s="16">
        <v>98.995747839879698</v>
      </c>
      <c r="I44" s="16">
        <v>103.99750799948961</v>
      </c>
      <c r="J44" s="16">
        <v>109.25198209116384</v>
      </c>
      <c r="K44" s="16">
        <v>114.7719384863199</v>
      </c>
      <c r="L44" s="16">
        <v>120.57079067834123</v>
      </c>
      <c r="M44" s="16">
        <v>126.66262987736442</v>
      </c>
      <c r="N44" s="16">
        <v>133.06225925191828</v>
      </c>
      <c r="O44" s="16">
        <v>139.78522990062137</v>
      </c>
      <c r="P44" s="16">
        <v>146.84787864135032</v>
      </c>
      <c r="Q44" s="16">
        <v>154.2673677097045</v>
      </c>
      <c r="R44" s="16">
        <v>162.06172646323731</v>
      </c>
      <c r="S44" s="16">
        <v>170.24989519279237</v>
      </c>
      <c r="T44" s="16">
        <v>178.85177114740821</v>
      </c>
      <c r="U44" s="16">
        <v>187.88825688463098</v>
      </c>
      <c r="V44" s="16">
        <v>197.381311063727</v>
      </c>
      <c r="W44" s="16">
        <v>207.35400180522177</v>
      </c>
      <c r="X44" s="16">
        <v>217.83056274643064</v>
      </c>
      <c r="Y44" s="16">
        <v>228.83645192919403</v>
      </c>
      <c r="Z44" s="16">
        <v>240.39841366291651</v>
      </c>
      <c r="AA44" s="16">
        <v>252.54454351323531</v>
      </c>
      <c r="AB44" s="16">
        <v>265.30435657424158</v>
      </c>
      <c r="AC44" s="16">
        <v>278.70885919015512</v>
      </c>
      <c r="AD44" s="16">
        <v>292.79062430073776</v>
      </c>
      <c r="AE44" s="16">
        <v>307.58387059353242</v>
      </c>
      <c r="AF44" s="16">
        <v>323.12454565527071</v>
      </c>
      <c r="AG44" s="16">
        <v>339.4504133245033</v>
      </c>
      <c r="AH44" s="16">
        <v>356.6011454577237</v>
      </c>
      <c r="AI44" s="16">
        <v>374.61841833197525</v>
      </c>
      <c r="AJ44" s="16">
        <v>393.54601391819835</v>
      </c>
      <c r="AK44" s="16">
        <v>413.42992627141518</v>
      </c>
      <c r="AL44" s="16">
        <v>434.31847329627834</v>
      </c>
      <c r="AM44" s="16">
        <v>456.26241415957293</v>
      </c>
      <c r="AN44" s="16">
        <v>479.31507263498531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14927-CBE5-B24A-97EA-1AA528270E5F}">
  <sheetPr>
    <tabColor theme="5" tint="0.59999389629810485"/>
  </sheetPr>
  <dimension ref="A1:AN44"/>
  <sheetViews>
    <sheetView workbookViewId="0">
      <selection activeCell="B7" sqref="B7"/>
    </sheetView>
  </sheetViews>
  <sheetFormatPr baseColWidth="10" defaultRowHeight="15" x14ac:dyDescent="0.2"/>
  <cols>
    <col min="2" max="2" width="15.83203125" bestFit="1" customWidth="1"/>
  </cols>
  <sheetData>
    <row r="1" spans="1:40" x14ac:dyDescent="0.2">
      <c r="A1" s="17" t="s">
        <v>81</v>
      </c>
    </row>
    <row r="2" spans="1:40" x14ac:dyDescent="0.2">
      <c r="A2" s="14" t="s">
        <v>16</v>
      </c>
    </row>
    <row r="3" spans="1:40" x14ac:dyDescent="0.2">
      <c r="A3" s="14" t="s">
        <v>57</v>
      </c>
    </row>
    <row r="4" spans="1:40" x14ac:dyDescent="0.2">
      <c r="A4" s="14" t="s">
        <v>18</v>
      </c>
    </row>
    <row r="5" spans="1:40" x14ac:dyDescent="0.2">
      <c r="A5" s="18"/>
    </row>
    <row r="6" spans="1:40" x14ac:dyDescent="0.2">
      <c r="A6" s="15" t="s">
        <v>19</v>
      </c>
      <c r="B6" s="15">
        <v>2022</v>
      </c>
      <c r="C6" s="15">
        <v>2023</v>
      </c>
      <c r="D6" s="15">
        <v>2024</v>
      </c>
      <c r="E6" s="15">
        <v>2025</v>
      </c>
      <c r="F6" s="15">
        <v>2026</v>
      </c>
      <c r="G6" s="15">
        <v>2027</v>
      </c>
      <c r="H6" s="15">
        <v>2028</v>
      </c>
      <c r="I6" s="15">
        <v>2029</v>
      </c>
      <c r="J6" s="15">
        <v>2030</v>
      </c>
      <c r="K6" s="15">
        <v>2031</v>
      </c>
      <c r="L6" s="15">
        <v>2032</v>
      </c>
      <c r="M6" s="15">
        <v>2033</v>
      </c>
      <c r="N6" s="15">
        <v>2034</v>
      </c>
      <c r="O6" s="15">
        <v>2035</v>
      </c>
      <c r="P6" s="15">
        <v>2036</v>
      </c>
      <c r="Q6" s="15">
        <v>2037</v>
      </c>
      <c r="R6" s="15">
        <v>2038</v>
      </c>
      <c r="S6" s="15">
        <v>2039</v>
      </c>
      <c r="T6" s="15">
        <v>2040</v>
      </c>
      <c r="U6" s="15">
        <v>2041</v>
      </c>
      <c r="V6" s="15">
        <v>2042</v>
      </c>
      <c r="W6" s="15">
        <v>2043</v>
      </c>
      <c r="X6" s="15">
        <v>2044</v>
      </c>
      <c r="Y6" s="15">
        <v>2045</v>
      </c>
      <c r="Z6" s="15">
        <v>2046</v>
      </c>
      <c r="AA6" s="15">
        <v>2047</v>
      </c>
      <c r="AB6" s="15">
        <v>2048</v>
      </c>
      <c r="AC6" s="15">
        <v>2049</v>
      </c>
      <c r="AD6" s="15">
        <v>2050</v>
      </c>
      <c r="AE6" s="15">
        <v>2051</v>
      </c>
      <c r="AF6" s="15">
        <v>2052</v>
      </c>
      <c r="AG6" s="15">
        <v>2053</v>
      </c>
      <c r="AH6" s="15">
        <v>2054</v>
      </c>
      <c r="AI6" s="15">
        <v>2055</v>
      </c>
      <c r="AJ6" s="15">
        <v>2056</v>
      </c>
      <c r="AK6" s="15">
        <v>2057</v>
      </c>
      <c r="AL6" s="15">
        <v>2058</v>
      </c>
      <c r="AM6" s="15">
        <v>2059</v>
      </c>
      <c r="AN6" s="15">
        <v>2060</v>
      </c>
    </row>
    <row r="7" spans="1:40" x14ac:dyDescent="0.2">
      <c r="A7" s="15" t="s">
        <v>58</v>
      </c>
      <c r="B7" s="22">
        <f>'Level of Activity (LA) - frgt'!B7*'Level of Activity (LA) - frgt'!$B$5</f>
        <v>10106813507.470526</v>
      </c>
      <c r="C7" s="22">
        <f>'Level of Activity (LA) - frgt'!C7*'Level of Activity (LA) - frgt'!$B$5</f>
        <v>10617460259.935474</v>
      </c>
      <c r="D7" s="22">
        <f>'Level of Activity (LA) - frgt'!D7*'Level of Activity (LA) - frgt'!$B$5</f>
        <v>11153907439.568716</v>
      </c>
      <c r="E7" s="22">
        <f>'Level of Activity (LA) - frgt'!E7*'Level of Activity (LA) - frgt'!$B$5</f>
        <v>11717458612.952923</v>
      </c>
      <c r="F7" s="22">
        <f>'Level of Activity (LA) - frgt'!F7*'Level of Activity (LA) - frgt'!$B$5</f>
        <v>12309483209.372368</v>
      </c>
      <c r="G7" s="22">
        <f>'Level of Activity (LA) - frgt'!G7*'Level of Activity (LA) - frgt'!$B$5</f>
        <v>12931419848.525908</v>
      </c>
      <c r="H7" s="22">
        <f>'Level of Activity (LA) - frgt'!H7*'Level of Activity (LA) - frgt'!$B$5</f>
        <v>13584779836.372681</v>
      </c>
      <c r="I7" s="22">
        <f>'Level of Activity (LA) - frgt'!I7*'Level of Activity (LA) - frgt'!$B$5</f>
        <v>14271150837.605412</v>
      </c>
      <c r="J7" s="22">
        <f>'Level of Activity (LA) - frgt'!J7*'Level of Activity (LA) - frgt'!$B$5</f>
        <v>14992200733.675425</v>
      </c>
      <c r="K7" s="22">
        <f>'Level of Activity (LA) - frgt'!K7*'Level of Activity (LA) - frgt'!$B$5</f>
        <v>15749681675.744377</v>
      </c>
      <c r="L7" s="22">
        <f>'Level of Activity (LA) - frgt'!L7*'Level of Activity (LA) - frgt'!$B$5</f>
        <v>16545434342.411362</v>
      </c>
      <c r="M7" s="22">
        <f>'Level of Activity (LA) - frgt'!M7*'Level of Activity (LA) - frgt'!$B$5</f>
        <v>17381392412.561695</v>
      </c>
      <c r="N7" s="22">
        <f>'Level of Activity (LA) - frgt'!N7*'Level of Activity (LA) - frgt'!$B$5</f>
        <v>18259587264.206375</v>
      </c>
      <c r="O7" s="22">
        <f>'Level of Activity (LA) - frgt'!O7*'Level of Activity (LA) - frgt'!$B$5</f>
        <v>19182152910.7304</v>
      </c>
      <c r="P7" s="22">
        <f>'Level of Activity (LA) - frgt'!P7*'Level of Activity (LA) - frgt'!$B$5</f>
        <v>20151331186.545055</v>
      </c>
      <c r="Q7" s="22">
        <f>'Level of Activity (LA) - frgt'!Q7*'Level of Activity (LA) - frgt'!$B$5</f>
        <v>21169477194.745235</v>
      </c>
      <c r="R7" s="22">
        <f>'Level of Activity (LA) - frgt'!R7*'Level of Activity (LA) - frgt'!$B$5</f>
        <v>22239065030.009743</v>
      </c>
      <c r="S7" s="22">
        <f>'Level of Activity (LA) - frgt'!S7*'Level of Activity (LA) - frgt'!$B$5</f>
        <v>23362693790.65099</v>
      </c>
      <c r="T7" s="22">
        <f>'Level of Activity (LA) - frgt'!T7*'Level of Activity (LA) - frgt'!$B$5</f>
        <v>24543093894.423622</v>
      </c>
      <c r="U7" s="22">
        <f>'Level of Activity (LA) - frgt'!U7*'Level of Activity (LA) - frgt'!$B$5</f>
        <v>25783133713.439377</v>
      </c>
      <c r="V7" s="22">
        <f>'Level of Activity (LA) - frgt'!V7*'Level of Activity (LA) - frgt'!$B$5</f>
        <v>27085826544.310909</v>
      </c>
      <c r="W7" s="22">
        <f>'Level of Activity (LA) - frgt'!W7*'Level of Activity (LA) - frgt'!$B$5</f>
        <v>28454337930.462215</v>
      </c>
      <c r="X7" s="22">
        <f>'Level of Activity (LA) - frgt'!X7*'Level of Activity (LA) - frgt'!$B$5</f>
        <v>29891993354.398815</v>
      </c>
      <c r="Y7" s="22">
        <f>'Level of Activity (LA) - frgt'!Y7*'Level of Activity (LA) - frgt'!$B$5</f>
        <v>31402286318.629807</v>
      </c>
      <c r="Z7" s="22">
        <f>'Level of Activity (LA) - frgt'!Z7*'Level of Activity (LA) - frgt'!$B$5</f>
        <v>32988886834.878578</v>
      </c>
      <c r="AA7" s="22">
        <f>'Level of Activity (LA) - frgt'!AA7*'Level of Activity (LA) - frgt'!$B$5</f>
        <v>34655650342.210823</v>
      </c>
      <c r="AB7" s="22">
        <f>'Level of Activity (LA) - frgt'!AB7*'Level of Activity (LA) - frgt'!$B$5</f>
        <v>36406627075.751022</v>
      </c>
      <c r="AC7" s="22">
        <f>'Level of Activity (LA) - frgt'!AC7*'Level of Activity (LA) - frgt'!$B$5</f>
        <v>38246071908.753334</v>
      </c>
      <c r="AD7" s="22">
        <f>'Level of Activity (LA) - frgt'!AD7*'Level of Activity (LA) - frgt'!$B$5</f>
        <v>40178454691.943108</v>
      </c>
      <c r="AE7" s="22">
        <f>'Level of Activity (LA) - frgt'!AE7*'Level of Activity (LA) - frgt'!$B$5</f>
        <v>42208471115.253525</v>
      </c>
      <c r="AF7" s="22">
        <f>'Level of Activity (LA) - frgt'!AF7*'Level of Activity (LA) - frgt'!$B$5</f>
        <v>44341054118.351707</v>
      </c>
      <c r="AG7" s="22">
        <f>'Level of Activity (LA) - frgt'!AG7*'Level of Activity (LA) - frgt'!$B$5</f>
        <v>46581385877.681419</v>
      </c>
      <c r="AH7" s="22">
        <f>'Level of Activity (LA) - frgt'!AH7*'Level of Activity (LA) - frgt'!$B$5</f>
        <v>48934910399.151276</v>
      </c>
      <c r="AI7" s="22">
        <f>'Level of Activity (LA) - frgt'!AI7*'Level of Activity (LA) - frgt'!$B$5</f>
        <v>51407346747.068405</v>
      </c>
      <c r="AJ7" s="22">
        <f>'Level of Activity (LA) - frgt'!AJ7*'Level of Activity (LA) - frgt'!$B$5</f>
        <v>54004702941.464027</v>
      </c>
      <c r="AK7" s="22">
        <f>'Level of Activity (LA) - frgt'!AK7*'Level of Activity (LA) - frgt'!$B$5</f>
        <v>56733290557.581497</v>
      </c>
      <c r="AL7" s="22">
        <f>'Level of Activity (LA) - frgt'!AL7*'Level of Activity (LA) - frgt'!$B$5</f>
        <v>59599740063.003296</v>
      </c>
      <c r="AM7" s="22">
        <f>'Level of Activity (LA) - frgt'!AM7*'Level of Activity (LA) - frgt'!$B$5</f>
        <v>62611016929.686546</v>
      </c>
      <c r="AN7" s="22">
        <f>'Level of Activity (LA) - frgt'!AN7*'Level of Activity (LA) - frgt'!$B$5</f>
        <v>65774438560.05896</v>
      </c>
    </row>
    <row r="8" spans="1:40" x14ac:dyDescent="0.2">
      <c r="A8" s="15" t="s">
        <v>59</v>
      </c>
      <c r="B8" s="22">
        <f>'Level of Activity (LA) - frgt'!B8*'Level of Activity (LA) - frgt'!$B$5</f>
        <v>11025188772.86887</v>
      </c>
      <c r="C8" s="22">
        <f>'Level of Activity (LA) - frgt'!C8*'Level of Activity (LA) - frgt'!$B$5</f>
        <v>11582236435.618071</v>
      </c>
      <c r="D8" s="22">
        <f>'Level of Activity (LA) - frgt'!D8*'Level of Activity (LA) - frgt'!$B$5</f>
        <v>12167428931.527672</v>
      </c>
      <c r="E8" s="22">
        <f>'Level of Activity (LA) - frgt'!E8*'Level of Activity (LA) - frgt'!$B$5</f>
        <v>12782188278.293104</v>
      </c>
      <c r="F8" s="22">
        <f>'Level of Activity (LA) - frgt'!F8*'Level of Activity (LA) - frgt'!$B$5</f>
        <v>13428008341.053864</v>
      </c>
      <c r="G8" s="22">
        <f>'Level of Activity (LA) - frgt'!G8*'Level of Activity (LA) - frgt'!$B$5</f>
        <v>14106458462.485609</v>
      </c>
      <c r="H8" s="22">
        <f>'Level of Activity (LA) - frgt'!H8*'Level of Activity (LA) - frgt'!$B$5</f>
        <v>14819187276.302698</v>
      </c>
      <c r="I8" s="22">
        <f>'Level of Activity (LA) - frgt'!I8*'Level of Activity (LA) - frgt'!$B$5</f>
        <v>15567926713.437895</v>
      </c>
      <c r="J8" s="22">
        <f>'Level of Activity (LA) - frgt'!J8*'Level of Activity (LA) - frgt'!$B$5</f>
        <v>16354496210.634342</v>
      </c>
      <c r="K8" s="22">
        <f>'Level of Activity (LA) - frgt'!K8*'Level of Activity (LA) - frgt'!$B$5</f>
        <v>17180807131.676643</v>
      </c>
      <c r="L8" s="22">
        <f>'Level of Activity (LA) - frgt'!L8*'Level of Activity (LA) - frgt'!$B$5</f>
        <v>18048867412.004604</v>
      </c>
      <c r="M8" s="22">
        <f>'Level of Activity (LA) - frgt'!M8*'Level of Activity (LA) - frgt'!$B$5</f>
        <v>18960786437.99614</v>
      </c>
      <c r="N8" s="22">
        <f>'Level of Activity (LA) - frgt'!N8*'Level of Activity (LA) - frgt'!$B$5</f>
        <v>19918780172.775898</v>
      </c>
      <c r="O8" s="22">
        <f>'Level of Activity (LA) - frgt'!O8*'Level of Activity (LA) - frgt'!$B$5</f>
        <v>20925176541.005394</v>
      </c>
      <c r="P8" s="22">
        <f>'Level of Activity (LA) - frgt'!P8*'Level of Activity (LA) - frgt'!$B$5</f>
        <v>21982421085.739693</v>
      </c>
      <c r="Q8" s="22">
        <f>'Level of Activity (LA) - frgt'!Q8*'Level of Activity (LA) - frgt'!$B$5</f>
        <v>23093082911.096684</v>
      </c>
      <c r="R8" s="22">
        <f>'Level of Activity (LA) - frgt'!R8*'Level of Activity (LA) - frgt'!$B$5</f>
        <v>24259860925.179852</v>
      </c>
      <c r="S8" s="22">
        <f>'Level of Activity (LA) - frgt'!S8*'Level of Activity (LA) - frgt'!$B$5</f>
        <v>25485590398.424561</v>
      </c>
      <c r="T8" s="22">
        <f>'Level of Activity (LA) - frgt'!T8*'Level of Activity (LA) - frgt'!$B$5</f>
        <v>26773249853.304962</v>
      </c>
      <c r="U8" s="22">
        <f>'Level of Activity (LA) - frgt'!U8*'Level of Activity (LA) - frgt'!$B$5</f>
        <v>28125968302.143192</v>
      </c>
      <c r="V8" s="22">
        <f>'Level of Activity (LA) - frgt'!V8*'Level of Activity (LA) - frgt'!$B$5</f>
        <v>29547032850.608982</v>
      </c>
      <c r="W8" s="22">
        <f>'Level of Activity (LA) - frgt'!W8*'Level of Activity (LA) - frgt'!$B$5</f>
        <v>31039896685.385994</v>
      </c>
      <c r="X8" s="22">
        <f>'Level of Activity (LA) - frgt'!X8*'Level of Activity (LA) - frgt'!$B$5</f>
        <v>32608187465.415119</v>
      </c>
      <c r="Y8" s="22">
        <f>'Level of Activity (LA) - frgt'!Y8*'Level of Activity (LA) - frgt'!$B$5</f>
        <v>34255716137.105217</v>
      </c>
      <c r="Z8" s="22">
        <f>'Level of Activity (LA) - frgt'!Z8*'Level of Activity (LA) - frgt'!$B$5</f>
        <v>35986486194.932449</v>
      </c>
      <c r="AA8" s="22">
        <f>'Level of Activity (LA) - frgt'!AA8*'Level of Activity (LA) - frgt'!$B$5</f>
        <v>37804703409.931419</v>
      </c>
      <c r="AB8" s="22">
        <f>'Level of Activity (LA) - frgt'!AB8*'Level of Activity (LA) - frgt'!$B$5</f>
        <v>39714786049.718208</v>
      </c>
      <c r="AC8" s="22">
        <f>'Level of Activity (LA) - frgt'!AC8*'Level of Activity (LA) - frgt'!$B$5</f>
        <v>41721375614.880211</v>
      </c>
      <c r="AD8" s="22">
        <f>'Level of Activity (LA) - frgt'!AD8*'Level of Activity (LA) - frgt'!$B$5</f>
        <v>43829348117.822037</v>
      </c>
      <c r="AE8" s="22">
        <f>'Level of Activity (LA) - frgt'!AE8*'Level of Activity (LA) - frgt'!$B$5</f>
        <v>46043825931.474991</v>
      </c>
      <c r="AF8" s="22">
        <f>'Level of Activity (LA) - frgt'!AF8*'Level of Activity (LA) - frgt'!$B$5</f>
        <v>48370190236.662758</v>
      </c>
      <c r="AG8" s="22">
        <f>'Level of Activity (LA) - frgt'!AG8*'Level of Activity (LA) - frgt'!$B$5</f>
        <v>50814094098.37014</v>
      </c>
      <c r="AH8" s="22">
        <f>'Level of Activity (LA) - frgt'!AH8*'Level of Activity (LA) - frgt'!$B$5</f>
        <v>53381476202.690292</v>
      </c>
      <c r="AI8" s="22">
        <f>'Level of Activity (LA) - frgt'!AI8*'Level of Activity (LA) - frgt'!$B$5</f>
        <v>56078575287.83123</v>
      </c>
      <c r="AJ8" s="22">
        <f>'Level of Activity (LA) - frgt'!AJ8*'Level of Activity (LA) - frgt'!$B$5</f>
        <v>58911945304.248909</v>
      </c>
      <c r="AK8" s="22">
        <f>'Level of Activity (LA) - frgt'!AK8*'Level of Activity (LA) - frgt'!$B$5</f>
        <v>61888471340.746071</v>
      </c>
      <c r="AL8" s="22">
        <f>'Level of Activity (LA) - frgt'!AL8*'Level of Activity (LA) - frgt'!$B$5</f>
        <v>65015386355.237259</v>
      </c>
      <c r="AM8" s="22">
        <f>'Level of Activity (LA) - frgt'!AM8*'Level of Activity (LA) - frgt'!$B$5</f>
        <v>68300288750.835625</v>
      </c>
      <c r="AN8" s="22">
        <f>'Level of Activity (LA) - frgt'!AN8*'Level of Activity (LA) - frgt'!$B$5</f>
        <v>71751160839.971603</v>
      </c>
    </row>
    <row r="9" spans="1:40" x14ac:dyDescent="0.2">
      <c r="A9" s="15" t="s">
        <v>60</v>
      </c>
      <c r="B9" s="22">
        <f>'Level of Activity (LA) - frgt'!B9*'Level of Activity (LA) - frgt'!$B$5</f>
        <v>2295938163.4958534</v>
      </c>
      <c r="C9" s="22">
        <f>'Level of Activity (LA) - frgt'!C9*'Level of Activity (LA) - frgt'!$B$5</f>
        <v>2411940439.2064815</v>
      </c>
      <c r="D9" s="22">
        <f>'Level of Activity (LA) - frgt'!D9*'Level of Activity (LA) - frgt'!$B$5</f>
        <v>2533803729.8973894</v>
      </c>
      <c r="E9" s="22">
        <f>'Level of Activity (LA) - frgt'!E9*'Level of Activity (LA) - frgt'!$B$5</f>
        <v>2661824163.3504539</v>
      </c>
      <c r="F9" s="22">
        <f>'Level of Activity (LA) - frgt'!F9*'Level of Activity (LA) - frgt'!$B$5</f>
        <v>2796312829.2037358</v>
      </c>
      <c r="G9" s="22">
        <f>'Level of Activity (LA) - frgt'!G9*'Level of Activity (LA) - frgt'!$B$5</f>
        <v>2937596534.8992543</v>
      </c>
      <c r="H9" s="22">
        <f>'Level of Activity (LA) - frgt'!H9*'Level of Activity (LA) - frgt'!$B$5</f>
        <v>3086018599.8250403</v>
      </c>
      <c r="I9" s="22">
        <f>'Level of Activity (LA) - frgt'!I9*'Level of Activity (LA) - frgt'!$B$5</f>
        <v>3241939689.5812001</v>
      </c>
      <c r="J9" s="22">
        <f>'Level of Activity (LA) - frgt'!J9*'Level of Activity (LA) - frgt'!$B$5</f>
        <v>3405738692.3972912</v>
      </c>
      <c r="K9" s="22">
        <f>'Level of Activity (LA) - frgt'!K9*'Level of Activity (LA) - frgt'!$B$5</f>
        <v>3577813639.8306637</v>
      </c>
      <c r="L9" s="22">
        <f>'Level of Activity (LA) - frgt'!L9*'Level of Activity (LA) - frgt'!$B$5</f>
        <v>3758582673.9831085</v>
      </c>
      <c r="M9" s="22">
        <f>'Level of Activity (LA) - frgt'!M9*'Level of Activity (LA) - frgt'!$B$5</f>
        <v>3948485063.5861049</v>
      </c>
      <c r="N9" s="22">
        <f>'Level of Activity (LA) - frgt'!N9*'Level of Activity (LA) - frgt'!$B$5</f>
        <v>4147982271.4237928</v>
      </c>
      <c r="O9" s="22">
        <f>'Level of Activity (LA) - frgt'!O9*'Level of Activity (LA) - frgt'!$B$5</f>
        <v>4357559075.687479</v>
      </c>
      <c r="P9" s="22">
        <f>'Level of Activity (LA) - frgt'!P9*'Level of Activity (LA) - frgt'!$B$5</f>
        <v>4577724747.9865894</v>
      </c>
      <c r="Q9" s="22">
        <f>'Level of Activity (LA) - frgt'!Q9*'Level of Activity (LA) - frgt'!$B$5</f>
        <v>4809014290.8786106</v>
      </c>
      <c r="R9" s="22">
        <f>'Level of Activity (LA) - frgt'!R9*'Level of Activity (LA) - frgt'!$B$5</f>
        <v>5051989737.9252539</v>
      </c>
      <c r="S9" s="22">
        <f>'Level of Activity (LA) - frgt'!S9*'Level of Activity (LA) - frgt'!$B$5</f>
        <v>5307241519.4339266</v>
      </c>
      <c r="T9" s="22">
        <f>'Level of Activity (LA) - frgt'!T9*'Level of Activity (LA) - frgt'!$B$5</f>
        <v>5575389897.2033262</v>
      </c>
      <c r="U9" s="22">
        <f>'Level of Activity (LA) - frgt'!U9*'Level of Activity (LA) - frgt'!$B$5</f>
        <v>5857086471.7595224</v>
      </c>
      <c r="V9" s="22">
        <f>'Level of Activity (LA) - frgt'!V9*'Level of Activity (LA) - frgt'!$B$5</f>
        <v>6153015765.7451735</v>
      </c>
      <c r="W9" s="22">
        <f>'Level of Activity (LA) - frgt'!W9*'Level of Activity (LA) - frgt'!$B$5</f>
        <v>6463896887.3094482</v>
      </c>
      <c r="X9" s="22">
        <f>'Level of Activity (LA) - frgt'!X9*'Level of Activity (LA) - frgt'!$B$5</f>
        <v>6790485277.5407581</v>
      </c>
      <c r="Y9" s="22">
        <f>'Level of Activity (LA) - frgt'!Y9*'Level of Activity (LA) - frgt'!$B$5</f>
        <v>7133574546.1885042</v>
      </c>
      <c r="Z9" s="22">
        <f>'Level of Activity (LA) - frgt'!Z9*'Level of Activity (LA) - frgt'!$B$5</f>
        <v>7493998400.1346769</v>
      </c>
      <c r="AA9" s="22">
        <f>'Level of Activity (LA) - frgt'!AA9*'Level of Activity (LA) - frgt'!$B$5</f>
        <v>7872632669.3014822</v>
      </c>
      <c r="AB9" s="22">
        <f>'Level of Activity (LA) - frgt'!AB9*'Level of Activity (LA) - frgt'!$B$5</f>
        <v>8270397434.9179401</v>
      </c>
      <c r="AC9" s="22">
        <f>'Level of Activity (LA) - frgt'!AC9*'Level of Activity (LA) - frgt'!$B$5</f>
        <v>8688259265.3171673</v>
      </c>
      <c r="AD9" s="22">
        <f>'Level of Activity (LA) - frgt'!AD9*'Level of Activity (LA) - frgt'!$B$5</f>
        <v>9127233564.6973171</v>
      </c>
      <c r="AE9" s="22">
        <f>'Level of Activity (LA) - frgt'!AE9*'Level of Activity (LA) - frgt'!$B$5</f>
        <v>9588387040.553648</v>
      </c>
      <c r="AF9" s="22">
        <f>'Level of Activity (LA) - frgt'!AF9*'Level of Activity (LA) - frgt'!$B$5</f>
        <v>10072840295.777622</v>
      </c>
      <c r="AG9" s="22">
        <f>'Level of Activity (LA) - frgt'!AG9*'Level of Activity (LA) - frgt'!$B$5</f>
        <v>10581770551.721785</v>
      </c>
      <c r="AH9" s="22">
        <f>'Level of Activity (LA) - frgt'!AH9*'Level of Activity (LA) - frgt'!$B$5</f>
        <v>11116414508.847528</v>
      </c>
      <c r="AI9" s="22">
        <f>'Level of Activity (LA) - frgt'!AI9*'Level of Activity (LA) - frgt'!$B$5</f>
        <v>11678071351.907053</v>
      </c>
      <c r="AJ9" s="22">
        <f>'Level of Activity (LA) - frgt'!AJ9*'Level of Activity (LA) - frgt'!$B$5</f>
        <v>12268105906.962154</v>
      </c>
      <c r="AK9" s="22">
        <f>'Level of Activity (LA) - frgt'!AK9*'Level of Activity (LA) - frgt'!$B$5</f>
        <v>12887951957.911413</v>
      </c>
      <c r="AL9" s="22">
        <f>'Level of Activity (LA) - frgt'!AL9*'Level of Activity (LA) - frgt'!$B$5</f>
        <v>13539115730.58489</v>
      </c>
      <c r="AM9" s="22">
        <f>'Level of Activity (LA) - frgt'!AM9*'Level of Activity (LA) - frgt'!$B$5</f>
        <v>14223179552.872692</v>
      </c>
      <c r="AN9" s="22">
        <f>'Level of Activity (LA) - frgt'!AN9*'Level of Activity (LA) - frgt'!$B$5</f>
        <v>14941805699.781586</v>
      </c>
    </row>
    <row r="10" spans="1:40" x14ac:dyDescent="0.2">
      <c r="A10" s="15" t="s">
        <v>61</v>
      </c>
      <c r="B10" s="22">
        <f>'Level of Activity (LA) - frgt'!B10*'Level of Activity (LA) - frgt'!$B$5</f>
        <v>173319928914.86206</v>
      </c>
      <c r="C10" s="22">
        <f>'Level of Activity (LA) - frgt'!C10*'Level of Activity (LA) - frgt'!$B$5</f>
        <v>182076918323.28549</v>
      </c>
      <c r="D10" s="22">
        <f>'Level of Activity (LA) - frgt'!D10*'Level of Activity (LA) - frgt'!$B$5</f>
        <v>191276354621.56949</v>
      </c>
      <c r="E10" s="22">
        <f>'Level of Activity (LA) - frgt'!E10*'Level of Activity (LA) - frgt'!$B$5</f>
        <v>200940592438.82425</v>
      </c>
      <c r="F10" s="22">
        <f>'Level of Activity (LA) - frgt'!F10*'Level of Activity (LA) - frgt'!$B$5</f>
        <v>211093115871.79584</v>
      </c>
      <c r="G10" s="22">
        <f>'Level of Activity (LA) - frgt'!G10*'Level of Activity (LA) - frgt'!$B$5</f>
        <v>221758595551.21835</v>
      </c>
      <c r="H10" s="22">
        <f>'Level of Activity (LA) - frgt'!H10*'Level of Activity (LA) - frgt'!$B$5</f>
        <v>232962948591.4437</v>
      </c>
      <c r="I10" s="22">
        <f>'Level of Activity (LA) - frgt'!I10*'Level of Activity (LA) - frgt'!$B$5</f>
        <v>244733401569.0264</v>
      </c>
      <c r="J10" s="22">
        <f>'Level of Activity (LA) - frgt'!J10*'Level of Activity (LA) - frgt'!$B$5</f>
        <v>257098556683.30142</v>
      </c>
      <c r="K10" s="22">
        <f>'Level of Activity (LA) - frgt'!K10*'Level of Activity (LA) - frgt'!$B$5</f>
        <v>270088461259.72528</v>
      </c>
      <c r="L10" s="22">
        <f>'Level of Activity (LA) - frgt'!L10*'Level of Activity (LA) - frgt'!$B$5</f>
        <v>283734680764.87292</v>
      </c>
      <c r="M10" s="22">
        <f>'Level of Activity (LA) - frgt'!M10*'Level of Activity (LA) - frgt'!$B$5</f>
        <v>298070375510.51807</v>
      </c>
      <c r="N10" s="22">
        <f>'Level of Activity (LA) - frgt'!N10*'Level of Activity (LA) - frgt'!$B$5</f>
        <v>313130381233.18707</v>
      </c>
      <c r="O10" s="22">
        <f>'Level of Activity (LA) - frgt'!O10*'Level of Activity (LA) - frgt'!$B$5</f>
        <v>328951293744.99371</v>
      </c>
      <c r="P10" s="22">
        <f>'Level of Activity (LA) - frgt'!P10*'Level of Activity (LA) - frgt'!$B$5</f>
        <v>345571557861.45959</v>
      </c>
      <c r="Q10" s="22">
        <f>'Level of Activity (LA) - frgt'!Q10*'Level of Activity (LA) - frgt'!$B$5</f>
        <v>363031560822.40973</v>
      </c>
      <c r="R10" s="22">
        <f>'Level of Activity (LA) - frgt'!R10*'Level of Activity (LA) - frgt'!$B$5</f>
        <v>381373730432.9621</v>
      </c>
      <c r="S10" s="22">
        <f>'Level of Activity (LA) - frgt'!S10*'Level of Activity (LA) - frgt'!$B$5</f>
        <v>400642638163.08746</v>
      </c>
      <c r="T10" s="22">
        <f>'Level of Activity (LA) - frgt'!T10*'Level of Activity (LA) - frgt'!$B$5</f>
        <v>420885107456.2774</v>
      </c>
      <c r="U10" s="22">
        <f>'Level of Activity (LA) - frgt'!U10*'Level of Activity (LA) - frgt'!$B$5</f>
        <v>442150327510.50574</v>
      </c>
      <c r="V10" s="22">
        <f>'Level of Activity (LA) - frgt'!V10*'Level of Activity (LA) - frgt'!$B$5</f>
        <v>464489972807.97424</v>
      </c>
      <c r="W10" s="22">
        <f>'Level of Activity (LA) - frgt'!W10*'Level of Activity (LA) - frgt'!$B$5</f>
        <v>487958328684.09705</v>
      </c>
      <c r="X10" s="22">
        <f>'Level of Activity (LA) - frgt'!X10*'Level of Activity (LA) - frgt'!$B$5</f>
        <v>512612423240.86102</v>
      </c>
      <c r="Y10" s="22">
        <f>'Level of Activity (LA) - frgt'!Y10*'Level of Activity (LA) - frgt'!$B$5</f>
        <v>538512165925.10547</v>
      </c>
      <c r="Z10" s="22">
        <f>'Level of Activity (LA) - frgt'!Z10*'Level of Activity (LA) - frgt'!$B$5</f>
        <v>565720493108.47131</v>
      </c>
      <c r="AA10" s="22">
        <f>'Level of Activity (LA) - frgt'!AA10*'Level of Activity (LA) - frgt'!$B$5</f>
        <v>594303521022.77686</v>
      </c>
      <c r="AB10" s="22">
        <f>'Level of Activity (LA) - frgt'!AB10*'Level of Activity (LA) - frgt'!$B$5</f>
        <v>624330706422.45276</v>
      </c>
      <c r="AC10" s="22">
        <f>'Level of Activity (LA) - frgt'!AC10*'Level of Activity (LA) - frgt'!$B$5</f>
        <v>655875015364.4469</v>
      </c>
      <c r="AD10" s="22">
        <f>'Level of Activity (LA) - frgt'!AD10*'Level of Activity (LA) - frgt'!$B$5</f>
        <v>689013100515.73584</v>
      </c>
      <c r="AE10" s="22">
        <f>'Level of Activity (LA) - frgt'!AE10*'Level of Activity (LA) - frgt'!$B$5</f>
        <v>723825487419.29321</v>
      </c>
      <c r="AF10" s="22">
        <f>'Level of Activity (LA) - frgt'!AF10*'Level of Activity (LA) - frgt'!$B$5</f>
        <v>760396770171.15308</v>
      </c>
      <c r="AG10" s="22">
        <f>'Level of Activity (LA) - frgt'!AG10*'Level of Activity (LA) - frgt'!$B$5</f>
        <v>798815816984.05042</v>
      </c>
      <c r="AH10" s="22">
        <f>'Level of Activity (LA) - frgt'!AH10*'Level of Activity (LA) - frgt'!$B$5</f>
        <v>839175986137.16968</v>
      </c>
      <c r="AI10" s="22">
        <f>'Level of Activity (LA) - frgt'!AI10*'Level of Activity (LA) - frgt'!$B$5</f>
        <v>881575352836.75024</v>
      </c>
      <c r="AJ10" s="22">
        <f>'Level of Activity (LA) - frgt'!AJ10*'Level of Activity (LA) - frgt'!$B$5</f>
        <v>926116947538.82703</v>
      </c>
      <c r="AK10" s="22">
        <f>'Level of Activity (LA) - frgt'!AK10*'Level of Activity (LA) - frgt'!$B$5</f>
        <v>972909006313.2262</v>
      </c>
      <c r="AL10" s="22">
        <f>'Level of Activity (LA) - frgt'!AL10*'Level of Activity (LA) - frgt'!$B$5</f>
        <v>1022065233857.2019</v>
      </c>
      <c r="AM10" s="22">
        <f>'Level of Activity (LA) - frgt'!AM10*'Level of Activity (LA) - frgt'!$B$5</f>
        <v>1073705079797.837</v>
      </c>
      <c r="AN10" s="22">
        <f>'Level of Activity (LA) - frgt'!AN10*'Level of Activity (LA) - frgt'!$B$5</f>
        <v>1127954028954.6228</v>
      </c>
    </row>
    <row r="11" spans="1:40" x14ac:dyDescent="0.2">
      <c r="A11" s="15" t="s">
        <v>62</v>
      </c>
      <c r="B11" s="22">
        <f>'Level of Activity (LA) - frgt'!B11*'Level of Activity (LA) - frgt'!$B$5</f>
        <v>189068981333.64417</v>
      </c>
      <c r="C11" s="22">
        <f>'Level of Activity (LA) - frgt'!C11*'Level of Activity (LA) - frgt'!$B$5</f>
        <v>198621691615.52655</v>
      </c>
      <c r="D11" s="22">
        <f>'Level of Activity (LA) - frgt'!D11*'Level of Activity (LA) - frgt'!$B$5</f>
        <v>208657052584.40103</v>
      </c>
      <c r="E11" s="22">
        <f>'Level of Activity (LA) - frgt'!E11*'Level of Activity (LA) - frgt'!$B$5</f>
        <v>219199450166.22781</v>
      </c>
      <c r="F11" s="22">
        <f>'Level of Activity (LA) - frgt'!F11*'Level of Activity (LA) - frgt'!$B$5</f>
        <v>230274502385.8765</v>
      </c>
      <c r="G11" s="22">
        <f>'Level of Activity (LA) - frgt'!G11*'Level of Activity (LA) - frgt'!$B$5</f>
        <v>241909121618.92288</v>
      </c>
      <c r="H11" s="22">
        <f>'Level of Activity (LA) - frgt'!H11*'Level of Activity (LA) - frgt'!$B$5</f>
        <v>254131579988.71906</v>
      </c>
      <c r="I11" s="22">
        <f>'Level of Activity (LA) - frgt'!I11*'Level of Activity (LA) - frgt'!$B$5</f>
        <v>266971578067.64905</v>
      </c>
      <c r="J11" s="22">
        <f>'Level of Activity (LA) - frgt'!J11*'Level of Activity (LA) - frgt'!$B$5</f>
        <v>280460317049.51703</v>
      </c>
      <c r="K11" s="22">
        <f>'Level of Activity (LA) - frgt'!K11*'Level of Activity (LA) - frgt'!$B$5</f>
        <v>294630574568.44391</v>
      </c>
      <c r="L11" s="22">
        <f>'Level of Activity (LA) - frgt'!L11*'Level of Activity (LA) - frgt'!$B$5</f>
        <v>309516784348.51459</v>
      </c>
      <c r="M11" s="22">
        <f>'Level of Activity (LA) - frgt'!M11*'Level of Activity (LA) - frgt'!$B$5</f>
        <v>325155119877.72327</v>
      </c>
      <c r="N11" s="22">
        <f>'Level of Activity (LA) - frgt'!N11*'Level of Activity (LA) - frgt'!$B$5</f>
        <v>341583582309.54529</v>
      </c>
      <c r="O11" s="22">
        <f>'Level of Activity (LA) - frgt'!O11*'Level of Activity (LA) - frgt'!$B$5</f>
        <v>358842092805.73492</v>
      </c>
      <c r="P11" s="22">
        <f>'Level of Activity (LA) - frgt'!P11*'Level of Activity (LA) - frgt'!$B$5</f>
        <v>376972589544.74475</v>
      </c>
      <c r="Q11" s="22">
        <f>'Level of Activity (LA) - frgt'!Q11*'Level of Activity (LA) - frgt'!$B$5</f>
        <v>396019129631.49286</v>
      </c>
      <c r="R11" s="22">
        <f>'Level of Activity (LA) - frgt'!R11*'Level of Activity (LA) - frgt'!$B$5</f>
        <v>416027996156.12415</v>
      </c>
      <c r="S11" s="22">
        <f>'Level of Activity (LA) - frgt'!S11*'Level of Activity (LA) - frgt'!$B$5</f>
        <v>437047810661.91229</v>
      </c>
      <c r="T11" s="22">
        <f>'Level of Activity (LA) - frgt'!T11*'Level of Activity (LA) - frgt'!$B$5</f>
        <v>459129651295.60535</v>
      </c>
      <c r="U11" s="22">
        <f>'Level of Activity (LA) - frgt'!U11*'Level of Activity (LA) - frgt'!$B$5</f>
        <v>482327176927.3158</v>
      </c>
      <c r="V11" s="22">
        <f>'Level of Activity (LA) - frgt'!V11*'Level of Activity (LA) - frgt'!$B$5</f>
        <v>506696757541.56848</v>
      </c>
      <c r="W11" s="22">
        <f>'Level of Activity (LA) - frgt'!W11*'Level of Activity (LA) - frgt'!$B$5</f>
        <v>532297611216.3562</v>
      </c>
      <c r="X11" s="22">
        <f>'Level of Activity (LA) - frgt'!X11*'Level of Activity (LA) - frgt'!$B$5</f>
        <v>559191948023.0625</v>
      </c>
      <c r="Y11" s="22">
        <f>'Level of Activity (LA) - frgt'!Y11*'Level of Activity (LA) - frgt'!$B$5</f>
        <v>587445121196.92773</v>
      </c>
      <c r="Z11" s="22">
        <f>'Level of Activity (LA) - frgt'!Z11*'Level of Activity (LA) - frgt'!$B$5</f>
        <v>617125785945.40234</v>
      </c>
      <c r="AA11" s="22">
        <f>'Level of Activity (LA) - frgt'!AA11*'Level of Activity (LA) - frgt'!$B$5</f>
        <v>648306066280.29395</v>
      </c>
      <c r="AB11" s="22">
        <f>'Level of Activity (LA) - frgt'!AB11*'Level of Activity (LA) - frgt'!$B$5</f>
        <v>681061730279.10583</v>
      </c>
      <c r="AC11" s="22">
        <f>'Level of Activity (LA) - frgt'!AC11*'Level of Activity (LA) - frgt'!$B$5</f>
        <v>715472374201.45752</v>
      </c>
      <c r="AD11" s="22">
        <f>'Level of Activity (LA) - frgt'!AD11*'Level of Activity (LA) - frgt'!$B$5</f>
        <v>751621615907.98621</v>
      </c>
      <c r="AE11" s="22">
        <f>'Level of Activity (LA) - frgt'!AE11*'Level of Activity (LA) - frgt'!$B$5</f>
        <v>789597298051.73706</v>
      </c>
      <c r="AF11" s="22">
        <f>'Level of Activity (LA) - frgt'!AF11*'Level of Activity (LA) - frgt'!$B$5</f>
        <v>829491701535.80115</v>
      </c>
      <c r="AG11" s="22">
        <f>'Level of Activity (LA) - frgt'!AG11*'Level of Activity (LA) - frgt'!$B$5</f>
        <v>871401769755.89734</v>
      </c>
      <c r="AH11" s="22">
        <f>'Level of Activity (LA) - frgt'!AH11*'Level of Activity (LA) - frgt'!$B$5</f>
        <v>915429344172.81396</v>
      </c>
      <c r="AI11" s="22">
        <f>'Level of Activity (LA) - frgt'!AI11*'Level of Activity (LA) - frgt'!$B$5</f>
        <v>961681411787.14551</v>
      </c>
      <c r="AJ11" s="22">
        <f>'Level of Activity (LA) - frgt'!AJ11*'Level of Activity (LA) - frgt'!$B$5</f>
        <v>1010270365117.6912</v>
      </c>
      <c r="AK11" s="22">
        <f>'Level of Activity (LA) - frgt'!AK11*'Level of Activity (LA) - frgt'!$B$5</f>
        <v>1061314275315.2623</v>
      </c>
      <c r="AL11" s="22">
        <f>'Level of Activity (LA) - frgt'!AL11*'Level of Activity (LA) - frgt'!$B$5</f>
        <v>1114937179075.5659</v>
      </c>
      <c r="AM11" s="22">
        <f>'Level of Activity (LA) - frgt'!AM11*'Level of Activity (LA) - frgt'!$B$5</f>
        <v>1171269380048.3591</v>
      </c>
      <c r="AN11" s="22">
        <f>'Level of Activity (LA) - frgt'!AN11*'Level of Activity (LA) - frgt'!$B$5</f>
        <v>1230447765475.3022</v>
      </c>
    </row>
    <row r="12" spans="1:40" x14ac:dyDescent="0.2">
      <c r="A12" s="15" t="s">
        <v>63</v>
      </c>
      <c r="B12" s="22">
        <f>'Level of Activity (LA) - frgt'!B12*'Level of Activity (LA) - frgt'!$B$5</f>
        <v>39372631046.955215</v>
      </c>
      <c r="C12" s="22">
        <f>'Level of Activity (LA) - frgt'!C12*'Level of Activity (LA) - frgt'!$B$5</f>
        <v>41361933230.602631</v>
      </c>
      <c r="D12" s="22">
        <f>'Level of Activity (LA) - frgt'!D12*'Level of Activity (LA) - frgt'!$B$5</f>
        <v>43451744907.078827</v>
      </c>
      <c r="E12" s="22">
        <f>'Level of Activity (LA) - frgt'!E12*'Level of Activity (LA) - frgt'!$B$5</f>
        <v>45647144318.50898</v>
      </c>
      <c r="F12" s="22">
        <f>'Level of Activity (LA) - frgt'!F12*'Level of Activity (LA) - frgt'!$B$5</f>
        <v>47953466285.201645</v>
      </c>
      <c r="G12" s="22">
        <f>'Level of Activity (LA) - frgt'!G12*'Level of Activity (LA) - frgt'!$B$5</f>
        <v>50376315169.261452</v>
      </c>
      <c r="H12" s="22">
        <f>'Level of Activity (LA) - frgt'!H12*'Level of Activity (LA) - frgt'!$B$5</f>
        <v>52921578493.188393</v>
      </c>
      <c r="I12" s="22">
        <f>'Level of Activity (LA) - frgt'!I12*'Level of Activity (LA) - frgt'!$B$5</f>
        <v>55595441246.55674</v>
      </c>
      <c r="J12" s="22">
        <f>'Level of Activity (LA) - frgt'!J12*'Level of Activity (LA) - frgt'!$B$5</f>
        <v>58404400915.539024</v>
      </c>
      <c r="K12" s="22">
        <f>'Level of Activity (LA) - frgt'!K12*'Level of Activity (LA) - frgt'!$B$5</f>
        <v>61355283271.796638</v>
      </c>
      <c r="L12" s="22">
        <f>'Level of Activity (LA) - frgt'!L12*'Level of Activity (LA) - frgt'!$B$5</f>
        <v>64455258959.104172</v>
      </c>
      <c r="M12" s="22">
        <f>'Level of Activity (LA) - frgt'!M12*'Level of Activity (LA) - frgt'!$B$5</f>
        <v>67711860918.012901</v>
      </c>
      <c r="N12" s="22">
        <f>'Level of Activity (LA) - frgt'!N12*'Level of Activity (LA) - frgt'!$B$5</f>
        <v>71133002690.895508</v>
      </c>
      <c r="O12" s="22">
        <f>'Level of Activity (LA) - frgt'!O12*'Level of Activity (LA) - frgt'!$B$5</f>
        <v>74726997651.852997</v>
      </c>
      <c r="P12" s="22">
        <f>'Level of Activity (LA) - frgt'!P12*'Level of Activity (LA) - frgt'!$B$5</f>
        <v>78502579208.21286</v>
      </c>
      <c r="Q12" s="22">
        <f>'Level of Activity (LA) - frgt'!Q12*'Level of Activity (LA) - frgt'!$B$5</f>
        <v>82468922022.707809</v>
      </c>
      <c r="R12" s="22">
        <f>'Level of Activity (LA) - frgt'!R12*'Level of Activity (LA) - frgt'!$B$5</f>
        <v>86635664307.905136</v>
      </c>
      <c r="S12" s="22">
        <f>'Level of Activity (LA) - frgt'!S12*'Level of Activity (LA) - frgt'!$B$5</f>
        <v>91012931247.062042</v>
      </c>
      <c r="T12" s="22">
        <f>'Level of Activity (LA) - frgt'!T12*'Level of Activity (LA) - frgt'!$B$5</f>
        <v>95611359598.319824</v>
      </c>
      <c r="U12" s="22">
        <f>'Level of Activity (LA) - frgt'!U12*'Level of Activity (LA) - frgt'!$B$5</f>
        <v>100442123542.02495</v>
      </c>
      <c r="V12" s="22">
        <f>'Level of Activity (LA) - frgt'!V12*'Level of Activity (LA) - frgt'!$B$5</f>
        <v>105516961833.98576</v>
      </c>
      <c r="W12" s="22">
        <f>'Level of Activity (LA) - frgt'!W12*'Level of Activity (LA) - frgt'!$B$5</f>
        <v>110848206330.64789</v>
      </c>
      <c r="X12" s="22">
        <f>'Level of Activity (LA) - frgt'!X12*'Level of Activity (LA) - frgt'!$B$5</f>
        <v>116448811955.50385</v>
      </c>
      <c r="Y12" s="22">
        <f>'Level of Activity (LA) - frgt'!Y12*'Level of Activity (LA) - frgt'!$B$5</f>
        <v>122332388179.55568</v>
      </c>
      <c r="Z12" s="22">
        <f>'Level of Activity (LA) - frgt'!Z12*'Level of Activity (LA) - frgt'!$B$5</f>
        <v>128513232092.32771</v>
      </c>
      <c r="AA12" s="22">
        <f>'Level of Activity (LA) - frgt'!AA12*'Level of Activity (LA) - frgt'!$B$5</f>
        <v>135006363143.79259</v>
      </c>
      <c r="AB12" s="22">
        <f>'Level of Activity (LA) - frgt'!AB12*'Level of Activity (LA) - frgt'!$B$5</f>
        <v>141827559641.63272</v>
      </c>
      <c r="AC12" s="22">
        <f>'Level of Activity (LA) - frgt'!AC12*'Level of Activity (LA) - frgt'!$B$5</f>
        <v>148993397092.52618</v>
      </c>
      <c r="AD12" s="22">
        <f>'Level of Activity (LA) - frgt'!AD12*'Level of Activity (LA) - frgt'!$B$5</f>
        <v>156521288480.6261</v>
      </c>
      <c r="AE12" s="22">
        <f>'Level of Activity (LA) - frgt'!AE12*'Level of Activity (LA) - frgt'!$B$5</f>
        <v>164429526581.10968</v>
      </c>
      <c r="AF12" s="22">
        <f>'Level of Activity (LA) - frgt'!AF12*'Level of Activity (LA) - frgt'!$B$5</f>
        <v>172737328411.62027</v>
      </c>
      <c r="AG12" s="22">
        <f>'Level of Activity (LA) - frgt'!AG12*'Level of Activity (LA) - frgt'!$B$5</f>
        <v>181464881929.61734</v>
      </c>
      <c r="AH12" s="22">
        <f>'Level of Activity (LA) - frgt'!AH12*'Level of Activity (LA) - frgt'!$B$5</f>
        <v>190633395089.11124</v>
      </c>
      <c r="AI12" s="22">
        <f>'Level of Activity (LA) - frgt'!AI12*'Level of Activity (LA) - frgt'!$B$5</f>
        <v>200265147375.98865</v>
      </c>
      <c r="AJ12" s="22">
        <f>'Level of Activity (LA) - frgt'!AJ12*'Level of Activity (LA) - frgt'!$B$5</f>
        <v>210383543947.16049</v>
      </c>
      <c r="AK12" s="22">
        <f>'Level of Activity (LA) - frgt'!AK12*'Level of Activity (LA) - frgt'!$B$5</f>
        <v>221013172505.0907</v>
      </c>
      <c r="AL12" s="22">
        <f>'Level of Activity (LA) - frgt'!AL12*'Level of Activity (LA) - frgt'!$B$5</f>
        <v>232179863045.9104</v>
      </c>
      <c r="AM12" s="22">
        <f>'Level of Activity (LA) - frgt'!AM12*'Level of Activity (LA) - frgt'!$B$5</f>
        <v>243910750626.30505</v>
      </c>
      <c r="AN12" s="22">
        <f>'Level of Activity (LA) - frgt'!AN12*'Level of Activity (LA) - frgt'!$B$5</f>
        <v>256234341301.69916</v>
      </c>
    </row>
    <row r="15" spans="1:40" x14ac:dyDescent="0.2">
      <c r="A15" s="17" t="s">
        <v>82</v>
      </c>
    </row>
    <row r="16" spans="1:40" x14ac:dyDescent="0.2">
      <c r="A16" s="14" t="s">
        <v>16</v>
      </c>
    </row>
    <row r="17" spans="1:40" x14ac:dyDescent="0.2">
      <c r="A17" s="14" t="s">
        <v>66</v>
      </c>
    </row>
    <row r="18" spans="1:40" x14ac:dyDescent="0.2">
      <c r="A18" s="14" t="s">
        <v>18</v>
      </c>
    </row>
    <row r="19" spans="1:40" x14ac:dyDescent="0.2">
      <c r="A19" s="14"/>
    </row>
    <row r="20" spans="1:40" x14ac:dyDescent="0.2">
      <c r="A20" s="15" t="s">
        <v>19</v>
      </c>
      <c r="B20" s="15">
        <v>2022</v>
      </c>
      <c r="C20" s="15">
        <v>2023</v>
      </c>
      <c r="D20" s="15">
        <v>2024</v>
      </c>
      <c r="E20" s="15">
        <v>2025</v>
      </c>
      <c r="F20" s="15">
        <v>2026</v>
      </c>
      <c r="G20" s="15">
        <v>2027</v>
      </c>
      <c r="H20" s="15">
        <v>2028</v>
      </c>
      <c r="I20" s="15">
        <v>2029</v>
      </c>
      <c r="J20" s="15">
        <v>2030</v>
      </c>
      <c r="K20" s="15">
        <v>2031</v>
      </c>
      <c r="L20" s="15">
        <v>2032</v>
      </c>
      <c r="M20" s="15">
        <v>2033</v>
      </c>
      <c r="N20" s="15">
        <v>2034</v>
      </c>
      <c r="O20" s="15">
        <v>2035</v>
      </c>
      <c r="P20" s="15">
        <v>2036</v>
      </c>
      <c r="Q20" s="15">
        <v>2037</v>
      </c>
      <c r="R20" s="15">
        <v>2038</v>
      </c>
      <c r="S20" s="15">
        <v>2039</v>
      </c>
      <c r="T20" s="15">
        <v>2040</v>
      </c>
      <c r="U20" s="15">
        <v>2041</v>
      </c>
      <c r="V20" s="15">
        <v>2042</v>
      </c>
      <c r="W20" s="15">
        <v>2043</v>
      </c>
      <c r="X20" s="15">
        <v>2044</v>
      </c>
      <c r="Y20" s="15">
        <v>2045</v>
      </c>
      <c r="Z20" s="15">
        <v>2046</v>
      </c>
      <c r="AA20" s="15">
        <v>2047</v>
      </c>
      <c r="AB20" s="15">
        <v>2048</v>
      </c>
      <c r="AC20" s="15">
        <v>2049</v>
      </c>
      <c r="AD20" s="15">
        <v>2050</v>
      </c>
      <c r="AE20" s="15">
        <v>2051</v>
      </c>
      <c r="AF20" s="15">
        <v>2052</v>
      </c>
      <c r="AG20" s="15">
        <v>2053</v>
      </c>
      <c r="AH20" s="15">
        <v>2054</v>
      </c>
      <c r="AI20" s="15">
        <v>2055</v>
      </c>
      <c r="AJ20" s="15">
        <v>2056</v>
      </c>
      <c r="AK20" s="15">
        <v>2057</v>
      </c>
      <c r="AL20" s="15">
        <v>2058</v>
      </c>
      <c r="AM20" s="15">
        <v>2059</v>
      </c>
      <c r="AN20" s="15">
        <v>2060</v>
      </c>
    </row>
    <row r="21" spans="1:40" x14ac:dyDescent="0.2">
      <c r="A21" s="15" t="s">
        <v>43</v>
      </c>
      <c r="B21" s="22">
        <f>'Level of Activity (LA) - frgt'!B21*'Level of Activity (LA) - frgt'!$B$19</f>
        <v>475049.33560207306</v>
      </c>
      <c r="C21" s="22">
        <f>'Level of Activity (LA) - frgt'!C21*'Level of Activity (LA) - frgt'!$B$19</f>
        <v>499051.20328336774</v>
      </c>
      <c r="D21" s="22">
        <f>'Level of Activity (LA) - frgt'!D21*'Level of Activity (LA) - frgt'!$B$19</f>
        <v>524265.76532925986</v>
      </c>
      <c r="E21" s="22">
        <f>'Level of Activity (LA) - frgt'!E21*'Level of Activity (LA) - frgt'!$B$19</f>
        <v>550754.29312252067</v>
      </c>
      <c r="F21" s="22">
        <f>'Level of Activity (LA) - frgt'!F21*'Level of Activity (LA) - frgt'!$B$19</f>
        <v>578581.15378253604</v>
      </c>
      <c r="G21" s="22">
        <f>'Level of Activity (LA) - frgt'!G21*'Level of Activity (LA) - frgt'!$B$19</f>
        <v>607813.96657739882</v>
      </c>
      <c r="H21" s="22">
        <f>'Level of Activity (LA) - frgt'!H21*'Level of Activity (LA) - frgt'!$B$19</f>
        <v>638523.76723872183</v>
      </c>
      <c r="I21" s="22">
        <f>'Level of Activity (LA) - frgt'!I21*'Level of Activity (LA) - frgt'!$B$19</f>
        <v>670785.18057845836</v>
      </c>
      <c r="J21" s="22">
        <f>'Level of Activity (LA) - frgt'!J21*'Level of Activity (LA) - frgt'!$B$19</f>
        <v>704676.6018271849</v>
      </c>
      <c r="K21" s="22">
        <f>'Level of Activity (LA) - frgt'!K21*'Level of Activity (LA) - frgt'!$B$19</f>
        <v>740280.38713450334</v>
      </c>
      <c r="L21" s="22">
        <f>'Level of Activity (LA) - frgt'!L21*'Level of Activity (LA) - frgt'!$B$19</f>
        <v>777683.05369447428</v>
      </c>
      <c r="M21" s="22">
        <f>'Level of Activity (LA) - frgt'!M21*'Level of Activity (LA) - frgt'!$B$19</f>
        <v>816975.48998238763</v>
      </c>
      <c r="N21" s="22">
        <f>'Level of Activity (LA) - frgt'!N21*'Level of Activity (LA) - frgt'!$B$19</f>
        <v>858253.17661374796</v>
      </c>
      <c r="O21" s="22">
        <f>'Level of Activity (LA) - frgt'!O21*'Level of Activity (LA) - frgt'!$B$19</f>
        <v>901616.4183621573</v>
      </c>
      <c r="P21" s="22">
        <f>'Level of Activity (LA) - frgt'!P21*'Level of Activity (LA) - frgt'!$B$19</f>
        <v>947170.58789990528</v>
      </c>
      <c r="Q21" s="22">
        <f>'Level of Activity (LA) - frgt'!Q21*'Level of Activity (LA) - frgt'!$B$19</f>
        <v>995026.38185354776</v>
      </c>
      <c r="R21" s="22">
        <f>'Level of Activity (LA) - frgt'!R21*'Level of Activity (LA) - frgt'!$B$19</f>
        <v>1045300.0897966987</v>
      </c>
      <c r="S21" s="22">
        <f>'Level of Activity (LA) - frgt'!S21*'Level of Activity (LA) - frgt'!$B$19</f>
        <v>1098113.8768336764</v>
      </c>
      <c r="T21" s="22">
        <f>'Level of Activity (LA) - frgt'!T21*'Level of Activity (LA) - frgt'!$B$19</f>
        <v>1153596.0804606983</v>
      </c>
      <c r="U21" s="22">
        <f>'Level of Activity (LA) - frgt'!U21*'Level of Activity (LA) - frgt'!$B$19</f>
        <v>1211881.522425975</v>
      </c>
      <c r="V21" s="22">
        <f>'Level of Activity (LA) - frgt'!V21*'Level of Activity (LA) - frgt'!$B$19</f>
        <v>1273111.8363465471</v>
      </c>
      <c r="W21" s="22">
        <f>'Level of Activity (LA) - frgt'!W21*'Level of Activity (LA) - frgt'!$B$19</f>
        <v>1337435.8118779561</v>
      </c>
      <c r="X21" s="22">
        <f>'Level of Activity (LA) - frgt'!X21*'Level of Activity (LA) - frgt'!$B$19</f>
        <v>1405009.7562730901</v>
      </c>
      <c r="Y21" s="22">
        <f>'Level of Activity (LA) - frgt'!Y21*'Level of Activity (LA) - frgt'!$B$19</f>
        <v>1475997.8742087879</v>
      </c>
      <c r="Z21" s="22">
        <f>'Level of Activity (LA) - frgt'!Z21*'Level of Activity (LA) - frgt'!$B$19</f>
        <v>1550572.6668031865</v>
      </c>
      <c r="AA21" s="22">
        <f>'Level of Activity (LA) - frgt'!AA21*'Level of Activity (LA) - frgt'!$B$19</f>
        <v>1628915.3507934178</v>
      </c>
      <c r="AB21" s="22">
        <f>'Level of Activity (LA) - frgt'!AB21*'Level of Activity (LA) - frgt'!$B$19</f>
        <v>1711216.2988922556</v>
      </c>
      <c r="AC21" s="22">
        <f>'Level of Activity (LA) - frgt'!AC21*'Level of Activity (LA) - frgt'!$B$19</f>
        <v>1797675.5023937861</v>
      </c>
      <c r="AD21" s="22">
        <f>'Level of Activity (LA) - frgt'!AD21*'Level of Activity (LA) - frgt'!$B$19</f>
        <v>1888503.0571522324</v>
      </c>
      <c r="AE21" s="22">
        <f>'Level of Activity (LA) - frgt'!AE21*'Level of Activity (LA) - frgt'!$B$19</f>
        <v>1983919.6741148483</v>
      </c>
      <c r="AF21" s="22">
        <f>'Level of Activity (LA) - frgt'!AF21*'Level of Activity (LA) - frgt'!$B$19</f>
        <v>2084157.2156495017</v>
      </c>
      <c r="AG21" s="22">
        <f>'Level of Activity (LA) - frgt'!AG21*'Level of Activity (LA) - frgt'!$B$19</f>
        <v>2189459.2589701922</v>
      </c>
      <c r="AH21" s="22">
        <f>'Level of Activity (LA) - frgt'!AH21*'Level of Activity (LA) - frgt'!$B$19</f>
        <v>2300081.6880296613</v>
      </c>
      <c r="AI21" s="22">
        <f>'Level of Activity (LA) - frgt'!AI21*'Level of Activity (LA) - frgt'!$B$19</f>
        <v>2416293.3153173607</v>
      </c>
      <c r="AJ21" s="22">
        <f>'Level of Activity (LA) - frgt'!AJ21*'Level of Activity (LA) - frgt'!$B$19</f>
        <v>2538376.5350737702</v>
      </c>
      <c r="AK21" s="22">
        <f>'Level of Activity (LA) - frgt'!AK21*'Level of Activity (LA) - frgt'!$B$19</f>
        <v>2666628.0095083714</v>
      </c>
      <c r="AL21" s="22">
        <f>'Level of Activity (LA) - frgt'!AL21*'Level of Activity (LA) - frgt'!$B$19</f>
        <v>2801359.3896887815</v>
      </c>
      <c r="AM21" s="22">
        <f>'Level of Activity (LA) - frgt'!AM21*'Level of Activity (LA) - frgt'!$B$19</f>
        <v>2942898.0728528076</v>
      </c>
      <c r="AN21" s="22">
        <f>'Level of Activity (LA) - frgt'!AN21*'Level of Activity (LA) - frgt'!$B$19</f>
        <v>3091587.9979836955</v>
      </c>
    </row>
    <row r="22" spans="1:40" x14ac:dyDescent="0.2">
      <c r="A22" s="15" t="s">
        <v>44</v>
      </c>
      <c r="B22" s="22">
        <f>'Level of Activity (LA) - frgt'!B22*'Level of Activity (LA) - frgt'!$B$19</f>
        <v>8146535.7025480736</v>
      </c>
      <c r="C22" s="22">
        <f>'Level of Activity (LA) - frgt'!C22*'Level of Activity (LA) - frgt'!$B$19</f>
        <v>8558139.4189193137</v>
      </c>
      <c r="D22" s="22">
        <f>'Level of Activity (LA) - frgt'!D22*'Level of Activity (LA) - frgt'!$B$19</f>
        <v>8990539.4130602106</v>
      </c>
      <c r="E22" s="22">
        <f>'Level of Activity (LA) - frgt'!E22*'Level of Activity (LA) - frgt'!$B$19</f>
        <v>9444786.4169050772</v>
      </c>
      <c r="F22" s="22">
        <f>'Level of Activity (LA) - frgt'!F22*'Level of Activity (LA) - frgt'!$B$19</f>
        <v>9921984.2506192084</v>
      </c>
      <c r="G22" s="22">
        <f>'Level of Activity (LA) - frgt'!G22*'Level of Activity (LA) - frgt'!$B$19</f>
        <v>10423292.504881743</v>
      </c>
      <c r="H22" s="22">
        <f>'Level of Activity (LA) - frgt'!H22*'Level of Activity (LA) - frgt'!$B$19</f>
        <v>10949929.358690893</v>
      </c>
      <c r="I22" s="22">
        <f>'Level of Activity (LA) - frgt'!I22*'Level of Activity (LA) - frgt'!$B$19</f>
        <v>11503174.539538752</v>
      </c>
      <c r="J22" s="22">
        <f>'Level of Activity (LA) - frgt'!J22*'Level of Activity (LA) - frgt'!$B$19</f>
        <v>12084372.433148947</v>
      </c>
      <c r="K22" s="22">
        <f>'Level of Activity (LA) - frgt'!K22*'Level of Activity (LA) - frgt'!$B$19</f>
        <v>12694935.350333799</v>
      </c>
      <c r="L22" s="22">
        <f>'Level of Activity (LA) - frgt'!L22*'Level of Activity (LA) - frgt'!$B$19</f>
        <v>13336346.958909417</v>
      </c>
      <c r="M22" s="22">
        <f>'Level of Activity (LA) - frgt'!M22*'Level of Activity (LA) - frgt'!$B$19</f>
        <v>14010165.889008315</v>
      </c>
      <c r="N22" s="22">
        <f>'Level of Activity (LA) - frgt'!N22*'Level of Activity (LA) - frgt'!$B$19</f>
        <v>14718029.52055046</v>
      </c>
      <c r="O22" s="22">
        <f>'Level of Activity (LA) - frgt'!O22*'Level of Activity (LA) - frgt'!$B$19</f>
        <v>15461657.962076269</v>
      </c>
      <c r="P22" s="22">
        <f>'Level of Activity (LA) - frgt'!P22*'Level of Activity (LA) - frgt'!$B$19</f>
        <v>16242858.230610171</v>
      </c>
      <c r="Q22" s="22">
        <f>'Level of Activity (LA) - frgt'!Q22*'Level of Activity (LA) - frgt'!$B$19</f>
        <v>17063528.642711747</v>
      </c>
      <c r="R22" s="22">
        <f>'Level of Activity (LA) - frgt'!R22*'Level of Activity (LA) - frgt'!$B$19</f>
        <v>17925663.427384764</v>
      </c>
      <c r="S22" s="22">
        <f>'Level of Activity (LA) - frgt'!S22*'Level of Activity (LA) - frgt'!$B$19</f>
        <v>18831357.572053377</v>
      </c>
      <c r="T22" s="22">
        <f>'Level of Activity (LA) - frgt'!T22*'Level of Activity (LA) - frgt'!$B$19</f>
        <v>19782811.913381375</v>
      </c>
      <c r="U22" s="22">
        <f>'Level of Activity (LA) - frgt'!U22*'Level of Activity (LA) - frgt'!$B$19</f>
        <v>20782338.485304963</v>
      </c>
      <c r="V22" s="22">
        <f>'Level of Activity (LA) - frgt'!V22*'Level of Activity (LA) - frgt'!$B$19</f>
        <v>21832366.137274999</v>
      </c>
      <c r="W22" s="22">
        <f>'Level of Activity (LA) - frgt'!W22*'Level of Activity (LA) - frgt'!$B$19</f>
        <v>22935446.436360817</v>
      </c>
      <c r="X22" s="22">
        <f>'Level of Activity (LA) - frgt'!X22*'Level of Activity (LA) - frgt'!$B$19</f>
        <v>24094259.867557947</v>
      </c>
      <c r="Y22" s="22">
        <f>'Level of Activity (LA) - frgt'!Y22*'Level of Activity (LA) - frgt'!$B$19</f>
        <v>25311622.347366311</v>
      </c>
      <c r="Z22" s="22">
        <f>'Level of Activity (LA) - frgt'!Z22*'Level of Activity (LA) - frgt'!$B$19</f>
        <v>26590492.066466991</v>
      </c>
      <c r="AA22" s="22">
        <f>'Level of Activity (LA) - frgt'!AA22*'Level of Activity (LA) - frgt'!$B$19</f>
        <v>27933976.678125232</v>
      </c>
      <c r="AB22" s="22">
        <f>'Level of Activity (LA) - frgt'!AB22*'Level of Activity (LA) - frgt'!$B$19</f>
        <v>29345340.849787522</v>
      </c>
      <c r="AC22" s="22">
        <f>'Level of Activity (LA) - frgt'!AC22*'Level of Activity (LA) - frgt'!$B$19</f>
        <v>30828014.196223028</v>
      </c>
      <c r="AD22" s="22">
        <f>'Level of Activity (LA) - frgt'!AD22*'Level of Activity (LA) - frgt'!$B$19</f>
        <v>32385599.613487199</v>
      </c>
      <c r="AE22" s="22">
        <f>'Level of Activity (LA) - frgt'!AE22*'Level of Activity (LA) - frgt'!$B$19</f>
        <v>34021882.033958621</v>
      </c>
      <c r="AF22" s="22">
        <f>'Level of Activity (LA) - frgt'!AF22*'Level of Activity (LA) - frgt'!$B$19</f>
        <v>35740837.623724386</v>
      </c>
      <c r="AG22" s="22">
        <f>'Level of Activity (LA) - frgt'!AG22*'Level of Activity (LA) - frgt'!$B$19</f>
        <v>37546643.444663063</v>
      </c>
      <c r="AH22" s="22">
        <f>'Level of Activity (LA) - frgt'!AH22*'Level of Activity (LA) - frgt'!$B$19</f>
        <v>39443687.604704663</v>
      </c>
      <c r="AI22" s="22">
        <f>'Level of Activity (LA) - frgt'!AI22*'Level of Activity (LA) - frgt'!$B$19</f>
        <v>41436579.920932382</v>
      </c>
      <c r="AJ22" s="22">
        <f>'Level of Activity (LA) - frgt'!AJ22*'Level of Activity (LA) - frgt'!$B$19</f>
        <v>43530163.121437483</v>
      </c>
      <c r="AK22" s="22">
        <f>'Level of Activity (LA) - frgt'!AK22*'Level of Activity (LA) - frgt'!$B$19</f>
        <v>45729524.613148093</v>
      </c>
      <c r="AL22" s="22">
        <f>'Level of Activity (LA) - frgt'!AL22*'Level of Activity (LA) - frgt'!$B$19</f>
        <v>48040008.844227411</v>
      </c>
      <c r="AM22" s="22">
        <f>'Level of Activity (LA) - frgt'!AM22*'Level of Activity (LA) - frgt'!$B$19</f>
        <v>50467230.291081987</v>
      </c>
      <c r="AN22" s="22">
        <f>'Level of Activity (LA) - frgt'!AN22*'Level of Activity (LA) - frgt'!$B$19</f>
        <v>53017087.101538919</v>
      </c>
    </row>
    <row r="25" spans="1:40" x14ac:dyDescent="0.2">
      <c r="A25" s="17" t="s">
        <v>83</v>
      </c>
    </row>
    <row r="26" spans="1:40" x14ac:dyDescent="0.2">
      <c r="A26" s="14" t="s">
        <v>16</v>
      </c>
    </row>
    <row r="27" spans="1:40" x14ac:dyDescent="0.2">
      <c r="A27" s="14" t="s">
        <v>68</v>
      </c>
    </row>
    <row r="28" spans="1:40" x14ac:dyDescent="0.2">
      <c r="A28" s="14" t="s">
        <v>18</v>
      </c>
    </row>
    <row r="29" spans="1:40" x14ac:dyDescent="0.2">
      <c r="A29" s="14"/>
    </row>
    <row r="30" spans="1:40" x14ac:dyDescent="0.2">
      <c r="A30" s="15" t="s">
        <v>19</v>
      </c>
      <c r="B30" s="15">
        <v>2022</v>
      </c>
      <c r="C30" s="15">
        <v>2023</v>
      </c>
      <c r="D30" s="15">
        <v>2024</v>
      </c>
      <c r="E30" s="15">
        <v>2025</v>
      </c>
      <c r="F30" s="15">
        <v>2026</v>
      </c>
      <c r="G30" s="15">
        <v>2027</v>
      </c>
      <c r="H30" s="15">
        <v>2028</v>
      </c>
      <c r="I30" s="15">
        <v>2029</v>
      </c>
      <c r="J30" s="15">
        <v>2030</v>
      </c>
      <c r="K30" s="15">
        <v>2031</v>
      </c>
      <c r="L30" s="15">
        <v>2032</v>
      </c>
      <c r="M30" s="15">
        <v>2033</v>
      </c>
      <c r="N30" s="15">
        <v>2034</v>
      </c>
      <c r="O30" s="15">
        <v>2035</v>
      </c>
      <c r="P30" s="15">
        <v>2036</v>
      </c>
      <c r="Q30" s="15">
        <v>2037</v>
      </c>
      <c r="R30" s="15">
        <v>2038</v>
      </c>
      <c r="S30" s="15">
        <v>2039</v>
      </c>
      <c r="T30" s="15">
        <v>2040</v>
      </c>
      <c r="U30" s="15">
        <v>2041</v>
      </c>
      <c r="V30" s="15">
        <v>2042</v>
      </c>
      <c r="W30" s="15">
        <v>2043</v>
      </c>
      <c r="X30" s="15">
        <v>2044</v>
      </c>
      <c r="Y30" s="15">
        <v>2045</v>
      </c>
      <c r="Z30" s="15">
        <v>2046</v>
      </c>
      <c r="AA30" s="15">
        <v>2047</v>
      </c>
      <c r="AB30" s="15">
        <v>2048</v>
      </c>
      <c r="AC30" s="15">
        <v>2049</v>
      </c>
      <c r="AD30" s="15">
        <v>2050</v>
      </c>
      <c r="AE30" s="15">
        <v>2051</v>
      </c>
      <c r="AF30" s="15">
        <v>2052</v>
      </c>
      <c r="AG30" s="15">
        <v>2053</v>
      </c>
      <c r="AH30" s="15">
        <v>2054</v>
      </c>
      <c r="AI30" s="15">
        <v>2055</v>
      </c>
      <c r="AJ30" s="15">
        <v>2056</v>
      </c>
      <c r="AK30" s="15">
        <v>2057</v>
      </c>
      <c r="AL30" s="15">
        <v>2058</v>
      </c>
      <c r="AM30" s="15">
        <v>2059</v>
      </c>
      <c r="AN30" s="15">
        <v>2060</v>
      </c>
    </row>
    <row r="31" spans="1:40" x14ac:dyDescent="0.2">
      <c r="A31" s="15" t="s">
        <v>69</v>
      </c>
      <c r="B31" s="22">
        <f>'Level of Activity (LA) - frgt'!B31*'Level of Activity (LA) - frgt'!$B$29</f>
        <v>30924827.600194439</v>
      </c>
      <c r="C31" s="22">
        <f>'Level of Activity (LA) - frgt'!C31*'Level of Activity (LA) - frgt'!$B$29</f>
        <v>32487304.514694262</v>
      </c>
      <c r="D31" s="22">
        <f>'Level of Activity (LA) - frgt'!D31*'Level of Activity (LA) - frgt'!$B$29</f>
        <v>34128725.575299188</v>
      </c>
      <c r="E31" s="22">
        <f>'Level of Activity (LA) - frgt'!E31*'Level of Activity (LA) - frgt'!$B$29</f>
        <v>35853079.434991181</v>
      </c>
      <c r="F31" s="22">
        <f>'Level of Activity (LA) - frgt'!F31*'Level of Activity (LA) - frgt'!$B$29</f>
        <v>37664556.273444101</v>
      </c>
      <c r="G31" s="22">
        <f>'Level of Activity (LA) - frgt'!G31*'Level of Activity (LA) - frgt'!$B$29</f>
        <v>39567557.979159869</v>
      </c>
      <c r="H31" s="22">
        <f>'Level of Activity (LA) - frgt'!H31*'Level of Activity (LA) - frgt'!$B$29</f>
        <v>41566708.846056931</v>
      </c>
      <c r="I31" s="22">
        <f>'Level of Activity (LA) - frgt'!I31*'Level of Activity (LA) - frgt'!$B$29</f>
        <v>43666866.810503952</v>
      </c>
      <c r="J31" s="22">
        <f>'Level of Activity (LA) - frgt'!J31*'Level of Activity (LA) - frgt'!$B$29</f>
        <v>45873135.256104663</v>
      </c>
      <c r="K31" s="22">
        <f>'Level of Activity (LA) - frgt'!K31*'Level of Activity (LA) - frgt'!$B$29</f>
        <v>48190875.414919354</v>
      </c>
      <c r="L31" s="22">
        <f>'Level of Activity (LA) - frgt'!L31*'Level of Activity (LA) - frgt'!$B$29</f>
        <v>50625719.395258166</v>
      </c>
      <c r="M31" s="22">
        <f>'Level of Activity (LA) - frgt'!M31*'Level of Activity (LA) - frgt'!$B$29</f>
        <v>53183583.867703579</v>
      </c>
      <c r="N31" s="22">
        <f>'Level of Activity (LA) - frgt'!N31*'Level of Activity (LA) - frgt'!$B$29</f>
        <v>55870684.442619309</v>
      </c>
      <c r="O31" s="22">
        <f>'Level of Activity (LA) - frgt'!O31*'Level of Activity (LA) - frgt'!$B$29</f>
        <v>58693550.774082646</v>
      </c>
      <c r="P31" s="22">
        <f>'Level of Activity (LA) - frgt'!P31*'Level of Activity (LA) - frgt'!$B$29</f>
        <v>61659042.426943161</v>
      </c>
      <c r="Q31" s="22">
        <f>'Level of Activity (LA) - frgt'!Q31*'Level of Activity (LA) - frgt'!$B$29</f>
        <v>64774365.545564465</v>
      </c>
      <c r="R31" s="22">
        <f>'Level of Activity (LA) - frgt'!R31*'Level of Activity (LA) - frgt'!$B$29</f>
        <v>68047090.364754096</v>
      </c>
      <c r="S31" s="22">
        <f>'Level of Activity (LA) - frgt'!S31*'Level of Activity (LA) - frgt'!$B$29</f>
        <v>71485169.605433285</v>
      </c>
      <c r="T31" s="22">
        <f>'Level of Activity (LA) - frgt'!T31*'Level of Activity (LA) - frgt'!$B$29</f>
        <v>75096957.79974784</v>
      </c>
      <c r="U31" s="22">
        <f>'Level of Activity (LA) - frgt'!U31*'Level of Activity (LA) - frgt'!$B$29</f>
        <v>78891231.59258008</v>
      </c>
      <c r="V31" s="22">
        <f>'Level of Activity (LA) - frgt'!V31*'Level of Activity (LA) - frgt'!$B$29</f>
        <v>82877211.068795204</v>
      </c>
      <c r="W31" s="22">
        <f>'Level of Activity (LA) - frgt'!W31*'Level of Activity (LA) - frgt'!$B$29</f>
        <v>87064582.158046067</v>
      </c>
      <c r="X31" s="22">
        <f>'Level of Activity (LA) - frgt'!X31*'Level of Activity (LA) - frgt'!$B$29</f>
        <v>91463520.171581358</v>
      </c>
      <c r="Y31" s="22">
        <f>'Level of Activity (LA) - frgt'!Y31*'Level of Activity (LA) - frgt'!$B$29</f>
        <v>96084714.528250471</v>
      </c>
      <c r="Z31" s="22">
        <f>'Level of Activity (LA) - frgt'!Z31*'Level of Activity (LA) - frgt'!$B$29</f>
        <v>100939394.72979032</v>
      </c>
      <c r="AA31" s="22">
        <f>'Level of Activity (LA) - frgt'!AA31*'Level of Activity (LA) - frgt'!$B$29</f>
        <v>106039357.64851294</v>
      </c>
      <c r="AB31" s="22">
        <f>'Level of Activity (LA) - frgt'!AB31*'Level of Activity (LA) - frgt'!$B$29</f>
        <v>111396996.19370411</v>
      </c>
      <c r="AC31" s="22">
        <f>'Level of Activity (LA) - frgt'!AC31*'Level of Activity (LA) - frgt'!$B$29</f>
        <v>117025329.42639102</v>
      </c>
      <c r="AD31" s="22">
        <f>'Level of Activity (LA) - frgt'!AD31*'Level of Activity (LA) - frgt'!$B$29</f>
        <v>122938034.1956594</v>
      </c>
      <c r="AE31" s="22">
        <f>'Level of Activity (LA) - frgt'!AE31*'Level of Activity (LA) - frgt'!$B$29</f>
        <v>129149478.37339509</v>
      </c>
      <c r="AF31" s="22">
        <f>'Level of Activity (LA) - frgt'!AF31*'Level of Activity (LA) - frgt'!$B$29</f>
        <v>135674755.76821086</v>
      </c>
      <c r="AG31" s="22">
        <f>'Level of Activity (LA) - frgt'!AG31*'Level of Activity (LA) - frgt'!$B$29</f>
        <v>142529722.80339971</v>
      </c>
      <c r="AH31" s="22">
        <f>'Level of Activity (LA) - frgt'!AH31*'Level of Activity (LA) - frgt'!$B$29</f>
        <v>149731037.04804149</v>
      </c>
      <c r="AI31" s="22">
        <f>'Level of Activity (LA) - frgt'!AI31*'Level of Activity (LA) - frgt'!$B$29</f>
        <v>157296197.69489378</v>
      </c>
      <c r="AJ31" s="22">
        <f>'Level of Activity (LA) - frgt'!AJ31*'Level of Activity (LA) - frgt'!$B$29</f>
        <v>165243588.08342829</v>
      </c>
      <c r="AK31" s="22">
        <f>'Level of Activity (LA) - frgt'!AK31*'Level of Activity (LA) - frgt'!$B$29</f>
        <v>173592520.37134349</v>
      </c>
      <c r="AL31" s="22">
        <f>'Level of Activity (LA) - frgt'!AL31*'Level of Activity (LA) - frgt'!$B$29</f>
        <v>182363282.46310559</v>
      </c>
      <c r="AM31" s="22">
        <f>'Level of Activity (LA) - frgt'!AM31*'Level of Activity (LA) - frgt'!$B$29</f>
        <v>191577187.30955404</v>
      </c>
      <c r="AN31" s="22">
        <f>'Level of Activity (LA) - frgt'!AN31*'Level of Activity (LA) - frgt'!$B$29</f>
        <v>201256624.6983692</v>
      </c>
    </row>
    <row r="32" spans="1:40" x14ac:dyDescent="0.2">
      <c r="A32" s="15" t="s">
        <v>70</v>
      </c>
      <c r="B32" s="22">
        <f>'Level of Activity (LA) - frgt'!B32*'Level of Activity (LA) - frgt'!$B$29</f>
        <v>1351905.0317024605</v>
      </c>
      <c r="C32" s="22">
        <f>'Level of Activity (LA) - frgt'!C32*'Level of Activity (LA) - frgt'!$B$29</f>
        <v>1420210.0334292271</v>
      </c>
      <c r="D32" s="22">
        <f>'Level of Activity (LA) - frgt'!D32*'Level of Activity (LA) - frgt'!$B$29</f>
        <v>1491966.1453682389</v>
      </c>
      <c r="E32" s="22">
        <f>'Level of Activity (LA) - frgt'!E32*'Level of Activity (LA) - frgt'!$B$29</f>
        <v>1567347.7348629693</v>
      </c>
      <c r="F32" s="22">
        <f>'Level of Activity (LA) - frgt'!F32*'Level of Activity (LA) - frgt'!$B$29</f>
        <v>1646537.9791669203</v>
      </c>
      <c r="G32" s="22">
        <f>'Level of Activity (LA) - frgt'!G32*'Level of Activity (LA) - frgt'!$B$29</f>
        <v>1729729.3105643289</v>
      </c>
      <c r="H32" s="22">
        <f>'Level of Activity (LA) - frgt'!H32*'Level of Activity (LA) - frgt'!$B$29</f>
        <v>1817123.883980592</v>
      </c>
      <c r="I32" s="22">
        <f>'Level of Activity (LA) - frgt'!I32*'Level of Activity (LA) - frgt'!$B$29</f>
        <v>1908934.0682187115</v>
      </c>
      <c r="J32" s="22">
        <f>'Level of Activity (LA) - frgt'!J32*'Level of Activity (LA) - frgt'!$B$29</f>
        <v>2005382.9620154619</v>
      </c>
      <c r="K32" s="22">
        <f>'Level of Activity (LA) - frgt'!K32*'Level of Activity (LA) - frgt'!$B$29</f>
        <v>2106704.9361712933</v>
      </c>
      <c r="L32" s="22">
        <f>'Level of Activity (LA) - frgt'!L32*'Level of Activity (LA) - frgt'!$B$29</f>
        <v>2213146.2030713479</v>
      </c>
      <c r="M32" s="22">
        <f>'Level of Activity (LA) - frgt'!M32*'Level of Activity (LA) - frgt'!$B$29</f>
        <v>2324965.4149815277</v>
      </c>
      <c r="N32" s="22">
        <f>'Level of Activity (LA) - frgt'!N32*'Level of Activity (LA) - frgt'!$B$29</f>
        <v>2442434.2925734697</v>
      </c>
      <c r="O32" s="22">
        <f>'Level of Activity (LA) - frgt'!O32*'Level of Activity (LA) - frgt'!$B$29</f>
        <v>2565838.2852057442</v>
      </c>
      <c r="P32" s="22">
        <f>'Level of Activity (LA) - frgt'!P32*'Level of Activity (LA) - frgt'!$B$29</f>
        <v>2695477.264565764</v>
      </c>
      <c r="Q32" s="22">
        <f>'Level of Activity (LA) - frgt'!Q32*'Level of Activity (LA) - frgt'!$B$29</f>
        <v>2831666.2533579492</v>
      </c>
      <c r="R32" s="22">
        <f>'Level of Activity (LA) - frgt'!R32*'Level of Activity (LA) - frgt'!$B$29</f>
        <v>2974736.1908088597</v>
      </c>
      <c r="S32" s="22">
        <f>'Level of Activity (LA) - frgt'!S32*'Level of Activity (LA) - frgt'!$B$29</f>
        <v>3125034.7368494761</v>
      </c>
      <c r="T32" s="22">
        <f>'Level of Activity (LA) - frgt'!T32*'Level of Activity (LA) - frgt'!$B$29</f>
        <v>3282927.1169287972</v>
      </c>
      <c r="U32" s="22">
        <f>'Level of Activity (LA) - frgt'!U32*'Level of Activity (LA) - frgt'!$B$29</f>
        <v>3448797.009511624</v>
      </c>
      <c r="V32" s="22">
        <f>'Level of Activity (LA) - frgt'!V32*'Level of Activity (LA) - frgt'!$B$29</f>
        <v>3623047.4784171991</v>
      </c>
      <c r="W32" s="22">
        <f>'Level of Activity (LA) - frgt'!W32*'Level of Activity (LA) - frgt'!$B$29</f>
        <v>3806101.9522642279</v>
      </c>
      <c r="X32" s="22">
        <f>'Level of Activity (LA) - frgt'!X32*'Level of Activity (LA) - frgt'!$B$29</f>
        <v>3998405.2534023779</v>
      </c>
      <c r="Y32" s="22">
        <f>'Level of Activity (LA) - frgt'!Y32*'Level of Activity (LA) - frgt'!$B$29</f>
        <v>4200424.6788305324</v>
      </c>
      <c r="Z32" s="22">
        <f>'Level of Activity (LA) - frgt'!Z32*'Level of Activity (LA) - frgt'!$B$29</f>
        <v>4412651.1357284449</v>
      </c>
      <c r="AA32" s="22">
        <f>'Level of Activity (LA) - frgt'!AA32*'Level of Activity (LA) - frgt'!$B$29</f>
        <v>4635600.3343611239</v>
      </c>
      <c r="AB32" s="22">
        <f>'Level of Activity (LA) - frgt'!AB32*'Level of Activity (LA) - frgt'!$B$29</f>
        <v>4869814.0412547216</v>
      </c>
      <c r="AC32" s="22">
        <f>'Level of Activity (LA) - frgt'!AC32*'Level of Activity (LA) - frgt'!$B$29</f>
        <v>5115861.3956891149</v>
      </c>
      <c r="AD32" s="22">
        <f>'Level of Activity (LA) - frgt'!AD32*'Level of Activity (LA) - frgt'!$B$29</f>
        <v>5374340.292706307</v>
      </c>
      <c r="AE32" s="22">
        <f>'Level of Activity (LA) - frgt'!AE32*'Level of Activity (LA) - frgt'!$B$29</f>
        <v>5645878.8359952932</v>
      </c>
      <c r="AF32" s="22">
        <f>'Level of Activity (LA) - frgt'!AF32*'Level of Activity (LA) - frgt'!$B$29</f>
        <v>5931136.8641839558</v>
      </c>
      <c r="AG32" s="22">
        <f>'Level of Activity (LA) - frgt'!AG32*'Level of Activity (LA) - frgt'!$B$29</f>
        <v>6230807.5542468494</v>
      </c>
      <c r="AH32" s="22">
        <f>'Level of Activity (LA) - frgt'!AH32*'Level of Activity (LA) - frgt'!$B$29</f>
        <v>6545619.1059251707</v>
      </c>
      <c r="AI32" s="22">
        <f>'Level of Activity (LA) - frgt'!AI32*'Level of Activity (LA) - frgt'!$B$29</f>
        <v>6876336.51125204</v>
      </c>
      <c r="AJ32" s="22">
        <f>'Level of Activity (LA) - frgt'!AJ32*'Level of Activity (LA) - frgt'!$B$29</f>
        <v>7223763.4134830488</v>
      </c>
      <c r="AK32" s="22">
        <f>'Level of Activity (LA) - frgt'!AK32*'Level of Activity (LA) - frgt'!$B$29</f>
        <v>7588744.0599492807</v>
      </c>
      <c r="AL32" s="22">
        <f>'Level of Activity (LA) - frgt'!AL32*'Level of Activity (LA) - frgt'!$B$29</f>
        <v>7972165.3535782183</v>
      </c>
      <c r="AM32" s="22">
        <f>'Level of Activity (LA) - frgt'!AM32*'Level of Activity (LA) - frgt'!$B$29</f>
        <v>8374959.0080677569</v>
      </c>
      <c r="AN32" s="22">
        <f>'Level of Activity (LA) - frgt'!AN32*'Level of Activity (LA) - frgt'!$B$29</f>
        <v>8798103.81195038</v>
      </c>
    </row>
    <row r="33" spans="1:40" x14ac:dyDescent="0.2">
      <c r="A33" s="15" t="s">
        <v>71</v>
      </c>
      <c r="B33" s="22">
        <f>'Level of Activity (LA) - frgt'!B33*'Level of Activity (LA) - frgt'!$B$29</f>
        <v>91334011.090491429</v>
      </c>
      <c r="C33" s="22">
        <f>'Level of Activity (LA) - frgt'!C33*'Level of Activity (LA) - frgt'!$B$29</f>
        <v>95948662.000838488</v>
      </c>
      <c r="D33" s="22">
        <f>'Level of Activity (LA) - frgt'!D33*'Level of Activity (LA) - frgt'!$B$29</f>
        <v>100796468.14843085</v>
      </c>
      <c r="E33" s="22">
        <f>'Level of Activity (LA) - frgt'!E33*'Level of Activity (LA) - frgt'!$B$29</f>
        <v>105889209.70163031</v>
      </c>
      <c r="F33" s="22">
        <f>'Level of Activity (LA) - frgt'!F33*'Level of Activity (LA) - frgt'!$B$29</f>
        <v>111239262.02180515</v>
      </c>
      <c r="G33" s="22">
        <f>'Level of Activity (LA) - frgt'!G33*'Level of Activity (LA) - frgt'!$B$29</f>
        <v>116859625.73545687</v>
      </c>
      <c r="H33" s="22">
        <f>'Level of Activity (LA) - frgt'!H33*'Level of Activity (LA) - frgt'!$B$29</f>
        <v>122763958.32574087</v>
      </c>
      <c r="I33" s="22">
        <f>'Level of Activity (LA) - frgt'!I33*'Level of Activity (LA) - frgt'!$B$29</f>
        <v>128966607.32014892</v>
      </c>
      <c r="J33" s="22">
        <f>'Level of Activity (LA) - frgt'!J33*'Level of Activity (LA) - frgt'!$B$29</f>
        <v>135482645.15499943</v>
      </c>
      <c r="K33" s="22">
        <f>'Level of Activity (LA) - frgt'!K33*'Level of Activity (LA) - frgt'!$B$29</f>
        <v>142327905.80145577</v>
      </c>
      <c r="L33" s="22">
        <f>'Level of Activity (LA) - frgt'!L33*'Level of Activity (LA) - frgt'!$B$29</f>
        <v>149519023.24207434</v>
      </c>
      <c r="M33" s="22">
        <f>'Level of Activity (LA) - frgt'!M33*'Level of Activity (LA) - frgt'!$B$29</f>
        <v>157073471.89138016</v>
      </c>
      <c r="N33" s="22">
        <f>'Level of Activity (LA) - frgt'!N33*'Level of Activity (LA) - frgt'!$B$29</f>
        <v>165009609.05869216</v>
      </c>
      <c r="O33" s="22">
        <f>'Level of Activity (LA) - frgt'!O33*'Level of Activity (LA) - frgt'!$B$29</f>
        <v>173346719.55638257</v>
      </c>
      <c r="P33" s="22">
        <f>'Level of Activity (LA) - frgt'!P33*'Level of Activity (LA) - frgt'!$B$29</f>
        <v>182105062.5619688</v>
      </c>
      <c r="Q33" s="22">
        <f>'Level of Activity (LA) - frgt'!Q33*'Level of Activity (LA) - frgt'!$B$29</f>
        <v>191305920.84791222</v>
      </c>
      <c r="R33" s="22">
        <f>'Level of Activity (LA) - frgt'!R33*'Level of Activity (LA) - frgt'!$B$29</f>
        <v>200971652.49875295</v>
      </c>
      <c r="S33" s="22">
        <f>'Level of Activity (LA) - frgt'!S33*'Level of Activity (LA) - frgt'!$B$29</f>
        <v>211125745.24125242</v>
      </c>
      <c r="T33" s="22">
        <f>'Level of Activity (LA) - frgt'!T33*'Level of Activity (LA) - frgt'!$B$29</f>
        <v>221792873.5195668</v>
      </c>
      <c r="U33" s="22">
        <f>'Level of Activity (LA) - frgt'!U33*'Level of Activity (LA) - frgt'!$B$29</f>
        <v>232998958.45414287</v>
      </c>
      <c r="V33" s="22">
        <f>'Level of Activity (LA) - frgt'!V33*'Level of Activity (LA) - frgt'!$B$29</f>
        <v>244771230.83003846</v>
      </c>
      <c r="W33" s="22">
        <f>'Level of Activity (LA) - frgt'!W33*'Level of Activity (LA) - frgt'!$B$29</f>
        <v>257138297.26772612</v>
      </c>
      <c r="X33" s="22">
        <f>'Level of Activity (LA) - frgt'!X33*'Level of Activity (LA) - frgt'!$B$29</f>
        <v>270130209.73717797</v>
      </c>
      <c r="Y33" s="22">
        <f>'Level of Activity (LA) - frgt'!Y33*'Level of Activity (LA) - frgt'!$B$29</f>
        <v>283778538.58414888</v>
      </c>
      <c r="Z33" s="22">
        <f>'Level of Activity (LA) - frgt'!Z33*'Level of Activity (LA) - frgt'!$B$29</f>
        <v>298116449.24611294</v>
      </c>
      <c r="AA33" s="22">
        <f>'Level of Activity (LA) - frgt'!AA33*'Level of Activity (LA) - frgt'!$B$29</f>
        <v>313178782.84427279</v>
      </c>
      <c r="AB33" s="22">
        <f>'Level of Activity (LA) - frgt'!AB33*'Level of Activity (LA) - frgt'!$B$29</f>
        <v>329002140.84747976</v>
      </c>
      <c r="AC33" s="22">
        <f>'Level of Activity (LA) - frgt'!AC33*'Level of Activity (LA) - frgt'!$B$29</f>
        <v>345624974.01379859</v>
      </c>
      <c r="AD33" s="22">
        <f>'Level of Activity (LA) - frgt'!AD33*'Level of Activity (LA) - frgt'!$B$29</f>
        <v>363087675.82584578</v>
      </c>
      <c r="AE33" s="22">
        <f>'Level of Activity (LA) - frgt'!AE33*'Level of Activity (LA) - frgt'!$B$29</f>
        <v>381432680.64694661</v>
      </c>
      <c r="AF33" s="22">
        <f>'Level of Activity (LA) - frgt'!AF33*'Level of Activity (LA) - frgt'!$B$29</f>
        <v>400704566.83663368</v>
      </c>
      <c r="AG33" s="22">
        <f>'Level of Activity (LA) - frgt'!AG33*'Level of Activity (LA) - frgt'!$B$29</f>
        <v>420950165.07605445</v>
      </c>
      <c r="AH33" s="22">
        <f>'Level of Activity (LA) - frgt'!AH33*'Level of Activity (LA) - frgt'!$B$29</f>
        <v>442218672.16652215</v>
      </c>
      <c r="AI33" s="22">
        <f>'Level of Activity (LA) - frgt'!AI33*'Level of Activity (LA) - frgt'!$B$29</f>
        <v>464561770.5777356</v>
      </c>
      <c r="AJ33" s="22">
        <f>'Level of Activity (LA) - frgt'!AJ33*'Level of Activity (LA) - frgt'!$B$29</f>
        <v>488033754.03617579</v>
      </c>
      <c r="AK33" s="22">
        <f>'Level of Activity (LA) - frgt'!AK33*'Level of Activity (LA) - frgt'!$B$29</f>
        <v>512691659.45885348</v>
      </c>
      <c r="AL33" s="22">
        <f>'Level of Activity (LA) - frgt'!AL33*'Level of Activity (LA) - frgt'!$B$29</f>
        <v>538595405.55301201</v>
      </c>
      <c r="AM33" s="22">
        <f>'Level of Activity (LA) - frgt'!AM33*'Level of Activity (LA) - frgt'!$B$29</f>
        <v>565807938.41857803</v>
      </c>
      <c r="AN33" s="22">
        <f>'Level of Activity (LA) - frgt'!AN33*'Level of Activity (LA) - frgt'!$B$29</f>
        <v>594395384.50717664</v>
      </c>
    </row>
    <row r="34" spans="1:40" x14ac:dyDescent="0.2">
      <c r="A34" s="15" t="s">
        <v>72</v>
      </c>
      <c r="B34" s="22">
        <f>'Level of Activity (LA) - frgt'!B34*'Level of Activity (LA) - frgt'!$B$29</f>
        <v>1566270545.9057233</v>
      </c>
      <c r="C34" s="22">
        <f>'Level of Activity (LA) - frgt'!C34*'Level of Activity (LA) - frgt'!$B$29</f>
        <v>1645406365.2376099</v>
      </c>
      <c r="D34" s="22">
        <f>'Level of Activity (LA) - frgt'!D34*'Level of Activity (LA) - frgt'!$B$29</f>
        <v>1728540521.8412402</v>
      </c>
      <c r="E34" s="22">
        <f>'Level of Activity (LA) - frgt'!E34*'Level of Activity (LA) - frgt'!$B$29</f>
        <v>1815875031.7072685</v>
      </c>
      <c r="F34" s="22">
        <f>'Level of Activity (LA) - frgt'!F34*'Level of Activity (LA) - frgt'!$B$29</f>
        <v>1907622117.684278</v>
      </c>
      <c r="G34" s="22">
        <f>'Level of Activity (LA) - frgt'!G34*'Level of Activity (LA) - frgt'!$B$29</f>
        <v>2004004725.1802762</v>
      </c>
      <c r="H34" s="22">
        <f>'Level of Activity (LA) - frgt'!H34*'Level of Activity (LA) - frgt'!$B$29</f>
        <v>2105257063.9200101</v>
      </c>
      <c r="I34" s="22">
        <f>'Level of Activity (LA) - frgt'!I34*'Level of Activity (LA) - frgt'!$B$29</f>
        <v>2211625177.0745687</v>
      </c>
      <c r="J34" s="22">
        <f>'Level of Activity (LA) - frgt'!J34*'Level of Activity (LA) - frgt'!$B$29</f>
        <v>2323367539.1462612</v>
      </c>
      <c r="K34" s="22">
        <f>'Level of Activity (LA) - frgt'!K34*'Level of Activity (LA) - frgt'!$B$29</f>
        <v>2440755684.061626</v>
      </c>
      <c r="L34" s="22">
        <f>'Level of Activity (LA) - frgt'!L34*'Level of Activity (LA) - frgt'!$B$29</f>
        <v>2564074864.9988403</v>
      </c>
      <c r="M34" s="22">
        <f>'Level of Activity (LA) - frgt'!M34*'Level of Activity (LA) - frgt'!$B$29</f>
        <v>2693624747.5529065</v>
      </c>
      <c r="N34" s="22">
        <f>'Level of Activity (LA) - frgt'!N34*'Level of Activity (LA) - frgt'!$B$29</f>
        <v>2829720137.9230175</v>
      </c>
      <c r="O34" s="22">
        <f>'Level of Activity (LA) - frgt'!O34*'Level of Activity (LA) - frgt'!$B$29</f>
        <v>2972691747.8915777</v>
      </c>
      <c r="P34" s="22">
        <f>'Level of Activity (LA) - frgt'!P34*'Level of Activity (LA) - frgt'!$B$29</f>
        <v>3122886998.4537988</v>
      </c>
      <c r="Q34" s="22">
        <f>'Level of Activity (LA) - frgt'!Q34*'Level of Activity (LA) - frgt'!$B$29</f>
        <v>3280670864.0506773</v>
      </c>
      <c r="R34" s="22">
        <f>'Level of Activity (LA) - frgt'!R34*'Level of Activity (LA) - frgt'!$B$29</f>
        <v>3446426759.4568377</v>
      </c>
      <c r="S34" s="22">
        <f>'Level of Activity (LA) - frgt'!S34*'Level of Activity (LA) - frgt'!$B$29</f>
        <v>3620557471.4783936</v>
      </c>
      <c r="T34" s="22">
        <f>'Level of Activity (LA) - frgt'!T34*'Level of Activity (LA) - frgt'!$B$29</f>
        <v>3803486137.7248402</v>
      </c>
      <c r="U34" s="22">
        <f>'Level of Activity (LA) - frgt'!U34*'Level of Activity (LA) - frgt'!$B$29</f>
        <v>3995657274.8333874</v>
      </c>
      <c r="V34" s="22">
        <f>'Level of Activity (LA) - frgt'!V34*'Level of Activity (LA) - frgt'!$B$29</f>
        <v>4197537858.6443448</v>
      </c>
      <c r="W34" s="22">
        <f>'Level of Activity (LA) - frgt'!W34*'Level of Activity (LA) - frgt'!$B$29</f>
        <v>4409618458.9523497</v>
      </c>
      <c r="X34" s="22">
        <f>'Level of Activity (LA) - frgt'!X34*'Level of Activity (LA) - frgt'!$B$29</f>
        <v>4632414431.5909166</v>
      </c>
      <c r="Y34" s="22">
        <f>'Level of Activity (LA) - frgt'!Y34*'Level of Activity (LA) - frgt'!$B$29</f>
        <v>4866467170.7470474</v>
      </c>
      <c r="Z34" s="22">
        <f>'Level of Activity (LA) - frgt'!Z34*'Level of Activity (LA) - frgt'!$B$29</f>
        <v>5112345424.5490417</v>
      </c>
      <c r="AA34" s="22">
        <f>'Level of Activity (LA) - frgt'!AA34*'Level of Activity (LA) - frgt'!$B$29</f>
        <v>5370646677.1243811</v>
      </c>
      <c r="AB34" s="22">
        <f>'Level of Activity (LA) - frgt'!AB34*'Level of Activity (LA) - frgt'!$B$29</f>
        <v>5641998600.4860926</v>
      </c>
      <c r="AC34" s="22">
        <f>'Level of Activity (LA) - frgt'!AC34*'Level of Activity (LA) - frgt'!$B$29</f>
        <v>5927060579.775651</v>
      </c>
      <c r="AD34" s="22">
        <f>'Level of Activity (LA) - frgt'!AD34*'Level of Activity (LA) - frgt'!$B$29</f>
        <v>6226525315.5688162</v>
      </c>
      <c r="AE34" s="22">
        <f>'Level of Activity (LA) - frgt'!AE34*'Level of Activity (LA) - frgt'!$B$29</f>
        <v>6541120507.1379299</v>
      </c>
      <c r="AF34" s="22">
        <f>'Level of Activity (LA) - frgt'!AF34*'Level of Activity (LA) - frgt'!$B$29</f>
        <v>6871610620.7610741</v>
      </c>
      <c r="AG34" s="22">
        <f>'Level of Activity (LA) - frgt'!AG34*'Level of Activity (LA) - frgt'!$B$29</f>
        <v>7218798747.3750257</v>
      </c>
      <c r="AH34" s="22">
        <f>'Level of Activity (LA) - frgt'!AH34*'Level of Activity (LA) - frgt'!$B$29</f>
        <v>7583528554.0861502</v>
      </c>
      <c r="AI34" s="22">
        <f>'Level of Activity (LA) - frgt'!AI34*'Level of Activity (LA) - frgt'!$B$29</f>
        <v>7966686334.281352</v>
      </c>
      <c r="AJ34" s="22">
        <f>'Level of Activity (LA) - frgt'!AJ34*'Level of Activity (LA) - frgt'!$B$29</f>
        <v>8369203161.3209171</v>
      </c>
      <c r="AK34" s="22">
        <f>'Level of Activity (LA) - frgt'!AK34*'Level of Activity (LA) - frgt'!$B$29</f>
        <v>8792057151.0466557</v>
      </c>
      <c r="AL34" s="22">
        <f>'Level of Activity (LA) - frgt'!AL34*'Level of Activity (LA) - frgt'!$B$29</f>
        <v>9236275838.6032887</v>
      </c>
      <c r="AM34" s="22">
        <f>'Level of Activity (LA) - frgt'!AM34*'Level of Activity (LA) - frgt'!$B$29</f>
        <v>9702938675.3487186</v>
      </c>
      <c r="AN34" s="22">
        <f>'Level of Activity (LA) - frgt'!AN34*'Level of Activity (LA) - frgt'!$B$29</f>
        <v>10193179651.920712</v>
      </c>
    </row>
    <row r="37" spans="1:40" x14ac:dyDescent="0.2">
      <c r="A37" s="17" t="s">
        <v>84</v>
      </c>
    </row>
    <row r="38" spans="1:40" x14ac:dyDescent="0.2">
      <c r="A38" s="14" t="s">
        <v>16</v>
      </c>
    </row>
    <row r="39" spans="1:40" x14ac:dyDescent="0.2">
      <c r="A39" s="14" t="s">
        <v>74</v>
      </c>
    </row>
    <row r="40" spans="1:40" x14ac:dyDescent="0.2">
      <c r="A40" s="14" t="s">
        <v>18</v>
      </c>
    </row>
    <row r="41" spans="1:40" x14ac:dyDescent="0.2">
      <c r="A41" s="14"/>
    </row>
    <row r="42" spans="1:40" x14ac:dyDescent="0.2">
      <c r="A42" s="15" t="s">
        <v>19</v>
      </c>
      <c r="B42" s="15">
        <v>2022</v>
      </c>
      <c r="C42" s="15">
        <v>2023</v>
      </c>
      <c r="D42" s="15">
        <v>2024</v>
      </c>
      <c r="E42" s="15">
        <v>2025</v>
      </c>
      <c r="F42" s="15">
        <v>2026</v>
      </c>
      <c r="G42" s="15">
        <v>2027</v>
      </c>
      <c r="H42" s="15">
        <v>2028</v>
      </c>
      <c r="I42" s="15">
        <v>2029</v>
      </c>
      <c r="J42" s="15">
        <v>2030</v>
      </c>
      <c r="K42" s="15">
        <v>2031</v>
      </c>
      <c r="L42" s="15">
        <v>2032</v>
      </c>
      <c r="M42" s="15">
        <v>2033</v>
      </c>
      <c r="N42" s="15">
        <v>2034</v>
      </c>
      <c r="O42" s="15">
        <v>2035</v>
      </c>
      <c r="P42" s="15">
        <v>2036</v>
      </c>
      <c r="Q42" s="15">
        <v>2037</v>
      </c>
      <c r="R42" s="15">
        <v>2038</v>
      </c>
      <c r="S42" s="15">
        <v>2039</v>
      </c>
      <c r="T42" s="15">
        <v>2040</v>
      </c>
      <c r="U42" s="15">
        <v>2041</v>
      </c>
      <c r="V42" s="15">
        <v>2042</v>
      </c>
      <c r="W42" s="15">
        <v>2043</v>
      </c>
      <c r="X42" s="15">
        <v>2044</v>
      </c>
      <c r="Y42" s="15">
        <v>2045</v>
      </c>
      <c r="Z42" s="15">
        <v>2046</v>
      </c>
      <c r="AA42" s="15">
        <v>2047</v>
      </c>
      <c r="AB42" s="15">
        <v>2048</v>
      </c>
      <c r="AC42" s="15">
        <v>2049</v>
      </c>
      <c r="AD42" s="15">
        <v>2050</v>
      </c>
      <c r="AE42" s="15">
        <v>2051</v>
      </c>
      <c r="AF42" s="15">
        <v>2052</v>
      </c>
      <c r="AG42" s="15">
        <v>2053</v>
      </c>
      <c r="AH42" s="15">
        <v>2054</v>
      </c>
      <c r="AI42" s="15">
        <v>2055</v>
      </c>
      <c r="AJ42" s="15">
        <v>2056</v>
      </c>
      <c r="AK42" s="15">
        <v>2057</v>
      </c>
      <c r="AL42" s="15">
        <v>2058</v>
      </c>
      <c r="AM42" s="15">
        <v>2059</v>
      </c>
      <c r="AN42" s="15">
        <v>2060</v>
      </c>
    </row>
    <row r="43" spans="1:40" x14ac:dyDescent="0.2">
      <c r="A43" s="15" t="s">
        <v>53</v>
      </c>
      <c r="B43" s="22">
        <f>'Level of Activity (LA) - frgt'!B43*'Level of Activity (LA) - frgt'!$B$41</f>
        <v>3016876.4265338746</v>
      </c>
      <c r="C43" s="22">
        <f>'Level of Activity (LA) - frgt'!C43*'Level of Activity (LA) - frgt'!$B$41</f>
        <v>3169304.1079844986</v>
      </c>
      <c r="D43" s="22">
        <f>'Level of Activity (LA) - frgt'!D43*'Level of Activity (LA) - frgt'!$B$41</f>
        <v>3329433.1980404141</v>
      </c>
      <c r="E43" s="22">
        <f>'Level of Activity (LA) - frgt'!E43*'Level of Activity (LA) - frgt'!$B$41</f>
        <v>3497652.8103714064</v>
      </c>
      <c r="F43" s="22">
        <f>'Level of Activity (LA) - frgt'!F43*'Level of Activity (LA) - frgt'!$B$41</f>
        <v>3674371.718615422</v>
      </c>
      <c r="G43" s="22">
        <f>'Level of Activity (LA) - frgt'!G43*'Level of Activity (LA) - frgt'!$B$41</f>
        <v>3860019.3496984662</v>
      </c>
      <c r="H43" s="22">
        <f>'Level of Activity (LA) - frgt'!H43*'Level of Activity (LA) - frgt'!$B$41</f>
        <v>4055046.8273419817</v>
      </c>
      <c r="I43" s="22">
        <f>'Level of Activity (LA) - frgt'!I43*'Level of Activity (LA) - frgt'!$B$41</f>
        <v>4259928.0682934355</v>
      </c>
      <c r="J43" s="22">
        <f>'Level of Activity (LA) - frgt'!J43*'Level of Activity (LA) - frgt'!$B$41</f>
        <v>4475160.9339439608</v>
      </c>
      <c r="K43" s="22">
        <f>'Level of Activity (LA) - frgt'!K43*'Level of Activity (LA) - frgt'!$B$41</f>
        <v>4701268.4401314799</v>
      </c>
      <c r="L43" s="22">
        <f>'Level of Activity (LA) - frgt'!L43*'Level of Activity (LA) - frgt'!$B$41</f>
        <v>4938800.0280691236</v>
      </c>
      <c r="M43" s="22">
        <f>'Level of Activity (LA) - frgt'!M43*'Level of Activity (LA) - frgt'!$B$41</f>
        <v>5188332.8994873157</v>
      </c>
      <c r="N43" s="22">
        <f>'Level of Activity (LA) - frgt'!N43*'Level of Activity (LA) - frgt'!$B$41</f>
        <v>5450473.4192339145</v>
      </c>
      <c r="O43" s="22">
        <f>'Level of Activity (LA) - frgt'!O43*'Level of Activity (LA) - frgt'!$B$41</f>
        <v>5725858.5887407055</v>
      </c>
      <c r="P43" s="22">
        <f>'Level of Activity (LA) - frgt'!P43*'Level of Activity (LA) - frgt'!$B$41</f>
        <v>6015157.5939368298</v>
      </c>
      <c r="Q43" s="22">
        <f>'Level of Activity (LA) - frgt'!Q43*'Level of Activity (LA) - frgt'!$B$41</f>
        <v>6319073.4313704865</v>
      </c>
      <c r="R43" s="22">
        <f>'Level of Activity (LA) - frgt'!R43*'Level of Activity (LA) - frgt'!$B$41</f>
        <v>6638344.6164904824</v>
      </c>
      <c r="S43" s="22">
        <f>'Level of Activity (LA) - frgt'!S43*'Level of Activity (LA) - frgt'!$B$41</f>
        <v>6973746.9782386618</v>
      </c>
      <c r="T43" s="22">
        <f>'Level of Activity (LA) - frgt'!T43*'Level of Activity (LA) - frgt'!$B$41</f>
        <v>7326095.5443141712</v>
      </c>
      <c r="U43" s="22">
        <f>'Level of Activity (LA) - frgt'!U43*'Level of Activity (LA) - frgt'!$B$41</f>
        <v>7696246.5216906425</v>
      </c>
      <c r="V43" s="22">
        <f>'Level of Activity (LA) - frgt'!V43*'Level of Activity (LA) - frgt'!$B$41</f>
        <v>8085099.3771990649</v>
      </c>
      <c r="W43" s="22">
        <f>'Level of Activity (LA) - frgt'!W43*'Level of Activity (LA) - frgt'!$B$41</f>
        <v>8493599.0232320465</v>
      </c>
      <c r="X43" s="22">
        <f>'Level of Activity (LA) - frgt'!X43*'Level of Activity (LA) - frgt'!$B$41</f>
        <v>8922738.1138808448</v>
      </c>
      <c r="Y43" s="22">
        <f>'Level of Activity (LA) - frgt'!Y43*'Level of Activity (LA) - frgt'!$B$41</f>
        <v>9373559.4570846744</v>
      </c>
      <c r="Z43" s="22">
        <f>'Level of Activity (LA) - frgt'!Z43*'Level of Activity (LA) - frgt'!$B$41</f>
        <v>9847158.5486538764</v>
      </c>
      <c r="AA43" s="22">
        <f>'Level of Activity (LA) - frgt'!AA43*'Level of Activity (LA) - frgt'!$B$41</f>
        <v>10344686.23432461</v>
      </c>
      <c r="AB43" s="22">
        <f>'Level of Activity (LA) - frgt'!AB43*'Level of Activity (LA) - frgt'!$B$41</f>
        <v>10867351.506313864</v>
      </c>
      <c r="AC43" s="22">
        <f>'Level of Activity (LA) - frgt'!AC43*'Level of Activity (LA) - frgt'!$B$41</f>
        <v>11416424.441170372</v>
      </c>
      <c r="AD43" s="22">
        <f>'Level of Activity (LA) - frgt'!AD43*'Level of Activity (LA) - frgt'!$B$41</f>
        <v>11993239.286060505</v>
      </c>
      <c r="AE43" s="22">
        <f>'Level of Activity (LA) - frgt'!AE43*'Level of Activity (LA) - frgt'!$B$41</f>
        <v>12599197.70098871</v>
      </c>
      <c r="AF43" s="22">
        <f>'Level of Activity (LA) - frgt'!AF43*'Level of Activity (LA) - frgt'!$B$41</f>
        <v>13235772.164831167</v>
      </c>
      <c r="AG43" s="22">
        <f>'Level of Activity (LA) - frgt'!AG43*'Level of Activity (LA) - frgt'!$B$41</f>
        <v>13904509.553459261</v>
      </c>
      <c r="AH43" s="22">
        <f>'Level of Activity (LA) - frgt'!AH43*'Level of Activity (LA) - frgt'!$B$41</f>
        <v>14607034.898647787</v>
      </c>
      <c r="AI43" s="22">
        <f>'Level of Activity (LA) - frgt'!AI43*'Level of Activity (LA) - frgt'!$B$41</f>
        <v>15345055.336901968</v>
      </c>
      <c r="AJ43" s="22">
        <f>'Level of Activity (LA) - frgt'!AJ43*'Level of Activity (LA) - frgt'!$B$41</f>
        <v>16120364.257798944</v>
      </c>
      <c r="AK43" s="22">
        <f>'Level of Activity (LA) - frgt'!AK43*'Level of Activity (LA) - frgt'!$B$41</f>
        <v>16934845.661924232</v>
      </c>
      <c r="AL43" s="22">
        <f>'Level of Activity (LA) - frgt'!AL43*'Level of Activity (LA) - frgt'!$B$41</f>
        <v>17790478.738992948</v>
      </c>
      <c r="AM43" s="22">
        <f>'Level of Activity (LA) - frgt'!AM43*'Level of Activity (LA) - frgt'!$B$41</f>
        <v>18689342.677280568</v>
      </c>
      <c r="AN43" s="22">
        <f>'Level of Activity (LA) - frgt'!AN43*'Level of Activity (LA) - frgt'!$B$41</f>
        <v>19633621.71605017</v>
      </c>
    </row>
    <row r="44" spans="1:40" x14ac:dyDescent="0.2">
      <c r="A44" s="15" t="s">
        <v>54</v>
      </c>
      <c r="B44" s="22">
        <f>'Level of Activity (LA) - frgt'!B44*'Level of Activity (LA) - frgt'!$B$41</f>
        <v>7539174189.9069729</v>
      </c>
      <c r="C44" s="22">
        <f>'Level of Activity (LA) - frgt'!C44*'Level of Activity (LA) - frgt'!$B$41</f>
        <v>7920090965.8520222</v>
      </c>
      <c r="D44" s="22">
        <f>'Level of Activity (LA) - frgt'!D44*'Level of Activity (LA) - frgt'!$B$41</f>
        <v>8320253561.9016933</v>
      </c>
      <c r="E44" s="22">
        <f>'Level of Activity (LA) - frgt'!E44*'Level of Activity (LA) - frgt'!$B$41</f>
        <v>8740634373.1167774</v>
      </c>
      <c r="F44" s="22">
        <f>'Level of Activity (LA) - frgt'!F44*'Level of Activity (LA) - frgt'!$B$41</f>
        <v>9182254924.8185024</v>
      </c>
      <c r="G44" s="22">
        <f>'Level of Activity (LA) - frgt'!G44*'Level of Activity (LA) - frgt'!$B$41</f>
        <v>9646188354.8949585</v>
      </c>
      <c r="H44" s="22">
        <f>'Level of Activity (LA) - frgt'!H44*'Level of Activity (LA) - frgt'!$B$41</f>
        <v>10133562021.526028</v>
      </c>
      <c r="I44" s="22">
        <f>'Level of Activity (LA) - frgt'!I44*'Level of Activity (LA) - frgt'!$B$41</f>
        <v>10645560242.663631</v>
      </c>
      <c r="J44" s="22">
        <f>'Level of Activity (LA) - frgt'!J44*'Level of Activity (LA) - frgt'!$B$41</f>
        <v>11183427173.92421</v>
      </c>
      <c r="K44" s="22">
        <f>'Level of Activity (LA) - frgt'!K44*'Level of Activity (LA) - frgt'!$B$41</f>
        <v>11748469831.886732</v>
      </c>
      <c r="L44" s="22">
        <f>'Level of Activity (LA) - frgt'!L44*'Level of Activity (LA) - frgt'!$B$41</f>
        <v>12342061270.142811</v>
      </c>
      <c r="M44" s="22">
        <f>'Level of Activity (LA) - frgt'!M44*'Level of Activity (LA) - frgt'!$B$41</f>
        <v>12965643915.816778</v>
      </c>
      <c r="N44" s="22">
        <f>'Level of Activity (LA) - frgt'!N44*'Level of Activity (LA) - frgt'!$B$41</f>
        <v>13620733074.663422</v>
      </c>
      <c r="O44" s="22">
        <f>'Level of Activity (LA) - frgt'!O44*'Level of Activity (LA) - frgt'!$B$41</f>
        <v>14308920613.260784</v>
      </c>
      <c r="P44" s="22">
        <f>'Level of Activity (LA) - frgt'!P44*'Level of Activity (LA) - frgt'!$B$41</f>
        <v>15031878827.245789</v>
      </c>
      <c r="Q44" s="22">
        <f>'Level of Activity (LA) - frgt'!Q44*'Level of Activity (LA) - frgt'!$B$41</f>
        <v>15791364504.992376</v>
      </c>
      <c r="R44" s="22">
        <f>'Level of Activity (LA) - frgt'!R44*'Level of Activity (LA) - frgt'!$B$41</f>
        <v>16589223196.607119</v>
      </c>
      <c r="S44" s="22">
        <f>'Level of Activity (LA) - frgt'!S44*'Level of Activity (LA) - frgt'!$B$41</f>
        <v>17427393698.615692</v>
      </c>
      <c r="T44" s="22">
        <f>'Level of Activity (LA) - frgt'!T44*'Level of Activity (LA) - frgt'!$B$41</f>
        <v>18307912765.238251</v>
      </c>
      <c r="U44" s="22">
        <f>'Level of Activity (LA) - frgt'!U44*'Level of Activity (LA) - frgt'!$B$41</f>
        <v>19232920057.701908</v>
      </c>
      <c r="V44" s="22">
        <f>'Level of Activity (LA) - frgt'!V44*'Level of Activity (LA) - frgt'!$B$41</f>
        <v>20204663343.617302</v>
      </c>
      <c r="W44" s="22">
        <f>'Level of Activity (LA) - frgt'!W44*'Level of Activity (LA) - frgt'!$B$41</f>
        <v>21225503959.053562</v>
      </c>
      <c r="X44" s="22">
        <f>'Level of Activity (LA) - frgt'!X44*'Level of Activity (LA) - frgt'!$B$41</f>
        <v>22297922546.584747</v>
      </c>
      <c r="Y44" s="22">
        <f>'Level of Activity (LA) - frgt'!Y44*'Level of Activity (LA) - frgt'!$B$41</f>
        <v>23424525083.250938</v>
      </c>
      <c r="Z44" s="22">
        <f>'Level of Activity (LA) - frgt'!Z44*'Level of Activity (LA) - frgt'!$B$41</f>
        <v>24608049213.082188</v>
      </c>
      <c r="AA44" s="22">
        <f>'Level of Activity (LA) - frgt'!AA44*'Level of Activity (LA) - frgt'!$B$41</f>
        <v>25851370899.573158</v>
      </c>
      <c r="AB44" s="22">
        <f>'Level of Activity (LA) - frgt'!AB44*'Level of Activity (LA) - frgt'!$B$41</f>
        <v>27157511414.274101</v>
      </c>
      <c r="AC44" s="22">
        <f>'Level of Activity (LA) - frgt'!AC44*'Level of Activity (LA) - frgt'!$B$41</f>
        <v>28529644678.480297</v>
      </c>
      <c r="AD44" s="22">
        <f>'Level of Activity (LA) - frgt'!AD44*'Level of Activity (LA) - frgt'!$B$41</f>
        <v>29971104975.860519</v>
      </c>
      <c r="AE44" s="22">
        <f>'Level of Activity (LA) - frgt'!AE44*'Level of Activity (LA) - frgt'!$B$41</f>
        <v>31485395054.765865</v>
      </c>
      <c r="AF44" s="22">
        <f>'Level of Activity (LA) - frgt'!AF44*'Level of Activity (LA) - frgt'!$B$41</f>
        <v>33076194639.907913</v>
      </c>
      <c r="AG44" s="22">
        <f>'Level of Activity (LA) - frgt'!AG44*'Level of Activity (LA) - frgt'!$B$41</f>
        <v>34747369374.089264</v>
      </c>
      <c r="AH44" s="22">
        <f>'Level of Activity (LA) - frgt'!AH44*'Level of Activity (LA) - frgt'!$B$41</f>
        <v>36502980211.715111</v>
      </c>
      <c r="AI44" s="22">
        <f>'Level of Activity (LA) - frgt'!AI44*'Level of Activity (LA) - frgt'!$B$41</f>
        <v>38347293286.912025</v>
      </c>
      <c r="AJ44" s="22">
        <f>'Level of Activity (LA) - frgt'!AJ44*'Level of Activity (LA) - frgt'!$B$41</f>
        <v>40284790280.233261</v>
      </c>
      <c r="AK44" s="22">
        <f>'Level of Activity (LA) - frgt'!AK44*'Level of Activity (LA) - frgt'!$B$41</f>
        <v>42320179309.142029</v>
      </c>
      <c r="AL44" s="22">
        <f>'Level of Activity (LA) - frgt'!AL44*'Level of Activity (LA) - frgt'!$B$41</f>
        <v>44458406368.736427</v>
      </c>
      <c r="AM44" s="22">
        <f>'Level of Activity (LA) - frgt'!AM44*'Level of Activity (LA) - frgt'!$B$41</f>
        <v>46704667350.516846</v>
      </c>
      <c r="AN44" s="22">
        <f>'Level of Activity (LA) - frgt'!AN44*'Level of Activity (LA) - frgt'!$B$41</f>
        <v>49064420668.401711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B438-CC3A-6541-9F85-C22A5DFB3BBE}">
  <sheetPr>
    <tabColor theme="5" tint="0.59999389629810485"/>
  </sheetPr>
  <dimension ref="A1:AN44"/>
  <sheetViews>
    <sheetView workbookViewId="0">
      <selection activeCell="B32" sqref="B32"/>
    </sheetView>
  </sheetViews>
  <sheetFormatPr baseColWidth="10" defaultRowHeight="15" x14ac:dyDescent="0.2"/>
  <cols>
    <col min="2" max="2" width="19.5" bestFit="1" customWidth="1"/>
  </cols>
  <sheetData>
    <row r="1" spans="1:40" x14ac:dyDescent="0.2">
      <c r="A1" s="17" t="s">
        <v>91</v>
      </c>
    </row>
    <row r="2" spans="1:40" x14ac:dyDescent="0.2">
      <c r="A2" s="14" t="s">
        <v>16</v>
      </c>
    </row>
    <row r="3" spans="1:40" x14ac:dyDescent="0.2">
      <c r="A3" s="14" t="s">
        <v>57</v>
      </c>
    </row>
    <row r="4" spans="1:40" x14ac:dyDescent="0.2">
      <c r="A4" s="14" t="s">
        <v>18</v>
      </c>
    </row>
    <row r="5" spans="1:40" x14ac:dyDescent="0.2">
      <c r="A5" s="14"/>
    </row>
    <row r="6" spans="1:40" x14ac:dyDescent="0.2">
      <c r="A6" s="15" t="s">
        <v>19</v>
      </c>
      <c r="B6" s="15">
        <v>2022</v>
      </c>
      <c r="C6" s="15">
        <v>2023</v>
      </c>
      <c r="D6" s="15">
        <v>2024</v>
      </c>
      <c r="E6" s="15">
        <v>2025</v>
      </c>
      <c r="F6" s="15">
        <v>2026</v>
      </c>
      <c r="G6" s="15">
        <v>2027</v>
      </c>
      <c r="H6" s="15">
        <v>2028</v>
      </c>
      <c r="I6" s="15">
        <v>2029</v>
      </c>
      <c r="J6" s="15">
        <v>2030</v>
      </c>
      <c r="K6" s="15">
        <v>2031</v>
      </c>
      <c r="L6" s="15">
        <v>2032</v>
      </c>
      <c r="M6" s="15">
        <v>2033</v>
      </c>
      <c r="N6" s="15">
        <v>2034</v>
      </c>
      <c r="O6" s="15">
        <v>2035</v>
      </c>
      <c r="P6" s="15">
        <v>2036</v>
      </c>
      <c r="Q6" s="15">
        <v>2037</v>
      </c>
      <c r="R6" s="15">
        <v>2038</v>
      </c>
      <c r="S6" s="15">
        <v>2039</v>
      </c>
      <c r="T6" s="15">
        <v>2040</v>
      </c>
      <c r="U6" s="15">
        <v>2041</v>
      </c>
      <c r="V6" s="15">
        <v>2042</v>
      </c>
      <c r="W6" s="15">
        <v>2043</v>
      </c>
      <c r="X6" s="15">
        <v>2044</v>
      </c>
      <c r="Y6" s="15">
        <v>2045</v>
      </c>
      <c r="Z6" s="15">
        <v>2046</v>
      </c>
      <c r="AA6" s="15">
        <v>2047</v>
      </c>
      <c r="AB6" s="15">
        <v>2048</v>
      </c>
      <c r="AC6" s="15">
        <v>2049</v>
      </c>
      <c r="AD6" s="15">
        <v>2050</v>
      </c>
      <c r="AE6" s="15">
        <v>2051</v>
      </c>
      <c r="AF6" s="15">
        <v>2052</v>
      </c>
      <c r="AG6" s="15">
        <v>2053</v>
      </c>
      <c r="AH6" s="15">
        <v>2054</v>
      </c>
      <c r="AI6" s="15">
        <v>2055</v>
      </c>
      <c r="AJ6" s="15">
        <v>2056</v>
      </c>
      <c r="AK6" s="15">
        <v>2057</v>
      </c>
      <c r="AL6" s="15">
        <v>2058</v>
      </c>
      <c r="AM6" s="15">
        <v>2059</v>
      </c>
      <c r="AN6" s="15">
        <v>2060</v>
      </c>
    </row>
    <row r="7" spans="1:40" x14ac:dyDescent="0.2">
      <c r="A7" s="15" t="s">
        <v>58</v>
      </c>
      <c r="B7" s="22">
        <f>'Energy Consumption (EC) - frgt'!B7*'Energy Consumption (EC) - frgt'!$B$5</f>
        <v>20755710124611.828</v>
      </c>
      <c r="C7" s="22">
        <f>'Energy Consumption (EC) - frgt'!C7*'Energy Consumption (EC) - frgt'!$B$5</f>
        <v>21804392378657.844</v>
      </c>
      <c r="D7" s="22">
        <f>'Energy Consumption (EC) - frgt'!D7*'Energy Consumption (EC) - frgt'!$B$5</f>
        <v>22906059303589.527</v>
      </c>
      <c r="E7" s="22">
        <f>'Energy Consumption (EC) - frgt'!E7*'Energy Consumption (EC) - frgt'!$B$5</f>
        <v>24063387949903.387</v>
      </c>
      <c r="F7" s="22">
        <f>'Energy Consumption (EC) - frgt'!F7*'Energy Consumption (EC) - frgt'!$B$5</f>
        <v>25279190626072.254</v>
      </c>
      <c r="G7" s="22">
        <f>'Energy Consumption (EC) - frgt'!G7*'Energy Consumption (EC) - frgt'!$B$5</f>
        <v>26556421732454.547</v>
      </c>
      <c r="H7" s="22">
        <f>'Energy Consumption (EC) - frgt'!H7*'Energy Consumption (EC) - frgt'!$B$5</f>
        <v>27898184940486.824</v>
      </c>
      <c r="I7" s="22">
        <f>'Energy Consumption (EC) - frgt'!I7*'Energy Consumption (EC) - frgt'!$B$5</f>
        <v>29307740734604.914</v>
      </c>
      <c r="J7" s="22">
        <f>'Energy Consumption (EC) - frgt'!J7*'Energy Consumption (EC) - frgt'!$B$5</f>
        <v>30788514335220.832</v>
      </c>
      <c r="K7" s="22">
        <f>'Energy Consumption (EC) - frgt'!K7*'Energy Consumption (EC) - frgt'!$B$5</f>
        <v>32344104022007.863</v>
      </c>
      <c r="L7" s="22">
        <f>'Energy Consumption (EC) - frgt'!L7*'Energy Consumption (EC) - frgt'!$B$5</f>
        <v>33978289877719.82</v>
      </c>
      <c r="M7" s="22">
        <f>'Energy Consumption (EC) - frgt'!M7*'Energy Consumption (EC) - frgt'!$B$5</f>
        <v>35695042973791.602</v>
      </c>
      <c r="N7" s="22">
        <f>'Energy Consumption (EC) - frgt'!N7*'Energy Consumption (EC) - frgt'!$B$5</f>
        <v>37498535020042.43</v>
      </c>
      <c r="O7" s="22">
        <f>'Energy Consumption (EC) - frgt'!O7*'Energy Consumption (EC) - frgt'!$B$5</f>
        <v>39393148501930.062</v>
      </c>
      <c r="P7" s="22">
        <f>'Energy Consumption (EC) - frgt'!P7*'Energy Consumption (EC) - frgt'!$B$5</f>
        <v>41383487329990.078</v>
      </c>
      <c r="Q7" s="22">
        <f>'Energy Consumption (EC) - frgt'!Q7*'Energy Consumption (EC) - frgt'!$B$5</f>
        <v>43474388027337.828</v>
      </c>
      <c r="R7" s="22">
        <f>'Energy Consumption (EC) - frgt'!R7*'Energy Consumption (EC) - frgt'!$B$5</f>
        <v>45670931482419.078</v>
      </c>
      <c r="S7" s="22">
        <f>'Energy Consumption (EC) - frgt'!S7*'Energy Consumption (EC) - frgt'!$B$5</f>
        <v>47978455295568.305</v>
      </c>
      <c r="T7" s="22">
        <f>'Energy Consumption (EC) - frgt'!T7*'Energy Consumption (EC) - frgt'!$B$5</f>
        <v>50402566749376.875</v>
      </c>
      <c r="U7" s="22">
        <f>'Energy Consumption (EC) - frgt'!U7*'Energy Consumption (EC) - frgt'!$B$5</f>
        <v>52949156434389.148</v>
      </c>
      <c r="V7" s="22">
        <f>'Energy Consumption (EC) - frgt'!V7*'Energy Consumption (EC) - frgt'!$B$5</f>
        <v>55624412563236.68</v>
      </c>
      <c r="W7" s="22">
        <f>'Energy Consumption (EC) - frgt'!W7*'Energy Consumption (EC) - frgt'!$B$5</f>
        <v>58434836007994.203</v>
      </c>
      <c r="X7" s="22">
        <f>'Energy Consumption (EC) - frgt'!X7*'Energy Consumption (EC) - frgt'!$B$5</f>
        <v>61387256097298.094</v>
      </c>
      <c r="Y7" s="22">
        <f>'Energy Consumption (EC) - frgt'!Y7*'Energy Consumption (EC) - frgt'!$B$5</f>
        <v>64488847211614.078</v>
      </c>
      <c r="Z7" s="22">
        <f>'Energy Consumption (EC) - frgt'!Z7*'Energy Consumption (EC) - frgt'!$B$5</f>
        <v>67747146216980.883</v>
      </c>
      <c r="AA7" s="22">
        <f>'Energy Consumption (EC) - frgt'!AA7*'Energy Consumption (EC) - frgt'!$B$5</f>
        <v>71170070779593.844</v>
      </c>
      <c r="AB7" s="22">
        <f>'Energy Consumption (EC) - frgt'!AB7*'Energy Consumption (EC) - frgt'!$B$5</f>
        <v>74765938605732.828</v>
      </c>
      <c r="AC7" s="22">
        <f>'Energy Consumption (EC) - frgt'!AC7*'Energy Consumption (EC) - frgt'!$B$5</f>
        <v>78543487653787.453</v>
      </c>
      <c r="AD7" s="22">
        <f>'Energy Consumption (EC) - frgt'!AD7*'Energy Consumption (EC) - frgt'!$B$5</f>
        <v>82511897367495.078</v>
      </c>
      <c r="AE7" s="22">
        <f>'Energy Consumption (EC) - frgt'!AE7*'Energy Consumption (EC) - frgt'!$B$5</f>
        <v>86680810981987.734</v>
      </c>
      <c r="AF7" s="22">
        <f>'Energy Consumption (EC) - frgt'!AF7*'Energy Consumption (EC) - frgt'!$B$5</f>
        <v>91060358956852.688</v>
      </c>
      <c r="AG7" s="22">
        <f>'Energy Consumption (EC) - frgt'!AG7*'Energy Consumption (EC) - frgt'!$B$5</f>
        <v>95661183593147.656</v>
      </c>
      <c r="AH7" s="22">
        <f>'Energy Consumption (EC) - frgt'!AH7*'Energy Consumption (EC) - frgt'!$B$5</f>
        <v>100494464894191.42</v>
      </c>
      <c r="AI7" s="22">
        <f>'Energy Consumption (EC) - frgt'!AI7*'Energy Consumption (EC) - frgt'!$B$5</f>
        <v>105571947732970.47</v>
      </c>
      <c r="AJ7" s="22">
        <f>'Energy Consumption (EC) - frgt'!AJ7*'Energy Consumption (EC) - frgt'!$B$5</f>
        <v>110905970392178.83</v>
      </c>
      <c r="AK7" s="22">
        <f>'Energy Consumption (EC) - frgt'!AK7*'Energy Consumption (EC) - frgt'!$B$5</f>
        <v>116509494546243.61</v>
      </c>
      <c r="AL7" s="22">
        <f>'Energy Consumption (EC) - frgt'!AL7*'Energy Consumption (EC) - frgt'!$B$5</f>
        <v>122396136758192.61</v>
      </c>
      <c r="AM7" s="22">
        <f>'Energy Consumption (EC) - frgt'!AM7*'Energy Consumption (EC) - frgt'!$B$5</f>
        <v>128580201567900.28</v>
      </c>
      <c r="AN7" s="22">
        <f>'Energy Consumption (EC) - frgt'!AN7*'Energy Consumption (EC) - frgt'!$B$5</f>
        <v>135076716252118.45</v>
      </c>
    </row>
    <row r="8" spans="1:40" x14ac:dyDescent="0.2">
      <c r="A8" s="15" t="s">
        <v>59</v>
      </c>
      <c r="B8" s="22">
        <f>'Energy Consumption (EC) - frgt'!B8*'Energy Consumption (EC) - frgt'!$B$5</f>
        <v>8805112591111.1465</v>
      </c>
      <c r="C8" s="22">
        <f>'Energy Consumption (EC) - frgt'!C8*'Energy Consumption (EC) - frgt'!$B$5</f>
        <v>9249990904777.041</v>
      </c>
      <c r="D8" s="22">
        <f>'Energy Consumption (EC) - frgt'!D8*'Energy Consumption (EC) - frgt'!$B$5</f>
        <v>9717346695240.8965</v>
      </c>
      <c r="E8" s="22">
        <f>'Energy Consumption (EC) - frgt'!E8*'Energy Consumption (EC) - frgt'!$B$5</f>
        <v>10208315637017.941</v>
      </c>
      <c r="F8" s="22">
        <f>'Energy Consumption (EC) - frgt'!F8*'Energy Consumption (EC) - frgt'!$B$5</f>
        <v>10724090784578.273</v>
      </c>
      <c r="G8" s="22">
        <f>'Energy Consumption (EC) - frgt'!G8*'Energy Consumption (EC) - frgt'!$B$5</f>
        <v>11265925471469.09</v>
      </c>
      <c r="H8" s="22">
        <f>'Energy Consumption (EC) - frgt'!H8*'Energy Consumption (EC) - frgt'!$B$5</f>
        <v>11835136355915.068</v>
      </c>
      <c r="I8" s="22">
        <f>'Energy Consumption (EC) - frgt'!I8*'Energy Consumption (EC) - frgt'!$B$5</f>
        <v>12433106620297.678</v>
      </c>
      <c r="J8" s="22">
        <f>'Energy Consumption (EC) - frgt'!J8*'Energy Consumption (EC) - frgt'!$B$5</f>
        <v>13061289332288.219</v>
      </c>
      <c r="K8" s="22">
        <f>'Energy Consumption (EC) - frgt'!K8*'Energy Consumption (EC) - frgt'!$B$5</f>
        <v>13721210975802.08</v>
      </c>
      <c r="L8" s="22">
        <f>'Energy Consumption (EC) - frgt'!L8*'Energy Consumption (EC) - frgt'!$B$5</f>
        <v>14414475160354.482</v>
      </c>
      <c r="M8" s="22">
        <f>'Energy Consumption (EC) - frgt'!M8*'Energy Consumption (EC) - frgt'!$B$5</f>
        <v>15142766517831.391</v>
      </c>
      <c r="N8" s="22">
        <f>'Energy Consumption (EC) - frgt'!N8*'Energy Consumption (EC) - frgt'!$B$5</f>
        <v>15907854796144.828</v>
      </c>
      <c r="O8" s="22">
        <f>'Energy Consumption (EC) - frgt'!O8*'Energy Consumption (EC) - frgt'!$B$5</f>
        <v>16711599159720.037</v>
      </c>
      <c r="P8" s="22">
        <f>'Energy Consumption (EC) - frgt'!P8*'Energy Consumption (EC) - frgt'!$B$5</f>
        <v>17555952707264.895</v>
      </c>
      <c r="Q8" s="22">
        <f>'Energy Consumption (EC) - frgt'!Q8*'Energy Consumption (EC) - frgt'!$B$5</f>
        <v>18442967217799.445</v>
      </c>
      <c r="R8" s="22">
        <f>'Energy Consumption (EC) - frgt'!R8*'Energy Consumption (EC) - frgt'!$B$5</f>
        <v>19374798136478.773</v>
      </c>
      <c r="S8" s="22">
        <f>'Energy Consumption (EC) - frgt'!S8*'Energy Consumption (EC) - frgt'!$B$5</f>
        <v>20353709812324.363</v>
      </c>
      <c r="T8" s="22">
        <f>'Energy Consumption (EC) - frgt'!T8*'Energy Consumption (EC) - frgt'!$B$5</f>
        <v>21382081000592.043</v>
      </c>
      <c r="U8" s="22">
        <f>'Energy Consumption (EC) - frgt'!U8*'Energy Consumption (EC) - frgt'!$B$5</f>
        <v>22462410643146.953</v>
      </c>
      <c r="V8" s="22">
        <f>'Energy Consumption (EC) - frgt'!V8*'Energy Consumption (EC) - frgt'!$B$5</f>
        <v>23597323940891.961</v>
      </c>
      <c r="W8" s="22">
        <f>'Energy Consumption (EC) - frgt'!W8*'Energy Consumption (EC) - frgt'!$B$5</f>
        <v>24789578733005.523</v>
      </c>
      <c r="X8" s="22">
        <f>'Energy Consumption (EC) - frgt'!X8*'Energy Consumption (EC) - frgt'!$B$5</f>
        <v>26042072198490.621</v>
      </c>
      <c r="Y8" s="22">
        <f>'Energy Consumption (EC) - frgt'!Y8*'Energy Consumption (EC) - frgt'!$B$5</f>
        <v>27357847896319.367</v>
      </c>
      <c r="Z8" s="22">
        <f>'Energy Consumption (EC) - frgt'!Z8*'Energy Consumption (EC) - frgt'!$B$5</f>
        <v>28740103161280.895</v>
      </c>
      <c r="AA8" s="22">
        <f>'Energy Consumption (EC) - frgt'!AA8*'Energy Consumption (EC) - frgt'!$B$5</f>
        <v>30192196873504.613</v>
      </c>
      <c r="AB8" s="22">
        <f>'Energy Consumption (EC) - frgt'!AB8*'Energy Consumption (EC) - frgt'!$B$5</f>
        <v>31717657620538.445</v>
      </c>
      <c r="AC8" s="22">
        <f>'Energy Consumption (EC) - frgt'!AC8*'Energy Consumption (EC) - frgt'!$B$5</f>
        <v>33320192271816.137</v>
      </c>
      <c r="AD8" s="22">
        <f>'Energy Consumption (EC) - frgt'!AD8*'Energy Consumption (EC) - frgt'!$B$5</f>
        <v>35003694986349.652</v>
      </c>
      <c r="AE8" s="22">
        <f>'Energy Consumption (EC) - frgt'!AE8*'Energy Consumption (EC) - frgt'!$B$5</f>
        <v>36772256675534.961</v>
      </c>
      <c r="AF8" s="22">
        <f>'Energy Consumption (EC) - frgt'!AF8*'Energy Consumption (EC) - frgt'!$B$5</f>
        <v>38630174944066.359</v>
      </c>
      <c r="AG8" s="22">
        <f>'Energy Consumption (EC) - frgt'!AG8*'Energy Consumption (EC) - frgt'!$B$5</f>
        <v>40581964533115.312</v>
      </c>
      <c r="AH8" s="22">
        <f>'Energy Consumption (EC) - frgt'!AH8*'Energy Consumption (EC) - frgt'!$B$5</f>
        <v>42632368291150.961</v>
      </c>
      <c r="AI8" s="22">
        <f>'Energy Consumption (EC) - frgt'!AI8*'Energy Consumption (EC) - frgt'!$B$5</f>
        <v>44786368699061.375</v>
      </c>
      <c r="AJ8" s="22">
        <f>'Energy Consumption (EC) - frgt'!AJ8*'Energy Consumption (EC) - frgt'!$B$5</f>
        <v>47049199977581.453</v>
      </c>
      <c r="AK8" s="22">
        <f>'Energy Consumption (EC) - frgt'!AK8*'Energy Consumption (EC) - frgt'!$B$5</f>
        <v>49426360806448.742</v>
      </c>
      <c r="AL8" s="22">
        <f>'Energy Consumption (EC) - frgt'!AL8*'Energy Consumption (EC) - frgt'!$B$5</f>
        <v>51923627686194.578</v>
      </c>
      <c r="AM8" s="22">
        <f>'Energy Consumption (EC) - frgt'!AM8*'Energy Consumption (EC) - frgt'!$B$5</f>
        <v>54547068975039.547</v>
      </c>
      <c r="AN8" s="22">
        <f>'Energy Consumption (EC) - frgt'!AN8*'Energy Consumption (EC) - frgt'!$B$5</f>
        <v>57303059635003.43</v>
      </c>
    </row>
    <row r="9" spans="1:40" x14ac:dyDescent="0.2">
      <c r="A9" s="15" t="s">
        <v>60</v>
      </c>
      <c r="B9" s="22">
        <f>'Energy Consumption (EC) - frgt'!B9*'Energy Consumption (EC) - frgt'!$B$5</f>
        <v>1100171313976.4883</v>
      </c>
      <c r="C9" s="22">
        <f>'Energy Consumption (EC) - frgt'!C9*'Energy Consumption (EC) - frgt'!$B$5</f>
        <v>1155757469615.1501</v>
      </c>
      <c r="D9" s="22">
        <f>'Energy Consumption (EC) - frgt'!D9*'Energy Consumption (EC) - frgt'!$B$5</f>
        <v>1214152115767.4553</v>
      </c>
      <c r="E9" s="22">
        <f>'Energy Consumption (EC) - frgt'!E9*'Energy Consumption (EC) - frgt'!$B$5</f>
        <v>1275497151416.606</v>
      </c>
      <c r="F9" s="22">
        <f>'Energy Consumption (EC) - frgt'!F9*'Energy Consumption (EC) - frgt'!$B$5</f>
        <v>1339941644991.9299</v>
      </c>
      <c r="G9" s="22">
        <f>'Energy Consumption (EC) - frgt'!G9*'Energy Consumption (EC) - frgt'!$B$5</f>
        <v>1407642196605.1472</v>
      </c>
      <c r="H9" s="22">
        <f>'Energy Consumption (EC) - frgt'!H9*'Energy Consumption (EC) - frgt'!$B$5</f>
        <v>1478763318588.6228</v>
      </c>
      <c r="I9" s="22">
        <f>'Energy Consumption (EC) - frgt'!I9*'Energy Consumption (EC) - frgt'!$B$5</f>
        <v>1553477835260.313</v>
      </c>
      <c r="J9" s="22">
        <f>'Energy Consumption (EC) - frgt'!J9*'Energy Consumption (EC) - frgt'!$B$5</f>
        <v>1631967302886.8403</v>
      </c>
      <c r="K9" s="22">
        <f>'Energy Consumption (EC) - frgt'!K9*'Energy Consumption (EC) - frgt'!$B$5</f>
        <v>1714422450865.1978</v>
      </c>
      <c r="L9" s="22">
        <f>'Energy Consumption (EC) - frgt'!L9*'Energy Consumption (EC) - frgt'!$B$5</f>
        <v>1801043645195.1624</v>
      </c>
      <c r="M9" s="22">
        <f>'Energy Consumption (EC) - frgt'!M9*'Energy Consumption (EC) - frgt'!$B$5</f>
        <v>1892041375368.6477</v>
      </c>
      <c r="N9" s="22">
        <f>'Energy Consumption (EC) - frgt'!N9*'Energy Consumption (EC) - frgt'!$B$5</f>
        <v>1987636765859.1487</v>
      </c>
      <c r="O9" s="22">
        <f>'Energy Consumption (EC) - frgt'!O9*'Energy Consumption (EC) - frgt'!$B$5</f>
        <v>2088062113454.1819</v>
      </c>
      <c r="P9" s="22">
        <f>'Energy Consumption (EC) - frgt'!P9*'Energy Consumption (EC) - frgt'!$B$5</f>
        <v>2193561451736.4541</v>
      </c>
      <c r="Q9" s="22">
        <f>'Energy Consumption (EC) - frgt'!Q9*'Energy Consumption (EC) - frgt'!$B$5</f>
        <v>2304391144085.438</v>
      </c>
      <c r="R9" s="22">
        <f>'Energy Consumption (EC) - frgt'!R9*'Energy Consumption (EC) - frgt'!$B$5</f>
        <v>2420820506640.3555</v>
      </c>
      <c r="S9" s="22">
        <f>'Energy Consumption (EC) - frgt'!S9*'Energy Consumption (EC) - frgt'!$B$5</f>
        <v>2543132462738.3594</v>
      </c>
      <c r="T9" s="22">
        <f>'Energy Consumption (EC) - frgt'!T9*'Energy Consumption (EC) - frgt'!$B$5</f>
        <v>2671624230418.2153</v>
      </c>
      <c r="U9" s="22">
        <f>'Energy Consumption (EC) - frgt'!U9*'Energy Consumption (EC) - frgt'!$B$5</f>
        <v>2806608044660.0947</v>
      </c>
      <c r="V9" s="22">
        <f>'Energy Consumption (EC) - frgt'!V9*'Energy Consumption (EC) - frgt'!$B$5</f>
        <v>2948411916116.5469</v>
      </c>
      <c r="W9" s="22">
        <f>'Energy Consumption (EC) - frgt'!W9*'Energy Consumption (EC) - frgt'!$B$5</f>
        <v>3097380428178.335</v>
      </c>
      <c r="X9" s="22">
        <f>'Energy Consumption (EC) - frgt'!X9*'Energy Consumption (EC) - frgt'!$B$5</f>
        <v>3253875574312.0449</v>
      </c>
      <c r="Y9" s="22">
        <f>'Energy Consumption (EC) - frgt'!Y9*'Energy Consumption (EC) - frgt'!$B$5</f>
        <v>3418277637704.1606</v>
      </c>
      <c r="Z9" s="22">
        <f>'Energy Consumption (EC) - frgt'!Z9*'Energy Consumption (EC) - frgt'!$B$5</f>
        <v>3590986115349.1631</v>
      </c>
      <c r="AA9" s="22">
        <f>'Energy Consumption (EC) - frgt'!AA9*'Energy Consumption (EC) - frgt'!$B$5</f>
        <v>3772420688827.1792</v>
      </c>
      <c r="AB9" s="22">
        <f>'Energy Consumption (EC) - frgt'!AB9*'Energy Consumption (EC) - frgt'!$B$5</f>
        <v>3963022244130.1729</v>
      </c>
      <c r="AC9" s="22">
        <f>'Energy Consumption (EC) - frgt'!AC9*'Energy Consumption (EC) - frgt'!$B$5</f>
        <v>4163253943014.8496</v>
      </c>
      <c r="AD9" s="22">
        <f>'Energy Consumption (EC) - frgt'!AD9*'Energy Consumption (EC) - frgt'!$B$5</f>
        <v>4373602348485.6753</v>
      </c>
      <c r="AE9" s="22">
        <f>'Energy Consumption (EC) - frgt'!AE9*'Energy Consumption (EC) - frgt'!$B$5</f>
        <v>4594578607142.9121</v>
      </c>
      <c r="AF9" s="22">
        <f>'Energy Consumption (EC) - frgt'!AF9*'Energy Consumption (EC) - frgt'!$B$5</f>
        <v>4826719691268.8086</v>
      </c>
      <c r="AG9" s="22">
        <f>'Energy Consumption (EC) - frgt'!AG9*'Energy Consumption (EC) - frgt'!$B$5</f>
        <v>5070589703670.165</v>
      </c>
      <c r="AH9" s="22">
        <f>'Energy Consumption (EC) - frgt'!AH9*'Energy Consumption (EC) - frgt'!$B$5</f>
        <v>5326781248448.0996</v>
      </c>
      <c r="AI9" s="22">
        <f>'Energy Consumption (EC) - frgt'!AI9*'Energy Consumption (EC) - frgt'!$B$5</f>
        <v>5595916871025.9414</v>
      </c>
      <c r="AJ9" s="22">
        <f>'Energy Consumption (EC) - frgt'!AJ9*'Energy Consumption (EC) - frgt'!$B$5</f>
        <v>5878650570934.5264</v>
      </c>
      <c r="AK9" s="22">
        <f>'Energy Consumption (EC) - frgt'!AK9*'Energy Consumption (EC) - frgt'!$B$5</f>
        <v>6175669391030.9932</v>
      </c>
      <c r="AL9" s="22">
        <f>'Energy Consumption (EC) - frgt'!AL9*'Energy Consumption (EC) - frgt'!$B$5</f>
        <v>6487695087012.833</v>
      </c>
      <c r="AM9" s="22">
        <f>'Energy Consumption (EC) - frgt'!AM9*'Energy Consumption (EC) - frgt'!$B$5</f>
        <v>6815485881284.1572</v>
      </c>
      <c r="AN9" s="22">
        <f>'Energy Consumption (EC) - frgt'!AN9*'Energy Consumption (EC) - frgt'!$B$5</f>
        <v>7159838305436.04</v>
      </c>
    </row>
    <row r="10" spans="1:40" x14ac:dyDescent="0.2">
      <c r="A10" s="15" t="s">
        <v>61</v>
      </c>
      <c r="B10" s="22">
        <f>'Energy Consumption (EC) - frgt'!B10*'Energy Consumption (EC) - frgt'!$B$5</f>
        <v>339167804970251.06</v>
      </c>
      <c r="C10" s="22">
        <f>'Energy Consumption (EC) - frgt'!C10*'Energy Consumption (EC) - frgt'!$B$5</f>
        <v>356304258316373.06</v>
      </c>
      <c r="D10" s="22">
        <f>'Energy Consumption (EC) - frgt'!D10*'Energy Consumption (EC) - frgt'!$B$5</f>
        <v>374306530967807.75</v>
      </c>
      <c r="E10" s="22">
        <f>'Energy Consumption (EC) - frgt'!E10*'Energy Consumption (EC) - frgt'!$B$5</f>
        <v>393218368444956.19</v>
      </c>
      <c r="F10" s="22">
        <f>'Energy Consumption (EC) - frgt'!F10*'Energy Consumption (EC) - frgt'!$B$5</f>
        <v>413085726510637.5</v>
      </c>
      <c r="G10" s="22">
        <f>'Energy Consumption (EC) - frgt'!G10*'Energy Consumption (EC) - frgt'!$B$5</f>
        <v>433956882842587.56</v>
      </c>
      <c r="H10" s="22">
        <f>'Energy Consumption (EC) - frgt'!H10*'Energy Consumption (EC) - frgt'!$B$5</f>
        <v>455882554348209.38</v>
      </c>
      <c r="I10" s="22">
        <f>'Energy Consumption (EC) - frgt'!I10*'Energy Consumption (EC) - frgt'!$B$5</f>
        <v>478916020406652.62</v>
      </c>
      <c r="J10" s="22">
        <f>'Energy Consumption (EC) - frgt'!J10*'Energy Consumption (EC) - frgt'!$B$5</f>
        <v>503113252337698.75</v>
      </c>
      <c r="K10" s="22">
        <f>'Energy Consumption (EC) - frgt'!K10*'Energy Consumption (EC) - frgt'!$B$5</f>
        <v>528533049412061</v>
      </c>
      <c r="L10" s="22">
        <f>'Energy Consumption (EC) - frgt'!L10*'Energy Consumption (EC) - frgt'!$B$5</f>
        <v>555237181733605.44</v>
      </c>
      <c r="M10" s="22">
        <f>'Energy Consumption (EC) - frgt'!M10*'Energy Consumption (EC) - frgt'!$B$5</f>
        <v>583290540340695.75</v>
      </c>
      <c r="N10" s="22">
        <f>'Energy Consumption (EC) - frgt'!N10*'Energy Consumption (EC) - frgt'!$B$5</f>
        <v>612761294891409.5</v>
      </c>
      <c r="O10" s="22">
        <f>'Energy Consumption (EC) - frgt'!O10*'Energy Consumption (EC) - frgt'!$B$5</f>
        <v>643721059315797.88</v>
      </c>
      <c r="P10" s="22">
        <f>'Energy Consumption (EC) - frgt'!P10*'Energy Consumption (EC) - frgt'!$B$5</f>
        <v>676245065837728.62</v>
      </c>
      <c r="Q10" s="22">
        <f>'Energy Consumption (EC) - frgt'!Q10*'Energy Consumption (EC) - frgt'!$B$5</f>
        <v>710412347789179.75</v>
      </c>
      <c r="R10" s="22">
        <f>'Energy Consumption (EC) - frgt'!R10*'Energy Consumption (EC) - frgt'!$B$5</f>
        <v>746305931661228.12</v>
      </c>
      <c r="S10" s="22">
        <f>'Energy Consumption (EC) - frgt'!S10*'Energy Consumption (EC) - frgt'!$B$5</f>
        <v>784013038858411.62</v>
      </c>
      <c r="T10" s="22">
        <f>'Energy Consumption (EC) - frgt'!T10*'Energy Consumption (EC) - frgt'!$B$5</f>
        <v>823625297646732.75</v>
      </c>
      <c r="U10" s="22">
        <f>'Energy Consumption (EC) - frgt'!U10*'Energy Consumption (EC) - frgt'!$B$5</f>
        <v>865238965810334</v>
      </c>
      <c r="V10" s="22">
        <f>'Energy Consumption (EC) - frgt'!V10*'Energy Consumption (EC) - frgt'!$B$5</f>
        <v>908955164557901.38</v>
      </c>
      <c r="W10" s="22">
        <f>'Energy Consumption (EC) - frgt'!W10*'Energy Consumption (EC) - frgt'!$B$5</f>
        <v>954880124247189.12</v>
      </c>
      <c r="X10" s="22">
        <f>'Energy Consumption (EC) - frgt'!X10*'Energy Consumption (EC) - frgt'!$B$5</f>
        <v>1003125442524778.1</v>
      </c>
      <c r="Y10" s="22">
        <f>'Energy Consumption (EC) - frgt'!Y10*'Energy Consumption (EC) - frgt'!$B$5</f>
        <v>1053808355508342.8</v>
      </c>
      <c r="Z10" s="22">
        <f>'Energy Consumption (EC) - frgt'!Z10*'Energy Consumption (EC) - frgt'!$B$5</f>
        <v>1107052022670401.4</v>
      </c>
      <c r="AA10" s="22">
        <f>'Energy Consumption (EC) - frgt'!AA10*'Energy Consumption (EC) - frgt'!$B$5</f>
        <v>1162985826115823.8</v>
      </c>
      <c r="AB10" s="22">
        <f>'Energy Consumption (EC) - frgt'!AB10*'Energy Consumption (EC) - frgt'!$B$5</f>
        <v>1221745684980325.5</v>
      </c>
      <c r="AC10" s="22">
        <f>'Energy Consumption (EC) - frgt'!AC10*'Energy Consumption (EC) - frgt'!$B$5</f>
        <v>1283474385713956.2</v>
      </c>
      <c r="AD10" s="22">
        <f>'Energy Consumption (EC) - frgt'!AD10*'Energy Consumption (EC) - frgt'!$B$5</f>
        <v>1348321929052154.2</v>
      </c>
      <c r="AE10" s="22">
        <f>'Energy Consumption (EC) - frgt'!AE10*'Energy Consumption (EC) - frgt'!$B$5</f>
        <v>1416445894517514</v>
      </c>
      <c r="AF10" s="22">
        <f>'Energy Consumption (EC) - frgt'!AF10*'Energy Consumption (EC) - frgt'!$B$5</f>
        <v>1488011823338011.8</v>
      </c>
      <c r="AG10" s="22">
        <f>'Energy Consumption (EC) - frgt'!AG10*'Energy Consumption (EC) - frgt'!$B$5</f>
        <v>1563193620712164.2</v>
      </c>
      <c r="AH10" s="22">
        <f>'Energy Consumption (EC) - frgt'!AH10*'Energy Consumption (EC) - frgt'!$B$5</f>
        <v>1642173978398646.2</v>
      </c>
      <c r="AI10" s="22">
        <f>'Energy Consumption (EC) - frgt'!AI10*'Energy Consumption (EC) - frgt'!$B$5</f>
        <v>1725144818657238.2</v>
      </c>
      <c r="AJ10" s="22">
        <f>'Energy Consumption (EC) - frgt'!AJ10*'Energy Consumption (EC) - frgt'!$B$5</f>
        <v>1812307760619895</v>
      </c>
      <c r="AK10" s="22">
        <f>'Energy Consumption (EC) - frgt'!AK10*'Energy Consumption (EC) - frgt'!$B$5</f>
        <v>1903874610225215.2</v>
      </c>
      <c r="AL10" s="22">
        <f>'Energy Consumption (EC) - frgt'!AL10*'Energy Consumption (EC) - frgt'!$B$5</f>
        <v>2000067874906844</v>
      </c>
      <c r="AM10" s="22">
        <f>'Energy Consumption (EC) - frgt'!AM10*'Energy Consumption (EC) - frgt'!$B$5</f>
        <v>2101121304286512.2</v>
      </c>
      <c r="AN10" s="22">
        <f>'Energy Consumption (EC) - frgt'!AN10*'Energy Consumption (EC) - frgt'!$B$5</f>
        <v>2207280458185588.5</v>
      </c>
    </row>
    <row r="11" spans="1:40" x14ac:dyDescent="0.2">
      <c r="A11" s="15" t="s">
        <v>62</v>
      </c>
      <c r="B11" s="22">
        <f>'Energy Consumption (EC) - frgt'!B11*'Energy Consumption (EC) - frgt'!$B$5</f>
        <v>143883812797223.62</v>
      </c>
      <c r="C11" s="22">
        <f>'Energy Consumption (EC) - frgt'!C11*'Energy Consumption (EC) - frgt'!$B$5</f>
        <v>151153542438803.38</v>
      </c>
      <c r="D11" s="22">
        <f>'Energy Consumption (EC) - frgt'!D11*'Energy Consumption (EC) - frgt'!$B$5</f>
        <v>158790575170523.91</v>
      </c>
      <c r="E11" s="22">
        <f>'Energy Consumption (EC) - frgt'!E11*'Energy Consumption (EC) - frgt'!$B$5</f>
        <v>166813468981014.59</v>
      </c>
      <c r="F11" s="22">
        <f>'Energy Consumption (EC) - frgt'!F11*'Energy Consumption (EC) - frgt'!$B$5</f>
        <v>175241719501280.34</v>
      </c>
      <c r="G11" s="22">
        <f>'Energy Consumption (EC) - frgt'!G11*'Energy Consumption (EC) - frgt'!$B$5</f>
        <v>184095807379082.53</v>
      </c>
      <c r="H11" s="22">
        <f>'Energy Consumption (EC) - frgt'!H11*'Energy Consumption (EC) - frgt'!$B$5</f>
        <v>193397248046910.75</v>
      </c>
      <c r="I11" s="22">
        <f>'Energy Consumption (EC) - frgt'!I11*'Energy Consumption (EC) - frgt'!$B$5</f>
        <v>203168644004480.88</v>
      </c>
      <c r="J11" s="22">
        <f>'Energy Consumption (EC) - frgt'!J11*'Energy Consumption (EC) - frgt'!$B$5</f>
        <v>213433739742807.31</v>
      </c>
      <c r="K11" s="22">
        <f>'Energy Consumption (EC) - frgt'!K11*'Energy Consumption (EC) - frgt'!$B$5</f>
        <v>224217479443312.66</v>
      </c>
      <c r="L11" s="22">
        <f>'Energy Consumption (EC) - frgt'!L11*'Energy Consumption (EC) - frgt'!$B$5</f>
        <v>235546067592186.06</v>
      </c>
      <c r="M11" s="22">
        <f>'Energy Consumption (EC) - frgt'!M11*'Energy Consumption (EC) - frgt'!$B$5</f>
        <v>247447032657281.19</v>
      </c>
      <c r="N11" s="22">
        <f>'Energy Consumption (EC) - frgt'!N11*'Energy Consumption (EC) - frgt'!$B$5</f>
        <v>259949293982290.41</v>
      </c>
      <c r="O11" s="22">
        <f>'Energy Consumption (EC) - frgt'!O11*'Energy Consumption (EC) - frgt'!$B$5</f>
        <v>273083232060745.5</v>
      </c>
      <c r="P11" s="22">
        <f>'Energy Consumption (EC) - frgt'!P11*'Energy Consumption (EC) - frgt'!$B$5</f>
        <v>286880762360614.69</v>
      </c>
      <c r="Q11" s="22">
        <f>'Energy Consumption (EC) - frgt'!Q11*'Energy Consumption (EC) - frgt'!$B$5</f>
        <v>301375412878884.75</v>
      </c>
      <c r="R11" s="22">
        <f>'Energy Consumption (EC) - frgt'!R11*'Energy Consumption (EC) - frgt'!$B$5</f>
        <v>316602405614590.44</v>
      </c>
      <c r="S11" s="22">
        <f>'Energy Consumption (EC) - frgt'!S11*'Energy Consumption (EC) - frgt'!$B$5</f>
        <v>332598742158267.56</v>
      </c>
      <c r="T11" s="22">
        <f>'Energy Consumption (EC) - frgt'!T11*'Energy Consumption (EC) - frgt'!$B$5</f>
        <v>349403293605814.06</v>
      </c>
      <c r="U11" s="22">
        <f>'Energy Consumption (EC) - frgt'!U11*'Energy Consumption (EC) - frgt'!$B$5</f>
        <v>367056895015247.75</v>
      </c>
      <c r="V11" s="22">
        <f>'Energy Consumption (EC) - frgt'!V11*'Energy Consumption (EC) - frgt'!$B$5</f>
        <v>385602444635893.25</v>
      </c>
      <c r="W11" s="22">
        <f>'Energy Consumption (EC) - frgt'!W11*'Energy Consumption (EC) - frgt'!$B$5</f>
        <v>405085008151121.62</v>
      </c>
      <c r="X11" s="22">
        <f>'Energy Consumption (EC) - frgt'!X11*'Energy Consumption (EC) - frgt'!$B$5</f>
        <v>425551928187957.12</v>
      </c>
      <c r="Y11" s="22">
        <f>'Energy Consumption (EC) - frgt'!Y11*'Energy Consumption (EC) - frgt'!$B$5</f>
        <v>447052939359653.62</v>
      </c>
      <c r="Z11" s="22">
        <f>'Energy Consumption (EC) - frgt'!Z11*'Energy Consumption (EC) - frgt'!$B$5</f>
        <v>469640289120799.94</v>
      </c>
      <c r="AA11" s="22">
        <f>'Energy Consumption (EC) - frgt'!AA11*'Energy Consumption (EC) - frgt'!$B$5</f>
        <v>493368864728628.5</v>
      </c>
      <c r="AB11" s="22">
        <f>'Energy Consumption (EC) - frgt'!AB11*'Energy Consumption (EC) - frgt'!$B$5</f>
        <v>518296326619042.44</v>
      </c>
      <c r="AC11" s="22">
        <f>'Energy Consumption (EC) - frgt'!AC11*'Energy Consumption (EC) - frgt'!$B$5</f>
        <v>544483248521469.44</v>
      </c>
      <c r="AD11" s="22">
        <f>'Energy Consumption (EC) - frgt'!AD11*'Energy Consumption (EC) - frgt'!$B$5</f>
        <v>571993264653016.75</v>
      </c>
      <c r="AE11" s="22">
        <f>'Energy Consumption (EC) - frgt'!AE11*'Energy Consumption (EC) - frgt'!$B$5</f>
        <v>600893224349610.38</v>
      </c>
      <c r="AF11" s="22">
        <f>'Energy Consumption (EC) - frgt'!AF11*'Energy Consumption (EC) - frgt'!$B$5</f>
        <v>631253354509874.5</v>
      </c>
      <c r="AG11" s="22">
        <f>'Energy Consumption (EC) - frgt'!AG11*'Energy Consumption (EC) - frgt'!$B$5</f>
        <v>663147430246485.75</v>
      </c>
      <c r="AH11" s="22">
        <f>'Energy Consumption (EC) - frgt'!AH11*'Energy Consumption (EC) - frgt'!$B$5</f>
        <v>696652954159689.38</v>
      </c>
      <c r="AI11" s="22">
        <f>'Energy Consumption (EC) - frgt'!AI11*'Energy Consumption (EC) - frgt'!$B$5</f>
        <v>731851344668607.88</v>
      </c>
      <c r="AJ11" s="22">
        <f>'Energy Consumption (EC) - frgt'!AJ11*'Energy Consumption (EC) - frgt'!$B$5</f>
        <v>768828133857989.25</v>
      </c>
      <c r="AK11" s="22">
        <f>'Energy Consumption (EC) - frgt'!AK11*'Energy Consumption (EC) - frgt'!$B$5</f>
        <v>807673175321164</v>
      </c>
      <c r="AL11" s="22">
        <f>'Energy Consumption (EC) - frgt'!AL11*'Energy Consumption (EC) - frgt'!$B$5</f>
        <v>848480862504265.88</v>
      </c>
      <c r="AM11" s="22">
        <f>'Energy Consumption (EC) - frgt'!AM11*'Energy Consumption (EC) - frgt'!$B$5</f>
        <v>891350358082294</v>
      </c>
      <c r="AN11" s="22">
        <f>'Energy Consumption (EC) - frgt'!AN11*'Energy Consumption (EC) - frgt'!$B$5</f>
        <v>936385834924401.88</v>
      </c>
    </row>
    <row r="12" spans="1:40" x14ac:dyDescent="0.2">
      <c r="A12" s="15" t="s">
        <v>63</v>
      </c>
      <c r="B12" s="22">
        <f>'Energy Consumption (EC) - frgt'!B12*'Energy Consumption (EC) - frgt'!$B$5</f>
        <v>17977832963189.012</v>
      </c>
      <c r="C12" s="22">
        <f>'Energy Consumption (EC) - frgt'!C12*'Energy Consumption (EC) - frgt'!$B$5</f>
        <v>18886162973654.137</v>
      </c>
      <c r="D12" s="22">
        <f>'Energy Consumption (EC) - frgt'!D12*'Energy Consumption (EC) - frgt'!$B$5</f>
        <v>19840386357898.008</v>
      </c>
      <c r="E12" s="22">
        <f>'Energy Consumption (EC) - frgt'!E12*'Energy Consumption (EC) - frgt'!$B$5</f>
        <v>20842821878630.805</v>
      </c>
      <c r="F12" s="22">
        <f>'Energy Consumption (EC) - frgt'!F12*'Energy Consumption (EC) - frgt'!$B$5</f>
        <v>21895905454048.625</v>
      </c>
      <c r="G12" s="22">
        <f>'Energy Consumption (EC) - frgt'!G12*'Energy Consumption (EC) - frgt'!$B$5</f>
        <v>23002196077114.43</v>
      </c>
      <c r="H12" s="22">
        <f>'Energy Consumption (EC) - frgt'!H12*'Energy Consumption (EC) - frgt'!$B$5</f>
        <v>24164382033910.645</v>
      </c>
      <c r="I12" s="22">
        <f>'Energy Consumption (EC) - frgt'!I12*'Energy Consumption (EC) - frgt'!$B$5</f>
        <v>25385287436173.977</v>
      </c>
      <c r="J12" s="22">
        <f>'Energy Consumption (EC) - frgt'!J12*'Energy Consumption (EC) - frgt'!$B$5</f>
        <v>26667879083886.672</v>
      </c>
      <c r="K12" s="22">
        <f>'Energy Consumption (EC) - frgt'!K12*'Energy Consumption (EC) - frgt'!$B$5</f>
        <v>28015273674600.043</v>
      </c>
      <c r="L12" s="22">
        <f>'Energy Consumption (EC) - frgt'!L12*'Energy Consumption (EC) - frgt'!$B$5</f>
        <v>29430745377009.215</v>
      </c>
      <c r="M12" s="22">
        <f>'Energy Consumption (EC) - frgt'!M12*'Energy Consumption (EC) - frgt'!$B$5</f>
        <v>30917733787182.602</v>
      </c>
      <c r="N12" s="22">
        <f>'Energy Consumption (EC) - frgt'!N12*'Energy Consumption (EC) - frgt'!$B$5</f>
        <v>32479852286780.008</v>
      </c>
      <c r="O12" s="22">
        <f>'Energy Consumption (EC) - frgt'!O12*'Energy Consumption (EC) - frgt'!$B$5</f>
        <v>34120896823569.562</v>
      </c>
      <c r="P12" s="22">
        <f>'Energy Consumption (EC) - frgt'!P12*'Energy Consumption (EC) - frgt'!$B$5</f>
        <v>35844855135580.414</v>
      </c>
      <c r="Q12" s="22">
        <f>'Energy Consumption (EC) - frgt'!Q12*'Energy Consumption (EC) - frgt'!$B$5</f>
        <v>37655916441305.609</v>
      </c>
      <c r="R12" s="22">
        <f>'Energy Consumption (EC) - frgt'!R12*'Energy Consumption (EC) - frgt'!$B$5</f>
        <v>39558481619502.578</v>
      </c>
      <c r="S12" s="22">
        <f>'Energy Consumption (EC) - frgt'!S12*'Energy Consumption (EC) - frgt'!$B$5</f>
        <v>41557173903327.945</v>
      </c>
      <c r="T12" s="22">
        <f>'Energy Consumption (EC) - frgt'!T12*'Energy Consumption (EC) - frgt'!$B$5</f>
        <v>43656850114793.586</v>
      </c>
      <c r="U12" s="22">
        <f>'Energy Consumption (EC) - frgt'!U12*'Energy Consumption (EC) - frgt'!$B$5</f>
        <v>45862612466843.539</v>
      </c>
      <c r="V12" s="22">
        <f>'Energy Consumption (EC) - frgt'!V12*'Energy Consumption (EC) - frgt'!$B$5</f>
        <v>48179820961730.812</v>
      </c>
      <c r="W12" s="22">
        <f>'Energy Consumption (EC) - frgt'!W12*'Energy Consumption (EC) - frgt'!$B$5</f>
        <v>50614106415822.258</v>
      </c>
      <c r="X12" s="22">
        <f>'Energy Consumption (EC) - frgt'!X12*'Energy Consumption (EC) - frgt'!$B$5</f>
        <v>53171384142481.664</v>
      </c>
      <c r="Y12" s="22">
        <f>'Energy Consumption (EC) - frgt'!Y12*'Energy Consumption (EC) - frgt'!$B$5</f>
        <v>55857868326280.547</v>
      </c>
      <c r="Z12" s="22">
        <f>'Energy Consumption (EC) - frgt'!Z12*'Energy Consumption (EC) - frgt'!$B$5</f>
        <v>58680087123465.852</v>
      </c>
      <c r="AA12" s="22">
        <f>'Energy Consumption (EC) - frgt'!AA12*'Energy Consumption (EC) - frgt'!$B$5</f>
        <v>61644898525378.977</v>
      </c>
      <c r="AB12" s="22">
        <f>'Energy Consumption (EC) - frgt'!AB12*'Energy Consumption (EC) - frgt'!$B$5</f>
        <v>64759507023373.758</v>
      </c>
      <c r="AC12" s="22">
        <f>'Energy Consumption (EC) - frgt'!AC12*'Energy Consumption (EC) - frgt'!$B$5</f>
        <v>68031481115729.695</v>
      </c>
      <c r="AD12" s="22">
        <f>'Energy Consumption (EC) - frgt'!AD12*'Energy Consumption (EC) - frgt'!$B$5</f>
        <v>71468771699101.953</v>
      </c>
      <c r="AE12" s="22">
        <f>'Energy Consumption (EC) - frgt'!AE12*'Energy Consumption (EC) - frgt'!$B$5</f>
        <v>75079731389199.078</v>
      </c>
      <c r="AF12" s="22">
        <f>'Energy Consumption (EC) - frgt'!AF12*'Energy Consumption (EC) - frgt'!$B$5</f>
        <v>78873134817638.344</v>
      </c>
      <c r="AG12" s="22">
        <f>'Energy Consumption (EC) - frgt'!AG12*'Energy Consumption (EC) - frgt'!$B$5</f>
        <v>82858199954299.531</v>
      </c>
      <c r="AH12" s="22">
        <f>'Energy Consumption (EC) - frgt'!AH12*'Energy Consumption (EC) - frgt'!$B$5</f>
        <v>87044610506990.5</v>
      </c>
      <c r="AI12" s="22">
        <f>'Energy Consumption (EC) - frgt'!AI12*'Energy Consumption (EC) - frgt'!$B$5</f>
        <v>91442539452856.219</v>
      </c>
      <c r="AJ12" s="22">
        <f>'Energy Consumption (EC) - frgt'!AJ12*'Energy Consumption (EC) - frgt'!$B$5</f>
        <v>96062673758711.797</v>
      </c>
      <c r="AK12" s="22">
        <f>'Energy Consumption (EC) - frgt'!AK12*'Energy Consumption (EC) - frgt'!$B$5</f>
        <v>100916240350370.67</v>
      </c>
      <c r="AL12" s="22">
        <f>'Energy Consumption (EC) - frgt'!AL12*'Energy Consumption (EC) - frgt'!$B$5</f>
        <v>106015033394073.16</v>
      </c>
      <c r="AM12" s="22">
        <f>'Energy Consumption (EC) - frgt'!AM12*'Energy Consumption (EC) - frgt'!$B$5</f>
        <v>111371442956308.7</v>
      </c>
      <c r="AN12" s="22">
        <f>'Energy Consumption (EC) - frgt'!AN12*'Energy Consumption (EC) - frgt'!$B$5</f>
        <v>116998485111676.2</v>
      </c>
    </row>
    <row r="15" spans="1:40" x14ac:dyDescent="0.2">
      <c r="A15" s="17" t="s">
        <v>88</v>
      </c>
    </row>
    <row r="16" spans="1:40" x14ac:dyDescent="0.2">
      <c r="A16" s="14" t="s">
        <v>16</v>
      </c>
    </row>
    <row r="17" spans="1:40" x14ac:dyDescent="0.2">
      <c r="A17" s="14" t="s">
        <v>66</v>
      </c>
    </row>
    <row r="18" spans="1:40" x14ac:dyDescent="0.2">
      <c r="A18" s="14" t="s">
        <v>18</v>
      </c>
    </row>
    <row r="19" spans="1:40" x14ac:dyDescent="0.2">
      <c r="A19" s="14"/>
    </row>
    <row r="20" spans="1:40" x14ac:dyDescent="0.2">
      <c r="A20" s="15" t="s">
        <v>19</v>
      </c>
      <c r="B20" s="15">
        <v>2022</v>
      </c>
      <c r="C20" s="15">
        <v>2023</v>
      </c>
      <c r="D20" s="15">
        <v>2024</v>
      </c>
      <c r="E20" s="15">
        <v>2025</v>
      </c>
      <c r="F20" s="15">
        <v>2026</v>
      </c>
      <c r="G20" s="15">
        <v>2027</v>
      </c>
      <c r="H20" s="15">
        <v>2028</v>
      </c>
      <c r="I20" s="15">
        <v>2029</v>
      </c>
      <c r="J20" s="15">
        <v>2030</v>
      </c>
      <c r="K20" s="15">
        <v>2031</v>
      </c>
      <c r="L20" s="15">
        <v>2032</v>
      </c>
      <c r="M20" s="15">
        <v>2033</v>
      </c>
      <c r="N20" s="15">
        <v>2034</v>
      </c>
      <c r="O20" s="15">
        <v>2035</v>
      </c>
      <c r="P20" s="15">
        <v>2036</v>
      </c>
      <c r="Q20" s="15">
        <v>2037</v>
      </c>
      <c r="R20" s="15">
        <v>2038</v>
      </c>
      <c r="S20" s="15">
        <v>2039</v>
      </c>
      <c r="T20" s="15">
        <v>2040</v>
      </c>
      <c r="U20" s="15">
        <v>2041</v>
      </c>
      <c r="V20" s="15">
        <v>2042</v>
      </c>
      <c r="W20" s="15">
        <v>2043</v>
      </c>
      <c r="X20" s="15">
        <v>2044</v>
      </c>
      <c r="Y20" s="15">
        <v>2045</v>
      </c>
      <c r="Z20" s="15">
        <v>2046</v>
      </c>
      <c r="AA20" s="15">
        <v>2047</v>
      </c>
      <c r="AB20" s="15">
        <v>2048</v>
      </c>
      <c r="AC20" s="15">
        <v>2049</v>
      </c>
      <c r="AD20" s="15">
        <v>2050</v>
      </c>
      <c r="AE20" s="15">
        <v>2051</v>
      </c>
      <c r="AF20" s="15">
        <v>2052</v>
      </c>
      <c r="AG20" s="15">
        <v>2053</v>
      </c>
      <c r="AH20" s="15">
        <v>2054</v>
      </c>
      <c r="AI20" s="15">
        <v>2055</v>
      </c>
      <c r="AJ20" s="15">
        <v>2056</v>
      </c>
      <c r="AK20" s="15">
        <v>2057</v>
      </c>
      <c r="AL20" s="15">
        <v>2058</v>
      </c>
      <c r="AM20" s="15">
        <v>2059</v>
      </c>
      <c r="AN20" s="15">
        <v>2060</v>
      </c>
    </row>
    <row r="21" spans="1:40" x14ac:dyDescent="0.2">
      <c r="A21" s="15" t="s">
        <v>43</v>
      </c>
      <c r="B21" s="22">
        <f>'Energy Consumption (EC) - frgt'!B21*'Energy Consumption (EC) - frgt'!$B$19</f>
        <v>8203059420.2115812</v>
      </c>
      <c r="C21" s="22">
        <f>'Energy Consumption (EC) - frgt'!C21*'Energy Consumption (EC) - frgt'!$B$19</f>
        <v>8617518997.4177704</v>
      </c>
      <c r="D21" s="22">
        <f>'Energy Consumption (EC) - frgt'!D21*'Energy Consumption (EC) - frgt'!$B$19</f>
        <v>9052919144.7623024</v>
      </c>
      <c r="E21" s="22">
        <f>'Energy Consumption (EC) - frgt'!E21*'Energy Consumption (EC) - frgt'!$B$19</f>
        <v>9510317884.5514183</v>
      </c>
      <c r="F21" s="22">
        <f>'Energy Consumption (EC) - frgt'!F21*'Energy Consumption (EC) - frgt'!$B$19</f>
        <v>9990826695.6683788</v>
      </c>
      <c r="G21" s="22">
        <f>'Energy Consumption (EC) - frgt'!G21*'Energy Consumption (EC) - frgt'!$B$19</f>
        <v>10495613214.467024</v>
      </c>
      <c r="H21" s="22">
        <f>'Energy Consumption (EC) - frgt'!H21*'Energy Consumption (EC) - frgt'!$B$19</f>
        <v>11025904072.127972</v>
      </c>
      <c r="I21" s="22">
        <f>'Energy Consumption (EC) - frgt'!I21*'Energy Consumption (EC) - frgt'!$B$19</f>
        <v>11582987875.372236</v>
      </c>
      <c r="J21" s="22">
        <f>'Energy Consumption (EC) - frgt'!J21*'Energy Consumption (EC) - frgt'!$B$19</f>
        <v>12168218337.775419</v>
      </c>
      <c r="K21" s="22">
        <f>'Energy Consumption (EC) - frgt'!K21*'Energy Consumption (EC) - frgt'!$B$19</f>
        <v>12783017569.291521</v>
      </c>
      <c r="L21" s="22">
        <f>'Energy Consumption (EC) - frgt'!L21*'Energy Consumption (EC) - frgt'!$B$19</f>
        <v>13428879531.979979</v>
      </c>
      <c r="M21" s="22">
        <f>'Energy Consumption (EC) - frgt'!M21*'Energy Consumption (EC) - frgt'!$B$19</f>
        <v>14107373670.333269</v>
      </c>
      <c r="N21" s="22">
        <f>'Energy Consumption (EC) - frgt'!N21*'Energy Consumption (EC) - frgt'!$B$19</f>
        <v>14820148725.026857</v>
      </c>
      <c r="O21" s="22">
        <f>'Energy Consumption (EC) - frgt'!O21*'Energy Consumption (EC) - frgt'!$B$19</f>
        <v>15568936739.358833</v>
      </c>
      <c r="P21" s="22">
        <f>'Energy Consumption (EC) - frgt'!P21*'Energy Consumption (EC) - frgt'!$B$19</f>
        <v>16355557268.114941</v>
      </c>
      <c r="Q21" s="22">
        <f>'Energy Consumption (EC) - frgt'!Q21*'Energy Consumption (EC) - frgt'!$B$19</f>
        <v>17181921799.086445</v>
      </c>
      <c r="R21" s="22">
        <f>'Energy Consumption (EC) - frgt'!R21*'Energy Consumption (EC) - frgt'!$B$19</f>
        <v>18050038397.985294</v>
      </c>
      <c r="S21" s="22">
        <f>'Energy Consumption (EC) - frgt'!S21*'Energy Consumption (EC) - frgt'!$B$19</f>
        <v>18962016588.043495</v>
      </c>
      <c r="T21" s="22">
        <f>'Energy Consumption (EC) - frgt'!T21*'Energy Consumption (EC) - frgt'!$B$19</f>
        <v>19920072476.1544</v>
      </c>
      <c r="U21" s="22">
        <f>'Energy Consumption (EC) - frgt'!U21*'Energy Consumption (EC) - frgt'!$B$19</f>
        <v>20926534138.012096</v>
      </c>
      <c r="V21" s="22">
        <f>'Energy Consumption (EC) - frgt'!V21*'Energy Consumption (EC) - frgt'!$B$19</f>
        <v>21983847275.335152</v>
      </c>
      <c r="W21" s="22">
        <f>'Energy Consumption (EC) - frgt'!W21*'Energy Consumption (EC) - frgt'!$B$19</f>
        <v>23094581158.921459</v>
      </c>
      <c r="X21" s="22">
        <f>'Energy Consumption (EC) - frgt'!X21*'Energy Consumption (EC) - frgt'!$B$19</f>
        <v>24261434871.975967</v>
      </c>
      <c r="Y21" s="22">
        <f>'Energy Consumption (EC) - frgt'!Y21*'Energy Consumption (EC) - frgt'!$B$19</f>
        <v>25487243868.882549</v>
      </c>
      <c r="Z21" s="22">
        <f>'Energy Consumption (EC) - frgt'!Z21*'Energy Consumption (EC) - frgt'!$B$19</f>
        <v>26774986865.357841</v>
      </c>
      <c r="AA21" s="22">
        <f>'Energy Consumption (EC) - frgt'!AA21*'Energy Consumption (EC) - frgt'!$B$19</f>
        <v>28127793076.730042</v>
      </c>
      <c r="AB21" s="22">
        <f>'Energy Consumption (EC) - frgt'!AB21*'Energy Consumption (EC) - frgt'!$B$19</f>
        <v>29548949821.931835</v>
      </c>
      <c r="AC21" s="22">
        <f>'Energy Consumption (EC) - frgt'!AC21*'Energy Consumption (EC) - frgt'!$B$19</f>
        <v>31041910511.684937</v>
      </c>
      <c r="AD21" s="22">
        <f>'Energy Consumption (EC) - frgt'!AD21*'Energy Consumption (EC) - frgt'!$B$19</f>
        <v>32610303040.287811</v>
      </c>
      <c r="AE21" s="22">
        <f>'Energy Consumption (EC) - frgt'!AE21*'Energy Consumption (EC) - frgt'!$B$19</f>
        <v>34257938601.398342</v>
      </c>
      <c r="AF21" s="22">
        <f>'Energy Consumption (EC) - frgt'!AF21*'Energy Consumption (EC) - frgt'!$B$19</f>
        <v>35988820949.234009</v>
      </c>
      <c r="AG21" s="22">
        <f>'Energy Consumption (EC) - frgt'!AG21*'Energy Consumption (EC) - frgt'!$B$19</f>
        <v>37807156127.694046</v>
      </c>
      <c r="AH21" s="22">
        <f>'Energy Consumption (EC) - frgt'!AH21*'Energy Consumption (EC) - frgt'!$B$19</f>
        <v>39717362691.045792</v>
      </c>
      <c r="AI21" s="22">
        <f>'Energy Consumption (EC) - frgt'!AI21*'Energy Consumption (EC) - frgt'!$B$19</f>
        <v>41724082441.010887</v>
      </c>
      <c r="AJ21" s="22">
        <f>'Energy Consumption (EC) - frgt'!AJ21*'Energy Consumption (EC) - frgt'!$B$19</f>
        <v>43832191706.342964</v>
      </c>
      <c r="AK21" s="22">
        <f>'Energy Consumption (EC) - frgt'!AK21*'Energy Consumption (EC) - frgt'!$B$19</f>
        <v>46046813192.305931</v>
      </c>
      <c r="AL21" s="22">
        <f>'Energy Consumption (EC) - frgt'!AL21*'Energy Consumption (EC) - frgt'!$B$19</f>
        <v>48373328428.847183</v>
      </c>
      <c r="AM21" s="22">
        <f>'Energy Consumption (EC) - frgt'!AM21*'Energy Consumption (EC) - frgt'!$B$19</f>
        <v>50817390847.714691</v>
      </c>
      <c r="AN21" s="22">
        <f>'Energy Consumption (EC) - frgt'!AN21*'Energy Consumption (EC) - frgt'!$B$19</f>
        <v>53384939520.295471</v>
      </c>
    </row>
    <row r="22" spans="1:40" x14ac:dyDescent="0.2">
      <c r="A22" s="15" t="s">
        <v>44</v>
      </c>
      <c r="B22" s="22">
        <f>'Energy Consumption (EC) - frgt'!B22*'Energy Consumption (EC) - frgt'!$B$19</f>
        <v>134045698310.97192</v>
      </c>
      <c r="C22" s="22">
        <f>'Energy Consumption (EC) - frgt'!C22*'Energy Consumption (EC) - frgt'!$B$19</f>
        <v>140818357218.13376</v>
      </c>
      <c r="D22" s="22">
        <f>'Energy Consumption (EC) - frgt'!D22*'Energy Consumption (EC) - frgt'!$B$19</f>
        <v>147933204716.57999</v>
      </c>
      <c r="E22" s="22">
        <f>'Energy Consumption (EC) - frgt'!E22*'Energy Consumption (EC) - frgt'!$B$19</f>
        <v>155407529884.88516</v>
      </c>
      <c r="F22" s="22">
        <f>'Energy Consumption (EC) - frgt'!F22*'Energy Consumption (EC) - frgt'!$B$19</f>
        <v>163259495332.319</v>
      </c>
      <c r="G22" s="22">
        <f>'Energy Consumption (EC) - frgt'!G22*'Energy Consumption (EC) - frgt'!$B$19</f>
        <v>171508181333.98441</v>
      </c>
      <c r="H22" s="22">
        <f>'Energy Consumption (EC) - frgt'!H22*'Energy Consumption (EC) - frgt'!$B$19</f>
        <v>180173632195.88397</v>
      </c>
      <c r="I22" s="22">
        <f>'Energy Consumption (EC) - frgt'!I22*'Energy Consumption (EC) - frgt'!$B$19</f>
        <v>189276904962.58109</v>
      </c>
      <c r="J22" s="22">
        <f>'Energy Consumption (EC) - frgt'!J22*'Energy Consumption (EC) - frgt'!$B$19</f>
        <v>198840120585.8154</v>
      </c>
      <c r="K22" s="22">
        <f>'Energy Consumption (EC) - frgt'!K22*'Energy Consumption (EC) - frgt'!$B$19</f>
        <v>208886517678.41379</v>
      </c>
      <c r="L22" s="22">
        <f>'Energy Consumption (EC) - frgt'!L22*'Energy Consumption (EC) - frgt'!$B$19</f>
        <v>219440508984.11569</v>
      </c>
      <c r="M22" s="22">
        <f>'Energy Consumption (EC) - frgt'!M22*'Energy Consumption (EC) - frgt'!$B$19</f>
        <v>230527740700.53812</v>
      </c>
      <c r="N22" s="22">
        <f>'Energy Consumption (EC) - frgt'!N22*'Energy Consumption (EC) - frgt'!$B$19</f>
        <v>242175154799.43277</v>
      </c>
      <c r="O22" s="22">
        <f>'Energy Consumption (EC) - frgt'!O22*'Energy Consumption (EC) - frgt'!$B$19</f>
        <v>254411054495.67407</v>
      </c>
      <c r="P22" s="22">
        <f>'Energy Consumption (EC) - frgt'!P22*'Energy Consumption (EC) - frgt'!$B$19</f>
        <v>267265173024.06805</v>
      </c>
      <c r="Q22" s="22">
        <f>'Energy Consumption (EC) - frgt'!Q22*'Energy Consumption (EC) - frgt'!$B$19</f>
        <v>280768745891.10895</v>
      </c>
      <c r="R22" s="22">
        <f>'Energy Consumption (EC) - frgt'!R22*'Energy Consumption (EC) - frgt'!$B$19</f>
        <v>294954586777.25739</v>
      </c>
      <c r="S22" s="22">
        <f>'Energy Consumption (EC) - frgt'!S22*'Energy Consumption (EC) - frgt'!$B$19</f>
        <v>309857167274.17828</v>
      </c>
      <c r="T22" s="22">
        <f>'Energy Consumption (EC) - frgt'!T22*'Energy Consumption (EC) - frgt'!$B$19</f>
        <v>325512700650.70618</v>
      </c>
      <c r="U22" s="22">
        <f>'Energy Consumption (EC) - frgt'!U22*'Energy Consumption (EC) - frgt'!$B$19</f>
        <v>341959229851.08301</v>
      </c>
      <c r="V22" s="22">
        <f>'Energy Consumption (EC) - frgt'!V22*'Energy Consumption (EC) - frgt'!$B$19</f>
        <v>359236719939.30896</v>
      </c>
      <c r="W22" s="22">
        <f>'Energy Consumption (EC) - frgt'!W22*'Energy Consumption (EC) - frgt'!$B$19</f>
        <v>377387155214.24255</v>
      </c>
      <c r="X22" s="22">
        <f>'Energy Consumption (EC) - frgt'!X22*'Energy Consumption (EC) - frgt'!$B$19</f>
        <v>396454641231.44214</v>
      </c>
      <c r="Y22" s="22">
        <f>'Energy Consumption (EC) - frgt'!Y22*'Energy Consumption (EC) - frgt'!$B$19</f>
        <v>416485511979.66071</v>
      </c>
      <c r="Z22" s="22">
        <f>'Energy Consumption (EC) - frgt'!Z22*'Energy Consumption (EC) - frgt'!$B$19</f>
        <v>437528442472.43311</v>
      </c>
      <c r="AA22" s="22">
        <f>'Energy Consumption (EC) - frgt'!AA22*'Energy Consumption (EC) - frgt'!$B$19</f>
        <v>459634567028.35272</v>
      </c>
      <c r="AB22" s="22">
        <f>'Energy Consumption (EC) - frgt'!AB22*'Energy Consumption (EC) - frgt'!$B$19</f>
        <v>482857603527.46033</v>
      </c>
      <c r="AC22" s="22">
        <f>'Energy Consumption (EC) - frgt'!AC22*'Energy Consumption (EC) - frgt'!$B$19</f>
        <v>507253983945.68518</v>
      </c>
      <c r="AD22" s="22">
        <f>'Energy Consumption (EC) - frgt'!AD22*'Energy Consumption (EC) - frgt'!$B$19</f>
        <v>532882991484.54102</v>
      </c>
      <c r="AE22" s="22">
        <f>'Energy Consumption (EC) - frgt'!AE22*'Energy Consumption (EC) - frgt'!$B$19</f>
        <v>559806904629.29712</v>
      </c>
      <c r="AF22" s="22">
        <f>'Energy Consumption (EC) - frgt'!AF22*'Energy Consumption (EC) - frgt'!$B$19</f>
        <v>588091148485.69238</v>
      </c>
      <c r="AG22" s="22">
        <f>'Energy Consumption (EC) - frgt'!AG22*'Energy Consumption (EC) - frgt'!$B$19</f>
        <v>617804453762.93213</v>
      </c>
      <c r="AH22" s="22">
        <f>'Energy Consumption (EC) - frgt'!AH22*'Energy Consumption (EC) - frgt'!$B$19</f>
        <v>649019023789.3042</v>
      </c>
      <c r="AI22" s="22">
        <f>'Energy Consumption (EC) - frgt'!AI22*'Energy Consumption (EC) - frgt'!$B$19</f>
        <v>681810709966.25903</v>
      </c>
      <c r="AJ22" s="22">
        <f>'Energy Consumption (EC) - frgt'!AJ22*'Energy Consumption (EC) - frgt'!$B$19</f>
        <v>716259196087.3042</v>
      </c>
      <c r="AK22" s="22">
        <f>'Energy Consumption (EC) - frgt'!AK22*'Energy Consumption (EC) - frgt'!$B$19</f>
        <v>752448191969.61499</v>
      </c>
      <c r="AL22" s="22">
        <f>'Energy Consumption (EC) - frgt'!AL22*'Energy Consumption (EC) - frgt'!$B$19</f>
        <v>790465636868.87976</v>
      </c>
      <c r="AM22" s="22">
        <f>'Energy Consumption (EC) - frgt'!AM22*'Energy Consumption (EC) - frgt'!$B$19</f>
        <v>830403913171.67993</v>
      </c>
      <c r="AN22" s="22">
        <f>'Energy Consumption (EC) - frgt'!AN22*'Energy Consumption (EC) - frgt'!$B$19</f>
        <v>872360070884.6792</v>
      </c>
    </row>
    <row r="25" spans="1:40" x14ac:dyDescent="0.2">
      <c r="A25" s="17" t="s">
        <v>89</v>
      </c>
    </row>
    <row r="26" spans="1:40" x14ac:dyDescent="0.2">
      <c r="A26" s="14" t="s">
        <v>16</v>
      </c>
    </row>
    <row r="27" spans="1:40" x14ac:dyDescent="0.2">
      <c r="A27" s="14" t="s">
        <v>68</v>
      </c>
    </row>
    <row r="28" spans="1:40" x14ac:dyDescent="0.2">
      <c r="A28" s="14" t="s">
        <v>18</v>
      </c>
    </row>
    <row r="29" spans="1:40" x14ac:dyDescent="0.2">
      <c r="A29" s="14"/>
    </row>
    <row r="30" spans="1:40" x14ac:dyDescent="0.2">
      <c r="A30" s="15" t="s">
        <v>19</v>
      </c>
      <c r="B30" s="15">
        <v>2022</v>
      </c>
      <c r="C30" s="15">
        <v>2023</v>
      </c>
      <c r="D30" s="15">
        <v>2024</v>
      </c>
      <c r="E30" s="15">
        <v>2025</v>
      </c>
      <c r="F30" s="15">
        <v>2026</v>
      </c>
      <c r="G30" s="15">
        <v>2027</v>
      </c>
      <c r="H30" s="15">
        <v>2028</v>
      </c>
      <c r="I30" s="15">
        <v>2029</v>
      </c>
      <c r="J30" s="15">
        <v>2030</v>
      </c>
      <c r="K30" s="15">
        <v>2031</v>
      </c>
      <c r="L30" s="15">
        <v>2032</v>
      </c>
      <c r="M30" s="15">
        <v>2033</v>
      </c>
      <c r="N30" s="15">
        <v>2034</v>
      </c>
      <c r="O30" s="15">
        <v>2035</v>
      </c>
      <c r="P30" s="15">
        <v>2036</v>
      </c>
      <c r="Q30" s="15">
        <v>2037</v>
      </c>
      <c r="R30" s="15">
        <v>2038</v>
      </c>
      <c r="S30" s="15">
        <v>2039</v>
      </c>
      <c r="T30" s="15">
        <v>2040</v>
      </c>
      <c r="U30" s="15">
        <v>2041</v>
      </c>
      <c r="V30" s="15">
        <v>2042</v>
      </c>
      <c r="W30" s="15">
        <v>2043</v>
      </c>
      <c r="X30" s="15">
        <v>2044</v>
      </c>
      <c r="Y30" s="15">
        <v>2045</v>
      </c>
      <c r="Z30" s="15">
        <v>2046</v>
      </c>
      <c r="AA30" s="15">
        <v>2047</v>
      </c>
      <c r="AB30" s="15">
        <v>2048</v>
      </c>
      <c r="AC30" s="15">
        <v>2049</v>
      </c>
      <c r="AD30" s="15">
        <v>2050</v>
      </c>
      <c r="AE30" s="15">
        <v>2051</v>
      </c>
      <c r="AF30" s="15">
        <v>2052</v>
      </c>
      <c r="AG30" s="15">
        <v>2053</v>
      </c>
      <c r="AH30" s="15">
        <v>2054</v>
      </c>
      <c r="AI30" s="15">
        <v>2055</v>
      </c>
      <c r="AJ30" s="15">
        <v>2056</v>
      </c>
      <c r="AK30" s="15">
        <v>2057</v>
      </c>
      <c r="AL30" s="15">
        <v>2058</v>
      </c>
      <c r="AM30" s="15">
        <v>2059</v>
      </c>
      <c r="AN30" s="15">
        <v>2060</v>
      </c>
    </row>
    <row r="31" spans="1:40" x14ac:dyDescent="0.2">
      <c r="A31" s="15" t="s">
        <v>69</v>
      </c>
      <c r="B31" s="22">
        <f>'Energy Consumption (EC) - frgt'!B31*'Energy Consumption (EC) - frgt'!$B$29</f>
        <v>1699090327986.8247</v>
      </c>
      <c r="C31" s="22">
        <f>'Energy Consumption (EC) - frgt'!C31*'Energy Consumption (EC) - frgt'!$B$29</f>
        <v>1784936866808.3586</v>
      </c>
      <c r="D31" s="22">
        <f>'Energy Consumption (EC) - frgt'!D31*'Energy Consumption (EC) - frgt'!$B$29</f>
        <v>1875120802003.8511</v>
      </c>
      <c r="E31" s="22">
        <f>'Energy Consumption (EC) - frgt'!E31*'Energy Consumption (EC) - frgt'!$B$29</f>
        <v>1969861280525.0959</v>
      </c>
      <c r="F31" s="22">
        <f>'Energy Consumption (EC) - frgt'!F31*'Energy Consumption (EC) - frgt'!$B$29</f>
        <v>2069388521723.6262</v>
      </c>
      <c r="G31" s="22">
        <f>'Energy Consumption (EC) - frgt'!G31*'Energy Consumption (EC) - frgt'!$B$29</f>
        <v>2173944376783.7124</v>
      </c>
      <c r="H31" s="22">
        <f>'Energy Consumption (EC) - frgt'!H31*'Energy Consumption (EC) - frgt'!$B$29</f>
        <v>2283782916420.71</v>
      </c>
      <c r="I31" s="22">
        <f>'Energy Consumption (EC) - frgt'!I31*'Energy Consumption (EC) - frgt'!$B$29</f>
        <v>2399171048272.8657</v>
      </c>
      <c r="J31" s="22">
        <f>'Energy Consumption (EC) - frgt'!J31*'Energy Consumption (EC) - frgt'!$B$29</f>
        <v>2520389165486.8521</v>
      </c>
      <c r="K31" s="22">
        <f>'Energy Consumption (EC) - frgt'!K31*'Energy Consumption (EC) - frgt'!$B$29</f>
        <v>2647731828073.0757</v>
      </c>
      <c r="L31" s="22">
        <f>'Energy Consumption (EC) - frgt'!L31*'Energy Consumption (EC) - frgt'!$B$29</f>
        <v>2781508478686.4683</v>
      </c>
      <c r="M31" s="22">
        <f>'Energy Consumption (EC) - frgt'!M31*'Energy Consumption (EC) - frgt'!$B$29</f>
        <v>2922044194572.1021</v>
      </c>
      <c r="N31" s="22">
        <f>'Energy Consumption (EC) - frgt'!N31*'Energy Consumption (EC) - frgt'!$B$29</f>
        <v>3069680477502.8574</v>
      </c>
      <c r="O31" s="22">
        <f>'Energy Consumption (EC) - frgt'!O31*'Energy Consumption (EC) - frgt'!$B$29</f>
        <v>3224776083628.6895</v>
      </c>
      <c r="P31" s="22">
        <f>'Energy Consumption (EC) - frgt'!P31*'Energy Consumption (EC) - frgt'!$B$29</f>
        <v>3387707895254.0288</v>
      </c>
      <c r="Q31" s="22">
        <f>'Energy Consumption (EC) - frgt'!Q31*'Energy Consumption (EC) - frgt'!$B$29</f>
        <v>3558871836661.7383</v>
      </c>
      <c r="R31" s="22">
        <f>'Energy Consumption (EC) - frgt'!R31*'Energy Consumption (EC) - frgt'!$B$29</f>
        <v>3738683836209.0723</v>
      </c>
      <c r="S31" s="22">
        <f>'Energy Consumption (EC) - frgt'!S31*'Energy Consumption (EC) - frgt'!$B$29</f>
        <v>3927580837033.5347</v>
      </c>
      <c r="T31" s="22">
        <f>'Energy Consumption (EC) - frgt'!T31*'Energy Consumption (EC) - frgt'!$B$29</f>
        <v>4126021858824.6553</v>
      </c>
      <c r="U31" s="22">
        <f>'Energy Consumption (EC) - frgt'!U31*'Energy Consumption (EC) - frgt'!$B$29</f>
        <v>4334489113241.7705</v>
      </c>
      <c r="V31" s="22">
        <f>'Energy Consumption (EC) - frgt'!V31*'Energy Consumption (EC) - frgt'!$B$29</f>
        <v>4553489175688.3115</v>
      </c>
      <c r="W31" s="22">
        <f>'Energy Consumption (EC) - frgt'!W31*'Energy Consumption (EC) - frgt'!$B$29</f>
        <v>4783554216289.9629</v>
      </c>
      <c r="X31" s="22">
        <f>'Energy Consumption (EC) - frgt'!X31*'Energy Consumption (EC) - frgt'!$B$29</f>
        <v>5025243293068.0137</v>
      </c>
      <c r="Y31" s="22">
        <f>'Energy Consumption (EC) - frgt'!Y31*'Energy Consumption (EC) - frgt'!$B$29</f>
        <v>5279143710450.2744</v>
      </c>
      <c r="Z31" s="22">
        <f>'Energy Consumption (EC) - frgt'!Z31*'Energy Consumption (EC) - frgt'!$B$29</f>
        <v>5545872446420.7734</v>
      </c>
      <c r="AA31" s="22">
        <f>'Energy Consumption (EC) - frgt'!AA31*'Energy Consumption (EC) - frgt'!$B$29</f>
        <v>5826077651776.1816</v>
      </c>
      <c r="AB31" s="22">
        <f>'Energy Consumption (EC) - frgt'!AB31*'Energy Consumption (EC) - frgt'!$B$29</f>
        <v>6120440225132.1758</v>
      </c>
      <c r="AC31" s="22">
        <f>'Energy Consumption (EC) - frgt'!AC31*'Energy Consumption (EC) - frgt'!$B$29</f>
        <v>6429675467506.9775</v>
      </c>
      <c r="AD31" s="22">
        <f>'Energy Consumption (EC) - frgt'!AD31*'Energy Consumption (EC) - frgt'!$B$29</f>
        <v>6754534820502.7676</v>
      </c>
      <c r="AE31" s="22">
        <f>'Energy Consumption (EC) - frgt'!AE31*'Energy Consumption (EC) - frgt'!$B$29</f>
        <v>7095807692308.6689</v>
      </c>
      <c r="AF31" s="22">
        <f>'Energy Consumption (EC) - frgt'!AF31*'Energy Consumption (EC) - frgt'!$B$29</f>
        <v>7454323375962.5654</v>
      </c>
      <c r="AG31" s="22">
        <f>'Energy Consumption (EC) - frgt'!AG31*'Energy Consumption (EC) - frgt'!$B$29</f>
        <v>7830953064533.0723</v>
      </c>
      <c r="AH31" s="22">
        <f>'Energy Consumption (EC) - frgt'!AH31*'Energy Consumption (EC) - frgt'!$B$29</f>
        <v>8226611968118.6055</v>
      </c>
      <c r="AI31" s="22">
        <f>'Energy Consumption (EC) - frgt'!AI31*'Energy Consumption (EC) - frgt'!$B$29</f>
        <v>8642261537807.7988</v>
      </c>
      <c r="AJ31" s="22">
        <f>'Energy Consumption (EC) - frgt'!AJ31*'Energy Consumption (EC) - frgt'!$B$29</f>
        <v>9078911802005.5371</v>
      </c>
      <c r="AK31" s="22">
        <f>'Energy Consumption (EC) - frgt'!AK31*'Energy Consumption (EC) - frgt'!$B$29</f>
        <v>9537623820801.8672</v>
      </c>
      <c r="AL31" s="22">
        <f>'Energy Consumption (EC) - frgt'!AL31*'Energy Consumption (EC) - frgt'!$B$29</f>
        <v>10019512264347.881</v>
      </c>
      <c r="AM31" s="22">
        <f>'Energy Consumption (EC) - frgt'!AM31*'Energy Consumption (EC) - frgt'!$B$29</f>
        <v>10525748121504.059</v>
      </c>
      <c r="AN31" s="22">
        <f>'Energy Consumption (EC) - frgt'!AN31*'Energy Consumption (EC) - frgt'!$B$29</f>
        <v>11057561545343.051</v>
      </c>
    </row>
    <row r="32" spans="1:40" x14ac:dyDescent="0.2">
      <c r="A32" s="15" t="s">
        <v>70</v>
      </c>
      <c r="B32" s="22">
        <f>'Energy Consumption (EC) - frgt'!B32*'Energy Consumption (EC) - frgt'!$B$29</f>
        <v>733367559.63559949</v>
      </c>
      <c r="C32" s="22">
        <f>'Energy Consumption (EC) - frgt'!C32*'Energy Consumption (EC) - frgt'!$B$29</f>
        <v>770420955.58618808</v>
      </c>
      <c r="D32" s="22">
        <f>'Energy Consumption (EC) - frgt'!D32*'Energy Consumption (EC) - frgt'!$B$29</f>
        <v>809346474.36718035</v>
      </c>
      <c r="E32" s="22">
        <f>'Energy Consumption (EC) - frgt'!E32*'Energy Consumption (EC) - frgt'!$B$29</f>
        <v>850238704.98458183</v>
      </c>
      <c r="F32" s="22">
        <f>'Energy Consumption (EC) - frgt'!F32*'Energy Consumption (EC) - frgt'!$B$29</f>
        <v>893197015.55392778</v>
      </c>
      <c r="G32" s="22">
        <f>'Energy Consumption (EC) - frgt'!G32*'Energy Consumption (EC) - frgt'!$B$29</f>
        <v>938325794.76479018</v>
      </c>
      <c r="H32" s="22">
        <f>'Energy Consumption (EC) - frgt'!H32*'Energy Consumption (EC) - frgt'!$B$29</f>
        <v>985734705.54528141</v>
      </c>
      <c r="I32" s="22">
        <f>'Energy Consumption (EC) - frgt'!I32*'Energy Consumption (EC) - frgt'!$B$29</f>
        <v>1035538951.5429567</v>
      </c>
      <c r="J32" s="22">
        <f>'Energy Consumption (EC) - frgt'!J32*'Energy Consumption (EC) - frgt'!$B$29</f>
        <v>1087859557.0696645</v>
      </c>
      <c r="K32" s="22">
        <f>'Energy Consumption (EC) - frgt'!K32*'Energy Consumption (EC) - frgt'!$B$29</f>
        <v>1142823661.1906092</v>
      </c>
      <c r="L32" s="22">
        <f>'Energy Consumption (EC) - frgt'!L32*'Energy Consumption (EC) - frgt'!$B$29</f>
        <v>1200564826.6722648</v>
      </c>
      <c r="M32" s="22">
        <f>'Energy Consumption (EC) - frgt'!M32*'Energy Consumption (EC) - frgt'!$B$29</f>
        <v>1261223364.5398812</v>
      </c>
      <c r="N32" s="22">
        <f>'Energy Consumption (EC) - frgt'!N32*'Energy Consumption (EC) - frgt'!$B$29</f>
        <v>1324946675.0332589</v>
      </c>
      <c r="O32" s="22">
        <f>'Energy Consumption (EC) - frgt'!O32*'Energy Consumption (EC) - frgt'!$B$29</f>
        <v>1391889605.7893145</v>
      </c>
      <c r="P32" s="22">
        <f>'Energy Consumption (EC) - frgt'!P32*'Energy Consumption (EC) - frgt'!$B$29</f>
        <v>1462214828.1218193</v>
      </c>
      <c r="Q32" s="22">
        <f>'Energy Consumption (EC) - frgt'!Q32*'Energy Consumption (EC) - frgt'!$B$29</f>
        <v>1536093232.312674</v>
      </c>
      <c r="R32" s="22">
        <f>'Energy Consumption (EC) - frgt'!R32*'Energy Consumption (EC) - frgt'!$B$29</f>
        <v>1613704342.8752716</v>
      </c>
      <c r="S32" s="22">
        <f>'Energy Consumption (EC) - frgt'!S32*'Energy Consumption (EC) - frgt'!$B$29</f>
        <v>1695236754.7990444</v>
      </c>
      <c r="T32" s="22">
        <f>'Energy Consumption (EC) - frgt'!T32*'Energy Consumption (EC) - frgt'!$B$29</f>
        <v>1780888591.8352666</v>
      </c>
      <c r="U32" s="22">
        <f>'Energy Consumption (EC) - frgt'!U32*'Energy Consumption (EC) - frgt'!$B$29</f>
        <v>1870867987.9377429</v>
      </c>
      <c r="V32" s="22">
        <f>'Energy Consumption (EC) - frgt'!V32*'Energy Consumption (EC) - frgt'!$B$29</f>
        <v>1965393593.0282981</v>
      </c>
      <c r="W32" s="22">
        <f>'Energy Consumption (EC) - frgt'!W32*'Energy Consumption (EC) - frgt'!$B$29</f>
        <v>2064695104.3160527</v>
      </c>
      <c r="X32" s="22">
        <f>'Energy Consumption (EC) - frgt'!X32*'Energy Consumption (EC) - frgt'!$B$29</f>
        <v>2169013824.4616208</v>
      </c>
      <c r="Y32" s="22">
        <f>'Energy Consumption (EC) - frgt'!Y32*'Energy Consumption (EC) - frgt'!$B$29</f>
        <v>2278603247.9425445</v>
      </c>
      <c r="Z32" s="22">
        <f>'Energy Consumption (EC) - frgt'!Z32*'Energy Consumption (EC) - frgt'!$B$29</f>
        <v>2393729677.0448413</v>
      </c>
      <c r="AA32" s="22">
        <f>'Energy Consumption (EC) - frgt'!AA32*'Energy Consumption (EC) - frgt'!$B$29</f>
        <v>2514672868.977531</v>
      </c>
      <c r="AB32" s="22">
        <f>'Energy Consumption (EC) - frgt'!AB32*'Energy Consumption (EC) - frgt'!$B$29</f>
        <v>2641726715.6826215</v>
      </c>
      <c r="AC32" s="22">
        <f>'Energy Consumption (EC) - frgt'!AC32*'Energy Consumption (EC) - frgt'!$B$29</f>
        <v>2775199957.992486</v>
      </c>
      <c r="AD32" s="22">
        <f>'Energy Consumption (EC) - frgt'!AD32*'Energy Consumption (EC) - frgt'!$B$29</f>
        <v>2915416935.8700562</v>
      </c>
      <c r="AE32" s="22">
        <f>'Energy Consumption (EC) - frgt'!AE32*'Energy Consumption (EC) - frgt'!$B$29</f>
        <v>3062718376.5548906</v>
      </c>
      <c r="AF32" s="22">
        <f>'Energy Consumption (EC) - frgt'!AF32*'Energy Consumption (EC) - frgt'!$B$29</f>
        <v>3217462222.5303259</v>
      </c>
      <c r="AG32" s="22">
        <f>'Energy Consumption (EC) - frgt'!AG32*'Energy Consumption (EC) - frgt'!$B$29</f>
        <v>3380024501.3236704</v>
      </c>
      <c r="AH32" s="22">
        <f>'Energy Consumption (EC) - frgt'!AH32*'Energy Consumption (EC) - frgt'!$B$29</f>
        <v>3550800239.2530489</v>
      </c>
      <c r="AI32" s="22">
        <f>'Energy Consumption (EC) - frgt'!AI32*'Energy Consumption (EC) - frgt'!$B$29</f>
        <v>3730204421.3413086</v>
      </c>
      <c r="AJ32" s="22">
        <f>'Energy Consumption (EC) - frgt'!AJ32*'Energy Consumption (EC) - frgt'!$B$29</f>
        <v>3918672999.7295785</v>
      </c>
      <c r="AK32" s="22">
        <f>'Energy Consumption (EC) - frgt'!AK32*'Energy Consumption (EC) - frgt'!$B$29</f>
        <v>4116663953.040915</v>
      </c>
      <c r="AL32" s="22">
        <f>'Energy Consumption (EC) - frgt'!AL32*'Energy Consumption (EC) - frgt'!$B$29</f>
        <v>4324658399.2683077</v>
      </c>
      <c r="AM32" s="22">
        <f>'Energy Consumption (EC) - frgt'!AM32*'Energy Consumption (EC) - frgt'!$B$29</f>
        <v>4543161764.8913403</v>
      </c>
      <c r="AN32" s="22">
        <f>'Energy Consumption (EC) - frgt'!AN32*'Energy Consumption (EC) - frgt'!$B$29</f>
        <v>4772705013.0624723</v>
      </c>
    </row>
    <row r="33" spans="1:40" x14ac:dyDescent="0.2">
      <c r="A33" s="15" t="s">
        <v>71</v>
      </c>
      <c r="B33" s="22">
        <f>'Energy Consumption (EC) - frgt'!B33*'Energy Consumption (EC) - frgt'!$B$29</f>
        <v>49545936478.107841</v>
      </c>
      <c r="C33" s="22">
        <f>'Energy Consumption (EC) - frgt'!C33*'Energy Consumption (EC) - frgt'!$B$29</f>
        <v>52049244918.66423</v>
      </c>
      <c r="D33" s="22">
        <f>'Energy Consumption (EC) - frgt'!D33*'Energy Consumption (EC) - frgt'!$B$29</f>
        <v>54679033018.179741</v>
      </c>
      <c r="E33" s="22">
        <f>'Energy Consumption (EC) - frgt'!E33*'Energy Consumption (EC) - frgt'!$B$29</f>
        <v>57441691161.423264</v>
      </c>
      <c r="F33" s="22">
        <f>'Energy Consumption (EC) - frgt'!F33*'Energy Consumption (EC) - frgt'!$B$29</f>
        <v>60343932607.354172</v>
      </c>
      <c r="G33" s="22">
        <f>'Energy Consumption (EC) - frgt'!G33*'Energy Consumption (EC) - frgt'!$B$29</f>
        <v>63392809802.340721</v>
      </c>
      <c r="H33" s="22">
        <f>'Energy Consumption (EC) - frgt'!H33*'Energy Consumption (EC) - frgt'!$B$29</f>
        <v>66595731517.604019</v>
      </c>
      <c r="I33" s="22">
        <f>'Energy Consumption (EC) - frgt'!I33*'Energy Consumption (EC) - frgt'!$B$29</f>
        <v>69960480852.530945</v>
      </c>
      <c r="J33" s="22">
        <f>'Energy Consumption (EC) - frgt'!J33*'Energy Consumption (EC) - frgt'!$B$29</f>
        <v>73495234147.605087</v>
      </c>
      <c r="K33" s="22">
        <f>'Energy Consumption (EC) - frgt'!K33*'Energy Consumption (EC) - frgt'!$B$29</f>
        <v>77208580852.912842</v>
      </c>
      <c r="L33" s="22">
        <f>'Energy Consumption (EC) - frgt'!L33*'Energy Consumption (EC) - frgt'!$B$29</f>
        <v>81109544400.506287</v>
      </c>
      <c r="M33" s="22">
        <f>'Energy Consumption (EC) - frgt'!M33*'Energy Consumption (EC) - frgt'!$B$29</f>
        <v>85207604131.341843</v>
      </c>
      <c r="N33" s="22">
        <f>'Energy Consumption (EC) - frgt'!N33*'Energy Consumption (EC) - frgt'!$B$29</f>
        <v>89512718330.077911</v>
      </c>
      <c r="O33" s="22">
        <f>'Energy Consumption (EC) - frgt'!O33*'Energy Consumption (EC) - frgt'!$B$29</f>
        <v>94035348423.705078</v>
      </c>
      <c r="P33" s="22">
        <f>'Energy Consumption (EC) - frgt'!P33*'Energy Consumption (EC) - frgt'!$B$29</f>
        <v>98786484402.812759</v>
      </c>
      <c r="Q33" s="22">
        <f>'Energy Consumption (EC) - frgt'!Q33*'Energy Consumption (EC) - frgt'!$B$29</f>
        <v>103777671527.26486</v>
      </c>
      <c r="R33" s="22">
        <f>'Energy Consumption (EC) - frgt'!R33*'Energy Consumption (EC) - frgt'!$B$29</f>
        <v>109021038381.17992</v>
      </c>
      <c r="S33" s="22">
        <f>'Energy Consumption (EC) - frgt'!S33*'Energy Consumption (EC) - frgt'!$B$29</f>
        <v>114529326345.38901</v>
      </c>
      <c r="T33" s="22">
        <f>'Energy Consumption (EC) - frgt'!T33*'Energy Consumption (EC) - frgt'!$B$29</f>
        <v>120315920558.98981</v>
      </c>
      <c r="U33" s="22">
        <f>'Energy Consumption (EC) - frgt'!U33*'Energy Consumption (EC) - frgt'!$B$29</f>
        <v>126394882445.23277</v>
      </c>
      <c r="V33" s="22">
        <f>'Energy Consumption (EC) - frgt'!V33*'Energy Consumption (EC) - frgt'!$B$29</f>
        <v>132780983880.77818</v>
      </c>
      <c r="W33" s="22">
        <f>'Energy Consumption (EC) - frgt'!W33*'Energy Consumption (EC) - frgt'!$B$29</f>
        <v>139489743091.35449</v>
      </c>
      <c r="X33" s="22">
        <f>'Energy Consumption (EC) - frgt'!X33*'Energy Consumption (EC) - frgt'!$B$29</f>
        <v>146537462361.04517</v>
      </c>
      <c r="Y33" s="22">
        <f>'Energy Consumption (EC) - frgt'!Y33*'Energy Consumption (EC) - frgt'!$B$29</f>
        <v>153941267646.83701</v>
      </c>
      <c r="Z33" s="22">
        <f>'Energy Consumption (EC) - frgt'!Z33*'Energy Consumption (EC) - frgt'!$B$29</f>
        <v>161719150194.69333</v>
      </c>
      <c r="AA33" s="22">
        <f>'Energy Consumption (EC) - frgt'!AA33*'Energy Consumption (EC) - frgt'!$B$29</f>
        <v>169890010258.28021</v>
      </c>
      <c r="AB33" s="22">
        <f>'Energy Consumption (EC) - frgt'!AB33*'Energy Consumption (EC) - frgt'!$B$29</f>
        <v>178473703026.5799</v>
      </c>
      <c r="AC33" s="22">
        <f>'Energy Consumption (EC) - frgt'!AC33*'Energy Consumption (EC) - frgt'!$B$29</f>
        <v>187491086871.9978</v>
      </c>
      <c r="AD33" s="22">
        <f>'Energy Consumption (EC) - frgt'!AD33*'Energy Consumption (EC) - frgt'!$B$29</f>
        <v>196964074036.20551</v>
      </c>
      <c r="AE33" s="22">
        <f>'Energy Consumption (EC) - frgt'!AE33*'Energy Consumption (EC) - frgt'!$B$29</f>
        <v>206915683876.8848</v>
      </c>
      <c r="AF33" s="22">
        <f>'Energy Consumption (EC) - frgt'!AF33*'Energy Consumption (EC) - frgt'!$B$29</f>
        <v>217370098804.76443</v>
      </c>
      <c r="AG33" s="22">
        <f>'Energy Consumption (EC) - frgt'!AG33*'Energy Consumption (EC) - frgt'!$B$29</f>
        <v>228352723046.87506</v>
      </c>
      <c r="AH33" s="22">
        <f>'Energy Consumption (EC) - frgt'!AH33*'Energy Consumption (EC) - frgt'!$B$29</f>
        <v>239890244378.81845</v>
      </c>
      <c r="AI33" s="22">
        <f>'Energy Consumption (EC) - frgt'!AI33*'Energy Consumption (EC) - frgt'!$B$29</f>
        <v>252010698976.05823</v>
      </c>
      <c r="AJ33" s="22">
        <f>'Energy Consumption (EC) - frgt'!AJ33*'Energy Consumption (EC) - frgt'!$B$29</f>
        <v>264743539541.82361</v>
      </c>
      <c r="AK33" s="22">
        <f>'Energy Consumption (EC) - frgt'!AK33*'Energy Consumption (EC) - frgt'!$B$29</f>
        <v>278119706877.17426</v>
      </c>
      <c r="AL33" s="22">
        <f>'Energy Consumption (EC) - frgt'!AL33*'Energy Consumption (EC) - frgt'!$B$29</f>
        <v>292171705067.14343</v>
      </c>
      <c r="AM33" s="22">
        <f>'Energy Consumption (EC) - frgt'!AM33*'Energy Consumption (EC) - frgt'!$B$29</f>
        <v>306933680465.66089</v>
      </c>
      <c r="AN33" s="22">
        <f>'Energy Consumption (EC) - frgt'!AN33*'Energy Consumption (EC) - frgt'!$B$29</f>
        <v>322441504671.18829</v>
      </c>
    </row>
    <row r="34" spans="1:40" x14ac:dyDescent="0.2">
      <c r="A34" s="15" t="s">
        <v>72</v>
      </c>
      <c r="B34" s="22">
        <f>'Energy Consumption (EC) - frgt'!B34*'Energy Consumption (EC) - frgt'!$B$29</f>
        <v>80962715414631.5</v>
      </c>
      <c r="C34" s="22">
        <f>'Energy Consumption (EC) - frgt'!C34*'Energy Consumption (EC) - frgt'!$B$29</f>
        <v>85053356610955.75</v>
      </c>
      <c r="D34" s="22">
        <f>'Energy Consumption (EC) - frgt'!D34*'Energy Consumption (EC) - frgt'!$B$29</f>
        <v>89350677453724.266</v>
      </c>
      <c r="E34" s="22">
        <f>'Energy Consumption (EC) - frgt'!E34*'Energy Consumption (EC) - frgt'!$B$29</f>
        <v>93865120432073.688</v>
      </c>
      <c r="F34" s="22">
        <f>'Energy Consumption (EC) - frgt'!F34*'Energy Consumption (EC) - frgt'!$B$29</f>
        <v>98607655641904.203</v>
      </c>
      <c r="G34" s="22">
        <f>'Energy Consumption (EC) - frgt'!G34*'Energy Consumption (EC) - frgt'!$B$29</f>
        <v>103589807443211.41</v>
      </c>
      <c r="H34" s="22">
        <f>'Energy Consumption (EC) - frgt'!H34*'Energy Consumption (EC) - frgt'!$B$29</f>
        <v>108823682464279.69</v>
      </c>
      <c r="I34" s="22">
        <f>'Energy Consumption (EC) - frgt'!I34*'Energy Consumption (EC) - frgt'!$B$29</f>
        <v>114321999020787.44</v>
      </c>
      <c r="J34" s="22">
        <f>'Energy Consumption (EC) - frgt'!J34*'Energy Consumption (EC) - frgt'!$B$29</f>
        <v>120098118021312.69</v>
      </c>
      <c r="K34" s="22">
        <f>'Energy Consumption (EC) - frgt'!K34*'Energy Consumption (EC) - frgt'!$B$29</f>
        <v>126166075434339.55</v>
      </c>
      <c r="L34" s="22">
        <f>'Energy Consumption (EC) - frgt'!L34*'Energy Consumption (EC) - frgt'!$B$29</f>
        <v>132540616395659.56</v>
      </c>
      <c r="M34" s="22">
        <f>'Energy Consumption (EC) - frgt'!M34*'Energy Consumption (EC) - frgt'!$B$29</f>
        <v>139237231039050.25</v>
      </c>
      <c r="N34" s="22">
        <f>'Energy Consumption (EC) - frgt'!N34*'Energy Consumption (EC) - frgt'!$B$29</f>
        <v>146272192137298.25</v>
      </c>
      <c r="O34" s="22">
        <f>'Energy Consumption (EC) - frgt'!O34*'Energy Consumption (EC) - frgt'!$B$29</f>
        <v>153662594645035.28</v>
      </c>
      <c r="P34" s="22">
        <f>'Energy Consumption (EC) - frgt'!P34*'Energy Consumption (EC) - frgt'!$B$29</f>
        <v>161426397239475.66</v>
      </c>
      <c r="Q34" s="22">
        <f>'Energy Consumption (EC) - frgt'!Q34*'Energy Consumption (EC) - frgt'!$B$29</f>
        <v>169582465960000.16</v>
      </c>
      <c r="R34" s="22">
        <f>'Energy Consumption (EC) - frgt'!R34*'Energy Consumption (EC) - frgt'!$B$29</f>
        <v>178150620052629.19</v>
      </c>
      <c r="S34" s="22">
        <f>'Energy Consumption (EC) - frgt'!S34*'Energy Consumption (EC) - frgt'!$B$29</f>
        <v>187151680130788.22</v>
      </c>
      <c r="T34" s="22">
        <f>'Energy Consumption (EC) - frgt'!T34*'Energy Consumption (EC) - frgt'!$B$29</f>
        <v>196607518769396.31</v>
      </c>
      <c r="U34" s="22">
        <f>'Energy Consumption (EC) - frgt'!U34*'Energy Consumption (EC) - frgt'!$B$29</f>
        <v>206541113655220.06</v>
      </c>
      <c r="V34" s="22">
        <f>'Energy Consumption (EC) - frgt'!V34*'Energy Consumption (EC) - frgt'!$B$29</f>
        <v>216976603422650.09</v>
      </c>
      <c r="W34" s="22">
        <f>'Energy Consumption (EC) - frgt'!W34*'Energy Consumption (EC) - frgt'!$B$29</f>
        <v>227939346310579.44</v>
      </c>
      <c r="X34" s="22">
        <f>'Energy Consumption (EC) - frgt'!X34*'Energy Consumption (EC) - frgt'!$B$29</f>
        <v>239455981782921.47</v>
      </c>
      <c r="Y34" s="22">
        <f>'Energy Consumption (EC) - frgt'!Y34*'Energy Consumption (EC) - frgt'!$B$29</f>
        <v>251554495262503.56</v>
      </c>
      <c r="Z34" s="22">
        <f>'Energy Consumption (EC) - frgt'!Z34*'Energy Consumption (EC) - frgt'!$B$29</f>
        <v>264264286135641.47</v>
      </c>
      <c r="AA34" s="22">
        <f>'Energy Consumption (EC) - frgt'!AA34*'Energy Consumption (EC) - frgt'!$B$29</f>
        <v>277616239192644.75</v>
      </c>
      <c r="AB34" s="22">
        <f>'Energy Consumption (EC) - frgt'!AB34*'Energy Consumption (EC) - frgt'!$B$29</f>
        <v>291642799677853.25</v>
      </c>
      <c r="AC34" s="22">
        <f>'Energy Consumption (EC) - frgt'!AC34*'Energy Consumption (EC) - frgt'!$B$29</f>
        <v>306378052131576.69</v>
      </c>
      <c r="AD34" s="22">
        <f>'Energy Consumption (EC) - frgt'!AD34*'Energy Consumption (EC) - frgt'!$B$29</f>
        <v>321857803215524.62</v>
      </c>
      <c r="AE34" s="22">
        <f>'Energy Consumption (EC) - frgt'!AE34*'Energy Consumption (EC) - frgt'!$B$29</f>
        <v>338119668722989</v>
      </c>
      <c r="AF34" s="22">
        <f>'Energy Consumption (EC) - frgt'!AF34*'Energy Consumption (EC) - frgt'!$B$29</f>
        <v>355203164985218</v>
      </c>
      <c r="AG34" s="22">
        <f>'Energy Consumption (EC) - frgt'!AG34*'Energy Consumption (EC) - frgt'!$B$29</f>
        <v>373149804896096.06</v>
      </c>
      <c r="AH34" s="22">
        <f>'Energy Consumption (EC) - frgt'!AH34*'Energy Consumption (EC) - frgt'!$B$29</f>
        <v>392003198788471.44</v>
      </c>
      <c r="AI34" s="22">
        <f>'Energy Consumption (EC) - frgt'!AI34*'Energy Consumption (EC) - frgt'!$B$29</f>
        <v>411809160407258.81</v>
      </c>
      <c r="AJ34" s="22">
        <f>'Energy Consumption (EC) - frgt'!AJ34*'Energy Consumption (EC) - frgt'!$B$29</f>
        <v>432615818236835.62</v>
      </c>
      <c r="AK34" s="22">
        <f>'Energy Consumption (EC) - frgt'!AK34*'Energy Consumption (EC) - frgt'!$B$29</f>
        <v>454473732453251.69</v>
      </c>
      <c r="AL34" s="22">
        <f>'Energy Consumption (EC) - frgt'!AL34*'Energy Consumption (EC) - frgt'!$B$29</f>
        <v>477436017785452.25</v>
      </c>
      <c r="AM34" s="22">
        <f>'Energy Consumption (EC) - frgt'!AM34*'Energy Consumption (EC) - frgt'!$B$29</f>
        <v>501558472584062.19</v>
      </c>
      <c r="AN34" s="22">
        <f>'Energy Consumption (EC) - frgt'!AN34*'Energy Consumption (EC) - frgt'!$B$29</f>
        <v>526899714411371.81</v>
      </c>
    </row>
    <row r="37" spans="1:40" x14ac:dyDescent="0.2">
      <c r="A37" s="17" t="s">
        <v>90</v>
      </c>
    </row>
    <row r="38" spans="1:40" x14ac:dyDescent="0.2">
      <c r="A38" s="14" t="s">
        <v>16</v>
      </c>
    </row>
    <row r="39" spans="1:40" x14ac:dyDescent="0.2">
      <c r="A39" s="14" t="s">
        <v>74</v>
      </c>
    </row>
    <row r="40" spans="1:40" x14ac:dyDescent="0.2">
      <c r="A40" s="14" t="s">
        <v>18</v>
      </c>
    </row>
    <row r="41" spans="1:40" x14ac:dyDescent="0.2">
      <c r="A41" s="14"/>
    </row>
    <row r="42" spans="1:40" x14ac:dyDescent="0.2">
      <c r="A42" s="15" t="s">
        <v>19</v>
      </c>
      <c r="B42" s="15">
        <v>2022</v>
      </c>
      <c r="C42" s="15">
        <v>2023</v>
      </c>
      <c r="D42" s="15">
        <v>2024</v>
      </c>
      <c r="E42" s="15">
        <v>2025</v>
      </c>
      <c r="F42" s="15">
        <v>2026</v>
      </c>
      <c r="G42" s="15">
        <v>2027</v>
      </c>
      <c r="H42" s="15">
        <v>2028</v>
      </c>
      <c r="I42" s="15">
        <v>2029</v>
      </c>
      <c r="J42" s="15">
        <v>2030</v>
      </c>
      <c r="K42" s="15">
        <v>2031</v>
      </c>
      <c r="L42" s="15">
        <v>2032</v>
      </c>
      <c r="M42" s="15">
        <v>2033</v>
      </c>
      <c r="N42" s="15">
        <v>2034</v>
      </c>
      <c r="O42" s="15">
        <v>2035</v>
      </c>
      <c r="P42" s="15">
        <v>2036</v>
      </c>
      <c r="Q42" s="15">
        <v>2037</v>
      </c>
      <c r="R42" s="15">
        <v>2038</v>
      </c>
      <c r="S42" s="15">
        <v>2039</v>
      </c>
      <c r="T42" s="15">
        <v>2040</v>
      </c>
      <c r="U42" s="15">
        <v>2041</v>
      </c>
      <c r="V42" s="15">
        <v>2042</v>
      </c>
      <c r="W42" s="15">
        <v>2043</v>
      </c>
      <c r="X42" s="15">
        <v>2044</v>
      </c>
      <c r="Y42" s="15">
        <v>2045</v>
      </c>
      <c r="Z42" s="15">
        <v>2046</v>
      </c>
      <c r="AA42" s="15">
        <v>2047</v>
      </c>
      <c r="AB42" s="15">
        <v>2048</v>
      </c>
      <c r="AC42" s="15">
        <v>2049</v>
      </c>
      <c r="AD42" s="15">
        <v>2050</v>
      </c>
      <c r="AE42" s="15">
        <v>2051</v>
      </c>
      <c r="AF42" s="15">
        <v>2052</v>
      </c>
      <c r="AG42" s="15">
        <v>2053</v>
      </c>
      <c r="AH42" s="15">
        <v>2054</v>
      </c>
      <c r="AI42" s="15">
        <v>2055</v>
      </c>
      <c r="AJ42" s="15">
        <v>2056</v>
      </c>
      <c r="AK42" s="15">
        <v>2057</v>
      </c>
      <c r="AL42" s="15">
        <v>2058</v>
      </c>
      <c r="AM42" s="15">
        <v>2059</v>
      </c>
      <c r="AN42" s="15">
        <v>2060</v>
      </c>
    </row>
    <row r="43" spans="1:40" x14ac:dyDescent="0.2">
      <c r="A43" s="15" t="s">
        <v>53</v>
      </c>
      <c r="B43" s="22">
        <f>'Energy Consumption (EC) - frgt'!B43*'Energy Consumption (EC) - frgt'!$B$41</f>
        <v>25293845657.77507</v>
      </c>
      <c r="C43" s="22">
        <f>'Energy Consumption (EC) - frgt'!C43*'Energy Consumption (EC) - frgt'!$B$41</f>
        <v>26571817209.634155</v>
      </c>
      <c r="D43" s="22">
        <f>'Energy Consumption (EC) - frgt'!D43*'Energy Consumption (EC) - frgt'!$B$41</f>
        <v>27914358274.150909</v>
      </c>
      <c r="E43" s="22">
        <f>'Energy Consumption (EC) - frgt'!E43*'Energy Consumption (EC) - frgt'!$B$41</f>
        <v>29324731225.952389</v>
      </c>
      <c r="F43" s="22">
        <f>'Energy Consumption (EC) - frgt'!F43*'Energy Consumption (EC) - frgt'!$B$41</f>
        <v>30806363271.143635</v>
      </c>
      <c r="G43" s="22">
        <f>'Energy Consumption (EC) - frgt'!G43*'Energy Consumption (EC) - frgt'!$B$41</f>
        <v>32362854775.418167</v>
      </c>
      <c r="H43" s="22">
        <f>'Energy Consumption (EC) - frgt'!H43*'Energy Consumption (EC) - frgt'!$B$41</f>
        <v>33997988012.946178</v>
      </c>
      <c r="I43" s="22">
        <f>'Energy Consumption (EC) - frgt'!I43*'Energy Consumption (EC) - frgt'!$B$41</f>
        <v>35715736357.300285</v>
      </c>
      <c r="J43" s="22">
        <f>'Energy Consumption (EC) - frgt'!J43*'Energy Consumption (EC) - frgt'!$B$41</f>
        <v>37520273936.752869</v>
      </c>
      <c r="K43" s="22">
        <f>'Energy Consumption (EC) - frgt'!K43*'Energy Consumption (EC) - frgt'!$B$41</f>
        <v>39415985777.407326</v>
      </c>
      <c r="L43" s="22">
        <f>'Energy Consumption (EC) - frgt'!L43*'Energy Consumption (EC) - frgt'!$B$41</f>
        <v>41407478458.810829</v>
      </c>
      <c r="M43" s="22">
        <f>'Energy Consumption (EC) - frgt'!M43*'Energy Consumption (EC) - frgt'!$B$41</f>
        <v>43499591307.942253</v>
      </c>
      <c r="N43" s="22">
        <f>'Energy Consumption (EC) - frgt'!N43*'Energy Consumption (EC) - frgt'!$B$41</f>
        <v>45697408158.776039</v>
      </c>
      <c r="O43" s="22">
        <f>'Energy Consumption (EC) - frgt'!O43*'Energy Consumption (EC) - frgt'!$B$41</f>
        <v>48006269705.998169</v>
      </c>
      <c r="P43" s="22">
        <f>'Energy Consumption (EC) - frgt'!P43*'Energy Consumption (EC) - frgt'!$B$41</f>
        <v>50431786482.893738</v>
      </c>
      <c r="Q43" s="22">
        <f>'Energy Consumption (EC) - frgt'!Q43*'Energy Consumption (EC) - frgt'!$B$41</f>
        <v>52979852494.941933</v>
      </c>
      <c r="R43" s="22">
        <f>'Energy Consumption (EC) - frgt'!R43*'Energy Consumption (EC) - frgt'!$B$41</f>
        <v>55656659542.248886</v>
      </c>
      <c r="S43" s="22">
        <f>'Energy Consumption (EC) - frgt'!S43*'Energy Consumption (EC) - frgt'!$B$41</f>
        <v>58468712265.620995</v>
      </c>
      <c r="T43" s="22">
        <f>'Energy Consumption (EC) - frgt'!T43*'Energy Consumption (EC) - frgt'!$B$41</f>
        <v>61422843952.841507</v>
      </c>
      <c r="U43" s="22">
        <f>'Energy Consumption (EC) - frgt'!U43*'Energy Consumption (EC) - frgt'!$B$41</f>
        <v>64526233143.558807</v>
      </c>
      <c r="V43" s="22">
        <f>'Energy Consumption (EC) - frgt'!V43*'Energy Consumption (EC) - frgt'!$B$41</f>
        <v>67786421073.137131</v>
      </c>
      <c r="W43" s="22">
        <f>'Energy Consumption (EC) - frgt'!W43*'Energy Consumption (EC) - frgt'!$B$41</f>
        <v>71211329997.857376</v>
      </c>
      <c r="X43" s="22">
        <f>'Energy Consumption (EC) - frgt'!X43*'Energy Consumption (EC) - frgt'!$B$41</f>
        <v>74809282445.9991</v>
      </c>
      <c r="Y43" s="22">
        <f>'Energy Consumption (EC) - frgt'!Y43*'Energy Consumption (EC) - frgt'!$B$41</f>
        <v>78589021441.583237</v>
      </c>
      <c r="Z43" s="22">
        <f>'Energy Consumption (EC) - frgt'!Z43*'Energy Consumption (EC) - frgt'!$B$41</f>
        <v>82559731749.919189</v>
      </c>
      <c r="AA43" s="22">
        <f>'Energy Consumption (EC) - frgt'!AA43*'Energy Consumption (EC) - frgt'!$B$41</f>
        <v>86731062196.583847</v>
      </c>
      <c r="AB43" s="22">
        <f>'Energy Consumption (EC) - frgt'!AB43*'Energy Consumption (EC) - frgt'!$B$41</f>
        <v>91113149114.066254</v>
      </c>
      <c r="AC43" s="22">
        <f>'Energy Consumption (EC) - frgt'!AC43*'Energy Consumption (EC) - frgt'!$B$41</f>
        <v>95716640973.054459</v>
      </c>
      <c r="AD43" s="22">
        <f>'Energy Consumption (EC) - frgt'!AD43*'Energy Consumption (EC) - frgt'!$B$41</f>
        <v>100552724258.21805</v>
      </c>
      <c r="AE43" s="22">
        <f>'Energy Consumption (EC) - frgt'!AE43*'Energy Consumption (EC) - frgt'!$B$41</f>
        <v>105633150651.3645</v>
      </c>
      <c r="AF43" s="22">
        <f>'Energy Consumption (EC) - frgt'!AF43*'Energy Consumption (EC) - frgt'!$B$41</f>
        <v>110970265588.0247</v>
      </c>
      <c r="AG43" s="22">
        <f>'Energy Consumption (EC) - frgt'!AG43*'Energy Consumption (EC) - frgt'!$B$41</f>
        <v>116577038256.85965</v>
      </c>
      <c r="AH43" s="22">
        <f>'Energy Consumption (EC) - frgt'!AH43*'Energy Consumption (EC) - frgt'!$B$41</f>
        <v>122467093114.78748</v>
      </c>
      <c r="AI43" s="22">
        <f>'Energy Consumption (EC) - frgt'!AI43*'Energy Consumption (EC) - frgt'!$B$41</f>
        <v>128654742994.41209</v>
      </c>
      <c r="AJ43" s="22">
        <f>'Energy Consumption (EC) - frgt'!AJ43*'Energy Consumption (EC) - frgt'!$B$41</f>
        <v>135155023884.20477</v>
      </c>
      <c r="AK43" s="22">
        <f>'Energy Consumption (EC) - frgt'!AK43*'Energy Consumption (EC) - frgt'!$B$41</f>
        <v>141983731465.95422</v>
      </c>
      <c r="AL43" s="22">
        <f>'Energy Consumption (EC) - frgt'!AL43*'Energy Consumption (EC) - frgt'!$B$41</f>
        <v>149157459498.27155</v>
      </c>
      <c r="AM43" s="22">
        <f>'Energy Consumption (EC) - frgt'!AM43*'Energy Consumption (EC) - frgt'!$B$41</f>
        <v>156693640139.42169</v>
      </c>
      <c r="AN43" s="22">
        <f>'Energy Consumption (EC) - frgt'!AN43*'Energy Consumption (EC) - frgt'!$B$41</f>
        <v>164610586307.46597</v>
      </c>
    </row>
    <row r="44" spans="1:40" x14ac:dyDescent="0.2">
      <c r="A44" s="15" t="s">
        <v>54</v>
      </c>
      <c r="B44" s="22">
        <f>'Energy Consumption (EC) - frgt'!B44*'Energy Consumption (EC) - frgt'!$B$41</f>
        <v>69807604868485.391</v>
      </c>
      <c r="C44" s="22">
        <f>'Energy Consumption (EC) - frgt'!C44*'Energy Consumption (EC) - frgt'!$B$41</f>
        <v>73334634104465.609</v>
      </c>
      <c r="D44" s="22">
        <f>'Energy Consumption (EC) - frgt'!D44*'Energy Consumption (EC) - frgt'!$B$41</f>
        <v>77039866492593.719</v>
      </c>
      <c r="E44" s="22">
        <f>'Energy Consumption (EC) - frgt'!E44*'Energy Consumption (EC) - frgt'!$B$41</f>
        <v>80932305747132.016</v>
      </c>
      <c r="F44" s="22">
        <f>'Energy Consumption (EC) - frgt'!F44*'Energy Consumption (EC) - frgt'!$B$41</f>
        <v>85021410495005.875</v>
      </c>
      <c r="G44" s="22">
        <f>'Energy Consumption (EC) - frgt'!G44*'Energy Consumption (EC) - frgt'!$B$41</f>
        <v>89317117260266.047</v>
      </c>
      <c r="H44" s="22">
        <f>'Energy Consumption (EC) - frgt'!H44*'Energy Consumption (EC) - frgt'!$B$41</f>
        <v>93829864609841</v>
      </c>
      <c r="I44" s="22">
        <f>'Energy Consumption (EC) - frgt'!I44*'Energy Consumption (EC) - frgt'!$B$41</f>
        <v>98570618519253.203</v>
      </c>
      <c r="J44" s="22">
        <f>'Energy Consumption (EC) - frgt'!J44*'Energy Consumption (EC) - frgt'!$B$41</f>
        <v>103550899019938.48</v>
      </c>
      <c r="K44" s="22">
        <f>'Energy Consumption (EC) - frgt'!K44*'Energy Consumption (EC) - frgt'!$B$41</f>
        <v>108782808192920.89</v>
      </c>
      <c r="L44" s="22">
        <f>'Energy Consumption (EC) - frgt'!L44*'Energy Consumption (EC) - frgt'!$B$41</f>
        <v>114279059576868.23</v>
      </c>
      <c r="M44" s="22">
        <f>'Energy Consumption (EC) - frgt'!M44*'Energy Consumption (EC) - frgt'!$B$41</f>
        <v>120053009061989.5</v>
      </c>
      <c r="N44" s="22">
        <f>'Energy Consumption (EC) - frgt'!N44*'Energy Consumption (EC) - frgt'!$B$41</f>
        <v>126118687344846.53</v>
      </c>
      <c r="O44" s="22">
        <f>'Energy Consumption (EC) - frgt'!O44*'Energy Consumption (EC) - frgt'!$B$41</f>
        <v>132490834022944.84</v>
      </c>
      <c r="P44" s="22">
        <f>'Energy Consumption (EC) - frgt'!P44*'Energy Consumption (EC) - frgt'!$B$41</f>
        <v>139184933411954.17</v>
      </c>
      <c r="Q44" s="22">
        <f>'Energy Consumption (EC) - frgt'!Q44*'Energy Consumption (EC) - frgt'!$B$41</f>
        <v>146217252172593.12</v>
      </c>
      <c r="R44" s="22">
        <f>'Energy Consumption (EC) - frgt'!R44*'Energy Consumption (EC) - frgt'!$B$41</f>
        <v>153604878838613.38</v>
      </c>
      <c r="S44" s="22">
        <f>'Energy Consumption (EC) - frgt'!S44*'Energy Consumption (EC) - frgt'!$B$41</f>
        <v>161365765341934.31</v>
      </c>
      <c r="T44" s="22">
        <f>'Energy Consumption (EC) - frgt'!T44*'Energy Consumption (EC) - frgt'!$B$41</f>
        <v>169518770635835.56</v>
      </c>
      <c r="U44" s="22">
        <f>'Energy Consumption (EC) - frgt'!U44*'Energy Consumption (EC) - frgt'!$B$41</f>
        <v>178083706522211.09</v>
      </c>
      <c r="V44" s="22">
        <f>'Energy Consumption (EC) - frgt'!V44*'Energy Consumption (EC) - frgt'!$B$41</f>
        <v>187081385794245.84</v>
      </c>
      <c r="W44" s="22">
        <f>'Energy Consumption (EC) - frgt'!W44*'Energy Consumption (EC) - frgt'!$B$41</f>
        <v>196533672811500.09</v>
      </c>
      <c r="X44" s="22">
        <f>'Energy Consumption (EC) - frgt'!X44*'Energy Consumption (EC) - frgt'!$B$41</f>
        <v>206463536630301.19</v>
      </c>
      <c r="Y44" s="22">
        <f>'Energy Consumption (EC) - frgt'!Y44*'Energy Consumption (EC) - frgt'!$B$41</f>
        <v>216895106818547.12</v>
      </c>
      <c r="Z44" s="22">
        <f>'Energy Consumption (EC) - frgt'!Z44*'Energy Consumption (EC) - frgt'!$B$41</f>
        <v>227853732090554.19</v>
      </c>
      <c r="AA44" s="22">
        <f>'Energy Consumption (EC) - frgt'!AA44*'Energy Consumption (EC) - frgt'!$B$41</f>
        <v>239366041904429.38</v>
      </c>
      <c r="AB44" s="22">
        <f>'Energy Consumption (EC) - frgt'!AB44*'Energy Consumption (EC) - frgt'!$B$41</f>
        <v>251460011171650.72</v>
      </c>
      <c r="AC44" s="22">
        <f>'Energy Consumption (EC) - frgt'!AC44*'Energy Consumption (EC) - frgt'!$B$41</f>
        <v>264165028236098.38</v>
      </c>
      <c r="AD44" s="22">
        <f>'Energy Consumption (EC) - frgt'!AD44*'Energy Consumption (EC) - frgt'!$B$41</f>
        <v>277511966287727.28</v>
      </c>
      <c r="AE44" s="22">
        <f>'Energy Consumption (EC) - frgt'!AE44*'Energy Consumption (EC) - frgt'!$B$41</f>
        <v>291533258384414.56</v>
      </c>
      <c r="AF44" s="22">
        <f>'Energy Consumption (EC) - frgt'!AF44*'Energy Consumption (EC) - frgt'!$B$41</f>
        <v>306262976264287.19</v>
      </c>
      <c r="AG44" s="22">
        <f>'Energy Consumption (EC) - frgt'!AG44*'Energy Consumption (EC) - frgt'!$B$41</f>
        <v>321736913140040.38</v>
      </c>
      <c r="AH44" s="22">
        <f>'Energy Consumption (EC) - frgt'!AH44*'Energy Consumption (EC) - frgt'!$B$41</f>
        <v>337992670676440.75</v>
      </c>
      <c r="AI44" s="22">
        <f>'Energy Consumption (EC) - frgt'!AI44*'Energy Consumption (EC) - frgt'!$B$41</f>
        <v>355069750362368</v>
      </c>
      <c r="AJ44" s="22">
        <f>'Energy Consumption (EC) - frgt'!AJ44*'Energy Consumption (EC) - frgt'!$B$41</f>
        <v>373009649499426.69</v>
      </c>
      <c r="AK44" s="22">
        <f>'Energy Consumption (EC) - frgt'!AK44*'Energy Consumption (EC) - frgt'!$B$41</f>
        <v>391855962040385.06</v>
      </c>
      <c r="AL44" s="22">
        <f>'Energy Consumption (EC) - frgt'!AL44*'Energy Consumption (EC) - frgt'!$B$41</f>
        <v>411654484522475.44</v>
      </c>
      <c r="AM44" s="22">
        <f>'Energy Consumption (EC) - frgt'!AM44*'Energy Consumption (EC) - frgt'!$B$41</f>
        <v>432453327352973.62</v>
      </c>
      <c r="AN44" s="22">
        <f>'Energy Consumption (EC) - frgt'!AN44*'Energy Consumption (EC) - frgt'!$B$41</f>
        <v>454303031717482.56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F1265-43CE-934F-A9D9-E5A76F619BFA}">
  <dimension ref="A1:AJ104"/>
  <sheetViews>
    <sheetView topLeftCell="M57" workbookViewId="0">
      <selection activeCell="Y111" sqref="Y111"/>
    </sheetView>
  </sheetViews>
  <sheetFormatPr baseColWidth="10" defaultRowHeight="15" x14ac:dyDescent="0.2"/>
  <cols>
    <col min="1" max="1" width="11.33203125" bestFit="1" customWidth="1"/>
    <col min="2" max="2" width="12.33203125" bestFit="1" customWidth="1"/>
    <col min="3" max="3" width="12.5" bestFit="1" customWidth="1"/>
    <col min="4" max="5" width="12.1640625" bestFit="1" customWidth="1"/>
    <col min="6" max="6" width="12.33203125" bestFit="1" customWidth="1"/>
    <col min="9" max="9" width="11" bestFit="1" customWidth="1"/>
    <col min="10" max="12" width="12.1640625" bestFit="1" customWidth="1"/>
    <col min="15" max="15" width="11.33203125" bestFit="1" customWidth="1"/>
    <col min="16" max="16" width="12.5" bestFit="1" customWidth="1"/>
    <col min="17" max="17" width="12.1640625" bestFit="1" customWidth="1"/>
    <col min="18" max="18" width="12.5" bestFit="1" customWidth="1"/>
    <col min="19" max="19" width="12.33203125" bestFit="1" customWidth="1"/>
    <col min="22" max="22" width="11.1640625" bestFit="1" customWidth="1"/>
    <col min="23" max="23" width="12.1640625" bestFit="1" customWidth="1"/>
    <col min="24" max="24" width="12.33203125" bestFit="1" customWidth="1"/>
    <col min="25" max="25" width="11.33203125" bestFit="1" customWidth="1"/>
    <col min="28" max="28" width="11.33203125" bestFit="1" customWidth="1"/>
    <col min="29" max="29" width="12.33203125" bestFit="1" customWidth="1"/>
    <col min="30" max="31" width="12.1640625" bestFit="1" customWidth="1"/>
    <col min="34" max="34" width="11.1640625" bestFit="1" customWidth="1"/>
    <col min="35" max="36" width="12.33203125" bestFit="1" customWidth="1"/>
  </cols>
  <sheetData>
    <row r="1" spans="1:36" ht="16" x14ac:dyDescent="0.2">
      <c r="A1" s="28" t="s">
        <v>100</v>
      </c>
    </row>
    <row r="2" spans="1:36" s="12" customFormat="1" ht="16" x14ac:dyDescent="0.2">
      <c r="A2" s="24" t="str" cm="1">
        <f t="array" ref="A2:A41">TRANSPOSE('Conversion - LA - psgr'!A6:AN6)</f>
        <v>Branch</v>
      </c>
      <c r="B2" s="24" t="str" cm="1">
        <f t="array" ref="B2:F41">TRANSPOSE('Conversion - LA - psgr'!A7:AN11)</f>
        <v>Gasoline Car</v>
      </c>
      <c r="C2" s="24" t="str">
        <v>Electric Car</v>
      </c>
      <c r="D2" s="24" t="str">
        <v>CNG Car</v>
      </c>
      <c r="E2" s="24" t="str">
        <v>Diesel Car</v>
      </c>
      <c r="F2" s="24" t="str">
        <v>BioGasoil Car</v>
      </c>
      <c r="I2" s="25" t="str" cm="1">
        <f t="array" ref="I2:L41">TRANSPOSE('Conversion - LA - psgr'!A19:AN22)</f>
        <v>Branch</v>
      </c>
      <c r="J2" s="25" t="str">
        <v>Gasoline Motorcycle</v>
      </c>
      <c r="K2" s="25" t="str">
        <v>Electric Motorcycle</v>
      </c>
      <c r="L2" s="25" t="str">
        <v>CNG Motorcycle</v>
      </c>
      <c r="O2" s="24" t="str" cm="1">
        <f t="array" ref="O2:S41">TRANSPOSE('Conversion - LA - psgr'!A30:AN34)</f>
        <v>Branch</v>
      </c>
      <c r="P2" s="24" t="str">
        <v>Electric Bus</v>
      </c>
      <c r="Q2" s="24" t="str">
        <v>CNG Bus</v>
      </c>
      <c r="R2" s="24" t="str">
        <v>Diesel Bus</v>
      </c>
      <c r="S2" s="24" t="str">
        <v>BioGasoil Bus</v>
      </c>
      <c r="V2" s="25" t="str" cm="1">
        <f t="array" ref="V2:Y41">TRANSPOSE('Conversion - LA - psgr'!A42:AN45)</f>
        <v>Branch</v>
      </c>
      <c r="W2" s="25" t="str">
        <v>Urban Train</v>
      </c>
      <c r="X2" s="25" t="str">
        <v>Diesel Train</v>
      </c>
      <c r="Y2" s="25" t="str">
        <v>BioGasoil Train</v>
      </c>
      <c r="AB2" s="25" t="str" cm="1">
        <f t="array" ref="AB2:AE41">TRANSPOSE('Conversion - LA - psgr'!A53:AN56)</f>
        <v>Branch</v>
      </c>
      <c r="AC2" s="25" t="str">
        <v>Gasoline Passenger Ship</v>
      </c>
      <c r="AD2" s="25" t="str">
        <v>MFO Passenger Ship</v>
      </c>
      <c r="AE2" s="25" t="str">
        <v>MDF Passenger Ship</v>
      </c>
      <c r="AH2" s="25" t="str" cm="1">
        <f t="array" ref="AH2:AJ41">TRANSPOSE('Conversion - LA - psgr'!A64:AN66)</f>
        <v>Branch</v>
      </c>
      <c r="AI2" s="25" t="str">
        <v>Avgas Plane</v>
      </c>
      <c r="AJ2" s="25" t="str">
        <v>Avtur Plane</v>
      </c>
    </row>
    <row r="3" spans="1:36" ht="16" x14ac:dyDescent="0.2">
      <c r="A3" s="24">
        <v>2022</v>
      </c>
      <c r="B3" s="23">
        <v>201220978509.18491</v>
      </c>
      <c r="C3" s="23">
        <v>204149742.11725166</v>
      </c>
      <c r="D3" s="23">
        <v>201532437.73112828</v>
      </c>
      <c r="E3" s="23">
        <v>3311718163.5478129</v>
      </c>
      <c r="F3" s="23">
        <v>56792059759.279968</v>
      </c>
      <c r="I3" s="25">
        <v>2022</v>
      </c>
      <c r="J3" s="27">
        <v>839550499427.94678</v>
      </c>
      <c r="K3" s="27">
        <v>293951436.8314091</v>
      </c>
      <c r="L3" s="27">
        <v>16797224.961875007</v>
      </c>
      <c r="O3" s="24">
        <v>2022</v>
      </c>
      <c r="P3" s="23">
        <v>128057240.49669115</v>
      </c>
      <c r="Q3" s="23">
        <v>232831346.35762912</v>
      </c>
      <c r="R3" s="23">
        <v>21361793679.372456</v>
      </c>
      <c r="S3" s="23">
        <v>366329561663.14038</v>
      </c>
      <c r="V3" s="25">
        <v>2022</v>
      </c>
      <c r="W3" s="27">
        <v>3470225692.5656881</v>
      </c>
      <c r="X3" s="27">
        <v>461067772.8918184</v>
      </c>
      <c r="Y3" s="27">
        <v>7904401256.7992744</v>
      </c>
      <c r="AB3" s="25">
        <v>2022</v>
      </c>
      <c r="AC3" s="27">
        <v>3586542290.3749223</v>
      </c>
      <c r="AD3" s="27">
        <v>663.74890909935857</v>
      </c>
      <c r="AE3" s="27">
        <v>1.4359089434208001</v>
      </c>
      <c r="AH3" s="25">
        <v>2022</v>
      </c>
      <c r="AI3" s="27">
        <v>32091322.120434072</v>
      </c>
      <c r="AJ3" s="27">
        <v>80196213978.952194</v>
      </c>
    </row>
    <row r="4" spans="1:36" ht="16" x14ac:dyDescent="0.2">
      <c r="A4" s="24">
        <v>2023</v>
      </c>
      <c r="B4" s="23">
        <v>206875365517.69247</v>
      </c>
      <c r="C4" s="23">
        <v>209886428.51133588</v>
      </c>
      <c r="D4" s="23">
        <v>207195576.86374977</v>
      </c>
      <c r="E4" s="23">
        <v>3404778719.6515522</v>
      </c>
      <c r="F4" s="23">
        <v>58387938515.403793</v>
      </c>
      <c r="I4" s="25">
        <v>2023</v>
      </c>
      <c r="J4" s="27">
        <v>863142191865.39648</v>
      </c>
      <c r="K4" s="27">
        <v>302211585.43950146</v>
      </c>
      <c r="L4" s="27">
        <v>17269233.453768253</v>
      </c>
      <c r="O4" s="24">
        <v>2023</v>
      </c>
      <c r="P4" s="23">
        <v>131655698.28361998</v>
      </c>
      <c r="Q4" s="23">
        <v>239373996.87931812</v>
      </c>
      <c r="R4" s="23">
        <v>21962068310.546402</v>
      </c>
      <c r="S4" s="23">
        <v>376623563459.80579</v>
      </c>
      <c r="V4" s="25">
        <v>2023</v>
      </c>
      <c r="W4" s="27">
        <v>3482091929.7499456</v>
      </c>
      <c r="X4" s="27">
        <v>462644367.62537497</v>
      </c>
      <c r="Y4" s="27">
        <v>7931429902.3175364</v>
      </c>
      <c r="AB4" s="25">
        <v>2023</v>
      </c>
      <c r="AC4" s="27">
        <v>3954162875.138236</v>
      </c>
      <c r="AD4" s="27">
        <v>731.78317228202116</v>
      </c>
      <c r="AE4" s="27">
        <v>1.5830896101213852</v>
      </c>
      <c r="AH4" s="25">
        <v>2023</v>
      </c>
      <c r="AI4" s="27">
        <v>33695888.22645577</v>
      </c>
      <c r="AJ4" s="27">
        <v>84206024677.899811</v>
      </c>
    </row>
    <row r="5" spans="1:36" ht="16" x14ac:dyDescent="0.2">
      <c r="A5" s="24">
        <v>2024</v>
      </c>
      <c r="B5" s="23">
        <v>212688642979.26736</v>
      </c>
      <c r="C5" s="23">
        <v>215784318.00292474</v>
      </c>
      <c r="D5" s="23">
        <v>213017852.38749757</v>
      </c>
      <c r="E5" s="23">
        <v>3500454313.2296934</v>
      </c>
      <c r="F5" s="23">
        <v>60028662079.323685</v>
      </c>
      <c r="I5" s="25">
        <v>2024</v>
      </c>
      <c r="J5" s="27">
        <v>887396819948.10254</v>
      </c>
      <c r="K5" s="27">
        <v>310703847.4053759</v>
      </c>
      <c r="L5" s="27">
        <v>17754505.566106252</v>
      </c>
      <c r="O5" s="24">
        <v>2024</v>
      </c>
      <c r="P5" s="23">
        <v>135355274.12052467</v>
      </c>
      <c r="Q5" s="23">
        <v>246100498.40096322</v>
      </c>
      <c r="R5" s="23">
        <v>22579210890.088329</v>
      </c>
      <c r="S5" s="23">
        <v>387206830672.31342</v>
      </c>
      <c r="V5" s="25">
        <v>2024</v>
      </c>
      <c r="W5" s="27">
        <v>3493958166.9342027</v>
      </c>
      <c r="X5" s="27">
        <v>464220962.35893142</v>
      </c>
      <c r="Y5" s="27">
        <v>7958458547.8357973</v>
      </c>
      <c r="AB5" s="25">
        <v>2024</v>
      </c>
      <c r="AC5" s="27">
        <v>4359464569.8397779</v>
      </c>
      <c r="AD5" s="27">
        <v>806.79094744090492</v>
      </c>
      <c r="AE5" s="27">
        <v>1.745356295158776</v>
      </c>
      <c r="AH5" s="25">
        <v>2024</v>
      </c>
      <c r="AI5" s="27">
        <v>35380682.637778558</v>
      </c>
      <c r="AJ5" s="27">
        <v>88416325911.7948</v>
      </c>
    </row>
    <row r="6" spans="1:36" ht="16" x14ac:dyDescent="0.2">
      <c r="A6" s="24">
        <v>2025</v>
      </c>
      <c r="B6" s="23">
        <v>218665275776.84708</v>
      </c>
      <c r="C6" s="23">
        <v>221847940.46115518</v>
      </c>
      <c r="D6" s="23">
        <v>219003736.09626344</v>
      </c>
      <c r="E6" s="23">
        <v>3598818427.842608</v>
      </c>
      <c r="F6" s="23">
        <v>61715490607.413391</v>
      </c>
      <c r="I6" s="25">
        <v>2025</v>
      </c>
      <c r="J6" s="27">
        <v>912333012423.06567</v>
      </c>
      <c r="K6" s="27">
        <v>319434745.20379847</v>
      </c>
      <c r="L6" s="27">
        <v>18253414.011732783</v>
      </c>
      <c r="O6" s="24">
        <v>2025</v>
      </c>
      <c r="P6" s="23">
        <v>139158809.46356115</v>
      </c>
      <c r="Q6" s="23">
        <v>253016017.20648441</v>
      </c>
      <c r="R6" s="23">
        <v>23213695413.845085</v>
      </c>
      <c r="S6" s="23">
        <v>398087491770.27625</v>
      </c>
      <c r="V6" s="25">
        <v>2025</v>
      </c>
      <c r="W6" s="27">
        <v>3505824404.1184611</v>
      </c>
      <c r="X6" s="27">
        <v>465797557.09248811</v>
      </c>
      <c r="Y6" s="27">
        <v>7985487193.3540611</v>
      </c>
      <c r="AB6" s="25">
        <v>2025</v>
      </c>
      <c r="AC6" s="27">
        <v>4806309688.2482166</v>
      </c>
      <c r="AD6" s="27">
        <v>889.48701955357205</v>
      </c>
      <c r="AE6" s="27">
        <v>1.9242553154124953</v>
      </c>
      <c r="AH6" s="25">
        <v>2025</v>
      </c>
      <c r="AI6" s="27">
        <v>37149716.769667491</v>
      </c>
      <c r="AJ6" s="27">
        <v>92837142207.384552</v>
      </c>
    </row>
    <row r="7" spans="1:36" ht="16" x14ac:dyDescent="0.2">
      <c r="A7" s="24">
        <v>2026</v>
      </c>
      <c r="B7" s="23">
        <v>224809854258.29944</v>
      </c>
      <c r="C7" s="23">
        <v>228081953.0462319</v>
      </c>
      <c r="D7" s="23">
        <v>225157825.44306982</v>
      </c>
      <c r="E7" s="23">
        <v>3699946611.9670177</v>
      </c>
      <c r="F7" s="23">
        <v>63449719666.926178</v>
      </c>
      <c r="I7" s="25">
        <v>2026</v>
      </c>
      <c r="J7" s="27">
        <v>937969921512.25427</v>
      </c>
      <c r="K7" s="27">
        <v>328410984.59358865</v>
      </c>
      <c r="L7" s="27">
        <v>18766341.9768661</v>
      </c>
      <c r="O7" s="24">
        <v>2026</v>
      </c>
      <c r="P7" s="23">
        <v>143069225.61489812</v>
      </c>
      <c r="Q7" s="23">
        <v>260125864.75437003</v>
      </c>
      <c r="R7" s="23">
        <v>23866009197.129395</v>
      </c>
      <c r="S7" s="23">
        <v>409273903636.435</v>
      </c>
      <c r="V7" s="25">
        <v>2026</v>
      </c>
      <c r="W7" s="27">
        <v>3537566422.9024758</v>
      </c>
      <c r="X7" s="27">
        <v>470014925.99134362</v>
      </c>
      <c r="Y7" s="27">
        <v>8057788442.7244482</v>
      </c>
      <c r="AB7" s="25">
        <v>2026</v>
      </c>
      <c r="AC7" s="27">
        <v>5298956431.293252</v>
      </c>
      <c r="AD7" s="27">
        <v>980.6594390577377</v>
      </c>
      <c r="AE7" s="27">
        <v>2.121491485242113</v>
      </c>
      <c r="AH7" s="25">
        <v>2026</v>
      </c>
      <c r="AI7" s="27">
        <v>39007202.608150877</v>
      </c>
      <c r="AJ7" s="27">
        <v>97478999317.753799</v>
      </c>
    </row>
    <row r="8" spans="1:36" ht="16" x14ac:dyDescent="0.2">
      <c r="A8" s="24">
        <v>2027</v>
      </c>
      <c r="B8" s="23">
        <v>231127097762.03571</v>
      </c>
      <c r="C8" s="23">
        <v>234491143.78635535</v>
      </c>
      <c r="D8" s="23">
        <v>231484847.07114023</v>
      </c>
      <c r="E8" s="23">
        <v>3803916537.0209455</v>
      </c>
      <c r="F8" s="23">
        <v>65232681231.05423</v>
      </c>
      <c r="I8" s="25">
        <v>2027</v>
      </c>
      <c r="J8" s="27">
        <v>964327237622.45117</v>
      </c>
      <c r="K8" s="27">
        <v>337639459.76797217</v>
      </c>
      <c r="L8" s="27">
        <v>19293683.415404815</v>
      </c>
      <c r="O8" s="24">
        <v>2027</v>
      </c>
      <c r="P8" s="23">
        <v>147089525.96642029</v>
      </c>
      <c r="Q8" s="23">
        <v>267435501.75713795</v>
      </c>
      <c r="R8" s="23">
        <v>24536653249.002003</v>
      </c>
      <c r="S8" s="23">
        <v>420774657985.15411</v>
      </c>
      <c r="V8" s="25">
        <v>2027</v>
      </c>
      <c r="W8" s="27">
        <v>3569308441.6864901</v>
      </c>
      <c r="X8" s="27">
        <v>474232294.89019907</v>
      </c>
      <c r="Y8" s="27">
        <v>8130089692.0948315</v>
      </c>
      <c r="AB8" s="25">
        <v>2027</v>
      </c>
      <c r="AC8" s="27">
        <v>5842099465.50037</v>
      </c>
      <c r="AD8" s="27">
        <v>1081.1770315610745</v>
      </c>
      <c r="AE8" s="27">
        <v>2.338944362479253</v>
      </c>
      <c r="AH8" s="25">
        <v>2027</v>
      </c>
      <c r="AI8" s="27">
        <v>40957562.738558412</v>
      </c>
      <c r="AJ8" s="27">
        <v>102352949283.64146</v>
      </c>
    </row>
    <row r="9" spans="1:36" ht="16" x14ac:dyDescent="0.2">
      <c r="A9" s="24">
        <v>2028</v>
      </c>
      <c r="B9" s="23">
        <v>237621858241.69443</v>
      </c>
      <c r="C9" s="23">
        <v>241080435.25516272</v>
      </c>
      <c r="D9" s="23">
        <v>237989660.44419351</v>
      </c>
      <c r="E9" s="23">
        <v>3910808057.0191765</v>
      </c>
      <c r="F9" s="23">
        <v>67065744701.949501</v>
      </c>
      <c r="I9" s="25">
        <v>2028</v>
      </c>
      <c r="J9" s="27">
        <v>991425204468.45532</v>
      </c>
      <c r="K9" s="27">
        <v>347127258.64965981</v>
      </c>
      <c r="L9" s="27">
        <v>19835843.351503842</v>
      </c>
      <c r="O9" s="24">
        <v>2028</v>
      </c>
      <c r="P9" s="23">
        <v>151222798.30648148</v>
      </c>
      <c r="Q9" s="23">
        <v>274950542.3754313</v>
      </c>
      <c r="R9" s="23">
        <v>25226142657.071247</v>
      </c>
      <c r="S9" s="23">
        <v>432598587961.28168</v>
      </c>
      <c r="V9" s="25">
        <v>2028</v>
      </c>
      <c r="W9" s="27">
        <v>3601050460.4705048</v>
      </c>
      <c r="X9" s="27">
        <v>478449663.78905463</v>
      </c>
      <c r="Y9" s="27">
        <v>8202390941.4652176</v>
      </c>
      <c r="AB9" s="25">
        <v>2028</v>
      </c>
      <c r="AC9" s="27">
        <v>6440914660.713686</v>
      </c>
      <c r="AD9" s="27">
        <v>1191.9976772959969</v>
      </c>
      <c r="AE9" s="27">
        <v>2.5786861596331874</v>
      </c>
      <c r="AH9" s="25">
        <v>2028</v>
      </c>
      <c r="AI9" s="27">
        <v>43005440.875486329</v>
      </c>
      <c r="AJ9" s="27">
        <v>107470596747.82355</v>
      </c>
    </row>
    <row r="10" spans="1:36" ht="16" x14ac:dyDescent="0.2">
      <c r="A10" s="24">
        <v>2029</v>
      </c>
      <c r="B10" s="23">
        <v>244299123992.68042</v>
      </c>
      <c r="C10" s="23">
        <v>247854888.35250676</v>
      </c>
      <c r="D10" s="23">
        <v>244677261.57875091</v>
      </c>
      <c r="E10" s="23">
        <v>4020703269.9050765</v>
      </c>
      <c r="F10" s="23">
        <v>68950317962.491898</v>
      </c>
      <c r="I10" s="25">
        <v>2029</v>
      </c>
      <c r="J10" s="27">
        <v>1019284634621.2488</v>
      </c>
      <c r="K10" s="27">
        <v>356881668.33472103</v>
      </c>
      <c r="L10" s="27">
        <v>20393238.190652855</v>
      </c>
      <c r="O10" s="24">
        <v>2029</v>
      </c>
      <c r="P10" s="23">
        <v>155472217.19147757</v>
      </c>
      <c r="Q10" s="23">
        <v>282676758.52996993</v>
      </c>
      <c r="R10" s="23">
        <v>25935006983.105671</v>
      </c>
      <c r="S10" s="23">
        <v>444754774924.43835</v>
      </c>
      <c r="V10" s="25">
        <v>2029</v>
      </c>
      <c r="W10" s="27">
        <v>3632792479.2545199</v>
      </c>
      <c r="X10" s="27">
        <v>482667032.68791014</v>
      </c>
      <c r="Y10" s="27">
        <v>8274692190.8356037</v>
      </c>
      <c r="AB10" s="25">
        <v>2029</v>
      </c>
      <c r="AC10" s="27">
        <v>7101108413.4363184</v>
      </c>
      <c r="AD10" s="27">
        <v>1314.1774392187408</v>
      </c>
      <c r="AE10" s="27">
        <v>2.8430014909953818</v>
      </c>
      <c r="AH10" s="25">
        <v>2029</v>
      </c>
      <c r="AI10" s="27">
        <v>45155712.919260651</v>
      </c>
      <c r="AJ10" s="27">
        <v>112844126585.21472</v>
      </c>
    </row>
    <row r="11" spans="1:36" ht="16" x14ac:dyDescent="0.2">
      <c r="A11" s="24">
        <v>2030</v>
      </c>
      <c r="B11" s="23">
        <v>251164023483.42078</v>
      </c>
      <c r="C11" s="23">
        <v>254819706.19147542</v>
      </c>
      <c r="D11" s="23">
        <v>251552786.88132238</v>
      </c>
      <c r="E11" s="23">
        <v>4133686580.6058412</v>
      </c>
      <c r="F11" s="23">
        <v>70887848457.61264</v>
      </c>
      <c r="I11" s="25">
        <v>2030</v>
      </c>
      <c r="J11" s="27">
        <v>1047926925493.0759</v>
      </c>
      <c r="K11" s="27">
        <v>366910180.68943173</v>
      </c>
      <c r="L11" s="27">
        <v>20966296.039496206</v>
      </c>
      <c r="O11" s="24">
        <v>2030</v>
      </c>
      <c r="P11" s="23">
        <v>159841046.38406214</v>
      </c>
      <c r="Q11" s="23">
        <v>290620084.33466947</v>
      </c>
      <c r="R11" s="23">
        <v>26663790669.763531</v>
      </c>
      <c r="S11" s="23">
        <v>457252555423.94849</v>
      </c>
      <c r="V11" s="25">
        <v>2030</v>
      </c>
      <c r="W11" s="27">
        <v>3664534498.0385337</v>
      </c>
      <c r="X11" s="27">
        <v>486884401.58676559</v>
      </c>
      <c r="Y11" s="27">
        <v>8346993440.2059879</v>
      </c>
      <c r="AB11" s="25">
        <v>2030</v>
      </c>
      <c r="AC11" s="27">
        <v>7828972025.8129778</v>
      </c>
      <c r="AD11" s="27">
        <v>1448.8806267385573</v>
      </c>
      <c r="AE11" s="27">
        <v>3.1344091438221819</v>
      </c>
      <c r="AH11" s="25">
        <v>2030</v>
      </c>
      <c r="AI11" s="27">
        <v>47413498.565223679</v>
      </c>
      <c r="AJ11" s="27">
        <v>118486332914.47546</v>
      </c>
    </row>
    <row r="12" spans="1:36" ht="16" x14ac:dyDescent="0.2">
      <c r="A12" s="24">
        <v>2031</v>
      </c>
      <c r="B12" s="23">
        <v>258221829294.28116</v>
      </c>
      <c r="C12" s="23">
        <v>261980238.09463891</v>
      </c>
      <c r="D12" s="23">
        <v>258621517.09341946</v>
      </c>
      <c r="E12" s="23">
        <v>4249844765.8596354</v>
      </c>
      <c r="F12" s="23">
        <v>72879824306.003021</v>
      </c>
      <c r="I12" s="25">
        <v>2031</v>
      </c>
      <c r="J12" s="27">
        <v>1077374075771.7076</v>
      </c>
      <c r="K12" s="27">
        <v>377220498.1043964</v>
      </c>
      <c r="L12" s="27">
        <v>21555457.034639858</v>
      </c>
      <c r="O12" s="24">
        <v>2031</v>
      </c>
      <c r="P12" s="23">
        <v>164332641.35987645</v>
      </c>
      <c r="Q12" s="23">
        <v>298786620.65433216</v>
      </c>
      <c r="R12" s="23">
        <v>27413053458.751476</v>
      </c>
      <c r="S12" s="23">
        <v>470101528369.76904</v>
      </c>
      <c r="V12" s="25">
        <v>2031</v>
      </c>
      <c r="W12" s="27">
        <v>3691195340.5212874</v>
      </c>
      <c r="X12" s="27">
        <v>490426665.50731611</v>
      </c>
      <c r="Y12" s="27">
        <v>8407720901.6156235</v>
      </c>
      <c r="AB12" s="25">
        <v>2031</v>
      </c>
      <c r="AC12" s="27">
        <v>8631441658.4583015</v>
      </c>
      <c r="AD12" s="27">
        <v>1597.3908909791658</v>
      </c>
      <c r="AE12" s="27">
        <v>3.455686081063754</v>
      </c>
      <c r="AH12" s="25">
        <v>2031</v>
      </c>
      <c r="AI12" s="27">
        <v>49784173.493484877</v>
      </c>
      <c r="AJ12" s="27">
        <v>124410649560.19925</v>
      </c>
    </row>
    <row r="13" spans="1:36" ht="16" x14ac:dyDescent="0.2">
      <c r="A13" s="24">
        <v>2032</v>
      </c>
      <c r="B13" s="23">
        <v>265477962167.1665</v>
      </c>
      <c r="C13" s="23">
        <v>269341983.70259213</v>
      </c>
      <c r="D13" s="23">
        <v>265888881.34742445</v>
      </c>
      <c r="E13" s="23">
        <v>4369267040.8643951</v>
      </c>
      <c r="F13" s="23">
        <v>74927775443.062866</v>
      </c>
      <c r="I13" s="25">
        <v>2032</v>
      </c>
      <c r="J13" s="27">
        <v>1107648702316.5156</v>
      </c>
      <c r="K13" s="27">
        <v>387820539.41036242</v>
      </c>
      <c r="L13" s="27">
        <v>22161173.680697951</v>
      </c>
      <c r="O13" s="24">
        <v>2032</v>
      </c>
      <c r="P13" s="23">
        <v>168950451.88471997</v>
      </c>
      <c r="Q13" s="23">
        <v>307182639.79041159</v>
      </c>
      <c r="R13" s="23">
        <v>28183370820.733761</v>
      </c>
      <c r="S13" s="23">
        <v>483311562404.92432</v>
      </c>
      <c r="V13" s="25">
        <v>2032</v>
      </c>
      <c r="W13" s="27">
        <v>3717856183.0040412</v>
      </c>
      <c r="X13" s="27">
        <v>493968929.42786658</v>
      </c>
      <c r="Y13" s="27">
        <v>8468448363.025259</v>
      </c>
      <c r="AB13" s="25">
        <v>2032</v>
      </c>
      <c r="AC13" s="27">
        <v>9516164428.449728</v>
      </c>
      <c r="AD13" s="27">
        <v>1761.1234573044287</v>
      </c>
      <c r="AE13" s="27">
        <v>3.8098939043725681</v>
      </c>
      <c r="AH13" s="25">
        <v>2032</v>
      </c>
      <c r="AI13" s="27">
        <v>52273382.168159135</v>
      </c>
      <c r="AJ13" s="27">
        <v>130631182038.20923</v>
      </c>
    </row>
    <row r="14" spans="1:36" ht="16" x14ac:dyDescent="0.2">
      <c r="A14" s="24">
        <v>2033</v>
      </c>
      <c r="B14" s="23">
        <v>272937995168.91721</v>
      </c>
      <c r="C14" s="23">
        <v>276910597.19794929</v>
      </c>
      <c r="D14" s="23">
        <v>273360461.33643073</v>
      </c>
      <c r="E14" s="23">
        <v>4492045127.7994814</v>
      </c>
      <c r="F14" s="23">
        <v>77033274795.966003</v>
      </c>
      <c r="I14" s="25">
        <v>2033</v>
      </c>
      <c r="J14" s="27">
        <v>1138774057529.3315</v>
      </c>
      <c r="K14" s="27">
        <v>398718445.96027142</v>
      </c>
      <c r="L14" s="27">
        <v>22783911.197838578</v>
      </c>
      <c r="O14" s="24">
        <v>2033</v>
      </c>
      <c r="P14" s="23">
        <v>173698024.66413984</v>
      </c>
      <c r="Q14" s="23">
        <v>315814590.29844803</v>
      </c>
      <c r="R14" s="23">
        <v>28975334397.321941</v>
      </c>
      <c r="S14" s="23">
        <v>496892803485.10901</v>
      </c>
      <c r="V14" s="25">
        <v>2033</v>
      </c>
      <c r="W14" s="27">
        <v>3744517025.486794</v>
      </c>
      <c r="X14" s="27">
        <v>497511193.34841704</v>
      </c>
      <c r="Y14" s="27">
        <v>8529175824.4348917</v>
      </c>
      <c r="AB14" s="25">
        <v>2033</v>
      </c>
      <c r="AC14" s="27">
        <v>10491571282.365227</v>
      </c>
      <c r="AD14" s="27">
        <v>1941.6386116780211</v>
      </c>
      <c r="AE14" s="27">
        <v>4.2004080295705162</v>
      </c>
      <c r="AH14" s="25">
        <v>2033</v>
      </c>
      <c r="AI14" s="27">
        <v>54887051.276567072</v>
      </c>
      <c r="AJ14" s="27">
        <v>137162741140.11969</v>
      </c>
    </row>
    <row r="15" spans="1:36" ht="16" x14ac:dyDescent="0.2">
      <c r="A15" s="24">
        <v>2034</v>
      </c>
      <c r="B15" s="23">
        <v>280607657971.69891</v>
      </c>
      <c r="C15" s="23">
        <v>284691891.64803416</v>
      </c>
      <c r="D15" s="23">
        <v>281041995.60125786</v>
      </c>
      <c r="E15" s="23">
        <v>4618273326.2728319</v>
      </c>
      <c r="F15" s="23">
        <v>79197939491.745834</v>
      </c>
      <c r="I15" s="25">
        <v>2034</v>
      </c>
      <c r="J15" s="27">
        <v>1170774047213.4358</v>
      </c>
      <c r="K15" s="27">
        <v>409922587.88221896</v>
      </c>
      <c r="L15" s="27">
        <v>23424147.879095785</v>
      </c>
      <c r="O15" s="24">
        <v>2034</v>
      </c>
      <c r="P15" s="23">
        <v>178579006.0674755</v>
      </c>
      <c r="Q15" s="23">
        <v>324689101.9408769</v>
      </c>
      <c r="R15" s="23">
        <v>29789552455.484802</v>
      </c>
      <c r="S15" s="23">
        <v>510855682671.28119</v>
      </c>
      <c r="V15" s="25">
        <v>2034</v>
      </c>
      <c r="W15" s="27">
        <v>3771177867.9695482</v>
      </c>
      <c r="X15" s="27">
        <v>501053457.26896763</v>
      </c>
      <c r="Y15" s="27">
        <v>8589903285.8445282</v>
      </c>
      <c r="AB15" s="25">
        <v>2034</v>
      </c>
      <c r="AC15" s="27">
        <v>11566957338.807003</v>
      </c>
      <c r="AD15" s="27">
        <v>2140.6565693748967</v>
      </c>
      <c r="AE15" s="27">
        <v>4.6309498526012316</v>
      </c>
      <c r="AH15" s="25">
        <v>2034</v>
      </c>
      <c r="AI15" s="27">
        <v>57631403.840395436</v>
      </c>
      <c r="AJ15" s="27">
        <v>144020878197.1257</v>
      </c>
    </row>
    <row r="16" spans="1:36" ht="16" x14ac:dyDescent="0.2">
      <c r="A16" s="24">
        <v>2035</v>
      </c>
      <c r="B16" s="23">
        <v>288492841253.672</v>
      </c>
      <c r="C16" s="23">
        <v>292691843.46960133</v>
      </c>
      <c r="D16" s="23">
        <v>288939383.93793297</v>
      </c>
      <c r="E16" s="23">
        <v>4748048585.7476883</v>
      </c>
      <c r="F16" s="23">
        <v>81423432099.328278</v>
      </c>
      <c r="I16" s="25">
        <v>2035</v>
      </c>
      <c r="J16" s="27">
        <v>1203673248934.3899</v>
      </c>
      <c r="K16" s="27">
        <v>421441570.50812465</v>
      </c>
      <c r="L16" s="27">
        <v>24082375.457722105</v>
      </c>
      <c r="O16" s="24">
        <v>2035</v>
      </c>
      <c r="P16" s="23">
        <v>183597144.92844936</v>
      </c>
      <c r="Q16" s="23">
        <v>333812990.77901155</v>
      </c>
      <c r="R16" s="23">
        <v>30626650354.727249</v>
      </c>
      <c r="S16" s="23">
        <v>525210924141.2301</v>
      </c>
      <c r="V16" s="25">
        <v>2035</v>
      </c>
      <c r="W16" s="27">
        <v>3797838710.4523015</v>
      </c>
      <c r="X16" s="27">
        <v>504595721.18951821</v>
      </c>
      <c r="Y16" s="27">
        <v>8650630747.2541637</v>
      </c>
      <c r="AB16" s="25">
        <v>2035</v>
      </c>
      <c r="AC16" s="27">
        <v>12752570466.034012</v>
      </c>
      <c r="AD16" s="27">
        <v>2360.0738677356926</v>
      </c>
      <c r="AE16" s="27">
        <v>5.1056222124925723</v>
      </c>
      <c r="AH16" s="25">
        <v>2035</v>
      </c>
      <c r="AI16" s="27">
        <v>60512974.032415211</v>
      </c>
      <c r="AJ16" s="27">
        <v>151221922106.98196</v>
      </c>
    </row>
    <row r="17" spans="1:36" ht="16" x14ac:dyDescent="0.2">
      <c r="A17" s="24">
        <v>2036</v>
      </c>
      <c r="B17" s="23">
        <v>296599601223.32269</v>
      </c>
      <c r="C17" s="23">
        <v>300916597.01901865</v>
      </c>
      <c r="D17" s="23">
        <v>297058691.92902422</v>
      </c>
      <c r="E17" s="23">
        <v>4881470580.0045595</v>
      </c>
      <c r="F17" s="23">
        <v>83711461906.466507</v>
      </c>
      <c r="I17" s="25">
        <v>2036</v>
      </c>
      <c r="J17" s="27">
        <v>1237496930896.8154</v>
      </c>
      <c r="K17" s="27">
        <v>433284240.98304921</v>
      </c>
      <c r="L17" s="27">
        <v>24759099.484863885</v>
      </c>
      <c r="O17" s="24">
        <v>2036</v>
      </c>
      <c r="P17" s="23">
        <v>188756295.42445552</v>
      </c>
      <c r="Q17" s="23">
        <v>343193264.4081139</v>
      </c>
      <c r="R17" s="23">
        <v>31487271027.39716</v>
      </c>
      <c r="S17" s="23">
        <v>539969553426.27185</v>
      </c>
      <c r="V17" s="25">
        <v>2036</v>
      </c>
      <c r="W17" s="27">
        <v>3819359636.4569364</v>
      </c>
      <c r="X17" s="27">
        <v>507455075.68187404</v>
      </c>
      <c r="Y17" s="27">
        <v>8699650623.6624737</v>
      </c>
      <c r="AB17" s="25">
        <v>2036</v>
      </c>
      <c r="AC17" s="27">
        <v>14059708938.801874</v>
      </c>
      <c r="AD17" s="27">
        <v>2601.9814391784853</v>
      </c>
      <c r="AE17" s="27">
        <v>5.628948489272811</v>
      </c>
      <c r="AH17" s="25">
        <v>2036</v>
      </c>
      <c r="AI17" s="27">
        <v>63538622.734035984</v>
      </c>
      <c r="AJ17" s="27">
        <v>158783018212.33105</v>
      </c>
    </row>
    <row r="18" spans="1:36" ht="16" x14ac:dyDescent="0.2">
      <c r="A18" s="24">
        <v>2037</v>
      </c>
      <c r="B18" s="23">
        <v>304934164270.92822</v>
      </c>
      <c r="C18" s="23">
        <v>309372469.31143457</v>
      </c>
      <c r="D18" s="23">
        <v>305406155.60230643</v>
      </c>
      <c r="E18" s="23">
        <v>5018641783.6955786</v>
      </c>
      <c r="F18" s="23">
        <v>86063786232.55806</v>
      </c>
      <c r="I18" s="25">
        <v>2037</v>
      </c>
      <c r="J18" s="27">
        <v>1272271071351.6167</v>
      </c>
      <c r="K18" s="27">
        <v>445459695.06023824</v>
      </c>
      <c r="L18" s="27">
        <v>25454839.717849437</v>
      </c>
      <c r="O18" s="24">
        <v>2037</v>
      </c>
      <c r="P18" s="23">
        <v>194060420.03675753</v>
      </c>
      <c r="Q18" s="23">
        <v>352837127.33957249</v>
      </c>
      <c r="R18" s="23">
        <v>32372075472.489075</v>
      </c>
      <c r="S18" s="23">
        <v>555142905879.3999</v>
      </c>
      <c r="V18" s="25">
        <v>2037</v>
      </c>
      <c r="W18" s="27">
        <v>3840880562.4615717</v>
      </c>
      <c r="X18" s="27">
        <v>510314430.17422998</v>
      </c>
      <c r="Y18" s="27">
        <v>8748670500.0707855</v>
      </c>
      <c r="AB18" s="25">
        <v>2037</v>
      </c>
      <c r="AC18" s="27">
        <v>15500829105.028372</v>
      </c>
      <c r="AD18" s="27">
        <v>2868.6845366941525</v>
      </c>
      <c r="AE18" s="27">
        <v>6.2059157094229995</v>
      </c>
      <c r="AH18" s="25">
        <v>2037</v>
      </c>
      <c r="AI18" s="27">
        <v>66715553.870737776</v>
      </c>
      <c r="AJ18" s="27">
        <v>166722169122.94763</v>
      </c>
    </row>
    <row r="19" spans="1:36" ht="16" x14ac:dyDescent="0.2">
      <c r="A19" s="24">
        <v>2038</v>
      </c>
      <c r="B19" s="23">
        <v>313502931750.73132</v>
      </c>
      <c r="C19" s="23">
        <v>318065954.87255681</v>
      </c>
      <c r="D19" s="23">
        <v>313988186.22033715</v>
      </c>
      <c r="E19" s="23">
        <v>5159667551.0500813</v>
      </c>
      <c r="F19" s="23">
        <v>88482211778.352417</v>
      </c>
      <c r="I19" s="25">
        <v>2038</v>
      </c>
      <c r="J19" s="27">
        <v>1308022378548.5559</v>
      </c>
      <c r="K19" s="27">
        <v>457977284.08710694</v>
      </c>
      <c r="L19" s="27">
        <v>26170130.519388206</v>
      </c>
      <c r="O19" s="24">
        <v>2038</v>
      </c>
      <c r="P19" s="23">
        <v>199513592.59386879</v>
      </c>
      <c r="Q19" s="23">
        <v>362751986.53432059</v>
      </c>
      <c r="R19" s="23">
        <v>33281743263.323883</v>
      </c>
      <c r="S19" s="23">
        <v>570742635381.3927</v>
      </c>
      <c r="V19" s="25">
        <v>2038</v>
      </c>
      <c r="W19" s="27">
        <v>3862401488.4662056</v>
      </c>
      <c r="X19" s="27">
        <v>513173784.6665858</v>
      </c>
      <c r="Y19" s="27">
        <v>8797690376.4790974</v>
      </c>
      <c r="AB19" s="25">
        <v>2038</v>
      </c>
      <c r="AC19" s="27">
        <v>17089664088.293049</v>
      </c>
      <c r="AD19" s="27">
        <v>3162.7247017051668</v>
      </c>
      <c r="AE19" s="27">
        <v>6.8420220696385616</v>
      </c>
      <c r="AH19" s="25">
        <v>2038</v>
      </c>
      <c r="AI19" s="27">
        <v>70051331.564274669</v>
      </c>
      <c r="AJ19" s="27">
        <v>175058277579.095</v>
      </c>
    </row>
    <row r="20" spans="1:36" ht="16" x14ac:dyDescent="0.2">
      <c r="A20" s="24">
        <v>2039</v>
      </c>
      <c r="B20" s="23">
        <v>322312484897.49451</v>
      </c>
      <c r="C20" s="23">
        <v>327003730.726767</v>
      </c>
      <c r="D20" s="23">
        <v>322811375.20462137</v>
      </c>
      <c r="E20" s="23">
        <v>5304656196.7918272</v>
      </c>
      <c r="F20" s="23">
        <v>90968596013.58609</v>
      </c>
      <c r="I20" s="25">
        <v>2039</v>
      </c>
      <c r="J20" s="27">
        <v>1344778311249.502</v>
      </c>
      <c r="K20" s="27">
        <v>470846622.18753523</v>
      </c>
      <c r="L20" s="27">
        <v>26905521.26798762</v>
      </c>
      <c r="O20" s="24">
        <v>2039</v>
      </c>
      <c r="P20" s="23">
        <v>205120001.40045327</v>
      </c>
      <c r="Q20" s="23">
        <v>372945457.0917474</v>
      </c>
      <c r="R20" s="23">
        <v>34216973069.494576</v>
      </c>
      <c r="S20" s="23">
        <v>586780723291.5686</v>
      </c>
      <c r="V20" s="25">
        <v>2039</v>
      </c>
      <c r="W20" s="27">
        <v>3883922414.4708409</v>
      </c>
      <c r="X20" s="27">
        <v>516033139.15894175</v>
      </c>
      <c r="Y20" s="27">
        <v>8846710252.8874111</v>
      </c>
      <c r="AB20" s="25">
        <v>2039</v>
      </c>
      <c r="AC20" s="27">
        <v>18841354657.34227</v>
      </c>
      <c r="AD20" s="27">
        <v>3486.9039836297957</v>
      </c>
      <c r="AE20" s="27">
        <v>7.5433293317761869</v>
      </c>
      <c r="AH20" s="25">
        <v>2039</v>
      </c>
      <c r="AI20" s="27">
        <v>73553898.14248839</v>
      </c>
      <c r="AJ20" s="27">
        <v>183811191458.04977</v>
      </c>
    </row>
    <row r="21" spans="1:36" ht="16" x14ac:dyDescent="0.2">
      <c r="A21" s="24">
        <v>2040</v>
      </c>
      <c r="B21" s="23">
        <v>331369589881.21271</v>
      </c>
      <c r="C21" s="23">
        <v>336192661.52540404</v>
      </c>
      <c r="D21" s="23">
        <v>331882499.19814742</v>
      </c>
      <c r="E21" s="23">
        <v>5453719079.330039</v>
      </c>
      <c r="F21" s="23">
        <v>93524848603.610703</v>
      </c>
      <c r="I21" s="25">
        <v>2040</v>
      </c>
      <c r="J21" s="27">
        <v>1382567099818.1096</v>
      </c>
      <c r="K21" s="27">
        <v>484077593.64598739</v>
      </c>
      <c r="L21" s="27">
        <v>27661576.77990279</v>
      </c>
      <c r="O21" s="24">
        <v>2040</v>
      </c>
      <c r="P21" s="23">
        <v>210883952.45414937</v>
      </c>
      <c r="Q21" s="23">
        <v>383425368.09846795</v>
      </c>
      <c r="R21" s="23">
        <v>35178483193.478851</v>
      </c>
      <c r="S21" s="23">
        <v>603269487650.05762</v>
      </c>
      <c r="V21" s="25">
        <v>2040</v>
      </c>
      <c r="W21" s="27">
        <v>3905443340.4754758</v>
      </c>
      <c r="X21" s="27">
        <v>518892493.65129769</v>
      </c>
      <c r="Y21" s="27">
        <v>8895730129.295723</v>
      </c>
      <c r="AB21" s="25">
        <v>2040</v>
      </c>
      <c r="AC21" s="27">
        <v>20772593509.718967</v>
      </c>
      <c r="AD21" s="27">
        <v>3844.3116419516859</v>
      </c>
      <c r="AE21" s="27">
        <v>8.3165205882828914</v>
      </c>
      <c r="AH21" s="25">
        <v>2040</v>
      </c>
      <c r="AI21" s="27">
        <v>77231593.04961282</v>
      </c>
      <c r="AJ21" s="27">
        <v>193001751030.95227</v>
      </c>
    </row>
    <row r="22" spans="1:36" ht="16" x14ac:dyDescent="0.2">
      <c r="A22" s="24">
        <v>2041</v>
      </c>
      <c r="B22" s="23">
        <v>340681203003.86371</v>
      </c>
      <c r="C22" s="23">
        <v>345639804.81915385</v>
      </c>
      <c r="D22" s="23">
        <v>341208525.27018237</v>
      </c>
      <c r="E22" s="23">
        <v>5606970686.2881374</v>
      </c>
      <c r="F22" s="23">
        <v>96152932876.10994</v>
      </c>
      <c r="I22" s="25">
        <v>2041</v>
      </c>
      <c r="J22" s="27">
        <v>1421417767902.1267</v>
      </c>
      <c r="K22" s="27">
        <v>497680360.49912924</v>
      </c>
      <c r="L22" s="27">
        <v>28438877.742943171</v>
      </c>
      <c r="O22" s="24">
        <v>2041</v>
      </c>
      <c r="P22" s="23">
        <v>216809872.75278783</v>
      </c>
      <c r="Q22" s="23">
        <v>394199768.64144737</v>
      </c>
      <c r="R22" s="23">
        <v>36167012122.330719</v>
      </c>
      <c r="S22" s="23">
        <v>620221592638.66235</v>
      </c>
      <c r="V22" s="25">
        <v>2041</v>
      </c>
      <c r="W22" s="27">
        <v>3921937174.4290934</v>
      </c>
      <c r="X22" s="27">
        <v>521083929.01059824</v>
      </c>
      <c r="Y22" s="27">
        <v>8933299409.6199722</v>
      </c>
      <c r="AB22" s="25">
        <v>2041</v>
      </c>
      <c r="AC22" s="27">
        <v>22901784344.464447</v>
      </c>
      <c r="AD22" s="27">
        <v>4238.3535852516015</v>
      </c>
      <c r="AE22" s="27">
        <v>9.1689639485816006</v>
      </c>
      <c r="AH22" s="25">
        <v>2041</v>
      </c>
      <c r="AI22" s="27">
        <v>81093172.702093452</v>
      </c>
      <c r="AJ22" s="27">
        <v>202651838582.49991</v>
      </c>
    </row>
    <row r="23" spans="1:36" ht="16" x14ac:dyDescent="0.2">
      <c r="A23" s="24">
        <v>2042</v>
      </c>
      <c r="B23" s="23">
        <v>350254476042.1908</v>
      </c>
      <c r="C23" s="23">
        <v>355352416.47859526</v>
      </c>
      <c r="D23" s="23">
        <v>350796616.26732296</v>
      </c>
      <c r="E23" s="23">
        <v>5764528722.4358606</v>
      </c>
      <c r="F23" s="23">
        <v>98854867329.031616</v>
      </c>
      <c r="I23" s="25">
        <v>2042</v>
      </c>
      <c r="J23" s="27">
        <v>1461360154724.9834</v>
      </c>
      <c r="K23" s="27">
        <v>511665370.34077048</v>
      </c>
      <c r="L23" s="27">
        <v>29238021.162469342</v>
      </c>
      <c r="O23" s="24">
        <v>2042</v>
      </c>
      <c r="P23" s="23">
        <v>222902313.69454372</v>
      </c>
      <c r="Q23" s="23">
        <v>405276933.99009484</v>
      </c>
      <c r="R23" s="23">
        <v>37183319094.87487</v>
      </c>
      <c r="S23" s="23">
        <v>637650058307.573</v>
      </c>
      <c r="V23" s="25">
        <v>2042</v>
      </c>
      <c r="W23" s="27">
        <v>3938431008.3827105</v>
      </c>
      <c r="X23" s="27">
        <v>523275364.36989886</v>
      </c>
      <c r="Y23" s="27">
        <v>8970868689.9442196</v>
      </c>
      <c r="AB23" s="25">
        <v>2042</v>
      </c>
      <c r="AC23" s="27">
        <v>25249217239.771233</v>
      </c>
      <c r="AD23" s="27">
        <v>4672.7848277397379</v>
      </c>
      <c r="AE23" s="27">
        <v>10.108782753310885</v>
      </c>
      <c r="AH23" s="25">
        <v>2042</v>
      </c>
      <c r="AI23" s="27">
        <v>85147831.337198138</v>
      </c>
      <c r="AJ23" s="27">
        <v>212784430511.62491</v>
      </c>
    </row>
    <row r="24" spans="1:36" ht="16" x14ac:dyDescent="0.2">
      <c r="A24" s="24">
        <v>2043</v>
      </c>
      <c r="B24" s="23">
        <v>360096761740.61859</v>
      </c>
      <c r="C24" s="23">
        <v>365337956.26706535</v>
      </c>
      <c r="D24" s="23">
        <v>360654136.31491494</v>
      </c>
      <c r="E24" s="23">
        <v>5926514200.0923185</v>
      </c>
      <c r="F24" s="23">
        <v>101632727180.89343</v>
      </c>
      <c r="I24" s="25">
        <v>2043</v>
      </c>
      <c r="J24" s="27">
        <v>1502424938003.7827</v>
      </c>
      <c r="K24" s="27">
        <v>526043364.3461321</v>
      </c>
      <c r="L24" s="27">
        <v>30059620.819922499</v>
      </c>
      <c r="O24" s="24">
        <v>2043</v>
      </c>
      <c r="P24" s="23">
        <v>229165954.57363415</v>
      </c>
      <c r="Q24" s="23">
        <v>416665371.95207781</v>
      </c>
      <c r="R24" s="23">
        <v>38228184684.839462</v>
      </c>
      <c r="S24" s="23">
        <v>655568270575.40491</v>
      </c>
      <c r="V24" s="25">
        <v>2043</v>
      </c>
      <c r="W24" s="27">
        <v>3954924842.336328</v>
      </c>
      <c r="X24" s="27">
        <v>525466799.72919941</v>
      </c>
      <c r="Y24" s="27">
        <v>9008437970.2684708</v>
      </c>
      <c r="AB24" s="25">
        <v>2043</v>
      </c>
      <c r="AC24" s="27">
        <v>27837262006.846897</v>
      </c>
      <c r="AD24" s="27">
        <v>5151.745272582898</v>
      </c>
      <c r="AE24" s="27">
        <v>11.144932985524898</v>
      </c>
      <c r="AH24" s="25">
        <v>2043</v>
      </c>
      <c r="AI24" s="27">
        <v>89405222.904058039</v>
      </c>
      <c r="AJ24" s="27">
        <v>223423652037.20615</v>
      </c>
    </row>
    <row r="25" spans="1:36" ht="16" x14ac:dyDescent="0.2">
      <c r="A25" s="24">
        <v>2044</v>
      </c>
      <c r="B25" s="23">
        <v>370215619458.52222</v>
      </c>
      <c r="C25" s="23">
        <v>375604093.57012439</v>
      </c>
      <c r="D25" s="23">
        <v>370788656.47306275</v>
      </c>
      <c r="E25" s="23">
        <v>6093051532.0694008</v>
      </c>
      <c r="F25" s="23">
        <v>104488645964.65285</v>
      </c>
      <c r="I25" s="25">
        <v>2044</v>
      </c>
      <c r="J25" s="27">
        <v>1544643657511.2944</v>
      </c>
      <c r="K25" s="27">
        <v>540825385.52159619</v>
      </c>
      <c r="L25" s="27">
        <v>30904307.744238771</v>
      </c>
      <c r="O25" s="24">
        <v>2044</v>
      </c>
      <c r="P25" s="23">
        <v>235605606.17424616</v>
      </c>
      <c r="Q25" s="23">
        <v>428373829.40773654</v>
      </c>
      <c r="R25" s="23">
        <v>39302411400.375076</v>
      </c>
      <c r="S25" s="23">
        <v>673989991510.24341</v>
      </c>
      <c r="V25" s="25">
        <v>2044</v>
      </c>
      <c r="W25" s="27">
        <v>3971418676.2899456</v>
      </c>
      <c r="X25" s="27">
        <v>527658235.08850008</v>
      </c>
      <c r="Y25" s="27">
        <v>9046007250.59272</v>
      </c>
      <c r="AB25" s="25">
        <v>2044</v>
      </c>
      <c r="AC25" s="27">
        <v>30690581362.547737</v>
      </c>
      <c r="AD25" s="27">
        <v>5679.7991630224642</v>
      </c>
      <c r="AE25" s="27">
        <v>12.287288616540812</v>
      </c>
      <c r="AH25" s="25">
        <v>2044</v>
      </c>
      <c r="AI25" s="27">
        <v>93875484.049260959</v>
      </c>
      <c r="AJ25" s="27">
        <v>234594834639.06644</v>
      </c>
    </row>
    <row r="26" spans="1:36" ht="16" x14ac:dyDescent="0.2">
      <c r="A26" s="24">
        <v>2045</v>
      </c>
      <c r="B26" s="23">
        <v>380618820976.1875</v>
      </c>
      <c r="C26" s="23">
        <v>386158713.28602153</v>
      </c>
      <c r="D26" s="23">
        <v>381207960.55157638</v>
      </c>
      <c r="E26" s="23">
        <v>6264268627.2269402</v>
      </c>
      <c r="F26" s="23">
        <v>107424817166.36537</v>
      </c>
      <c r="I26" s="25">
        <v>2045</v>
      </c>
      <c r="J26" s="27">
        <v>1588048739300.0544</v>
      </c>
      <c r="K26" s="27">
        <v>556022787.1862781</v>
      </c>
      <c r="L26" s="27">
        <v>31772730.696510445</v>
      </c>
      <c r="O26" s="24">
        <v>2045</v>
      </c>
      <c r="P26" s="23">
        <v>242226214.46545562</v>
      </c>
      <c r="Q26" s="23">
        <v>440411299.0281179</v>
      </c>
      <c r="R26" s="23">
        <v>40406824300.420464</v>
      </c>
      <c r="S26" s="23">
        <v>692929369899.58789</v>
      </c>
      <c r="V26" s="25">
        <v>2045</v>
      </c>
      <c r="W26" s="27">
        <v>3987912510.2435632</v>
      </c>
      <c r="X26" s="27">
        <v>529849670.44780064</v>
      </c>
      <c r="Y26" s="27">
        <v>9083576530.9169693</v>
      </c>
      <c r="AB26" s="25">
        <v>2045</v>
      </c>
      <c r="AC26" s="27">
        <v>33836365952.207825</v>
      </c>
      <c r="AD26" s="27">
        <v>6261.9785772320729</v>
      </c>
      <c r="AE26" s="27">
        <v>13.546735699735825</v>
      </c>
      <c r="AH26" s="25">
        <v>2045</v>
      </c>
      <c r="AI26" s="27">
        <v>98569258.251724005</v>
      </c>
      <c r="AJ26" s="27">
        <v>246324576371.01978</v>
      </c>
    </row>
    <row r="27" spans="1:36" ht="16" x14ac:dyDescent="0.2">
      <c r="A27" s="24">
        <v>2046</v>
      </c>
      <c r="B27" s="23">
        <v>391314356463.9198</v>
      </c>
      <c r="C27" s="23">
        <v>397009921.88168401</v>
      </c>
      <c r="D27" s="23">
        <v>391920051.08831984</v>
      </c>
      <c r="E27" s="23">
        <v>6440296988.7130003</v>
      </c>
      <c r="F27" s="23">
        <v>110443495909.88945</v>
      </c>
      <c r="I27" s="25">
        <v>2046</v>
      </c>
      <c r="J27" s="27">
        <v>1632673520607.1643</v>
      </c>
      <c r="K27" s="27">
        <v>571647241.69193363</v>
      </c>
      <c r="L27" s="27">
        <v>32665556.668266457</v>
      </c>
      <c r="O27" s="24">
        <v>2046</v>
      </c>
      <c r="P27" s="23">
        <v>249032864.39997491</v>
      </c>
      <c r="Q27" s="23">
        <v>452787026.1817897</v>
      </c>
      <c r="R27" s="23">
        <v>41542271628.388382</v>
      </c>
      <c r="S27" s="23">
        <v>712400952117.3175</v>
      </c>
      <c r="V27" s="25">
        <v>2046</v>
      </c>
      <c r="W27" s="27">
        <v>3999583030.7288632</v>
      </c>
      <c r="X27" s="27">
        <v>531400261.4944213</v>
      </c>
      <c r="Y27" s="27">
        <v>9110159377.3840256</v>
      </c>
      <c r="AB27" s="25">
        <v>2046</v>
      </c>
      <c r="AC27" s="27">
        <v>37304593462.308304</v>
      </c>
      <c r="AD27" s="27">
        <v>6903.8313813982077</v>
      </c>
      <c r="AE27" s="27">
        <v>14.935276108958416</v>
      </c>
      <c r="AH27" s="25">
        <v>2046</v>
      </c>
      <c r="AI27" s="27">
        <v>103497721.1643102</v>
      </c>
      <c r="AJ27" s="27">
        <v>258640805189.57074</v>
      </c>
    </row>
    <row r="28" spans="1:36" ht="16" x14ac:dyDescent="0.2">
      <c r="A28" s="24">
        <v>2047</v>
      </c>
      <c r="B28" s="23">
        <v>402310440618.88818</v>
      </c>
      <c r="C28" s="23">
        <v>408166053.61888218</v>
      </c>
      <c r="D28" s="23">
        <v>402933155.49555373</v>
      </c>
      <c r="E28" s="23">
        <v>6621271814.9647608</v>
      </c>
      <c r="F28" s="23">
        <v>113547000688.93279</v>
      </c>
      <c r="I28" s="25">
        <v>2047</v>
      </c>
      <c r="J28" s="27">
        <v>1678552275458.9299</v>
      </c>
      <c r="K28" s="27">
        <v>587710749.38789928</v>
      </c>
      <c r="L28" s="27">
        <v>33583471.393754594</v>
      </c>
      <c r="O28" s="24">
        <v>2047</v>
      </c>
      <c r="P28" s="23">
        <v>256030783.81964597</v>
      </c>
      <c r="Q28" s="23">
        <v>465510516.03573751</v>
      </c>
      <c r="R28" s="23">
        <v>42709625463.658249</v>
      </c>
      <c r="S28" s="23">
        <v>732419693296.01965</v>
      </c>
      <c r="V28" s="25">
        <v>2047</v>
      </c>
      <c r="W28" s="27">
        <v>4011253551.2141628</v>
      </c>
      <c r="X28" s="27">
        <v>532950852.54104215</v>
      </c>
      <c r="Y28" s="27">
        <v>9136742223.8510818</v>
      </c>
      <c r="AB28" s="25">
        <v>2047</v>
      </c>
      <c r="AC28" s="27">
        <v>41128314292.194023</v>
      </c>
      <c r="AD28" s="27">
        <v>7611.4740979913577</v>
      </c>
      <c r="AE28" s="27">
        <v>16.466141910126296</v>
      </c>
      <c r="AH28" s="25">
        <v>2047</v>
      </c>
      <c r="AI28" s="27">
        <v>108672607.22252572</v>
      </c>
      <c r="AJ28" s="27">
        <v>271572845449.04935</v>
      </c>
    </row>
    <row r="29" spans="1:36" ht="16" x14ac:dyDescent="0.2">
      <c r="A29" s="24">
        <v>2048</v>
      </c>
      <c r="B29" s="23">
        <v>413615518974.41638</v>
      </c>
      <c r="C29" s="23">
        <v>419635676.95535272</v>
      </c>
      <c r="D29" s="23">
        <v>414255732.37899232</v>
      </c>
      <c r="E29" s="23">
        <v>6807332103.5475674</v>
      </c>
      <c r="F29" s="23">
        <v>116737715147.76938</v>
      </c>
      <c r="I29" s="25">
        <v>2048</v>
      </c>
      <c r="J29" s="27">
        <v>1725720240995.0017</v>
      </c>
      <c r="K29" s="27">
        <v>604225647.83795083</v>
      </c>
      <c r="L29" s="27">
        <v>34527179.87661919</v>
      </c>
      <c r="O29" s="24">
        <v>2048</v>
      </c>
      <c r="P29" s="23">
        <v>263225347.47068065</v>
      </c>
      <c r="Q29" s="23">
        <v>478591540.85580111</v>
      </c>
      <c r="R29" s="23">
        <v>43909782391.375946</v>
      </c>
      <c r="S29" s="23">
        <v>753000968813.26917</v>
      </c>
      <c r="V29" s="25">
        <v>2048</v>
      </c>
      <c r="W29" s="27">
        <v>4022924071.6994624</v>
      </c>
      <c r="X29" s="27">
        <v>534501443.58766288</v>
      </c>
      <c r="Y29" s="27">
        <v>9163325070.3181362</v>
      </c>
      <c r="AB29" s="25">
        <v>2048</v>
      </c>
      <c r="AC29" s="27">
        <v>45343966507.142937</v>
      </c>
      <c r="AD29" s="27">
        <v>8391.6501930352933</v>
      </c>
      <c r="AE29" s="27">
        <v>18.153921455913856</v>
      </c>
      <c r="AH29" s="25">
        <v>2048</v>
      </c>
      <c r="AI29" s="27">
        <v>114106237.58365202</v>
      </c>
      <c r="AJ29" s="27">
        <v>285151487721.50183</v>
      </c>
    </row>
    <row r="30" spans="1:36" ht="16" x14ac:dyDescent="0.2">
      <c r="A30" s="24">
        <v>2049</v>
      </c>
      <c r="B30" s="23">
        <v>425238274386.56799</v>
      </c>
      <c r="C30" s="23">
        <v>431427601.12579572</v>
      </c>
      <c r="D30" s="23">
        <v>425896478.03442931</v>
      </c>
      <c r="E30" s="23">
        <v>6998620757.9118996</v>
      </c>
      <c r="F30" s="23">
        <v>120018089911.99545</v>
      </c>
      <c r="I30" s="25">
        <v>2049</v>
      </c>
      <c r="J30" s="27">
        <v>1774213644532.2241</v>
      </c>
      <c r="K30" s="27">
        <v>621204621.29615819</v>
      </c>
      <c r="L30" s="27">
        <v>35497406.931378521</v>
      </c>
      <c r="O30" s="24">
        <v>2049</v>
      </c>
      <c r="P30" s="23">
        <v>270622081.13172966</v>
      </c>
      <c r="Q30" s="23">
        <v>492040147.5122543</v>
      </c>
      <c r="R30" s="23">
        <v>45143664191.075363</v>
      </c>
      <c r="S30" s="23">
        <v>774160586100.67346</v>
      </c>
      <c r="V30" s="25">
        <v>2049</v>
      </c>
      <c r="W30" s="27">
        <v>4034594592.1847634</v>
      </c>
      <c r="X30" s="27">
        <v>536052034.6342836</v>
      </c>
      <c r="Y30" s="27">
        <v>9189907916.7851944</v>
      </c>
      <c r="AB30" s="25">
        <v>2049</v>
      </c>
      <c r="AC30" s="27">
        <v>49991723074.124008</v>
      </c>
      <c r="AD30" s="27">
        <v>9251.7943378212094</v>
      </c>
      <c r="AE30" s="27">
        <v>20.014698405144596</v>
      </c>
      <c r="AH30" s="25">
        <v>2049</v>
      </c>
      <c r="AI30" s="27">
        <v>119811549.4628346</v>
      </c>
      <c r="AJ30" s="27">
        <v>299409062107.5769</v>
      </c>
    </row>
    <row r="31" spans="1:36" ht="16" x14ac:dyDescent="0.2">
      <c r="A31" s="24">
        <v>2050</v>
      </c>
      <c r="B31" s="23">
        <v>437187633703.00635</v>
      </c>
      <c r="C31" s="23">
        <v>443550882.90779901</v>
      </c>
      <c r="D31" s="23">
        <v>437864333.12691945</v>
      </c>
      <c r="E31" s="23">
        <v>7195284697.1502323</v>
      </c>
      <c r="F31" s="23">
        <v>123390644470.7305</v>
      </c>
      <c r="I31" s="25">
        <v>2050</v>
      </c>
      <c r="J31" s="27">
        <v>1824069731389.0024</v>
      </c>
      <c r="K31" s="27">
        <v>638660710.44901717</v>
      </c>
      <c r="L31" s="27">
        <v>36494897.740118086</v>
      </c>
      <c r="O31" s="24">
        <v>2050</v>
      </c>
      <c r="P31" s="23">
        <v>278226665.85795236</v>
      </c>
      <c r="Q31" s="23">
        <v>505866665.1962961</v>
      </c>
      <c r="R31" s="23">
        <v>46412218544.650345</v>
      </c>
      <c r="S31" s="23">
        <v>795914796784.75708</v>
      </c>
      <c r="V31" s="25">
        <v>2050</v>
      </c>
      <c r="W31" s="27">
        <v>4046265112.6700635</v>
      </c>
      <c r="X31" s="27">
        <v>537602625.68090439</v>
      </c>
      <c r="Y31" s="27">
        <v>9216490763.2522488</v>
      </c>
      <c r="AB31" s="25">
        <v>2050</v>
      </c>
      <c r="AC31" s="27">
        <v>55115874689.220543</v>
      </c>
      <c r="AD31" s="27">
        <v>10200.103257447667</v>
      </c>
      <c r="AE31" s="27">
        <v>22.066204991671444</v>
      </c>
      <c r="AH31" s="25">
        <v>2050</v>
      </c>
      <c r="AI31" s="27">
        <v>125802126.93597636</v>
      </c>
      <c r="AJ31" s="27">
        <v>314379515212.95575</v>
      </c>
    </row>
    <row r="32" spans="1:36" ht="16" x14ac:dyDescent="0.2">
      <c r="A32" s="24">
        <v>2051</v>
      </c>
      <c r="B32" s="23">
        <v>449472774619.2533</v>
      </c>
      <c r="C32" s="23">
        <v>456014833.57788992</v>
      </c>
      <c r="D32" s="23">
        <v>450168489.55764997</v>
      </c>
      <c r="E32" s="23">
        <v>7397474968.8381443</v>
      </c>
      <c r="F32" s="23">
        <v>126857969111.70883</v>
      </c>
      <c r="I32" s="25">
        <v>2051</v>
      </c>
      <c r="J32" s="27">
        <v>1875326793491.5356</v>
      </c>
      <c r="K32" s="27">
        <v>656607322.43133736</v>
      </c>
      <c r="L32" s="27">
        <v>37520418.424826995</v>
      </c>
      <c r="O32" s="24">
        <v>2051</v>
      </c>
      <c r="P32" s="23">
        <v>286044942.3443464</v>
      </c>
      <c r="Q32" s="23">
        <v>520081713.35337687</v>
      </c>
      <c r="R32" s="23">
        <v>47716419764.221016</v>
      </c>
      <c r="S32" s="23">
        <v>818280309169.00989</v>
      </c>
      <c r="V32" s="25">
        <v>2051</v>
      </c>
      <c r="W32" s="27">
        <v>4046265112.6700635</v>
      </c>
      <c r="X32" s="27">
        <v>537602625.68090439</v>
      </c>
      <c r="Y32" s="27">
        <v>9216490763.2522488</v>
      </c>
      <c r="AB32" s="25">
        <v>2051</v>
      </c>
      <c r="AC32" s="27">
        <v>60765251844.865623</v>
      </c>
      <c r="AD32" s="27">
        <v>11245.613841336055</v>
      </c>
      <c r="AE32" s="27">
        <v>24.327991003317759</v>
      </c>
      <c r="AH32" s="25">
        <v>2051</v>
      </c>
      <c r="AI32" s="27">
        <v>132092233.28277516</v>
      </c>
      <c r="AJ32" s="27">
        <v>330098490973.60352</v>
      </c>
    </row>
    <row r="33" spans="1:36" ht="16" x14ac:dyDescent="0.2">
      <c r="A33" s="24">
        <v>2052</v>
      </c>
      <c r="B33" s="23">
        <v>462103132727.60999</v>
      </c>
      <c r="C33" s="23">
        <v>468829026.06305307</v>
      </c>
      <c r="D33" s="23">
        <v>462818397.52377224</v>
      </c>
      <c r="E33" s="23">
        <v>7605346865.0462666</v>
      </c>
      <c r="F33" s="23">
        <v>130422726910.74796</v>
      </c>
      <c r="I33" s="25">
        <v>2052</v>
      </c>
      <c r="J33" s="27">
        <v>1928024198783.9006</v>
      </c>
      <c r="K33" s="27">
        <v>675058241.12358105</v>
      </c>
      <c r="L33" s="27">
        <v>38574756.635817386</v>
      </c>
      <c r="O33" s="24">
        <v>2052</v>
      </c>
      <c r="P33" s="23">
        <v>294082915.41168916</v>
      </c>
      <c r="Q33" s="23">
        <v>534696209.83945501</v>
      </c>
      <c r="R33" s="23">
        <v>49057269540.453423</v>
      </c>
      <c r="S33" s="23">
        <v>841274301066.68677</v>
      </c>
      <c r="V33" s="25">
        <v>2052</v>
      </c>
      <c r="W33" s="27">
        <v>4046265112.6700635</v>
      </c>
      <c r="X33" s="27">
        <v>537602625.68090439</v>
      </c>
      <c r="Y33" s="27">
        <v>9216490763.2522488</v>
      </c>
      <c r="AB33" s="25">
        <v>2052</v>
      </c>
      <c r="AC33" s="27">
        <v>66993690158.964386</v>
      </c>
      <c r="AD33" s="27">
        <v>12398.289260073007</v>
      </c>
      <c r="AE33" s="27">
        <v>26.821610081157839</v>
      </c>
      <c r="AH33" s="25">
        <v>2052</v>
      </c>
      <c r="AI33" s="27">
        <v>138696844.94691396</v>
      </c>
      <c r="AJ33" s="27">
        <v>346603415522.28375</v>
      </c>
    </row>
    <row r="34" spans="1:36" ht="16" x14ac:dyDescent="0.2">
      <c r="A34" s="24">
        <v>2053</v>
      </c>
      <c r="B34" s="23">
        <v>475088408764.15601</v>
      </c>
      <c r="C34" s="23">
        <v>482003302.2932086</v>
      </c>
      <c r="D34" s="23">
        <v>475823772.77661777</v>
      </c>
      <c r="E34" s="23">
        <v>7819060041.6122408</v>
      </c>
      <c r="F34" s="23">
        <v>134087655777.12164</v>
      </c>
      <c r="I34" s="25">
        <v>2053</v>
      </c>
      <c r="J34" s="27">
        <v>1982202421464.5654</v>
      </c>
      <c r="K34" s="27">
        <v>694027637.73856139</v>
      </c>
      <c r="L34" s="27">
        <v>39658722.15667858</v>
      </c>
      <c r="O34" s="24">
        <v>2053</v>
      </c>
      <c r="P34" s="23">
        <v>302346758.61853439</v>
      </c>
      <c r="Q34" s="23">
        <v>549721379.30644703</v>
      </c>
      <c r="R34" s="23">
        <v>50435797711.907135</v>
      </c>
      <c r="S34" s="23">
        <v>864914432994.21167</v>
      </c>
      <c r="V34" s="25">
        <v>2053</v>
      </c>
      <c r="W34" s="27">
        <v>4046265112.6700635</v>
      </c>
      <c r="X34" s="27">
        <v>537602625.68090439</v>
      </c>
      <c r="Y34" s="27">
        <v>9216490763.2522488</v>
      </c>
      <c r="AB34" s="25">
        <v>2053</v>
      </c>
      <c r="AC34" s="27">
        <v>73860543400.25824</v>
      </c>
      <c r="AD34" s="27">
        <v>13669.113909230495</v>
      </c>
      <c r="AE34" s="27">
        <v>29.570825114476531</v>
      </c>
      <c r="AH34" s="25">
        <v>2053</v>
      </c>
      <c r="AI34" s="27">
        <v>145631687.19425964</v>
      </c>
      <c r="AJ34" s="27">
        <v>363933586298.39795</v>
      </c>
    </row>
    <row r="35" spans="1:36" ht="16" x14ac:dyDescent="0.2">
      <c r="A35" s="24">
        <v>2054</v>
      </c>
      <c r="B35" s="23">
        <v>488438576059.39124</v>
      </c>
      <c r="C35" s="23">
        <v>495547780.76029873</v>
      </c>
      <c r="D35" s="23">
        <v>489194604.08387303</v>
      </c>
      <c r="E35" s="23">
        <v>8038778640.7642412</v>
      </c>
      <c r="F35" s="23">
        <v>137855570556.40881</v>
      </c>
      <c r="I35" s="25">
        <v>2054</v>
      </c>
      <c r="J35" s="27">
        <v>2037903073072.5676</v>
      </c>
      <c r="K35" s="27">
        <v>713530081.70563006</v>
      </c>
      <c r="L35" s="27">
        <v>40773147.526230685</v>
      </c>
      <c r="O35" s="24">
        <v>2054</v>
      </c>
      <c r="P35" s="23">
        <v>310842819.00280976</v>
      </c>
      <c r="Q35" s="23">
        <v>565168761.82331192</v>
      </c>
      <c r="R35" s="23">
        <v>51853063056.001984</v>
      </c>
      <c r="S35" s="23">
        <v>889218861735.32275</v>
      </c>
      <c r="V35" s="25">
        <v>2054</v>
      </c>
      <c r="W35" s="27">
        <v>4046265112.6700635</v>
      </c>
      <c r="X35" s="27">
        <v>537602625.68090439</v>
      </c>
      <c r="Y35" s="27">
        <v>9216490763.2522488</v>
      </c>
      <c r="AB35" s="25">
        <v>2054</v>
      </c>
      <c r="AC35" s="27">
        <v>81431249098.784714</v>
      </c>
      <c r="AD35" s="27">
        <v>15070.198084926611</v>
      </c>
      <c r="AE35" s="27">
        <v>32.601834688710355</v>
      </c>
      <c r="AH35" s="25">
        <v>2054</v>
      </c>
      <c r="AI35" s="27">
        <v>152913271.55397263</v>
      </c>
      <c r="AJ35" s="27">
        <v>382130265613.31787</v>
      </c>
    </row>
    <row r="36" spans="1:36" ht="16" x14ac:dyDescent="0.2">
      <c r="A36" s="24">
        <v>2055</v>
      </c>
      <c r="B36" s="23">
        <v>502163888198.24512</v>
      </c>
      <c r="C36" s="23">
        <v>509472864.28978699</v>
      </c>
      <c r="D36" s="23">
        <v>502941160.90144461</v>
      </c>
      <c r="E36" s="23">
        <v>8264671417.1902857</v>
      </c>
      <c r="F36" s="23">
        <v>141729365192.43369</v>
      </c>
      <c r="I36" s="25">
        <v>2055</v>
      </c>
      <c r="J36" s="27">
        <v>2095168934447.2217</v>
      </c>
      <c r="K36" s="27">
        <v>733580551.86071622</v>
      </c>
      <c r="L36" s="27">
        <v>41918888.677955359</v>
      </c>
      <c r="O36" s="24">
        <v>2055</v>
      </c>
      <c r="P36" s="23">
        <v>319577621.95665354</v>
      </c>
      <c r="Q36" s="23">
        <v>581050221.73939204</v>
      </c>
      <c r="R36" s="23">
        <v>53310154102.211159</v>
      </c>
      <c r="S36" s="23">
        <v>914206254286.37622</v>
      </c>
      <c r="V36" s="25">
        <v>2055</v>
      </c>
      <c r="W36" s="27">
        <v>4046265112.6700635</v>
      </c>
      <c r="X36" s="27">
        <v>537602625.68090439</v>
      </c>
      <c r="Y36" s="27">
        <v>9216490763.2522488</v>
      </c>
      <c r="AB36" s="25">
        <v>2055</v>
      </c>
      <c r="AC36" s="27">
        <v>89777952131.410141</v>
      </c>
      <c r="AD36" s="27">
        <v>16614.893388631594</v>
      </c>
      <c r="AE36" s="27">
        <v>35.943522744303188</v>
      </c>
      <c r="AH36" s="25">
        <v>2055</v>
      </c>
      <c r="AI36" s="27">
        <v>160558935.13167128</v>
      </c>
      <c r="AJ36" s="27">
        <v>401236778893.9837</v>
      </c>
    </row>
    <row r="37" spans="1:36" ht="16" x14ac:dyDescent="0.2">
      <c r="A37" s="24">
        <v>2056</v>
      </c>
      <c r="B37" s="23">
        <v>516274886895.3327</v>
      </c>
      <c r="C37" s="23">
        <v>523789248.03054011</v>
      </c>
      <c r="D37" s="23">
        <v>517074001.26090556</v>
      </c>
      <c r="E37" s="23">
        <v>8496911867.6501331</v>
      </c>
      <c r="F37" s="23">
        <v>145712014949.95654</v>
      </c>
      <c r="I37" s="25">
        <v>2056</v>
      </c>
      <c r="J37" s="27">
        <v>2154043988585.9043</v>
      </c>
      <c r="K37" s="27">
        <v>754194447.95080841</v>
      </c>
      <c r="L37" s="27">
        <v>43096825.597394824</v>
      </c>
      <c r="O37" s="24">
        <v>2056</v>
      </c>
      <c r="P37" s="23">
        <v>328557876.23823661</v>
      </c>
      <c r="Q37" s="23">
        <v>597377956.79681647</v>
      </c>
      <c r="R37" s="23">
        <v>54808189968.105324</v>
      </c>
      <c r="S37" s="23">
        <v>939895802193.51587</v>
      </c>
      <c r="V37" s="25">
        <v>2056</v>
      </c>
      <c r="W37" s="27">
        <v>4046265112.6700635</v>
      </c>
      <c r="X37" s="27">
        <v>537602625.68090439</v>
      </c>
      <c r="Y37" s="27">
        <v>9216490763.2522488</v>
      </c>
      <c r="AB37" s="25">
        <v>2056</v>
      </c>
      <c r="AC37" s="27">
        <v>98980192224.8797</v>
      </c>
      <c r="AD37" s="27">
        <v>18317.91996096633</v>
      </c>
      <c r="AE37" s="27">
        <v>39.627733825594262</v>
      </c>
      <c r="AH37" s="25">
        <v>2056</v>
      </c>
      <c r="AI37" s="27">
        <v>168586881.88825485</v>
      </c>
      <c r="AJ37" s="27">
        <v>421298617838.68304</v>
      </c>
    </row>
    <row r="38" spans="1:36" ht="16" x14ac:dyDescent="0.2">
      <c r="A38" s="24">
        <v>2057</v>
      </c>
      <c r="B38" s="23">
        <v>530782410091.51093</v>
      </c>
      <c r="C38" s="23">
        <v>538507927.66922712</v>
      </c>
      <c r="D38" s="23">
        <v>531603979.87858343</v>
      </c>
      <c r="E38" s="23">
        <v>8735678364.2293243</v>
      </c>
      <c r="F38" s="23">
        <v>149806578699.82364</v>
      </c>
      <c r="I38" s="25">
        <v>2057</v>
      </c>
      <c r="J38" s="27">
        <v>2214573454425.1631</v>
      </c>
      <c r="K38" s="27">
        <v>775387602.46171832</v>
      </c>
      <c r="L38" s="27">
        <v>44307862.998024032</v>
      </c>
      <c r="O38" s="24">
        <v>2057</v>
      </c>
      <c r="P38" s="23">
        <v>337790479.1244188</v>
      </c>
      <c r="Q38" s="23">
        <v>614164507.49896646</v>
      </c>
      <c r="R38" s="23">
        <v>56348321218.890007</v>
      </c>
      <c r="S38" s="23">
        <v>966307236292.72534</v>
      </c>
      <c r="V38" s="25">
        <v>2057</v>
      </c>
      <c r="W38" s="27">
        <v>4046265112.6700635</v>
      </c>
      <c r="X38" s="27">
        <v>537602625.68090439</v>
      </c>
      <c r="Y38" s="27">
        <v>9216490763.2522488</v>
      </c>
      <c r="AB38" s="25">
        <v>2057</v>
      </c>
      <c r="AC38" s="27">
        <v>109125661927.92984</v>
      </c>
      <c r="AD38" s="27">
        <v>20195.506756965377</v>
      </c>
      <c r="AE38" s="27">
        <v>43.689576542717674</v>
      </c>
      <c r="AH38" s="25">
        <v>2057</v>
      </c>
      <c r="AI38" s="27">
        <v>177016225.9826676</v>
      </c>
      <c r="AJ38" s="27">
        <v>442363548730.61713</v>
      </c>
    </row>
    <row r="39" spans="1:36" ht="16" x14ac:dyDescent="0.2">
      <c r="A39" s="24">
        <v>2058</v>
      </c>
      <c r="B39" s="23">
        <v>545697600277.94958</v>
      </c>
      <c r="C39" s="23">
        <v>553640207.87554884</v>
      </c>
      <c r="D39" s="23">
        <v>546542256.49251604</v>
      </c>
      <c r="E39" s="23">
        <v>8981154291.3377113</v>
      </c>
      <c r="F39" s="23">
        <v>154016201268.33026</v>
      </c>
      <c r="I39" s="25">
        <v>2058</v>
      </c>
      <c r="J39" s="27">
        <v>2276803821571.0806</v>
      </c>
      <c r="K39" s="27">
        <v>797176292.77820647</v>
      </c>
      <c r="L39" s="27">
        <v>45552931.016115002</v>
      </c>
      <c r="O39" s="24">
        <v>2058</v>
      </c>
      <c r="P39" s="23">
        <v>347282521.70819682</v>
      </c>
      <c r="Q39" s="23">
        <v>631422766.7421999</v>
      </c>
      <c r="R39" s="23">
        <v>57931730751.096207</v>
      </c>
      <c r="S39" s="23">
        <v>993460841864.08008</v>
      </c>
      <c r="V39" s="25">
        <v>2058</v>
      </c>
      <c r="W39" s="27">
        <v>4046265112.6700635</v>
      </c>
      <c r="X39" s="27">
        <v>537602625.68090439</v>
      </c>
      <c r="Y39" s="27">
        <v>9216490763.2522488</v>
      </c>
      <c r="AB39" s="25">
        <v>2058</v>
      </c>
      <c r="AC39" s="27">
        <v>120311042275.54272</v>
      </c>
      <c r="AD39" s="27">
        <v>22265.546199554345</v>
      </c>
      <c r="AE39" s="27">
        <v>48.167758138346251</v>
      </c>
      <c r="AH39" s="25">
        <v>2058</v>
      </c>
      <c r="AI39" s="27">
        <v>185867037.28180099</v>
      </c>
      <c r="AJ39" s="27">
        <v>464481726167.14801</v>
      </c>
    </row>
    <row r="40" spans="1:36" ht="16" x14ac:dyDescent="0.2">
      <c r="A40" s="24">
        <v>2059</v>
      </c>
      <c r="B40" s="23">
        <v>561031913054.1123</v>
      </c>
      <c r="C40" s="23">
        <v>569197710.98477852</v>
      </c>
      <c r="D40" s="23">
        <v>561900304.43367851</v>
      </c>
      <c r="E40" s="23">
        <v>9233528186.5577049</v>
      </c>
      <c r="F40" s="23">
        <v>158344115852.60196</v>
      </c>
      <c r="I40" s="25">
        <v>2059</v>
      </c>
      <c r="J40" s="27">
        <v>2340782886005.5786</v>
      </c>
      <c r="K40" s="27">
        <v>819577253.68581641</v>
      </c>
      <c r="L40" s="27">
        <v>46832985.925127409</v>
      </c>
      <c r="O40" s="24">
        <v>2059</v>
      </c>
      <c r="P40" s="23">
        <v>357041294.34501177</v>
      </c>
      <c r="Q40" s="23">
        <v>649165989.71822774</v>
      </c>
      <c r="R40" s="23">
        <v>59559634701.103119</v>
      </c>
      <c r="S40" s="23">
        <v>1021377474211.8391</v>
      </c>
      <c r="V40" s="25">
        <v>2059</v>
      </c>
      <c r="W40" s="27">
        <v>4046265112.6700635</v>
      </c>
      <c r="X40" s="27">
        <v>537602625.68090439</v>
      </c>
      <c r="Y40" s="27">
        <v>9216490763.2522488</v>
      </c>
      <c r="AB40" s="25">
        <v>2059</v>
      </c>
      <c r="AC40" s="27">
        <v>132642924108.7858</v>
      </c>
      <c r="AD40" s="27">
        <v>24547.764685008646</v>
      </c>
      <c r="AE40" s="27">
        <v>53.104953347526724</v>
      </c>
      <c r="AH40" s="25">
        <v>2059</v>
      </c>
      <c r="AI40" s="27">
        <v>195160389.14589101</v>
      </c>
      <c r="AJ40" s="27">
        <v>487705812475.50543</v>
      </c>
    </row>
    <row r="41" spans="1:36" ht="16" x14ac:dyDescent="0.2">
      <c r="A41" s="24">
        <v>2060</v>
      </c>
      <c r="B41" s="23">
        <v>576797125926.22119</v>
      </c>
      <c r="C41" s="23">
        <v>585192385.92428875</v>
      </c>
      <c r="D41" s="23">
        <v>577689919.43806636</v>
      </c>
      <c r="E41" s="23">
        <v>9492993885.4504128</v>
      </c>
      <c r="F41" s="23">
        <v>162793646503.84918</v>
      </c>
      <c r="I41" s="25">
        <v>2060</v>
      </c>
      <c r="J41" s="27">
        <v>2406559786796.0825</v>
      </c>
      <c r="K41" s="27">
        <v>842607690.2240119</v>
      </c>
      <c r="L41" s="27">
        <v>48149010.870173432</v>
      </c>
      <c r="O41" s="24">
        <v>2060</v>
      </c>
      <c r="P41" s="23">
        <v>367074292.2521013</v>
      </c>
      <c r="Q41" s="23">
        <v>667407804.09475493</v>
      </c>
      <c r="R41" s="23">
        <v>61233283379.190636</v>
      </c>
      <c r="S41" s="23">
        <v>1050078574682.3456</v>
      </c>
      <c r="V41" s="25">
        <v>2060</v>
      </c>
      <c r="W41" s="27">
        <v>4046265112.6700635</v>
      </c>
      <c r="X41" s="27">
        <v>537602625.68090439</v>
      </c>
      <c r="Y41" s="27">
        <v>9216490763.2522488</v>
      </c>
      <c r="AB41" s="25">
        <v>2060</v>
      </c>
      <c r="AC41" s="27">
        <v>146238823829.93646</v>
      </c>
      <c r="AD41" s="27">
        <v>27063.910565222057</v>
      </c>
      <c r="AE41" s="27">
        <v>58.548211065648253</v>
      </c>
      <c r="AH41" s="25">
        <v>2060</v>
      </c>
      <c r="AI41" s="27">
        <v>204918408.60318559</v>
      </c>
      <c r="AJ41" s="27">
        <v>512091103099.2807</v>
      </c>
    </row>
    <row r="42" spans="1:36" x14ac:dyDescent="0.2">
      <c r="AH42" s="12"/>
    </row>
    <row r="43" spans="1:36" ht="16" x14ac:dyDescent="0.2">
      <c r="A43" s="30" t="s">
        <v>102</v>
      </c>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row>
    <row r="44" spans="1:36" s="12" customFormat="1" ht="16" x14ac:dyDescent="0.2">
      <c r="A44" s="30" t="str">
        <f>A2</f>
        <v>Branch</v>
      </c>
      <c r="B44" s="30" t="str">
        <f t="shared" ref="B44:AE44" si="0">B2</f>
        <v>Gasoline Car</v>
      </c>
      <c r="C44" s="30" t="str">
        <f t="shared" si="0"/>
        <v>Electric Car</v>
      </c>
      <c r="D44" s="30" t="str">
        <f t="shared" si="0"/>
        <v>CNG Car</v>
      </c>
      <c r="E44" s="30" t="str">
        <f t="shared" si="0"/>
        <v>Diesel Car</v>
      </c>
      <c r="F44" s="30" t="str">
        <f t="shared" si="0"/>
        <v>BioGasoil Car</v>
      </c>
      <c r="G44" s="30"/>
      <c r="H44" s="30"/>
      <c r="I44" s="30" t="str">
        <f t="shared" si="0"/>
        <v>Branch</v>
      </c>
      <c r="J44" s="30" t="str">
        <f t="shared" si="0"/>
        <v>Gasoline Motorcycle</v>
      </c>
      <c r="K44" s="30" t="str">
        <f t="shared" si="0"/>
        <v>Electric Motorcycle</v>
      </c>
      <c r="L44" s="30" t="str">
        <f t="shared" si="0"/>
        <v>CNG Motorcycle</v>
      </c>
      <c r="M44" s="30"/>
      <c r="N44" s="30"/>
      <c r="O44" s="30" t="str">
        <f t="shared" si="0"/>
        <v>Branch</v>
      </c>
      <c r="P44" s="30" t="str">
        <f t="shared" si="0"/>
        <v>Electric Bus</v>
      </c>
      <c r="Q44" s="30" t="str">
        <f t="shared" si="0"/>
        <v>CNG Bus</v>
      </c>
      <c r="R44" s="30" t="str">
        <f t="shared" si="0"/>
        <v>Diesel Bus</v>
      </c>
      <c r="S44" s="30" t="str">
        <f t="shared" si="0"/>
        <v>BioGasoil Bus</v>
      </c>
      <c r="T44" s="30"/>
      <c r="U44" s="30"/>
      <c r="V44" s="30" t="str">
        <f t="shared" si="0"/>
        <v>Branch</v>
      </c>
      <c r="W44" s="30" t="str">
        <f t="shared" si="0"/>
        <v>Urban Train</v>
      </c>
      <c r="X44" s="30" t="str">
        <f t="shared" si="0"/>
        <v>Diesel Train</v>
      </c>
      <c r="Y44" s="30" t="str">
        <f t="shared" si="0"/>
        <v>BioGasoil Train</v>
      </c>
      <c r="Z44" s="30"/>
      <c r="AA44" s="30"/>
      <c r="AB44" s="30" t="str">
        <f t="shared" si="0"/>
        <v>Branch</v>
      </c>
      <c r="AC44" s="30" t="str">
        <f t="shared" si="0"/>
        <v>Gasoline Passenger Ship</v>
      </c>
      <c r="AD44" s="30" t="str">
        <f t="shared" si="0"/>
        <v>MFO Passenger Ship</v>
      </c>
      <c r="AE44" s="30" t="str">
        <f t="shared" si="0"/>
        <v>MDF Passenger Ship</v>
      </c>
      <c r="AF44" s="30"/>
      <c r="AG44" s="30"/>
      <c r="AH44" s="30" t="str">
        <f>AH2</f>
        <v>Branch</v>
      </c>
      <c r="AI44" s="30" t="str">
        <f t="shared" ref="AI44:AJ44" si="1">AI2</f>
        <v>Avgas Plane</v>
      </c>
      <c r="AJ44" s="30" t="str">
        <f t="shared" si="1"/>
        <v>Avtur Plane</v>
      </c>
    </row>
    <row r="45" spans="1:36" ht="16" x14ac:dyDescent="0.2">
      <c r="A45" s="32">
        <v>2019</v>
      </c>
      <c r="B45" s="33">
        <f>_xlfn.FORECAST.LINEAR($A45,B$3:B$15,$A$3:$A$15)</f>
        <v>179444959168.02539</v>
      </c>
      <c r="C45" s="33">
        <f t="shared" ref="C45:F45" si="2">_xlfn.FORECAST.LINEAR($A45,C$3:C$15,$A$3:$A$15)</f>
        <v>182056773.65156555</v>
      </c>
      <c r="D45" s="33">
        <f t="shared" si="2"/>
        <v>179722712.45089912</v>
      </c>
      <c r="E45" s="33">
        <f t="shared" si="2"/>
        <v>2953325915.8001709</v>
      </c>
      <c r="F45" s="33">
        <f t="shared" si="2"/>
        <v>50646055496.181152</v>
      </c>
      <c r="G45" s="34"/>
      <c r="H45" s="34"/>
      <c r="I45" s="32">
        <v>2019</v>
      </c>
      <c r="J45" s="33">
        <f>_xlfn.FORECAST.LINEAR($A45,J$3:J$15,$A$3:$A$15)</f>
        <v>748694823996.53125</v>
      </c>
      <c r="K45" s="33">
        <f t="shared" ref="K45:L45" si="3">_xlfn.FORECAST.LINEAR($A45,K$3:K$15,$A$3:$A$15)</f>
        <v>262140180.26548386</v>
      </c>
      <c r="L45" s="33">
        <f t="shared" si="3"/>
        <v>14979438.872384787</v>
      </c>
      <c r="M45" s="34"/>
      <c r="N45" s="34"/>
      <c r="O45" s="32">
        <v>2019</v>
      </c>
      <c r="P45" s="33">
        <f>_xlfn.FORECAST.LINEAR($A45,P$3:P$15,$A$3:$A$15)</f>
        <v>114198959.08641434</v>
      </c>
      <c r="Q45" s="33">
        <f t="shared" ref="Q45:S45" si="4">_xlfn.FORECAST.LINEAR($A45,Q$3:Q$15,$A$3:$A$15)</f>
        <v>207634471.06621742</v>
      </c>
      <c r="R45" s="33">
        <f t="shared" si="4"/>
        <v>19050032570.912109</v>
      </c>
      <c r="S45" s="33">
        <f t="shared" si="4"/>
        <v>326685585775.94922</v>
      </c>
      <c r="T45" s="34"/>
      <c r="U45" s="34"/>
      <c r="V45" s="32">
        <v>2019</v>
      </c>
      <c r="W45" s="33">
        <f>_xlfn.FORECAST.LINEAR($A45,W$3:W$15,$A$3:$A$15)</f>
        <v>3364652266.186348</v>
      </c>
      <c r="X45" s="33">
        <f t="shared" ref="X45:Y45" si="5">_xlfn.FORECAST.LINEAR($A45,X$3:X$15,$A$3:$A$15)</f>
        <v>447040874.09916687</v>
      </c>
      <c r="Y45" s="33">
        <f t="shared" si="5"/>
        <v>7663928504.279129</v>
      </c>
      <c r="Z45" s="34"/>
      <c r="AA45" s="34"/>
      <c r="AB45" s="32">
        <v>2019</v>
      </c>
      <c r="AC45" s="33">
        <f>_xlfn.FORECAST.LINEAR($A45,AC$3:AC$15,$A$3:$A$15)</f>
        <v>994661546.80859375</v>
      </c>
      <c r="AD45" s="33">
        <f t="shared" ref="AD45:AE45" si="6">_xlfn.FORECAST.LINEAR($A45,AD$3:AD$15,$A$3:$A$15)</f>
        <v>184.07855342709809</v>
      </c>
      <c r="AE45" s="33">
        <f t="shared" si="6"/>
        <v>0.39822293872634873</v>
      </c>
      <c r="AF45" s="34"/>
      <c r="AG45" s="34"/>
      <c r="AH45" s="32">
        <v>2019</v>
      </c>
      <c r="AI45" s="33">
        <f>_xlfn.FORECAST.LINEAR($A45,AI$3:AI$15,$A$3:$A$15)</f>
        <v>24653470.284238338</v>
      </c>
      <c r="AJ45" s="33">
        <f>_xlfn.FORECAST.LINEAR($A45,AJ$3:AJ$15,$A$3:$A$15)</f>
        <v>61609022240.302734</v>
      </c>
    </row>
    <row r="46" spans="1:36" ht="16" x14ac:dyDescent="0.2">
      <c r="A46" s="32">
        <v>2020</v>
      </c>
      <c r="B46" s="33">
        <f t="shared" ref="B46:F47" si="7">_xlfn.FORECAST.LINEAR($A46,B$3:B$15,$A$3:$A$15)</f>
        <v>186051225799.98242</v>
      </c>
      <c r="C46" s="33">
        <f t="shared" si="7"/>
        <v>188759194.24043083</v>
      </c>
      <c r="D46" s="33">
        <f t="shared" si="7"/>
        <v>186339204.5706768</v>
      </c>
      <c r="E46" s="33">
        <f t="shared" si="7"/>
        <v>3062052616.9641113</v>
      </c>
      <c r="F46" s="33">
        <f t="shared" si="7"/>
        <v>52510590159.154297</v>
      </c>
      <c r="G46" s="34"/>
      <c r="H46" s="34"/>
      <c r="I46" s="32">
        <v>2020</v>
      </c>
      <c r="J46" s="33">
        <f t="shared" ref="J46:L47" si="8">_xlfn.FORECAST.LINEAR($A46,J$3:J$15,$A$3:$A$15)</f>
        <v>776258025861.98438</v>
      </c>
      <c r="K46" s="33">
        <f t="shared" si="8"/>
        <v>271790871.67421341</v>
      </c>
      <c r="L46" s="33">
        <f t="shared" si="8"/>
        <v>15530906.952886343</v>
      </c>
      <c r="M46" s="34"/>
      <c r="N46" s="34"/>
      <c r="O46" s="32">
        <v>2020</v>
      </c>
      <c r="P46" s="33">
        <f t="shared" ref="P46:S47" si="9">_xlfn.FORECAST.LINEAR($A46,P$3:P$15,$A$3:$A$15)</f>
        <v>118403194.05804348</v>
      </c>
      <c r="Q46" s="33">
        <f t="shared" si="9"/>
        <v>215278534.65099716</v>
      </c>
      <c r="R46" s="33">
        <f t="shared" si="9"/>
        <v>19751359568.864014</v>
      </c>
      <c r="S46" s="33">
        <f t="shared" si="9"/>
        <v>338712516454.07422</v>
      </c>
      <c r="T46" s="34"/>
      <c r="U46" s="34"/>
      <c r="V46" s="32">
        <v>2020</v>
      </c>
      <c r="W46" s="33">
        <f t="shared" ref="W46:Y47" si="10">_xlfn.FORECAST.LINEAR($A46,W$3:W$15,$A$3:$A$15)</f>
        <v>3391503714.4964371</v>
      </c>
      <c r="X46" s="33">
        <f t="shared" si="10"/>
        <v>450608462.6562376</v>
      </c>
      <c r="Y46" s="33">
        <f t="shared" si="10"/>
        <v>7725090123.3126678</v>
      </c>
      <c r="Z46" s="34"/>
      <c r="AA46" s="34"/>
      <c r="AB46" s="32">
        <v>2020</v>
      </c>
      <c r="AC46" s="33">
        <f t="shared" ref="AC46:AE47" si="11">_xlfn.FORECAST.LINEAR($A46,AC$3:AC$15,$A$3:$A$15)</f>
        <v>1648456974.3291016</v>
      </c>
      <c r="AD46" s="33">
        <f t="shared" si="11"/>
        <v>305.07419955558726</v>
      </c>
      <c r="AE46" s="33">
        <f t="shared" si="11"/>
        <v>0.65997663505504534</v>
      </c>
      <c r="AF46" s="34"/>
      <c r="AG46" s="34"/>
      <c r="AH46" s="32">
        <v>2020</v>
      </c>
      <c r="AI46" s="33">
        <f t="shared" ref="AI46:AJ47" si="12">_xlfn.FORECAST.LINEAR($A46,AI$3:AI$15,$A$3:$A$15)</f>
        <v>26772597.84444809</v>
      </c>
      <c r="AJ46" s="33">
        <f t="shared" si="12"/>
        <v>66904722013.265625</v>
      </c>
    </row>
    <row r="47" spans="1:36" ht="16" x14ac:dyDescent="0.2">
      <c r="A47" s="32">
        <v>2021</v>
      </c>
      <c r="B47" s="33">
        <f t="shared" si="7"/>
        <v>192657492431.9375</v>
      </c>
      <c r="C47" s="33">
        <f t="shared" si="7"/>
        <v>195461614.82929611</v>
      </c>
      <c r="D47" s="33">
        <f t="shared" si="7"/>
        <v>192955696.69045448</v>
      </c>
      <c r="E47" s="33">
        <f t="shared" si="7"/>
        <v>3170779318.1280823</v>
      </c>
      <c r="F47" s="33">
        <f t="shared" si="7"/>
        <v>54375124822.12793</v>
      </c>
      <c r="G47" s="34"/>
      <c r="H47" s="34"/>
      <c r="I47" s="32">
        <v>2021</v>
      </c>
      <c r="J47" s="33">
        <f t="shared" si="8"/>
        <v>803821227727.4375</v>
      </c>
      <c r="K47" s="33">
        <f t="shared" si="8"/>
        <v>281441563.08294296</v>
      </c>
      <c r="L47" s="33">
        <f t="shared" si="8"/>
        <v>16082375.033387899</v>
      </c>
      <c r="M47" s="34"/>
      <c r="N47" s="34"/>
      <c r="O47" s="32">
        <v>2021</v>
      </c>
      <c r="P47" s="33">
        <f t="shared" si="9"/>
        <v>122607429.02967167</v>
      </c>
      <c r="Q47" s="33">
        <f t="shared" si="9"/>
        <v>222922598.2357769</v>
      </c>
      <c r="R47" s="33">
        <f t="shared" si="9"/>
        <v>20452686566.815674</v>
      </c>
      <c r="S47" s="33">
        <f t="shared" si="9"/>
        <v>350739447132.19922</v>
      </c>
      <c r="T47" s="34"/>
      <c r="U47" s="34"/>
      <c r="V47" s="32">
        <v>2021</v>
      </c>
      <c r="W47" s="33">
        <f t="shared" si="10"/>
        <v>3418355162.8065186</v>
      </c>
      <c r="X47" s="33">
        <f t="shared" si="10"/>
        <v>454176051.21330833</v>
      </c>
      <c r="Y47" s="33">
        <f t="shared" si="10"/>
        <v>7786251742.3462067</v>
      </c>
      <c r="Z47" s="34"/>
      <c r="AA47" s="34"/>
      <c r="AB47" s="32">
        <v>2021</v>
      </c>
      <c r="AC47" s="33">
        <f t="shared" si="11"/>
        <v>2302252401.8498535</v>
      </c>
      <c r="AD47" s="33">
        <f t="shared" si="11"/>
        <v>426.06984568404732</v>
      </c>
      <c r="AE47" s="33">
        <f t="shared" si="11"/>
        <v>0.92173033138362825</v>
      </c>
      <c r="AF47" s="34"/>
      <c r="AG47" s="34"/>
      <c r="AH47" s="32">
        <v>2021</v>
      </c>
      <c r="AI47" s="33">
        <f t="shared" si="12"/>
        <v>28891725.404657841</v>
      </c>
      <c r="AJ47" s="33">
        <f t="shared" si="12"/>
        <v>72200421786.228516</v>
      </c>
    </row>
    <row r="51" spans="1:36" x14ac:dyDescent="0.2">
      <c r="A51" s="12" t="s">
        <v>99</v>
      </c>
    </row>
    <row r="52" spans="1:36" s="12" customFormat="1" ht="16" x14ac:dyDescent="0.2">
      <c r="A52" s="25" t="str" cm="1">
        <f t="array" ref="A52:F91">TRANSPOSE('Conversion - EC - psgr'!A6:AN11)</f>
        <v>Branch</v>
      </c>
      <c r="B52" s="25" t="str">
        <v>Gasoline Car</v>
      </c>
      <c r="C52" s="25" t="str">
        <v>Electric Car</v>
      </c>
      <c r="D52" s="25" t="str">
        <v>CNG Car</v>
      </c>
      <c r="E52" s="25" t="str">
        <v>Diesel Car</v>
      </c>
      <c r="F52" s="25" t="str">
        <v>BioGasoil Car</v>
      </c>
      <c r="G52" s="25"/>
      <c r="H52" s="25"/>
      <c r="I52" s="25" t="str" cm="1">
        <f t="array" ref="I52:L91">TRANSPOSE('Conversion - EC - psgr'!A19:AN22)</f>
        <v>Branch</v>
      </c>
      <c r="J52" s="25" t="str">
        <v>Gasoline Motorcycle</v>
      </c>
      <c r="K52" s="25" t="str">
        <v>Electric Motorcycle</v>
      </c>
      <c r="L52" s="25" t="str">
        <v>CNG Motorcycle</v>
      </c>
      <c r="M52" s="25"/>
      <c r="N52" s="25"/>
      <c r="O52" s="25" t="str" cm="1">
        <f t="array" ref="O52:S91">TRANSPOSE('Conversion - EC - psgr'!A30:AN34)</f>
        <v>Branch</v>
      </c>
      <c r="P52" s="25" t="str">
        <v>Electric Bus</v>
      </c>
      <c r="Q52" s="25" t="str">
        <v>CNG Bus</v>
      </c>
      <c r="R52" s="25" t="str">
        <v>Diesel Bus</v>
      </c>
      <c r="S52" s="25" t="str">
        <v>BioGasoil Bus</v>
      </c>
      <c r="T52" s="25"/>
      <c r="U52" s="25"/>
      <c r="V52" s="25" t="str" cm="1">
        <f t="array" ref="V52:Y91">TRANSPOSE('Conversion - EC - psgr'!A42:AN45)</f>
        <v>Branch</v>
      </c>
      <c r="W52" s="25" t="str">
        <v>Urban Train</v>
      </c>
      <c r="X52" s="25" t="str">
        <v>Diesel Train</v>
      </c>
      <c r="Y52" s="25" t="str">
        <v>BioGasoil Train</v>
      </c>
      <c r="Z52" s="25"/>
      <c r="AA52" s="25"/>
      <c r="AB52" s="25" t="str" cm="1">
        <f t="array" ref="AB52:AE91">TRANSPOSE('Conversion - EC - psgr'!A53:AN56)</f>
        <v>Branch</v>
      </c>
      <c r="AC52" s="25" t="str">
        <v>Gasoline Passenger Ship</v>
      </c>
      <c r="AD52" s="25" t="str">
        <v>MFO Passenger Ship</v>
      </c>
      <c r="AE52" s="25" t="str">
        <v>MDF Passenger Ship</v>
      </c>
      <c r="AF52" s="25"/>
      <c r="AG52" s="25"/>
      <c r="AH52" s="25" t="str" cm="1">
        <f t="array" ref="AH52:AJ91">TRANSPOSE('Conversion - EC - psgr'!A64:AN66)</f>
        <v>Branch</v>
      </c>
      <c r="AI52" s="25" t="str">
        <v>Avgas Plane</v>
      </c>
      <c r="AJ52" s="25" t="str">
        <v>Avtur Plane</v>
      </c>
    </row>
    <row r="53" spans="1:36" ht="16" x14ac:dyDescent="0.2">
      <c r="A53" s="25">
        <v>2022</v>
      </c>
      <c r="B53" s="26">
        <v>376871064722291.94</v>
      </c>
      <c r="C53" s="26">
        <v>52959646557.709053</v>
      </c>
      <c r="D53" s="26">
        <v>167731299860.80939</v>
      </c>
      <c r="E53" s="26">
        <v>5425350038098.3818</v>
      </c>
      <c r="F53" s="26">
        <v>88655317142588.422</v>
      </c>
      <c r="G53" s="26"/>
      <c r="H53" s="26"/>
      <c r="I53" s="25">
        <v>2022</v>
      </c>
      <c r="J53" s="27">
        <v>742222469481063.25</v>
      </c>
      <c r="K53" s="27">
        <v>29797841368.969296</v>
      </c>
      <c r="L53" s="27">
        <v>13932014069.691736</v>
      </c>
      <c r="M53" s="26"/>
      <c r="N53" s="26"/>
      <c r="O53" s="25">
        <v>2022</v>
      </c>
      <c r="P53" s="27">
        <v>21744037713.681335</v>
      </c>
      <c r="Q53" s="27">
        <v>187598209012.32724</v>
      </c>
      <c r="R53" s="27">
        <v>19497488678181.441</v>
      </c>
      <c r="S53" s="27">
        <v>318607284342905.44</v>
      </c>
      <c r="T53" s="26"/>
      <c r="U53" s="26"/>
      <c r="V53" s="25">
        <v>2022</v>
      </c>
      <c r="W53" s="26">
        <v>1069965736806.1885</v>
      </c>
      <c r="X53" s="26">
        <v>478214847709.05573</v>
      </c>
      <c r="Y53" s="26">
        <v>782928001934.20923</v>
      </c>
      <c r="Z53" s="26"/>
      <c r="AA53" s="26"/>
      <c r="AB53" s="25">
        <v>2022</v>
      </c>
      <c r="AC53" s="27">
        <v>5683913762315.793</v>
      </c>
      <c r="AD53" s="27">
        <v>2816068987.8888483</v>
      </c>
      <c r="AE53" s="27">
        <v>129321627.09759894</v>
      </c>
      <c r="AF53" s="26"/>
      <c r="AG53" s="26"/>
      <c r="AH53" s="25">
        <v>2022</v>
      </c>
      <c r="AI53" s="27">
        <v>16152679512.908218</v>
      </c>
      <c r="AJ53" s="27">
        <v>44579218370369.453</v>
      </c>
    </row>
    <row r="54" spans="1:36" ht="16" x14ac:dyDescent="0.2">
      <c r="A54" s="25">
        <v>2023</v>
      </c>
      <c r="B54" s="26">
        <v>387461286815615.31</v>
      </c>
      <c r="C54" s="26">
        <v>54447833026.583588</v>
      </c>
      <c r="D54" s="26">
        <v>172444613998.72748</v>
      </c>
      <c r="E54" s="26">
        <v>5577804464069.8242</v>
      </c>
      <c r="F54" s="26">
        <v>91146565705239.109</v>
      </c>
      <c r="G54" s="26"/>
      <c r="H54" s="26"/>
      <c r="I54" s="25">
        <v>2023</v>
      </c>
      <c r="J54" s="27">
        <v>763079206785243.12</v>
      </c>
      <c r="K54" s="27">
        <v>30635172189.873627</v>
      </c>
      <c r="L54" s="27">
        <v>14323509031.805803</v>
      </c>
      <c r="M54" s="26"/>
      <c r="N54" s="26"/>
      <c r="O54" s="25">
        <v>2023</v>
      </c>
      <c r="P54" s="27">
        <v>22355053549.463711</v>
      </c>
      <c r="Q54" s="27">
        <v>192869790950.34155</v>
      </c>
      <c r="R54" s="27">
        <v>20045375620672.379</v>
      </c>
      <c r="S54" s="27">
        <v>327560271763758.06</v>
      </c>
      <c r="T54" s="26"/>
      <c r="U54" s="26"/>
      <c r="V54" s="25">
        <v>2023</v>
      </c>
      <c r="W54" s="26">
        <v>1073624423109.8405</v>
      </c>
      <c r="X54" s="26">
        <v>479850075878.82745</v>
      </c>
      <c r="Y54" s="26">
        <v>785605179210.90674</v>
      </c>
      <c r="Z54" s="26"/>
      <c r="AA54" s="26"/>
      <c r="AB54" s="25">
        <v>2023</v>
      </c>
      <c r="AC54" s="27">
        <v>5968109450431.4951</v>
      </c>
      <c r="AD54" s="27">
        <v>2956872437.283247</v>
      </c>
      <c r="AE54" s="27">
        <v>135787708.45247686</v>
      </c>
      <c r="AF54" s="26"/>
      <c r="AG54" s="26"/>
      <c r="AH54" s="25">
        <v>2023</v>
      </c>
      <c r="AI54" s="27">
        <v>16960313488.553629</v>
      </c>
      <c r="AJ54" s="27">
        <v>46808179288887.93</v>
      </c>
    </row>
    <row r="55" spans="1:36" ht="16" x14ac:dyDescent="0.2">
      <c r="A55" s="25">
        <v>2024</v>
      </c>
      <c r="B55" s="26">
        <v>398349098229224.12</v>
      </c>
      <c r="C55" s="26">
        <v>55977838108.498306</v>
      </c>
      <c r="D55" s="26">
        <v>177290374079.5383</v>
      </c>
      <c r="E55" s="26">
        <v>5734542918138.0811</v>
      </c>
      <c r="F55" s="26">
        <v>93707819312154.938</v>
      </c>
      <c r="G55" s="26"/>
      <c r="H55" s="26"/>
      <c r="I55" s="25">
        <v>2024</v>
      </c>
      <c r="J55" s="27">
        <v>784522026441901.25</v>
      </c>
      <c r="K55" s="27">
        <v>31496032329.393848</v>
      </c>
      <c r="L55" s="27">
        <v>14726005153.163183</v>
      </c>
      <c r="M55" s="26"/>
      <c r="N55" s="26"/>
      <c r="O55" s="25">
        <v>2024</v>
      </c>
      <c r="P55" s="27">
        <v>22983239165.601196</v>
      </c>
      <c r="Q55" s="27">
        <v>198289506371.48193</v>
      </c>
      <c r="R55" s="27">
        <v>20608658397299.023</v>
      </c>
      <c r="S55" s="27">
        <v>336764841579919.94</v>
      </c>
      <c r="T55" s="26"/>
      <c r="U55" s="26"/>
      <c r="V55" s="25">
        <v>2024</v>
      </c>
      <c r="W55" s="26">
        <v>1077283109413.4924</v>
      </c>
      <c r="X55" s="26">
        <v>481485304048.59912</v>
      </c>
      <c r="Y55" s="26">
        <v>788282356487.604</v>
      </c>
      <c r="Z55" s="26"/>
      <c r="AA55" s="26"/>
      <c r="AB55" s="25">
        <v>2024</v>
      </c>
      <c r="AC55" s="27">
        <v>6266514922952.9785</v>
      </c>
      <c r="AD55" s="27">
        <v>3104716059.1473646</v>
      </c>
      <c r="AE55" s="27">
        <v>142577093.87509862</v>
      </c>
      <c r="AF55" s="26"/>
      <c r="AG55" s="26"/>
      <c r="AH55" s="25">
        <v>2024</v>
      </c>
      <c r="AI55" s="27">
        <v>17808329162.981312</v>
      </c>
      <c r="AJ55" s="27">
        <v>49148588253332.328</v>
      </c>
    </row>
    <row r="56" spans="1:36" ht="16" x14ac:dyDescent="0.2">
      <c r="A56" s="25">
        <v>2025</v>
      </c>
      <c r="B56" s="26">
        <v>409542861337652.75</v>
      </c>
      <c r="C56" s="26">
        <v>57550836922.588562</v>
      </c>
      <c r="D56" s="26">
        <v>182272301885.25677</v>
      </c>
      <c r="E56" s="26">
        <v>5895685783142.9297</v>
      </c>
      <c r="F56" s="26">
        <v>96341045132046.469</v>
      </c>
      <c r="G56" s="26"/>
      <c r="H56" s="26"/>
      <c r="I56" s="25">
        <v>2025</v>
      </c>
      <c r="J56" s="27">
        <v>806567397590907.12</v>
      </c>
      <c r="K56" s="27">
        <v>32381082970.446812</v>
      </c>
      <c r="L56" s="27">
        <v>15139811570.576368</v>
      </c>
      <c r="M56" s="26"/>
      <c r="N56" s="26"/>
      <c r="O56" s="25">
        <v>2025</v>
      </c>
      <c r="P56" s="27">
        <v>23629077039.535721</v>
      </c>
      <c r="Q56" s="27">
        <v>203861517883.68668</v>
      </c>
      <c r="R56" s="27">
        <v>21187769636931.219</v>
      </c>
      <c r="S56" s="27">
        <v>346228063353611.31</v>
      </c>
      <c r="T56" s="26"/>
      <c r="U56" s="26"/>
      <c r="V56" s="25">
        <v>2025</v>
      </c>
      <c r="W56" s="26">
        <v>1080941795717.1443</v>
      </c>
      <c r="X56" s="26">
        <v>483120532218.37103</v>
      </c>
      <c r="Y56" s="26">
        <v>790959533764.30151</v>
      </c>
      <c r="Z56" s="26"/>
      <c r="AA56" s="26"/>
      <c r="AB56" s="25">
        <v>2025</v>
      </c>
      <c r="AC56" s="27">
        <v>6579840669100.5322</v>
      </c>
      <c r="AD56" s="27">
        <v>3259951862.1046863</v>
      </c>
      <c r="AE56" s="27">
        <v>149705948.56885138</v>
      </c>
      <c r="AF56" s="26"/>
      <c r="AG56" s="26"/>
      <c r="AH56" s="25">
        <v>2025</v>
      </c>
      <c r="AI56" s="27">
        <v>18698745621.130383</v>
      </c>
      <c r="AJ56" s="27">
        <v>51606017665998.953</v>
      </c>
    </row>
    <row r="57" spans="1:36" ht="16" x14ac:dyDescent="0.2">
      <c r="A57" s="25">
        <v>2026</v>
      </c>
      <c r="B57" s="26">
        <v>421051173501381.38</v>
      </c>
      <c r="C57" s="26">
        <v>59168037609.290169</v>
      </c>
      <c r="D57" s="26">
        <v>187394223781.40598</v>
      </c>
      <c r="E57" s="26">
        <v>6061356824728.3096</v>
      </c>
      <c r="F57" s="26">
        <v>99048265611822.703</v>
      </c>
      <c r="G57" s="26"/>
      <c r="H57" s="26"/>
      <c r="I57" s="25">
        <v>2026</v>
      </c>
      <c r="J57" s="27">
        <v>829232252161304.5</v>
      </c>
      <c r="K57" s="27">
        <v>33291003875.444012</v>
      </c>
      <c r="L57" s="27">
        <v>15565246107.721369</v>
      </c>
      <c r="M57" s="26"/>
      <c r="N57" s="26"/>
      <c r="O57" s="25">
        <v>2026</v>
      </c>
      <c r="P57" s="27">
        <v>24293063206.511234</v>
      </c>
      <c r="Q57" s="27">
        <v>209590105065.78079</v>
      </c>
      <c r="R57" s="27">
        <v>21783154125476.715</v>
      </c>
      <c r="S57" s="27">
        <v>355957205304474.25</v>
      </c>
      <c r="T57" s="26"/>
      <c r="U57" s="26"/>
      <c r="V57" s="25">
        <v>2026</v>
      </c>
      <c r="W57" s="26">
        <v>1090728730494.5319</v>
      </c>
      <c r="X57" s="26">
        <v>487494744740.42548</v>
      </c>
      <c r="Y57" s="26">
        <v>798120945599.03247</v>
      </c>
      <c r="Z57" s="26"/>
      <c r="AA57" s="26"/>
      <c r="AB57" s="25">
        <v>2026</v>
      </c>
      <c r="AC57" s="27">
        <v>6908832702555.2949</v>
      </c>
      <c r="AD57" s="27">
        <v>3422949455.2097888</v>
      </c>
      <c r="AE57" s="27">
        <v>157191245.9972879</v>
      </c>
      <c r="AF57" s="26"/>
      <c r="AG57" s="26"/>
      <c r="AH57" s="25">
        <v>2026</v>
      </c>
      <c r="AI57" s="27">
        <v>19633682902.186897</v>
      </c>
      <c r="AJ57" s="27">
        <v>54186318549298.898</v>
      </c>
    </row>
    <row r="58" spans="1:36" ht="16" x14ac:dyDescent="0.2">
      <c r="A58" s="25">
        <v>2027</v>
      </c>
      <c r="B58" s="26">
        <v>432882873670031.69</v>
      </c>
      <c r="C58" s="26">
        <v>60830682258.250488</v>
      </c>
      <c r="D58" s="26">
        <v>192660073655.85422</v>
      </c>
      <c r="E58" s="26">
        <v>6231683286400.4365</v>
      </c>
      <c r="F58" s="26">
        <v>101831560029929.97</v>
      </c>
      <c r="G58" s="26"/>
      <c r="H58" s="26"/>
      <c r="I58" s="25">
        <v>2027</v>
      </c>
      <c r="J58" s="27">
        <v>852533997875866.5</v>
      </c>
      <c r="K58" s="27">
        <v>34226493908.382568</v>
      </c>
      <c r="L58" s="27">
        <v>16002635519.241926</v>
      </c>
      <c r="M58" s="26"/>
      <c r="N58" s="26"/>
      <c r="O58" s="25">
        <v>2027</v>
      </c>
      <c r="P58" s="27">
        <v>24975707640.553082</v>
      </c>
      <c r="Q58" s="27">
        <v>215479667754.40274</v>
      </c>
      <c r="R58" s="27">
        <v>22395269147498.59</v>
      </c>
      <c r="S58" s="27">
        <v>365959739891922.38</v>
      </c>
      <c r="T58" s="26"/>
      <c r="U58" s="26"/>
      <c r="V58" s="25">
        <v>2027</v>
      </c>
      <c r="W58" s="26">
        <v>1100515665271.9189</v>
      </c>
      <c r="X58" s="26">
        <v>491868957262.4798</v>
      </c>
      <c r="Y58" s="26">
        <v>805282357433.76282</v>
      </c>
      <c r="Z58" s="26"/>
      <c r="AA58" s="26"/>
      <c r="AB58" s="25">
        <v>2027</v>
      </c>
      <c r="AC58" s="27">
        <v>7254274337682.7861</v>
      </c>
      <c r="AD58" s="27">
        <v>3594096927.9701424</v>
      </c>
      <c r="AE58" s="27">
        <v>165050808.29714608</v>
      </c>
      <c r="AF58" s="26"/>
      <c r="AG58" s="26"/>
      <c r="AH58" s="25">
        <v>2027</v>
      </c>
      <c r="AI58" s="27">
        <v>20615367047.296242</v>
      </c>
      <c r="AJ58" s="27">
        <v>56895634476763.836</v>
      </c>
    </row>
    <row r="59" spans="1:36" ht="16" x14ac:dyDescent="0.2">
      <c r="A59" s="25">
        <v>2028</v>
      </c>
      <c r="B59" s="26">
        <v>445047049171113.94</v>
      </c>
      <c r="C59" s="26">
        <v>62540047862.314484</v>
      </c>
      <c r="D59" s="26">
        <v>198073895940.23416</v>
      </c>
      <c r="E59" s="26">
        <v>6406795987257.0605</v>
      </c>
      <c r="F59" s="26">
        <v>104693066093339.83</v>
      </c>
      <c r="G59" s="26"/>
      <c r="H59" s="26"/>
      <c r="I59" s="25">
        <v>2028</v>
      </c>
      <c r="J59" s="27">
        <v>876490531621080.62</v>
      </c>
      <c r="K59" s="27">
        <v>35188271571.607124</v>
      </c>
      <c r="L59" s="27">
        <v>16452315741.713127</v>
      </c>
      <c r="M59" s="26"/>
      <c r="N59" s="26"/>
      <c r="O59" s="25">
        <v>2028</v>
      </c>
      <c r="P59" s="27">
        <v>25677534646.153198</v>
      </c>
      <c r="Q59" s="27">
        <v>221534729423.29526</v>
      </c>
      <c r="R59" s="27">
        <v>23024584837432.309</v>
      </c>
      <c r="S59" s="27">
        <v>376243349554357.38</v>
      </c>
      <c r="T59" s="26"/>
      <c r="U59" s="26"/>
      <c r="V59" s="25">
        <v>2028</v>
      </c>
      <c r="W59" s="26">
        <v>1110302600049.3064</v>
      </c>
      <c r="X59" s="26">
        <v>496243169784.53412</v>
      </c>
      <c r="Y59" s="26">
        <v>812443769268.49377</v>
      </c>
      <c r="Z59" s="26"/>
      <c r="AA59" s="26"/>
      <c r="AB59" s="25">
        <v>2028</v>
      </c>
      <c r="AC59" s="27">
        <v>7616988054566.6436</v>
      </c>
      <c r="AD59" s="27">
        <v>3773801774.3685112</v>
      </c>
      <c r="AE59" s="27">
        <v>173303348.71199703</v>
      </c>
      <c r="AF59" s="26"/>
      <c r="AG59" s="26"/>
      <c r="AH59" s="25">
        <v>2028</v>
      </c>
      <c r="AI59" s="27">
        <v>21646135399.661057</v>
      </c>
      <c r="AJ59" s="27">
        <v>59740416200602.039</v>
      </c>
    </row>
    <row r="60" spans="1:36" ht="16" x14ac:dyDescent="0.2">
      <c r="A60" s="25">
        <v>2029</v>
      </c>
      <c r="B60" s="26">
        <v>457553042689542.75</v>
      </c>
      <c r="C60" s="26">
        <v>64297447298.317978</v>
      </c>
      <c r="D60" s="26">
        <v>203639848716.26553</v>
      </c>
      <c r="E60" s="26">
        <v>6586829422462.9785</v>
      </c>
      <c r="F60" s="26">
        <v>107634981579413.17</v>
      </c>
      <c r="G60" s="26"/>
      <c r="H60" s="26"/>
      <c r="I60" s="25">
        <v>2029</v>
      </c>
      <c r="J60" s="27">
        <v>901120253192839.88</v>
      </c>
      <c r="K60" s="27">
        <v>36177075557.654976</v>
      </c>
      <c r="L60" s="27">
        <v>16914632151.657234</v>
      </c>
      <c r="M60" s="26"/>
      <c r="N60" s="26"/>
      <c r="O60" s="25">
        <v>2029</v>
      </c>
      <c r="P60" s="27">
        <v>26399083260.961685</v>
      </c>
      <c r="Q60" s="27">
        <v>227759940657.556</v>
      </c>
      <c r="R60" s="27">
        <v>23671584540672.078</v>
      </c>
      <c r="S60" s="27">
        <v>386815932609659.5</v>
      </c>
      <c r="T60" s="26"/>
      <c r="U60" s="26"/>
      <c r="V60" s="25">
        <v>2029</v>
      </c>
      <c r="W60" s="26">
        <v>1120089534826.6936</v>
      </c>
      <c r="X60" s="26">
        <v>500617382306.58844</v>
      </c>
      <c r="Y60" s="26">
        <v>819605181103.22449</v>
      </c>
      <c r="Z60" s="26"/>
      <c r="AA60" s="26"/>
      <c r="AB60" s="25">
        <v>2029</v>
      </c>
      <c r="AC60" s="27">
        <v>7997837457294.6846</v>
      </c>
      <c r="AD60" s="27">
        <v>3962491863.086792</v>
      </c>
      <c r="AE60" s="27">
        <v>181968516.14759022</v>
      </c>
      <c r="AF60" s="26"/>
      <c r="AG60" s="26"/>
      <c r="AH60" s="25">
        <v>2029</v>
      </c>
      <c r="AI60" s="27">
        <v>22728442169.644112</v>
      </c>
      <c r="AJ60" s="27">
        <v>62727437010632.141</v>
      </c>
    </row>
    <row r="61" spans="1:36" ht="16" x14ac:dyDescent="0.2">
      <c r="A61" s="25">
        <v>2030</v>
      </c>
      <c r="B61" s="26">
        <v>470410459443277.31</v>
      </c>
      <c r="C61" s="26">
        <v>66104230335.441589</v>
      </c>
      <c r="D61" s="26">
        <v>209362206909.36578</v>
      </c>
      <c r="E61" s="26">
        <v>6771921866548.9219</v>
      </c>
      <c r="F61" s="26">
        <v>110659566023901.42</v>
      </c>
      <c r="G61" s="26"/>
      <c r="H61" s="26"/>
      <c r="I61" s="25">
        <v>2030</v>
      </c>
      <c r="J61" s="27">
        <v>926442079428388.38</v>
      </c>
      <c r="K61" s="27">
        <v>37193665316.608276</v>
      </c>
      <c r="L61" s="27">
        <v>17389939830.809834</v>
      </c>
      <c r="M61" s="26"/>
      <c r="N61" s="26"/>
      <c r="O61" s="25">
        <v>2030</v>
      </c>
      <c r="P61" s="27">
        <v>27140907669.794273</v>
      </c>
      <c r="Q61" s="27">
        <v>234160082725.51514</v>
      </c>
      <c r="R61" s="27">
        <v>24336765184803.844</v>
      </c>
      <c r="S61" s="27">
        <v>397685609321483.88</v>
      </c>
      <c r="T61" s="26"/>
      <c r="U61" s="26"/>
      <c r="V61" s="25">
        <v>2030</v>
      </c>
      <c r="W61" s="26">
        <v>1129876469604.0806</v>
      </c>
      <c r="X61" s="26">
        <v>504991594828.64276</v>
      </c>
      <c r="Y61" s="26">
        <v>826766592937.9552</v>
      </c>
      <c r="Z61" s="26"/>
      <c r="AA61" s="26"/>
      <c r="AB61" s="25">
        <v>2030</v>
      </c>
      <c r="AC61" s="27">
        <v>8397729330159.1172</v>
      </c>
      <c r="AD61" s="27">
        <v>4160616456.2409811</v>
      </c>
      <c r="AE61" s="27">
        <v>191066941.95496288</v>
      </c>
      <c r="AF61" s="26"/>
      <c r="AG61" s="26"/>
      <c r="AH61" s="25">
        <v>2030</v>
      </c>
      <c r="AI61" s="27">
        <v>23864864278.126316</v>
      </c>
      <c r="AJ61" s="27">
        <v>65863808861163.758</v>
      </c>
    </row>
    <row r="62" spans="1:36" ht="16" x14ac:dyDescent="0.2">
      <c r="A62" s="25">
        <v>2031</v>
      </c>
      <c r="B62" s="26">
        <v>483629174560601.56</v>
      </c>
      <c r="C62" s="26">
        <v>67961784671.899849</v>
      </c>
      <c r="D62" s="26">
        <v>215245365572.00369</v>
      </c>
      <c r="E62" s="26">
        <v>6962215479613.2002</v>
      </c>
      <c r="F62" s="26">
        <v>113769142456380.95</v>
      </c>
      <c r="G62" s="26"/>
      <c r="H62" s="26"/>
      <c r="I62" s="25">
        <v>2031</v>
      </c>
      <c r="J62" s="27">
        <v>952475458735384.75</v>
      </c>
      <c r="K62" s="27">
        <v>38238821639.389046</v>
      </c>
      <c r="L62" s="27">
        <v>17878603838.840042</v>
      </c>
      <c r="M62" s="26"/>
      <c r="N62" s="26"/>
      <c r="O62" s="25">
        <v>2031</v>
      </c>
      <c r="P62" s="27">
        <v>27903577630.273483</v>
      </c>
      <c r="Q62" s="27">
        <v>240740071250.9848</v>
      </c>
      <c r="R62" s="27">
        <v>25020637661270.168</v>
      </c>
      <c r="S62" s="27">
        <v>408860728136022.25</v>
      </c>
      <c r="T62" s="26"/>
      <c r="U62" s="26"/>
      <c r="V62" s="25">
        <v>2031</v>
      </c>
      <c r="W62" s="26">
        <v>1138096738398.7144</v>
      </c>
      <c r="X62" s="26">
        <v>508665595270.45801</v>
      </c>
      <c r="Y62" s="26">
        <v>832781625383.71887</v>
      </c>
      <c r="Z62" s="26"/>
      <c r="AA62" s="26"/>
      <c r="AB62" s="25">
        <v>2031</v>
      </c>
      <c r="AC62" s="27">
        <v>8817615796666.8145</v>
      </c>
      <c r="AD62" s="27">
        <v>4368647279.0529022</v>
      </c>
      <c r="AE62" s="27">
        <v>200620289.05270511</v>
      </c>
      <c r="AF62" s="26"/>
      <c r="AG62" s="26"/>
      <c r="AH62" s="25">
        <v>2031</v>
      </c>
      <c r="AI62" s="27">
        <v>25058107492.032635</v>
      </c>
      <c r="AJ62" s="27">
        <v>69156999304221.922</v>
      </c>
    </row>
    <row r="63" spans="1:36" ht="16" x14ac:dyDescent="0.2">
      <c r="A63" s="25">
        <v>2032</v>
      </c>
      <c r="B63" s="26">
        <v>497219340664708.25</v>
      </c>
      <c r="C63" s="26">
        <v>69871537000.761719</v>
      </c>
      <c r="D63" s="26">
        <v>221293843259.31525</v>
      </c>
      <c r="E63" s="26">
        <v>7157856416507.6523</v>
      </c>
      <c r="F63" s="26">
        <v>116966099184454.14</v>
      </c>
      <c r="G63" s="26"/>
      <c r="H63" s="26"/>
      <c r="I63" s="25">
        <v>2032</v>
      </c>
      <c r="J63" s="27">
        <v>979240386029234.75</v>
      </c>
      <c r="K63" s="27">
        <v>39313347257.444969</v>
      </c>
      <c r="L63" s="27">
        <v>18380999493.734329</v>
      </c>
      <c r="M63" s="26"/>
      <c r="N63" s="26"/>
      <c r="O63" s="25">
        <v>2032</v>
      </c>
      <c r="P63" s="27">
        <v>28687678910.430515</v>
      </c>
      <c r="Q63" s="27">
        <v>247504959988.69968</v>
      </c>
      <c r="R63" s="27">
        <v>25723727217759.949</v>
      </c>
      <c r="S63" s="27">
        <v>420349872094020.38</v>
      </c>
      <c r="T63" s="26"/>
      <c r="U63" s="26"/>
      <c r="V63" s="25">
        <v>2032</v>
      </c>
      <c r="W63" s="26">
        <v>1146317007193.3477</v>
      </c>
      <c r="X63" s="26">
        <v>512339595712.27325</v>
      </c>
      <c r="Y63" s="26">
        <v>838796657829.48242</v>
      </c>
      <c r="Z63" s="26"/>
      <c r="AA63" s="26"/>
      <c r="AB63" s="25">
        <v>2032</v>
      </c>
      <c r="AC63" s="27">
        <v>9258496586499.8887</v>
      </c>
      <c r="AD63" s="27">
        <v>4587079643.0054159</v>
      </c>
      <c r="AE63" s="27">
        <v>210651303.50533432</v>
      </c>
      <c r="AF63" s="26"/>
      <c r="AG63" s="26"/>
      <c r="AH63" s="25">
        <v>2032</v>
      </c>
      <c r="AI63" s="27">
        <v>26311012866.634274</v>
      </c>
      <c r="AJ63" s="27">
        <v>72614849269433.031</v>
      </c>
    </row>
    <row r="64" spans="1:36" ht="16" x14ac:dyDescent="0.2">
      <c r="A64" s="25">
        <v>2033</v>
      </c>
      <c r="B64" s="26">
        <v>511191395671412.75</v>
      </c>
      <c r="C64" s="26">
        <v>71834954105.720932</v>
      </c>
      <c r="D64" s="26">
        <v>227512285499.57635</v>
      </c>
      <c r="E64" s="26">
        <v>7358994939091.7471</v>
      </c>
      <c r="F64" s="26">
        <v>120252891628086.94</v>
      </c>
      <c r="G64" s="26"/>
      <c r="H64" s="26"/>
      <c r="I64" s="25">
        <v>2033</v>
      </c>
      <c r="J64" s="27">
        <v>1006757418090168</v>
      </c>
      <c r="K64" s="27">
        <v>40418067459.286629</v>
      </c>
      <c r="L64" s="27">
        <v>18897512660.059139</v>
      </c>
      <c r="M64" s="26"/>
      <c r="N64" s="26"/>
      <c r="O64" s="25">
        <v>2033</v>
      </c>
      <c r="P64" s="27">
        <v>29493813738.603855</v>
      </c>
      <c r="Q64" s="27">
        <v>254459944705.8493</v>
      </c>
      <c r="R64" s="27">
        <v>26446573861624.441</v>
      </c>
      <c r="S64" s="27">
        <v>432161865422975.12</v>
      </c>
      <c r="T64" s="26"/>
      <c r="U64" s="26"/>
      <c r="V64" s="25">
        <v>2033</v>
      </c>
      <c r="W64" s="26">
        <v>1154537275987.9814</v>
      </c>
      <c r="X64" s="26">
        <v>516013596154.0885</v>
      </c>
      <c r="Y64" s="26">
        <v>844811690275.24585</v>
      </c>
      <c r="Z64" s="26"/>
      <c r="AA64" s="26"/>
      <c r="AB64" s="25">
        <v>2033</v>
      </c>
      <c r="AC64" s="27">
        <v>9721421415824.6035</v>
      </c>
      <c r="AD64" s="27">
        <v>4816433625.155549</v>
      </c>
      <c r="AE64" s="27">
        <v>221183868.68059465</v>
      </c>
      <c r="AF64" s="26"/>
      <c r="AG64" s="26"/>
      <c r="AH64" s="25">
        <v>2033</v>
      </c>
      <c r="AI64" s="27">
        <v>27626563509.965981</v>
      </c>
      <c r="AJ64" s="27">
        <v>76245591732904.688</v>
      </c>
    </row>
    <row r="65" spans="1:36" ht="16" x14ac:dyDescent="0.2">
      <c r="A65" s="25">
        <v>2034</v>
      </c>
      <c r="B65" s="26">
        <v>525556070805985.44</v>
      </c>
      <c r="C65" s="26">
        <v>73853543987.658035</v>
      </c>
      <c r="D65" s="26">
        <v>233905468362.19696</v>
      </c>
      <c r="E65" s="26">
        <v>7565785531641.0918</v>
      </c>
      <c r="F65" s="26">
        <v>123632044205492.19</v>
      </c>
      <c r="G65" s="26"/>
      <c r="H65" s="26"/>
      <c r="I65" s="25">
        <v>2034</v>
      </c>
      <c r="J65" s="27">
        <v>1035047689351858.6</v>
      </c>
      <c r="K65" s="27">
        <v>41553830724.349678</v>
      </c>
      <c r="L65" s="27">
        <v>19428540045.323875</v>
      </c>
      <c r="M65" s="26"/>
      <c r="N65" s="26"/>
      <c r="O65" s="25">
        <v>2034</v>
      </c>
      <c r="P65" s="27">
        <v>30322601265.980339</v>
      </c>
      <c r="Q65" s="27">
        <v>261610367172.68292</v>
      </c>
      <c r="R65" s="27">
        <v>27189732774629.523</v>
      </c>
      <c r="S65" s="27">
        <v>444305780314575.38</v>
      </c>
      <c r="T65" s="26"/>
      <c r="U65" s="26"/>
      <c r="V65" s="25">
        <v>2034</v>
      </c>
      <c r="W65" s="26">
        <v>1162757544782.615</v>
      </c>
      <c r="X65" s="26">
        <v>519687596595.90393</v>
      </c>
      <c r="Y65" s="26">
        <v>850826722721.00964</v>
      </c>
      <c r="Z65" s="26"/>
      <c r="AA65" s="26"/>
      <c r="AB65" s="25">
        <v>2034</v>
      </c>
      <c r="AC65" s="27">
        <v>10207492486615.545</v>
      </c>
      <c r="AD65" s="27">
        <v>5057255306.4131823</v>
      </c>
      <c r="AE65" s="27">
        <v>232243062.11461782</v>
      </c>
      <c r="AF65" s="26"/>
      <c r="AG65" s="26"/>
      <c r="AH65" s="25">
        <v>2034</v>
      </c>
      <c r="AI65" s="27">
        <v>29007891685.464283</v>
      </c>
      <c r="AJ65" s="27">
        <v>80057871319549.938</v>
      </c>
    </row>
    <row r="66" spans="1:36" ht="16" x14ac:dyDescent="0.2">
      <c r="A66" s="25">
        <v>2035</v>
      </c>
      <c r="B66" s="26">
        <v>540324398845260.88</v>
      </c>
      <c r="C66" s="26">
        <v>75928857022.859253</v>
      </c>
      <c r="D66" s="26">
        <v>240478302125.97729</v>
      </c>
      <c r="E66" s="26">
        <v>7778387019498.9453</v>
      </c>
      <c r="F66" s="26">
        <v>127106152272007.02</v>
      </c>
      <c r="G66" s="26"/>
      <c r="H66" s="26"/>
      <c r="I66" s="25">
        <v>2035</v>
      </c>
      <c r="J66" s="27">
        <v>1064132928133707.5</v>
      </c>
      <c r="K66" s="27">
        <v>42721509374.668724</v>
      </c>
      <c r="L66" s="27">
        <v>19974489504.671795</v>
      </c>
      <c r="M66" s="26"/>
      <c r="N66" s="26"/>
      <c r="O66" s="25">
        <v>2035</v>
      </c>
      <c r="P66" s="27">
        <v>31174678042.133614</v>
      </c>
      <c r="Q66" s="27">
        <v>268961719265.25107</v>
      </c>
      <c r="R66" s="27">
        <v>27953774739362.539</v>
      </c>
      <c r="S66" s="27">
        <v>456790943892591.06</v>
      </c>
      <c r="T66" s="26"/>
      <c r="U66" s="26"/>
      <c r="V66" s="25">
        <v>2035</v>
      </c>
      <c r="W66" s="26">
        <v>1170977813577.2485</v>
      </c>
      <c r="X66" s="26">
        <v>523361597037.7193</v>
      </c>
      <c r="Y66" s="26">
        <v>856841755166.77332</v>
      </c>
      <c r="Z66" s="26"/>
      <c r="AA66" s="26"/>
      <c r="AB66" s="25">
        <v>2035</v>
      </c>
      <c r="AC66" s="27">
        <v>10717867110946.021</v>
      </c>
      <c r="AD66" s="27">
        <v>5310118071.7336931</v>
      </c>
      <c r="AE66" s="27">
        <v>243855215.22034192</v>
      </c>
      <c r="AF66" s="26"/>
      <c r="AG66" s="26"/>
      <c r="AH66" s="25">
        <v>2035</v>
      </c>
      <c r="AI66" s="27">
        <v>30458286269.737499</v>
      </c>
      <c r="AJ66" s="27">
        <v>84060764885527.438</v>
      </c>
    </row>
    <row r="67" spans="1:36" ht="16" x14ac:dyDescent="0.2">
      <c r="A67" s="25">
        <v>2036</v>
      </c>
      <c r="B67" s="26">
        <v>555507722591352.5</v>
      </c>
      <c r="C67" s="26">
        <v>78062487153.781647</v>
      </c>
      <c r="D67" s="26">
        <v>247235835050.44327</v>
      </c>
      <c r="E67" s="26">
        <v>7996962691061.8936</v>
      </c>
      <c r="F67" s="26">
        <v>130677884113453.25</v>
      </c>
      <c r="G67" s="26"/>
      <c r="H67" s="26"/>
      <c r="I67" s="25">
        <v>2036</v>
      </c>
      <c r="J67" s="27">
        <v>1094035473329260.9</v>
      </c>
      <c r="K67" s="27">
        <v>43922000244.86364</v>
      </c>
      <c r="L67" s="27">
        <v>20535780354.132759</v>
      </c>
      <c r="M67" s="26"/>
      <c r="N67" s="26"/>
      <c r="O67" s="25">
        <v>2036</v>
      </c>
      <c r="P67" s="27">
        <v>32050698503.925575</v>
      </c>
      <c r="Q67" s="27">
        <v>276519647183.43713</v>
      </c>
      <c r="R67" s="27">
        <v>28739286577621.41</v>
      </c>
      <c r="S67" s="27">
        <v>469626945376562.94</v>
      </c>
      <c r="T67" s="26"/>
      <c r="U67" s="26"/>
      <c r="V67" s="25">
        <v>2036</v>
      </c>
      <c r="W67" s="26">
        <v>1177613305181.9099</v>
      </c>
      <c r="X67" s="26">
        <v>526327290702.51813</v>
      </c>
      <c r="Y67" s="26">
        <v>861697155676.50928</v>
      </c>
      <c r="Z67" s="26"/>
      <c r="AA67" s="26"/>
      <c r="AB67" s="25">
        <v>2036</v>
      </c>
      <c r="AC67" s="27">
        <v>11253760466493.076</v>
      </c>
      <c r="AD67" s="27">
        <v>5575623975.3202534</v>
      </c>
      <c r="AE67" s="27">
        <v>256047975.98135331</v>
      </c>
      <c r="AF67" s="26"/>
      <c r="AG67" s="26"/>
      <c r="AH67" s="25">
        <v>2036</v>
      </c>
      <c r="AI67" s="27">
        <v>31981200583.224377</v>
      </c>
      <c r="AJ67" s="27">
        <v>88263803129803.797</v>
      </c>
    </row>
    <row r="68" spans="1:36" ht="16" x14ac:dyDescent="0.2">
      <c r="A68" s="25">
        <v>2037</v>
      </c>
      <c r="B68" s="26">
        <v>571117703583482.5</v>
      </c>
      <c r="C68" s="26">
        <v>80256073113.279312</v>
      </c>
      <c r="D68" s="26">
        <v>254183257253.1582</v>
      </c>
      <c r="E68" s="26">
        <v>8221680423193.3672</v>
      </c>
      <c r="F68" s="26">
        <v>134349982995512.11</v>
      </c>
      <c r="G68" s="26"/>
      <c r="H68" s="26"/>
      <c r="I68" s="25">
        <v>2037</v>
      </c>
      <c r="J68" s="27">
        <v>1124778291563578.2</v>
      </c>
      <c r="K68" s="27">
        <v>45156225370.952499</v>
      </c>
      <c r="L68" s="27">
        <v>21112843692.678612</v>
      </c>
      <c r="M68" s="26"/>
      <c r="N68" s="26"/>
      <c r="O68" s="25">
        <v>2037</v>
      </c>
      <c r="P68" s="27">
        <v>32951335478.146019</v>
      </c>
      <c r="Q68" s="27">
        <v>284289955787.51617</v>
      </c>
      <c r="R68" s="27">
        <v>29546871601122.629</v>
      </c>
      <c r="S68" s="27">
        <v>482823643446794.88</v>
      </c>
      <c r="T68" s="26"/>
      <c r="U68" s="26"/>
      <c r="V68" s="25">
        <v>2037</v>
      </c>
      <c r="W68" s="26">
        <v>1184248796786.5718</v>
      </c>
      <c r="X68" s="26">
        <v>529292984367.31696</v>
      </c>
      <c r="Y68" s="26">
        <v>866552556186.24536</v>
      </c>
      <c r="Z68" s="26"/>
      <c r="AA68" s="26"/>
      <c r="AB68" s="25">
        <v>2037</v>
      </c>
      <c r="AC68" s="27">
        <v>11816448489817.465</v>
      </c>
      <c r="AD68" s="27">
        <v>5854405174.0861368</v>
      </c>
      <c r="AE68" s="27">
        <v>268850374.780415</v>
      </c>
      <c r="AF68" s="26"/>
      <c r="AG68" s="26"/>
      <c r="AH68" s="25">
        <v>2037</v>
      </c>
      <c r="AI68" s="27">
        <v>33580260612.38559</v>
      </c>
      <c r="AJ68" s="27">
        <v>92676993286294</v>
      </c>
    </row>
    <row r="69" spans="1:36" ht="16" x14ac:dyDescent="0.2">
      <c r="A69" s="25">
        <v>2038</v>
      </c>
      <c r="B69" s="26">
        <v>587166331054617.25</v>
      </c>
      <c r="C69" s="26">
        <v>82511299683.230865</v>
      </c>
      <c r="D69" s="26">
        <v>261325904695.98834</v>
      </c>
      <c r="E69" s="26">
        <v>8452712810161.3262</v>
      </c>
      <c r="F69" s="26">
        <v>138125269270687.2</v>
      </c>
      <c r="G69" s="26"/>
      <c r="H69" s="26"/>
      <c r="I69" s="25">
        <v>2038</v>
      </c>
      <c r="J69" s="27">
        <v>1156384994832731.5</v>
      </c>
      <c r="K69" s="27">
        <v>46425132698.520721</v>
      </c>
      <c r="L69" s="27">
        <v>21706122733.328358</v>
      </c>
      <c r="M69" s="26"/>
      <c r="N69" s="26"/>
      <c r="O69" s="25">
        <v>2038</v>
      </c>
      <c r="P69" s="27">
        <v>33877280698.276722</v>
      </c>
      <c r="Q69" s="27">
        <v>292278613056.573</v>
      </c>
      <c r="R69" s="27">
        <v>30377150074874.324</v>
      </c>
      <c r="S69" s="27">
        <v>496391173816304.62</v>
      </c>
      <c r="T69" s="26"/>
      <c r="U69" s="26"/>
      <c r="V69" s="25">
        <v>2038</v>
      </c>
      <c r="W69" s="26">
        <v>1190884288391.2329</v>
      </c>
      <c r="X69" s="26">
        <v>532258678032.11578</v>
      </c>
      <c r="Y69" s="26">
        <v>871407956695.9812</v>
      </c>
      <c r="Z69" s="26"/>
      <c r="AA69" s="26"/>
      <c r="AB69" s="25">
        <v>2038</v>
      </c>
      <c r="AC69" s="27">
        <v>12407270914308.07</v>
      </c>
      <c r="AD69" s="27">
        <v>6147125432.7903109</v>
      </c>
      <c r="AE69" s="27">
        <v>282292893.51942968</v>
      </c>
      <c r="AF69" s="26"/>
      <c r="AG69" s="26"/>
      <c r="AH69" s="25">
        <v>2038</v>
      </c>
      <c r="AI69" s="27">
        <v>35259273643.004868</v>
      </c>
      <c r="AJ69" s="27">
        <v>97310842950608.703</v>
      </c>
    </row>
    <row r="70" spans="1:36" ht="16" x14ac:dyDescent="0.2">
      <c r="A70" s="25">
        <v>2039</v>
      </c>
      <c r="B70" s="26">
        <v>603665931139788</v>
      </c>
      <c r="C70" s="26">
        <v>84829898988.534592</v>
      </c>
      <c r="D70" s="26">
        <v>268669263283.38351</v>
      </c>
      <c r="E70" s="26">
        <v>8690237296199.1494</v>
      </c>
      <c r="F70" s="26">
        <v>142006642544474.09</v>
      </c>
      <c r="G70" s="26"/>
      <c r="H70" s="26"/>
      <c r="I70" s="25">
        <v>2039</v>
      </c>
      <c r="J70" s="27">
        <v>1188879858638976.2</v>
      </c>
      <c r="K70" s="27">
        <v>47729696810.789825</v>
      </c>
      <c r="L70" s="27">
        <v>22316073143.557579</v>
      </c>
      <c r="M70" s="26"/>
      <c r="N70" s="26"/>
      <c r="O70" s="25">
        <v>2039</v>
      </c>
      <c r="P70" s="27">
        <v>34829245335.776772</v>
      </c>
      <c r="Q70" s="27">
        <v>300491754672.20361</v>
      </c>
      <c r="R70" s="27">
        <v>31230759693570.289</v>
      </c>
      <c r="S70" s="27">
        <v>510339957015550.56</v>
      </c>
      <c r="T70" s="26"/>
      <c r="U70" s="26"/>
      <c r="V70" s="25">
        <v>2039</v>
      </c>
      <c r="W70" s="26">
        <v>1197519779995.8948</v>
      </c>
      <c r="X70" s="26">
        <v>535224371696.91455</v>
      </c>
      <c r="Y70" s="26">
        <v>876263357205.71753</v>
      </c>
      <c r="Z70" s="26"/>
      <c r="AA70" s="26"/>
      <c r="AB70" s="25">
        <v>2039</v>
      </c>
      <c r="AC70" s="27">
        <v>13027634460023.193</v>
      </c>
      <c r="AD70" s="27">
        <v>6454481704.4296865</v>
      </c>
      <c r="AE70" s="27">
        <v>296407538.19539481</v>
      </c>
      <c r="AF70" s="26"/>
      <c r="AG70" s="26"/>
      <c r="AH70" s="25">
        <v>2039</v>
      </c>
      <c r="AI70" s="27">
        <v>37022237325.155113</v>
      </c>
      <c r="AJ70" s="27">
        <v>102176385098139.14</v>
      </c>
    </row>
    <row r="71" spans="1:36" ht="16" x14ac:dyDescent="0.2">
      <c r="A71" s="25">
        <v>2040</v>
      </c>
      <c r="B71" s="26">
        <v>620629176343168.38</v>
      </c>
      <c r="C71" s="26">
        <v>87213651827.465759</v>
      </c>
      <c r="D71" s="26">
        <v>276218973075.82202</v>
      </c>
      <c r="E71" s="26">
        <v>8934436311791.5195</v>
      </c>
      <c r="F71" s="26">
        <v>145997083902399.31</v>
      </c>
      <c r="G71" s="26"/>
      <c r="H71" s="26"/>
      <c r="I71" s="25">
        <v>2040</v>
      </c>
      <c r="J71" s="27">
        <v>1222287840635533.8</v>
      </c>
      <c r="K71" s="27">
        <v>49070919677.145256</v>
      </c>
      <c r="L71" s="27">
        <v>22943163395.273434</v>
      </c>
      <c r="M71" s="26"/>
      <c r="N71" s="26"/>
      <c r="O71" s="25">
        <v>2040</v>
      </c>
      <c r="P71" s="27">
        <v>35807960546.29718</v>
      </c>
      <c r="Q71" s="27">
        <v>308935688731.02039</v>
      </c>
      <c r="R71" s="27">
        <v>32108356071370.859</v>
      </c>
      <c r="S71" s="27">
        <v>524680706395910.69</v>
      </c>
      <c r="T71" s="26"/>
      <c r="U71" s="26"/>
      <c r="V71" s="25">
        <v>2040</v>
      </c>
      <c r="W71" s="26">
        <v>1204155271600.5564</v>
      </c>
      <c r="X71" s="26">
        <v>538190065361.71362</v>
      </c>
      <c r="Y71" s="26">
        <v>881118757715.45361</v>
      </c>
      <c r="Z71" s="26"/>
      <c r="AA71" s="26"/>
      <c r="AB71" s="25">
        <v>2040</v>
      </c>
      <c r="AC71" s="27">
        <v>13679016183024.061</v>
      </c>
      <c r="AD71" s="27">
        <v>6777205789.6510258</v>
      </c>
      <c r="AE71" s="27">
        <v>311227915.10515791</v>
      </c>
      <c r="AF71" s="26"/>
      <c r="AG71" s="26"/>
      <c r="AH71" s="25">
        <v>2040</v>
      </c>
      <c r="AI71" s="27">
        <v>38873349191.412872</v>
      </c>
      <c r="AJ71" s="27">
        <v>107285204353046.09</v>
      </c>
    </row>
    <row r="72" spans="1:36" ht="16" x14ac:dyDescent="0.2">
      <c r="A72" s="25">
        <v>2041</v>
      </c>
      <c r="B72" s="26">
        <v>638069095271180.88</v>
      </c>
      <c r="C72" s="26">
        <v>89664389039.41713</v>
      </c>
      <c r="D72" s="26">
        <v>283980832621.6543</v>
      </c>
      <c r="E72" s="26">
        <v>9185497413790.0156</v>
      </c>
      <c r="F72" s="26">
        <v>150099658199641.59</v>
      </c>
      <c r="G72" s="26"/>
      <c r="H72" s="26"/>
      <c r="I72" s="25">
        <v>2041</v>
      </c>
      <c r="J72" s="27">
        <v>1256634599795294.2</v>
      </c>
      <c r="K72" s="27">
        <v>50449831422.698196</v>
      </c>
      <c r="L72" s="27">
        <v>23587875124.624157</v>
      </c>
      <c r="M72" s="26"/>
      <c r="N72" s="26"/>
      <c r="O72" s="25">
        <v>2041</v>
      </c>
      <c r="P72" s="27">
        <v>36814178031.244415</v>
      </c>
      <c r="Q72" s="27">
        <v>317616900589.58051</v>
      </c>
      <c r="R72" s="27">
        <v>33010613245446.801</v>
      </c>
      <c r="S72" s="27">
        <v>539424436358063.44</v>
      </c>
      <c r="T72" s="26"/>
      <c r="U72" s="26"/>
      <c r="V72" s="25">
        <v>2041</v>
      </c>
      <c r="W72" s="26">
        <v>1209240772879.8386</v>
      </c>
      <c r="X72" s="26">
        <v>540463000032.55212</v>
      </c>
      <c r="Y72" s="26">
        <v>884839980945.74792</v>
      </c>
      <c r="Z72" s="26"/>
      <c r="AA72" s="26"/>
      <c r="AB72" s="25">
        <v>2041</v>
      </c>
      <c r="AC72" s="27">
        <v>14362966992175.039</v>
      </c>
      <c r="AD72" s="27">
        <v>7116066079.1334677</v>
      </c>
      <c r="AE72" s="27">
        <v>326789310.86041063</v>
      </c>
      <c r="AF72" s="26"/>
      <c r="AG72" s="26"/>
      <c r="AH72" s="25">
        <v>2041</v>
      </c>
      <c r="AI72" s="27">
        <v>40817016650.983521</v>
      </c>
      <c r="AJ72" s="27">
        <v>112649464570698.41</v>
      </c>
    </row>
    <row r="73" spans="1:36" ht="16" x14ac:dyDescent="0.2">
      <c r="A73" s="25">
        <v>2042</v>
      </c>
      <c r="B73" s="26">
        <v>655999082639107.75</v>
      </c>
      <c r="C73" s="26">
        <v>92183992911.073624</v>
      </c>
      <c r="D73" s="26">
        <v>291960803410.67303</v>
      </c>
      <c r="E73" s="26">
        <v>9443613429466.002</v>
      </c>
      <c r="F73" s="26">
        <v>154317516414990.38</v>
      </c>
      <c r="G73" s="26"/>
      <c r="H73" s="26"/>
      <c r="I73" s="25">
        <v>2042</v>
      </c>
      <c r="J73" s="27">
        <v>1291946516118170.5</v>
      </c>
      <c r="K73" s="27">
        <v>51867491119.472206</v>
      </c>
      <c r="L73" s="27">
        <v>24250703501.919247</v>
      </c>
      <c r="M73" s="26"/>
      <c r="N73" s="26"/>
      <c r="O73" s="25">
        <v>2042</v>
      </c>
      <c r="P73" s="27">
        <v>37848670615.124039</v>
      </c>
      <c r="Q73" s="27">
        <v>326542057845.4588</v>
      </c>
      <c r="R73" s="27">
        <v>33938224193673.059</v>
      </c>
      <c r="S73" s="27">
        <v>554582470811590.12</v>
      </c>
      <c r="T73" s="26"/>
      <c r="U73" s="26"/>
      <c r="V73" s="25">
        <v>2042</v>
      </c>
      <c r="W73" s="26">
        <v>1214326274159.1208</v>
      </c>
      <c r="X73" s="26">
        <v>542735934703.39081</v>
      </c>
      <c r="Y73" s="26">
        <v>888561204176.0426</v>
      </c>
      <c r="Z73" s="26"/>
      <c r="AA73" s="26"/>
      <c r="AB73" s="25">
        <v>2042</v>
      </c>
      <c r="AC73" s="27">
        <v>15081115341783.547</v>
      </c>
      <c r="AD73" s="27">
        <v>7471869383.0900192</v>
      </c>
      <c r="AE73" s="27">
        <v>343128776.40342563</v>
      </c>
      <c r="AF73" s="26"/>
      <c r="AG73" s="26"/>
      <c r="AH73" s="25">
        <v>2042</v>
      </c>
      <c r="AI73" s="27">
        <v>42857867483.532692</v>
      </c>
      <c r="AJ73" s="27">
        <v>118281937799233.34</v>
      </c>
    </row>
    <row r="74" spans="1:36" ht="16" x14ac:dyDescent="0.2">
      <c r="A74" s="25">
        <v>2043</v>
      </c>
      <c r="B74" s="26">
        <v>674432909558889.62</v>
      </c>
      <c r="C74" s="26">
        <v>94774398622.101089</v>
      </c>
      <c r="D74" s="26">
        <v>300165014452.8302</v>
      </c>
      <c r="E74" s="26">
        <v>9708982604611.4434</v>
      </c>
      <c r="F74" s="26">
        <v>158653898070952.97</v>
      </c>
      <c r="G74" s="26"/>
      <c r="H74" s="26"/>
      <c r="I74" s="25">
        <v>2043</v>
      </c>
      <c r="J74" s="27">
        <v>1328250710892234.8</v>
      </c>
      <c r="K74" s="27">
        <v>53324987599.822723</v>
      </c>
      <c r="L74" s="27">
        <v>24932157611.944668</v>
      </c>
      <c r="M74" s="26"/>
      <c r="N74" s="26"/>
      <c r="O74" s="25">
        <v>2043</v>
      </c>
      <c r="P74" s="27">
        <v>38912232839.10791</v>
      </c>
      <c r="Q74" s="27">
        <v>335718015458.28992</v>
      </c>
      <c r="R74" s="27">
        <v>34891901366869.809</v>
      </c>
      <c r="S74" s="27">
        <v>570166451872292.25</v>
      </c>
      <c r="T74" s="26"/>
      <c r="U74" s="26"/>
      <c r="V74" s="25">
        <v>2043</v>
      </c>
      <c r="W74" s="26">
        <v>1219411775438.4031</v>
      </c>
      <c r="X74" s="26">
        <v>545008869374.22943</v>
      </c>
      <c r="Y74" s="26">
        <v>892282427406.33716</v>
      </c>
      <c r="Z74" s="26"/>
      <c r="AA74" s="26"/>
      <c r="AB74" s="25">
        <v>2043</v>
      </c>
      <c r="AC74" s="27">
        <v>15835171108872.475</v>
      </c>
      <c r="AD74" s="27">
        <v>7845462852.2443962</v>
      </c>
      <c r="AE74" s="27">
        <v>360285215.22359121</v>
      </c>
      <c r="AF74" s="26"/>
      <c r="AG74" s="26"/>
      <c r="AH74" s="25">
        <v>2043</v>
      </c>
      <c r="AI74" s="27">
        <v>45000760857.709328</v>
      </c>
      <c r="AJ74" s="27">
        <v>124196034689195.02</v>
      </c>
    </row>
    <row r="75" spans="1:36" ht="16" x14ac:dyDescent="0.2">
      <c r="A75" s="25">
        <v>2044</v>
      </c>
      <c r="B75" s="26">
        <v>693384734116017.62</v>
      </c>
      <c r="C75" s="26">
        <v>97437595731.459457</v>
      </c>
      <c r="D75" s="26">
        <v>308599766985.6189</v>
      </c>
      <c r="E75" s="26">
        <v>9981808755801.4121</v>
      </c>
      <c r="F75" s="26">
        <v>163112133721867.06</v>
      </c>
      <c r="G75" s="26"/>
      <c r="H75" s="26"/>
      <c r="I75" s="25">
        <v>2044</v>
      </c>
      <c r="J75" s="27">
        <v>1365575067524200.5</v>
      </c>
      <c r="K75" s="27">
        <v>54823440292.713799</v>
      </c>
      <c r="L75" s="27">
        <v>25632760844.96497</v>
      </c>
      <c r="M75" s="26"/>
      <c r="N75" s="26"/>
      <c r="O75" s="25">
        <v>2044</v>
      </c>
      <c r="P75" s="27">
        <v>40005681571.280876</v>
      </c>
      <c r="Q75" s="27">
        <v>345151821014.71521</v>
      </c>
      <c r="R75" s="27">
        <v>35872377235999.68</v>
      </c>
      <c r="S75" s="27">
        <v>586188348803910.38</v>
      </c>
      <c r="T75" s="26"/>
      <c r="U75" s="26"/>
      <c r="V75" s="25">
        <v>2044</v>
      </c>
      <c r="W75" s="26">
        <v>1224497276717.6858</v>
      </c>
      <c r="X75" s="26">
        <v>547281804045.06805</v>
      </c>
      <c r="Y75" s="26">
        <v>896003650636.63159</v>
      </c>
      <c r="Z75" s="26"/>
      <c r="AA75" s="26"/>
      <c r="AB75" s="25">
        <v>2044</v>
      </c>
      <c r="AC75" s="27">
        <v>16626929664315.834</v>
      </c>
      <c r="AD75" s="27">
        <v>8237735994.8564835</v>
      </c>
      <c r="AE75" s="27">
        <v>378299475.98476475</v>
      </c>
      <c r="AF75" s="26"/>
      <c r="AG75" s="26"/>
      <c r="AH75" s="25">
        <v>2044</v>
      </c>
      <c r="AI75" s="27">
        <v>47250798900.594803</v>
      </c>
      <c r="AJ75" s="27">
        <v>130405836423654.75</v>
      </c>
    </row>
    <row r="76" spans="1:36" ht="16" x14ac:dyDescent="0.2">
      <c r="A76" s="25">
        <v>2045</v>
      </c>
      <c r="B76" s="26">
        <v>712869112243639.75</v>
      </c>
      <c r="C76" s="26">
        <v>100175629705.48184</v>
      </c>
      <c r="D76" s="26">
        <v>317271539313.73273</v>
      </c>
      <c r="E76" s="26">
        <v>10262301426935.271</v>
      </c>
      <c r="F76" s="26">
        <v>167695647511930.34</v>
      </c>
      <c r="G76" s="26"/>
      <c r="H76" s="26"/>
      <c r="I76" s="25">
        <v>2045</v>
      </c>
      <c r="J76" s="27">
        <v>1403948252955252.5</v>
      </c>
      <c r="K76" s="27">
        <v>56364000083.494553</v>
      </c>
      <c r="L76" s="27">
        <v>26353051298.712734</v>
      </c>
      <c r="M76" s="26"/>
      <c r="N76" s="26"/>
      <c r="O76" s="25">
        <v>2045</v>
      </c>
      <c r="P76" s="27">
        <v>41129856634.035645</v>
      </c>
      <c r="Q76" s="27">
        <v>354850720141.27545</v>
      </c>
      <c r="R76" s="27">
        <v>36880404854741.523</v>
      </c>
      <c r="S76" s="27">
        <v>602660467211107.25</v>
      </c>
      <c r="T76" s="26"/>
      <c r="U76" s="26"/>
      <c r="V76" s="25">
        <v>2045</v>
      </c>
      <c r="W76" s="26">
        <v>1229582777996.968</v>
      </c>
      <c r="X76" s="26">
        <v>549554738715.9068</v>
      </c>
      <c r="Y76" s="26">
        <v>899724873866.92627</v>
      </c>
      <c r="Z76" s="26"/>
      <c r="AA76" s="26"/>
      <c r="AB76" s="25">
        <v>2045</v>
      </c>
      <c r="AC76" s="27">
        <v>17458276147531.354</v>
      </c>
      <c r="AD76" s="27">
        <v>8649622794.5991745</v>
      </c>
      <c r="AE76" s="27">
        <v>397214449.78399682</v>
      </c>
      <c r="AF76" s="26"/>
      <c r="AG76" s="26"/>
      <c r="AH76" s="25">
        <v>2045</v>
      </c>
      <c r="AI76" s="27">
        <v>49613338845.624542</v>
      </c>
      <c r="AJ76" s="27">
        <v>136926128244837.47</v>
      </c>
    </row>
    <row r="77" spans="1:36" ht="16" x14ac:dyDescent="0.2">
      <c r="A77" s="25">
        <v>2046</v>
      </c>
      <c r="B77" s="26">
        <v>732901008902231.75</v>
      </c>
      <c r="C77" s="26">
        <v>102990603488.8932</v>
      </c>
      <c r="D77" s="26">
        <v>326186991784.72284</v>
      </c>
      <c r="E77" s="26">
        <v>10550676050176.672</v>
      </c>
      <c r="F77" s="26">
        <v>172407959805111.25</v>
      </c>
      <c r="G77" s="26"/>
      <c r="H77" s="26"/>
      <c r="I77" s="25">
        <v>2046</v>
      </c>
      <c r="J77" s="27">
        <v>1443399739678664.2</v>
      </c>
      <c r="K77" s="27">
        <v>57947850197.835815</v>
      </c>
      <c r="L77" s="27">
        <v>27093582191.674145</v>
      </c>
      <c r="M77" s="26"/>
      <c r="N77" s="26"/>
      <c r="O77" s="25">
        <v>2046</v>
      </c>
      <c r="P77" s="27">
        <v>42285621449.097687</v>
      </c>
      <c r="Q77" s="27">
        <v>364822162069.40826</v>
      </c>
      <c r="R77" s="27">
        <v>37916758437872.68</v>
      </c>
      <c r="S77" s="27">
        <v>619595458490776.75</v>
      </c>
      <c r="T77" s="26"/>
      <c r="U77" s="26"/>
      <c r="V77" s="25">
        <v>2046</v>
      </c>
      <c r="W77" s="26">
        <v>1233181119475.6553</v>
      </c>
      <c r="X77" s="26">
        <v>551162996123.63647</v>
      </c>
      <c r="Y77" s="26">
        <v>902357894913.55811</v>
      </c>
      <c r="Z77" s="26"/>
      <c r="AA77" s="26"/>
      <c r="AB77" s="25">
        <v>2046</v>
      </c>
      <c r="AC77" s="27">
        <v>18331189954907.719</v>
      </c>
      <c r="AD77" s="27">
        <v>9082103934.3290329</v>
      </c>
      <c r="AE77" s="27">
        <v>417075172.27319205</v>
      </c>
      <c r="AF77" s="26"/>
      <c r="AG77" s="26"/>
      <c r="AH77" s="25">
        <v>2046</v>
      </c>
      <c r="AI77" s="27">
        <v>52094005787.905769</v>
      </c>
      <c r="AJ77" s="27">
        <v>143772434657079.38</v>
      </c>
    </row>
    <row r="78" spans="1:36" ht="16" x14ac:dyDescent="0.2">
      <c r="A78" s="25">
        <v>2047</v>
      </c>
      <c r="B78" s="26">
        <v>753495809573423.62</v>
      </c>
      <c r="C78" s="26">
        <v>105884679119.97543</v>
      </c>
      <c r="D78" s="26">
        <v>335352971904.47217</v>
      </c>
      <c r="E78" s="26">
        <v>10847154111416.031</v>
      </c>
      <c r="F78" s="26">
        <v>177252689888961.94</v>
      </c>
      <c r="G78" s="26"/>
      <c r="H78" s="26"/>
      <c r="I78" s="25">
        <v>2047</v>
      </c>
      <c r="J78" s="27">
        <v>1483959828376123.8</v>
      </c>
      <c r="K78" s="27">
        <v>59576207110.505447</v>
      </c>
      <c r="L78" s="27">
        <v>27854922287.987911</v>
      </c>
      <c r="M78" s="26"/>
      <c r="N78" s="26"/>
      <c r="O78" s="25">
        <v>2047</v>
      </c>
      <c r="P78" s="27">
        <v>43473863700.675499</v>
      </c>
      <c r="Q78" s="27">
        <v>375073805356.82379</v>
      </c>
      <c r="R78" s="27">
        <v>38982233955903.914</v>
      </c>
      <c r="S78" s="27">
        <v>637006329548938.25</v>
      </c>
      <c r="T78" s="26"/>
      <c r="U78" s="26"/>
      <c r="V78" s="25">
        <v>2047</v>
      </c>
      <c r="W78" s="26">
        <v>1236779460954.3428</v>
      </c>
      <c r="X78" s="26">
        <v>552771253531.36633</v>
      </c>
      <c r="Y78" s="26">
        <v>904990915960.18994</v>
      </c>
      <c r="Z78" s="26"/>
      <c r="AA78" s="26"/>
      <c r="AB78" s="25">
        <v>2047</v>
      </c>
      <c r="AC78" s="27">
        <v>19247749452652.895</v>
      </c>
      <c r="AD78" s="27">
        <v>9536209131.0453815</v>
      </c>
      <c r="AE78" s="27">
        <v>437928930.88684684</v>
      </c>
      <c r="AF78" s="26"/>
      <c r="AG78" s="26"/>
      <c r="AH78" s="25">
        <v>2047</v>
      </c>
      <c r="AI78" s="27">
        <v>54698706077.301056</v>
      </c>
      <c r="AJ78" s="27">
        <v>150961056389933.38</v>
      </c>
    </row>
    <row r="79" spans="1:36" ht="16" x14ac:dyDescent="0.2">
      <c r="A79" s="25">
        <v>2048</v>
      </c>
      <c r="B79" s="26">
        <v>774669332076805.88</v>
      </c>
      <c r="C79" s="26">
        <v>108860079391.11885</v>
      </c>
      <c r="D79" s="26">
        <v>344776519596.41669</v>
      </c>
      <c r="E79" s="26">
        <v>11151963320382.631</v>
      </c>
      <c r="F79" s="26">
        <v>182233558754408.88</v>
      </c>
      <c r="G79" s="26"/>
      <c r="H79" s="26"/>
      <c r="I79" s="25">
        <v>2048</v>
      </c>
      <c r="J79" s="27">
        <v>1525659671190147.8</v>
      </c>
      <c r="K79" s="27">
        <v>61250321479.681038</v>
      </c>
      <c r="L79" s="27">
        <v>28637656334.284168</v>
      </c>
      <c r="M79" s="26"/>
      <c r="N79" s="26"/>
      <c r="O79" s="25">
        <v>2048</v>
      </c>
      <c r="P79" s="27">
        <v>44695496017.245857</v>
      </c>
      <c r="Q79" s="27">
        <v>385613523769.65479</v>
      </c>
      <c r="R79" s="27">
        <v>40077649746424</v>
      </c>
      <c r="S79" s="27">
        <v>654906452790681.75</v>
      </c>
      <c r="T79" s="26"/>
      <c r="U79" s="26"/>
      <c r="V79" s="25">
        <v>2048</v>
      </c>
      <c r="W79" s="26">
        <v>1240377802433.03</v>
      </c>
      <c r="X79" s="26">
        <v>554379510939.09619</v>
      </c>
      <c r="Y79" s="26">
        <v>907623937006.82178</v>
      </c>
      <c r="Z79" s="26"/>
      <c r="AA79" s="26"/>
      <c r="AB79" s="25">
        <v>2048</v>
      </c>
      <c r="AC79" s="27">
        <v>20210136925285.324</v>
      </c>
      <c r="AD79" s="27">
        <v>10013019587.597544</v>
      </c>
      <c r="AE79" s="27">
        <v>459825377.43118435</v>
      </c>
      <c r="AF79" s="26"/>
      <c r="AG79" s="26"/>
      <c r="AH79" s="25">
        <v>2048</v>
      </c>
      <c r="AI79" s="27">
        <v>57433641381.166122</v>
      </c>
      <c r="AJ79" s="27">
        <v>158509109209430.06</v>
      </c>
    </row>
    <row r="80" spans="1:36" ht="16" x14ac:dyDescent="0.2">
      <c r="A80" s="25">
        <v>2049</v>
      </c>
      <c r="B80" s="26">
        <v>796437838718793.12</v>
      </c>
      <c r="C80" s="26">
        <v>111919089556.03639</v>
      </c>
      <c r="D80" s="26">
        <v>354464872608.5528</v>
      </c>
      <c r="E80" s="26">
        <v>11465337785536.854</v>
      </c>
      <c r="F80" s="26">
        <v>187354391953656.94</v>
      </c>
      <c r="G80" s="26"/>
      <c r="H80" s="26"/>
      <c r="I80" s="25">
        <v>2049</v>
      </c>
      <c r="J80" s="27">
        <v>1568531295650456</v>
      </c>
      <c r="K80" s="27">
        <v>62971479107.516617</v>
      </c>
      <c r="L80" s="27">
        <v>29442385508.798592</v>
      </c>
      <c r="M80" s="26"/>
      <c r="N80" s="26"/>
      <c r="O80" s="25">
        <v>2049</v>
      </c>
      <c r="P80" s="27">
        <v>45951456672.497215</v>
      </c>
      <c r="Q80" s="27">
        <v>396449412329.89465</v>
      </c>
      <c r="R80" s="27">
        <v>41203847142623.188</v>
      </c>
      <c r="S80" s="27">
        <v>673309576390830.38</v>
      </c>
      <c r="T80" s="26"/>
      <c r="U80" s="26"/>
      <c r="V80" s="25">
        <v>2049</v>
      </c>
      <c r="W80" s="26">
        <v>1243976143911.7175</v>
      </c>
      <c r="X80" s="26">
        <v>555987768346.82617</v>
      </c>
      <c r="Y80" s="26">
        <v>910256958053.45386</v>
      </c>
      <c r="Z80" s="26"/>
      <c r="AA80" s="26"/>
      <c r="AB80" s="25">
        <v>2049</v>
      </c>
      <c r="AC80" s="27">
        <v>21220643771549.363</v>
      </c>
      <c r="AD80" s="27">
        <v>10513670566.977306</v>
      </c>
      <c r="AE80" s="27">
        <v>482816646.30273831</v>
      </c>
      <c r="AF80" s="26"/>
      <c r="AG80" s="26"/>
      <c r="AH80" s="25">
        <v>2049</v>
      </c>
      <c r="AI80" s="27">
        <v>60305323450.224419</v>
      </c>
      <c r="AJ80" s="27">
        <v>166434564669901.53</v>
      </c>
    </row>
    <row r="81" spans="1:36" ht="16" x14ac:dyDescent="0.2">
      <c r="A81" s="25">
        <v>2050</v>
      </c>
      <c r="B81" s="26">
        <v>818818048782873.5</v>
      </c>
      <c r="C81" s="26">
        <v>115064059084.95039</v>
      </c>
      <c r="D81" s="26">
        <v>364425472072.38348</v>
      </c>
      <c r="E81" s="26">
        <v>11787518193876.984</v>
      </c>
      <c r="F81" s="26">
        <v>192619122538401.84</v>
      </c>
      <c r="G81" s="26"/>
      <c r="H81" s="26"/>
      <c r="I81" s="25">
        <v>2050</v>
      </c>
      <c r="J81" s="27">
        <v>1612607629272691.5</v>
      </c>
      <c r="K81" s="27">
        <v>64741001927.702042</v>
      </c>
      <c r="L81" s="27">
        <v>30269727883.106853</v>
      </c>
      <c r="M81" s="26"/>
      <c r="N81" s="26"/>
      <c r="O81" s="25">
        <v>2050</v>
      </c>
      <c r="P81" s="27">
        <v>47242710305.970154</v>
      </c>
      <c r="Q81" s="27">
        <v>407589793532.7735</v>
      </c>
      <c r="R81" s="27">
        <v>42361691119478.43</v>
      </c>
      <c r="S81" s="27">
        <v>692229834853216.62</v>
      </c>
      <c r="T81" s="26"/>
      <c r="U81" s="26"/>
      <c r="V81" s="25">
        <v>2050</v>
      </c>
      <c r="W81" s="26">
        <v>1247574485390.405</v>
      </c>
      <c r="X81" s="26">
        <v>557596025754.55603</v>
      </c>
      <c r="Y81" s="26">
        <v>912889979100.08569</v>
      </c>
      <c r="Z81" s="26"/>
      <c r="AA81" s="26"/>
      <c r="AB81" s="25">
        <v>2050</v>
      </c>
      <c r="AC81" s="27">
        <v>22281675960126.59</v>
      </c>
      <c r="AD81" s="27">
        <v>11039354095.326054</v>
      </c>
      <c r="AE81" s="27">
        <v>506957478.61786979</v>
      </c>
      <c r="AF81" s="26"/>
      <c r="AG81" s="26"/>
      <c r="AH81" s="25">
        <v>2050</v>
      </c>
      <c r="AI81" s="27">
        <v>63320589622.735649</v>
      </c>
      <c r="AJ81" s="27">
        <v>174756292903396.62</v>
      </c>
    </row>
    <row r="82" spans="1:36" ht="16" x14ac:dyDescent="0.2">
      <c r="A82" s="25">
        <v>2051</v>
      </c>
      <c r="B82" s="26">
        <v>841827151370842.75</v>
      </c>
      <c r="C82" s="26">
        <v>118297403469.10162</v>
      </c>
      <c r="D82" s="26">
        <v>374665968218.07373</v>
      </c>
      <c r="E82" s="26">
        <v>12118751995798.697</v>
      </c>
      <c r="F82" s="26">
        <v>198031794080606.56</v>
      </c>
      <c r="G82" s="26"/>
      <c r="H82" s="26"/>
      <c r="I82" s="25">
        <v>2051</v>
      </c>
      <c r="J82" s="27">
        <v>1657922524848370</v>
      </c>
      <c r="K82" s="27">
        <v>66560249020.77317</v>
      </c>
      <c r="L82" s="27">
        <v>31120318896.834023</v>
      </c>
      <c r="M82" s="26"/>
      <c r="N82" s="26"/>
      <c r="O82" s="25">
        <v>2051</v>
      </c>
      <c r="P82" s="27">
        <v>48570248663.947922</v>
      </c>
      <c r="Q82" s="27">
        <v>419043223738.8432</v>
      </c>
      <c r="R82" s="27">
        <v>43552070958096.781</v>
      </c>
      <c r="S82" s="27">
        <v>711681759866674.88</v>
      </c>
      <c r="T82" s="26"/>
      <c r="U82" s="26"/>
      <c r="V82" s="25">
        <v>2051</v>
      </c>
      <c r="W82" s="26">
        <v>1247574485390.405</v>
      </c>
      <c r="X82" s="26">
        <v>557596025754.55603</v>
      </c>
      <c r="Y82" s="26">
        <v>912889979100.08569</v>
      </c>
      <c r="Z82" s="26"/>
      <c r="AA82" s="26"/>
      <c r="AB82" s="25">
        <v>2051</v>
      </c>
      <c r="AC82" s="27">
        <v>23395759758132.918</v>
      </c>
      <c r="AD82" s="27">
        <v>11591321800.092358</v>
      </c>
      <c r="AE82" s="27">
        <v>532305352.54876322</v>
      </c>
      <c r="AF82" s="26"/>
      <c r="AG82" s="26"/>
      <c r="AH82" s="25">
        <v>2051</v>
      </c>
      <c r="AI82" s="27">
        <v>66486619103.872429</v>
      </c>
      <c r="AJ82" s="27">
        <v>183494107548566.44</v>
      </c>
    </row>
    <row r="83" spans="1:36" ht="16" x14ac:dyDescent="0.2">
      <c r="A83" s="25">
        <v>2052</v>
      </c>
      <c r="B83" s="26">
        <v>865482818604877.88</v>
      </c>
      <c r="C83" s="26">
        <v>121621606075.96518</v>
      </c>
      <c r="D83" s="26">
        <v>385194226250.2027</v>
      </c>
      <c r="E83" s="26">
        <v>12459293595149.092</v>
      </c>
      <c r="F83" s="26">
        <v>203596563778164.31</v>
      </c>
      <c r="G83" s="26"/>
      <c r="H83" s="26"/>
      <c r="I83" s="25">
        <v>2052</v>
      </c>
      <c r="J83" s="27">
        <v>1704510786445491.8</v>
      </c>
      <c r="K83" s="27">
        <v>68430617657.952385</v>
      </c>
      <c r="L83" s="27">
        <v>31994811845.703354</v>
      </c>
      <c r="M83" s="26"/>
      <c r="N83" s="26"/>
      <c r="O83" s="25">
        <v>2052</v>
      </c>
      <c r="P83" s="27">
        <v>49935091361.166367</v>
      </c>
      <c r="Q83" s="27">
        <v>430818499745.68304</v>
      </c>
      <c r="R83" s="27">
        <v>44775900928726.914</v>
      </c>
      <c r="S83" s="27">
        <v>731680291466093.75</v>
      </c>
      <c r="T83" s="26"/>
      <c r="U83" s="26"/>
      <c r="V83" s="25">
        <v>2052</v>
      </c>
      <c r="W83" s="26">
        <v>1247574485390.405</v>
      </c>
      <c r="X83" s="26">
        <v>557596025754.55603</v>
      </c>
      <c r="Y83" s="26">
        <v>912889979100.08569</v>
      </c>
      <c r="Z83" s="26"/>
      <c r="AA83" s="26"/>
      <c r="AB83" s="25">
        <v>2052</v>
      </c>
      <c r="AC83" s="27">
        <v>24565547746039.574</v>
      </c>
      <c r="AD83" s="27">
        <v>12170887890.096977</v>
      </c>
      <c r="AE83" s="27">
        <v>558920620.17620158</v>
      </c>
      <c r="AF83" s="26"/>
      <c r="AG83" s="26"/>
      <c r="AH83" s="25">
        <v>2052</v>
      </c>
      <c r="AI83" s="27">
        <v>69810950059.06604</v>
      </c>
      <c r="AJ83" s="27">
        <v>192668812925994.81</v>
      </c>
    </row>
    <row r="84" spans="1:36" ht="16" x14ac:dyDescent="0.2">
      <c r="A84" s="25">
        <v>2053</v>
      </c>
      <c r="B84" s="26">
        <v>889803219200597</v>
      </c>
      <c r="C84" s="26">
        <v>125039220056.59879</v>
      </c>
      <c r="D84" s="26">
        <v>396018332388.6283</v>
      </c>
      <c r="E84" s="26">
        <v>12809404544621.375</v>
      </c>
      <c r="F84" s="26">
        <v>209317705647830.22</v>
      </c>
      <c r="G84" s="26"/>
      <c r="H84" s="26"/>
      <c r="I84" s="25">
        <v>2053</v>
      </c>
      <c r="J84" s="27">
        <v>1752408196139772.2</v>
      </c>
      <c r="K84" s="27">
        <v>70353544374.321625</v>
      </c>
      <c r="L84" s="27">
        <v>32893878383.299633</v>
      </c>
      <c r="M84" s="26"/>
      <c r="N84" s="26"/>
      <c r="O84" s="25">
        <v>2053</v>
      </c>
      <c r="P84" s="27">
        <v>51338286663.928154</v>
      </c>
      <c r="Q84" s="27">
        <v>442924665544.27313</v>
      </c>
      <c r="R84" s="27">
        <v>46034120992963.703</v>
      </c>
      <c r="S84" s="27">
        <v>752240789507097.38</v>
      </c>
      <c r="T84" s="26"/>
      <c r="U84" s="26"/>
      <c r="V84" s="25">
        <v>2053</v>
      </c>
      <c r="W84" s="26">
        <v>1247574485390.405</v>
      </c>
      <c r="X84" s="26">
        <v>557596025754.55603</v>
      </c>
      <c r="Y84" s="26">
        <v>912889979100.08569</v>
      </c>
      <c r="Z84" s="26"/>
      <c r="AA84" s="26"/>
      <c r="AB84" s="25">
        <v>2053</v>
      </c>
      <c r="AC84" s="27">
        <v>25793825133341.551</v>
      </c>
      <c r="AD84" s="27">
        <v>12779432284.601828</v>
      </c>
      <c r="AE84" s="27">
        <v>586866651.18501174</v>
      </c>
      <c r="AF84" s="26"/>
      <c r="AG84" s="26"/>
      <c r="AH84" s="25">
        <v>2053</v>
      </c>
      <c r="AI84" s="27">
        <v>73301497562.019379</v>
      </c>
      <c r="AJ84" s="27">
        <v>202302253572294.53</v>
      </c>
    </row>
    <row r="85" spans="1:36" ht="16" x14ac:dyDescent="0.2">
      <c r="A85" s="25">
        <v>2054</v>
      </c>
      <c r="B85" s="26">
        <v>914807032421525</v>
      </c>
      <c r="C85" s="26">
        <v>128552870306.58836</v>
      </c>
      <c r="D85" s="26">
        <v>407146600079.1012</v>
      </c>
      <c r="E85" s="26">
        <v>13169353746640.182</v>
      </c>
      <c r="F85" s="26">
        <v>215199613807876.59</v>
      </c>
      <c r="G85" s="26"/>
      <c r="H85" s="26"/>
      <c r="I85" s="25">
        <v>2054</v>
      </c>
      <c r="J85" s="27">
        <v>1801651541497038.8</v>
      </c>
      <c r="K85" s="27">
        <v>72330506072.1521</v>
      </c>
      <c r="L85" s="27">
        <v>33818209036.932095</v>
      </c>
      <c r="M85" s="26"/>
      <c r="N85" s="26"/>
      <c r="O85" s="25">
        <v>2054</v>
      </c>
      <c r="P85" s="27">
        <v>52780912295.222862</v>
      </c>
      <c r="Q85" s="27">
        <v>455371019265.22357</v>
      </c>
      <c r="R85" s="27">
        <v>47327697525684.898</v>
      </c>
      <c r="S85" s="27">
        <v>773379045463169.25</v>
      </c>
      <c r="T85" s="26"/>
      <c r="U85" s="26"/>
      <c r="V85" s="25">
        <v>2054</v>
      </c>
      <c r="W85" s="26">
        <v>1247574485390.405</v>
      </c>
      <c r="X85" s="26">
        <v>557596025754.55603</v>
      </c>
      <c r="Y85" s="26">
        <v>912889979100.08569</v>
      </c>
      <c r="Z85" s="26"/>
      <c r="AA85" s="26"/>
      <c r="AB85" s="25">
        <v>2054</v>
      </c>
      <c r="AC85" s="27">
        <v>27083516390008.625</v>
      </c>
      <c r="AD85" s="27">
        <v>13418403898.831915</v>
      </c>
      <c r="AE85" s="27">
        <v>616209983.74426222</v>
      </c>
      <c r="AF85" s="26"/>
      <c r="AG85" s="26"/>
      <c r="AH85" s="25">
        <v>2054</v>
      </c>
      <c r="AI85" s="27">
        <v>76966572440.120331</v>
      </c>
      <c r="AJ85" s="27">
        <v>212417366250909.28</v>
      </c>
    </row>
    <row r="86" spans="1:36" ht="16" x14ac:dyDescent="0.2">
      <c r="A86" s="25">
        <v>2055</v>
      </c>
      <c r="B86" s="26">
        <v>940513462425688.5</v>
      </c>
      <c r="C86" s="26">
        <v>132165255482.09703</v>
      </c>
      <c r="D86" s="26">
        <v>418587576378.39996</v>
      </c>
      <c r="E86" s="26">
        <v>13539417659891.867</v>
      </c>
      <c r="F86" s="26">
        <v>221246805852992.09</v>
      </c>
      <c r="G86" s="26"/>
      <c r="H86" s="26"/>
      <c r="I86" s="25">
        <v>2055</v>
      </c>
      <c r="J86" s="27">
        <v>1852278643827889.8</v>
      </c>
      <c r="K86" s="27">
        <v>74363021155.23764</v>
      </c>
      <c r="L86" s="27">
        <v>34768513737.99334</v>
      </c>
      <c r="M86" s="26"/>
      <c r="N86" s="26"/>
      <c r="O86" s="25">
        <v>2055</v>
      </c>
      <c r="P86" s="27">
        <v>54264076262.471245</v>
      </c>
      <c r="Q86" s="27">
        <v>468167120320.19684</v>
      </c>
      <c r="R86" s="27">
        <v>48657624057274.609</v>
      </c>
      <c r="S86" s="27">
        <v>795111294554281.25</v>
      </c>
      <c r="T86" s="26"/>
      <c r="U86" s="26"/>
      <c r="V86" s="25">
        <v>2055</v>
      </c>
      <c r="W86" s="26">
        <v>1247574485390.405</v>
      </c>
      <c r="X86" s="26">
        <v>557596025754.55603</v>
      </c>
      <c r="Y86" s="26">
        <v>912889979100.08569</v>
      </c>
      <c r="Z86" s="26"/>
      <c r="AA86" s="26"/>
      <c r="AB86" s="25">
        <v>2055</v>
      </c>
      <c r="AC86" s="27">
        <v>28437692209509.062</v>
      </c>
      <c r="AD86" s="27">
        <v>14089324093.773516</v>
      </c>
      <c r="AE86" s="27">
        <v>647020482.9314754</v>
      </c>
      <c r="AF86" s="26"/>
      <c r="AG86" s="26"/>
      <c r="AH86" s="25">
        <v>2055</v>
      </c>
      <c r="AI86" s="27">
        <v>80814901062.126343</v>
      </c>
      <c r="AJ86" s="27">
        <v>223038234563454.72</v>
      </c>
    </row>
    <row r="87" spans="1:36" ht="16" x14ac:dyDescent="0.2">
      <c r="A87" s="25">
        <v>2056</v>
      </c>
      <c r="B87" s="26">
        <v>966942253015351.25</v>
      </c>
      <c r="C87" s="26">
        <v>135879150072.5656</v>
      </c>
      <c r="D87" s="26">
        <v>430350048518.89124</v>
      </c>
      <c r="E87" s="26">
        <v>13919880511658.369</v>
      </c>
      <c r="F87" s="26">
        <v>227463926324016.22</v>
      </c>
      <c r="G87" s="26"/>
      <c r="H87" s="26"/>
      <c r="I87" s="25">
        <v>2056</v>
      </c>
      <c r="J87" s="27">
        <v>1904328387236320</v>
      </c>
      <c r="K87" s="27">
        <v>76452650695.103699</v>
      </c>
      <c r="L87" s="27">
        <v>35745522367.221581</v>
      </c>
      <c r="M87" s="26"/>
      <c r="N87" s="26"/>
      <c r="O87" s="25">
        <v>2056</v>
      </c>
      <c r="P87" s="27">
        <v>55788917708.529396</v>
      </c>
      <c r="Q87" s="27">
        <v>481322796744.00513</v>
      </c>
      <c r="R87" s="27">
        <v>50024922036703.43</v>
      </c>
      <c r="S87" s="27">
        <v>817454228216340.5</v>
      </c>
      <c r="T87" s="26"/>
      <c r="U87" s="26"/>
      <c r="V87" s="25">
        <v>2056</v>
      </c>
      <c r="W87" s="26">
        <v>1247574485390.405</v>
      </c>
      <c r="X87" s="26">
        <v>557596025754.55603</v>
      </c>
      <c r="Y87" s="26">
        <v>912889979100.08569</v>
      </c>
      <c r="Z87" s="26"/>
      <c r="AA87" s="26"/>
      <c r="AB87" s="25">
        <v>2056</v>
      </c>
      <c r="AC87" s="27">
        <v>29859576819984.52</v>
      </c>
      <c r="AD87" s="27">
        <v>14793790298.462189</v>
      </c>
      <c r="AE87" s="27">
        <v>679371507.07804918</v>
      </c>
      <c r="AF87" s="26"/>
      <c r="AG87" s="26"/>
      <c r="AH87" s="25">
        <v>2056</v>
      </c>
      <c r="AI87" s="27">
        <v>84855646115.232697</v>
      </c>
      <c r="AJ87" s="27">
        <v>234190146291627.53</v>
      </c>
    </row>
    <row r="88" spans="1:36" ht="16" x14ac:dyDescent="0.2">
      <c r="A88" s="25">
        <v>2057</v>
      </c>
      <c r="B88" s="26">
        <v>994113702801226.62</v>
      </c>
      <c r="C88" s="26">
        <v>139697406531.65689</v>
      </c>
      <c r="D88" s="26">
        <v>442443050657.55609</v>
      </c>
      <c r="E88" s="26">
        <v>14311034516117.732</v>
      </c>
      <c r="F88" s="26">
        <v>233855750275175.12</v>
      </c>
      <c r="G88" s="26"/>
      <c r="H88" s="26"/>
      <c r="I88" s="25">
        <v>2057</v>
      </c>
      <c r="J88" s="27">
        <v>1957840748484626.8</v>
      </c>
      <c r="K88" s="27">
        <v>78600999629.986908</v>
      </c>
      <c r="L88" s="27">
        <v>36749985315.284981</v>
      </c>
      <c r="M88" s="26"/>
      <c r="N88" s="26"/>
      <c r="O88" s="25">
        <v>2057</v>
      </c>
      <c r="P88" s="27">
        <v>57356607786.606453</v>
      </c>
      <c r="Q88" s="27">
        <v>494848152743.02478</v>
      </c>
      <c r="R88" s="27">
        <v>51430641616051.5</v>
      </c>
      <c r="S88" s="27">
        <v>840425006921032.25</v>
      </c>
      <c r="T88" s="26"/>
      <c r="U88" s="26"/>
      <c r="V88" s="25">
        <v>2057</v>
      </c>
      <c r="W88" s="26">
        <v>1247574485390.405</v>
      </c>
      <c r="X88" s="26">
        <v>557596025754.55603</v>
      </c>
      <c r="Y88" s="26">
        <v>912889979100.08569</v>
      </c>
      <c r="Z88" s="26"/>
      <c r="AA88" s="26"/>
      <c r="AB88" s="25">
        <v>2057</v>
      </c>
      <c r="AC88" s="27">
        <v>31352555660983.738</v>
      </c>
      <c r="AD88" s="27">
        <v>15533479813.385298</v>
      </c>
      <c r="AE88" s="27">
        <v>713340082.43195164</v>
      </c>
      <c r="AF88" s="26"/>
      <c r="AG88" s="26"/>
      <c r="AH88" s="25">
        <v>2057</v>
      </c>
      <c r="AI88" s="27">
        <v>89098428420.994308</v>
      </c>
      <c r="AJ88" s="27">
        <v>245899653606208.84</v>
      </c>
    </row>
    <row r="89" spans="1:36" ht="16" x14ac:dyDescent="0.2">
      <c r="A89" s="25">
        <v>2058</v>
      </c>
      <c r="B89" s="26">
        <v>1022048680792808.4</v>
      </c>
      <c r="C89" s="26">
        <v>143622957468.08047</v>
      </c>
      <c r="D89" s="26">
        <v>454875870814.66687</v>
      </c>
      <c r="E89" s="26">
        <v>14713180098778.967</v>
      </c>
      <c r="F89" s="26">
        <v>240427186941558.22</v>
      </c>
      <c r="G89" s="26"/>
      <c r="H89" s="26"/>
      <c r="I89" s="25">
        <v>2058</v>
      </c>
      <c r="J89" s="27">
        <v>2012856827697524.5</v>
      </c>
      <c r="K89" s="27">
        <v>80809717997.506516</v>
      </c>
      <c r="L89" s="27">
        <v>37782674059.118423</v>
      </c>
      <c r="M89" s="26"/>
      <c r="N89" s="26"/>
      <c r="O89" s="25">
        <v>2058</v>
      </c>
      <c r="P89" s="27">
        <v>58968350559.767891</v>
      </c>
      <c r="Q89" s="27">
        <v>508753576455.724</v>
      </c>
      <c r="R89" s="27">
        <v>52875862457076.969</v>
      </c>
      <c r="S89" s="27">
        <v>864041273355907.38</v>
      </c>
      <c r="T89" s="26"/>
      <c r="U89" s="26"/>
      <c r="V89" s="25">
        <v>2058</v>
      </c>
      <c r="W89" s="26">
        <v>1247574485390.405</v>
      </c>
      <c r="X89" s="26">
        <v>557596025754.55603</v>
      </c>
      <c r="Y89" s="26">
        <v>912889979100.08569</v>
      </c>
      <c r="Z89" s="26"/>
      <c r="AA89" s="26"/>
      <c r="AB89" s="25">
        <v>2058</v>
      </c>
      <c r="AC89" s="27">
        <v>32920183444032.938</v>
      </c>
      <c r="AD89" s="27">
        <v>16310153804.054567</v>
      </c>
      <c r="AE89" s="27">
        <v>749007086.55354929</v>
      </c>
      <c r="AF89" s="26"/>
      <c r="AG89" s="26"/>
      <c r="AH89" s="25">
        <v>2058</v>
      </c>
      <c r="AI89" s="27">
        <v>93553349842.044022</v>
      </c>
      <c r="AJ89" s="27">
        <v>258194636286519.31</v>
      </c>
    </row>
    <row r="90" spans="1:36" ht="16" x14ac:dyDescent="0.2">
      <c r="A90" s="25">
        <v>2059</v>
      </c>
      <c r="B90" s="26">
        <v>1050768642426795.4</v>
      </c>
      <c r="C90" s="26">
        <v>147658817897.98029</v>
      </c>
      <c r="D90" s="26">
        <v>467658058007.44312</v>
      </c>
      <c r="E90" s="26">
        <v>15126626127223.607</v>
      </c>
      <c r="F90" s="26">
        <v>247183283509651.84</v>
      </c>
      <c r="G90" s="26"/>
      <c r="H90" s="26"/>
      <c r="I90" s="25">
        <v>2059</v>
      </c>
      <c r="J90" s="27">
        <v>2069418879929067.5</v>
      </c>
      <c r="K90" s="27">
        <v>83080502201.974548</v>
      </c>
      <c r="L90" s="27">
        <v>38844381754.455994</v>
      </c>
      <c r="M90" s="26"/>
      <c r="N90" s="26"/>
      <c r="O90" s="25">
        <v>2059</v>
      </c>
      <c r="P90" s="27">
        <v>60625383925.715111</v>
      </c>
      <c r="Q90" s="27">
        <v>523049747931.26251</v>
      </c>
      <c r="R90" s="27">
        <v>54361694560449.242</v>
      </c>
      <c r="S90" s="27">
        <v>888321165974832</v>
      </c>
      <c r="T90" s="26"/>
      <c r="U90" s="26"/>
      <c r="V90" s="25">
        <v>2059</v>
      </c>
      <c r="W90" s="26">
        <v>1247574485390.405</v>
      </c>
      <c r="X90" s="26">
        <v>557596025754.55603</v>
      </c>
      <c r="Y90" s="26">
        <v>912889979100.08569</v>
      </c>
      <c r="Z90" s="26"/>
      <c r="AA90" s="26"/>
      <c r="AB90" s="25">
        <v>2059</v>
      </c>
      <c r="AC90" s="27">
        <v>34566192616234.574</v>
      </c>
      <c r="AD90" s="27">
        <v>17125661494.25729</v>
      </c>
      <c r="AE90" s="27">
        <v>786457440.88122666</v>
      </c>
      <c r="AF90" s="26"/>
      <c r="AG90" s="26"/>
      <c r="AH90" s="25">
        <v>2059</v>
      </c>
      <c r="AI90" s="27">
        <v>98231017334.14624</v>
      </c>
      <c r="AJ90" s="27">
        <v>271104368100845.25</v>
      </c>
    </row>
    <row r="91" spans="1:36" ht="16" x14ac:dyDescent="0.2">
      <c r="A91" s="25">
        <v>2060</v>
      </c>
      <c r="B91" s="26">
        <v>1080295646045923.2</v>
      </c>
      <c r="C91" s="26">
        <v>151808087560.61548</v>
      </c>
      <c r="D91" s="26">
        <v>480799429584.16705</v>
      </c>
      <c r="E91" s="26">
        <v>15551690148331.229</v>
      </c>
      <c r="F91" s="26">
        <v>254129228993827.22</v>
      </c>
      <c r="G91" s="26"/>
      <c r="H91" s="26"/>
      <c r="I91" s="25">
        <v>2060</v>
      </c>
      <c r="J91" s="27">
        <v>2127570347616603</v>
      </c>
      <c r="K91" s="27">
        <v>85415096317.317673</v>
      </c>
      <c r="L91" s="27">
        <v>39935923845.013306</v>
      </c>
      <c r="M91" s="26"/>
      <c r="N91" s="26"/>
      <c r="O91" s="25">
        <v>2060</v>
      </c>
      <c r="P91" s="27">
        <v>62328980567.551849</v>
      </c>
      <c r="Q91" s="27">
        <v>537747647332.29688</v>
      </c>
      <c r="R91" s="27">
        <v>55889279118284.148</v>
      </c>
      <c r="S91" s="27">
        <v>913283332929214.12</v>
      </c>
      <c r="T91" s="26"/>
      <c r="U91" s="26"/>
      <c r="V91" s="25">
        <v>2060</v>
      </c>
      <c r="W91" s="26">
        <v>1247574485390.405</v>
      </c>
      <c r="X91" s="26">
        <v>557596025754.55603</v>
      </c>
      <c r="Y91" s="26">
        <v>912889979100.08569</v>
      </c>
      <c r="Z91" s="26"/>
      <c r="AA91" s="26"/>
      <c r="AB91" s="25">
        <v>2060</v>
      </c>
      <c r="AC91" s="27">
        <v>36294502247046.312</v>
      </c>
      <c r="AD91" s="27">
        <v>17981944568.970161</v>
      </c>
      <c r="AE91" s="27">
        <v>825780312.9252882</v>
      </c>
      <c r="AF91" s="26"/>
      <c r="AG91" s="26"/>
      <c r="AH91" s="25">
        <v>2060</v>
      </c>
      <c r="AI91" s="27">
        <v>103142568200.85356</v>
      </c>
      <c r="AJ91" s="27">
        <v>284659586505887.56</v>
      </c>
    </row>
    <row r="93" spans="1:36" ht="16" x14ac:dyDescent="0.2">
      <c r="A93" s="30" t="s">
        <v>102</v>
      </c>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row>
    <row r="94" spans="1:36" ht="16" x14ac:dyDescent="0.2">
      <c r="A94" s="30" t="str">
        <f>A52</f>
        <v>Branch</v>
      </c>
      <c r="B94" s="30" t="str">
        <f t="shared" ref="B94:F94" si="13">B52</f>
        <v>Gasoline Car</v>
      </c>
      <c r="C94" s="30" t="str">
        <f t="shared" si="13"/>
        <v>Electric Car</v>
      </c>
      <c r="D94" s="30" t="str">
        <f t="shared" si="13"/>
        <v>CNG Car</v>
      </c>
      <c r="E94" s="30" t="str">
        <f t="shared" si="13"/>
        <v>Diesel Car</v>
      </c>
      <c r="F94" s="30" t="str">
        <f t="shared" si="13"/>
        <v>BioGasoil Car</v>
      </c>
      <c r="G94" s="30"/>
      <c r="H94" s="30"/>
      <c r="I94" s="30" t="str">
        <f t="shared" ref="I94:L94" si="14">I52</f>
        <v>Branch</v>
      </c>
      <c r="J94" s="30" t="str">
        <f t="shared" si="14"/>
        <v>Gasoline Motorcycle</v>
      </c>
      <c r="K94" s="30" t="str">
        <f t="shared" si="14"/>
        <v>Electric Motorcycle</v>
      </c>
      <c r="L94" s="30" t="str">
        <f t="shared" si="14"/>
        <v>CNG Motorcycle</v>
      </c>
      <c r="M94" s="30"/>
      <c r="N94" s="30"/>
      <c r="O94" s="30" t="str">
        <f t="shared" ref="O94:S94" si="15">O52</f>
        <v>Branch</v>
      </c>
      <c r="P94" s="30" t="str">
        <f t="shared" si="15"/>
        <v>Electric Bus</v>
      </c>
      <c r="Q94" s="30" t="str">
        <f t="shared" si="15"/>
        <v>CNG Bus</v>
      </c>
      <c r="R94" s="30" t="str">
        <f t="shared" si="15"/>
        <v>Diesel Bus</v>
      </c>
      <c r="S94" s="30" t="str">
        <f t="shared" si="15"/>
        <v>BioGasoil Bus</v>
      </c>
      <c r="T94" s="30"/>
      <c r="U94" s="30"/>
      <c r="V94" s="30" t="str">
        <f t="shared" ref="V94:Y94" si="16">V52</f>
        <v>Branch</v>
      </c>
      <c r="W94" s="30" t="str">
        <f t="shared" si="16"/>
        <v>Urban Train</v>
      </c>
      <c r="X94" s="30" t="str">
        <f t="shared" si="16"/>
        <v>Diesel Train</v>
      </c>
      <c r="Y94" s="30" t="str">
        <f t="shared" si="16"/>
        <v>BioGasoil Train</v>
      </c>
      <c r="Z94" s="30"/>
      <c r="AA94" s="30"/>
      <c r="AB94" s="30" t="str">
        <f t="shared" ref="AB94:AE94" si="17">AB52</f>
        <v>Branch</v>
      </c>
      <c r="AC94" s="30" t="str">
        <f t="shared" si="17"/>
        <v>Gasoline Passenger Ship</v>
      </c>
      <c r="AD94" s="30" t="str">
        <f t="shared" si="17"/>
        <v>MFO Passenger Ship</v>
      </c>
      <c r="AE94" s="30" t="str">
        <f t="shared" si="17"/>
        <v>MDF Passenger Ship</v>
      </c>
      <c r="AF94" s="30"/>
      <c r="AG94" s="30"/>
      <c r="AH94" s="30" t="str">
        <f>AH52</f>
        <v>Branch</v>
      </c>
      <c r="AI94" s="30" t="str">
        <f t="shared" ref="AI94:AJ94" si="18">AI52</f>
        <v>Avgas Plane</v>
      </c>
      <c r="AJ94" s="30" t="str">
        <f t="shared" si="18"/>
        <v>Avtur Plane</v>
      </c>
    </row>
    <row r="95" spans="1:36" ht="16" x14ac:dyDescent="0.2">
      <c r="A95" s="32">
        <v>2019</v>
      </c>
      <c r="B95" s="33">
        <f>_xlfn.FORECAST.LINEAR($A95,B$53:B$65,$A$53:$A$65)</f>
        <v>336086293396172</v>
      </c>
      <c r="C95" s="33">
        <f t="shared" ref="C95:F95" si="19">_xlfn.FORECAST.LINEAR($A95,C$53:C$65,$A$53:$A$65)</f>
        <v>47228383861.911133</v>
      </c>
      <c r="D95" s="33">
        <f t="shared" si="19"/>
        <v>149579514411.0625</v>
      </c>
      <c r="E95" s="33">
        <f t="shared" si="19"/>
        <v>4838221756358.125</v>
      </c>
      <c r="F95" s="33">
        <f t="shared" si="19"/>
        <v>79061089368244</v>
      </c>
      <c r="G95" s="34"/>
      <c r="H95" s="34"/>
      <c r="I95" s="32">
        <v>2019</v>
      </c>
      <c r="J95" s="33">
        <f>_xlfn.FORECAST.LINEAR($A95,J$53:J$65,$A$53:$A$65)</f>
        <v>661899577849144</v>
      </c>
      <c r="K95" s="33">
        <f t="shared" ref="K95:L95" si="20">_xlfn.FORECAST.LINEAR($A95,K$53:K$65,$A$53:$A$65)</f>
        <v>26573135998.868652</v>
      </c>
      <c r="L95" s="33">
        <f t="shared" si="20"/>
        <v>12424299466.121948</v>
      </c>
      <c r="M95" s="34"/>
      <c r="N95" s="34"/>
      <c r="O95" s="32">
        <v>2019</v>
      </c>
      <c r="P95" s="33">
        <f>_xlfn.FORECAST.LINEAR($A95,P$53:P$65,$A$53:$A$65)</f>
        <v>19390910374.195801</v>
      </c>
      <c r="Q95" s="33">
        <f t="shared" ref="Q95:S95" si="21">_xlfn.FORECAST.LINEAR($A95,Q$53:Q$65,$A$53:$A$65)</f>
        <v>167296438003.73047</v>
      </c>
      <c r="R95" s="33">
        <f t="shared" si="21"/>
        <v>17387481591914</v>
      </c>
      <c r="S95" s="33">
        <f t="shared" si="21"/>
        <v>284127786044628</v>
      </c>
      <c r="T95" s="34"/>
      <c r="U95" s="34"/>
      <c r="V95" s="32">
        <v>2019</v>
      </c>
      <c r="W95" s="33">
        <f>_xlfn.FORECAST.LINEAR($A95,W$53:W$65,$A$53:$A$65)</f>
        <v>1037414554563.168</v>
      </c>
      <c r="X95" s="33">
        <f t="shared" ref="X95:Y95" si="22">_xlfn.FORECAST.LINEAR($A95,X$53:X$65,$A$53:$A$65)</f>
        <v>463666289635.07422</v>
      </c>
      <c r="Y95" s="33">
        <f t="shared" si="22"/>
        <v>759109265317.28125</v>
      </c>
      <c r="Z95" s="34"/>
      <c r="AA95" s="34"/>
      <c r="AB95" s="32">
        <v>2019</v>
      </c>
      <c r="AC95" s="33">
        <f>_xlfn.FORECAST.LINEAR($A95,AC$53:AC$65,$A$53:$A$65)</f>
        <v>4366544903061</v>
      </c>
      <c r="AD95" s="33">
        <f t="shared" ref="AD95:AE95" si="23">_xlfn.FORECAST.LINEAR($A95,AD$53:AD$65,$A$53:$A$65)</f>
        <v>2163384632.4797363</v>
      </c>
      <c r="AE95" s="33">
        <f t="shared" si="23"/>
        <v>99348567.777795792</v>
      </c>
      <c r="AF95" s="34"/>
      <c r="AG95" s="34"/>
      <c r="AH95" s="32">
        <v>2019</v>
      </c>
      <c r="AI95" s="33">
        <f>_xlfn.FORECAST.LINEAR($A95,AI$53:AI$65,$A$53:$A$65)</f>
        <v>12408949774.267578</v>
      </c>
      <c r="AJ95" s="33">
        <f>_xlfn.FORECAST.LINEAR($A95,AJ$53:AJ$65,$A$53:$A$65)</f>
        <v>34247028877900</v>
      </c>
    </row>
    <row r="96" spans="1:36" ht="16" x14ac:dyDescent="0.2">
      <c r="A96" s="32">
        <v>2020</v>
      </c>
      <c r="B96" s="33">
        <f t="shared" ref="B96:F97" si="24">_xlfn.FORECAST.LINEAR($A96,B$53:B$65,$A$53:$A$65)</f>
        <v>348459311149440</v>
      </c>
      <c r="C96" s="33">
        <f t="shared" si="24"/>
        <v>48967096934.903809</v>
      </c>
      <c r="D96" s="33">
        <f t="shared" si="24"/>
        <v>155086284617.70117</v>
      </c>
      <c r="E96" s="33">
        <f t="shared" si="24"/>
        <v>5016340902726</v>
      </c>
      <c r="F96" s="33">
        <f t="shared" si="24"/>
        <v>81971723576087</v>
      </c>
      <c r="G96" s="34"/>
      <c r="H96" s="34"/>
      <c r="I96" s="32">
        <v>2020</v>
      </c>
      <c r="J96" s="33">
        <f t="shared" ref="J96:L97" si="25">_xlfn.FORECAST.LINEAR($A96,J$53:J$65,$A$53:$A$65)</f>
        <v>686267412505096</v>
      </c>
      <c r="K96" s="33">
        <f t="shared" si="25"/>
        <v>27551426068.813721</v>
      </c>
      <c r="L96" s="33">
        <f t="shared" si="25"/>
        <v>12881700082.829224</v>
      </c>
      <c r="M96" s="34"/>
      <c r="N96" s="34"/>
      <c r="O96" s="32">
        <v>2020</v>
      </c>
      <c r="P96" s="33">
        <f t="shared" ref="P96:S97" si="26">_xlfn.FORECAST.LINEAR($A96,P$53:P$65,$A$53:$A$65)</f>
        <v>20104786789.349609</v>
      </c>
      <c r="Q96" s="33">
        <f t="shared" si="26"/>
        <v>173455456797.86719</v>
      </c>
      <c r="R96" s="33">
        <f t="shared" si="26"/>
        <v>18027601771310.25</v>
      </c>
      <c r="S96" s="33">
        <f t="shared" si="26"/>
        <v>294587951216508</v>
      </c>
      <c r="T96" s="34"/>
      <c r="U96" s="34"/>
      <c r="V96" s="32">
        <v>2020</v>
      </c>
      <c r="W96" s="33">
        <f t="shared" ref="W96:Y97" si="27">_xlfn.FORECAST.LINEAR($A96,W$53:W$65,$A$53:$A$65)</f>
        <v>1045693592360.9004</v>
      </c>
      <c r="X96" s="33">
        <f t="shared" si="27"/>
        <v>467366556534.68359</v>
      </c>
      <c r="Y96" s="33">
        <f t="shared" si="27"/>
        <v>765167300914.07031</v>
      </c>
      <c r="Z96" s="34"/>
      <c r="AA96" s="34"/>
      <c r="AB96" s="32">
        <v>2020</v>
      </c>
      <c r="AC96" s="33">
        <f t="shared" ref="AC96:AE97" si="28">_xlfn.FORECAST.LINEAR($A96,AC$53:AC$65,$A$53:$A$65)</f>
        <v>4741878093085.5</v>
      </c>
      <c r="AD96" s="33">
        <f t="shared" si="28"/>
        <v>2349341738.9301147</v>
      </c>
      <c r="AE96" s="33">
        <f t="shared" si="28"/>
        <v>107888229.15681267</v>
      </c>
      <c r="AF96" s="34"/>
      <c r="AG96" s="34"/>
      <c r="AH96" s="32">
        <v>2020</v>
      </c>
      <c r="AI96" s="33">
        <f t="shared" ref="AI96:AJ97" si="29">_xlfn.FORECAST.LINEAR($A96,AI$53:AI$65,$A$53:$A$65)</f>
        <v>13475580441.541992</v>
      </c>
      <c r="AJ96" s="33">
        <f t="shared" si="29"/>
        <v>37190785757306</v>
      </c>
    </row>
    <row r="97" spans="1:36" ht="16" x14ac:dyDescent="0.2">
      <c r="A97" s="32">
        <v>2021</v>
      </c>
      <c r="B97" s="33">
        <f t="shared" si="24"/>
        <v>360832328902712</v>
      </c>
      <c r="C97" s="33">
        <f t="shared" si="24"/>
        <v>50705810007.896973</v>
      </c>
      <c r="D97" s="33">
        <f t="shared" si="24"/>
        <v>160593054824.33984</v>
      </c>
      <c r="E97" s="33">
        <f t="shared" si="24"/>
        <v>5194460049093.9375</v>
      </c>
      <c r="F97" s="33">
        <f t="shared" si="24"/>
        <v>84882357783931</v>
      </c>
      <c r="G97" s="34"/>
      <c r="H97" s="34"/>
      <c r="I97" s="32">
        <v>2021</v>
      </c>
      <c r="J97" s="33">
        <f t="shared" si="25"/>
        <v>710635247161048</v>
      </c>
      <c r="K97" s="33">
        <f t="shared" si="25"/>
        <v>28529716138.758545</v>
      </c>
      <c r="L97" s="33">
        <f t="shared" si="25"/>
        <v>13339100699.536499</v>
      </c>
      <c r="M97" s="34"/>
      <c r="N97" s="34"/>
      <c r="O97" s="32">
        <v>2021</v>
      </c>
      <c r="P97" s="33">
        <f t="shared" si="26"/>
        <v>20818663204.503418</v>
      </c>
      <c r="Q97" s="33">
        <f t="shared" si="26"/>
        <v>179614475592.00586</v>
      </c>
      <c r="R97" s="33">
        <f t="shared" si="26"/>
        <v>18667721950706.5</v>
      </c>
      <c r="S97" s="33">
        <f t="shared" si="26"/>
        <v>305048116388384</v>
      </c>
      <c r="T97" s="34"/>
      <c r="U97" s="34"/>
      <c r="V97" s="32">
        <v>2021</v>
      </c>
      <c r="W97" s="33">
        <f t="shared" si="27"/>
        <v>1053972630158.6328</v>
      </c>
      <c r="X97" s="33">
        <f t="shared" si="27"/>
        <v>471066823434.29297</v>
      </c>
      <c r="Y97" s="33">
        <f t="shared" si="27"/>
        <v>771225336510.85938</v>
      </c>
      <c r="Z97" s="34"/>
      <c r="AA97" s="34"/>
      <c r="AB97" s="32">
        <v>2021</v>
      </c>
      <c r="AC97" s="33">
        <f t="shared" si="28"/>
        <v>5117211283110.125</v>
      </c>
      <c r="AD97" s="33">
        <f t="shared" si="28"/>
        <v>2535298845.3804321</v>
      </c>
      <c r="AE97" s="33">
        <f t="shared" si="28"/>
        <v>116427890.53582954</v>
      </c>
      <c r="AF97" s="34"/>
      <c r="AG97" s="34"/>
      <c r="AH97" s="32">
        <v>2021</v>
      </c>
      <c r="AI97" s="33">
        <f t="shared" si="29"/>
        <v>14542211108.816406</v>
      </c>
      <c r="AJ97" s="33">
        <f t="shared" si="29"/>
        <v>40134542636711</v>
      </c>
    </row>
    <row r="98" spans="1:36" ht="16" x14ac:dyDescent="0.2">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row>
    <row r="99" spans="1:36" ht="16" x14ac:dyDescent="0.2">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row>
    <row r="100" spans="1:36" ht="16" x14ac:dyDescent="0.2">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row>
    <row r="101" spans="1:36" ht="16" x14ac:dyDescent="0.2">
      <c r="A101" s="30" t="s">
        <v>101</v>
      </c>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row>
    <row r="102" spans="1:36" s="12" customFormat="1" ht="16" x14ac:dyDescent="0.2">
      <c r="A102" s="32" t="str">
        <f t="shared" ref="A102:F102" si="30">A94</f>
        <v>Branch</v>
      </c>
      <c r="B102" s="32" t="str">
        <f t="shared" si="30"/>
        <v>Gasoline Car</v>
      </c>
      <c r="C102" s="32" t="str">
        <f t="shared" si="30"/>
        <v>Electric Car</v>
      </c>
      <c r="D102" s="32" t="str">
        <f t="shared" si="30"/>
        <v>CNG Car</v>
      </c>
      <c r="E102" s="32" t="str">
        <f t="shared" si="30"/>
        <v>Diesel Car</v>
      </c>
      <c r="F102" s="32" t="str">
        <f t="shared" si="30"/>
        <v>BioGasoil Car</v>
      </c>
      <c r="G102" s="32"/>
      <c r="H102" s="32"/>
      <c r="I102" s="32" t="str">
        <f>I94</f>
        <v>Branch</v>
      </c>
      <c r="J102" s="32" t="str">
        <f>J94</f>
        <v>Gasoline Motorcycle</v>
      </c>
      <c r="K102" s="32" t="str">
        <f>K94</f>
        <v>Electric Motorcycle</v>
      </c>
      <c r="L102" s="32" t="str">
        <f>L94</f>
        <v>CNG Motorcycle</v>
      </c>
      <c r="M102" s="32"/>
      <c r="N102" s="32"/>
      <c r="O102" s="32" t="str">
        <f>O94</f>
        <v>Branch</v>
      </c>
      <c r="P102" s="32" t="str">
        <f>P94</f>
        <v>Electric Bus</v>
      </c>
      <c r="Q102" s="32" t="str">
        <f>Q94</f>
        <v>CNG Bus</v>
      </c>
      <c r="R102" s="32" t="str">
        <f>R94</f>
        <v>Diesel Bus</v>
      </c>
      <c r="S102" s="32" t="str">
        <f>S94</f>
        <v>BioGasoil Bus</v>
      </c>
      <c r="T102" s="32"/>
      <c r="U102" s="32"/>
      <c r="V102" s="32" t="str">
        <f>V94</f>
        <v>Branch</v>
      </c>
      <c r="W102" s="32" t="str">
        <f>W94</f>
        <v>Urban Train</v>
      </c>
      <c r="X102" s="32" t="str">
        <f>X94</f>
        <v>Diesel Train</v>
      </c>
      <c r="Y102" s="32" t="str">
        <f>Y94</f>
        <v>BioGasoil Train</v>
      </c>
      <c r="Z102" s="32"/>
      <c r="AA102" s="32"/>
      <c r="AB102" s="32" t="str">
        <f>AB94</f>
        <v>Branch</v>
      </c>
      <c r="AC102" s="32" t="str">
        <f>AC94</f>
        <v>Gasoline Passenger Ship</v>
      </c>
      <c r="AD102" s="32" t="str">
        <f>AD94</f>
        <v>MFO Passenger Ship</v>
      </c>
      <c r="AE102" s="32" t="str">
        <f>AE94</f>
        <v>MDF Passenger Ship</v>
      </c>
      <c r="AF102" s="32"/>
      <c r="AG102" s="32"/>
      <c r="AH102" s="32" t="str">
        <f>AH94</f>
        <v>Branch</v>
      </c>
      <c r="AI102" s="32" t="str">
        <f>AI94</f>
        <v>Avgas Plane</v>
      </c>
      <c r="AJ102" s="32" t="str">
        <f>AJ94</f>
        <v>Avtur Plane</v>
      </c>
    </row>
    <row r="103" spans="1:36" ht="16" x14ac:dyDescent="0.2">
      <c r="A103" s="32">
        <f>A95</f>
        <v>2019</v>
      </c>
      <c r="B103" s="33">
        <f>B45/B95</f>
        <v>5.3392525281148299E-4</v>
      </c>
      <c r="C103" s="33">
        <f t="shared" ref="C103:F103" si="31">C45/C95</f>
        <v>3.8548169292405357E-3</v>
      </c>
      <c r="D103" s="33">
        <f t="shared" si="31"/>
        <v>1.2015195607401124E-3</v>
      </c>
      <c r="E103" s="33">
        <f t="shared" si="31"/>
        <v>6.104155750858406E-4</v>
      </c>
      <c r="F103" s="33">
        <f t="shared" si="31"/>
        <v>6.4059394957595732E-4</v>
      </c>
      <c r="G103" s="35"/>
      <c r="H103" s="35"/>
      <c r="I103" s="32">
        <f>I95</f>
        <v>2019</v>
      </c>
      <c r="J103" s="33">
        <f>J45/J95</f>
        <v>1.1311305355858213E-3</v>
      </c>
      <c r="K103" s="33">
        <f t="shared" ref="K103:L103" si="32">K45/K95</f>
        <v>9.8648567589705791E-3</v>
      </c>
      <c r="L103" s="33">
        <f t="shared" si="32"/>
        <v>1.2056566177618372E-3</v>
      </c>
      <c r="M103" s="35"/>
      <c r="N103" s="35"/>
      <c r="O103" s="32">
        <f>O95</f>
        <v>2019</v>
      </c>
      <c r="P103" s="33">
        <f>P45/P95</f>
        <v>5.8893036418951787E-3</v>
      </c>
      <c r="Q103" s="33">
        <f t="shared" ref="Q103:S103" si="33">Q45/Q95</f>
        <v>1.2411171065195511E-3</v>
      </c>
      <c r="R103" s="33">
        <f t="shared" si="33"/>
        <v>1.0956176988720018E-3</v>
      </c>
      <c r="S103" s="33">
        <f t="shared" si="33"/>
        <v>1.1497840120594071E-3</v>
      </c>
      <c r="T103" s="35"/>
      <c r="U103" s="35"/>
      <c r="V103" s="32">
        <f>V95</f>
        <v>2019</v>
      </c>
      <c r="W103" s="33">
        <f>W45/W95</f>
        <v>3.2433054379144774E-3</v>
      </c>
      <c r="X103" s="33">
        <f t="shared" ref="X103:Y103" si="34">X45/X95</f>
        <v>9.6414357500737807E-4</v>
      </c>
      <c r="Y103" s="33">
        <f t="shared" si="34"/>
        <v>1.0095949100391856E-2</v>
      </c>
      <c r="Z103" s="35"/>
      <c r="AA103" s="35"/>
      <c r="AB103" s="32">
        <f>AB95</f>
        <v>2019</v>
      </c>
      <c r="AC103" s="33">
        <f>AC45/AC95</f>
        <v>2.2779143897302514E-4</v>
      </c>
      <c r="AD103" s="33">
        <f t="shared" ref="AD103:AE103" si="35">AD45/AD95</f>
        <v>8.5088222715209791E-8</v>
      </c>
      <c r="AE103" s="33">
        <f t="shared" si="35"/>
        <v>4.0083410121927371E-9</v>
      </c>
      <c r="AF103" s="35"/>
      <c r="AG103" s="35"/>
      <c r="AH103" s="32">
        <f>AH95</f>
        <v>2019</v>
      </c>
      <c r="AI103" s="33">
        <f>AI45/AI95</f>
        <v>1.9867491393479732E-3</v>
      </c>
      <c r="AJ103" s="33">
        <f>AJ45/AJ95</f>
        <v>1.7989596253723413E-3</v>
      </c>
    </row>
    <row r="104" spans="1:36" ht="16" x14ac:dyDescent="0.2">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9FD3E-C5AB-D841-A030-53B8CEF7287A}">
  <dimension ref="A1:Y188"/>
  <sheetViews>
    <sheetView topLeftCell="G78" workbookViewId="0">
      <selection activeCell="Q103" sqref="Q103"/>
    </sheetView>
  </sheetViews>
  <sheetFormatPr baseColWidth="10" defaultRowHeight="15" x14ac:dyDescent="0.2"/>
  <cols>
    <col min="1" max="1" width="11.1640625" style="12" bestFit="1" customWidth="1"/>
    <col min="2" max="7" width="12.33203125" bestFit="1" customWidth="1"/>
    <col min="9" max="9" width="12.1640625" bestFit="1" customWidth="1"/>
    <col min="10" max="10" width="16.5" style="12" customWidth="1"/>
    <col min="11" max="11" width="12.1640625" bestFit="1" customWidth="1"/>
    <col min="12" max="12" width="11.1640625" bestFit="1" customWidth="1"/>
    <col min="15" max="15" width="11.1640625" style="12" bestFit="1" customWidth="1"/>
    <col min="16" max="16" width="24.6640625" customWidth="1"/>
    <col min="17" max="17" width="20.33203125" customWidth="1"/>
    <col min="18" max="18" width="24.83203125" customWidth="1"/>
    <col min="19" max="19" width="12.33203125" bestFit="1" customWidth="1"/>
    <col min="22" max="22" width="11.1640625" style="12" bestFit="1" customWidth="1"/>
    <col min="23" max="23" width="12.1640625" bestFit="1" customWidth="1"/>
    <col min="24" max="24" width="12.33203125" bestFit="1" customWidth="1"/>
  </cols>
  <sheetData>
    <row r="1" spans="1:24" ht="16" x14ac:dyDescent="0.2">
      <c r="A1" s="28" t="s">
        <v>100</v>
      </c>
    </row>
    <row r="2" spans="1:24" s="12" customFormat="1" ht="16" x14ac:dyDescent="0.2">
      <c r="A2" s="25" t="str" cm="1">
        <f t="array" ref="A2:G41">TRANSPOSE('Conversion - LA - frgt'!A6:AN12)</f>
        <v>Branch</v>
      </c>
      <c r="B2" s="25" t="str">
        <v>Light Truck</v>
      </c>
      <c r="C2" s="25" t="str">
        <v>Medium Truck</v>
      </c>
      <c r="D2" s="25" t="str">
        <v>Heavy Truck</v>
      </c>
      <c r="E2" s="25" t="str">
        <v>Biodiesel Light Truck</v>
      </c>
      <c r="F2" s="25" t="str">
        <v>Biodiesel Medium Truck</v>
      </c>
      <c r="G2" s="25" t="str">
        <v>Biodiesel Heavy Truck</v>
      </c>
      <c r="H2" s="25"/>
      <c r="I2" s="25"/>
      <c r="J2" s="25" t="str" cm="1">
        <f t="array" ref="J2:L41">TRANSPOSE('Conversion - LA - frgt'!A20:AN22)</f>
        <v>Branch</v>
      </c>
      <c r="K2" s="25" t="str">
        <v>Diesel Train</v>
      </c>
      <c r="L2" s="25" t="str">
        <v>BioGasoil Train</v>
      </c>
      <c r="M2" s="25"/>
      <c r="N2" s="25"/>
      <c r="O2" s="25" t="str" cm="1">
        <f t="array" ref="O2:S41">TRANSPOSE('Conversion - LA - frgt'!A30:AN34)</f>
        <v>Branch</v>
      </c>
      <c r="P2" s="25" t="str">
        <v>MFO Freight Ship</v>
      </c>
      <c r="Q2" s="25" t="str">
        <v>MDF Freight Ship</v>
      </c>
      <c r="R2" s="25" t="str">
        <v>Diesel Freight Ship</v>
      </c>
      <c r="S2" s="25" t="str">
        <v>BioGasoil Freight Ship</v>
      </c>
      <c r="T2" s="25"/>
      <c r="U2" s="25"/>
      <c r="V2" s="25" t="str" cm="1">
        <f t="array" ref="V2:X41">TRANSPOSE('Conversion - LA - frgt'!A42:AN44)</f>
        <v>Branch</v>
      </c>
      <c r="W2" s="25" t="str">
        <v>Avgas Plane</v>
      </c>
      <c r="X2" s="25" t="str">
        <v>Avtur Plane</v>
      </c>
    </row>
    <row r="3" spans="1:24" ht="16" x14ac:dyDescent="0.2">
      <c r="A3" s="25">
        <v>2022</v>
      </c>
      <c r="B3" s="27">
        <v>10106813507.470526</v>
      </c>
      <c r="C3" s="27">
        <v>11025188772.86887</v>
      </c>
      <c r="D3" s="27">
        <v>2295938163.4958534</v>
      </c>
      <c r="E3" s="27">
        <v>173319928914.86206</v>
      </c>
      <c r="F3" s="27">
        <v>189068981333.64417</v>
      </c>
      <c r="G3" s="27">
        <v>39372631046.955215</v>
      </c>
      <c r="H3" s="26"/>
      <c r="I3" s="26"/>
      <c r="J3" s="25">
        <v>2022</v>
      </c>
      <c r="K3" s="27">
        <v>475049.33560207306</v>
      </c>
      <c r="L3" s="27">
        <v>8146535.7025480736</v>
      </c>
      <c r="M3" s="26"/>
      <c r="N3" s="26"/>
      <c r="O3" s="25">
        <v>2022</v>
      </c>
      <c r="P3" s="27">
        <v>30924827.600194439</v>
      </c>
      <c r="Q3" s="27">
        <v>1351905.0317024605</v>
      </c>
      <c r="R3" s="27">
        <v>91334011.090491429</v>
      </c>
      <c r="S3" s="27">
        <v>1566270545.9057233</v>
      </c>
      <c r="T3" s="26"/>
      <c r="U3" s="26"/>
      <c r="V3" s="25">
        <v>2022</v>
      </c>
      <c r="W3" s="27">
        <v>3016876.4265338746</v>
      </c>
      <c r="X3" s="27">
        <v>7539174189.9069729</v>
      </c>
    </row>
    <row r="4" spans="1:24" ht="16" x14ac:dyDescent="0.2">
      <c r="A4" s="25">
        <v>2023</v>
      </c>
      <c r="B4" s="27">
        <v>10617460259.935474</v>
      </c>
      <c r="C4" s="27">
        <v>11582236435.618071</v>
      </c>
      <c r="D4" s="27">
        <v>2411940439.2064815</v>
      </c>
      <c r="E4" s="27">
        <v>182076918323.28549</v>
      </c>
      <c r="F4" s="27">
        <v>198621691615.52655</v>
      </c>
      <c r="G4" s="27">
        <v>41361933230.602631</v>
      </c>
      <c r="H4" s="26"/>
      <c r="I4" s="26"/>
      <c r="J4" s="25">
        <v>2023</v>
      </c>
      <c r="K4" s="27">
        <v>499051.20328336774</v>
      </c>
      <c r="L4" s="27">
        <v>8558139.4189193137</v>
      </c>
      <c r="M4" s="26"/>
      <c r="N4" s="26"/>
      <c r="O4" s="25">
        <v>2023</v>
      </c>
      <c r="P4" s="27">
        <v>32487304.514694262</v>
      </c>
      <c r="Q4" s="27">
        <v>1420210.0334292271</v>
      </c>
      <c r="R4" s="27">
        <v>95948662.000838488</v>
      </c>
      <c r="S4" s="27">
        <v>1645406365.2376099</v>
      </c>
      <c r="T4" s="26"/>
      <c r="U4" s="26"/>
      <c r="V4" s="25">
        <v>2023</v>
      </c>
      <c r="W4" s="27">
        <v>3169304.1079844986</v>
      </c>
      <c r="X4" s="27">
        <v>7920090965.8520222</v>
      </c>
    </row>
    <row r="5" spans="1:24" ht="16" x14ac:dyDescent="0.2">
      <c r="A5" s="25">
        <v>2024</v>
      </c>
      <c r="B5" s="27">
        <v>11153907439.568716</v>
      </c>
      <c r="C5" s="27">
        <v>12167428931.527672</v>
      </c>
      <c r="D5" s="27">
        <v>2533803729.8973894</v>
      </c>
      <c r="E5" s="27">
        <v>191276354621.56949</v>
      </c>
      <c r="F5" s="27">
        <v>208657052584.40103</v>
      </c>
      <c r="G5" s="27">
        <v>43451744907.078827</v>
      </c>
      <c r="H5" s="26"/>
      <c r="I5" s="26"/>
      <c r="J5" s="25">
        <v>2024</v>
      </c>
      <c r="K5" s="27">
        <v>524265.76532925986</v>
      </c>
      <c r="L5" s="27">
        <v>8990539.4130602106</v>
      </c>
      <c r="M5" s="26"/>
      <c r="N5" s="26"/>
      <c r="O5" s="25">
        <v>2024</v>
      </c>
      <c r="P5" s="27">
        <v>34128725.575299188</v>
      </c>
      <c r="Q5" s="27">
        <v>1491966.1453682389</v>
      </c>
      <c r="R5" s="27">
        <v>100796468.14843085</v>
      </c>
      <c r="S5" s="27">
        <v>1728540521.8412402</v>
      </c>
      <c r="T5" s="26"/>
      <c r="U5" s="26"/>
      <c r="V5" s="25">
        <v>2024</v>
      </c>
      <c r="W5" s="27">
        <v>3329433.1980404141</v>
      </c>
      <c r="X5" s="27">
        <v>8320253561.9016933</v>
      </c>
    </row>
    <row r="6" spans="1:24" ht="16" x14ac:dyDescent="0.2">
      <c r="A6" s="25">
        <v>2025</v>
      </c>
      <c r="B6" s="27">
        <v>11717458612.952923</v>
      </c>
      <c r="C6" s="27">
        <v>12782188278.293104</v>
      </c>
      <c r="D6" s="27">
        <v>2661824163.3504539</v>
      </c>
      <c r="E6" s="27">
        <v>200940592438.82425</v>
      </c>
      <c r="F6" s="27">
        <v>219199450166.22781</v>
      </c>
      <c r="G6" s="27">
        <v>45647144318.50898</v>
      </c>
      <c r="H6" s="26"/>
      <c r="I6" s="26"/>
      <c r="J6" s="25">
        <v>2025</v>
      </c>
      <c r="K6" s="27">
        <v>550754.29312252067</v>
      </c>
      <c r="L6" s="27">
        <v>9444786.4169050772</v>
      </c>
      <c r="M6" s="26"/>
      <c r="N6" s="26"/>
      <c r="O6" s="25">
        <v>2025</v>
      </c>
      <c r="P6" s="27">
        <v>35853079.434991181</v>
      </c>
      <c r="Q6" s="27">
        <v>1567347.7348629693</v>
      </c>
      <c r="R6" s="27">
        <v>105889209.70163031</v>
      </c>
      <c r="S6" s="27">
        <v>1815875031.7072685</v>
      </c>
      <c r="T6" s="26"/>
      <c r="U6" s="26"/>
      <c r="V6" s="25">
        <v>2025</v>
      </c>
      <c r="W6" s="27">
        <v>3497652.8103714064</v>
      </c>
      <c r="X6" s="27">
        <v>8740634373.1167774</v>
      </c>
    </row>
    <row r="7" spans="1:24" ht="16" x14ac:dyDescent="0.2">
      <c r="A7" s="25">
        <v>2026</v>
      </c>
      <c r="B7" s="27">
        <v>12309483209.372368</v>
      </c>
      <c r="C7" s="27">
        <v>13428008341.053864</v>
      </c>
      <c r="D7" s="27">
        <v>2796312829.2037358</v>
      </c>
      <c r="E7" s="27">
        <v>211093115871.79584</v>
      </c>
      <c r="F7" s="27">
        <v>230274502385.8765</v>
      </c>
      <c r="G7" s="27">
        <v>47953466285.201645</v>
      </c>
      <c r="H7" s="26"/>
      <c r="I7" s="26"/>
      <c r="J7" s="25">
        <v>2026</v>
      </c>
      <c r="K7" s="27">
        <v>578581.15378253604</v>
      </c>
      <c r="L7" s="27">
        <v>9921984.2506192084</v>
      </c>
      <c r="M7" s="26"/>
      <c r="N7" s="26"/>
      <c r="O7" s="25">
        <v>2026</v>
      </c>
      <c r="P7" s="27">
        <v>37664556.273444101</v>
      </c>
      <c r="Q7" s="27">
        <v>1646537.9791669203</v>
      </c>
      <c r="R7" s="27">
        <v>111239262.02180515</v>
      </c>
      <c r="S7" s="27">
        <v>1907622117.684278</v>
      </c>
      <c r="T7" s="26"/>
      <c r="U7" s="26"/>
      <c r="V7" s="25">
        <v>2026</v>
      </c>
      <c r="W7" s="27">
        <v>3674371.718615422</v>
      </c>
      <c r="X7" s="27">
        <v>9182254924.8185024</v>
      </c>
    </row>
    <row r="8" spans="1:24" ht="16" x14ac:dyDescent="0.2">
      <c r="A8" s="25">
        <v>2027</v>
      </c>
      <c r="B8" s="27">
        <v>12931419848.525908</v>
      </c>
      <c r="C8" s="27">
        <v>14106458462.485609</v>
      </c>
      <c r="D8" s="27">
        <v>2937596534.8992543</v>
      </c>
      <c r="E8" s="27">
        <v>221758595551.21835</v>
      </c>
      <c r="F8" s="27">
        <v>241909121618.92288</v>
      </c>
      <c r="G8" s="27">
        <v>50376315169.261452</v>
      </c>
      <c r="H8" s="26"/>
      <c r="I8" s="26"/>
      <c r="J8" s="25">
        <v>2027</v>
      </c>
      <c r="K8" s="27">
        <v>607813.96657739882</v>
      </c>
      <c r="L8" s="27">
        <v>10423292.504881743</v>
      </c>
      <c r="M8" s="26"/>
      <c r="N8" s="26"/>
      <c r="O8" s="25">
        <v>2027</v>
      </c>
      <c r="P8" s="27">
        <v>39567557.979159869</v>
      </c>
      <c r="Q8" s="27">
        <v>1729729.3105643289</v>
      </c>
      <c r="R8" s="27">
        <v>116859625.73545687</v>
      </c>
      <c r="S8" s="27">
        <v>2004004725.1802762</v>
      </c>
      <c r="T8" s="26"/>
      <c r="U8" s="26"/>
      <c r="V8" s="25">
        <v>2027</v>
      </c>
      <c r="W8" s="27">
        <v>3860019.3496984662</v>
      </c>
      <c r="X8" s="27">
        <v>9646188354.8949585</v>
      </c>
    </row>
    <row r="9" spans="1:24" ht="16" x14ac:dyDescent="0.2">
      <c r="A9" s="25">
        <v>2028</v>
      </c>
      <c r="B9" s="27">
        <v>13584779836.372681</v>
      </c>
      <c r="C9" s="27">
        <v>14819187276.302698</v>
      </c>
      <c r="D9" s="27">
        <v>3086018599.8250403</v>
      </c>
      <c r="E9" s="27">
        <v>232962948591.4437</v>
      </c>
      <c r="F9" s="27">
        <v>254131579988.71906</v>
      </c>
      <c r="G9" s="27">
        <v>52921578493.188393</v>
      </c>
      <c r="H9" s="26"/>
      <c r="I9" s="26"/>
      <c r="J9" s="25">
        <v>2028</v>
      </c>
      <c r="K9" s="27">
        <v>638523.76723872183</v>
      </c>
      <c r="L9" s="27">
        <v>10949929.358690893</v>
      </c>
      <c r="M9" s="26"/>
      <c r="N9" s="26"/>
      <c r="O9" s="25">
        <v>2028</v>
      </c>
      <c r="P9" s="27">
        <v>41566708.846056931</v>
      </c>
      <c r="Q9" s="27">
        <v>1817123.883980592</v>
      </c>
      <c r="R9" s="27">
        <v>122763958.32574087</v>
      </c>
      <c r="S9" s="27">
        <v>2105257063.9200101</v>
      </c>
      <c r="T9" s="26"/>
      <c r="U9" s="26"/>
      <c r="V9" s="25">
        <v>2028</v>
      </c>
      <c r="W9" s="27">
        <v>4055046.8273419817</v>
      </c>
      <c r="X9" s="27">
        <v>10133562021.526028</v>
      </c>
    </row>
    <row r="10" spans="1:24" ht="16" x14ac:dyDescent="0.2">
      <c r="A10" s="25">
        <v>2029</v>
      </c>
      <c r="B10" s="27">
        <v>14271150837.605412</v>
      </c>
      <c r="C10" s="27">
        <v>15567926713.437895</v>
      </c>
      <c r="D10" s="27">
        <v>3241939689.5812001</v>
      </c>
      <c r="E10" s="27">
        <v>244733401569.0264</v>
      </c>
      <c r="F10" s="27">
        <v>266971578067.64905</v>
      </c>
      <c r="G10" s="27">
        <v>55595441246.55674</v>
      </c>
      <c r="H10" s="26"/>
      <c r="I10" s="26"/>
      <c r="J10" s="25">
        <v>2029</v>
      </c>
      <c r="K10" s="27">
        <v>670785.18057845836</v>
      </c>
      <c r="L10" s="27">
        <v>11503174.539538752</v>
      </c>
      <c r="M10" s="26"/>
      <c r="N10" s="26"/>
      <c r="O10" s="25">
        <v>2029</v>
      </c>
      <c r="P10" s="27">
        <v>43666866.810503952</v>
      </c>
      <c r="Q10" s="27">
        <v>1908934.0682187115</v>
      </c>
      <c r="R10" s="27">
        <v>128966607.32014892</v>
      </c>
      <c r="S10" s="27">
        <v>2211625177.0745687</v>
      </c>
      <c r="T10" s="26"/>
      <c r="U10" s="26"/>
      <c r="V10" s="25">
        <v>2029</v>
      </c>
      <c r="W10" s="27">
        <v>4259928.0682934355</v>
      </c>
      <c r="X10" s="27">
        <v>10645560242.663631</v>
      </c>
    </row>
    <row r="11" spans="1:24" ht="16" x14ac:dyDescent="0.2">
      <c r="A11" s="25">
        <v>2030</v>
      </c>
      <c r="B11" s="27">
        <v>14992200733.675425</v>
      </c>
      <c r="C11" s="27">
        <v>16354496210.634342</v>
      </c>
      <c r="D11" s="27">
        <v>3405738692.3972912</v>
      </c>
      <c r="E11" s="27">
        <v>257098556683.30142</v>
      </c>
      <c r="F11" s="27">
        <v>280460317049.51703</v>
      </c>
      <c r="G11" s="27">
        <v>58404400915.539024</v>
      </c>
      <c r="H11" s="26"/>
      <c r="I11" s="26"/>
      <c r="J11" s="25">
        <v>2030</v>
      </c>
      <c r="K11" s="27">
        <v>704676.6018271849</v>
      </c>
      <c r="L11" s="27">
        <v>12084372.433148947</v>
      </c>
      <c r="M11" s="26"/>
      <c r="N11" s="26"/>
      <c r="O11" s="25">
        <v>2030</v>
      </c>
      <c r="P11" s="27">
        <v>45873135.256104663</v>
      </c>
      <c r="Q11" s="27">
        <v>2005382.9620154619</v>
      </c>
      <c r="R11" s="27">
        <v>135482645.15499943</v>
      </c>
      <c r="S11" s="27">
        <v>2323367539.1462612</v>
      </c>
      <c r="T11" s="26"/>
      <c r="U11" s="26"/>
      <c r="V11" s="25">
        <v>2030</v>
      </c>
      <c r="W11" s="27">
        <v>4475160.9339439608</v>
      </c>
      <c r="X11" s="27">
        <v>11183427173.92421</v>
      </c>
    </row>
    <row r="12" spans="1:24" ht="16" x14ac:dyDescent="0.2">
      <c r="A12" s="25">
        <v>2031</v>
      </c>
      <c r="B12" s="27">
        <v>15749681675.744377</v>
      </c>
      <c r="C12" s="27">
        <v>17180807131.676643</v>
      </c>
      <c r="D12" s="27">
        <v>3577813639.8306637</v>
      </c>
      <c r="E12" s="27">
        <v>270088461259.72528</v>
      </c>
      <c r="F12" s="27">
        <v>294630574568.44391</v>
      </c>
      <c r="G12" s="27">
        <v>61355283271.796638</v>
      </c>
      <c r="H12" s="26"/>
      <c r="I12" s="26"/>
      <c r="J12" s="25">
        <v>2031</v>
      </c>
      <c r="K12" s="27">
        <v>740280.38713450334</v>
      </c>
      <c r="L12" s="27">
        <v>12694935.350333799</v>
      </c>
      <c r="M12" s="26"/>
      <c r="N12" s="26"/>
      <c r="O12" s="25">
        <v>2031</v>
      </c>
      <c r="P12" s="27">
        <v>48190875.414919354</v>
      </c>
      <c r="Q12" s="27">
        <v>2106704.9361712933</v>
      </c>
      <c r="R12" s="27">
        <v>142327905.80145577</v>
      </c>
      <c r="S12" s="27">
        <v>2440755684.061626</v>
      </c>
      <c r="T12" s="26"/>
      <c r="U12" s="26"/>
      <c r="V12" s="25">
        <v>2031</v>
      </c>
      <c r="W12" s="27">
        <v>4701268.4401314799</v>
      </c>
      <c r="X12" s="27">
        <v>11748469831.886732</v>
      </c>
    </row>
    <row r="13" spans="1:24" ht="16" x14ac:dyDescent="0.2">
      <c r="A13" s="25">
        <v>2032</v>
      </c>
      <c r="B13" s="27">
        <v>16545434342.411362</v>
      </c>
      <c r="C13" s="27">
        <v>18048867412.004604</v>
      </c>
      <c r="D13" s="27">
        <v>3758582673.9831085</v>
      </c>
      <c r="E13" s="27">
        <v>283734680764.87292</v>
      </c>
      <c r="F13" s="27">
        <v>309516784348.51459</v>
      </c>
      <c r="G13" s="27">
        <v>64455258959.104172</v>
      </c>
      <c r="H13" s="26"/>
      <c r="I13" s="26"/>
      <c r="J13" s="25">
        <v>2032</v>
      </c>
      <c r="K13" s="27">
        <v>777683.05369447428</v>
      </c>
      <c r="L13" s="27">
        <v>13336346.958909417</v>
      </c>
      <c r="M13" s="26"/>
      <c r="N13" s="26"/>
      <c r="O13" s="25">
        <v>2032</v>
      </c>
      <c r="P13" s="27">
        <v>50625719.395258166</v>
      </c>
      <c r="Q13" s="27">
        <v>2213146.2030713479</v>
      </c>
      <c r="R13" s="27">
        <v>149519023.24207434</v>
      </c>
      <c r="S13" s="27">
        <v>2564074864.9988403</v>
      </c>
      <c r="T13" s="26"/>
      <c r="U13" s="26"/>
      <c r="V13" s="25">
        <v>2032</v>
      </c>
      <c r="W13" s="27">
        <v>4938800.0280691236</v>
      </c>
      <c r="X13" s="27">
        <v>12342061270.142811</v>
      </c>
    </row>
    <row r="14" spans="1:24" ht="16" x14ac:dyDescent="0.2">
      <c r="A14" s="25">
        <v>2033</v>
      </c>
      <c r="B14" s="27">
        <v>17381392412.561695</v>
      </c>
      <c r="C14" s="27">
        <v>18960786437.99614</v>
      </c>
      <c r="D14" s="27">
        <v>3948485063.5861049</v>
      </c>
      <c r="E14" s="27">
        <v>298070375510.51807</v>
      </c>
      <c r="F14" s="27">
        <v>325155119877.72327</v>
      </c>
      <c r="G14" s="27">
        <v>67711860918.012901</v>
      </c>
      <c r="H14" s="26"/>
      <c r="I14" s="26"/>
      <c r="J14" s="25">
        <v>2033</v>
      </c>
      <c r="K14" s="27">
        <v>816975.48998238763</v>
      </c>
      <c r="L14" s="27">
        <v>14010165.889008315</v>
      </c>
      <c r="M14" s="26"/>
      <c r="N14" s="26"/>
      <c r="O14" s="25">
        <v>2033</v>
      </c>
      <c r="P14" s="27">
        <v>53183583.867703579</v>
      </c>
      <c r="Q14" s="27">
        <v>2324965.4149815277</v>
      </c>
      <c r="R14" s="27">
        <v>157073471.89138016</v>
      </c>
      <c r="S14" s="27">
        <v>2693624747.5529065</v>
      </c>
      <c r="T14" s="26"/>
      <c r="U14" s="26"/>
      <c r="V14" s="25">
        <v>2033</v>
      </c>
      <c r="W14" s="27">
        <v>5188332.8994873157</v>
      </c>
      <c r="X14" s="27">
        <v>12965643915.816778</v>
      </c>
    </row>
    <row r="15" spans="1:24" ht="16" x14ac:dyDescent="0.2">
      <c r="A15" s="25">
        <v>2034</v>
      </c>
      <c r="B15" s="27">
        <v>18259587264.206375</v>
      </c>
      <c r="C15" s="27">
        <v>19918780172.775898</v>
      </c>
      <c r="D15" s="27">
        <v>4147982271.4237928</v>
      </c>
      <c r="E15" s="27">
        <v>313130381233.18707</v>
      </c>
      <c r="F15" s="27">
        <v>341583582309.54529</v>
      </c>
      <c r="G15" s="27">
        <v>71133002690.895508</v>
      </c>
      <c r="H15" s="26"/>
      <c r="I15" s="26"/>
      <c r="J15" s="25">
        <v>2034</v>
      </c>
      <c r="K15" s="27">
        <v>858253.17661374796</v>
      </c>
      <c r="L15" s="27">
        <v>14718029.52055046</v>
      </c>
      <c r="M15" s="26"/>
      <c r="N15" s="26"/>
      <c r="O15" s="25">
        <v>2034</v>
      </c>
      <c r="P15" s="27">
        <v>55870684.442619309</v>
      </c>
      <c r="Q15" s="27">
        <v>2442434.2925734697</v>
      </c>
      <c r="R15" s="27">
        <v>165009609.05869216</v>
      </c>
      <c r="S15" s="27">
        <v>2829720137.9230175</v>
      </c>
      <c r="T15" s="26"/>
      <c r="U15" s="26"/>
      <c r="V15" s="25">
        <v>2034</v>
      </c>
      <c r="W15" s="27">
        <v>5450473.4192339145</v>
      </c>
      <c r="X15" s="27">
        <v>13620733074.663422</v>
      </c>
    </row>
    <row r="16" spans="1:24" ht="16" x14ac:dyDescent="0.2">
      <c r="A16" s="25">
        <v>2035</v>
      </c>
      <c r="B16" s="27">
        <v>19182152910.7304</v>
      </c>
      <c r="C16" s="27">
        <v>20925176541.005394</v>
      </c>
      <c r="D16" s="27">
        <v>4357559075.687479</v>
      </c>
      <c r="E16" s="27">
        <v>328951293744.99371</v>
      </c>
      <c r="F16" s="27">
        <v>358842092805.73492</v>
      </c>
      <c r="G16" s="27">
        <v>74726997651.852997</v>
      </c>
      <c r="H16" s="26"/>
      <c r="I16" s="26"/>
      <c r="J16" s="25">
        <v>2035</v>
      </c>
      <c r="K16" s="27">
        <v>901616.4183621573</v>
      </c>
      <c r="L16" s="27">
        <v>15461657.962076269</v>
      </c>
      <c r="M16" s="26"/>
      <c r="N16" s="26"/>
      <c r="O16" s="25">
        <v>2035</v>
      </c>
      <c r="P16" s="27">
        <v>58693550.774082646</v>
      </c>
      <c r="Q16" s="27">
        <v>2565838.2852057442</v>
      </c>
      <c r="R16" s="27">
        <v>173346719.55638257</v>
      </c>
      <c r="S16" s="27">
        <v>2972691747.8915777</v>
      </c>
      <c r="T16" s="26"/>
      <c r="U16" s="26"/>
      <c r="V16" s="25">
        <v>2035</v>
      </c>
      <c r="W16" s="27">
        <v>5725858.5887407055</v>
      </c>
      <c r="X16" s="27">
        <v>14308920613.260784</v>
      </c>
    </row>
    <row r="17" spans="1:24" ht="16" x14ac:dyDescent="0.2">
      <c r="A17" s="25">
        <v>2036</v>
      </c>
      <c r="B17" s="27">
        <v>20151331186.545055</v>
      </c>
      <c r="C17" s="27">
        <v>21982421085.739693</v>
      </c>
      <c r="D17" s="27">
        <v>4577724747.9865894</v>
      </c>
      <c r="E17" s="27">
        <v>345571557861.45959</v>
      </c>
      <c r="F17" s="27">
        <v>376972589544.74475</v>
      </c>
      <c r="G17" s="27">
        <v>78502579208.21286</v>
      </c>
      <c r="H17" s="26"/>
      <c r="I17" s="26"/>
      <c r="J17" s="25">
        <v>2036</v>
      </c>
      <c r="K17" s="27">
        <v>947170.58789990528</v>
      </c>
      <c r="L17" s="27">
        <v>16242858.230610171</v>
      </c>
      <c r="M17" s="26"/>
      <c r="N17" s="26"/>
      <c r="O17" s="25">
        <v>2036</v>
      </c>
      <c r="P17" s="27">
        <v>61659042.426943161</v>
      </c>
      <c r="Q17" s="27">
        <v>2695477.264565764</v>
      </c>
      <c r="R17" s="27">
        <v>182105062.5619688</v>
      </c>
      <c r="S17" s="27">
        <v>3122886998.4537988</v>
      </c>
      <c r="T17" s="26"/>
      <c r="U17" s="26"/>
      <c r="V17" s="25">
        <v>2036</v>
      </c>
      <c r="W17" s="27">
        <v>6015157.5939368298</v>
      </c>
      <c r="X17" s="27">
        <v>15031878827.245789</v>
      </c>
    </row>
    <row r="18" spans="1:24" ht="16" x14ac:dyDescent="0.2">
      <c r="A18" s="25">
        <v>2037</v>
      </c>
      <c r="B18" s="27">
        <v>21169477194.745235</v>
      </c>
      <c r="C18" s="27">
        <v>23093082911.096684</v>
      </c>
      <c r="D18" s="27">
        <v>4809014290.8786106</v>
      </c>
      <c r="E18" s="27">
        <v>363031560822.40973</v>
      </c>
      <c r="F18" s="27">
        <v>396019129631.49286</v>
      </c>
      <c r="G18" s="27">
        <v>82468922022.707809</v>
      </c>
      <c r="H18" s="26"/>
      <c r="I18" s="26"/>
      <c r="J18" s="25">
        <v>2037</v>
      </c>
      <c r="K18" s="27">
        <v>995026.38185354776</v>
      </c>
      <c r="L18" s="27">
        <v>17063528.642711747</v>
      </c>
      <c r="M18" s="26"/>
      <c r="N18" s="26"/>
      <c r="O18" s="25">
        <v>2037</v>
      </c>
      <c r="P18" s="27">
        <v>64774365.545564465</v>
      </c>
      <c r="Q18" s="27">
        <v>2831666.2533579492</v>
      </c>
      <c r="R18" s="27">
        <v>191305920.84791222</v>
      </c>
      <c r="S18" s="27">
        <v>3280670864.0506773</v>
      </c>
      <c r="T18" s="26"/>
      <c r="U18" s="26"/>
      <c r="V18" s="25">
        <v>2037</v>
      </c>
      <c r="W18" s="27">
        <v>6319073.4313704865</v>
      </c>
      <c r="X18" s="27">
        <v>15791364504.992376</v>
      </c>
    </row>
    <row r="19" spans="1:24" ht="16" x14ac:dyDescent="0.2">
      <c r="A19" s="25">
        <v>2038</v>
      </c>
      <c r="B19" s="27">
        <v>22239065030.009743</v>
      </c>
      <c r="C19" s="27">
        <v>24259860925.179852</v>
      </c>
      <c r="D19" s="27">
        <v>5051989737.9252539</v>
      </c>
      <c r="E19" s="27">
        <v>381373730432.9621</v>
      </c>
      <c r="F19" s="27">
        <v>416027996156.12415</v>
      </c>
      <c r="G19" s="27">
        <v>86635664307.905136</v>
      </c>
      <c r="H19" s="26"/>
      <c r="I19" s="26"/>
      <c r="J19" s="25">
        <v>2038</v>
      </c>
      <c r="K19" s="27">
        <v>1045300.0897966987</v>
      </c>
      <c r="L19" s="27">
        <v>17925663.427384764</v>
      </c>
      <c r="M19" s="26"/>
      <c r="N19" s="26"/>
      <c r="O19" s="25">
        <v>2038</v>
      </c>
      <c r="P19" s="27">
        <v>68047090.364754096</v>
      </c>
      <c r="Q19" s="27">
        <v>2974736.1908088597</v>
      </c>
      <c r="R19" s="27">
        <v>200971652.49875295</v>
      </c>
      <c r="S19" s="27">
        <v>3446426759.4568377</v>
      </c>
      <c r="T19" s="26"/>
      <c r="U19" s="26"/>
      <c r="V19" s="25">
        <v>2038</v>
      </c>
      <c r="W19" s="27">
        <v>6638344.6164904824</v>
      </c>
      <c r="X19" s="27">
        <v>16589223196.607119</v>
      </c>
    </row>
    <row r="20" spans="1:24" ht="16" x14ac:dyDescent="0.2">
      <c r="A20" s="25">
        <v>2039</v>
      </c>
      <c r="B20" s="27">
        <v>23362693790.65099</v>
      </c>
      <c r="C20" s="27">
        <v>25485590398.424561</v>
      </c>
      <c r="D20" s="27">
        <v>5307241519.4339266</v>
      </c>
      <c r="E20" s="27">
        <v>400642638163.08746</v>
      </c>
      <c r="F20" s="27">
        <v>437047810661.91229</v>
      </c>
      <c r="G20" s="27">
        <v>91012931247.062042</v>
      </c>
      <c r="H20" s="26"/>
      <c r="I20" s="26"/>
      <c r="J20" s="25">
        <v>2039</v>
      </c>
      <c r="K20" s="27">
        <v>1098113.8768336764</v>
      </c>
      <c r="L20" s="27">
        <v>18831357.572053377</v>
      </c>
      <c r="M20" s="26"/>
      <c r="N20" s="26"/>
      <c r="O20" s="25">
        <v>2039</v>
      </c>
      <c r="P20" s="27">
        <v>71485169.605433285</v>
      </c>
      <c r="Q20" s="27">
        <v>3125034.7368494761</v>
      </c>
      <c r="R20" s="27">
        <v>211125745.24125242</v>
      </c>
      <c r="S20" s="27">
        <v>3620557471.4783936</v>
      </c>
      <c r="T20" s="26"/>
      <c r="U20" s="26"/>
      <c r="V20" s="25">
        <v>2039</v>
      </c>
      <c r="W20" s="27">
        <v>6973746.9782386618</v>
      </c>
      <c r="X20" s="27">
        <v>17427393698.615692</v>
      </c>
    </row>
    <row r="21" spans="1:24" ht="16" x14ac:dyDescent="0.2">
      <c r="A21" s="25">
        <v>2040</v>
      </c>
      <c r="B21" s="27">
        <v>24543093894.423622</v>
      </c>
      <c r="C21" s="27">
        <v>26773249853.304962</v>
      </c>
      <c r="D21" s="27">
        <v>5575389897.2033262</v>
      </c>
      <c r="E21" s="27">
        <v>420885107456.2774</v>
      </c>
      <c r="F21" s="27">
        <v>459129651295.60535</v>
      </c>
      <c r="G21" s="27">
        <v>95611359598.319824</v>
      </c>
      <c r="H21" s="26"/>
      <c r="I21" s="26"/>
      <c r="J21" s="25">
        <v>2040</v>
      </c>
      <c r="K21" s="27">
        <v>1153596.0804606983</v>
      </c>
      <c r="L21" s="27">
        <v>19782811.913381375</v>
      </c>
      <c r="M21" s="26"/>
      <c r="N21" s="26"/>
      <c r="O21" s="25">
        <v>2040</v>
      </c>
      <c r="P21" s="27">
        <v>75096957.79974784</v>
      </c>
      <c r="Q21" s="27">
        <v>3282927.1169287972</v>
      </c>
      <c r="R21" s="27">
        <v>221792873.5195668</v>
      </c>
      <c r="S21" s="27">
        <v>3803486137.7248402</v>
      </c>
      <c r="T21" s="26"/>
      <c r="U21" s="26"/>
      <c r="V21" s="25">
        <v>2040</v>
      </c>
      <c r="W21" s="27">
        <v>7326095.5443141712</v>
      </c>
      <c r="X21" s="27">
        <v>18307912765.238251</v>
      </c>
    </row>
    <row r="22" spans="1:24" ht="16" x14ac:dyDescent="0.2">
      <c r="A22" s="25">
        <v>2041</v>
      </c>
      <c r="B22" s="27">
        <v>25783133713.439377</v>
      </c>
      <c r="C22" s="27">
        <v>28125968302.143192</v>
      </c>
      <c r="D22" s="27">
        <v>5857086471.7595224</v>
      </c>
      <c r="E22" s="27">
        <v>442150327510.50574</v>
      </c>
      <c r="F22" s="27">
        <v>482327176927.3158</v>
      </c>
      <c r="G22" s="27">
        <v>100442123542.02495</v>
      </c>
      <c r="H22" s="26"/>
      <c r="I22" s="26"/>
      <c r="J22" s="25">
        <v>2041</v>
      </c>
      <c r="K22" s="27">
        <v>1211881.522425975</v>
      </c>
      <c r="L22" s="27">
        <v>20782338.485304963</v>
      </c>
      <c r="M22" s="26"/>
      <c r="N22" s="26"/>
      <c r="O22" s="25">
        <v>2041</v>
      </c>
      <c r="P22" s="27">
        <v>78891231.59258008</v>
      </c>
      <c r="Q22" s="27">
        <v>3448797.009511624</v>
      </c>
      <c r="R22" s="27">
        <v>232998958.45414287</v>
      </c>
      <c r="S22" s="27">
        <v>3995657274.8333874</v>
      </c>
      <c r="T22" s="26"/>
      <c r="U22" s="26"/>
      <c r="V22" s="25">
        <v>2041</v>
      </c>
      <c r="W22" s="27">
        <v>7696246.5216906425</v>
      </c>
      <c r="X22" s="27">
        <v>19232920057.701908</v>
      </c>
    </row>
    <row r="23" spans="1:24" ht="16" x14ac:dyDescent="0.2">
      <c r="A23" s="25">
        <v>2042</v>
      </c>
      <c r="B23" s="27">
        <v>27085826544.310909</v>
      </c>
      <c r="C23" s="27">
        <v>29547032850.608982</v>
      </c>
      <c r="D23" s="27">
        <v>6153015765.7451735</v>
      </c>
      <c r="E23" s="27">
        <v>464489972807.97424</v>
      </c>
      <c r="F23" s="27">
        <v>506696757541.56848</v>
      </c>
      <c r="G23" s="27">
        <v>105516961833.98576</v>
      </c>
      <c r="H23" s="26"/>
      <c r="I23" s="26"/>
      <c r="J23" s="25">
        <v>2042</v>
      </c>
      <c r="K23" s="27">
        <v>1273111.8363465471</v>
      </c>
      <c r="L23" s="27">
        <v>21832366.137274999</v>
      </c>
      <c r="M23" s="26"/>
      <c r="N23" s="26"/>
      <c r="O23" s="25">
        <v>2042</v>
      </c>
      <c r="P23" s="27">
        <v>82877211.068795204</v>
      </c>
      <c r="Q23" s="27">
        <v>3623047.4784171991</v>
      </c>
      <c r="R23" s="27">
        <v>244771230.83003846</v>
      </c>
      <c r="S23" s="27">
        <v>4197537858.6443448</v>
      </c>
      <c r="T23" s="26"/>
      <c r="U23" s="26"/>
      <c r="V23" s="25">
        <v>2042</v>
      </c>
      <c r="W23" s="27">
        <v>8085099.3771990649</v>
      </c>
      <c r="X23" s="27">
        <v>20204663343.617302</v>
      </c>
    </row>
    <row r="24" spans="1:24" ht="16" x14ac:dyDescent="0.2">
      <c r="A24" s="25">
        <v>2043</v>
      </c>
      <c r="B24" s="27">
        <v>28454337930.462215</v>
      </c>
      <c r="C24" s="27">
        <v>31039896685.385994</v>
      </c>
      <c r="D24" s="27">
        <v>6463896887.3094482</v>
      </c>
      <c r="E24" s="27">
        <v>487958328684.09705</v>
      </c>
      <c r="F24" s="27">
        <v>532297611216.3562</v>
      </c>
      <c r="G24" s="27">
        <v>110848206330.64789</v>
      </c>
      <c r="H24" s="26"/>
      <c r="I24" s="26"/>
      <c r="J24" s="25">
        <v>2043</v>
      </c>
      <c r="K24" s="27">
        <v>1337435.8118779561</v>
      </c>
      <c r="L24" s="27">
        <v>22935446.436360817</v>
      </c>
      <c r="M24" s="26"/>
      <c r="N24" s="26"/>
      <c r="O24" s="25">
        <v>2043</v>
      </c>
      <c r="P24" s="27">
        <v>87064582.158046067</v>
      </c>
      <c r="Q24" s="27">
        <v>3806101.9522642279</v>
      </c>
      <c r="R24" s="27">
        <v>257138297.26772612</v>
      </c>
      <c r="S24" s="27">
        <v>4409618458.9523497</v>
      </c>
      <c r="T24" s="26"/>
      <c r="U24" s="26"/>
      <c r="V24" s="25">
        <v>2043</v>
      </c>
      <c r="W24" s="27">
        <v>8493599.0232320465</v>
      </c>
      <c r="X24" s="27">
        <v>21225503959.053562</v>
      </c>
    </row>
    <row r="25" spans="1:24" ht="16" x14ac:dyDescent="0.2">
      <c r="A25" s="25">
        <v>2044</v>
      </c>
      <c r="B25" s="27">
        <v>29891993354.398815</v>
      </c>
      <c r="C25" s="27">
        <v>32608187465.415119</v>
      </c>
      <c r="D25" s="27">
        <v>6790485277.5407581</v>
      </c>
      <c r="E25" s="27">
        <v>512612423240.86102</v>
      </c>
      <c r="F25" s="27">
        <v>559191948023.0625</v>
      </c>
      <c r="G25" s="27">
        <v>116448811955.50385</v>
      </c>
      <c r="H25" s="26"/>
      <c r="I25" s="26"/>
      <c r="J25" s="25">
        <v>2044</v>
      </c>
      <c r="K25" s="27">
        <v>1405009.7562730901</v>
      </c>
      <c r="L25" s="27">
        <v>24094259.867557947</v>
      </c>
      <c r="M25" s="26"/>
      <c r="N25" s="26"/>
      <c r="O25" s="25">
        <v>2044</v>
      </c>
      <c r="P25" s="27">
        <v>91463520.171581358</v>
      </c>
      <c r="Q25" s="27">
        <v>3998405.2534023779</v>
      </c>
      <c r="R25" s="27">
        <v>270130209.73717797</v>
      </c>
      <c r="S25" s="27">
        <v>4632414431.5909166</v>
      </c>
      <c r="T25" s="26"/>
      <c r="U25" s="26"/>
      <c r="V25" s="25">
        <v>2044</v>
      </c>
      <c r="W25" s="27">
        <v>8922738.1138808448</v>
      </c>
      <c r="X25" s="27">
        <v>22297922546.584747</v>
      </c>
    </row>
    <row r="26" spans="1:24" ht="16" x14ac:dyDescent="0.2">
      <c r="A26" s="25">
        <v>2045</v>
      </c>
      <c r="B26" s="27">
        <v>31402286318.629807</v>
      </c>
      <c r="C26" s="27">
        <v>34255716137.105217</v>
      </c>
      <c r="D26" s="27">
        <v>7133574546.1885042</v>
      </c>
      <c r="E26" s="27">
        <v>538512165925.10547</v>
      </c>
      <c r="F26" s="27">
        <v>587445121196.92773</v>
      </c>
      <c r="G26" s="27">
        <v>122332388179.55568</v>
      </c>
      <c r="H26" s="26"/>
      <c r="I26" s="26"/>
      <c r="J26" s="25">
        <v>2045</v>
      </c>
      <c r="K26" s="27">
        <v>1475997.8742087879</v>
      </c>
      <c r="L26" s="27">
        <v>25311622.347366311</v>
      </c>
      <c r="M26" s="26"/>
      <c r="N26" s="26"/>
      <c r="O26" s="25">
        <v>2045</v>
      </c>
      <c r="P26" s="27">
        <v>96084714.528250471</v>
      </c>
      <c r="Q26" s="27">
        <v>4200424.6788305324</v>
      </c>
      <c r="R26" s="27">
        <v>283778538.58414888</v>
      </c>
      <c r="S26" s="27">
        <v>4866467170.7470474</v>
      </c>
      <c r="T26" s="26"/>
      <c r="U26" s="26"/>
      <c r="V26" s="25">
        <v>2045</v>
      </c>
      <c r="W26" s="27">
        <v>9373559.4570846744</v>
      </c>
      <c r="X26" s="27">
        <v>23424525083.250938</v>
      </c>
    </row>
    <row r="27" spans="1:24" ht="16" x14ac:dyDescent="0.2">
      <c r="A27" s="25">
        <v>2046</v>
      </c>
      <c r="B27" s="27">
        <v>32988886834.878578</v>
      </c>
      <c r="C27" s="27">
        <v>35986486194.932449</v>
      </c>
      <c r="D27" s="27">
        <v>7493998400.1346769</v>
      </c>
      <c r="E27" s="27">
        <v>565720493108.47131</v>
      </c>
      <c r="F27" s="27">
        <v>617125785945.40234</v>
      </c>
      <c r="G27" s="27">
        <v>128513232092.32771</v>
      </c>
      <c r="H27" s="26"/>
      <c r="I27" s="26"/>
      <c r="J27" s="25">
        <v>2046</v>
      </c>
      <c r="K27" s="27">
        <v>1550572.6668031865</v>
      </c>
      <c r="L27" s="27">
        <v>26590492.066466991</v>
      </c>
      <c r="M27" s="26"/>
      <c r="N27" s="26"/>
      <c r="O27" s="25">
        <v>2046</v>
      </c>
      <c r="P27" s="27">
        <v>100939394.72979032</v>
      </c>
      <c r="Q27" s="27">
        <v>4412651.1357284449</v>
      </c>
      <c r="R27" s="27">
        <v>298116449.24611294</v>
      </c>
      <c r="S27" s="27">
        <v>5112345424.5490417</v>
      </c>
      <c r="T27" s="26"/>
      <c r="U27" s="26"/>
      <c r="V27" s="25">
        <v>2046</v>
      </c>
      <c r="W27" s="27">
        <v>9847158.5486538764</v>
      </c>
      <c r="X27" s="27">
        <v>24608049213.082188</v>
      </c>
    </row>
    <row r="28" spans="1:24" ht="16" x14ac:dyDescent="0.2">
      <c r="A28" s="25">
        <v>2047</v>
      </c>
      <c r="B28" s="27">
        <v>34655650342.210823</v>
      </c>
      <c r="C28" s="27">
        <v>37804703409.931419</v>
      </c>
      <c r="D28" s="27">
        <v>7872632669.3014822</v>
      </c>
      <c r="E28" s="27">
        <v>594303521022.77686</v>
      </c>
      <c r="F28" s="27">
        <v>648306066280.29395</v>
      </c>
      <c r="G28" s="27">
        <v>135006363143.79259</v>
      </c>
      <c r="H28" s="26"/>
      <c r="I28" s="26"/>
      <c r="J28" s="25">
        <v>2047</v>
      </c>
      <c r="K28" s="27">
        <v>1628915.3507934178</v>
      </c>
      <c r="L28" s="27">
        <v>27933976.678125232</v>
      </c>
      <c r="M28" s="26"/>
      <c r="N28" s="26"/>
      <c r="O28" s="25">
        <v>2047</v>
      </c>
      <c r="P28" s="27">
        <v>106039357.64851294</v>
      </c>
      <c r="Q28" s="27">
        <v>4635600.3343611239</v>
      </c>
      <c r="R28" s="27">
        <v>313178782.84427279</v>
      </c>
      <c r="S28" s="27">
        <v>5370646677.1243811</v>
      </c>
      <c r="T28" s="26"/>
      <c r="U28" s="26"/>
      <c r="V28" s="25">
        <v>2047</v>
      </c>
      <c r="W28" s="27">
        <v>10344686.23432461</v>
      </c>
      <c r="X28" s="27">
        <v>25851370899.573158</v>
      </c>
    </row>
    <row r="29" spans="1:24" ht="16" x14ac:dyDescent="0.2">
      <c r="A29" s="25">
        <v>2048</v>
      </c>
      <c r="B29" s="27">
        <v>36406627075.751022</v>
      </c>
      <c r="C29" s="27">
        <v>39714786049.718208</v>
      </c>
      <c r="D29" s="27">
        <v>8270397434.9179401</v>
      </c>
      <c r="E29" s="27">
        <v>624330706422.45276</v>
      </c>
      <c r="F29" s="27">
        <v>681061730279.10583</v>
      </c>
      <c r="G29" s="27">
        <v>141827559641.63272</v>
      </c>
      <c r="H29" s="26"/>
      <c r="I29" s="26"/>
      <c r="J29" s="25">
        <v>2048</v>
      </c>
      <c r="K29" s="27">
        <v>1711216.2988922556</v>
      </c>
      <c r="L29" s="27">
        <v>29345340.849787522</v>
      </c>
      <c r="M29" s="26"/>
      <c r="N29" s="26"/>
      <c r="O29" s="25">
        <v>2048</v>
      </c>
      <c r="P29" s="27">
        <v>111396996.19370411</v>
      </c>
      <c r="Q29" s="27">
        <v>4869814.0412547216</v>
      </c>
      <c r="R29" s="27">
        <v>329002140.84747976</v>
      </c>
      <c r="S29" s="27">
        <v>5641998600.4860926</v>
      </c>
      <c r="T29" s="26"/>
      <c r="U29" s="26"/>
      <c r="V29" s="25">
        <v>2048</v>
      </c>
      <c r="W29" s="27">
        <v>10867351.506313864</v>
      </c>
      <c r="X29" s="27">
        <v>27157511414.274101</v>
      </c>
    </row>
    <row r="30" spans="1:24" ht="16" x14ac:dyDescent="0.2">
      <c r="A30" s="25">
        <v>2049</v>
      </c>
      <c r="B30" s="27">
        <v>38246071908.753334</v>
      </c>
      <c r="C30" s="27">
        <v>41721375614.880211</v>
      </c>
      <c r="D30" s="27">
        <v>8688259265.3171673</v>
      </c>
      <c r="E30" s="27">
        <v>655875015364.4469</v>
      </c>
      <c r="F30" s="27">
        <v>715472374201.45752</v>
      </c>
      <c r="G30" s="27">
        <v>148993397092.52618</v>
      </c>
      <c r="H30" s="26"/>
      <c r="I30" s="26"/>
      <c r="J30" s="25">
        <v>2049</v>
      </c>
      <c r="K30" s="27">
        <v>1797675.5023937861</v>
      </c>
      <c r="L30" s="27">
        <v>30828014.196223028</v>
      </c>
      <c r="M30" s="26"/>
      <c r="N30" s="26"/>
      <c r="O30" s="25">
        <v>2049</v>
      </c>
      <c r="P30" s="27">
        <v>117025329.42639102</v>
      </c>
      <c r="Q30" s="27">
        <v>5115861.3956891149</v>
      </c>
      <c r="R30" s="27">
        <v>345624974.01379859</v>
      </c>
      <c r="S30" s="27">
        <v>5927060579.775651</v>
      </c>
      <c r="T30" s="26"/>
      <c r="U30" s="26"/>
      <c r="V30" s="25">
        <v>2049</v>
      </c>
      <c r="W30" s="27">
        <v>11416424.441170372</v>
      </c>
      <c r="X30" s="27">
        <v>28529644678.480297</v>
      </c>
    </row>
    <row r="31" spans="1:24" ht="16" x14ac:dyDescent="0.2">
      <c r="A31" s="25">
        <v>2050</v>
      </c>
      <c r="B31" s="27">
        <v>40178454691.943108</v>
      </c>
      <c r="C31" s="27">
        <v>43829348117.822037</v>
      </c>
      <c r="D31" s="27">
        <v>9127233564.6973171</v>
      </c>
      <c r="E31" s="27">
        <v>689013100515.73584</v>
      </c>
      <c r="F31" s="27">
        <v>751621615907.98621</v>
      </c>
      <c r="G31" s="27">
        <v>156521288480.6261</v>
      </c>
      <c r="H31" s="26"/>
      <c r="I31" s="26"/>
      <c r="J31" s="25">
        <v>2050</v>
      </c>
      <c r="K31" s="27">
        <v>1888503.0571522324</v>
      </c>
      <c r="L31" s="27">
        <v>32385599.613487199</v>
      </c>
      <c r="M31" s="26"/>
      <c r="N31" s="26"/>
      <c r="O31" s="25">
        <v>2050</v>
      </c>
      <c r="P31" s="27">
        <v>122938034.1956594</v>
      </c>
      <c r="Q31" s="27">
        <v>5374340.292706307</v>
      </c>
      <c r="R31" s="27">
        <v>363087675.82584578</v>
      </c>
      <c r="S31" s="27">
        <v>6226525315.5688162</v>
      </c>
      <c r="T31" s="26"/>
      <c r="U31" s="26"/>
      <c r="V31" s="25">
        <v>2050</v>
      </c>
      <c r="W31" s="27">
        <v>11993239.286060505</v>
      </c>
      <c r="X31" s="27">
        <v>29971104975.860519</v>
      </c>
    </row>
    <row r="32" spans="1:24" ht="16" x14ac:dyDescent="0.2">
      <c r="A32" s="25">
        <v>2051</v>
      </c>
      <c r="B32" s="27">
        <v>42208471115.253525</v>
      </c>
      <c r="C32" s="27">
        <v>46043825931.474991</v>
      </c>
      <c r="D32" s="27">
        <v>9588387040.553648</v>
      </c>
      <c r="E32" s="27">
        <v>723825487419.29321</v>
      </c>
      <c r="F32" s="27">
        <v>789597298051.73706</v>
      </c>
      <c r="G32" s="27">
        <v>164429526581.10968</v>
      </c>
      <c r="H32" s="26"/>
      <c r="I32" s="26"/>
      <c r="J32" s="25">
        <v>2051</v>
      </c>
      <c r="K32" s="27">
        <v>1983919.6741148483</v>
      </c>
      <c r="L32" s="27">
        <v>34021882.033958621</v>
      </c>
      <c r="M32" s="26"/>
      <c r="N32" s="26"/>
      <c r="O32" s="25">
        <v>2051</v>
      </c>
      <c r="P32" s="27">
        <v>129149478.37339509</v>
      </c>
      <c r="Q32" s="27">
        <v>5645878.8359952932</v>
      </c>
      <c r="R32" s="27">
        <v>381432680.64694661</v>
      </c>
      <c r="S32" s="27">
        <v>6541120507.1379299</v>
      </c>
      <c r="T32" s="26"/>
      <c r="U32" s="26"/>
      <c r="V32" s="25">
        <v>2051</v>
      </c>
      <c r="W32" s="27">
        <v>12599197.70098871</v>
      </c>
      <c r="X32" s="27">
        <v>31485395054.765865</v>
      </c>
    </row>
    <row r="33" spans="1:25" ht="16" x14ac:dyDescent="0.2">
      <c r="A33" s="25">
        <v>2052</v>
      </c>
      <c r="B33" s="27">
        <v>44341054118.351707</v>
      </c>
      <c r="C33" s="27">
        <v>48370190236.662758</v>
      </c>
      <c r="D33" s="27">
        <v>10072840295.777622</v>
      </c>
      <c r="E33" s="27">
        <v>760396770171.15308</v>
      </c>
      <c r="F33" s="27">
        <v>829491701535.80115</v>
      </c>
      <c r="G33" s="27">
        <v>172737328411.62027</v>
      </c>
      <c r="H33" s="26"/>
      <c r="I33" s="26"/>
      <c r="J33" s="25">
        <v>2052</v>
      </c>
      <c r="K33" s="27">
        <v>2084157.2156495017</v>
      </c>
      <c r="L33" s="27">
        <v>35740837.623724386</v>
      </c>
      <c r="M33" s="26"/>
      <c r="N33" s="26"/>
      <c r="O33" s="25">
        <v>2052</v>
      </c>
      <c r="P33" s="27">
        <v>135674755.76821086</v>
      </c>
      <c r="Q33" s="27">
        <v>5931136.8641839558</v>
      </c>
      <c r="R33" s="27">
        <v>400704566.83663368</v>
      </c>
      <c r="S33" s="27">
        <v>6871610620.7610741</v>
      </c>
      <c r="T33" s="26"/>
      <c r="U33" s="26"/>
      <c r="V33" s="25">
        <v>2052</v>
      </c>
      <c r="W33" s="27">
        <v>13235772.164831167</v>
      </c>
      <c r="X33" s="27">
        <v>33076194639.907913</v>
      </c>
    </row>
    <row r="34" spans="1:25" ht="16" x14ac:dyDescent="0.2">
      <c r="A34" s="25">
        <v>2053</v>
      </c>
      <c r="B34" s="27">
        <v>46581385877.681419</v>
      </c>
      <c r="C34" s="27">
        <v>50814094098.37014</v>
      </c>
      <c r="D34" s="27">
        <v>10581770551.721785</v>
      </c>
      <c r="E34" s="27">
        <v>798815816984.05042</v>
      </c>
      <c r="F34" s="27">
        <v>871401769755.89734</v>
      </c>
      <c r="G34" s="27">
        <v>181464881929.61734</v>
      </c>
      <c r="H34" s="26"/>
      <c r="I34" s="26"/>
      <c r="J34" s="25">
        <v>2053</v>
      </c>
      <c r="K34" s="27">
        <v>2189459.2589701922</v>
      </c>
      <c r="L34" s="27">
        <v>37546643.444663063</v>
      </c>
      <c r="M34" s="26"/>
      <c r="N34" s="26"/>
      <c r="O34" s="25">
        <v>2053</v>
      </c>
      <c r="P34" s="27">
        <v>142529722.80339971</v>
      </c>
      <c r="Q34" s="27">
        <v>6230807.5542468494</v>
      </c>
      <c r="R34" s="27">
        <v>420950165.07605445</v>
      </c>
      <c r="S34" s="27">
        <v>7218798747.3750257</v>
      </c>
      <c r="T34" s="26"/>
      <c r="U34" s="26"/>
      <c r="V34" s="25">
        <v>2053</v>
      </c>
      <c r="W34" s="27">
        <v>13904509.553459261</v>
      </c>
      <c r="X34" s="27">
        <v>34747369374.089264</v>
      </c>
    </row>
    <row r="35" spans="1:25" ht="16" x14ac:dyDescent="0.2">
      <c r="A35" s="25">
        <v>2054</v>
      </c>
      <c r="B35" s="27">
        <v>48934910399.151276</v>
      </c>
      <c r="C35" s="27">
        <v>53381476202.690292</v>
      </c>
      <c r="D35" s="27">
        <v>11116414508.847528</v>
      </c>
      <c r="E35" s="27">
        <v>839175986137.16968</v>
      </c>
      <c r="F35" s="27">
        <v>915429344172.81396</v>
      </c>
      <c r="G35" s="27">
        <v>190633395089.11124</v>
      </c>
      <c r="H35" s="26"/>
      <c r="I35" s="26"/>
      <c r="J35" s="25">
        <v>2054</v>
      </c>
      <c r="K35" s="27">
        <v>2300081.6880296613</v>
      </c>
      <c r="L35" s="27">
        <v>39443687.604704663</v>
      </c>
      <c r="M35" s="26"/>
      <c r="N35" s="26"/>
      <c r="O35" s="25">
        <v>2054</v>
      </c>
      <c r="P35" s="27">
        <v>149731037.04804149</v>
      </c>
      <c r="Q35" s="27">
        <v>6545619.1059251707</v>
      </c>
      <c r="R35" s="27">
        <v>442218672.16652215</v>
      </c>
      <c r="S35" s="27">
        <v>7583528554.0861502</v>
      </c>
      <c r="T35" s="26"/>
      <c r="U35" s="26"/>
      <c r="V35" s="25">
        <v>2054</v>
      </c>
      <c r="W35" s="27">
        <v>14607034.898647787</v>
      </c>
      <c r="X35" s="27">
        <v>36502980211.715111</v>
      </c>
    </row>
    <row r="36" spans="1:25" ht="16" x14ac:dyDescent="0.2">
      <c r="A36" s="25">
        <v>2055</v>
      </c>
      <c r="B36" s="27">
        <v>51407346747.068405</v>
      </c>
      <c r="C36" s="27">
        <v>56078575287.83123</v>
      </c>
      <c r="D36" s="27">
        <v>11678071351.907053</v>
      </c>
      <c r="E36" s="27">
        <v>881575352836.75024</v>
      </c>
      <c r="F36" s="27">
        <v>961681411787.14551</v>
      </c>
      <c r="G36" s="27">
        <v>200265147375.98865</v>
      </c>
      <c r="H36" s="26"/>
      <c r="I36" s="26"/>
      <c r="J36" s="25">
        <v>2055</v>
      </c>
      <c r="K36" s="27">
        <v>2416293.3153173607</v>
      </c>
      <c r="L36" s="27">
        <v>41436579.920932382</v>
      </c>
      <c r="M36" s="26"/>
      <c r="N36" s="26"/>
      <c r="O36" s="25">
        <v>2055</v>
      </c>
      <c r="P36" s="27">
        <v>157296197.69489378</v>
      </c>
      <c r="Q36" s="27">
        <v>6876336.51125204</v>
      </c>
      <c r="R36" s="27">
        <v>464561770.5777356</v>
      </c>
      <c r="S36" s="27">
        <v>7966686334.281352</v>
      </c>
      <c r="T36" s="26"/>
      <c r="U36" s="26"/>
      <c r="V36" s="25">
        <v>2055</v>
      </c>
      <c r="W36" s="27">
        <v>15345055.336901968</v>
      </c>
      <c r="X36" s="27">
        <v>38347293286.912025</v>
      </c>
    </row>
    <row r="37" spans="1:25" ht="16" x14ac:dyDescent="0.2">
      <c r="A37" s="25">
        <v>2056</v>
      </c>
      <c r="B37" s="27">
        <v>54004702941.464027</v>
      </c>
      <c r="C37" s="27">
        <v>58911945304.248909</v>
      </c>
      <c r="D37" s="27">
        <v>12268105906.962154</v>
      </c>
      <c r="E37" s="27">
        <v>926116947538.82703</v>
      </c>
      <c r="F37" s="27">
        <v>1010270365117.6912</v>
      </c>
      <c r="G37" s="27">
        <v>210383543947.16049</v>
      </c>
      <c r="H37" s="26"/>
      <c r="I37" s="26"/>
      <c r="J37" s="25">
        <v>2056</v>
      </c>
      <c r="K37" s="27">
        <v>2538376.5350737702</v>
      </c>
      <c r="L37" s="27">
        <v>43530163.121437483</v>
      </c>
      <c r="M37" s="26"/>
      <c r="N37" s="26"/>
      <c r="O37" s="25">
        <v>2056</v>
      </c>
      <c r="P37" s="27">
        <v>165243588.08342829</v>
      </c>
      <c r="Q37" s="27">
        <v>7223763.4134830488</v>
      </c>
      <c r="R37" s="27">
        <v>488033754.03617579</v>
      </c>
      <c r="S37" s="27">
        <v>8369203161.3209171</v>
      </c>
      <c r="T37" s="26"/>
      <c r="U37" s="26"/>
      <c r="V37" s="25">
        <v>2056</v>
      </c>
      <c r="W37" s="27">
        <v>16120364.257798944</v>
      </c>
      <c r="X37" s="27">
        <v>40284790280.233261</v>
      </c>
    </row>
    <row r="38" spans="1:25" ht="16" x14ac:dyDescent="0.2">
      <c r="A38" s="25">
        <v>2057</v>
      </c>
      <c r="B38" s="27">
        <v>56733290557.581497</v>
      </c>
      <c r="C38" s="27">
        <v>61888471340.746071</v>
      </c>
      <c r="D38" s="27">
        <v>12887951957.911413</v>
      </c>
      <c r="E38" s="27">
        <v>972909006313.2262</v>
      </c>
      <c r="F38" s="27">
        <v>1061314275315.2623</v>
      </c>
      <c r="G38" s="27">
        <v>221013172505.0907</v>
      </c>
      <c r="H38" s="26"/>
      <c r="I38" s="26"/>
      <c r="J38" s="25">
        <v>2057</v>
      </c>
      <c r="K38" s="27">
        <v>2666628.0095083714</v>
      </c>
      <c r="L38" s="27">
        <v>45729524.613148093</v>
      </c>
      <c r="M38" s="26"/>
      <c r="N38" s="26"/>
      <c r="O38" s="25">
        <v>2057</v>
      </c>
      <c r="P38" s="27">
        <v>173592520.37134349</v>
      </c>
      <c r="Q38" s="27">
        <v>7588744.0599492807</v>
      </c>
      <c r="R38" s="27">
        <v>512691659.45885348</v>
      </c>
      <c r="S38" s="27">
        <v>8792057151.0466557</v>
      </c>
      <c r="T38" s="26"/>
      <c r="U38" s="26"/>
      <c r="V38" s="25">
        <v>2057</v>
      </c>
      <c r="W38" s="27">
        <v>16934845.661924232</v>
      </c>
      <c r="X38" s="27">
        <v>42320179309.142029</v>
      </c>
    </row>
    <row r="39" spans="1:25" ht="16" x14ac:dyDescent="0.2">
      <c r="A39" s="25">
        <v>2058</v>
      </c>
      <c r="B39" s="27">
        <v>59599740063.003296</v>
      </c>
      <c r="C39" s="27">
        <v>65015386355.237259</v>
      </c>
      <c r="D39" s="27">
        <v>13539115730.58489</v>
      </c>
      <c r="E39" s="27">
        <v>1022065233857.2019</v>
      </c>
      <c r="F39" s="27">
        <v>1114937179075.5659</v>
      </c>
      <c r="G39" s="27">
        <v>232179863045.9104</v>
      </c>
      <c r="H39" s="26"/>
      <c r="I39" s="26"/>
      <c r="J39" s="25">
        <v>2058</v>
      </c>
      <c r="K39" s="27">
        <v>2801359.3896887815</v>
      </c>
      <c r="L39" s="27">
        <v>48040008.844227411</v>
      </c>
      <c r="M39" s="26"/>
      <c r="N39" s="26"/>
      <c r="O39" s="25">
        <v>2058</v>
      </c>
      <c r="P39" s="27">
        <v>182363282.46310559</v>
      </c>
      <c r="Q39" s="27">
        <v>7972165.3535782183</v>
      </c>
      <c r="R39" s="27">
        <v>538595405.55301201</v>
      </c>
      <c r="S39" s="27">
        <v>9236275838.6032887</v>
      </c>
      <c r="T39" s="26"/>
      <c r="U39" s="26"/>
      <c r="V39" s="25">
        <v>2058</v>
      </c>
      <c r="W39" s="27">
        <v>17790478.738992948</v>
      </c>
      <c r="X39" s="27">
        <v>44458406368.736427</v>
      </c>
    </row>
    <row r="40" spans="1:25" ht="16" x14ac:dyDescent="0.2">
      <c r="A40" s="25">
        <v>2059</v>
      </c>
      <c r="B40" s="27">
        <v>62611016929.686546</v>
      </c>
      <c r="C40" s="27">
        <v>68300288750.835625</v>
      </c>
      <c r="D40" s="27">
        <v>14223179552.872692</v>
      </c>
      <c r="E40" s="27">
        <v>1073705079797.837</v>
      </c>
      <c r="F40" s="27">
        <v>1171269380048.3591</v>
      </c>
      <c r="G40" s="27">
        <v>243910750626.30505</v>
      </c>
      <c r="H40" s="26"/>
      <c r="I40" s="26"/>
      <c r="J40" s="25">
        <v>2059</v>
      </c>
      <c r="K40" s="27">
        <v>2942898.0728528076</v>
      </c>
      <c r="L40" s="27">
        <v>50467230.291081987</v>
      </c>
      <c r="M40" s="26"/>
      <c r="N40" s="26"/>
      <c r="O40" s="25">
        <v>2059</v>
      </c>
      <c r="P40" s="27">
        <v>191577187.30955404</v>
      </c>
      <c r="Q40" s="27">
        <v>8374959.0080677569</v>
      </c>
      <c r="R40" s="27">
        <v>565807938.41857803</v>
      </c>
      <c r="S40" s="27">
        <v>9702938675.3487186</v>
      </c>
      <c r="T40" s="26"/>
      <c r="U40" s="26"/>
      <c r="V40" s="25">
        <v>2059</v>
      </c>
      <c r="W40" s="27">
        <v>18689342.677280568</v>
      </c>
      <c r="X40" s="27">
        <v>46704667350.516846</v>
      </c>
    </row>
    <row r="41" spans="1:25" ht="16" x14ac:dyDescent="0.2">
      <c r="A41" s="25">
        <v>2060</v>
      </c>
      <c r="B41" s="27">
        <v>65774438560.05896</v>
      </c>
      <c r="C41" s="27">
        <v>71751160839.971603</v>
      </c>
      <c r="D41" s="27">
        <v>14941805699.781586</v>
      </c>
      <c r="E41" s="27">
        <v>1127954028954.6228</v>
      </c>
      <c r="F41" s="27">
        <v>1230447765475.3022</v>
      </c>
      <c r="G41" s="27">
        <v>256234341301.69916</v>
      </c>
      <c r="H41" s="26"/>
      <c r="I41" s="26"/>
      <c r="J41" s="25">
        <v>2060</v>
      </c>
      <c r="K41" s="27">
        <v>3091587.9979836955</v>
      </c>
      <c r="L41" s="27">
        <v>53017087.101538919</v>
      </c>
      <c r="M41" s="26"/>
      <c r="N41" s="26"/>
      <c r="O41" s="25">
        <v>2060</v>
      </c>
      <c r="P41" s="27">
        <v>201256624.6983692</v>
      </c>
      <c r="Q41" s="27">
        <v>8798103.81195038</v>
      </c>
      <c r="R41" s="27">
        <v>594395384.50717664</v>
      </c>
      <c r="S41" s="27">
        <v>10193179651.920712</v>
      </c>
      <c r="T41" s="26"/>
      <c r="U41" s="26"/>
      <c r="V41" s="25">
        <v>2060</v>
      </c>
      <c r="W41" s="27">
        <v>19633621.71605017</v>
      </c>
      <c r="X41" s="27">
        <v>49064420668.401711</v>
      </c>
    </row>
    <row r="43" spans="1:25" s="25" customFormat="1" ht="16" x14ac:dyDescent="0.2">
      <c r="A43" s="32" t="s">
        <v>102</v>
      </c>
      <c r="B43" s="32" t="str">
        <f>B2</f>
        <v>Light Truck</v>
      </c>
      <c r="C43" s="32" t="str">
        <f t="shared" ref="C43:X43" si="0">C2</f>
        <v>Medium Truck</v>
      </c>
      <c r="D43" s="32" t="str">
        <f t="shared" si="0"/>
        <v>Heavy Truck</v>
      </c>
      <c r="E43" s="32" t="str">
        <f t="shared" si="0"/>
        <v>Biodiesel Light Truck</v>
      </c>
      <c r="F43" s="32" t="str">
        <f t="shared" si="0"/>
        <v>Biodiesel Medium Truck</v>
      </c>
      <c r="G43" s="32" t="str">
        <f t="shared" si="0"/>
        <v>Biodiesel Heavy Truck</v>
      </c>
      <c r="H43" s="32"/>
      <c r="I43" s="32"/>
      <c r="J43" s="32" t="str">
        <f t="shared" si="0"/>
        <v>Branch</v>
      </c>
      <c r="K43" s="32" t="str">
        <f t="shared" si="0"/>
        <v>Diesel Train</v>
      </c>
      <c r="L43" s="32" t="str">
        <f t="shared" si="0"/>
        <v>BioGasoil Train</v>
      </c>
      <c r="M43" s="32"/>
      <c r="N43" s="32"/>
      <c r="O43" s="32" t="str">
        <f t="shared" si="0"/>
        <v>Branch</v>
      </c>
      <c r="P43" s="32" t="str">
        <f t="shared" si="0"/>
        <v>MFO Freight Ship</v>
      </c>
      <c r="Q43" s="32" t="str">
        <f t="shared" si="0"/>
        <v>MDF Freight Ship</v>
      </c>
      <c r="R43" s="32" t="str">
        <f t="shared" si="0"/>
        <v>Diesel Freight Ship</v>
      </c>
      <c r="S43" s="32" t="str">
        <f t="shared" si="0"/>
        <v>BioGasoil Freight Ship</v>
      </c>
      <c r="T43" s="32"/>
      <c r="U43" s="32"/>
      <c r="V43" s="32" t="str">
        <f t="shared" si="0"/>
        <v>Branch</v>
      </c>
      <c r="W43" s="32" t="str">
        <f t="shared" si="0"/>
        <v>Avgas Plane</v>
      </c>
      <c r="X43" s="32" t="str">
        <f t="shared" si="0"/>
        <v>Avtur Plane</v>
      </c>
    </row>
    <row r="44" spans="1:25" ht="16" x14ac:dyDescent="0.2">
      <c r="A44" s="32">
        <v>2019</v>
      </c>
      <c r="B44" s="33">
        <f>_xlfn.FORECAST.LINEAR($A44,B$3:B$15,$A$3:$A$15)</f>
        <v>7729409694.8178711</v>
      </c>
      <c r="C44" s="33">
        <f t="shared" ref="C44:G44" si="1">_xlfn.FORECAST.LINEAR($A44,C$3:C$15,$A$3:$A$15)</f>
        <v>8431757539.1313477</v>
      </c>
      <c r="D44" s="33">
        <f t="shared" si="1"/>
        <v>1755869610.7838745</v>
      </c>
      <c r="E44" s="33">
        <f t="shared" si="1"/>
        <v>132550258087.72266</v>
      </c>
      <c r="F44" s="33">
        <f t="shared" si="1"/>
        <v>144594695076.67969</v>
      </c>
      <c r="G44" s="33">
        <f t="shared" si="1"/>
        <v>30111092472.407227</v>
      </c>
      <c r="H44" s="34"/>
      <c r="I44" s="34"/>
      <c r="J44" s="32">
        <v>2019</v>
      </c>
      <c r="K44" s="33">
        <f t="shared" ref="K44:L46" si="2">_xlfn.FORECAST.LINEAR($A44,K$3:K$15,$A$3:$A$15)</f>
        <v>363304.51110088825</v>
      </c>
      <c r="L44" s="33">
        <f t="shared" si="2"/>
        <v>6230243.7847409248</v>
      </c>
      <c r="M44" s="34"/>
      <c r="N44" s="34"/>
      <c r="O44" s="32">
        <v>2019</v>
      </c>
      <c r="P44" s="33">
        <f>_xlfn.FORECAST.LINEAR($A44,P$3:P$15,$A$3:$A$15)</f>
        <v>23650447.501265526</v>
      </c>
      <c r="Q44" s="33">
        <f t="shared" ref="Q44:S44" si="3">_xlfn.FORECAST.LINEAR($A44,Q$3:Q$15,$A$3:$A$15)</f>
        <v>1033899.344317615</v>
      </c>
      <c r="R44" s="33">
        <f t="shared" si="3"/>
        <v>69849709.828683853</v>
      </c>
      <c r="S44" s="33">
        <f t="shared" si="3"/>
        <v>1197840123.7227478</v>
      </c>
      <c r="T44" s="34"/>
      <c r="U44" s="34"/>
      <c r="V44" s="32">
        <v>2019</v>
      </c>
      <c r="W44" s="33">
        <f>_xlfn.FORECAST.LINEAR($A44,W$3:W$15,$A$3:$A$15)</f>
        <v>2307223.1304240823</v>
      </c>
      <c r="X44" s="33">
        <f>_xlfn.FORECAST.LINEAR($A44,X$3:X$15,$A$3:$A$15)</f>
        <v>5765750602.928833</v>
      </c>
      <c r="Y44" s="29"/>
    </row>
    <row r="45" spans="1:25" ht="16" x14ac:dyDescent="0.2">
      <c r="A45" s="32">
        <v>2020</v>
      </c>
      <c r="B45" s="33">
        <f t="shared" ref="B45:G46" si="4">_xlfn.FORECAST.LINEAR($A45,B$3:B$15,$A$3:$A$15)</f>
        <v>8405806651.6364746</v>
      </c>
      <c r="C45" s="33">
        <f t="shared" si="4"/>
        <v>9169616620.9089355</v>
      </c>
      <c r="D45" s="33">
        <f t="shared" si="4"/>
        <v>1909524923.1812134</v>
      </c>
      <c r="E45" s="33">
        <f t="shared" si="4"/>
        <v>144149667969.71484</v>
      </c>
      <c r="F45" s="33">
        <f t="shared" si="4"/>
        <v>157248107896.49219</v>
      </c>
      <c r="G45" s="33">
        <f t="shared" si="4"/>
        <v>32746099816.949219</v>
      </c>
      <c r="H45" s="34"/>
      <c r="I45" s="34"/>
      <c r="J45" s="32">
        <v>2020</v>
      </c>
      <c r="K45" s="33">
        <f t="shared" si="2"/>
        <v>395097.1156346947</v>
      </c>
      <c r="L45" s="33">
        <f t="shared" si="2"/>
        <v>6775449.4476082325</v>
      </c>
      <c r="M45" s="34"/>
      <c r="N45" s="34"/>
      <c r="O45" s="32">
        <v>2020</v>
      </c>
      <c r="P45" s="33">
        <f t="shared" ref="P45:S46" si="5">_xlfn.FORECAST.LINEAR($A45,P$3:P$15,$A$3:$A$15)</f>
        <v>25720086.884979248</v>
      </c>
      <c r="Q45" s="33">
        <f t="shared" si="5"/>
        <v>1124375.3829498887</v>
      </c>
      <c r="R45" s="33">
        <f t="shared" si="5"/>
        <v>75962224.629711151</v>
      </c>
      <c r="S45" s="33">
        <f t="shared" si="5"/>
        <v>1302662541.7897339</v>
      </c>
      <c r="T45" s="34"/>
      <c r="U45" s="34"/>
      <c r="V45" s="32">
        <v>2020</v>
      </c>
      <c r="W45" s="33">
        <f t="shared" ref="W45:X46" si="6">_xlfn.FORECAST.LINEAR($A45,W$3:W$15,$A$3:$A$15)</f>
        <v>2509127.1264260411</v>
      </c>
      <c r="X45" s="33">
        <f t="shared" si="6"/>
        <v>6270308688.9377441</v>
      </c>
      <c r="Y45" s="29"/>
    </row>
    <row r="46" spans="1:25" ht="16" x14ac:dyDescent="0.2">
      <c r="A46" s="32">
        <v>2021</v>
      </c>
      <c r="B46" s="33">
        <f t="shared" si="4"/>
        <v>9082203608.4550781</v>
      </c>
      <c r="C46" s="33">
        <f t="shared" si="4"/>
        <v>9907475702.6862793</v>
      </c>
      <c r="D46" s="33">
        <f t="shared" si="4"/>
        <v>2063180235.5786133</v>
      </c>
      <c r="E46" s="33">
        <f t="shared" si="4"/>
        <v>155749077851.71094</v>
      </c>
      <c r="F46" s="33">
        <f t="shared" si="4"/>
        <v>169901520716.30078</v>
      </c>
      <c r="G46" s="33">
        <f t="shared" si="4"/>
        <v>35381107161.491211</v>
      </c>
      <c r="H46" s="34"/>
      <c r="I46" s="34"/>
      <c r="J46" s="32">
        <v>2021</v>
      </c>
      <c r="K46" s="33">
        <f t="shared" si="2"/>
        <v>426889.72016849369</v>
      </c>
      <c r="L46" s="33">
        <f t="shared" si="2"/>
        <v>7320655.1104757786</v>
      </c>
      <c r="M46" s="34"/>
      <c r="N46" s="34"/>
      <c r="O46" s="32">
        <v>2021</v>
      </c>
      <c r="P46" s="33">
        <f t="shared" si="5"/>
        <v>27789726.26869297</v>
      </c>
      <c r="Q46" s="33">
        <f t="shared" si="5"/>
        <v>1214851.4215821922</v>
      </c>
      <c r="R46" s="33">
        <f t="shared" si="5"/>
        <v>82074739.430738449</v>
      </c>
      <c r="S46" s="33">
        <f t="shared" si="5"/>
        <v>1407484959.85672</v>
      </c>
      <c r="T46" s="34"/>
      <c r="U46" s="34"/>
      <c r="V46" s="32">
        <v>2021</v>
      </c>
      <c r="W46" s="33">
        <f t="shared" si="6"/>
        <v>2711031.1224280596</v>
      </c>
      <c r="X46" s="33">
        <f t="shared" si="6"/>
        <v>6774866774.9466553</v>
      </c>
      <c r="Y46" s="29"/>
    </row>
    <row r="47" spans="1:25" ht="16" x14ac:dyDescent="0.2">
      <c r="A47" s="28"/>
      <c r="B47" s="29"/>
      <c r="C47" s="29"/>
      <c r="D47" s="29"/>
      <c r="E47" s="29"/>
      <c r="F47" s="29"/>
      <c r="G47" s="29"/>
      <c r="H47" s="29"/>
      <c r="I47" s="29"/>
      <c r="J47" s="28"/>
      <c r="K47" s="29"/>
      <c r="L47" s="29"/>
      <c r="M47" s="29"/>
      <c r="N47" s="29"/>
      <c r="O47" s="28"/>
      <c r="P47" s="29"/>
      <c r="Q47" s="29"/>
      <c r="R47" s="29"/>
      <c r="S47" s="29"/>
      <c r="T47" s="29"/>
      <c r="U47" s="29"/>
      <c r="V47" s="28"/>
      <c r="W47" s="29"/>
      <c r="X47" s="29"/>
      <c r="Y47" s="29"/>
    </row>
    <row r="48" spans="1:25" ht="16" x14ac:dyDescent="0.2">
      <c r="A48" s="28"/>
      <c r="B48" s="29"/>
      <c r="C48" s="29"/>
      <c r="D48" s="29"/>
      <c r="E48" s="29"/>
      <c r="F48" s="29"/>
      <c r="G48" s="29"/>
      <c r="H48" s="29"/>
      <c r="I48" s="29"/>
      <c r="J48" s="28"/>
      <c r="K48" s="29"/>
      <c r="L48" s="29"/>
      <c r="M48" s="29"/>
      <c r="N48" s="29"/>
      <c r="O48" s="28"/>
      <c r="P48" s="29"/>
      <c r="Q48" s="29"/>
      <c r="R48" s="29"/>
      <c r="S48" s="29"/>
      <c r="T48" s="29"/>
      <c r="U48" s="29"/>
      <c r="V48" s="28"/>
      <c r="W48" s="29"/>
      <c r="X48" s="29"/>
      <c r="Y48" s="29"/>
    </row>
    <row r="49" spans="1:25" ht="16" x14ac:dyDescent="0.2">
      <c r="A49" s="28"/>
      <c r="B49" s="29"/>
      <c r="C49" s="29"/>
      <c r="D49" s="29"/>
      <c r="E49" s="29"/>
      <c r="F49" s="29"/>
      <c r="G49" s="29"/>
      <c r="H49" s="29"/>
      <c r="I49" s="29"/>
      <c r="J49" s="28"/>
      <c r="K49" s="29"/>
      <c r="L49" s="29"/>
      <c r="M49" s="29"/>
      <c r="N49" s="29"/>
      <c r="O49" s="28"/>
      <c r="P49" s="29"/>
      <c r="Q49" s="29"/>
      <c r="R49" s="29"/>
      <c r="S49" s="29"/>
      <c r="T49" s="29"/>
      <c r="U49" s="29"/>
      <c r="V49" s="28"/>
      <c r="W49" s="29"/>
      <c r="X49" s="29"/>
      <c r="Y49" s="29"/>
    </row>
    <row r="50" spans="1:25" ht="16" x14ac:dyDescent="0.2">
      <c r="A50" s="28"/>
      <c r="B50" s="29"/>
      <c r="C50" s="29"/>
      <c r="D50" s="29"/>
      <c r="E50" s="29"/>
      <c r="F50" s="29"/>
      <c r="G50" s="29"/>
      <c r="H50" s="29"/>
      <c r="I50" s="29"/>
      <c r="J50" s="28"/>
      <c r="K50" s="29"/>
      <c r="L50" s="29"/>
      <c r="M50" s="29"/>
      <c r="N50" s="29"/>
      <c r="O50" s="28"/>
      <c r="P50" s="29"/>
      <c r="Q50" s="29"/>
      <c r="R50" s="29"/>
      <c r="S50" s="29"/>
      <c r="T50" s="29"/>
      <c r="U50" s="29"/>
      <c r="V50" s="28"/>
      <c r="W50" s="29"/>
      <c r="X50" s="29"/>
      <c r="Y50" s="29"/>
    </row>
    <row r="51" spans="1:25" ht="16" x14ac:dyDescent="0.2">
      <c r="A51" s="28" t="s">
        <v>99</v>
      </c>
      <c r="B51" s="29"/>
      <c r="C51" s="29"/>
      <c r="D51" s="29"/>
      <c r="E51" s="29"/>
      <c r="F51" s="29"/>
      <c r="G51" s="29"/>
      <c r="H51" s="29"/>
      <c r="I51" s="29"/>
      <c r="J51" s="28"/>
      <c r="K51" s="29"/>
      <c r="L51" s="29"/>
      <c r="M51" s="29"/>
      <c r="N51" s="29"/>
      <c r="O51" s="28"/>
      <c r="P51" s="29"/>
      <c r="Q51" s="29"/>
      <c r="R51" s="29"/>
      <c r="S51" s="29"/>
      <c r="T51" s="29"/>
      <c r="U51" s="29"/>
      <c r="V51" s="28"/>
      <c r="W51" s="29"/>
      <c r="X51" s="29"/>
      <c r="Y51" s="29"/>
    </row>
    <row r="52" spans="1:25" s="12" customFormat="1" ht="16" x14ac:dyDescent="0.2">
      <c r="A52" s="25" t="str" cm="1">
        <f t="array" ref="A52:G91">TRANSPOSE('Conversion - EC - frgt'!A6:AN12)</f>
        <v>Branch</v>
      </c>
      <c r="B52" s="25" t="str">
        <v>Light Truck</v>
      </c>
      <c r="C52" s="25" t="str">
        <v>Medium Truck</v>
      </c>
      <c r="D52" s="25" t="str">
        <v>Heavy Truck</v>
      </c>
      <c r="E52" s="25" t="str">
        <v>Biodiesel Light Truck</v>
      </c>
      <c r="F52" s="25" t="str">
        <v>Biodiesel Medium Truck</v>
      </c>
      <c r="G52" s="25" t="str">
        <v>Biodiesel Heavy Truck</v>
      </c>
      <c r="H52" s="25"/>
      <c r="I52" s="25"/>
      <c r="J52" s="25" t="str" cm="1">
        <f t="array" ref="J52:L91">TRANSPOSE('Conversion - EC - frgt'!A20:AN22)</f>
        <v>Branch</v>
      </c>
      <c r="K52" s="25" t="str">
        <v>Diesel Train</v>
      </c>
      <c r="L52" s="25" t="str">
        <v>BioGasoil Train</v>
      </c>
      <c r="M52" s="25"/>
      <c r="N52" s="25"/>
      <c r="O52" s="25" t="str" cm="1">
        <f t="array" ref="O52:S91">TRANSPOSE('Conversion - EC - frgt'!A30:AN34)</f>
        <v>Branch</v>
      </c>
      <c r="P52" s="25" t="str">
        <v>MFO Freight Ship</v>
      </c>
      <c r="Q52" s="25" t="str">
        <v>MDF Freight Ship</v>
      </c>
      <c r="R52" s="25" t="str">
        <v>Diesel Freight Ship</v>
      </c>
      <c r="S52" s="25" t="str">
        <v>BioGasoil Freight Ship</v>
      </c>
      <c r="T52" s="25"/>
      <c r="U52" s="25"/>
      <c r="V52" s="25" t="str" cm="1">
        <f t="array" ref="V52:X91">TRANSPOSE('Conversion - EC - frgt'!A42:AN44)</f>
        <v>Branch</v>
      </c>
      <c r="W52" s="25" t="str">
        <v>Avgas Plane</v>
      </c>
      <c r="X52" s="25" t="str">
        <v>Avtur Plane</v>
      </c>
      <c r="Y52" s="28"/>
    </row>
    <row r="53" spans="1:25" ht="16" x14ac:dyDescent="0.2">
      <c r="A53" s="25">
        <v>2022</v>
      </c>
      <c r="B53" s="26">
        <v>20755710124611.828</v>
      </c>
      <c r="C53" s="26">
        <v>8805112591111.1465</v>
      </c>
      <c r="D53" s="26">
        <v>1100171313976.4883</v>
      </c>
      <c r="E53" s="26">
        <v>339167804970251.06</v>
      </c>
      <c r="F53" s="26">
        <v>143883812797223.62</v>
      </c>
      <c r="G53" s="26">
        <v>17977832963189.012</v>
      </c>
      <c r="H53" s="26"/>
      <c r="I53" s="26"/>
      <c r="J53" s="25">
        <v>2022</v>
      </c>
      <c r="K53" s="27">
        <v>8203059420.2115812</v>
      </c>
      <c r="L53" s="27">
        <v>134045698310.97192</v>
      </c>
      <c r="M53" s="26"/>
      <c r="N53" s="26"/>
      <c r="O53" s="25">
        <v>2022</v>
      </c>
      <c r="P53" s="27">
        <v>1699090327986.8247</v>
      </c>
      <c r="Q53" s="27">
        <v>733367559.63559949</v>
      </c>
      <c r="R53" s="27">
        <v>49545936478.107841</v>
      </c>
      <c r="S53" s="27">
        <v>80962715414631.5</v>
      </c>
      <c r="T53" s="26"/>
      <c r="U53" s="26"/>
      <c r="V53" s="25">
        <v>2022</v>
      </c>
      <c r="W53" s="26">
        <v>25293845657.77507</v>
      </c>
      <c r="X53" s="26">
        <v>69807604868485.391</v>
      </c>
      <c r="Y53" s="29"/>
    </row>
    <row r="54" spans="1:25" ht="16" x14ac:dyDescent="0.2">
      <c r="A54" s="25">
        <v>2023</v>
      </c>
      <c r="B54" s="26">
        <v>21804392378657.844</v>
      </c>
      <c r="C54" s="26">
        <v>9249990904777.041</v>
      </c>
      <c r="D54" s="26">
        <v>1155757469615.1501</v>
      </c>
      <c r="E54" s="26">
        <v>356304258316373.06</v>
      </c>
      <c r="F54" s="26">
        <v>151153542438803.38</v>
      </c>
      <c r="G54" s="26">
        <v>18886162973654.137</v>
      </c>
      <c r="H54" s="26"/>
      <c r="I54" s="26"/>
      <c r="J54" s="25">
        <v>2023</v>
      </c>
      <c r="K54" s="27">
        <v>8617518997.4177704</v>
      </c>
      <c r="L54" s="27">
        <v>140818357218.13376</v>
      </c>
      <c r="M54" s="26"/>
      <c r="N54" s="26"/>
      <c r="O54" s="25">
        <v>2023</v>
      </c>
      <c r="P54" s="27">
        <v>1784936866808.3586</v>
      </c>
      <c r="Q54" s="27">
        <v>770420955.58618808</v>
      </c>
      <c r="R54" s="27">
        <v>52049244918.66423</v>
      </c>
      <c r="S54" s="27">
        <v>85053356610955.75</v>
      </c>
      <c r="T54" s="26"/>
      <c r="U54" s="26"/>
      <c r="V54" s="25">
        <v>2023</v>
      </c>
      <c r="W54" s="26">
        <v>26571817209.634155</v>
      </c>
      <c r="X54" s="26">
        <v>73334634104465.609</v>
      </c>
      <c r="Y54" s="29"/>
    </row>
    <row r="55" spans="1:25" ht="16" x14ac:dyDescent="0.2">
      <c r="A55" s="25">
        <v>2024</v>
      </c>
      <c r="B55" s="26">
        <v>22906059303589.527</v>
      </c>
      <c r="C55" s="26">
        <v>9717346695240.8965</v>
      </c>
      <c r="D55" s="26">
        <v>1214152115767.4553</v>
      </c>
      <c r="E55" s="26">
        <v>374306530967807.75</v>
      </c>
      <c r="F55" s="26">
        <v>158790575170523.91</v>
      </c>
      <c r="G55" s="26">
        <v>19840386357898.008</v>
      </c>
      <c r="H55" s="26"/>
      <c r="I55" s="26"/>
      <c r="J55" s="25">
        <v>2024</v>
      </c>
      <c r="K55" s="27">
        <v>9052919144.7623024</v>
      </c>
      <c r="L55" s="27">
        <v>147933204716.57999</v>
      </c>
      <c r="M55" s="26"/>
      <c r="N55" s="26"/>
      <c r="O55" s="25">
        <v>2024</v>
      </c>
      <c r="P55" s="27">
        <v>1875120802003.8511</v>
      </c>
      <c r="Q55" s="27">
        <v>809346474.36718035</v>
      </c>
      <c r="R55" s="27">
        <v>54679033018.179741</v>
      </c>
      <c r="S55" s="27">
        <v>89350677453724.266</v>
      </c>
      <c r="T55" s="26"/>
      <c r="U55" s="26"/>
      <c r="V55" s="25">
        <v>2024</v>
      </c>
      <c r="W55" s="26">
        <v>27914358274.150909</v>
      </c>
      <c r="X55" s="26">
        <v>77039866492593.719</v>
      </c>
      <c r="Y55" s="29"/>
    </row>
    <row r="56" spans="1:25" ht="16" x14ac:dyDescent="0.2">
      <c r="A56" s="25">
        <v>2025</v>
      </c>
      <c r="B56" s="26">
        <v>24063387949903.387</v>
      </c>
      <c r="C56" s="26">
        <v>10208315637017.941</v>
      </c>
      <c r="D56" s="26">
        <v>1275497151416.606</v>
      </c>
      <c r="E56" s="26">
        <v>393218368444956.19</v>
      </c>
      <c r="F56" s="26">
        <v>166813468981014.59</v>
      </c>
      <c r="G56" s="26">
        <v>20842821878630.805</v>
      </c>
      <c r="H56" s="26"/>
      <c r="I56" s="26"/>
      <c r="J56" s="25">
        <v>2025</v>
      </c>
      <c r="K56" s="27">
        <v>9510317884.5514183</v>
      </c>
      <c r="L56" s="27">
        <v>155407529884.88516</v>
      </c>
      <c r="M56" s="26"/>
      <c r="N56" s="26"/>
      <c r="O56" s="25">
        <v>2025</v>
      </c>
      <c r="P56" s="27">
        <v>1969861280525.0959</v>
      </c>
      <c r="Q56" s="27">
        <v>850238704.98458183</v>
      </c>
      <c r="R56" s="27">
        <v>57441691161.423264</v>
      </c>
      <c r="S56" s="27">
        <v>93865120432073.688</v>
      </c>
      <c r="T56" s="26"/>
      <c r="U56" s="26"/>
      <c r="V56" s="25">
        <v>2025</v>
      </c>
      <c r="W56" s="26">
        <v>29324731225.952389</v>
      </c>
      <c r="X56" s="26">
        <v>80932305747132.016</v>
      </c>
      <c r="Y56" s="29"/>
    </row>
    <row r="57" spans="1:25" ht="16" x14ac:dyDescent="0.2">
      <c r="A57" s="25">
        <v>2026</v>
      </c>
      <c r="B57" s="26">
        <v>25279190626072.254</v>
      </c>
      <c r="C57" s="26">
        <v>10724090784578.273</v>
      </c>
      <c r="D57" s="26">
        <v>1339941644991.9299</v>
      </c>
      <c r="E57" s="26">
        <v>413085726510637.5</v>
      </c>
      <c r="F57" s="26">
        <v>175241719501280.34</v>
      </c>
      <c r="G57" s="26">
        <v>21895905454048.625</v>
      </c>
      <c r="H57" s="26"/>
      <c r="I57" s="26"/>
      <c r="J57" s="25">
        <v>2026</v>
      </c>
      <c r="K57" s="27">
        <v>9990826695.6683788</v>
      </c>
      <c r="L57" s="27">
        <v>163259495332.319</v>
      </c>
      <c r="M57" s="26"/>
      <c r="N57" s="26"/>
      <c r="O57" s="25">
        <v>2026</v>
      </c>
      <c r="P57" s="27">
        <v>2069388521723.6262</v>
      </c>
      <c r="Q57" s="27">
        <v>893197015.55392778</v>
      </c>
      <c r="R57" s="27">
        <v>60343932607.354172</v>
      </c>
      <c r="S57" s="27">
        <v>98607655641904.203</v>
      </c>
      <c r="T57" s="26"/>
      <c r="U57" s="26"/>
      <c r="V57" s="25">
        <v>2026</v>
      </c>
      <c r="W57" s="26">
        <v>30806363271.143635</v>
      </c>
      <c r="X57" s="26">
        <v>85021410495005.875</v>
      </c>
      <c r="Y57" s="29"/>
    </row>
    <row r="58" spans="1:25" ht="16" x14ac:dyDescent="0.2">
      <c r="A58" s="25">
        <v>2027</v>
      </c>
      <c r="B58" s="26">
        <v>26556421732454.547</v>
      </c>
      <c r="C58" s="26">
        <v>11265925471469.09</v>
      </c>
      <c r="D58" s="26">
        <v>1407642196605.1472</v>
      </c>
      <c r="E58" s="26">
        <v>433956882842587.56</v>
      </c>
      <c r="F58" s="26">
        <v>184095807379082.53</v>
      </c>
      <c r="G58" s="26">
        <v>23002196077114.43</v>
      </c>
      <c r="H58" s="26"/>
      <c r="I58" s="26"/>
      <c r="J58" s="25">
        <v>2027</v>
      </c>
      <c r="K58" s="27">
        <v>10495613214.467024</v>
      </c>
      <c r="L58" s="27">
        <v>171508181333.98441</v>
      </c>
      <c r="M58" s="26"/>
      <c r="N58" s="26"/>
      <c r="O58" s="25">
        <v>2027</v>
      </c>
      <c r="P58" s="27">
        <v>2173944376783.7124</v>
      </c>
      <c r="Q58" s="27">
        <v>938325794.76479018</v>
      </c>
      <c r="R58" s="27">
        <v>63392809802.340721</v>
      </c>
      <c r="S58" s="27">
        <v>103589807443211.41</v>
      </c>
      <c r="T58" s="26"/>
      <c r="U58" s="26"/>
      <c r="V58" s="25">
        <v>2027</v>
      </c>
      <c r="W58" s="26">
        <v>32362854775.418167</v>
      </c>
      <c r="X58" s="26">
        <v>89317117260266.047</v>
      </c>
      <c r="Y58" s="29"/>
    </row>
    <row r="59" spans="1:25" ht="16" x14ac:dyDescent="0.2">
      <c r="A59" s="25">
        <v>2028</v>
      </c>
      <c r="B59" s="26">
        <v>27898184940486.824</v>
      </c>
      <c r="C59" s="26">
        <v>11835136355915.068</v>
      </c>
      <c r="D59" s="26">
        <v>1478763318588.6228</v>
      </c>
      <c r="E59" s="26">
        <v>455882554348209.38</v>
      </c>
      <c r="F59" s="26">
        <v>193397248046910.75</v>
      </c>
      <c r="G59" s="26">
        <v>24164382033910.645</v>
      </c>
      <c r="H59" s="26"/>
      <c r="I59" s="26"/>
      <c r="J59" s="25">
        <v>2028</v>
      </c>
      <c r="K59" s="27">
        <v>11025904072.127972</v>
      </c>
      <c r="L59" s="27">
        <v>180173632195.88397</v>
      </c>
      <c r="M59" s="26"/>
      <c r="N59" s="26"/>
      <c r="O59" s="25">
        <v>2028</v>
      </c>
      <c r="P59" s="27">
        <v>2283782916420.71</v>
      </c>
      <c r="Q59" s="27">
        <v>985734705.54528141</v>
      </c>
      <c r="R59" s="27">
        <v>66595731517.604019</v>
      </c>
      <c r="S59" s="27">
        <v>108823682464279.69</v>
      </c>
      <c r="T59" s="26"/>
      <c r="U59" s="26"/>
      <c r="V59" s="25">
        <v>2028</v>
      </c>
      <c r="W59" s="26">
        <v>33997988012.946178</v>
      </c>
      <c r="X59" s="26">
        <v>93829864609841</v>
      </c>
      <c r="Y59" s="29"/>
    </row>
    <row r="60" spans="1:25" ht="16" x14ac:dyDescent="0.2">
      <c r="A60" s="25">
        <v>2029</v>
      </c>
      <c r="B60" s="26">
        <v>29307740734604.914</v>
      </c>
      <c r="C60" s="26">
        <v>12433106620297.678</v>
      </c>
      <c r="D60" s="26">
        <v>1553477835260.313</v>
      </c>
      <c r="E60" s="26">
        <v>478916020406652.62</v>
      </c>
      <c r="F60" s="26">
        <v>203168644004480.88</v>
      </c>
      <c r="G60" s="26">
        <v>25385287436173.977</v>
      </c>
      <c r="H60" s="26"/>
      <c r="I60" s="26"/>
      <c r="J60" s="25">
        <v>2029</v>
      </c>
      <c r="K60" s="27">
        <v>11582987875.372236</v>
      </c>
      <c r="L60" s="27">
        <v>189276904962.58109</v>
      </c>
      <c r="M60" s="26"/>
      <c r="N60" s="26"/>
      <c r="O60" s="25">
        <v>2029</v>
      </c>
      <c r="P60" s="27">
        <v>2399171048272.8657</v>
      </c>
      <c r="Q60" s="27">
        <v>1035538951.5429567</v>
      </c>
      <c r="R60" s="27">
        <v>69960480852.530945</v>
      </c>
      <c r="S60" s="27">
        <v>114321999020787.44</v>
      </c>
      <c r="T60" s="26"/>
      <c r="U60" s="26"/>
      <c r="V60" s="25">
        <v>2029</v>
      </c>
      <c r="W60" s="26">
        <v>35715736357.300285</v>
      </c>
      <c r="X60" s="26">
        <v>98570618519253.203</v>
      </c>
      <c r="Y60" s="29"/>
    </row>
    <row r="61" spans="1:25" ht="16" x14ac:dyDescent="0.2">
      <c r="A61" s="25">
        <v>2030</v>
      </c>
      <c r="B61" s="26">
        <v>30788514335220.832</v>
      </c>
      <c r="C61" s="26">
        <v>13061289332288.219</v>
      </c>
      <c r="D61" s="26">
        <v>1631967302886.8403</v>
      </c>
      <c r="E61" s="26">
        <v>503113252337698.75</v>
      </c>
      <c r="F61" s="26">
        <v>213433739742807.31</v>
      </c>
      <c r="G61" s="26">
        <v>26667879083886.672</v>
      </c>
      <c r="H61" s="26"/>
      <c r="I61" s="26"/>
      <c r="J61" s="25">
        <v>2030</v>
      </c>
      <c r="K61" s="27">
        <v>12168218337.775419</v>
      </c>
      <c r="L61" s="27">
        <v>198840120585.8154</v>
      </c>
      <c r="M61" s="26"/>
      <c r="N61" s="26"/>
      <c r="O61" s="25">
        <v>2030</v>
      </c>
      <c r="P61" s="27">
        <v>2520389165486.8521</v>
      </c>
      <c r="Q61" s="27">
        <v>1087859557.0696645</v>
      </c>
      <c r="R61" s="27">
        <v>73495234147.605087</v>
      </c>
      <c r="S61" s="27">
        <v>120098118021312.69</v>
      </c>
      <c r="T61" s="26"/>
      <c r="U61" s="26"/>
      <c r="V61" s="25">
        <v>2030</v>
      </c>
      <c r="W61" s="26">
        <v>37520273936.752869</v>
      </c>
      <c r="X61" s="26">
        <v>103550899019938.48</v>
      </c>
      <c r="Y61" s="29"/>
    </row>
    <row r="62" spans="1:25" ht="16" x14ac:dyDescent="0.2">
      <c r="A62" s="25">
        <v>2031</v>
      </c>
      <c r="B62" s="26">
        <v>32344104022007.863</v>
      </c>
      <c r="C62" s="26">
        <v>13721210975802.08</v>
      </c>
      <c r="D62" s="26">
        <v>1714422450865.1978</v>
      </c>
      <c r="E62" s="26">
        <v>528533049412061</v>
      </c>
      <c r="F62" s="26">
        <v>224217479443312.66</v>
      </c>
      <c r="G62" s="26">
        <v>28015273674600.043</v>
      </c>
      <c r="H62" s="26"/>
      <c r="I62" s="26"/>
      <c r="J62" s="25">
        <v>2031</v>
      </c>
      <c r="K62" s="27">
        <v>12783017569.291521</v>
      </c>
      <c r="L62" s="27">
        <v>208886517678.41379</v>
      </c>
      <c r="M62" s="26"/>
      <c r="N62" s="26"/>
      <c r="O62" s="25">
        <v>2031</v>
      </c>
      <c r="P62" s="27">
        <v>2647731828073.0757</v>
      </c>
      <c r="Q62" s="27">
        <v>1142823661.1906092</v>
      </c>
      <c r="R62" s="27">
        <v>77208580852.912842</v>
      </c>
      <c r="S62" s="27">
        <v>126166075434339.55</v>
      </c>
      <c r="T62" s="26"/>
      <c r="U62" s="26"/>
      <c r="V62" s="25">
        <v>2031</v>
      </c>
      <c r="W62" s="26">
        <v>39415985777.407326</v>
      </c>
      <c r="X62" s="26">
        <v>108782808192920.89</v>
      </c>
      <c r="Y62" s="29"/>
    </row>
    <row r="63" spans="1:25" ht="16" x14ac:dyDescent="0.2">
      <c r="A63" s="25">
        <v>2032</v>
      </c>
      <c r="B63" s="26">
        <v>33978289877719.82</v>
      </c>
      <c r="C63" s="26">
        <v>14414475160354.482</v>
      </c>
      <c r="D63" s="26">
        <v>1801043645195.1624</v>
      </c>
      <c r="E63" s="26">
        <v>555237181733605.44</v>
      </c>
      <c r="F63" s="26">
        <v>235546067592186.06</v>
      </c>
      <c r="G63" s="26">
        <v>29430745377009.215</v>
      </c>
      <c r="H63" s="26"/>
      <c r="I63" s="26"/>
      <c r="J63" s="25">
        <v>2032</v>
      </c>
      <c r="K63" s="27">
        <v>13428879531.979979</v>
      </c>
      <c r="L63" s="27">
        <v>219440508984.11569</v>
      </c>
      <c r="M63" s="26"/>
      <c r="N63" s="26"/>
      <c r="O63" s="25">
        <v>2032</v>
      </c>
      <c r="P63" s="27">
        <v>2781508478686.4683</v>
      </c>
      <c r="Q63" s="27">
        <v>1200564826.6722648</v>
      </c>
      <c r="R63" s="27">
        <v>81109544400.506287</v>
      </c>
      <c r="S63" s="27">
        <v>132540616395659.56</v>
      </c>
      <c r="T63" s="26"/>
      <c r="U63" s="26"/>
      <c r="V63" s="25">
        <v>2032</v>
      </c>
      <c r="W63" s="26">
        <v>41407478458.810829</v>
      </c>
      <c r="X63" s="26">
        <v>114279059576868.23</v>
      </c>
      <c r="Y63" s="29"/>
    </row>
    <row r="64" spans="1:25" ht="16" x14ac:dyDescent="0.2">
      <c r="A64" s="25">
        <v>2033</v>
      </c>
      <c r="B64" s="26">
        <v>35695042973791.602</v>
      </c>
      <c r="C64" s="26">
        <v>15142766517831.391</v>
      </c>
      <c r="D64" s="26">
        <v>1892041375368.6477</v>
      </c>
      <c r="E64" s="26">
        <v>583290540340695.75</v>
      </c>
      <c r="F64" s="26">
        <v>247447032657281.19</v>
      </c>
      <c r="G64" s="26">
        <v>30917733787182.602</v>
      </c>
      <c r="H64" s="26"/>
      <c r="I64" s="26"/>
      <c r="J64" s="25">
        <v>2033</v>
      </c>
      <c r="K64" s="27">
        <v>14107373670.333269</v>
      </c>
      <c r="L64" s="27">
        <v>230527740700.53812</v>
      </c>
      <c r="M64" s="26"/>
      <c r="N64" s="26"/>
      <c r="O64" s="25">
        <v>2033</v>
      </c>
      <c r="P64" s="27">
        <v>2922044194572.1021</v>
      </c>
      <c r="Q64" s="27">
        <v>1261223364.5398812</v>
      </c>
      <c r="R64" s="27">
        <v>85207604131.341843</v>
      </c>
      <c r="S64" s="27">
        <v>139237231039050.25</v>
      </c>
      <c r="T64" s="26"/>
      <c r="U64" s="26"/>
      <c r="V64" s="25">
        <v>2033</v>
      </c>
      <c r="W64" s="26">
        <v>43499591307.942253</v>
      </c>
      <c r="X64" s="26">
        <v>120053009061989.5</v>
      </c>
      <c r="Y64" s="29"/>
    </row>
    <row r="65" spans="1:25" ht="16" x14ac:dyDescent="0.2">
      <c r="A65" s="25">
        <v>2034</v>
      </c>
      <c r="B65" s="26">
        <v>37498535020042.43</v>
      </c>
      <c r="C65" s="26">
        <v>15907854796144.828</v>
      </c>
      <c r="D65" s="26">
        <v>1987636765859.1487</v>
      </c>
      <c r="E65" s="26">
        <v>612761294891409.5</v>
      </c>
      <c r="F65" s="26">
        <v>259949293982290.41</v>
      </c>
      <c r="G65" s="26">
        <v>32479852286780.008</v>
      </c>
      <c r="H65" s="26"/>
      <c r="I65" s="26"/>
      <c r="J65" s="25">
        <v>2034</v>
      </c>
      <c r="K65" s="27">
        <v>14820148725.026857</v>
      </c>
      <c r="L65" s="27">
        <v>242175154799.43277</v>
      </c>
      <c r="M65" s="26"/>
      <c r="N65" s="26"/>
      <c r="O65" s="25">
        <v>2034</v>
      </c>
      <c r="P65" s="27">
        <v>3069680477502.8574</v>
      </c>
      <c r="Q65" s="27">
        <v>1324946675.0332589</v>
      </c>
      <c r="R65" s="27">
        <v>89512718330.077911</v>
      </c>
      <c r="S65" s="27">
        <v>146272192137298.25</v>
      </c>
      <c r="T65" s="26"/>
      <c r="U65" s="26"/>
      <c r="V65" s="25">
        <v>2034</v>
      </c>
      <c r="W65" s="26">
        <v>45697408158.776039</v>
      </c>
      <c r="X65" s="26">
        <v>126118687344846.53</v>
      </c>
      <c r="Y65" s="29"/>
    </row>
    <row r="66" spans="1:25" ht="16" x14ac:dyDescent="0.2">
      <c r="A66" s="25">
        <v>2035</v>
      </c>
      <c r="B66" s="26">
        <v>39393148501930.062</v>
      </c>
      <c r="C66" s="26">
        <v>16711599159720.037</v>
      </c>
      <c r="D66" s="26">
        <v>2088062113454.1819</v>
      </c>
      <c r="E66" s="26">
        <v>643721059315797.88</v>
      </c>
      <c r="F66" s="26">
        <v>273083232060745.5</v>
      </c>
      <c r="G66" s="26">
        <v>34120896823569.562</v>
      </c>
      <c r="H66" s="26"/>
      <c r="I66" s="26"/>
      <c r="J66" s="25">
        <v>2035</v>
      </c>
      <c r="K66" s="27">
        <v>15568936739.358833</v>
      </c>
      <c r="L66" s="27">
        <v>254411054495.67407</v>
      </c>
      <c r="M66" s="26"/>
      <c r="N66" s="26"/>
      <c r="O66" s="25">
        <v>2035</v>
      </c>
      <c r="P66" s="27">
        <v>3224776083628.6895</v>
      </c>
      <c r="Q66" s="27">
        <v>1391889605.7893145</v>
      </c>
      <c r="R66" s="27">
        <v>94035348423.705078</v>
      </c>
      <c r="S66" s="27">
        <v>153662594645035.28</v>
      </c>
      <c r="T66" s="26"/>
      <c r="U66" s="26"/>
      <c r="V66" s="25">
        <v>2035</v>
      </c>
      <c r="W66" s="26">
        <v>48006269705.998169</v>
      </c>
      <c r="X66" s="26">
        <v>132490834022944.84</v>
      </c>
      <c r="Y66" s="29"/>
    </row>
    <row r="67" spans="1:25" ht="16" x14ac:dyDescent="0.2">
      <c r="A67" s="25">
        <v>2036</v>
      </c>
      <c r="B67" s="26">
        <v>41383487329990.078</v>
      </c>
      <c r="C67" s="26">
        <v>17555952707264.895</v>
      </c>
      <c r="D67" s="26">
        <v>2193561451736.4541</v>
      </c>
      <c r="E67" s="26">
        <v>676245065837728.62</v>
      </c>
      <c r="F67" s="26">
        <v>286880762360614.69</v>
      </c>
      <c r="G67" s="26">
        <v>35844855135580.414</v>
      </c>
      <c r="H67" s="26"/>
      <c r="I67" s="26"/>
      <c r="J67" s="25">
        <v>2036</v>
      </c>
      <c r="K67" s="27">
        <v>16355557268.114941</v>
      </c>
      <c r="L67" s="27">
        <v>267265173024.06805</v>
      </c>
      <c r="M67" s="26"/>
      <c r="N67" s="26"/>
      <c r="O67" s="25">
        <v>2036</v>
      </c>
      <c r="P67" s="27">
        <v>3387707895254.0288</v>
      </c>
      <c r="Q67" s="27">
        <v>1462214828.1218193</v>
      </c>
      <c r="R67" s="27">
        <v>98786484402.812759</v>
      </c>
      <c r="S67" s="27">
        <v>161426397239475.66</v>
      </c>
      <c r="T67" s="26"/>
      <c r="U67" s="26"/>
      <c r="V67" s="25">
        <v>2036</v>
      </c>
      <c r="W67" s="26">
        <v>50431786482.893738</v>
      </c>
      <c r="X67" s="26">
        <v>139184933411954.17</v>
      </c>
      <c r="Y67" s="29"/>
    </row>
    <row r="68" spans="1:25" ht="16" x14ac:dyDescent="0.2">
      <c r="A68" s="25">
        <v>2037</v>
      </c>
      <c r="B68" s="26">
        <v>43474388027337.828</v>
      </c>
      <c r="C68" s="26">
        <v>18442967217799.445</v>
      </c>
      <c r="D68" s="26">
        <v>2304391144085.438</v>
      </c>
      <c r="E68" s="26">
        <v>710412347789179.75</v>
      </c>
      <c r="F68" s="26">
        <v>301375412878884.75</v>
      </c>
      <c r="G68" s="26">
        <v>37655916441305.609</v>
      </c>
      <c r="H68" s="26"/>
      <c r="I68" s="26"/>
      <c r="J68" s="25">
        <v>2037</v>
      </c>
      <c r="K68" s="27">
        <v>17181921799.086445</v>
      </c>
      <c r="L68" s="27">
        <v>280768745891.10895</v>
      </c>
      <c r="M68" s="26"/>
      <c r="N68" s="26"/>
      <c r="O68" s="25">
        <v>2037</v>
      </c>
      <c r="P68" s="27">
        <v>3558871836661.7383</v>
      </c>
      <c r="Q68" s="27">
        <v>1536093232.312674</v>
      </c>
      <c r="R68" s="27">
        <v>103777671527.26486</v>
      </c>
      <c r="S68" s="27">
        <v>169582465960000.16</v>
      </c>
      <c r="T68" s="26"/>
      <c r="U68" s="26"/>
      <c r="V68" s="25">
        <v>2037</v>
      </c>
      <c r="W68" s="26">
        <v>52979852494.941933</v>
      </c>
      <c r="X68" s="26">
        <v>146217252172593.12</v>
      </c>
      <c r="Y68" s="29"/>
    </row>
    <row r="69" spans="1:25" ht="16" x14ac:dyDescent="0.2">
      <c r="A69" s="25">
        <v>2038</v>
      </c>
      <c r="B69" s="26">
        <v>45670931482419.078</v>
      </c>
      <c r="C69" s="26">
        <v>19374798136478.773</v>
      </c>
      <c r="D69" s="26">
        <v>2420820506640.3555</v>
      </c>
      <c r="E69" s="26">
        <v>746305931661228.12</v>
      </c>
      <c r="F69" s="26">
        <v>316602405614590.44</v>
      </c>
      <c r="G69" s="26">
        <v>39558481619502.578</v>
      </c>
      <c r="H69" s="26"/>
      <c r="I69" s="26"/>
      <c r="J69" s="25">
        <v>2038</v>
      </c>
      <c r="K69" s="27">
        <v>18050038397.985294</v>
      </c>
      <c r="L69" s="27">
        <v>294954586777.25739</v>
      </c>
      <c r="M69" s="26"/>
      <c r="N69" s="26"/>
      <c r="O69" s="25">
        <v>2038</v>
      </c>
      <c r="P69" s="27">
        <v>3738683836209.0723</v>
      </c>
      <c r="Q69" s="27">
        <v>1613704342.8752716</v>
      </c>
      <c r="R69" s="27">
        <v>109021038381.17992</v>
      </c>
      <c r="S69" s="27">
        <v>178150620052629.19</v>
      </c>
      <c r="T69" s="26"/>
      <c r="U69" s="26"/>
      <c r="V69" s="25">
        <v>2038</v>
      </c>
      <c r="W69" s="26">
        <v>55656659542.248886</v>
      </c>
      <c r="X69" s="26">
        <v>153604878838613.38</v>
      </c>
      <c r="Y69" s="29"/>
    </row>
    <row r="70" spans="1:25" ht="16" x14ac:dyDescent="0.2">
      <c r="A70" s="25">
        <v>2039</v>
      </c>
      <c r="B70" s="26">
        <v>47978455295568.305</v>
      </c>
      <c r="C70" s="26">
        <v>20353709812324.363</v>
      </c>
      <c r="D70" s="26">
        <v>2543132462738.3594</v>
      </c>
      <c r="E70" s="26">
        <v>784013038858411.62</v>
      </c>
      <c r="F70" s="26">
        <v>332598742158267.56</v>
      </c>
      <c r="G70" s="26">
        <v>41557173903327.945</v>
      </c>
      <c r="H70" s="26"/>
      <c r="I70" s="26"/>
      <c r="J70" s="25">
        <v>2039</v>
      </c>
      <c r="K70" s="27">
        <v>18962016588.043495</v>
      </c>
      <c r="L70" s="27">
        <v>309857167274.17828</v>
      </c>
      <c r="M70" s="26"/>
      <c r="N70" s="26"/>
      <c r="O70" s="25">
        <v>2039</v>
      </c>
      <c r="P70" s="27">
        <v>3927580837033.5347</v>
      </c>
      <c r="Q70" s="27">
        <v>1695236754.7990444</v>
      </c>
      <c r="R70" s="27">
        <v>114529326345.38901</v>
      </c>
      <c r="S70" s="27">
        <v>187151680130788.22</v>
      </c>
      <c r="T70" s="26"/>
      <c r="U70" s="26"/>
      <c r="V70" s="25">
        <v>2039</v>
      </c>
      <c r="W70" s="26">
        <v>58468712265.620995</v>
      </c>
      <c r="X70" s="26">
        <v>161365765341934.31</v>
      </c>
      <c r="Y70" s="29"/>
    </row>
    <row r="71" spans="1:25" ht="16" x14ac:dyDescent="0.2">
      <c r="A71" s="25">
        <v>2040</v>
      </c>
      <c r="B71" s="26">
        <v>50402566749376.875</v>
      </c>
      <c r="C71" s="26">
        <v>21382081000592.043</v>
      </c>
      <c r="D71" s="26">
        <v>2671624230418.2153</v>
      </c>
      <c r="E71" s="26">
        <v>823625297646732.75</v>
      </c>
      <c r="F71" s="26">
        <v>349403293605814.06</v>
      </c>
      <c r="G71" s="26">
        <v>43656850114793.586</v>
      </c>
      <c r="H71" s="26"/>
      <c r="I71" s="26"/>
      <c r="J71" s="25">
        <v>2040</v>
      </c>
      <c r="K71" s="27">
        <v>19920072476.1544</v>
      </c>
      <c r="L71" s="27">
        <v>325512700650.70618</v>
      </c>
      <c r="M71" s="26"/>
      <c r="N71" s="26"/>
      <c r="O71" s="25">
        <v>2040</v>
      </c>
      <c r="P71" s="27">
        <v>4126021858824.6553</v>
      </c>
      <c r="Q71" s="27">
        <v>1780888591.8352666</v>
      </c>
      <c r="R71" s="27">
        <v>120315920558.98981</v>
      </c>
      <c r="S71" s="27">
        <v>196607518769396.31</v>
      </c>
      <c r="T71" s="26"/>
      <c r="U71" s="26"/>
      <c r="V71" s="25">
        <v>2040</v>
      </c>
      <c r="W71" s="26">
        <v>61422843952.841507</v>
      </c>
      <c r="X71" s="26">
        <v>169518770635835.56</v>
      </c>
      <c r="Y71" s="29"/>
    </row>
    <row r="72" spans="1:25" ht="16" x14ac:dyDescent="0.2">
      <c r="A72" s="25">
        <v>2041</v>
      </c>
      <c r="B72" s="26">
        <v>52949156434389.148</v>
      </c>
      <c r="C72" s="26">
        <v>22462410643146.953</v>
      </c>
      <c r="D72" s="26">
        <v>2806608044660.0947</v>
      </c>
      <c r="E72" s="26">
        <v>865238965810334</v>
      </c>
      <c r="F72" s="26">
        <v>367056895015247.75</v>
      </c>
      <c r="G72" s="26">
        <v>45862612466843.539</v>
      </c>
      <c r="H72" s="26"/>
      <c r="I72" s="26"/>
      <c r="J72" s="25">
        <v>2041</v>
      </c>
      <c r="K72" s="27">
        <v>20926534138.012096</v>
      </c>
      <c r="L72" s="27">
        <v>341959229851.08301</v>
      </c>
      <c r="M72" s="26"/>
      <c r="N72" s="26"/>
      <c r="O72" s="25">
        <v>2041</v>
      </c>
      <c r="P72" s="27">
        <v>4334489113241.7705</v>
      </c>
      <c r="Q72" s="27">
        <v>1870867987.9377429</v>
      </c>
      <c r="R72" s="27">
        <v>126394882445.23277</v>
      </c>
      <c r="S72" s="27">
        <v>206541113655220.06</v>
      </c>
      <c r="T72" s="26"/>
      <c r="U72" s="26"/>
      <c r="V72" s="25">
        <v>2041</v>
      </c>
      <c r="W72" s="26">
        <v>64526233143.558807</v>
      </c>
      <c r="X72" s="26">
        <v>178083706522211.09</v>
      </c>
      <c r="Y72" s="29"/>
    </row>
    <row r="73" spans="1:25" ht="16" x14ac:dyDescent="0.2">
      <c r="A73" s="25">
        <v>2042</v>
      </c>
      <c r="B73" s="26">
        <v>55624412563236.68</v>
      </c>
      <c r="C73" s="26">
        <v>23597323940891.961</v>
      </c>
      <c r="D73" s="26">
        <v>2948411916116.5469</v>
      </c>
      <c r="E73" s="26">
        <v>908955164557901.38</v>
      </c>
      <c r="F73" s="26">
        <v>385602444635893.25</v>
      </c>
      <c r="G73" s="26">
        <v>48179820961730.812</v>
      </c>
      <c r="H73" s="26"/>
      <c r="I73" s="26"/>
      <c r="J73" s="25">
        <v>2042</v>
      </c>
      <c r="K73" s="27">
        <v>21983847275.335152</v>
      </c>
      <c r="L73" s="27">
        <v>359236719939.30896</v>
      </c>
      <c r="M73" s="26"/>
      <c r="N73" s="26"/>
      <c r="O73" s="25">
        <v>2042</v>
      </c>
      <c r="P73" s="27">
        <v>4553489175688.3115</v>
      </c>
      <c r="Q73" s="27">
        <v>1965393593.0282981</v>
      </c>
      <c r="R73" s="27">
        <v>132780983880.77818</v>
      </c>
      <c r="S73" s="27">
        <v>216976603422650.09</v>
      </c>
      <c r="T73" s="26"/>
      <c r="U73" s="26"/>
      <c r="V73" s="25">
        <v>2042</v>
      </c>
      <c r="W73" s="26">
        <v>67786421073.137131</v>
      </c>
      <c r="X73" s="26">
        <v>187081385794245.84</v>
      </c>
      <c r="Y73" s="29"/>
    </row>
    <row r="74" spans="1:25" ht="16" x14ac:dyDescent="0.2">
      <c r="A74" s="25">
        <v>2043</v>
      </c>
      <c r="B74" s="26">
        <v>58434836007994.203</v>
      </c>
      <c r="C74" s="26">
        <v>24789578733005.523</v>
      </c>
      <c r="D74" s="26">
        <v>3097380428178.335</v>
      </c>
      <c r="E74" s="26">
        <v>954880124247189.12</v>
      </c>
      <c r="F74" s="26">
        <v>405085008151121.62</v>
      </c>
      <c r="G74" s="26">
        <v>50614106415822.258</v>
      </c>
      <c r="H74" s="26"/>
      <c r="I74" s="26"/>
      <c r="J74" s="25">
        <v>2043</v>
      </c>
      <c r="K74" s="27">
        <v>23094581158.921459</v>
      </c>
      <c r="L74" s="27">
        <v>377387155214.24255</v>
      </c>
      <c r="M74" s="26"/>
      <c r="N74" s="26"/>
      <c r="O74" s="25">
        <v>2043</v>
      </c>
      <c r="P74" s="27">
        <v>4783554216289.9629</v>
      </c>
      <c r="Q74" s="27">
        <v>2064695104.3160527</v>
      </c>
      <c r="R74" s="27">
        <v>139489743091.35449</v>
      </c>
      <c r="S74" s="27">
        <v>227939346310579.44</v>
      </c>
      <c r="T74" s="26"/>
      <c r="U74" s="26"/>
      <c r="V74" s="25">
        <v>2043</v>
      </c>
      <c r="W74" s="26">
        <v>71211329997.857376</v>
      </c>
      <c r="X74" s="26">
        <v>196533672811500.09</v>
      </c>
      <c r="Y74" s="29"/>
    </row>
    <row r="75" spans="1:25" ht="16" x14ac:dyDescent="0.2">
      <c r="A75" s="25">
        <v>2044</v>
      </c>
      <c r="B75" s="26">
        <v>61387256097298.094</v>
      </c>
      <c r="C75" s="26">
        <v>26042072198490.621</v>
      </c>
      <c r="D75" s="26">
        <v>3253875574312.0449</v>
      </c>
      <c r="E75" s="26">
        <v>1003125442524778.1</v>
      </c>
      <c r="F75" s="26">
        <v>425551928187957.12</v>
      </c>
      <c r="G75" s="26">
        <v>53171384142481.664</v>
      </c>
      <c r="H75" s="26"/>
      <c r="I75" s="26"/>
      <c r="J75" s="25">
        <v>2044</v>
      </c>
      <c r="K75" s="27">
        <v>24261434871.975967</v>
      </c>
      <c r="L75" s="27">
        <v>396454641231.44214</v>
      </c>
      <c r="M75" s="26"/>
      <c r="N75" s="26"/>
      <c r="O75" s="25">
        <v>2044</v>
      </c>
      <c r="P75" s="27">
        <v>5025243293068.0137</v>
      </c>
      <c r="Q75" s="27">
        <v>2169013824.4616208</v>
      </c>
      <c r="R75" s="27">
        <v>146537462361.04517</v>
      </c>
      <c r="S75" s="27">
        <v>239455981782921.47</v>
      </c>
      <c r="T75" s="26"/>
      <c r="U75" s="26"/>
      <c r="V75" s="25">
        <v>2044</v>
      </c>
      <c r="W75" s="26">
        <v>74809282445.9991</v>
      </c>
      <c r="X75" s="26">
        <v>206463536630301.19</v>
      </c>
      <c r="Y75" s="29"/>
    </row>
    <row r="76" spans="1:25" ht="16" x14ac:dyDescent="0.2">
      <c r="A76" s="25">
        <v>2045</v>
      </c>
      <c r="B76" s="26">
        <v>64488847211614.078</v>
      </c>
      <c r="C76" s="26">
        <v>27357847896319.367</v>
      </c>
      <c r="D76" s="26">
        <v>3418277637704.1606</v>
      </c>
      <c r="E76" s="26">
        <v>1053808355508342.8</v>
      </c>
      <c r="F76" s="26">
        <v>447052939359653.62</v>
      </c>
      <c r="G76" s="26">
        <v>55857868326280.547</v>
      </c>
      <c r="H76" s="26"/>
      <c r="I76" s="26"/>
      <c r="J76" s="25">
        <v>2045</v>
      </c>
      <c r="K76" s="27">
        <v>25487243868.882549</v>
      </c>
      <c r="L76" s="27">
        <v>416485511979.66071</v>
      </c>
      <c r="M76" s="26"/>
      <c r="N76" s="26"/>
      <c r="O76" s="25">
        <v>2045</v>
      </c>
      <c r="P76" s="27">
        <v>5279143710450.2744</v>
      </c>
      <c r="Q76" s="27">
        <v>2278603247.9425445</v>
      </c>
      <c r="R76" s="27">
        <v>153941267646.83701</v>
      </c>
      <c r="S76" s="27">
        <v>251554495262503.56</v>
      </c>
      <c r="T76" s="26"/>
      <c r="U76" s="26"/>
      <c r="V76" s="25">
        <v>2045</v>
      </c>
      <c r="W76" s="26">
        <v>78589021441.583237</v>
      </c>
      <c r="X76" s="26">
        <v>216895106818547.12</v>
      </c>
      <c r="Y76" s="29"/>
    </row>
    <row r="77" spans="1:25" ht="16" x14ac:dyDescent="0.2">
      <c r="A77" s="25">
        <v>2046</v>
      </c>
      <c r="B77" s="26">
        <v>67747146216980.883</v>
      </c>
      <c r="C77" s="26">
        <v>28740103161280.895</v>
      </c>
      <c r="D77" s="26">
        <v>3590986115349.1631</v>
      </c>
      <c r="E77" s="26">
        <v>1107052022670401.4</v>
      </c>
      <c r="F77" s="26">
        <v>469640289120799.94</v>
      </c>
      <c r="G77" s="26">
        <v>58680087123465.852</v>
      </c>
      <c r="H77" s="26"/>
      <c r="I77" s="26"/>
      <c r="J77" s="25">
        <v>2046</v>
      </c>
      <c r="K77" s="27">
        <v>26774986865.357841</v>
      </c>
      <c r="L77" s="27">
        <v>437528442472.43311</v>
      </c>
      <c r="M77" s="26"/>
      <c r="N77" s="26"/>
      <c r="O77" s="25">
        <v>2046</v>
      </c>
      <c r="P77" s="27">
        <v>5545872446420.7734</v>
      </c>
      <c r="Q77" s="27">
        <v>2393729677.0448413</v>
      </c>
      <c r="R77" s="27">
        <v>161719150194.69333</v>
      </c>
      <c r="S77" s="27">
        <v>264264286135641.47</v>
      </c>
      <c r="T77" s="26"/>
      <c r="U77" s="26"/>
      <c r="V77" s="25">
        <v>2046</v>
      </c>
      <c r="W77" s="26">
        <v>82559731749.919189</v>
      </c>
      <c r="X77" s="26">
        <v>227853732090554.19</v>
      </c>
      <c r="Y77" s="29"/>
    </row>
    <row r="78" spans="1:25" ht="16" x14ac:dyDescent="0.2">
      <c r="A78" s="25">
        <v>2047</v>
      </c>
      <c r="B78" s="26">
        <v>71170070779593.844</v>
      </c>
      <c r="C78" s="26">
        <v>30192196873504.613</v>
      </c>
      <c r="D78" s="26">
        <v>3772420688827.1792</v>
      </c>
      <c r="E78" s="26">
        <v>1162985826115823.8</v>
      </c>
      <c r="F78" s="26">
        <v>493368864728628.5</v>
      </c>
      <c r="G78" s="26">
        <v>61644898525378.977</v>
      </c>
      <c r="H78" s="26"/>
      <c r="I78" s="26"/>
      <c r="J78" s="25">
        <v>2047</v>
      </c>
      <c r="K78" s="27">
        <v>28127793076.730042</v>
      </c>
      <c r="L78" s="27">
        <v>459634567028.35272</v>
      </c>
      <c r="M78" s="26"/>
      <c r="N78" s="26"/>
      <c r="O78" s="25">
        <v>2047</v>
      </c>
      <c r="P78" s="27">
        <v>5826077651776.1816</v>
      </c>
      <c r="Q78" s="27">
        <v>2514672868.977531</v>
      </c>
      <c r="R78" s="27">
        <v>169890010258.28021</v>
      </c>
      <c r="S78" s="27">
        <v>277616239192644.75</v>
      </c>
      <c r="T78" s="26"/>
      <c r="U78" s="26"/>
      <c r="V78" s="25">
        <v>2047</v>
      </c>
      <c r="W78" s="26">
        <v>86731062196.583847</v>
      </c>
      <c r="X78" s="26">
        <v>239366041904429.38</v>
      </c>
      <c r="Y78" s="29"/>
    </row>
    <row r="79" spans="1:25" ht="16" x14ac:dyDescent="0.2">
      <c r="A79" s="25">
        <v>2048</v>
      </c>
      <c r="B79" s="26">
        <v>74765938605732.828</v>
      </c>
      <c r="C79" s="26">
        <v>31717657620538.445</v>
      </c>
      <c r="D79" s="26">
        <v>3963022244130.1729</v>
      </c>
      <c r="E79" s="26">
        <v>1221745684980325.5</v>
      </c>
      <c r="F79" s="26">
        <v>518296326619042.44</v>
      </c>
      <c r="G79" s="26">
        <v>64759507023373.758</v>
      </c>
      <c r="H79" s="26"/>
      <c r="I79" s="26"/>
      <c r="J79" s="25">
        <v>2048</v>
      </c>
      <c r="K79" s="27">
        <v>29548949821.931835</v>
      </c>
      <c r="L79" s="27">
        <v>482857603527.46033</v>
      </c>
      <c r="M79" s="26"/>
      <c r="N79" s="26"/>
      <c r="O79" s="25">
        <v>2048</v>
      </c>
      <c r="P79" s="27">
        <v>6120440225132.1758</v>
      </c>
      <c r="Q79" s="27">
        <v>2641726715.6826215</v>
      </c>
      <c r="R79" s="27">
        <v>178473703026.5799</v>
      </c>
      <c r="S79" s="27">
        <v>291642799677853.25</v>
      </c>
      <c r="T79" s="26"/>
      <c r="U79" s="26"/>
      <c r="V79" s="25">
        <v>2048</v>
      </c>
      <c r="W79" s="26">
        <v>91113149114.066254</v>
      </c>
      <c r="X79" s="26">
        <v>251460011171650.72</v>
      </c>
      <c r="Y79" s="29"/>
    </row>
    <row r="80" spans="1:25" ht="16" x14ac:dyDescent="0.2">
      <c r="A80" s="25">
        <v>2049</v>
      </c>
      <c r="B80" s="26">
        <v>78543487653787.453</v>
      </c>
      <c r="C80" s="26">
        <v>33320192271816.137</v>
      </c>
      <c r="D80" s="26">
        <v>4163253943014.8496</v>
      </c>
      <c r="E80" s="26">
        <v>1283474385713956.2</v>
      </c>
      <c r="F80" s="26">
        <v>544483248521469.44</v>
      </c>
      <c r="G80" s="26">
        <v>68031481115729.695</v>
      </c>
      <c r="H80" s="26"/>
      <c r="I80" s="26"/>
      <c r="J80" s="25">
        <v>2049</v>
      </c>
      <c r="K80" s="27">
        <v>31041910511.684937</v>
      </c>
      <c r="L80" s="27">
        <v>507253983945.68518</v>
      </c>
      <c r="M80" s="26"/>
      <c r="N80" s="26"/>
      <c r="O80" s="25">
        <v>2049</v>
      </c>
      <c r="P80" s="27">
        <v>6429675467506.9775</v>
      </c>
      <c r="Q80" s="27">
        <v>2775199957.992486</v>
      </c>
      <c r="R80" s="27">
        <v>187491086871.9978</v>
      </c>
      <c r="S80" s="27">
        <v>306378052131576.69</v>
      </c>
      <c r="T80" s="26"/>
      <c r="U80" s="26"/>
      <c r="V80" s="25">
        <v>2049</v>
      </c>
      <c r="W80" s="26">
        <v>95716640973.054459</v>
      </c>
      <c r="X80" s="26">
        <v>264165028236098.38</v>
      </c>
      <c r="Y80" s="29"/>
    </row>
    <row r="81" spans="1:25" ht="16" x14ac:dyDescent="0.2">
      <c r="A81" s="25">
        <v>2050</v>
      </c>
      <c r="B81" s="26">
        <v>82511897367495.078</v>
      </c>
      <c r="C81" s="26">
        <v>35003694986349.652</v>
      </c>
      <c r="D81" s="26">
        <v>4373602348485.6753</v>
      </c>
      <c r="E81" s="26">
        <v>1348321929052154.2</v>
      </c>
      <c r="F81" s="26">
        <v>571993264653016.75</v>
      </c>
      <c r="G81" s="26">
        <v>71468771699101.953</v>
      </c>
      <c r="H81" s="26"/>
      <c r="I81" s="26"/>
      <c r="J81" s="25">
        <v>2050</v>
      </c>
      <c r="K81" s="27">
        <v>32610303040.287811</v>
      </c>
      <c r="L81" s="27">
        <v>532882991484.54102</v>
      </c>
      <c r="M81" s="26"/>
      <c r="N81" s="26"/>
      <c r="O81" s="25">
        <v>2050</v>
      </c>
      <c r="P81" s="27">
        <v>6754534820502.7676</v>
      </c>
      <c r="Q81" s="27">
        <v>2915416935.8700562</v>
      </c>
      <c r="R81" s="27">
        <v>196964074036.20551</v>
      </c>
      <c r="S81" s="27">
        <v>321857803215524.62</v>
      </c>
      <c r="T81" s="26"/>
      <c r="U81" s="26"/>
      <c r="V81" s="25">
        <v>2050</v>
      </c>
      <c r="W81" s="26">
        <v>100552724258.21805</v>
      </c>
      <c r="X81" s="26">
        <v>277511966287727.28</v>
      </c>
      <c r="Y81" s="29"/>
    </row>
    <row r="82" spans="1:25" ht="16" x14ac:dyDescent="0.2">
      <c r="A82" s="25">
        <v>2051</v>
      </c>
      <c r="B82" s="26">
        <v>86680810981987.734</v>
      </c>
      <c r="C82" s="26">
        <v>36772256675534.961</v>
      </c>
      <c r="D82" s="26">
        <v>4594578607142.9121</v>
      </c>
      <c r="E82" s="26">
        <v>1416445894517514</v>
      </c>
      <c r="F82" s="26">
        <v>600893224349610.38</v>
      </c>
      <c r="G82" s="26">
        <v>75079731389199.078</v>
      </c>
      <c r="H82" s="26"/>
      <c r="I82" s="26"/>
      <c r="J82" s="25">
        <v>2051</v>
      </c>
      <c r="K82" s="27">
        <v>34257938601.398342</v>
      </c>
      <c r="L82" s="27">
        <v>559806904629.29712</v>
      </c>
      <c r="M82" s="26"/>
      <c r="N82" s="26"/>
      <c r="O82" s="25">
        <v>2051</v>
      </c>
      <c r="P82" s="27">
        <v>7095807692308.6689</v>
      </c>
      <c r="Q82" s="27">
        <v>3062718376.5548906</v>
      </c>
      <c r="R82" s="27">
        <v>206915683876.8848</v>
      </c>
      <c r="S82" s="27">
        <v>338119668722989</v>
      </c>
      <c r="T82" s="26"/>
      <c r="U82" s="26"/>
      <c r="V82" s="25">
        <v>2051</v>
      </c>
      <c r="W82" s="26">
        <v>105633150651.3645</v>
      </c>
      <c r="X82" s="26">
        <v>291533258384414.56</v>
      </c>
      <c r="Y82" s="29"/>
    </row>
    <row r="83" spans="1:25" ht="16" x14ac:dyDescent="0.2">
      <c r="A83" s="25">
        <v>2052</v>
      </c>
      <c r="B83" s="26">
        <v>91060358956852.688</v>
      </c>
      <c r="C83" s="26">
        <v>38630174944066.359</v>
      </c>
      <c r="D83" s="26">
        <v>4826719691268.8086</v>
      </c>
      <c r="E83" s="26">
        <v>1488011823338011.8</v>
      </c>
      <c r="F83" s="26">
        <v>631253354509874.5</v>
      </c>
      <c r="G83" s="26">
        <v>78873134817638.344</v>
      </c>
      <c r="H83" s="26"/>
      <c r="I83" s="26"/>
      <c r="J83" s="25">
        <v>2052</v>
      </c>
      <c r="K83" s="27">
        <v>35988820949.234009</v>
      </c>
      <c r="L83" s="27">
        <v>588091148485.69238</v>
      </c>
      <c r="M83" s="26"/>
      <c r="N83" s="26"/>
      <c r="O83" s="25">
        <v>2052</v>
      </c>
      <c r="P83" s="27">
        <v>7454323375962.5654</v>
      </c>
      <c r="Q83" s="27">
        <v>3217462222.5303259</v>
      </c>
      <c r="R83" s="27">
        <v>217370098804.76443</v>
      </c>
      <c r="S83" s="27">
        <v>355203164985218</v>
      </c>
      <c r="T83" s="26"/>
      <c r="U83" s="26"/>
      <c r="V83" s="25">
        <v>2052</v>
      </c>
      <c r="W83" s="26">
        <v>110970265588.0247</v>
      </c>
      <c r="X83" s="26">
        <v>306262976264287.19</v>
      </c>
      <c r="Y83" s="29"/>
    </row>
    <row r="84" spans="1:25" ht="16" x14ac:dyDescent="0.2">
      <c r="A84" s="25">
        <v>2053</v>
      </c>
      <c r="B84" s="26">
        <v>95661183593147.656</v>
      </c>
      <c r="C84" s="26">
        <v>40581964533115.312</v>
      </c>
      <c r="D84" s="26">
        <v>5070589703670.165</v>
      </c>
      <c r="E84" s="26">
        <v>1563193620712164.2</v>
      </c>
      <c r="F84" s="26">
        <v>663147430246485.75</v>
      </c>
      <c r="G84" s="26">
        <v>82858199954299.531</v>
      </c>
      <c r="H84" s="26"/>
      <c r="I84" s="26"/>
      <c r="J84" s="25">
        <v>2053</v>
      </c>
      <c r="K84" s="27">
        <v>37807156127.694046</v>
      </c>
      <c r="L84" s="27">
        <v>617804453762.93213</v>
      </c>
      <c r="M84" s="26"/>
      <c r="N84" s="26"/>
      <c r="O84" s="25">
        <v>2053</v>
      </c>
      <c r="P84" s="27">
        <v>7830953064533.0723</v>
      </c>
      <c r="Q84" s="27">
        <v>3380024501.3236704</v>
      </c>
      <c r="R84" s="27">
        <v>228352723046.87506</v>
      </c>
      <c r="S84" s="27">
        <v>373149804896096.06</v>
      </c>
      <c r="T84" s="26"/>
      <c r="U84" s="26"/>
      <c r="V84" s="25">
        <v>2053</v>
      </c>
      <c r="W84" s="26">
        <v>116577038256.85965</v>
      </c>
      <c r="X84" s="26">
        <v>321736913140040.38</v>
      </c>
      <c r="Y84" s="29"/>
    </row>
    <row r="85" spans="1:25" ht="16" x14ac:dyDescent="0.2">
      <c r="A85" s="25">
        <v>2054</v>
      </c>
      <c r="B85" s="26">
        <v>100494464894191.42</v>
      </c>
      <c r="C85" s="26">
        <v>42632368291150.961</v>
      </c>
      <c r="D85" s="26">
        <v>5326781248448.0996</v>
      </c>
      <c r="E85" s="26">
        <v>1642173978398646.2</v>
      </c>
      <c r="F85" s="26">
        <v>696652954159689.38</v>
      </c>
      <c r="G85" s="26">
        <v>87044610506990.5</v>
      </c>
      <c r="H85" s="26"/>
      <c r="I85" s="26"/>
      <c r="J85" s="25">
        <v>2054</v>
      </c>
      <c r="K85" s="27">
        <v>39717362691.045792</v>
      </c>
      <c r="L85" s="27">
        <v>649019023789.3042</v>
      </c>
      <c r="M85" s="26"/>
      <c r="N85" s="26"/>
      <c r="O85" s="25">
        <v>2054</v>
      </c>
      <c r="P85" s="27">
        <v>8226611968118.6055</v>
      </c>
      <c r="Q85" s="27">
        <v>3550800239.2530489</v>
      </c>
      <c r="R85" s="27">
        <v>239890244378.81845</v>
      </c>
      <c r="S85" s="27">
        <v>392003198788471.44</v>
      </c>
      <c r="T85" s="26"/>
      <c r="U85" s="26"/>
      <c r="V85" s="25">
        <v>2054</v>
      </c>
      <c r="W85" s="26">
        <v>122467093114.78748</v>
      </c>
      <c r="X85" s="26">
        <v>337992670676440.75</v>
      </c>
      <c r="Y85" s="29"/>
    </row>
    <row r="86" spans="1:25" ht="16" x14ac:dyDescent="0.2">
      <c r="A86" s="25">
        <v>2055</v>
      </c>
      <c r="B86" s="26">
        <v>105571947732970.47</v>
      </c>
      <c r="C86" s="26">
        <v>44786368699061.375</v>
      </c>
      <c r="D86" s="26">
        <v>5595916871025.9414</v>
      </c>
      <c r="E86" s="26">
        <v>1725144818657238.2</v>
      </c>
      <c r="F86" s="26">
        <v>731851344668607.88</v>
      </c>
      <c r="G86" s="26">
        <v>91442539452856.219</v>
      </c>
      <c r="H86" s="26"/>
      <c r="I86" s="26"/>
      <c r="J86" s="25">
        <v>2055</v>
      </c>
      <c r="K86" s="27">
        <v>41724082441.010887</v>
      </c>
      <c r="L86" s="27">
        <v>681810709966.25903</v>
      </c>
      <c r="M86" s="26"/>
      <c r="N86" s="26"/>
      <c r="O86" s="25">
        <v>2055</v>
      </c>
      <c r="P86" s="27">
        <v>8642261537807.7988</v>
      </c>
      <c r="Q86" s="27">
        <v>3730204421.3413086</v>
      </c>
      <c r="R86" s="27">
        <v>252010698976.05823</v>
      </c>
      <c r="S86" s="27">
        <v>411809160407258.81</v>
      </c>
      <c r="T86" s="26"/>
      <c r="U86" s="26"/>
      <c r="V86" s="25">
        <v>2055</v>
      </c>
      <c r="W86" s="26">
        <v>128654742994.41209</v>
      </c>
      <c r="X86" s="26">
        <v>355069750362368</v>
      </c>
      <c r="Y86" s="29"/>
    </row>
    <row r="87" spans="1:25" ht="16" x14ac:dyDescent="0.2">
      <c r="A87" s="25">
        <v>2056</v>
      </c>
      <c r="B87" s="26">
        <v>110905970392178.83</v>
      </c>
      <c r="C87" s="26">
        <v>47049199977581.453</v>
      </c>
      <c r="D87" s="26">
        <v>5878650570934.5264</v>
      </c>
      <c r="E87" s="26">
        <v>1812307760619895</v>
      </c>
      <c r="F87" s="26">
        <v>768828133857989.25</v>
      </c>
      <c r="G87" s="26">
        <v>96062673758711.797</v>
      </c>
      <c r="H87" s="26"/>
      <c r="I87" s="26"/>
      <c r="J87" s="25">
        <v>2056</v>
      </c>
      <c r="K87" s="27">
        <v>43832191706.342964</v>
      </c>
      <c r="L87" s="27">
        <v>716259196087.3042</v>
      </c>
      <c r="M87" s="26"/>
      <c r="N87" s="26"/>
      <c r="O87" s="25">
        <v>2056</v>
      </c>
      <c r="P87" s="27">
        <v>9078911802005.5371</v>
      </c>
      <c r="Q87" s="27">
        <v>3918672999.7295785</v>
      </c>
      <c r="R87" s="27">
        <v>264743539541.82361</v>
      </c>
      <c r="S87" s="27">
        <v>432615818236835.62</v>
      </c>
      <c r="T87" s="26"/>
      <c r="U87" s="26"/>
      <c r="V87" s="25">
        <v>2056</v>
      </c>
      <c r="W87" s="26">
        <v>135155023884.20477</v>
      </c>
      <c r="X87" s="26">
        <v>373009649499426.69</v>
      </c>
      <c r="Y87" s="29"/>
    </row>
    <row r="88" spans="1:25" ht="16" x14ac:dyDescent="0.2">
      <c r="A88" s="25">
        <v>2057</v>
      </c>
      <c r="B88" s="26">
        <v>116509494546243.61</v>
      </c>
      <c r="C88" s="26">
        <v>49426360806448.742</v>
      </c>
      <c r="D88" s="26">
        <v>6175669391030.9932</v>
      </c>
      <c r="E88" s="26">
        <v>1903874610225215.2</v>
      </c>
      <c r="F88" s="26">
        <v>807673175321164</v>
      </c>
      <c r="G88" s="26">
        <v>100916240350370.67</v>
      </c>
      <c r="H88" s="26"/>
      <c r="I88" s="26"/>
      <c r="J88" s="25">
        <v>2057</v>
      </c>
      <c r="K88" s="27">
        <v>46046813192.305931</v>
      </c>
      <c r="L88" s="27">
        <v>752448191969.61499</v>
      </c>
      <c r="M88" s="26"/>
      <c r="N88" s="26"/>
      <c r="O88" s="25">
        <v>2057</v>
      </c>
      <c r="P88" s="27">
        <v>9537623820801.8672</v>
      </c>
      <c r="Q88" s="27">
        <v>4116663953.040915</v>
      </c>
      <c r="R88" s="27">
        <v>278119706877.17426</v>
      </c>
      <c r="S88" s="27">
        <v>454473732453251.69</v>
      </c>
      <c r="T88" s="26"/>
      <c r="U88" s="26"/>
      <c r="V88" s="25">
        <v>2057</v>
      </c>
      <c r="W88" s="26">
        <v>141983731465.95422</v>
      </c>
      <c r="X88" s="26">
        <v>391855962040385.06</v>
      </c>
      <c r="Y88" s="29"/>
    </row>
    <row r="89" spans="1:25" ht="16" x14ac:dyDescent="0.2">
      <c r="A89" s="25">
        <v>2058</v>
      </c>
      <c r="B89" s="26">
        <v>122396136758192.61</v>
      </c>
      <c r="C89" s="26">
        <v>51923627686194.578</v>
      </c>
      <c r="D89" s="26">
        <v>6487695087012.833</v>
      </c>
      <c r="E89" s="26">
        <v>2000067874906844</v>
      </c>
      <c r="F89" s="26">
        <v>848480862504265.88</v>
      </c>
      <c r="G89" s="26">
        <v>106015033394073.16</v>
      </c>
      <c r="H89" s="26"/>
      <c r="I89" s="26"/>
      <c r="J89" s="25">
        <v>2058</v>
      </c>
      <c r="K89" s="27">
        <v>48373328428.847183</v>
      </c>
      <c r="L89" s="27">
        <v>790465636868.87976</v>
      </c>
      <c r="M89" s="26"/>
      <c r="N89" s="26"/>
      <c r="O89" s="25">
        <v>2058</v>
      </c>
      <c r="P89" s="27">
        <v>10019512264347.881</v>
      </c>
      <c r="Q89" s="27">
        <v>4324658399.2683077</v>
      </c>
      <c r="R89" s="27">
        <v>292171705067.14343</v>
      </c>
      <c r="S89" s="27">
        <v>477436017785452.25</v>
      </c>
      <c r="T89" s="26"/>
      <c r="U89" s="26"/>
      <c r="V89" s="25">
        <v>2058</v>
      </c>
      <c r="W89" s="26">
        <v>149157459498.27155</v>
      </c>
      <c r="X89" s="26">
        <v>411654484522475.44</v>
      </c>
      <c r="Y89" s="29"/>
    </row>
    <row r="90" spans="1:25" ht="16" x14ac:dyDescent="0.2">
      <c r="A90" s="25">
        <v>2059</v>
      </c>
      <c r="B90" s="26">
        <v>128580201567900.28</v>
      </c>
      <c r="C90" s="26">
        <v>54547068975039.547</v>
      </c>
      <c r="D90" s="26">
        <v>6815485881284.1572</v>
      </c>
      <c r="E90" s="26">
        <v>2101121304286512.2</v>
      </c>
      <c r="F90" s="26">
        <v>891350358082294</v>
      </c>
      <c r="G90" s="26">
        <v>111371442956308.7</v>
      </c>
      <c r="H90" s="26"/>
      <c r="I90" s="26"/>
      <c r="J90" s="25">
        <v>2059</v>
      </c>
      <c r="K90" s="27">
        <v>50817390847.714691</v>
      </c>
      <c r="L90" s="27">
        <v>830403913171.67993</v>
      </c>
      <c r="M90" s="26"/>
      <c r="N90" s="26"/>
      <c r="O90" s="25">
        <v>2059</v>
      </c>
      <c r="P90" s="27">
        <v>10525748121504.059</v>
      </c>
      <c r="Q90" s="27">
        <v>4543161764.8913403</v>
      </c>
      <c r="R90" s="27">
        <v>306933680465.66089</v>
      </c>
      <c r="S90" s="27">
        <v>501558472584062.19</v>
      </c>
      <c r="T90" s="26"/>
      <c r="U90" s="26"/>
      <c r="V90" s="25">
        <v>2059</v>
      </c>
      <c r="W90" s="26">
        <v>156693640139.42169</v>
      </c>
      <c r="X90" s="26">
        <v>432453327352973.62</v>
      </c>
      <c r="Y90" s="29"/>
    </row>
    <row r="91" spans="1:25" ht="16" x14ac:dyDescent="0.2">
      <c r="A91" s="25">
        <v>2060</v>
      </c>
      <c r="B91" s="26">
        <v>135076716252118.45</v>
      </c>
      <c r="C91" s="26">
        <v>57303059635003.43</v>
      </c>
      <c r="D91" s="26">
        <v>7159838305436.04</v>
      </c>
      <c r="E91" s="26">
        <v>2207280458185588.5</v>
      </c>
      <c r="F91" s="26">
        <v>936385834924401.88</v>
      </c>
      <c r="G91" s="26">
        <v>116998485111676.2</v>
      </c>
      <c r="H91" s="26"/>
      <c r="I91" s="26"/>
      <c r="J91" s="25">
        <v>2060</v>
      </c>
      <c r="K91" s="27">
        <v>53384939520.295471</v>
      </c>
      <c r="L91" s="27">
        <v>872360070884.6792</v>
      </c>
      <c r="M91" s="26"/>
      <c r="N91" s="26"/>
      <c r="O91" s="25">
        <v>2060</v>
      </c>
      <c r="P91" s="27">
        <v>11057561545343.051</v>
      </c>
      <c r="Q91" s="27">
        <v>4772705013.0624723</v>
      </c>
      <c r="R91" s="27">
        <v>322441504671.18829</v>
      </c>
      <c r="S91" s="27">
        <v>526899714411371.81</v>
      </c>
      <c r="T91" s="26"/>
      <c r="U91" s="26"/>
      <c r="V91" s="25">
        <v>2060</v>
      </c>
      <c r="W91" s="26">
        <v>164610586307.46597</v>
      </c>
      <c r="X91" s="26">
        <v>454303031717482.56</v>
      </c>
      <c r="Y91" s="29"/>
    </row>
    <row r="92" spans="1:25" ht="16" x14ac:dyDescent="0.2">
      <c r="A92" s="28"/>
      <c r="B92" s="29"/>
      <c r="C92" s="29"/>
      <c r="D92" s="29"/>
      <c r="E92" s="29"/>
      <c r="F92" s="29"/>
      <c r="G92" s="29"/>
      <c r="H92" s="29"/>
      <c r="I92" s="29"/>
      <c r="J92" s="28"/>
      <c r="K92" s="29"/>
      <c r="L92" s="29"/>
      <c r="M92" s="29"/>
      <c r="N92" s="29"/>
      <c r="O92" s="28"/>
      <c r="P92" s="29"/>
      <c r="Q92" s="29"/>
      <c r="R92" s="29"/>
      <c r="S92" s="29"/>
      <c r="T92" s="29"/>
      <c r="U92" s="29"/>
      <c r="V92" s="28"/>
      <c r="W92" s="29"/>
      <c r="X92" s="29"/>
      <c r="Y92" s="29"/>
    </row>
    <row r="93" spans="1:25" ht="16" x14ac:dyDescent="0.2">
      <c r="A93" s="30" t="s">
        <v>102</v>
      </c>
      <c r="B93" s="34"/>
      <c r="C93" s="34"/>
      <c r="D93" s="34"/>
      <c r="E93" s="34"/>
      <c r="F93" s="34"/>
      <c r="G93" s="34"/>
      <c r="H93" s="34"/>
      <c r="I93" s="34"/>
      <c r="J93" s="30"/>
      <c r="K93" s="34"/>
      <c r="L93" s="34"/>
      <c r="M93" s="34"/>
      <c r="N93" s="34"/>
      <c r="O93" s="30"/>
      <c r="P93" s="34"/>
      <c r="Q93" s="34"/>
      <c r="R93" s="34"/>
      <c r="S93" s="34"/>
      <c r="T93" s="34"/>
      <c r="U93" s="34"/>
      <c r="V93" s="30"/>
      <c r="W93" s="34"/>
      <c r="X93" s="34"/>
      <c r="Y93" s="29"/>
    </row>
    <row r="94" spans="1:25" ht="16" x14ac:dyDescent="0.2">
      <c r="A94" s="30" t="str">
        <f t="shared" ref="A94:G94" si="7">A2</f>
        <v>Branch</v>
      </c>
      <c r="B94" s="30" t="str">
        <f t="shared" si="7"/>
        <v>Light Truck</v>
      </c>
      <c r="C94" s="30" t="str">
        <f t="shared" si="7"/>
        <v>Medium Truck</v>
      </c>
      <c r="D94" s="30" t="str">
        <f t="shared" si="7"/>
        <v>Heavy Truck</v>
      </c>
      <c r="E94" s="30" t="str">
        <f t="shared" si="7"/>
        <v>Biodiesel Light Truck</v>
      </c>
      <c r="F94" s="30" t="str">
        <f t="shared" si="7"/>
        <v>Biodiesel Medium Truck</v>
      </c>
      <c r="G94" s="30" t="str">
        <f t="shared" si="7"/>
        <v>Biodiesel Heavy Truck</v>
      </c>
      <c r="H94" s="30"/>
      <c r="I94" s="30"/>
      <c r="J94" s="30" t="str">
        <f>J2</f>
        <v>Branch</v>
      </c>
      <c r="K94" s="30" t="str">
        <f>K2</f>
        <v>Diesel Train</v>
      </c>
      <c r="L94" s="30" t="str">
        <f>L2</f>
        <v>BioGasoil Train</v>
      </c>
      <c r="M94" s="30"/>
      <c r="N94" s="30"/>
      <c r="O94" s="30" t="str">
        <f>O2</f>
        <v>Branch</v>
      </c>
      <c r="P94" s="30" t="str">
        <f>P2</f>
        <v>MFO Freight Ship</v>
      </c>
      <c r="Q94" s="30" t="str">
        <f>Q2</f>
        <v>MDF Freight Ship</v>
      </c>
      <c r="R94" s="30" t="str">
        <f>R2</f>
        <v>Diesel Freight Ship</v>
      </c>
      <c r="S94" s="30" t="str">
        <f>S2</f>
        <v>BioGasoil Freight Ship</v>
      </c>
      <c r="T94" s="30"/>
      <c r="U94" s="30"/>
      <c r="V94" s="30" t="str">
        <f>V2</f>
        <v>Branch</v>
      </c>
      <c r="W94" s="30" t="str">
        <f>W2</f>
        <v>Avgas Plane</v>
      </c>
      <c r="X94" s="30" t="str">
        <f>X2</f>
        <v>Avtur Plane</v>
      </c>
      <c r="Y94" s="29"/>
    </row>
    <row r="95" spans="1:25" ht="16" x14ac:dyDescent="0.2">
      <c r="A95" s="32">
        <v>2019</v>
      </c>
      <c r="B95" s="33">
        <f>_xlfn.FORECAST.LINEAR($A95,B$53:B$65,$A$53:$A$65)</f>
        <v>15873389465574</v>
      </c>
      <c r="C95" s="33">
        <f t="shared" ref="C95:G95" si="8">_xlfn.FORECAST.LINEAR($A95,C$53:C$65,$A$53:$A$65)</f>
        <v>6733905060718.75</v>
      </c>
      <c r="D95" s="33">
        <f t="shared" si="8"/>
        <v>841380402826.71875</v>
      </c>
      <c r="E95" s="33">
        <f t="shared" si="8"/>
        <v>259386098098024</v>
      </c>
      <c r="F95" s="33">
        <f t="shared" si="8"/>
        <v>110038335697016</v>
      </c>
      <c r="G95" s="33">
        <f t="shared" si="8"/>
        <v>13748946321685</v>
      </c>
      <c r="H95" s="34"/>
      <c r="I95" s="34"/>
      <c r="J95" s="32">
        <v>2019</v>
      </c>
      <c r="K95" s="33">
        <f>_xlfn.FORECAST.LINEAR($A95,K$53:K$65,$A$53:$A$65)</f>
        <v>6273471550.9377441</v>
      </c>
      <c r="L95" s="33">
        <f>_xlfn.FORECAST.LINEAR($A95,L$53:L$65,$A$53:$A$65)</f>
        <v>102514419535.65625</v>
      </c>
      <c r="M95" s="34"/>
      <c r="N95" s="34"/>
      <c r="O95" s="32">
        <v>2019</v>
      </c>
      <c r="P95" s="33">
        <f>_xlfn.FORECAST.LINEAR($A95,P$53:P$65,$A$53:$A$65)</f>
        <v>1299416996643.4375</v>
      </c>
      <c r="Q95" s="33">
        <f t="shared" ref="Q95:S95" si="9">_xlfn.FORECAST.LINEAR($A95,Q$53:Q$65,$A$53:$A$65)</f>
        <v>560859099.76695251</v>
      </c>
      <c r="R95" s="33">
        <f t="shared" si="9"/>
        <v>37891353339.967773</v>
      </c>
      <c r="S95" s="33">
        <f t="shared" si="9"/>
        <v>61918031532102</v>
      </c>
      <c r="T95" s="34"/>
      <c r="U95" s="34"/>
      <c r="V95" s="32">
        <v>2019</v>
      </c>
      <c r="W95" s="33">
        <f>_xlfn.FORECAST.LINEAR($A95,W$53:W$65,$A$53:$A$65)</f>
        <v>19344029223.644531</v>
      </c>
      <c r="X95" s="33">
        <f>_xlfn.FORECAST.LINEAR($A95,X$53:X$65,$A$53:$A$65)</f>
        <v>53386913436530</v>
      </c>
      <c r="Y95" s="29"/>
    </row>
    <row r="96" spans="1:25" ht="16" x14ac:dyDescent="0.2">
      <c r="A96" s="32">
        <v>2020</v>
      </c>
      <c r="B96" s="33">
        <f t="shared" ref="B96:G97" si="10">_xlfn.FORECAST.LINEAR($A96,B$53:B$65,$A$53:$A$65)</f>
        <v>17262462208879</v>
      </c>
      <c r="C96" s="33">
        <f t="shared" si="10"/>
        <v>7323185881688.75</v>
      </c>
      <c r="D96" s="33">
        <f t="shared" si="10"/>
        <v>915009200686.96875</v>
      </c>
      <c r="E96" s="33">
        <f t="shared" si="10"/>
        <v>282084851860832</v>
      </c>
      <c r="F96" s="33">
        <f t="shared" si="10"/>
        <v>119667737984848</v>
      </c>
      <c r="G96" s="33">
        <f t="shared" si="10"/>
        <v>14952110058455.5</v>
      </c>
      <c r="H96" s="34"/>
      <c r="I96" s="34"/>
      <c r="J96" s="32">
        <v>2020</v>
      </c>
      <c r="K96" s="33">
        <f t="shared" ref="K96:L97" si="11">_xlfn.FORECAST.LINEAR($A96,K$53:K$65,$A$53:$A$65)</f>
        <v>6822460055.0129395</v>
      </c>
      <c r="L96" s="33">
        <f t="shared" si="11"/>
        <v>111485407507.79297</v>
      </c>
      <c r="M96" s="34"/>
      <c r="N96" s="34"/>
      <c r="O96" s="32">
        <v>2020</v>
      </c>
      <c r="P96" s="33">
        <f t="shared" ref="P96:S97" si="12">_xlfn.FORECAST.LINEAR($A96,P$53:P$65,$A$53:$A$65)</f>
        <v>1413128358425.3438</v>
      </c>
      <c r="Q96" s="33">
        <f t="shared" si="12"/>
        <v>609939612.15597534</v>
      </c>
      <c r="R96" s="33">
        <f t="shared" si="12"/>
        <v>41207207603.207031</v>
      </c>
      <c r="S96" s="33">
        <f t="shared" si="12"/>
        <v>67336448947416</v>
      </c>
      <c r="T96" s="34"/>
      <c r="U96" s="34"/>
      <c r="V96" s="32">
        <v>2020</v>
      </c>
      <c r="W96" s="33">
        <f t="shared" ref="W96:X97" si="13">_xlfn.FORECAST.LINEAR($A96,W$53:W$65,$A$53:$A$65)</f>
        <v>21036815997.291016</v>
      </c>
      <c r="X96" s="33">
        <f t="shared" si="13"/>
        <v>58058776775152</v>
      </c>
      <c r="Y96" s="29"/>
    </row>
    <row r="97" spans="1:25" ht="16" x14ac:dyDescent="0.2">
      <c r="A97" s="32">
        <v>2021</v>
      </c>
      <c r="B97" s="33">
        <f t="shared" si="10"/>
        <v>18651534952184.5</v>
      </c>
      <c r="C97" s="33">
        <f t="shared" si="10"/>
        <v>7912466702658.5</v>
      </c>
      <c r="D97" s="33">
        <f t="shared" si="10"/>
        <v>988637998547.21875</v>
      </c>
      <c r="E97" s="33">
        <f t="shared" si="10"/>
        <v>304783605623640</v>
      </c>
      <c r="F97" s="33">
        <f t="shared" si="10"/>
        <v>129297140272676</v>
      </c>
      <c r="G97" s="33">
        <f t="shared" si="10"/>
        <v>16155273795226.5</v>
      </c>
      <c r="H97" s="34"/>
      <c r="I97" s="34"/>
      <c r="J97" s="32">
        <v>2021</v>
      </c>
      <c r="K97" s="33">
        <f t="shared" si="11"/>
        <v>7371448559.0881348</v>
      </c>
      <c r="L97" s="33">
        <f t="shared" si="11"/>
        <v>120456395479.93359</v>
      </c>
      <c r="M97" s="34"/>
      <c r="N97" s="34"/>
      <c r="O97" s="32">
        <v>2021</v>
      </c>
      <c r="P97" s="33">
        <f t="shared" si="12"/>
        <v>1526839720207.25</v>
      </c>
      <c r="Q97" s="33">
        <f t="shared" si="12"/>
        <v>659020124.54499817</v>
      </c>
      <c r="R97" s="33">
        <f t="shared" si="12"/>
        <v>44523061866.447266</v>
      </c>
      <c r="S97" s="33">
        <f t="shared" si="12"/>
        <v>72754866362732</v>
      </c>
      <c r="T97" s="34"/>
      <c r="U97" s="34"/>
      <c r="V97" s="32">
        <v>2021</v>
      </c>
      <c r="W97" s="33">
        <f t="shared" si="13"/>
        <v>22729602770.9375</v>
      </c>
      <c r="X97" s="33">
        <f t="shared" si="13"/>
        <v>62730640113772</v>
      </c>
      <c r="Y97" s="29"/>
    </row>
    <row r="98" spans="1:25" ht="16" x14ac:dyDescent="0.2">
      <c r="A98" s="28"/>
      <c r="B98" s="29"/>
      <c r="C98" s="29"/>
      <c r="D98" s="29"/>
      <c r="E98" s="29"/>
      <c r="F98" s="29"/>
      <c r="G98" s="29"/>
      <c r="H98" s="29"/>
      <c r="I98" s="29"/>
      <c r="J98" s="28"/>
      <c r="K98" s="29"/>
      <c r="L98" s="29"/>
      <c r="M98" s="29"/>
      <c r="N98" s="29"/>
      <c r="O98" s="28"/>
      <c r="P98" s="29"/>
      <c r="Q98" s="29"/>
      <c r="R98" s="29"/>
      <c r="S98" s="29"/>
      <c r="T98" s="29"/>
      <c r="U98" s="29"/>
      <c r="V98" s="28"/>
      <c r="W98" s="29"/>
      <c r="X98" s="29"/>
      <c r="Y98" s="29"/>
    </row>
    <row r="99" spans="1:25" ht="16" x14ac:dyDescent="0.2">
      <c r="A99" s="28"/>
      <c r="B99" s="29"/>
      <c r="C99" s="29"/>
      <c r="D99" s="29"/>
      <c r="E99" s="29"/>
      <c r="F99" s="29"/>
      <c r="G99" s="29"/>
      <c r="H99" s="29"/>
      <c r="I99" s="29"/>
      <c r="J99" s="28"/>
      <c r="K99" s="29"/>
      <c r="L99" s="29"/>
      <c r="M99" s="29"/>
      <c r="N99" s="29"/>
      <c r="O99" s="28"/>
      <c r="P99" s="29"/>
      <c r="Q99" s="29"/>
      <c r="R99" s="29"/>
      <c r="S99" s="29"/>
      <c r="T99" s="29"/>
      <c r="U99" s="29"/>
      <c r="V99" s="28"/>
      <c r="W99" s="29"/>
      <c r="X99" s="29"/>
      <c r="Y99" s="29"/>
    </row>
    <row r="100" spans="1:25" ht="16" x14ac:dyDescent="0.2">
      <c r="A100" s="28"/>
      <c r="B100" s="29"/>
      <c r="C100" s="29"/>
      <c r="D100" s="29"/>
      <c r="E100" s="29"/>
      <c r="F100" s="29"/>
      <c r="G100" s="29"/>
      <c r="H100" s="29"/>
      <c r="I100" s="29"/>
      <c r="J100" s="28"/>
      <c r="K100" s="29"/>
      <c r="L100" s="29"/>
      <c r="M100" s="29"/>
      <c r="N100" s="29"/>
      <c r="O100" s="28"/>
      <c r="P100" s="29"/>
      <c r="Q100" s="29"/>
      <c r="R100" s="29"/>
      <c r="S100" s="29"/>
      <c r="T100" s="29"/>
      <c r="U100" s="29"/>
      <c r="V100" s="28"/>
      <c r="W100" s="29"/>
      <c r="X100" s="29"/>
      <c r="Y100" s="29"/>
    </row>
    <row r="101" spans="1:25" ht="16" x14ac:dyDescent="0.2">
      <c r="A101" s="30" t="s">
        <v>101</v>
      </c>
      <c r="B101" s="34"/>
      <c r="C101" s="34"/>
      <c r="D101" s="34"/>
      <c r="E101" s="34"/>
      <c r="F101" s="34"/>
      <c r="G101" s="34"/>
      <c r="H101" s="34"/>
      <c r="I101" s="34"/>
      <c r="J101" s="30"/>
      <c r="K101" s="34"/>
      <c r="L101" s="34"/>
      <c r="M101" s="34"/>
      <c r="N101" s="34"/>
      <c r="O101" s="30"/>
      <c r="P101" s="34"/>
      <c r="Q101" s="34"/>
      <c r="R101" s="34"/>
      <c r="S101" s="34"/>
      <c r="T101" s="34"/>
      <c r="U101" s="34"/>
      <c r="V101" s="30"/>
      <c r="W101" s="34"/>
      <c r="X101" s="34"/>
      <c r="Y101" s="29"/>
    </row>
    <row r="102" spans="1:25" s="12" customFormat="1" ht="16" x14ac:dyDescent="0.2">
      <c r="A102" s="30" t="s">
        <v>19</v>
      </c>
      <c r="B102" s="30" t="s">
        <v>58</v>
      </c>
      <c r="C102" s="30" t="s">
        <v>59</v>
      </c>
      <c r="D102" s="30" t="s">
        <v>60</v>
      </c>
      <c r="E102" s="30" t="s">
        <v>61</v>
      </c>
      <c r="F102" s="30" t="s">
        <v>62</v>
      </c>
      <c r="G102" s="30" t="s">
        <v>63</v>
      </c>
      <c r="H102" s="30"/>
      <c r="I102" s="30"/>
      <c r="J102" s="30" t="s">
        <v>19</v>
      </c>
      <c r="K102" s="30" t="s">
        <v>43</v>
      </c>
      <c r="L102" s="30" t="s">
        <v>44</v>
      </c>
      <c r="M102" s="30"/>
      <c r="N102" s="30"/>
      <c r="O102" s="30" t="s">
        <v>19</v>
      </c>
      <c r="P102" s="30" t="s">
        <v>69</v>
      </c>
      <c r="Q102" s="30" t="s">
        <v>70</v>
      </c>
      <c r="R102" s="30" t="s">
        <v>71</v>
      </c>
      <c r="S102" s="30" t="s">
        <v>72</v>
      </c>
      <c r="T102" s="30"/>
      <c r="U102" s="30"/>
      <c r="V102" s="30" t="s">
        <v>19</v>
      </c>
      <c r="W102" s="30" t="s">
        <v>53</v>
      </c>
      <c r="X102" s="30" t="s">
        <v>54</v>
      </c>
      <c r="Y102" s="28"/>
    </row>
    <row r="103" spans="1:25" ht="16" x14ac:dyDescent="0.2">
      <c r="A103" s="32">
        <v>2019</v>
      </c>
      <c r="B103" s="33">
        <f>B44/B95</f>
        <v>4.8694134996065671E-4</v>
      </c>
      <c r="C103" s="33">
        <f t="shared" ref="C103:G103" si="14">C44/C95</f>
        <v>1.2521348998988375E-3</v>
      </c>
      <c r="D103" s="33">
        <f t="shared" si="14"/>
        <v>2.0868914998314904E-3</v>
      </c>
      <c r="E103" s="33">
        <f t="shared" si="14"/>
        <v>5.1101527437153122E-4</v>
      </c>
      <c r="F103" s="33">
        <f t="shared" si="14"/>
        <v>1.3140392769553746E-3</v>
      </c>
      <c r="G103" s="33">
        <f t="shared" si="14"/>
        <v>2.1900654615921843E-3</v>
      </c>
      <c r="H103" s="35"/>
      <c r="I103" s="35"/>
      <c r="J103" s="32">
        <v>2019</v>
      </c>
      <c r="K103" s="33">
        <f>K44/K95</f>
        <v>5.7911239120321242E-5</v>
      </c>
      <c r="L103" s="33">
        <f>L44/L95</f>
        <v>6.0774316559183568E-5</v>
      </c>
      <c r="M103" s="35"/>
      <c r="N103" s="35"/>
      <c r="O103" s="32">
        <v>2019</v>
      </c>
      <c r="P103" s="33">
        <f>P44/P95</f>
        <v>1.8200814336242866E-5</v>
      </c>
      <c r="Q103" s="33">
        <f t="shared" ref="Q103:S103" si="15">Q44/Q95</f>
        <v>1.8434208248510537E-3</v>
      </c>
      <c r="R103" s="33">
        <f t="shared" si="15"/>
        <v>1.8434208248509938E-3</v>
      </c>
      <c r="S103" s="33">
        <f t="shared" si="15"/>
        <v>1.9345578244064754E-5</v>
      </c>
      <c r="T103" s="35"/>
      <c r="U103" s="35"/>
      <c r="V103" s="32">
        <v>2019</v>
      </c>
      <c r="W103" s="33">
        <f>W44/W95</f>
        <v>1.1927314127523777E-4</v>
      </c>
      <c r="X103" s="33">
        <f>X44/X95</f>
        <v>1.0799932477429231E-4</v>
      </c>
      <c r="Y103" s="29"/>
    </row>
    <row r="104" spans="1:25" ht="16" x14ac:dyDescent="0.2">
      <c r="A104" s="28"/>
      <c r="B104" s="29"/>
      <c r="C104" s="29"/>
      <c r="D104" s="29"/>
      <c r="E104" s="29"/>
      <c r="F104" s="29"/>
      <c r="G104" s="29"/>
      <c r="H104" s="29"/>
      <c r="I104" s="29"/>
      <c r="J104" s="28"/>
      <c r="K104" s="29"/>
      <c r="L104" s="29"/>
      <c r="M104" s="29"/>
      <c r="N104" s="29"/>
      <c r="O104" s="28"/>
      <c r="P104" s="29"/>
      <c r="Q104" s="29"/>
      <c r="R104" s="29"/>
      <c r="S104" s="29"/>
      <c r="T104" s="29"/>
      <c r="U104" s="29"/>
      <c r="V104" s="28"/>
      <c r="W104" s="29"/>
      <c r="X104" s="29"/>
      <c r="Y104" s="29"/>
    </row>
    <row r="105" spans="1:25" ht="16" x14ac:dyDescent="0.2">
      <c r="A105" s="28"/>
      <c r="B105" s="29"/>
      <c r="C105" s="29"/>
      <c r="D105" s="29"/>
      <c r="E105" s="29"/>
      <c r="F105" s="29"/>
      <c r="G105" s="29"/>
      <c r="H105" s="29"/>
      <c r="I105" s="29"/>
      <c r="J105" s="28"/>
      <c r="K105" s="29"/>
      <c r="L105" s="29"/>
      <c r="M105" s="29"/>
      <c r="N105" s="29"/>
      <c r="O105" s="28"/>
      <c r="P105" s="29"/>
      <c r="Q105" s="29"/>
      <c r="R105" s="29"/>
      <c r="S105" s="29"/>
      <c r="T105" s="29"/>
      <c r="U105" s="29"/>
      <c r="V105" s="28"/>
      <c r="W105" s="29"/>
      <c r="X105" s="29"/>
      <c r="Y105" s="29"/>
    </row>
    <row r="106" spans="1:25" ht="16" x14ac:dyDescent="0.2">
      <c r="A106" s="28"/>
      <c r="B106" s="29"/>
      <c r="C106" s="29"/>
      <c r="D106" s="29"/>
      <c r="E106" s="29"/>
      <c r="F106" s="29"/>
      <c r="G106" s="29"/>
      <c r="H106" s="29"/>
      <c r="I106" s="29"/>
      <c r="J106" s="28"/>
      <c r="K106" s="29"/>
      <c r="L106" s="29"/>
      <c r="M106" s="29"/>
      <c r="N106" s="29"/>
      <c r="O106" s="28"/>
      <c r="P106" s="29"/>
      <c r="Q106" s="29"/>
      <c r="R106" s="29"/>
      <c r="S106" s="29"/>
      <c r="T106" s="29"/>
      <c r="U106" s="29"/>
      <c r="V106" s="28"/>
      <c r="W106" s="29"/>
      <c r="X106" s="29"/>
      <c r="Y106" s="29"/>
    </row>
    <row r="107" spans="1:25" ht="16" x14ac:dyDescent="0.2">
      <c r="A107" s="28"/>
      <c r="B107" s="29"/>
      <c r="C107" s="29"/>
      <c r="D107" s="29"/>
      <c r="E107" s="29"/>
      <c r="F107" s="29"/>
      <c r="G107" s="29"/>
      <c r="H107" s="29"/>
      <c r="I107" s="29"/>
      <c r="J107" s="28"/>
      <c r="K107" s="29"/>
      <c r="L107" s="29"/>
      <c r="M107" s="29"/>
      <c r="N107" s="29"/>
      <c r="O107" s="28"/>
      <c r="P107" s="29"/>
      <c r="Q107" s="29"/>
      <c r="R107" s="29"/>
      <c r="S107" s="29"/>
      <c r="T107" s="29"/>
      <c r="U107" s="29"/>
      <c r="V107" s="28"/>
      <c r="W107" s="29"/>
      <c r="X107" s="29"/>
      <c r="Y107" s="29"/>
    </row>
    <row r="108" spans="1:25" ht="16" x14ac:dyDescent="0.2">
      <c r="A108" s="28"/>
      <c r="B108" s="29"/>
      <c r="C108" s="29"/>
      <c r="D108" s="29"/>
      <c r="E108" s="29"/>
      <c r="F108" s="29"/>
      <c r="G108" s="29"/>
      <c r="H108" s="29"/>
      <c r="I108" s="29"/>
      <c r="J108" s="41"/>
      <c r="K108" s="29"/>
      <c r="L108" s="29"/>
      <c r="M108" s="29"/>
      <c r="N108" s="29"/>
      <c r="O108" s="28"/>
      <c r="P108" s="29"/>
      <c r="Q108" s="29"/>
      <c r="R108" s="29"/>
      <c r="S108" s="29"/>
      <c r="T108" s="29"/>
      <c r="U108" s="29"/>
      <c r="V108" s="28"/>
      <c r="W108" s="29"/>
      <c r="X108" s="29"/>
      <c r="Y108" s="29"/>
    </row>
    <row r="109" spans="1:25" ht="16" x14ac:dyDescent="0.2">
      <c r="A109" s="28"/>
      <c r="B109" s="29"/>
      <c r="C109" s="29"/>
      <c r="D109" s="29"/>
      <c r="E109" s="29"/>
      <c r="F109" s="29"/>
      <c r="G109" s="29"/>
      <c r="H109" s="29"/>
      <c r="I109" s="29"/>
      <c r="J109" s="42"/>
      <c r="K109" s="29"/>
      <c r="L109" s="29"/>
      <c r="M109" s="29"/>
      <c r="N109" s="29"/>
      <c r="O109" s="28"/>
      <c r="P109" s="29"/>
      <c r="Q109" s="29"/>
      <c r="R109" s="29"/>
      <c r="S109" s="29"/>
      <c r="T109" s="29"/>
      <c r="U109" s="29"/>
      <c r="V109" s="28"/>
      <c r="W109" s="29"/>
      <c r="X109" s="29"/>
      <c r="Y109" s="29"/>
    </row>
    <row r="110" spans="1:25" ht="16" x14ac:dyDescent="0.2">
      <c r="A110" s="28"/>
      <c r="B110" s="29"/>
      <c r="C110" s="29"/>
      <c r="D110" s="29"/>
      <c r="E110" s="29"/>
      <c r="F110" s="29"/>
      <c r="G110" s="29"/>
      <c r="H110" s="29"/>
      <c r="I110" s="29"/>
      <c r="J110" s="28"/>
      <c r="K110" s="29"/>
      <c r="L110" s="29"/>
      <c r="M110" s="29"/>
      <c r="N110" s="29"/>
      <c r="O110" s="28"/>
      <c r="P110" s="29"/>
      <c r="Q110" s="29"/>
      <c r="R110" s="29"/>
      <c r="S110" s="29"/>
      <c r="T110" s="29"/>
      <c r="U110" s="29"/>
      <c r="V110" s="28"/>
      <c r="W110" s="29"/>
      <c r="X110" s="29"/>
      <c r="Y110" s="29"/>
    </row>
    <row r="111" spans="1:25" ht="16" x14ac:dyDescent="0.2">
      <c r="A111" s="28"/>
      <c r="B111" s="29"/>
      <c r="C111" s="29"/>
      <c r="D111" s="29"/>
      <c r="E111" s="29"/>
      <c r="F111" s="29"/>
      <c r="G111" s="29"/>
      <c r="H111" s="29"/>
      <c r="I111" s="29"/>
      <c r="J111" s="29"/>
      <c r="K111" s="43"/>
      <c r="L111" s="29"/>
      <c r="M111" s="29"/>
      <c r="N111" s="29"/>
      <c r="O111" s="28"/>
      <c r="P111" s="29"/>
      <c r="Q111" s="29"/>
      <c r="R111" s="29"/>
      <c r="S111" s="29"/>
      <c r="T111" s="29"/>
      <c r="U111" s="29"/>
      <c r="V111" s="28"/>
      <c r="W111" s="29"/>
      <c r="X111" s="29"/>
      <c r="Y111" s="29"/>
    </row>
    <row r="112" spans="1:25" ht="16" x14ac:dyDescent="0.2">
      <c r="A112" s="28"/>
      <c r="B112" s="29"/>
      <c r="C112" s="29"/>
      <c r="D112" s="29"/>
      <c r="E112" s="29"/>
      <c r="F112" s="29"/>
      <c r="G112" s="29"/>
      <c r="H112" s="29"/>
      <c r="I112" s="29"/>
      <c r="J112" s="28"/>
      <c r="K112" s="29"/>
      <c r="L112" s="29"/>
      <c r="M112" s="29"/>
      <c r="N112" s="29"/>
      <c r="O112" s="28"/>
      <c r="P112" s="29"/>
      <c r="Q112" s="29"/>
      <c r="R112" s="29"/>
      <c r="S112" s="29"/>
      <c r="T112" s="29"/>
      <c r="U112" s="29"/>
      <c r="V112" s="28"/>
      <c r="W112" s="29"/>
      <c r="X112" s="29"/>
      <c r="Y112" s="29"/>
    </row>
    <row r="113" spans="1:25" ht="16" x14ac:dyDescent="0.2">
      <c r="A113" s="28"/>
      <c r="B113" s="29"/>
      <c r="C113" s="29"/>
      <c r="D113" s="29"/>
      <c r="E113" s="29"/>
      <c r="F113" s="29"/>
      <c r="G113" s="29"/>
      <c r="H113" s="29"/>
      <c r="I113" s="29"/>
      <c r="J113" s="28"/>
      <c r="K113" s="29"/>
      <c r="L113" s="29"/>
      <c r="M113" s="29"/>
      <c r="N113" s="29"/>
      <c r="O113" s="28"/>
      <c r="P113" s="29"/>
      <c r="Q113" s="29"/>
      <c r="R113" s="29"/>
      <c r="S113" s="29"/>
      <c r="T113" s="29"/>
      <c r="U113" s="29"/>
      <c r="V113" s="28"/>
      <c r="W113" s="29"/>
      <c r="X113" s="29"/>
      <c r="Y113" s="29"/>
    </row>
    <row r="114" spans="1:25" ht="16" x14ac:dyDescent="0.2">
      <c r="A114" s="28"/>
      <c r="B114" s="29"/>
      <c r="C114" s="29"/>
      <c r="D114" s="29"/>
      <c r="E114" s="29"/>
      <c r="F114" s="29"/>
      <c r="G114" s="29"/>
      <c r="H114" s="29"/>
      <c r="I114" s="29"/>
      <c r="J114" s="28"/>
      <c r="K114" s="29"/>
      <c r="L114" s="29"/>
      <c r="M114" s="29"/>
      <c r="N114" s="29"/>
      <c r="O114" s="28"/>
      <c r="P114" s="29"/>
      <c r="Q114" s="29"/>
      <c r="R114" s="29"/>
      <c r="S114" s="29"/>
      <c r="T114" s="29"/>
      <c r="U114" s="29"/>
      <c r="V114" s="28"/>
      <c r="W114" s="29"/>
      <c r="X114" s="29"/>
      <c r="Y114" s="29"/>
    </row>
    <row r="115" spans="1:25" ht="16" x14ac:dyDescent="0.2">
      <c r="A115" s="28"/>
      <c r="B115" s="29"/>
      <c r="C115" s="29"/>
      <c r="D115" s="29"/>
      <c r="E115" s="29"/>
      <c r="F115" s="29"/>
      <c r="G115" s="29"/>
      <c r="H115" s="29"/>
      <c r="I115" s="29"/>
      <c r="J115" s="28"/>
      <c r="K115" s="29"/>
      <c r="L115" s="29"/>
      <c r="M115" s="29"/>
      <c r="N115" s="29"/>
      <c r="O115" s="28"/>
      <c r="P115" s="29"/>
      <c r="Q115" s="29"/>
      <c r="R115" s="29"/>
      <c r="S115" s="29"/>
      <c r="T115" s="29"/>
      <c r="U115" s="29"/>
      <c r="V115" s="28"/>
      <c r="W115" s="29"/>
      <c r="X115" s="29"/>
      <c r="Y115" s="29"/>
    </row>
    <row r="116" spans="1:25" ht="16" x14ac:dyDescent="0.2">
      <c r="A116" s="28"/>
      <c r="B116" s="29"/>
      <c r="C116" s="29"/>
      <c r="D116" s="29"/>
      <c r="E116" s="29"/>
      <c r="F116" s="29"/>
      <c r="G116" s="29"/>
      <c r="H116" s="29"/>
      <c r="I116" s="29"/>
      <c r="J116" s="28"/>
      <c r="K116" s="29"/>
      <c r="L116" s="29"/>
      <c r="M116" s="29"/>
      <c r="N116" s="29"/>
      <c r="O116" s="28"/>
      <c r="P116" s="29"/>
      <c r="Q116" s="29"/>
      <c r="R116" s="29"/>
      <c r="S116" s="29"/>
      <c r="T116" s="29"/>
      <c r="U116" s="29"/>
      <c r="V116" s="28"/>
      <c r="W116" s="29"/>
      <c r="X116" s="29"/>
      <c r="Y116" s="29"/>
    </row>
    <row r="117" spans="1:25" ht="16" x14ac:dyDescent="0.2">
      <c r="A117" s="28"/>
      <c r="B117" s="29"/>
      <c r="C117" s="29"/>
      <c r="D117" s="29"/>
      <c r="E117" s="29"/>
      <c r="F117" s="29"/>
      <c r="G117" s="29"/>
      <c r="H117" s="29"/>
      <c r="I117" s="29"/>
      <c r="J117" s="28"/>
      <c r="K117" s="29"/>
      <c r="L117" s="29"/>
      <c r="M117" s="29"/>
      <c r="N117" s="29"/>
      <c r="O117" s="28"/>
      <c r="P117" s="29"/>
      <c r="Q117" s="29"/>
      <c r="R117" s="29"/>
      <c r="S117" s="29"/>
      <c r="T117" s="29"/>
      <c r="U117" s="29"/>
      <c r="V117" s="28"/>
      <c r="W117" s="29"/>
      <c r="X117" s="29"/>
      <c r="Y117" s="29"/>
    </row>
    <row r="118" spans="1:25" ht="16" x14ac:dyDescent="0.2">
      <c r="A118" s="28"/>
      <c r="B118" s="29"/>
      <c r="C118" s="29"/>
      <c r="D118" s="29"/>
      <c r="E118" s="29"/>
      <c r="F118" s="29"/>
      <c r="G118" s="29"/>
      <c r="H118" s="29"/>
      <c r="I118" s="29"/>
      <c r="J118" s="28"/>
      <c r="K118" s="29"/>
      <c r="L118" s="29"/>
      <c r="M118" s="29"/>
      <c r="N118" s="29"/>
      <c r="O118" s="28"/>
      <c r="P118" s="29"/>
      <c r="Q118" s="29"/>
      <c r="R118" s="29"/>
      <c r="S118" s="29"/>
      <c r="T118" s="29"/>
      <c r="U118" s="29"/>
      <c r="V118" s="28"/>
      <c r="W118" s="29"/>
      <c r="X118" s="29"/>
      <c r="Y118" s="29"/>
    </row>
    <row r="119" spans="1:25" ht="16" x14ac:dyDescent="0.2">
      <c r="A119" s="28"/>
      <c r="B119" s="29"/>
      <c r="C119" s="29"/>
      <c r="D119" s="29"/>
      <c r="E119" s="29"/>
      <c r="F119" s="29"/>
      <c r="G119" s="29"/>
      <c r="H119" s="29"/>
      <c r="I119" s="29"/>
      <c r="J119" s="28"/>
      <c r="K119" s="29"/>
      <c r="L119" s="29"/>
      <c r="M119" s="29"/>
      <c r="N119" s="29"/>
      <c r="O119" s="28"/>
      <c r="P119" s="29"/>
      <c r="Q119" s="29"/>
      <c r="R119" s="29"/>
      <c r="S119" s="29"/>
      <c r="T119" s="29"/>
      <c r="U119" s="29"/>
      <c r="V119" s="28"/>
      <c r="W119" s="29"/>
      <c r="X119" s="29"/>
      <c r="Y119" s="29"/>
    </row>
    <row r="120" spans="1:25" ht="16" x14ac:dyDescent="0.2">
      <c r="A120" s="28"/>
      <c r="B120" s="29"/>
      <c r="C120" s="29"/>
      <c r="D120" s="29"/>
      <c r="E120" s="29"/>
      <c r="F120" s="29"/>
      <c r="G120" s="29"/>
      <c r="H120" s="29"/>
      <c r="I120" s="29"/>
      <c r="J120" s="28"/>
      <c r="K120" s="29"/>
      <c r="L120" s="29"/>
      <c r="M120" s="29"/>
      <c r="N120" s="29"/>
      <c r="O120" s="28"/>
      <c r="P120" s="29"/>
      <c r="Q120" s="29"/>
      <c r="R120" s="29"/>
      <c r="S120" s="29"/>
      <c r="T120" s="29"/>
      <c r="U120" s="29"/>
      <c r="V120" s="28"/>
      <c r="W120" s="29"/>
      <c r="X120" s="29"/>
      <c r="Y120" s="29"/>
    </row>
    <row r="121" spans="1:25" ht="16" x14ac:dyDescent="0.2">
      <c r="A121" s="28"/>
      <c r="B121" s="29"/>
      <c r="C121" s="29"/>
      <c r="D121" s="29"/>
      <c r="E121" s="29"/>
      <c r="F121" s="29"/>
      <c r="G121" s="29"/>
      <c r="H121" s="29"/>
      <c r="I121" s="29"/>
      <c r="J121" s="28"/>
      <c r="K121" s="29"/>
      <c r="L121" s="29"/>
      <c r="M121" s="29"/>
      <c r="N121" s="29"/>
      <c r="O121" s="28"/>
      <c r="P121" s="29"/>
      <c r="Q121" s="29"/>
      <c r="R121" s="29"/>
      <c r="S121" s="29"/>
      <c r="T121" s="29"/>
      <c r="U121" s="29"/>
      <c r="V121" s="28"/>
      <c r="W121" s="29"/>
      <c r="X121" s="29"/>
      <c r="Y121" s="29"/>
    </row>
    <row r="122" spans="1:25" ht="16" x14ac:dyDescent="0.2">
      <c r="A122" s="28"/>
      <c r="B122" s="29"/>
      <c r="C122" s="29"/>
      <c r="D122" s="29"/>
      <c r="E122" s="29"/>
      <c r="F122" s="29"/>
      <c r="G122" s="29"/>
      <c r="H122" s="29"/>
      <c r="I122" s="29"/>
      <c r="J122" s="28"/>
      <c r="K122" s="29"/>
      <c r="L122" s="29"/>
      <c r="M122" s="29"/>
      <c r="N122" s="29"/>
      <c r="O122" s="28"/>
      <c r="P122" s="29"/>
      <c r="Q122" s="29"/>
      <c r="R122" s="29"/>
      <c r="S122" s="29"/>
      <c r="T122" s="29"/>
      <c r="U122" s="29"/>
      <c r="V122" s="28"/>
      <c r="W122" s="29"/>
      <c r="X122" s="29"/>
      <c r="Y122" s="29"/>
    </row>
    <row r="123" spans="1:25" ht="16" x14ac:dyDescent="0.2">
      <c r="A123" s="28"/>
      <c r="B123" s="29"/>
      <c r="C123" s="29"/>
      <c r="D123" s="29"/>
      <c r="E123" s="29"/>
      <c r="F123" s="29"/>
      <c r="G123" s="29"/>
      <c r="H123" s="29"/>
      <c r="I123" s="29"/>
      <c r="J123" s="28"/>
      <c r="K123" s="29"/>
      <c r="L123" s="29"/>
      <c r="M123" s="29"/>
      <c r="N123" s="29"/>
      <c r="O123" s="28"/>
      <c r="P123" s="29"/>
      <c r="Q123" s="29"/>
      <c r="R123" s="29"/>
      <c r="S123" s="29"/>
      <c r="T123" s="29"/>
      <c r="U123" s="29"/>
      <c r="V123" s="28"/>
      <c r="W123" s="29"/>
      <c r="X123" s="29"/>
      <c r="Y123" s="29"/>
    </row>
    <row r="124" spans="1:25" ht="16" x14ac:dyDescent="0.2">
      <c r="A124" s="28"/>
      <c r="B124" s="29"/>
      <c r="C124" s="29"/>
      <c r="D124" s="29"/>
      <c r="E124" s="29"/>
      <c r="F124" s="29"/>
      <c r="G124" s="29"/>
      <c r="H124" s="29"/>
      <c r="I124" s="29"/>
      <c r="J124" s="28"/>
      <c r="K124" s="29"/>
      <c r="L124" s="29"/>
      <c r="M124" s="29"/>
      <c r="N124" s="29"/>
      <c r="O124" s="28"/>
      <c r="P124" s="29"/>
      <c r="Q124" s="29"/>
      <c r="R124" s="29"/>
      <c r="S124" s="29"/>
      <c r="T124" s="29"/>
      <c r="U124" s="29"/>
      <c r="V124" s="28"/>
      <c r="W124" s="29"/>
      <c r="X124" s="29"/>
      <c r="Y124" s="29"/>
    </row>
    <row r="125" spans="1:25" ht="16" x14ac:dyDescent="0.2">
      <c r="A125" s="28"/>
      <c r="B125" s="29"/>
      <c r="C125" s="29"/>
      <c r="D125" s="29"/>
      <c r="E125" s="29"/>
      <c r="F125" s="29"/>
      <c r="G125" s="29"/>
      <c r="H125" s="29"/>
      <c r="I125" s="29"/>
      <c r="J125" s="28"/>
      <c r="K125" s="29"/>
      <c r="L125" s="29"/>
      <c r="M125" s="29"/>
      <c r="N125" s="29"/>
      <c r="O125" s="28"/>
      <c r="P125" s="29"/>
      <c r="Q125" s="29"/>
      <c r="R125" s="29"/>
      <c r="S125" s="29"/>
      <c r="T125" s="29"/>
      <c r="U125" s="29"/>
      <c r="V125" s="28"/>
      <c r="W125" s="29"/>
      <c r="X125" s="29"/>
      <c r="Y125" s="29"/>
    </row>
    <row r="126" spans="1:25" ht="16" x14ac:dyDescent="0.2">
      <c r="A126" s="28"/>
      <c r="B126" s="29"/>
      <c r="C126" s="29"/>
      <c r="D126" s="29"/>
      <c r="E126" s="29"/>
      <c r="F126" s="29"/>
      <c r="G126" s="29"/>
      <c r="H126" s="29"/>
      <c r="I126" s="29"/>
      <c r="J126" s="28"/>
      <c r="K126" s="29"/>
      <c r="L126" s="29"/>
      <c r="M126" s="29"/>
      <c r="N126" s="29"/>
      <c r="O126" s="28"/>
      <c r="P126" s="29"/>
      <c r="Q126" s="29"/>
      <c r="R126" s="29"/>
      <c r="S126" s="29"/>
      <c r="T126" s="29"/>
      <c r="U126" s="29"/>
      <c r="V126" s="28"/>
      <c r="W126" s="29"/>
      <c r="X126" s="29"/>
      <c r="Y126" s="29"/>
    </row>
    <row r="127" spans="1:25" ht="16" x14ac:dyDescent="0.2">
      <c r="A127" s="28"/>
      <c r="B127" s="29"/>
      <c r="C127" s="29"/>
      <c r="D127" s="29"/>
      <c r="E127" s="29"/>
      <c r="F127" s="29"/>
      <c r="G127" s="29"/>
      <c r="H127" s="29"/>
      <c r="I127" s="29"/>
      <c r="J127" s="28"/>
      <c r="K127" s="29"/>
      <c r="L127" s="29"/>
      <c r="M127" s="29"/>
      <c r="N127" s="29"/>
      <c r="O127" s="28"/>
      <c r="P127" s="29"/>
      <c r="Q127" s="29"/>
      <c r="R127" s="29"/>
      <c r="S127" s="29"/>
      <c r="T127" s="29"/>
      <c r="U127" s="29"/>
      <c r="V127" s="28"/>
      <c r="W127" s="29"/>
      <c r="X127" s="29"/>
      <c r="Y127" s="29"/>
    </row>
    <row r="128" spans="1:25" ht="16" x14ac:dyDescent="0.2">
      <c r="A128" s="28"/>
      <c r="B128" s="29"/>
      <c r="C128" s="29"/>
      <c r="D128" s="29"/>
      <c r="E128" s="29"/>
      <c r="F128" s="29"/>
      <c r="G128" s="29"/>
      <c r="H128" s="29"/>
      <c r="I128" s="29"/>
      <c r="J128" s="28"/>
      <c r="K128" s="29"/>
      <c r="L128" s="29"/>
      <c r="M128" s="29"/>
      <c r="N128" s="29"/>
      <c r="O128" s="28"/>
      <c r="P128" s="29"/>
      <c r="Q128" s="29"/>
      <c r="R128" s="29"/>
      <c r="S128" s="29"/>
      <c r="T128" s="29"/>
      <c r="U128" s="29"/>
      <c r="V128" s="28"/>
      <c r="W128" s="29"/>
      <c r="X128" s="29"/>
      <c r="Y128" s="29"/>
    </row>
    <row r="129" spans="1:25" ht="16" x14ac:dyDescent="0.2">
      <c r="A129" s="28"/>
      <c r="B129" s="29"/>
      <c r="C129" s="29"/>
      <c r="D129" s="29"/>
      <c r="E129" s="29"/>
      <c r="F129" s="29"/>
      <c r="G129" s="29"/>
      <c r="H129" s="29"/>
      <c r="I129" s="29"/>
      <c r="J129" s="28"/>
      <c r="K129" s="29"/>
      <c r="L129" s="29"/>
      <c r="M129" s="29"/>
      <c r="N129" s="29"/>
      <c r="O129" s="28"/>
      <c r="P129" s="29"/>
      <c r="Q129" s="29"/>
      <c r="R129" s="29"/>
      <c r="S129" s="29"/>
      <c r="T129" s="29"/>
      <c r="U129" s="29"/>
      <c r="V129" s="28"/>
      <c r="W129" s="29"/>
      <c r="X129" s="29"/>
      <c r="Y129" s="29"/>
    </row>
    <row r="130" spans="1:25" ht="16" x14ac:dyDescent="0.2">
      <c r="A130" s="28"/>
      <c r="B130" s="29"/>
      <c r="C130" s="29"/>
      <c r="D130" s="29"/>
      <c r="E130" s="29"/>
      <c r="F130" s="29"/>
      <c r="G130" s="29"/>
      <c r="H130" s="29"/>
      <c r="I130" s="29"/>
      <c r="J130" s="28"/>
      <c r="K130" s="29"/>
      <c r="L130" s="29"/>
      <c r="M130" s="29"/>
      <c r="N130" s="29"/>
      <c r="O130" s="28"/>
      <c r="P130" s="29"/>
      <c r="Q130" s="29"/>
      <c r="R130" s="29"/>
      <c r="S130" s="29"/>
      <c r="T130" s="29"/>
      <c r="U130" s="29"/>
      <c r="V130" s="28"/>
      <c r="W130" s="29"/>
      <c r="X130" s="29"/>
      <c r="Y130" s="29"/>
    </row>
    <row r="131" spans="1:25" ht="16" x14ac:dyDescent="0.2">
      <c r="A131" s="28"/>
      <c r="B131" s="29"/>
      <c r="C131" s="29"/>
      <c r="D131" s="29"/>
      <c r="E131" s="29"/>
      <c r="F131" s="29"/>
      <c r="G131" s="29"/>
      <c r="H131" s="29"/>
      <c r="I131" s="29"/>
      <c r="J131" s="28"/>
      <c r="K131" s="29"/>
      <c r="L131" s="29"/>
      <c r="M131" s="29"/>
      <c r="N131" s="29"/>
      <c r="O131" s="28"/>
      <c r="P131" s="29"/>
      <c r="Q131" s="29"/>
      <c r="R131" s="29"/>
      <c r="S131" s="29"/>
      <c r="T131" s="29"/>
      <c r="U131" s="29"/>
      <c r="V131" s="28"/>
      <c r="W131" s="29"/>
      <c r="X131" s="29"/>
      <c r="Y131" s="29"/>
    </row>
    <row r="132" spans="1:25" ht="16" x14ac:dyDescent="0.2">
      <c r="A132" s="28"/>
      <c r="B132" s="29"/>
      <c r="C132" s="29"/>
      <c r="D132" s="29"/>
      <c r="E132" s="29"/>
      <c r="F132" s="29"/>
      <c r="G132" s="29"/>
      <c r="H132" s="29"/>
      <c r="I132" s="29"/>
      <c r="J132" s="28"/>
      <c r="K132" s="29"/>
      <c r="L132" s="29"/>
      <c r="M132" s="29"/>
      <c r="N132" s="29"/>
      <c r="O132" s="28"/>
      <c r="P132" s="29"/>
      <c r="Q132" s="29"/>
      <c r="R132" s="29"/>
      <c r="S132" s="29"/>
      <c r="T132" s="29"/>
      <c r="U132" s="29"/>
      <c r="V132" s="28"/>
      <c r="W132" s="29"/>
      <c r="X132" s="29"/>
      <c r="Y132" s="29"/>
    </row>
    <row r="133" spans="1:25" ht="16" x14ac:dyDescent="0.2">
      <c r="A133" s="28"/>
      <c r="B133" s="29"/>
      <c r="C133" s="29"/>
      <c r="D133" s="29"/>
      <c r="E133" s="29"/>
      <c r="F133" s="29"/>
      <c r="G133" s="29"/>
      <c r="H133" s="29"/>
      <c r="I133" s="29"/>
      <c r="J133" s="28"/>
      <c r="K133" s="29"/>
      <c r="L133" s="29"/>
      <c r="M133" s="29"/>
      <c r="N133" s="29"/>
      <c r="O133" s="28"/>
      <c r="P133" s="29"/>
      <c r="Q133" s="29"/>
      <c r="R133" s="29"/>
      <c r="S133" s="29"/>
      <c r="T133" s="29"/>
      <c r="U133" s="29"/>
      <c r="V133" s="28"/>
      <c r="W133" s="29"/>
      <c r="X133" s="29"/>
      <c r="Y133" s="29"/>
    </row>
    <row r="134" spans="1:25" ht="16" x14ac:dyDescent="0.2">
      <c r="A134" s="28"/>
      <c r="B134" s="29"/>
      <c r="C134" s="29"/>
      <c r="D134" s="29"/>
      <c r="E134" s="29"/>
      <c r="F134" s="29"/>
      <c r="G134" s="29"/>
      <c r="H134" s="29"/>
      <c r="I134" s="29"/>
      <c r="J134" s="28"/>
      <c r="K134" s="29"/>
      <c r="L134" s="29"/>
      <c r="M134" s="29"/>
      <c r="N134" s="29"/>
      <c r="O134" s="28"/>
      <c r="P134" s="29"/>
      <c r="Q134" s="29"/>
      <c r="R134" s="29"/>
      <c r="S134" s="29"/>
      <c r="T134" s="29"/>
      <c r="U134" s="29"/>
      <c r="V134" s="28"/>
      <c r="W134" s="29"/>
      <c r="X134" s="29"/>
      <c r="Y134" s="29"/>
    </row>
    <row r="135" spans="1:25" ht="16" x14ac:dyDescent="0.2">
      <c r="A135" s="28"/>
      <c r="B135" s="29"/>
      <c r="C135" s="29"/>
      <c r="D135" s="29"/>
      <c r="E135" s="29"/>
      <c r="F135" s="29"/>
      <c r="G135" s="29"/>
      <c r="H135" s="29"/>
      <c r="I135" s="29"/>
      <c r="J135" s="28"/>
      <c r="K135" s="29"/>
      <c r="L135" s="29"/>
      <c r="M135" s="29"/>
      <c r="N135" s="29"/>
      <c r="O135" s="28"/>
      <c r="P135" s="29"/>
      <c r="Q135" s="29"/>
      <c r="R135" s="29"/>
      <c r="S135" s="29"/>
      <c r="T135" s="29"/>
      <c r="U135" s="29"/>
      <c r="V135" s="28"/>
      <c r="W135" s="29"/>
      <c r="X135" s="29"/>
      <c r="Y135" s="29"/>
    </row>
    <row r="136" spans="1:25" ht="16" x14ac:dyDescent="0.2">
      <c r="A136" s="28"/>
      <c r="B136" s="29"/>
      <c r="C136" s="29"/>
      <c r="D136" s="29"/>
      <c r="E136" s="29"/>
      <c r="F136" s="29"/>
      <c r="G136" s="29"/>
      <c r="H136" s="29"/>
      <c r="I136" s="29"/>
      <c r="J136" s="28"/>
      <c r="K136" s="29"/>
      <c r="L136" s="29"/>
      <c r="M136" s="29"/>
      <c r="N136" s="29"/>
      <c r="O136" s="28"/>
      <c r="P136" s="29"/>
      <c r="Q136" s="29"/>
      <c r="R136" s="29"/>
      <c r="S136" s="29"/>
      <c r="T136" s="29"/>
      <c r="U136" s="29"/>
      <c r="V136" s="28"/>
      <c r="W136" s="29"/>
      <c r="X136" s="29"/>
      <c r="Y136" s="29"/>
    </row>
    <row r="137" spans="1:25" ht="16" x14ac:dyDescent="0.2">
      <c r="A137" s="28"/>
      <c r="B137" s="29"/>
      <c r="C137" s="29"/>
      <c r="D137" s="29"/>
      <c r="E137" s="29"/>
      <c r="F137" s="29"/>
      <c r="G137" s="29"/>
      <c r="H137" s="29"/>
      <c r="I137" s="29"/>
      <c r="J137" s="28"/>
      <c r="K137" s="29"/>
      <c r="L137" s="29"/>
      <c r="M137" s="29"/>
      <c r="N137" s="29"/>
      <c r="O137" s="28"/>
      <c r="P137" s="29"/>
      <c r="Q137" s="29"/>
      <c r="R137" s="29"/>
      <c r="S137" s="29"/>
      <c r="T137" s="29"/>
      <c r="U137" s="29"/>
      <c r="V137" s="28"/>
      <c r="W137" s="29"/>
      <c r="X137" s="29"/>
      <c r="Y137" s="29"/>
    </row>
    <row r="138" spans="1:25" ht="16" x14ac:dyDescent="0.2">
      <c r="A138" s="28"/>
      <c r="B138" s="29"/>
      <c r="C138" s="29"/>
      <c r="D138" s="29"/>
      <c r="E138" s="29"/>
      <c r="F138" s="29"/>
      <c r="G138" s="29"/>
      <c r="H138" s="29"/>
      <c r="I138" s="29"/>
      <c r="J138" s="28"/>
      <c r="K138" s="29"/>
      <c r="L138" s="29"/>
      <c r="M138" s="29"/>
      <c r="N138" s="29"/>
      <c r="O138" s="28"/>
      <c r="P138" s="29"/>
      <c r="Q138" s="29"/>
      <c r="R138" s="29"/>
      <c r="S138" s="29"/>
      <c r="T138" s="29"/>
      <c r="U138" s="29"/>
      <c r="V138" s="28"/>
      <c r="W138" s="29"/>
      <c r="X138" s="29"/>
      <c r="Y138" s="29"/>
    </row>
    <row r="139" spans="1:25" ht="16" x14ac:dyDescent="0.2">
      <c r="A139" s="28"/>
      <c r="B139" s="29"/>
      <c r="C139" s="29"/>
      <c r="D139" s="29"/>
      <c r="E139" s="29"/>
      <c r="F139" s="29"/>
      <c r="G139" s="29"/>
      <c r="H139" s="29"/>
      <c r="I139" s="29"/>
      <c r="J139" s="28"/>
      <c r="K139" s="29"/>
      <c r="L139" s="29"/>
      <c r="M139" s="29"/>
      <c r="N139" s="29"/>
      <c r="O139" s="28"/>
      <c r="P139" s="29"/>
      <c r="Q139" s="29"/>
      <c r="R139" s="29"/>
      <c r="S139" s="29"/>
      <c r="T139" s="29"/>
      <c r="U139" s="29"/>
      <c r="V139" s="28"/>
      <c r="W139" s="29"/>
      <c r="X139" s="29"/>
      <c r="Y139" s="29"/>
    </row>
    <row r="140" spans="1:25" ht="16" x14ac:dyDescent="0.2">
      <c r="A140" s="28"/>
      <c r="B140" s="29"/>
      <c r="C140" s="29"/>
      <c r="D140" s="29"/>
      <c r="E140" s="29"/>
      <c r="F140" s="29"/>
      <c r="G140" s="29"/>
      <c r="H140" s="29"/>
      <c r="I140" s="29"/>
      <c r="J140" s="28"/>
      <c r="K140" s="29"/>
      <c r="L140" s="29"/>
      <c r="M140" s="29"/>
      <c r="N140" s="29"/>
      <c r="O140" s="28"/>
      <c r="P140" s="29"/>
      <c r="Q140" s="29"/>
      <c r="R140" s="29"/>
      <c r="S140" s="29"/>
      <c r="T140" s="29"/>
      <c r="U140" s="29"/>
      <c r="V140" s="28"/>
      <c r="W140" s="29"/>
      <c r="X140" s="29"/>
      <c r="Y140" s="29"/>
    </row>
    <row r="141" spans="1:25" ht="16" x14ac:dyDescent="0.2">
      <c r="A141" s="28"/>
      <c r="B141" s="29"/>
      <c r="C141" s="29"/>
      <c r="D141" s="29"/>
      <c r="E141" s="29"/>
      <c r="F141" s="29"/>
      <c r="G141" s="29"/>
      <c r="H141" s="29"/>
      <c r="I141" s="29"/>
      <c r="J141" s="28"/>
      <c r="K141" s="29"/>
      <c r="L141" s="29"/>
      <c r="M141" s="29"/>
      <c r="N141" s="29"/>
      <c r="O141" s="28"/>
      <c r="P141" s="29"/>
      <c r="Q141" s="29"/>
      <c r="R141" s="29"/>
      <c r="S141" s="29"/>
      <c r="T141" s="29"/>
      <c r="U141" s="29"/>
      <c r="V141" s="28"/>
      <c r="W141" s="29"/>
      <c r="X141" s="29"/>
      <c r="Y141" s="29"/>
    </row>
    <row r="142" spans="1:25" ht="16" x14ac:dyDescent="0.2">
      <c r="A142" s="28"/>
      <c r="B142" s="29"/>
      <c r="C142" s="29"/>
      <c r="D142" s="29"/>
      <c r="E142" s="29"/>
      <c r="F142" s="29"/>
      <c r="G142" s="29"/>
      <c r="H142" s="29"/>
      <c r="I142" s="29"/>
      <c r="J142" s="28"/>
      <c r="K142" s="29"/>
      <c r="L142" s="29"/>
      <c r="M142" s="29"/>
      <c r="N142" s="29"/>
      <c r="O142" s="28"/>
      <c r="P142" s="29"/>
      <c r="Q142" s="29"/>
      <c r="R142" s="29"/>
      <c r="S142" s="29"/>
      <c r="T142" s="29"/>
      <c r="U142" s="29"/>
      <c r="V142" s="28"/>
      <c r="W142" s="29"/>
      <c r="X142" s="29"/>
      <c r="Y142" s="29"/>
    </row>
    <row r="143" spans="1:25" ht="16" x14ac:dyDescent="0.2">
      <c r="A143" s="28"/>
      <c r="B143" s="29"/>
      <c r="C143" s="29"/>
      <c r="D143" s="29"/>
      <c r="E143" s="29"/>
      <c r="F143" s="29"/>
      <c r="G143" s="29"/>
      <c r="H143" s="29"/>
      <c r="I143" s="29"/>
      <c r="J143" s="28"/>
      <c r="K143" s="29"/>
      <c r="L143" s="29"/>
      <c r="M143" s="29"/>
      <c r="N143" s="29"/>
      <c r="O143" s="28"/>
      <c r="P143" s="29"/>
      <c r="Q143" s="29"/>
      <c r="R143" s="29"/>
      <c r="S143" s="29"/>
      <c r="T143" s="29"/>
      <c r="U143" s="29"/>
      <c r="V143" s="28"/>
      <c r="W143" s="29"/>
      <c r="X143" s="29"/>
      <c r="Y143" s="29"/>
    </row>
    <row r="144" spans="1:25" ht="16" x14ac:dyDescent="0.2">
      <c r="A144" s="28"/>
      <c r="B144" s="29"/>
      <c r="C144" s="29"/>
      <c r="D144" s="29"/>
      <c r="E144" s="29"/>
      <c r="F144" s="29"/>
      <c r="G144" s="29"/>
      <c r="H144" s="29"/>
      <c r="I144" s="29"/>
      <c r="J144" s="28"/>
      <c r="K144" s="29"/>
      <c r="L144" s="29"/>
      <c r="M144" s="29"/>
      <c r="N144" s="29"/>
      <c r="O144" s="28"/>
      <c r="P144" s="29"/>
      <c r="Q144" s="29"/>
      <c r="R144" s="29"/>
      <c r="S144" s="29"/>
      <c r="T144" s="29"/>
      <c r="U144" s="29"/>
      <c r="V144" s="28"/>
      <c r="W144" s="29"/>
      <c r="X144" s="29"/>
      <c r="Y144" s="29"/>
    </row>
    <row r="145" spans="1:25" ht="16" x14ac:dyDescent="0.2">
      <c r="A145" s="28"/>
      <c r="B145" s="29"/>
      <c r="C145" s="29"/>
      <c r="D145" s="29"/>
      <c r="E145" s="29"/>
      <c r="F145" s="29"/>
      <c r="G145" s="29"/>
      <c r="H145" s="29"/>
      <c r="I145" s="29"/>
      <c r="J145" s="28"/>
      <c r="K145" s="29"/>
      <c r="L145" s="29"/>
      <c r="M145" s="29"/>
      <c r="N145" s="29"/>
      <c r="O145" s="28"/>
      <c r="P145" s="29"/>
      <c r="Q145" s="29"/>
      <c r="R145" s="29"/>
      <c r="S145" s="29"/>
      <c r="T145" s="29"/>
      <c r="U145" s="29"/>
      <c r="V145" s="28"/>
      <c r="W145" s="29"/>
      <c r="X145" s="29"/>
      <c r="Y145" s="29"/>
    </row>
    <row r="146" spans="1:25" ht="16" x14ac:dyDescent="0.2">
      <c r="A146" s="28"/>
      <c r="B146" s="29"/>
      <c r="C146" s="29"/>
      <c r="D146" s="29"/>
      <c r="E146" s="29"/>
      <c r="F146" s="29"/>
      <c r="G146" s="29"/>
      <c r="H146" s="29"/>
      <c r="I146" s="29"/>
      <c r="J146" s="28"/>
      <c r="K146" s="29"/>
      <c r="L146" s="29"/>
      <c r="M146" s="29"/>
      <c r="N146" s="29"/>
      <c r="O146" s="28"/>
      <c r="P146" s="29"/>
      <c r="Q146" s="29"/>
      <c r="R146" s="29"/>
      <c r="S146" s="29"/>
      <c r="T146" s="29"/>
      <c r="U146" s="29"/>
      <c r="V146" s="28"/>
      <c r="W146" s="29"/>
      <c r="X146" s="29"/>
      <c r="Y146" s="29"/>
    </row>
    <row r="147" spans="1:25" ht="16" x14ac:dyDescent="0.2">
      <c r="A147" s="28"/>
      <c r="B147" s="29"/>
      <c r="C147" s="29"/>
      <c r="D147" s="29"/>
      <c r="E147" s="29"/>
      <c r="F147" s="29"/>
      <c r="G147" s="29"/>
      <c r="H147" s="29"/>
      <c r="I147" s="29"/>
      <c r="J147" s="28"/>
      <c r="K147" s="29"/>
      <c r="L147" s="29"/>
      <c r="M147" s="29"/>
      <c r="N147" s="29"/>
      <c r="O147" s="28"/>
      <c r="P147" s="29"/>
      <c r="Q147" s="29"/>
      <c r="R147" s="29"/>
      <c r="S147" s="29"/>
      <c r="T147" s="29"/>
      <c r="U147" s="29"/>
      <c r="V147" s="28"/>
      <c r="W147" s="29"/>
      <c r="X147" s="29"/>
      <c r="Y147" s="29"/>
    </row>
    <row r="148" spans="1:25" ht="16" x14ac:dyDescent="0.2">
      <c r="A148" s="28"/>
      <c r="B148" s="29"/>
      <c r="C148" s="29"/>
      <c r="D148" s="29"/>
      <c r="E148" s="29"/>
      <c r="F148" s="29"/>
      <c r="G148" s="29"/>
      <c r="H148" s="29"/>
      <c r="I148" s="29"/>
      <c r="J148" s="28"/>
      <c r="K148" s="29"/>
      <c r="L148" s="29"/>
      <c r="M148" s="29"/>
      <c r="N148" s="29"/>
      <c r="O148" s="28"/>
      <c r="P148" s="29"/>
      <c r="Q148" s="29"/>
      <c r="R148" s="29"/>
      <c r="S148" s="29"/>
      <c r="T148" s="29"/>
      <c r="U148" s="29"/>
      <c r="V148" s="28"/>
      <c r="W148" s="29"/>
      <c r="X148" s="29"/>
      <c r="Y148" s="29"/>
    </row>
    <row r="149" spans="1:25" ht="16" x14ac:dyDescent="0.2">
      <c r="A149" s="28"/>
      <c r="B149" s="29"/>
      <c r="C149" s="29"/>
      <c r="D149" s="29"/>
      <c r="E149" s="29"/>
      <c r="F149" s="29"/>
      <c r="G149" s="29"/>
      <c r="H149" s="29"/>
      <c r="I149" s="29"/>
      <c r="J149" s="28"/>
      <c r="K149" s="29"/>
      <c r="L149" s="29"/>
      <c r="M149" s="29"/>
      <c r="N149" s="29"/>
      <c r="O149" s="28"/>
      <c r="P149" s="29"/>
      <c r="Q149" s="29"/>
      <c r="R149" s="29"/>
      <c r="S149" s="29"/>
      <c r="T149" s="29"/>
      <c r="U149" s="29"/>
      <c r="V149" s="28"/>
      <c r="W149" s="29"/>
      <c r="X149" s="29"/>
      <c r="Y149" s="29"/>
    </row>
    <row r="150" spans="1:25" ht="16" x14ac:dyDescent="0.2">
      <c r="A150" s="28"/>
      <c r="B150" s="29"/>
      <c r="C150" s="29"/>
      <c r="D150" s="29"/>
      <c r="E150" s="29"/>
      <c r="F150" s="29"/>
      <c r="G150" s="29"/>
      <c r="H150" s="29"/>
      <c r="I150" s="29"/>
      <c r="J150" s="28"/>
      <c r="K150" s="29"/>
      <c r="L150" s="29"/>
      <c r="M150" s="29"/>
      <c r="N150" s="29"/>
      <c r="O150" s="28"/>
      <c r="P150" s="29"/>
      <c r="Q150" s="29"/>
      <c r="R150" s="29"/>
      <c r="S150" s="29"/>
      <c r="T150" s="29"/>
      <c r="U150" s="29"/>
      <c r="V150" s="28"/>
      <c r="W150" s="29"/>
      <c r="X150" s="29"/>
      <c r="Y150" s="29"/>
    </row>
    <row r="151" spans="1:25" ht="16" x14ac:dyDescent="0.2">
      <c r="A151" s="28"/>
      <c r="B151" s="29"/>
      <c r="C151" s="29"/>
      <c r="D151" s="29"/>
      <c r="E151" s="29"/>
      <c r="F151" s="29"/>
      <c r="G151" s="29"/>
      <c r="H151" s="29"/>
      <c r="I151" s="29"/>
      <c r="J151" s="28"/>
      <c r="K151" s="29"/>
      <c r="L151" s="29"/>
      <c r="M151" s="29"/>
      <c r="N151" s="29"/>
      <c r="O151" s="28"/>
      <c r="P151" s="29"/>
      <c r="Q151" s="29"/>
      <c r="R151" s="29"/>
      <c r="S151" s="29"/>
      <c r="T151" s="29"/>
      <c r="U151" s="29"/>
      <c r="V151" s="28"/>
      <c r="W151" s="29"/>
      <c r="X151" s="29"/>
      <c r="Y151" s="29"/>
    </row>
    <row r="152" spans="1:25" ht="16" x14ac:dyDescent="0.2">
      <c r="A152" s="28"/>
      <c r="B152" s="29"/>
      <c r="C152" s="29"/>
      <c r="D152" s="29"/>
      <c r="E152" s="29"/>
      <c r="F152" s="29"/>
      <c r="G152" s="29"/>
      <c r="H152" s="29"/>
      <c r="I152" s="29"/>
      <c r="J152" s="28"/>
      <c r="K152" s="29"/>
      <c r="L152" s="29"/>
      <c r="M152" s="29"/>
      <c r="N152" s="29"/>
      <c r="O152" s="28"/>
      <c r="P152" s="29"/>
      <c r="Q152" s="29"/>
      <c r="R152" s="29"/>
      <c r="S152" s="29"/>
      <c r="T152" s="29"/>
      <c r="U152" s="29"/>
      <c r="V152" s="28"/>
      <c r="W152" s="29"/>
      <c r="X152" s="29"/>
      <c r="Y152" s="29"/>
    </row>
    <row r="153" spans="1:25" ht="16" x14ac:dyDescent="0.2">
      <c r="A153" s="28"/>
      <c r="B153" s="29"/>
      <c r="C153" s="29"/>
      <c r="D153" s="29"/>
      <c r="E153" s="29"/>
      <c r="F153" s="29"/>
      <c r="G153" s="29"/>
      <c r="H153" s="29"/>
      <c r="I153" s="29"/>
      <c r="J153" s="28"/>
      <c r="K153" s="29"/>
      <c r="L153" s="29"/>
      <c r="M153" s="29"/>
      <c r="N153" s="29"/>
      <c r="O153" s="28"/>
      <c r="P153" s="29"/>
      <c r="Q153" s="29"/>
      <c r="R153" s="29"/>
      <c r="S153" s="29"/>
      <c r="T153" s="29"/>
      <c r="U153" s="29"/>
      <c r="V153" s="28"/>
      <c r="W153" s="29"/>
      <c r="X153" s="29"/>
      <c r="Y153" s="29"/>
    </row>
    <row r="154" spans="1:25" ht="16" x14ac:dyDescent="0.2">
      <c r="A154" s="28"/>
      <c r="B154" s="29"/>
      <c r="C154" s="29"/>
      <c r="D154" s="29"/>
      <c r="E154" s="29"/>
      <c r="F154" s="29"/>
      <c r="G154" s="29"/>
      <c r="H154" s="29"/>
      <c r="I154" s="29"/>
      <c r="J154" s="28"/>
      <c r="K154" s="29"/>
      <c r="L154" s="29"/>
      <c r="M154" s="29"/>
      <c r="N154" s="29"/>
      <c r="O154" s="28"/>
      <c r="P154" s="29"/>
      <c r="Q154" s="29"/>
      <c r="R154" s="29"/>
      <c r="S154" s="29"/>
      <c r="T154" s="29"/>
      <c r="U154" s="29"/>
      <c r="V154" s="28"/>
      <c r="W154" s="29"/>
      <c r="X154" s="29"/>
      <c r="Y154" s="29"/>
    </row>
    <row r="155" spans="1:25" ht="16" x14ac:dyDescent="0.2">
      <c r="A155" s="28"/>
      <c r="B155" s="29"/>
      <c r="C155" s="29"/>
      <c r="D155" s="29"/>
      <c r="E155" s="29"/>
      <c r="F155" s="29"/>
      <c r="G155" s="29"/>
      <c r="H155" s="29"/>
      <c r="I155" s="29"/>
      <c r="J155" s="28"/>
      <c r="K155" s="29"/>
      <c r="L155" s="29"/>
      <c r="M155" s="29"/>
      <c r="N155" s="29"/>
      <c r="O155" s="28"/>
      <c r="P155" s="29"/>
      <c r="Q155" s="29"/>
      <c r="R155" s="29"/>
      <c r="S155" s="29"/>
      <c r="T155" s="29"/>
      <c r="U155" s="29"/>
      <c r="V155" s="28"/>
      <c r="W155" s="29"/>
      <c r="X155" s="29"/>
      <c r="Y155" s="29"/>
    </row>
    <row r="156" spans="1:25" ht="16" x14ac:dyDescent="0.2">
      <c r="A156" s="28"/>
      <c r="B156" s="29"/>
      <c r="C156" s="29"/>
      <c r="D156" s="29"/>
      <c r="E156" s="29"/>
      <c r="F156" s="29"/>
      <c r="G156" s="29"/>
      <c r="H156" s="29"/>
      <c r="I156" s="29"/>
      <c r="J156" s="28"/>
      <c r="K156" s="29"/>
      <c r="L156" s="29"/>
      <c r="M156" s="29"/>
      <c r="N156" s="29"/>
      <c r="O156" s="28"/>
      <c r="P156" s="29"/>
      <c r="Q156" s="29"/>
      <c r="R156" s="29"/>
      <c r="S156" s="29"/>
      <c r="T156" s="29"/>
      <c r="U156" s="29"/>
      <c r="V156" s="28"/>
      <c r="W156" s="29"/>
      <c r="X156" s="29"/>
      <c r="Y156" s="29"/>
    </row>
    <row r="157" spans="1:25" ht="16" x14ac:dyDescent="0.2">
      <c r="A157" s="28"/>
      <c r="B157" s="29"/>
      <c r="C157" s="29"/>
      <c r="D157" s="29"/>
      <c r="E157" s="29"/>
      <c r="F157" s="29"/>
      <c r="G157" s="29"/>
      <c r="H157" s="29"/>
      <c r="I157" s="29"/>
      <c r="J157" s="28"/>
      <c r="K157" s="29"/>
      <c r="L157" s="29"/>
      <c r="M157" s="29"/>
      <c r="N157" s="29"/>
      <c r="O157" s="28"/>
      <c r="P157" s="29"/>
      <c r="Q157" s="29"/>
      <c r="R157" s="29"/>
      <c r="S157" s="29"/>
      <c r="T157" s="29"/>
      <c r="U157" s="29"/>
      <c r="V157" s="28"/>
      <c r="W157" s="29"/>
      <c r="X157" s="29"/>
      <c r="Y157" s="29"/>
    </row>
    <row r="158" spans="1:25" ht="16" x14ac:dyDescent="0.2">
      <c r="A158" s="28"/>
      <c r="B158" s="29"/>
      <c r="C158" s="29"/>
      <c r="D158" s="29"/>
      <c r="E158" s="29"/>
      <c r="F158" s="29"/>
      <c r="G158" s="29"/>
      <c r="H158" s="29"/>
      <c r="I158" s="29"/>
      <c r="J158" s="28"/>
      <c r="K158" s="29"/>
      <c r="L158" s="29"/>
      <c r="M158" s="29"/>
      <c r="N158" s="29"/>
      <c r="O158" s="28"/>
      <c r="P158" s="29"/>
      <c r="Q158" s="29"/>
      <c r="R158" s="29"/>
      <c r="S158" s="29"/>
      <c r="T158" s="29"/>
      <c r="U158" s="29"/>
      <c r="V158" s="28"/>
      <c r="W158" s="29"/>
      <c r="X158" s="29"/>
      <c r="Y158" s="29"/>
    </row>
    <row r="159" spans="1:25" ht="16" x14ac:dyDescent="0.2">
      <c r="A159" s="28"/>
      <c r="B159" s="29"/>
      <c r="C159" s="29"/>
      <c r="D159" s="29"/>
      <c r="E159" s="29"/>
      <c r="F159" s="29"/>
      <c r="G159" s="29"/>
      <c r="H159" s="29"/>
      <c r="I159" s="29"/>
      <c r="J159" s="28"/>
      <c r="K159" s="29"/>
      <c r="L159" s="29"/>
      <c r="M159" s="29"/>
      <c r="N159" s="29"/>
      <c r="O159" s="28"/>
      <c r="P159" s="29"/>
      <c r="Q159" s="29"/>
      <c r="R159" s="29"/>
      <c r="S159" s="29"/>
      <c r="T159" s="29"/>
      <c r="U159" s="29"/>
      <c r="V159" s="28"/>
      <c r="W159" s="29"/>
      <c r="X159" s="29"/>
      <c r="Y159" s="29"/>
    </row>
    <row r="160" spans="1:25" ht="16" x14ac:dyDescent="0.2">
      <c r="A160" s="28"/>
      <c r="B160" s="29"/>
      <c r="C160" s="29"/>
      <c r="D160" s="29"/>
      <c r="E160" s="29"/>
      <c r="F160" s="29"/>
      <c r="G160" s="29"/>
      <c r="H160" s="29"/>
      <c r="I160" s="29"/>
      <c r="J160" s="28"/>
      <c r="K160" s="29"/>
      <c r="L160" s="29"/>
      <c r="M160" s="29"/>
      <c r="N160" s="29"/>
      <c r="O160" s="28"/>
      <c r="P160" s="29"/>
      <c r="Q160" s="29"/>
      <c r="R160" s="29"/>
      <c r="S160" s="29"/>
      <c r="T160" s="29"/>
      <c r="U160" s="29"/>
      <c r="V160" s="28"/>
      <c r="W160" s="29"/>
      <c r="X160" s="29"/>
      <c r="Y160" s="29"/>
    </row>
    <row r="161" spans="1:25" ht="16" x14ac:dyDescent="0.2">
      <c r="A161" s="28"/>
      <c r="B161" s="29"/>
      <c r="C161" s="29"/>
      <c r="D161" s="29"/>
      <c r="E161" s="29"/>
      <c r="F161" s="29"/>
      <c r="G161" s="29"/>
      <c r="H161" s="29"/>
      <c r="I161" s="29"/>
      <c r="J161" s="28"/>
      <c r="K161" s="29"/>
      <c r="L161" s="29"/>
      <c r="M161" s="29"/>
      <c r="N161" s="29"/>
      <c r="O161" s="28"/>
      <c r="P161" s="29"/>
      <c r="Q161" s="29"/>
      <c r="R161" s="29"/>
      <c r="S161" s="29"/>
      <c r="T161" s="29"/>
      <c r="U161" s="29"/>
      <c r="V161" s="28"/>
      <c r="W161" s="29"/>
      <c r="X161" s="29"/>
      <c r="Y161" s="29"/>
    </row>
    <row r="162" spans="1:25" ht="16" x14ac:dyDescent="0.2">
      <c r="A162" s="28"/>
      <c r="B162" s="29"/>
      <c r="C162" s="29"/>
      <c r="D162" s="29"/>
      <c r="E162" s="29"/>
      <c r="F162" s="29"/>
      <c r="G162" s="29"/>
      <c r="H162" s="29"/>
      <c r="I162" s="29"/>
      <c r="J162" s="28"/>
      <c r="K162" s="29"/>
      <c r="L162" s="29"/>
      <c r="M162" s="29"/>
      <c r="N162" s="29"/>
      <c r="O162" s="28"/>
      <c r="P162" s="29"/>
      <c r="Q162" s="29"/>
      <c r="R162" s="29"/>
      <c r="S162" s="29"/>
      <c r="T162" s="29"/>
      <c r="U162" s="29"/>
      <c r="V162" s="28"/>
      <c r="W162" s="29"/>
      <c r="X162" s="29"/>
      <c r="Y162" s="29"/>
    </row>
    <row r="163" spans="1:25" ht="16" x14ac:dyDescent="0.2">
      <c r="A163" s="28"/>
      <c r="B163" s="29"/>
      <c r="C163" s="29"/>
      <c r="D163" s="29"/>
      <c r="E163" s="29"/>
      <c r="F163" s="29"/>
      <c r="G163" s="29"/>
      <c r="H163" s="29"/>
      <c r="I163" s="29"/>
      <c r="J163" s="28"/>
      <c r="K163" s="29"/>
      <c r="L163" s="29"/>
      <c r="M163" s="29"/>
      <c r="N163" s="29"/>
      <c r="O163" s="28"/>
      <c r="P163" s="29"/>
      <c r="Q163" s="29"/>
      <c r="R163" s="29"/>
      <c r="S163" s="29"/>
      <c r="T163" s="29"/>
      <c r="U163" s="29"/>
      <c r="V163" s="28"/>
      <c r="W163" s="29"/>
      <c r="X163" s="29"/>
      <c r="Y163" s="29"/>
    </row>
    <row r="164" spans="1:25" ht="16" x14ac:dyDescent="0.2">
      <c r="A164" s="28"/>
      <c r="B164" s="29"/>
      <c r="C164" s="29"/>
      <c r="D164" s="29"/>
      <c r="E164" s="29"/>
      <c r="F164" s="29"/>
      <c r="G164" s="29"/>
      <c r="H164" s="29"/>
      <c r="I164" s="29"/>
      <c r="J164" s="28"/>
      <c r="K164" s="29"/>
      <c r="L164" s="29"/>
      <c r="M164" s="29"/>
      <c r="N164" s="29"/>
      <c r="O164" s="28"/>
      <c r="P164" s="29"/>
      <c r="Q164" s="29"/>
      <c r="R164" s="29"/>
      <c r="S164" s="29"/>
      <c r="T164" s="29"/>
      <c r="U164" s="29"/>
      <c r="V164" s="28"/>
      <c r="W164" s="29"/>
      <c r="X164" s="29"/>
      <c r="Y164" s="29"/>
    </row>
    <row r="165" spans="1:25" ht="16" x14ac:dyDescent="0.2">
      <c r="A165" s="28"/>
      <c r="B165" s="29"/>
      <c r="C165" s="29"/>
      <c r="D165" s="29"/>
      <c r="E165" s="29"/>
      <c r="F165" s="29"/>
      <c r="G165" s="29"/>
      <c r="H165" s="29"/>
      <c r="I165" s="29"/>
      <c r="J165" s="28"/>
      <c r="K165" s="29"/>
      <c r="L165" s="29"/>
      <c r="M165" s="29"/>
      <c r="N165" s="29"/>
      <c r="O165" s="28"/>
      <c r="P165" s="29"/>
      <c r="Q165" s="29"/>
      <c r="R165" s="29"/>
      <c r="S165" s="29"/>
      <c r="T165" s="29"/>
      <c r="U165" s="29"/>
      <c r="V165" s="28"/>
      <c r="W165" s="29"/>
      <c r="X165" s="29"/>
      <c r="Y165" s="29"/>
    </row>
    <row r="166" spans="1:25" ht="16" x14ac:dyDescent="0.2">
      <c r="A166" s="28"/>
      <c r="B166" s="29"/>
      <c r="C166" s="29"/>
      <c r="D166" s="29"/>
      <c r="E166" s="29"/>
      <c r="F166" s="29"/>
      <c r="G166" s="29"/>
      <c r="H166" s="29"/>
      <c r="I166" s="29"/>
      <c r="J166" s="28"/>
      <c r="K166" s="29"/>
      <c r="L166" s="29"/>
      <c r="M166" s="29"/>
      <c r="N166" s="29"/>
      <c r="O166" s="28"/>
      <c r="P166" s="29"/>
      <c r="Q166" s="29"/>
      <c r="R166" s="29"/>
      <c r="S166" s="29"/>
      <c r="T166" s="29"/>
      <c r="U166" s="29"/>
      <c r="V166" s="28"/>
      <c r="W166" s="29"/>
      <c r="X166" s="29"/>
      <c r="Y166" s="29"/>
    </row>
    <row r="167" spans="1:25" ht="16" x14ac:dyDescent="0.2">
      <c r="A167" s="28"/>
      <c r="B167" s="29"/>
      <c r="C167" s="29"/>
      <c r="D167" s="29"/>
      <c r="E167" s="29"/>
      <c r="F167" s="29"/>
      <c r="G167" s="29"/>
      <c r="H167" s="29"/>
      <c r="I167" s="29"/>
      <c r="J167" s="28"/>
      <c r="K167" s="29"/>
      <c r="L167" s="29"/>
      <c r="M167" s="29"/>
      <c r="N167" s="29"/>
      <c r="O167" s="28"/>
      <c r="P167" s="29"/>
      <c r="Q167" s="29"/>
      <c r="R167" s="29"/>
      <c r="S167" s="29"/>
      <c r="T167" s="29"/>
      <c r="U167" s="29"/>
      <c r="V167" s="28"/>
      <c r="W167" s="29"/>
      <c r="X167" s="29"/>
      <c r="Y167" s="29"/>
    </row>
    <row r="168" spans="1:25" ht="16" x14ac:dyDescent="0.2">
      <c r="A168" s="28"/>
      <c r="B168" s="29"/>
      <c r="C168" s="29"/>
      <c r="D168" s="29"/>
      <c r="E168" s="29"/>
      <c r="F168" s="29"/>
      <c r="G168" s="29"/>
      <c r="H168" s="29"/>
      <c r="I168" s="29"/>
      <c r="J168" s="28"/>
      <c r="K168" s="29"/>
      <c r="L168" s="29"/>
      <c r="M168" s="29"/>
      <c r="N168" s="29"/>
      <c r="O168" s="28"/>
      <c r="P168" s="29"/>
      <c r="Q168" s="29"/>
      <c r="R168" s="29"/>
      <c r="S168" s="29"/>
      <c r="T168" s="29"/>
      <c r="U168" s="29"/>
      <c r="V168" s="28"/>
      <c r="W168" s="29"/>
      <c r="X168" s="29"/>
      <c r="Y168" s="29"/>
    </row>
    <row r="169" spans="1:25" ht="16" x14ac:dyDescent="0.2">
      <c r="A169" s="28"/>
      <c r="B169" s="29"/>
      <c r="C169" s="29"/>
      <c r="D169" s="29"/>
      <c r="E169" s="29"/>
      <c r="F169" s="29"/>
      <c r="G169" s="29"/>
      <c r="H169" s="29"/>
      <c r="I169" s="29"/>
      <c r="J169" s="28"/>
      <c r="K169" s="29"/>
      <c r="L169" s="29"/>
      <c r="M169" s="29"/>
      <c r="N169" s="29"/>
      <c r="O169" s="28"/>
      <c r="P169" s="29"/>
      <c r="Q169" s="29"/>
      <c r="R169" s="29"/>
      <c r="S169" s="29"/>
      <c r="T169" s="29"/>
      <c r="U169" s="29"/>
      <c r="V169" s="28"/>
      <c r="W169" s="29"/>
      <c r="X169" s="29"/>
      <c r="Y169" s="29"/>
    </row>
    <row r="170" spans="1:25" ht="16" x14ac:dyDescent="0.2">
      <c r="A170" s="28"/>
      <c r="B170" s="29"/>
      <c r="C170" s="29"/>
      <c r="D170" s="29"/>
      <c r="E170" s="29"/>
      <c r="F170" s="29"/>
      <c r="G170" s="29"/>
      <c r="H170" s="29"/>
      <c r="I170" s="29"/>
      <c r="J170" s="28"/>
      <c r="K170" s="29"/>
      <c r="L170" s="29"/>
      <c r="M170" s="29"/>
      <c r="N170" s="29"/>
      <c r="O170" s="28"/>
      <c r="P170" s="29"/>
      <c r="Q170" s="29"/>
      <c r="R170" s="29"/>
      <c r="S170" s="29"/>
      <c r="T170" s="29"/>
      <c r="U170" s="29"/>
      <c r="V170" s="28"/>
      <c r="W170" s="29"/>
      <c r="X170" s="29"/>
      <c r="Y170" s="29"/>
    </row>
    <row r="171" spans="1:25" ht="16" x14ac:dyDescent="0.2">
      <c r="A171" s="28"/>
      <c r="B171" s="29"/>
      <c r="C171" s="29"/>
      <c r="D171" s="29"/>
      <c r="E171" s="29"/>
      <c r="F171" s="29"/>
      <c r="G171" s="29"/>
      <c r="H171" s="29"/>
      <c r="I171" s="29"/>
      <c r="J171" s="28"/>
      <c r="K171" s="29"/>
      <c r="L171" s="29"/>
      <c r="M171" s="29"/>
      <c r="N171" s="29"/>
      <c r="O171" s="28"/>
      <c r="P171" s="29"/>
      <c r="Q171" s="29"/>
      <c r="R171" s="29"/>
      <c r="S171" s="29"/>
      <c r="T171" s="29"/>
      <c r="U171" s="29"/>
      <c r="V171" s="28"/>
      <c r="W171" s="29"/>
      <c r="X171" s="29"/>
      <c r="Y171" s="29"/>
    </row>
    <row r="172" spans="1:25" ht="16" x14ac:dyDescent="0.2">
      <c r="A172" s="28"/>
      <c r="B172" s="29"/>
      <c r="C172" s="29"/>
      <c r="D172" s="29"/>
      <c r="E172" s="29"/>
      <c r="F172" s="29"/>
      <c r="G172" s="29"/>
      <c r="H172" s="29"/>
      <c r="I172" s="29"/>
      <c r="J172" s="28"/>
      <c r="K172" s="29"/>
      <c r="L172" s="29"/>
      <c r="M172" s="29"/>
      <c r="N172" s="29"/>
      <c r="O172" s="28"/>
      <c r="P172" s="29"/>
      <c r="Q172" s="29"/>
      <c r="R172" s="29"/>
      <c r="S172" s="29"/>
      <c r="T172" s="29"/>
      <c r="U172" s="29"/>
      <c r="V172" s="28"/>
      <c r="W172" s="29"/>
      <c r="X172" s="29"/>
      <c r="Y172" s="29"/>
    </row>
    <row r="173" spans="1:25" ht="16" x14ac:dyDescent="0.2">
      <c r="A173" s="28"/>
      <c r="B173" s="29"/>
      <c r="C173" s="29"/>
      <c r="D173" s="29"/>
      <c r="E173" s="29"/>
      <c r="F173" s="29"/>
      <c r="G173" s="29"/>
      <c r="H173" s="29"/>
      <c r="I173" s="29"/>
      <c r="J173" s="28"/>
      <c r="K173" s="29"/>
      <c r="L173" s="29"/>
      <c r="M173" s="29"/>
      <c r="N173" s="29"/>
      <c r="O173" s="28"/>
      <c r="P173" s="29"/>
      <c r="Q173" s="29"/>
      <c r="R173" s="29"/>
      <c r="S173" s="29"/>
      <c r="T173" s="29"/>
      <c r="U173" s="29"/>
      <c r="V173" s="28"/>
      <c r="W173" s="29"/>
      <c r="X173" s="29"/>
      <c r="Y173" s="29"/>
    </row>
    <row r="174" spans="1:25" ht="16" x14ac:dyDescent="0.2">
      <c r="A174" s="28"/>
      <c r="B174" s="29"/>
      <c r="C174" s="29"/>
      <c r="D174" s="29"/>
      <c r="E174" s="29"/>
      <c r="F174" s="29"/>
      <c r="G174" s="29"/>
      <c r="H174" s="29"/>
      <c r="I174" s="29"/>
      <c r="J174" s="28"/>
      <c r="K174" s="29"/>
      <c r="L174" s="29"/>
      <c r="M174" s="29"/>
      <c r="N174" s="29"/>
      <c r="O174" s="28"/>
      <c r="P174" s="29"/>
      <c r="Q174" s="29"/>
      <c r="R174" s="29"/>
      <c r="S174" s="29"/>
      <c r="T174" s="29"/>
      <c r="U174" s="29"/>
      <c r="V174" s="28"/>
      <c r="W174" s="29"/>
      <c r="X174" s="29"/>
      <c r="Y174" s="29"/>
    </row>
    <row r="175" spans="1:25" ht="16" x14ac:dyDescent="0.2">
      <c r="A175" s="28"/>
      <c r="B175" s="29"/>
      <c r="C175" s="29"/>
      <c r="D175" s="29"/>
      <c r="E175" s="29"/>
      <c r="F175" s="29"/>
      <c r="G175" s="29"/>
      <c r="H175" s="29"/>
      <c r="I175" s="29"/>
      <c r="J175" s="28"/>
      <c r="K175" s="29"/>
      <c r="L175" s="29"/>
      <c r="M175" s="29"/>
      <c r="N175" s="29"/>
      <c r="O175" s="28"/>
      <c r="P175" s="29"/>
      <c r="Q175" s="29"/>
      <c r="R175" s="29"/>
      <c r="S175" s="29"/>
      <c r="T175" s="29"/>
      <c r="U175" s="29"/>
      <c r="V175" s="28"/>
      <c r="W175" s="29"/>
      <c r="X175" s="29"/>
      <c r="Y175" s="29"/>
    </row>
    <row r="176" spans="1:25" ht="16" x14ac:dyDescent="0.2">
      <c r="A176" s="28"/>
      <c r="B176" s="29"/>
      <c r="C176" s="29"/>
      <c r="D176" s="29"/>
      <c r="E176" s="29"/>
      <c r="F176" s="29"/>
      <c r="G176" s="29"/>
      <c r="H176" s="29"/>
      <c r="I176" s="29"/>
      <c r="J176" s="28"/>
      <c r="K176" s="29"/>
      <c r="L176" s="29"/>
      <c r="M176" s="29"/>
      <c r="N176" s="29"/>
      <c r="O176" s="28"/>
      <c r="P176" s="29"/>
      <c r="Q176" s="29"/>
      <c r="R176" s="29"/>
      <c r="S176" s="29"/>
      <c r="T176" s="29"/>
      <c r="U176" s="29"/>
      <c r="V176" s="28"/>
      <c r="W176" s="29"/>
      <c r="X176" s="29"/>
      <c r="Y176" s="29"/>
    </row>
    <row r="177" spans="1:25" ht="16" x14ac:dyDescent="0.2">
      <c r="A177" s="28"/>
      <c r="B177" s="29"/>
      <c r="C177" s="29"/>
      <c r="D177" s="29"/>
      <c r="E177" s="29"/>
      <c r="F177" s="29"/>
      <c r="G177" s="29"/>
      <c r="H177" s="29"/>
      <c r="I177" s="29"/>
      <c r="J177" s="28"/>
      <c r="K177" s="29"/>
      <c r="L177" s="29"/>
      <c r="M177" s="29"/>
      <c r="N177" s="29"/>
      <c r="O177" s="28"/>
      <c r="P177" s="29"/>
      <c r="Q177" s="29"/>
      <c r="R177" s="29"/>
      <c r="S177" s="29"/>
      <c r="T177" s="29"/>
      <c r="U177" s="29"/>
      <c r="V177" s="28"/>
      <c r="W177" s="29"/>
      <c r="X177" s="29"/>
      <c r="Y177" s="29"/>
    </row>
    <row r="178" spans="1:25" ht="16" x14ac:dyDescent="0.2">
      <c r="A178" s="28"/>
      <c r="B178" s="29"/>
      <c r="C178" s="29"/>
      <c r="D178" s="29"/>
      <c r="E178" s="29"/>
      <c r="F178" s="29"/>
      <c r="G178" s="29"/>
      <c r="H178" s="29"/>
      <c r="I178" s="29"/>
      <c r="J178" s="28"/>
      <c r="K178" s="29"/>
      <c r="L178" s="29"/>
      <c r="M178" s="29"/>
      <c r="N178" s="29"/>
      <c r="O178" s="28"/>
      <c r="P178" s="29"/>
      <c r="Q178" s="29"/>
      <c r="R178" s="29"/>
      <c r="S178" s="29"/>
      <c r="T178" s="29"/>
      <c r="U178" s="29"/>
      <c r="V178" s="28"/>
      <c r="W178" s="29"/>
      <c r="X178" s="29"/>
      <c r="Y178" s="29"/>
    </row>
    <row r="179" spans="1:25" ht="16" x14ac:dyDescent="0.2">
      <c r="A179" s="28"/>
      <c r="B179" s="29"/>
      <c r="C179" s="29"/>
      <c r="D179" s="29"/>
      <c r="E179" s="29"/>
      <c r="F179" s="29"/>
      <c r="G179" s="29"/>
      <c r="H179" s="29"/>
      <c r="I179" s="29"/>
      <c r="J179" s="28"/>
      <c r="K179" s="29"/>
      <c r="L179" s="29"/>
      <c r="M179" s="29"/>
      <c r="N179" s="29"/>
      <c r="O179" s="28"/>
      <c r="P179" s="29"/>
      <c r="Q179" s="29"/>
      <c r="R179" s="29"/>
      <c r="S179" s="29"/>
      <c r="T179" s="29"/>
      <c r="U179" s="29"/>
      <c r="V179" s="28"/>
      <c r="W179" s="29"/>
      <c r="X179" s="29"/>
      <c r="Y179" s="29"/>
    </row>
    <row r="180" spans="1:25" ht="16" x14ac:dyDescent="0.2">
      <c r="A180" s="28"/>
      <c r="B180" s="29"/>
      <c r="C180" s="29"/>
      <c r="D180" s="29"/>
      <c r="E180" s="29"/>
      <c r="F180" s="29"/>
      <c r="G180" s="29"/>
      <c r="H180" s="29"/>
      <c r="I180" s="29"/>
      <c r="J180" s="28"/>
      <c r="K180" s="29"/>
      <c r="L180" s="29"/>
      <c r="M180" s="29"/>
      <c r="N180" s="29"/>
      <c r="O180" s="28"/>
      <c r="P180" s="29"/>
      <c r="Q180" s="29"/>
      <c r="R180" s="29"/>
      <c r="S180" s="29"/>
      <c r="T180" s="29"/>
      <c r="U180" s="29"/>
      <c r="V180" s="28"/>
      <c r="W180" s="29"/>
      <c r="X180" s="29"/>
      <c r="Y180" s="29"/>
    </row>
    <row r="181" spans="1:25" ht="16" x14ac:dyDescent="0.2">
      <c r="A181" s="28"/>
      <c r="B181" s="29"/>
      <c r="C181" s="29"/>
      <c r="D181" s="29"/>
      <c r="E181" s="29"/>
      <c r="F181" s="29"/>
      <c r="G181" s="29"/>
      <c r="H181" s="29"/>
      <c r="I181" s="29"/>
      <c r="J181" s="28"/>
      <c r="K181" s="29"/>
      <c r="L181" s="29"/>
      <c r="M181" s="29"/>
      <c r="N181" s="29"/>
      <c r="O181" s="28"/>
      <c r="P181" s="29"/>
      <c r="Q181" s="29"/>
      <c r="R181" s="29"/>
      <c r="S181" s="29"/>
      <c r="T181" s="29"/>
      <c r="U181" s="29"/>
      <c r="V181" s="28"/>
      <c r="W181" s="29"/>
      <c r="X181" s="29"/>
      <c r="Y181" s="29"/>
    </row>
    <row r="182" spans="1:25" ht="16" x14ac:dyDescent="0.2">
      <c r="A182" s="28"/>
      <c r="B182" s="29"/>
      <c r="C182" s="29"/>
      <c r="D182" s="29"/>
      <c r="E182" s="29"/>
      <c r="F182" s="29"/>
      <c r="G182" s="29"/>
      <c r="H182" s="29"/>
      <c r="I182" s="29"/>
      <c r="J182" s="28"/>
      <c r="K182" s="29"/>
      <c r="L182" s="29"/>
      <c r="M182" s="29"/>
      <c r="N182" s="29"/>
      <c r="O182" s="28"/>
      <c r="P182" s="29"/>
      <c r="Q182" s="29"/>
      <c r="R182" s="29"/>
      <c r="S182" s="29"/>
      <c r="T182" s="29"/>
      <c r="U182" s="29"/>
      <c r="V182" s="28"/>
      <c r="W182" s="29"/>
      <c r="X182" s="29"/>
      <c r="Y182" s="29"/>
    </row>
    <row r="183" spans="1:25" ht="16" x14ac:dyDescent="0.2">
      <c r="A183" s="28"/>
      <c r="B183" s="29"/>
      <c r="C183" s="29"/>
      <c r="D183" s="29"/>
      <c r="E183" s="29"/>
      <c r="F183" s="29"/>
      <c r="G183" s="29"/>
      <c r="H183" s="29"/>
      <c r="I183" s="29"/>
      <c r="J183" s="28"/>
      <c r="K183" s="29"/>
      <c r="L183" s="29"/>
      <c r="M183" s="29"/>
      <c r="N183" s="29"/>
      <c r="O183" s="28"/>
      <c r="P183" s="29"/>
      <c r="Q183" s="29"/>
      <c r="R183" s="29"/>
      <c r="S183" s="29"/>
      <c r="T183" s="29"/>
      <c r="U183" s="29"/>
      <c r="V183" s="28"/>
      <c r="W183" s="29"/>
      <c r="X183" s="29"/>
      <c r="Y183" s="29"/>
    </row>
    <row r="184" spans="1:25" ht="16" x14ac:dyDescent="0.2">
      <c r="A184" s="28"/>
      <c r="B184" s="29"/>
      <c r="C184" s="29"/>
      <c r="D184" s="29"/>
      <c r="E184" s="29"/>
      <c r="F184" s="29"/>
      <c r="G184" s="29"/>
      <c r="H184" s="29"/>
      <c r="I184" s="29"/>
      <c r="J184" s="28"/>
      <c r="K184" s="29"/>
      <c r="L184" s="29"/>
      <c r="M184" s="29"/>
      <c r="N184" s="29"/>
      <c r="O184" s="28"/>
      <c r="P184" s="29"/>
      <c r="Q184" s="29"/>
      <c r="R184" s="29"/>
      <c r="S184" s="29"/>
      <c r="T184" s="29"/>
      <c r="U184" s="29"/>
      <c r="V184" s="28"/>
      <c r="W184" s="29"/>
      <c r="X184" s="29"/>
      <c r="Y184" s="29"/>
    </row>
    <row r="185" spans="1:25" ht="16" x14ac:dyDescent="0.2">
      <c r="A185" s="28"/>
      <c r="B185" s="29"/>
      <c r="C185" s="29"/>
      <c r="D185" s="29"/>
      <c r="E185" s="29"/>
      <c r="F185" s="29"/>
      <c r="G185" s="29"/>
      <c r="H185" s="29"/>
      <c r="I185" s="29"/>
      <c r="J185" s="28"/>
      <c r="K185" s="29"/>
      <c r="L185" s="29"/>
      <c r="M185" s="29"/>
      <c r="N185" s="29"/>
      <c r="O185" s="28"/>
      <c r="P185" s="29"/>
      <c r="Q185" s="29"/>
      <c r="R185" s="29"/>
      <c r="S185" s="29"/>
      <c r="T185" s="29"/>
      <c r="U185" s="29"/>
      <c r="V185" s="28"/>
      <c r="W185" s="29"/>
      <c r="X185" s="29"/>
      <c r="Y185" s="29"/>
    </row>
    <row r="186" spans="1:25" ht="16" x14ac:dyDescent="0.2">
      <c r="A186" s="28"/>
      <c r="B186" s="29"/>
      <c r="C186" s="29"/>
      <c r="D186" s="29"/>
      <c r="E186" s="29"/>
      <c r="F186" s="29"/>
      <c r="G186" s="29"/>
      <c r="H186" s="29"/>
      <c r="I186" s="29"/>
      <c r="J186" s="28"/>
      <c r="K186" s="29"/>
      <c r="L186" s="29"/>
      <c r="M186" s="29"/>
      <c r="N186" s="29"/>
      <c r="O186" s="28"/>
      <c r="P186" s="29"/>
      <c r="Q186" s="29"/>
      <c r="R186" s="29"/>
      <c r="S186" s="29"/>
      <c r="T186" s="29"/>
      <c r="U186" s="29"/>
      <c r="V186" s="28"/>
      <c r="W186" s="29"/>
      <c r="X186" s="29"/>
      <c r="Y186" s="29"/>
    </row>
    <row r="187" spans="1:25" ht="16" x14ac:dyDescent="0.2">
      <c r="A187" s="28"/>
      <c r="B187" s="29"/>
      <c r="C187" s="29"/>
      <c r="D187" s="29"/>
      <c r="E187" s="29"/>
      <c r="F187" s="29"/>
      <c r="G187" s="29"/>
      <c r="H187" s="29"/>
      <c r="I187" s="29"/>
      <c r="J187" s="28"/>
      <c r="K187" s="29"/>
      <c r="L187" s="29"/>
      <c r="M187" s="29"/>
      <c r="N187" s="29"/>
      <c r="O187" s="28"/>
      <c r="P187" s="29"/>
      <c r="Q187" s="29"/>
      <c r="R187" s="29"/>
      <c r="S187" s="29"/>
      <c r="T187" s="29"/>
      <c r="U187" s="29"/>
      <c r="V187" s="28"/>
      <c r="W187" s="29"/>
      <c r="X187" s="29"/>
      <c r="Y187" s="29"/>
    </row>
    <row r="188" spans="1:25" ht="16" x14ac:dyDescent="0.2">
      <c r="A188" s="28"/>
      <c r="B188" s="29"/>
      <c r="C188" s="29"/>
      <c r="D188" s="29"/>
      <c r="E188" s="29"/>
      <c r="F188" s="29"/>
      <c r="G188" s="29"/>
      <c r="H188" s="29"/>
      <c r="I188" s="29"/>
      <c r="J188" s="28"/>
      <c r="K188" s="29"/>
      <c r="L188" s="29"/>
      <c r="M188" s="29"/>
      <c r="N188" s="29"/>
      <c r="O188" s="28"/>
      <c r="P188" s="29"/>
      <c r="Q188" s="29"/>
      <c r="R188" s="29"/>
      <c r="S188" s="29"/>
      <c r="T188" s="29"/>
      <c r="U188" s="29"/>
      <c r="V188" s="28"/>
      <c r="W188" s="29"/>
      <c r="X188" s="29"/>
      <c r="Y188" s="2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97D"/>
  </sheetPr>
  <dimension ref="A1:H1000"/>
  <sheetViews>
    <sheetView workbookViewId="0">
      <selection activeCell="F13" sqref="F13"/>
    </sheetView>
  </sheetViews>
  <sheetFormatPr baseColWidth="10" defaultColWidth="14.5" defaultRowHeight="15" customHeight="1" x14ac:dyDescent="0.2"/>
  <cols>
    <col min="1" max="1" width="22.5" customWidth="1"/>
    <col min="2" max="2" width="21.83203125" customWidth="1"/>
    <col min="3" max="3" width="18.1640625" customWidth="1"/>
    <col min="4" max="5" width="16.6640625" customWidth="1"/>
    <col min="6" max="8" width="20.5" customWidth="1"/>
    <col min="9" max="26" width="8.6640625" customWidth="1"/>
  </cols>
  <sheetData>
    <row r="1" spans="1:8" ht="14.25" customHeight="1" x14ac:dyDescent="0.2">
      <c r="A1" s="36" t="s">
        <v>1</v>
      </c>
      <c r="B1" s="3" t="s">
        <v>2</v>
      </c>
      <c r="C1" s="3" t="s">
        <v>3</v>
      </c>
      <c r="D1" s="3" t="s">
        <v>4</v>
      </c>
      <c r="E1" s="3" t="s">
        <v>5</v>
      </c>
      <c r="F1" s="3" t="s">
        <v>6</v>
      </c>
      <c r="G1" s="3" t="s">
        <v>7</v>
      </c>
      <c r="H1" s="3" t="s">
        <v>8</v>
      </c>
    </row>
    <row r="2" spans="1:8" ht="14.25" customHeight="1" x14ac:dyDescent="0.2">
      <c r="A2" s="3" t="s">
        <v>9</v>
      </c>
      <c r="B2" s="37">
        <f>'Calculation - FE - psgr'!C103</f>
        <v>3.8548169292405357E-3</v>
      </c>
      <c r="C2" s="37">
        <f>'Calculation - FE - psgr'!D103</f>
        <v>1.2015195607401124E-3</v>
      </c>
      <c r="D2" s="37">
        <f>'Calculation - FE - psgr'!B103</f>
        <v>5.3392525281148299E-4</v>
      </c>
      <c r="E2" s="37">
        <f>'Calculation - FE - psgr'!E103</f>
        <v>6.104155750858406E-4</v>
      </c>
      <c r="F2" s="37">
        <f>'Calculation - FE - psgr'!F103</f>
        <v>6.4059394957595732E-4</v>
      </c>
      <c r="G2" s="37">
        <v>0</v>
      </c>
      <c r="H2" s="37">
        <v>0</v>
      </c>
    </row>
    <row r="3" spans="1:8" ht="14.25" customHeight="1" x14ac:dyDescent="0.2">
      <c r="A3" s="3" t="s">
        <v>10</v>
      </c>
      <c r="B3" s="37">
        <f>'Calculation - FE - psgr'!P103</f>
        <v>5.8893036418951787E-3</v>
      </c>
      <c r="C3" s="37">
        <f>'Calculation - FE - psgr'!Q103</f>
        <v>1.2411171065195511E-3</v>
      </c>
      <c r="D3" s="37">
        <v>0</v>
      </c>
      <c r="E3" s="37">
        <f>'Calculation - FE - psgr'!R103</f>
        <v>1.0956176988720018E-3</v>
      </c>
      <c r="F3" s="37">
        <f>'Calculation - FE - psgr'!S103</f>
        <v>1.1497840120594071E-3</v>
      </c>
      <c r="G3" s="37">
        <v>0</v>
      </c>
      <c r="H3" s="37">
        <v>0</v>
      </c>
    </row>
    <row r="4" spans="1:8" ht="14.25" customHeight="1" x14ac:dyDescent="0.2">
      <c r="A4" s="3" t="s">
        <v>11</v>
      </c>
      <c r="B4" s="37">
        <v>0</v>
      </c>
      <c r="C4" s="37">
        <v>0</v>
      </c>
      <c r="D4" s="37">
        <f>'Calculation - FE - psgr'!AI103</f>
        <v>1.9867491393479732E-3</v>
      </c>
      <c r="E4" s="37">
        <v>0</v>
      </c>
      <c r="F4" s="37">
        <v>0</v>
      </c>
      <c r="G4" s="37">
        <v>0</v>
      </c>
      <c r="H4" s="37">
        <v>0</v>
      </c>
    </row>
    <row r="5" spans="1:8" ht="14.25" customHeight="1" x14ac:dyDescent="0.2">
      <c r="A5" s="3" t="s">
        <v>12</v>
      </c>
      <c r="B5" s="37">
        <f>'Calculation - FE - psgr'!W103</f>
        <v>3.2433054379144774E-3</v>
      </c>
      <c r="C5" s="37">
        <v>0</v>
      </c>
      <c r="D5" s="37">
        <v>0</v>
      </c>
      <c r="E5" s="37">
        <f>'Calculation - FE - psgr'!X103</f>
        <v>9.6414357500737807E-4</v>
      </c>
      <c r="F5" s="37">
        <f>'Calculation - FE - psgr'!Y103</f>
        <v>1.0095949100391856E-2</v>
      </c>
      <c r="G5" s="37">
        <v>0</v>
      </c>
      <c r="H5" s="37">
        <v>0</v>
      </c>
    </row>
    <row r="6" spans="1:8" ht="14.25" customHeight="1" x14ac:dyDescent="0.2">
      <c r="A6" s="3" t="s">
        <v>13</v>
      </c>
      <c r="B6" s="37">
        <v>0</v>
      </c>
      <c r="C6" s="37">
        <v>0</v>
      </c>
      <c r="D6" s="37">
        <f>'Calculation - FE - psgr'!AC103</f>
        <v>2.2779143897302514E-4</v>
      </c>
      <c r="E6" s="37">
        <f>'Calculation - FE - psgr'!AD103</f>
        <v>8.5088222715209791E-8</v>
      </c>
      <c r="F6" s="37">
        <v>0</v>
      </c>
      <c r="G6" s="37">
        <v>0</v>
      </c>
      <c r="H6" s="37">
        <v>0</v>
      </c>
    </row>
    <row r="7" spans="1:8" ht="14.25" customHeight="1" x14ac:dyDescent="0.2">
      <c r="A7" s="3" t="s">
        <v>14</v>
      </c>
      <c r="B7" s="37">
        <f>'Calculation - FE - psgr'!K103</f>
        <v>9.8648567589705791E-3</v>
      </c>
      <c r="C7" s="37">
        <f>'Calculation - FE - psgr'!L103</f>
        <v>1.2056566177618372E-3</v>
      </c>
      <c r="D7" s="37">
        <f>'Calculation - FE - psgr'!J103</f>
        <v>1.1311305355858213E-3</v>
      </c>
      <c r="E7" s="37">
        <v>0</v>
      </c>
      <c r="F7" s="37">
        <v>0</v>
      </c>
      <c r="G7" s="37">
        <v>0</v>
      </c>
      <c r="H7" s="37">
        <v>0</v>
      </c>
    </row>
    <row r="8" spans="1:8" ht="14.25" customHeight="1" x14ac:dyDescent="0.2"/>
    <row r="9" spans="1:8" ht="14.25" customHeight="1" x14ac:dyDescent="0.2"/>
    <row r="10" spans="1:8" ht="14.25" customHeight="1" x14ac:dyDescent="0.2"/>
    <row r="11" spans="1:8" ht="14.25" customHeight="1" x14ac:dyDescent="0.2"/>
    <row r="12" spans="1:8" ht="14.25" customHeight="1" x14ac:dyDescent="0.2"/>
    <row r="13" spans="1:8" ht="14.25" customHeight="1" x14ac:dyDescent="0.2"/>
    <row r="14" spans="1:8" ht="14.25" customHeight="1" x14ac:dyDescent="0.2"/>
    <row r="15" spans="1:8" ht="14.25" customHeight="1" x14ac:dyDescent="0.2"/>
    <row r="16" spans="1:8" ht="14.25" customHeight="1" x14ac:dyDescent="0.2"/>
    <row r="17" spans="2:8" ht="14.25" customHeight="1" x14ac:dyDescent="0.2">
      <c r="B17" s="8"/>
      <c r="C17" s="8"/>
      <c r="D17" s="8"/>
      <c r="E17" s="8"/>
      <c r="F17" s="8"/>
      <c r="G17" s="8"/>
      <c r="H17" s="8"/>
    </row>
    <row r="18" spans="2:8" ht="14.25" customHeight="1" x14ac:dyDescent="0.2">
      <c r="B18" s="8"/>
      <c r="C18" s="8"/>
      <c r="D18" s="8"/>
      <c r="E18" s="8"/>
      <c r="F18" s="8"/>
      <c r="G18" s="8"/>
      <c r="H18" s="8"/>
    </row>
    <row r="19" spans="2:8" ht="14.25" customHeight="1" x14ac:dyDescent="0.2">
      <c r="B19" s="8"/>
      <c r="C19" s="8"/>
      <c r="D19" s="8"/>
      <c r="E19" s="8"/>
      <c r="F19" s="8"/>
      <c r="G19" s="8"/>
      <c r="H19" s="8"/>
    </row>
    <row r="20" spans="2:8" ht="14.25" customHeight="1" x14ac:dyDescent="0.2">
      <c r="B20" s="8"/>
      <c r="C20" s="8"/>
      <c r="D20" s="8"/>
      <c r="E20" s="8"/>
      <c r="F20" s="8"/>
      <c r="G20" s="8"/>
      <c r="H20" s="8"/>
    </row>
    <row r="21" spans="2:8" ht="14.25" customHeight="1" x14ac:dyDescent="0.2">
      <c r="B21" s="8"/>
      <c r="C21" s="8"/>
      <c r="D21" s="8"/>
      <c r="E21" s="8"/>
      <c r="F21" s="8"/>
      <c r="G21" s="8"/>
      <c r="H21" s="8"/>
    </row>
    <row r="22" spans="2:8" ht="14.25" customHeight="1" x14ac:dyDescent="0.2">
      <c r="B22" s="8"/>
      <c r="C22" s="8"/>
      <c r="D22" s="8"/>
      <c r="E22" s="8"/>
      <c r="F22" s="8"/>
      <c r="G22" s="8"/>
      <c r="H22" s="8"/>
    </row>
    <row r="23" spans="2:8" ht="14.25" customHeight="1" x14ac:dyDescent="0.2">
      <c r="B23" s="8"/>
      <c r="C23" s="8"/>
      <c r="D23" s="8"/>
      <c r="E23" s="8"/>
      <c r="F23" s="8"/>
      <c r="G23" s="8"/>
      <c r="H23" s="8"/>
    </row>
    <row r="24" spans="2:8" ht="14.25" customHeight="1" x14ac:dyDescent="0.2"/>
    <row r="25" spans="2:8" ht="14.25" customHeight="1" x14ac:dyDescent="0.2"/>
    <row r="26" spans="2:8" ht="14.25" customHeight="1" x14ac:dyDescent="0.2"/>
    <row r="27" spans="2:8" ht="14.25" customHeight="1" x14ac:dyDescent="0.2"/>
    <row r="28" spans="2:8" ht="14.25" customHeight="1" x14ac:dyDescent="0.2"/>
    <row r="29" spans="2:8" ht="14.25" customHeight="1" x14ac:dyDescent="0.2"/>
    <row r="30" spans="2:8" ht="14.25" customHeight="1" x14ac:dyDescent="0.2"/>
    <row r="31" spans="2:8" ht="14.25" customHeight="1" x14ac:dyDescent="0.2"/>
    <row r="32" spans="2:8"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ignoredErrors>
    <ignoredError sqref="E3"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97D"/>
  </sheetPr>
  <dimension ref="A1:H1000"/>
  <sheetViews>
    <sheetView workbookViewId="0">
      <selection activeCell="E6" sqref="E6"/>
    </sheetView>
  </sheetViews>
  <sheetFormatPr baseColWidth="10" defaultColWidth="14.5" defaultRowHeight="15" customHeight="1" x14ac:dyDescent="0.2"/>
  <cols>
    <col min="1" max="1" width="21.5" customWidth="1"/>
    <col min="2" max="2" width="21.83203125" customWidth="1"/>
    <col min="3" max="3" width="25" customWidth="1"/>
    <col min="4" max="4" width="20.33203125" customWidth="1"/>
    <col min="5" max="5" width="16.6640625" customWidth="1"/>
    <col min="6" max="8" width="20.5" customWidth="1"/>
    <col min="9" max="26" width="8.6640625" customWidth="1"/>
  </cols>
  <sheetData>
    <row r="1" spans="1:8" ht="14.25" customHeight="1" x14ac:dyDescent="0.2">
      <c r="A1" s="36" t="s">
        <v>15</v>
      </c>
      <c r="B1" s="3" t="s">
        <v>2</v>
      </c>
      <c r="C1" s="3" t="s">
        <v>3</v>
      </c>
      <c r="D1" s="3" t="s">
        <v>4</v>
      </c>
      <c r="E1" s="3" t="s">
        <v>5</v>
      </c>
      <c r="F1" s="3" t="s">
        <v>6</v>
      </c>
      <c r="G1" s="3" t="s">
        <v>7</v>
      </c>
      <c r="H1" s="3" t="s">
        <v>8</v>
      </c>
    </row>
    <row r="2" spans="1:8" ht="14.25" customHeight="1" x14ac:dyDescent="0.2">
      <c r="A2" s="3" t="s">
        <v>9</v>
      </c>
      <c r="B2" s="37">
        <f>'Calculation - FE - frgt'!B103</f>
        <v>4.8694134996065671E-4</v>
      </c>
      <c r="C2" s="37">
        <v>0</v>
      </c>
      <c r="D2" s="37">
        <v>0</v>
      </c>
      <c r="E2" s="37">
        <f>'Calculation - FE - frgt'!E103</f>
        <v>5.1101527437153122E-4</v>
      </c>
      <c r="F2" s="37">
        <v>0</v>
      </c>
      <c r="G2" s="37">
        <v>0</v>
      </c>
      <c r="H2" s="37">
        <v>0</v>
      </c>
    </row>
    <row r="3" spans="1:8" ht="14.25" customHeight="1" x14ac:dyDescent="0.2">
      <c r="A3" s="3" t="s">
        <v>10</v>
      </c>
      <c r="B3" s="37">
        <f>'Calculation - FE - frgt'!C103+'Calculation - FE - frgt'!D103</f>
        <v>3.339026399730328E-3</v>
      </c>
      <c r="C3" s="37">
        <v>0</v>
      </c>
      <c r="D3" s="37">
        <v>0</v>
      </c>
      <c r="E3" s="37">
        <f>'Calculation - FE - frgt'!F103+'Calculation - FE - frgt'!G103</f>
        <v>3.5041047385475591E-3</v>
      </c>
      <c r="F3" s="37">
        <v>0</v>
      </c>
      <c r="G3" s="37">
        <v>0</v>
      </c>
      <c r="H3" s="37">
        <v>0</v>
      </c>
    </row>
    <row r="4" spans="1:8" ht="14.25" customHeight="1" x14ac:dyDescent="0.2">
      <c r="A4" s="3" t="s">
        <v>11</v>
      </c>
      <c r="B4" s="37">
        <v>0</v>
      </c>
      <c r="C4" s="37">
        <v>0</v>
      </c>
      <c r="D4" s="37">
        <f>'Calculation - FE - frgt'!W103</f>
        <v>1.1927314127523777E-4</v>
      </c>
      <c r="E4" s="37">
        <v>0</v>
      </c>
      <c r="F4" s="37">
        <v>0</v>
      </c>
      <c r="G4" s="37">
        <v>0</v>
      </c>
      <c r="H4" s="37">
        <v>0</v>
      </c>
    </row>
    <row r="5" spans="1:8" ht="14.25" customHeight="1" x14ac:dyDescent="0.2">
      <c r="A5" s="3" t="s">
        <v>12</v>
      </c>
      <c r="B5" s="37">
        <v>0</v>
      </c>
      <c r="C5" s="37">
        <v>0</v>
      </c>
      <c r="D5" s="37">
        <f>'Calculation - FE - frgt'!L103</f>
        <v>6.0774316559183568E-5</v>
      </c>
      <c r="E5" s="37">
        <f>'Calculation - FE - frgt'!K103</f>
        <v>5.7911239120321242E-5</v>
      </c>
      <c r="F5" s="37">
        <v>0</v>
      </c>
      <c r="G5" s="37">
        <v>0</v>
      </c>
      <c r="H5" s="37">
        <v>0</v>
      </c>
    </row>
    <row r="6" spans="1:8" ht="14.25" customHeight="1" x14ac:dyDescent="0.2">
      <c r="A6" s="3" t="s">
        <v>13</v>
      </c>
      <c r="B6" s="37">
        <v>0</v>
      </c>
      <c r="C6" s="37">
        <v>0</v>
      </c>
      <c r="D6" s="37">
        <f>'Calculation - FE - frgt'!P103+'Calculation - FE - frgt'!S103</f>
        <v>3.754639258030762E-5</v>
      </c>
      <c r="E6" s="37">
        <f>'Calculation - FE - frgt'!Q103+'Calculation - FE - frgt'!R103</f>
        <v>3.6868416497020475E-3</v>
      </c>
      <c r="F6" s="37">
        <v>0</v>
      </c>
      <c r="G6" s="37">
        <v>0</v>
      </c>
      <c r="H6" s="37">
        <v>0</v>
      </c>
    </row>
    <row r="7" spans="1:8" ht="14.25" customHeight="1" x14ac:dyDescent="0.2">
      <c r="A7" s="2" t="s">
        <v>14</v>
      </c>
      <c r="B7" s="37">
        <v>0</v>
      </c>
      <c r="C7" s="37">
        <v>0</v>
      </c>
      <c r="D7" s="37">
        <v>0</v>
      </c>
      <c r="E7" s="37">
        <v>0</v>
      </c>
      <c r="F7" s="37">
        <v>0</v>
      </c>
      <c r="G7" s="37">
        <v>0</v>
      </c>
      <c r="H7" s="37">
        <v>0</v>
      </c>
    </row>
    <row r="8" spans="1:8" ht="14.25" customHeight="1" x14ac:dyDescent="0.2">
      <c r="D8" s="7"/>
      <c r="E8" s="2"/>
      <c r="F8" s="2"/>
    </row>
    <row r="9" spans="1:8" ht="14.25" customHeight="1" x14ac:dyDescent="0.2">
      <c r="D9" s="7"/>
    </row>
    <row r="10" spans="1:8" ht="14.25" customHeight="1" x14ac:dyDescent="0.2">
      <c r="D10" s="7"/>
    </row>
    <row r="11" spans="1:8" ht="14.25" customHeight="1" x14ac:dyDescent="0.2">
      <c r="C11" s="9"/>
      <c r="D11" s="7"/>
    </row>
    <row r="12" spans="1:8" ht="14.25" customHeight="1" x14ac:dyDescent="0.2">
      <c r="D12" s="7"/>
    </row>
    <row r="13" spans="1:8" ht="14.25" customHeight="1" x14ac:dyDescent="0.2">
      <c r="D13" s="7"/>
    </row>
    <row r="14" spans="1:8" ht="14.25" customHeight="1" x14ac:dyDescent="0.2">
      <c r="D14" s="10"/>
    </row>
    <row r="15" spans="1:8" ht="14.25" customHeight="1" x14ac:dyDescent="0.2"/>
    <row r="16" spans="1:8" ht="14.25" customHeight="1" x14ac:dyDescent="0.2"/>
    <row r="17" spans="2:8" ht="14.25" customHeight="1" x14ac:dyDescent="0.2">
      <c r="B17" s="8"/>
      <c r="C17" s="8"/>
      <c r="D17" s="8"/>
      <c r="E17" s="8"/>
      <c r="F17" s="8"/>
      <c r="G17" s="8"/>
      <c r="H17" s="8"/>
    </row>
    <row r="18" spans="2:8" ht="14.25" customHeight="1" x14ac:dyDescent="0.2">
      <c r="B18" s="8"/>
      <c r="C18" s="8"/>
      <c r="D18" s="8"/>
      <c r="E18" s="8"/>
      <c r="F18" s="8"/>
      <c r="G18" s="8"/>
      <c r="H18" s="8"/>
    </row>
    <row r="19" spans="2:8" ht="14.25" customHeight="1" x14ac:dyDescent="0.2">
      <c r="B19" s="8"/>
      <c r="C19" s="8"/>
      <c r="D19" s="8"/>
      <c r="E19" s="8"/>
      <c r="F19" s="8"/>
      <c r="G19" s="8"/>
      <c r="H19" s="8"/>
    </row>
    <row r="20" spans="2:8" ht="14.25" customHeight="1" x14ac:dyDescent="0.2">
      <c r="B20" s="8"/>
      <c r="C20" s="8"/>
      <c r="D20" s="8"/>
      <c r="E20" s="8"/>
      <c r="F20" s="8"/>
      <c r="G20" s="8"/>
      <c r="H20" s="8"/>
    </row>
    <row r="21" spans="2:8" ht="14.25" customHeight="1" x14ac:dyDescent="0.2">
      <c r="B21" s="8"/>
      <c r="C21" s="8"/>
      <c r="D21" s="8"/>
      <c r="E21" s="8"/>
      <c r="F21" s="8"/>
      <c r="G21" s="8"/>
      <c r="H21" s="8"/>
    </row>
    <row r="22" spans="2:8" ht="14.25" customHeight="1" x14ac:dyDescent="0.2">
      <c r="B22" s="8"/>
      <c r="C22" s="8"/>
      <c r="D22" s="8"/>
      <c r="E22" s="8"/>
      <c r="F22" s="8"/>
      <c r="G22" s="8"/>
      <c r="H22" s="8"/>
    </row>
    <row r="23" spans="2:8" ht="14.25" customHeight="1" x14ac:dyDescent="0.2">
      <c r="B23" s="8"/>
      <c r="C23" s="8"/>
      <c r="D23" s="8"/>
      <c r="E23" s="8"/>
      <c r="F23" s="8"/>
      <c r="G23" s="8"/>
      <c r="H23" s="8"/>
    </row>
    <row r="24" spans="2:8" ht="14.25" customHeight="1" x14ac:dyDescent="0.2">
      <c r="B24" s="8"/>
      <c r="C24" s="8"/>
      <c r="D24" s="8"/>
      <c r="E24" s="8"/>
      <c r="F24" s="8"/>
      <c r="G24" s="8"/>
      <c r="H24" s="8"/>
    </row>
    <row r="25" spans="2:8" ht="14.25" customHeight="1" x14ac:dyDescent="0.2"/>
    <row r="26" spans="2:8" ht="14.25" customHeight="1" x14ac:dyDescent="0.2"/>
    <row r="27" spans="2:8" ht="14.25" customHeight="1" x14ac:dyDescent="0.2"/>
    <row r="28" spans="2:8" ht="14.25" customHeight="1" x14ac:dyDescent="0.2"/>
    <row r="29" spans="2:8" ht="14.25" customHeight="1" x14ac:dyDescent="0.2"/>
    <row r="30" spans="2:8" ht="14.25" customHeight="1" x14ac:dyDescent="0.2"/>
    <row r="31" spans="2:8" ht="14.25" customHeight="1" x14ac:dyDescent="0.2"/>
    <row r="32" spans="2:8"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About</vt:lpstr>
      <vt:lpstr>Level of Activity (LA) - psgr</vt:lpstr>
      <vt:lpstr>Energy Consumption (EC) - psgr</vt:lpstr>
      <vt:lpstr>Conversion - LA - psgr</vt:lpstr>
      <vt:lpstr>Conversion - EC - psgr</vt:lpstr>
      <vt:lpstr>Level of Activity (LA) - frgt</vt:lpstr>
      <vt:lpstr>Energy Consumption (EC) - frgt</vt:lpstr>
      <vt:lpstr>Conversion - LA - frgt</vt:lpstr>
      <vt:lpstr>Conversion - EC - frgt</vt:lpstr>
      <vt:lpstr>Calculation - FE - psgr</vt:lpstr>
      <vt:lpstr>Calculation - FE - frgt</vt:lpstr>
      <vt:lpstr>SYFAFE-psgr</vt:lpstr>
      <vt:lpstr>SYFAFE-frgt</vt:lpstr>
      <vt:lpstr>billion</vt:lpstr>
      <vt:lpstr>NTS_YR</vt:lpstr>
      <vt:lpstr>trillion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2017-06-26T22:04:22Z</dcterms:created>
  <dcterms:modified xsi:type="dcterms:W3CDTF">2025-01-08T14:55:23Z</dcterms:modified>
</cp:coreProperties>
</file>