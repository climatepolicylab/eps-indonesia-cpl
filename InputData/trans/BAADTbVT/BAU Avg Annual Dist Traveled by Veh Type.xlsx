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sy02/Desktop/Postdoc Projects/eps-indonesia-cpl/InputData/trans/BAADTbVT/"/>
    </mc:Choice>
  </mc:AlternateContent>
  <xr:revisionPtr revIDLastSave="0" documentId="13_ncr:1_{56CD9AB4-69AC-684D-9449-C4F244787A06}" xr6:coauthVersionLast="47" xr6:coauthVersionMax="47" xr10:uidLastSave="{00000000-0000-0000-0000-000000000000}"/>
  <bookViews>
    <workbookView xWindow="0" yWindow="760" windowWidth="34200" windowHeight="21380" activeTab="7" xr2:uid="{00000000-000D-0000-FFFF-FFFF00000000}"/>
  </bookViews>
  <sheets>
    <sheet name="About" sheetId="1" r:id="rId1"/>
    <sheet name="Sheet1" sheetId="2" r:id="rId2"/>
    <sheet name="Deep Decarbonization" sheetId="3" r:id="rId3"/>
    <sheet name="SYVbT-passenger" sheetId="4" r:id="rId4"/>
    <sheet name="SYVbT-freight" sheetId="5" r:id="rId5"/>
    <sheet name="AVLo-passengers" sheetId="6" r:id="rId6"/>
    <sheet name="AVLo-freight" sheetId="7" r:id="rId7"/>
    <sheet name="BAADTbVT-passengers" sheetId="8" r:id="rId8"/>
    <sheet name="BAADTbVT-freight" sheetId="9" r:id="rId9"/>
  </sheets>
  <definedNames>
    <definedName name="Eno_TM">#REF!</definedName>
    <definedName name="Eno_Tons">#REF!</definedName>
    <definedName name="Sum_T2">#REF!</definedName>
    <definedName name="Sum_TTM">#REF!</definedName>
    <definedName name="ti_tbl_50">#REF!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o8vHNTVn/WNGaCOE+odCtcHCGB236rsIQvtRdgEu7A="/>
    </ext>
  </extLst>
</workbook>
</file>

<file path=xl/calcChain.xml><?xml version="1.0" encoding="utf-8"?>
<calcChain xmlns="http://schemas.openxmlformats.org/spreadsheetml/2006/main">
  <c r="AI2" i="8" l="1"/>
  <c r="AJ2" i="8" s="1"/>
  <c r="AK2" i="8" s="1"/>
  <c r="AL2" i="8" s="1"/>
  <c r="AM2" i="8" s="1"/>
  <c r="AN2" i="8" s="1"/>
  <c r="AO2" i="8" s="1"/>
  <c r="AP2" i="8" s="1"/>
  <c r="AQ2" i="8" s="1"/>
  <c r="AR2" i="8" s="1"/>
  <c r="AS2" i="8" s="1"/>
  <c r="AT2" i="8" s="1"/>
  <c r="AU2" i="8" s="1"/>
  <c r="AV2" i="8" s="1"/>
  <c r="AW2" i="8" s="1"/>
  <c r="AX2" i="8" s="1"/>
  <c r="AY2" i="8" s="1"/>
  <c r="AZ2" i="8" s="1"/>
  <c r="BA2" i="8" s="1"/>
  <c r="AI3" i="8"/>
  <c r="AJ3" i="8"/>
  <c r="AK3" i="8"/>
  <c r="AL3" i="8"/>
  <c r="AM3" i="8" s="1"/>
  <c r="AN3" i="8" s="1"/>
  <c r="AO3" i="8" s="1"/>
  <c r="AP3" i="8" s="1"/>
  <c r="AQ3" i="8" s="1"/>
  <c r="AR3" i="8" s="1"/>
  <c r="AS3" i="8" s="1"/>
  <c r="AT3" i="8" s="1"/>
  <c r="AU3" i="8" s="1"/>
  <c r="AV3" i="8" s="1"/>
  <c r="AW3" i="8" s="1"/>
  <c r="AX3" i="8" s="1"/>
  <c r="AY3" i="8" s="1"/>
  <c r="AZ3" i="8" s="1"/>
  <c r="BA3" i="8" s="1"/>
  <c r="AI4" i="8"/>
  <c r="AJ4" i="8" s="1"/>
  <c r="AK4" i="8" s="1"/>
  <c r="AL4" i="8" s="1"/>
  <c r="AM4" i="8" s="1"/>
  <c r="AN4" i="8" s="1"/>
  <c r="AO4" i="8" s="1"/>
  <c r="AP4" i="8" s="1"/>
  <c r="AQ4" i="8" s="1"/>
  <c r="AR4" i="8" s="1"/>
  <c r="AS4" i="8" s="1"/>
  <c r="AT4" i="8" s="1"/>
  <c r="AU4" i="8" s="1"/>
  <c r="AV4" i="8" s="1"/>
  <c r="AW4" i="8" s="1"/>
  <c r="AX4" i="8" s="1"/>
  <c r="AY4" i="8" s="1"/>
  <c r="AZ4" i="8" s="1"/>
  <c r="BA4" i="8" s="1"/>
  <c r="AI5" i="8"/>
  <c r="AJ5" i="8" s="1"/>
  <c r="AK5" i="8" s="1"/>
  <c r="AL5" i="8" s="1"/>
  <c r="AM5" i="8" s="1"/>
  <c r="AN5" i="8" s="1"/>
  <c r="AO5" i="8" s="1"/>
  <c r="AP5" i="8" s="1"/>
  <c r="AQ5" i="8" s="1"/>
  <c r="AR5" i="8" s="1"/>
  <c r="AS5" i="8" s="1"/>
  <c r="AT5" i="8" s="1"/>
  <c r="AU5" i="8" s="1"/>
  <c r="AV5" i="8" s="1"/>
  <c r="AW5" i="8" s="1"/>
  <c r="AX5" i="8" s="1"/>
  <c r="AY5" i="8" s="1"/>
  <c r="AZ5" i="8" s="1"/>
  <c r="BA5" i="8" s="1"/>
  <c r="AI6" i="8"/>
  <c r="AJ6" i="8"/>
  <c r="AK6" i="8"/>
  <c r="AL6" i="8" s="1"/>
  <c r="AM6" i="8" s="1"/>
  <c r="AN6" i="8" s="1"/>
  <c r="AO6" i="8" s="1"/>
  <c r="AP6" i="8" s="1"/>
  <c r="AQ6" i="8" s="1"/>
  <c r="AR6" i="8" s="1"/>
  <c r="AS6" i="8" s="1"/>
  <c r="AT6" i="8" s="1"/>
  <c r="AU6" i="8" s="1"/>
  <c r="AV6" i="8" s="1"/>
  <c r="AW6" i="8" s="1"/>
  <c r="AX6" i="8" s="1"/>
  <c r="AY6" i="8" s="1"/>
  <c r="AZ6" i="8" s="1"/>
  <c r="BA6" i="8" s="1"/>
  <c r="AI7" i="8"/>
  <c r="AJ7" i="8" s="1"/>
  <c r="AK7" i="8" s="1"/>
  <c r="AL7" i="8" s="1"/>
  <c r="AM7" i="8" s="1"/>
  <c r="AN7" i="8" s="1"/>
  <c r="AO7" i="8" s="1"/>
  <c r="AP7" i="8" s="1"/>
  <c r="AQ7" i="8" s="1"/>
  <c r="AR7" i="8" s="1"/>
  <c r="AS7" i="8" s="1"/>
  <c r="AT7" i="8" s="1"/>
  <c r="AU7" i="8" s="1"/>
  <c r="AV7" i="8" s="1"/>
  <c r="AW7" i="8" s="1"/>
  <c r="AX7" i="8" s="1"/>
  <c r="AY7" i="8" s="1"/>
  <c r="AZ7" i="8" s="1"/>
  <c r="BA7" i="8" s="1"/>
  <c r="AH3" i="8"/>
  <c r="AH4" i="8"/>
  <c r="AH5" i="8"/>
  <c r="AH6" i="8"/>
  <c r="AH7" i="8"/>
  <c r="AH2" i="8"/>
  <c r="AI2" i="9"/>
  <c r="AJ2" i="9" s="1"/>
  <c r="AK2" i="9" s="1"/>
  <c r="AL2" i="9" s="1"/>
  <c r="AM2" i="9" s="1"/>
  <c r="AN2" i="9" s="1"/>
  <c r="AO2" i="9" s="1"/>
  <c r="AP2" i="9" s="1"/>
  <c r="AQ2" i="9" s="1"/>
  <c r="AR2" i="9" s="1"/>
  <c r="AS2" i="9" s="1"/>
  <c r="AT2" i="9" s="1"/>
  <c r="AU2" i="9" s="1"/>
  <c r="AV2" i="9" s="1"/>
  <c r="AW2" i="9" s="1"/>
  <c r="AX2" i="9" s="1"/>
  <c r="AY2" i="9" s="1"/>
  <c r="AZ2" i="9" s="1"/>
  <c r="BA2" i="9" s="1"/>
  <c r="AI3" i="9"/>
  <c r="AJ3" i="9" s="1"/>
  <c r="AK3" i="9" s="1"/>
  <c r="AL3" i="9" s="1"/>
  <c r="AM3" i="9" s="1"/>
  <c r="AN3" i="9" s="1"/>
  <c r="AO3" i="9" s="1"/>
  <c r="AP3" i="9" s="1"/>
  <c r="AQ3" i="9" s="1"/>
  <c r="AR3" i="9" s="1"/>
  <c r="AS3" i="9" s="1"/>
  <c r="AT3" i="9" s="1"/>
  <c r="AU3" i="9" s="1"/>
  <c r="AV3" i="9" s="1"/>
  <c r="AW3" i="9" s="1"/>
  <c r="AX3" i="9" s="1"/>
  <c r="AY3" i="9" s="1"/>
  <c r="AZ3" i="9" s="1"/>
  <c r="BA3" i="9" s="1"/>
  <c r="AI4" i="9"/>
  <c r="AJ4" i="9"/>
  <c r="AK4" i="9"/>
  <c r="AL4" i="9" s="1"/>
  <c r="AM4" i="9" s="1"/>
  <c r="AN4" i="9" s="1"/>
  <c r="AO4" i="9" s="1"/>
  <c r="AP4" i="9" s="1"/>
  <c r="AQ4" i="9" s="1"/>
  <c r="AR4" i="9" s="1"/>
  <c r="AS4" i="9" s="1"/>
  <c r="AT4" i="9" s="1"/>
  <c r="AU4" i="9" s="1"/>
  <c r="AV4" i="9" s="1"/>
  <c r="AW4" i="9" s="1"/>
  <c r="AX4" i="9" s="1"/>
  <c r="AY4" i="9" s="1"/>
  <c r="AZ4" i="9" s="1"/>
  <c r="BA4" i="9" s="1"/>
  <c r="AI5" i="9"/>
  <c r="AJ5" i="9"/>
  <c r="AK5" i="9"/>
  <c r="AL5" i="9" s="1"/>
  <c r="AM5" i="9" s="1"/>
  <c r="AN5" i="9" s="1"/>
  <c r="AO5" i="9" s="1"/>
  <c r="AP5" i="9" s="1"/>
  <c r="AQ5" i="9" s="1"/>
  <c r="AR5" i="9" s="1"/>
  <c r="AS5" i="9" s="1"/>
  <c r="AT5" i="9" s="1"/>
  <c r="AU5" i="9" s="1"/>
  <c r="AV5" i="9" s="1"/>
  <c r="AW5" i="9" s="1"/>
  <c r="AX5" i="9" s="1"/>
  <c r="AY5" i="9" s="1"/>
  <c r="AZ5" i="9" s="1"/>
  <c r="BA5" i="9" s="1"/>
  <c r="AI6" i="9"/>
  <c r="AJ6" i="9"/>
  <c r="AK6" i="9" s="1"/>
  <c r="AL6" i="9" s="1"/>
  <c r="AM6" i="9" s="1"/>
  <c r="AN6" i="9" s="1"/>
  <c r="AO6" i="9" s="1"/>
  <c r="AP6" i="9" s="1"/>
  <c r="AQ6" i="9" s="1"/>
  <c r="AR6" i="9" s="1"/>
  <c r="AS6" i="9" s="1"/>
  <c r="AT6" i="9" s="1"/>
  <c r="AU6" i="9" s="1"/>
  <c r="AV6" i="9" s="1"/>
  <c r="AW6" i="9" s="1"/>
  <c r="AX6" i="9" s="1"/>
  <c r="AY6" i="9" s="1"/>
  <c r="AZ6" i="9" s="1"/>
  <c r="BA6" i="9" s="1"/>
  <c r="AI7" i="9"/>
  <c r="AJ7" i="9"/>
  <c r="AK7" i="9" s="1"/>
  <c r="AL7" i="9" s="1"/>
  <c r="AM7" i="9" s="1"/>
  <c r="AN7" i="9" s="1"/>
  <c r="AO7" i="9" s="1"/>
  <c r="AP7" i="9" s="1"/>
  <c r="AQ7" i="9" s="1"/>
  <c r="AR7" i="9" s="1"/>
  <c r="AS7" i="9" s="1"/>
  <c r="AT7" i="9" s="1"/>
  <c r="AU7" i="9" s="1"/>
  <c r="AV7" i="9" s="1"/>
  <c r="AW7" i="9" s="1"/>
  <c r="AX7" i="9" s="1"/>
  <c r="AY7" i="9" s="1"/>
  <c r="AZ7" i="9" s="1"/>
  <c r="BA7" i="9" s="1"/>
  <c r="AH3" i="9"/>
  <c r="AH4" i="9"/>
  <c r="AH5" i="9"/>
  <c r="AH6" i="9"/>
  <c r="AH7" i="9"/>
  <c r="AH2" i="9"/>
  <c r="E7" i="9"/>
  <c r="F7" i="9" s="1"/>
  <c r="G7" i="9" s="1"/>
  <c r="H7" i="9" s="1"/>
  <c r="I7" i="9" s="1"/>
  <c r="J7" i="9" s="1"/>
  <c r="K7" i="9" s="1"/>
  <c r="L7" i="9" s="1"/>
  <c r="M7" i="9" s="1"/>
  <c r="N7" i="9" s="1"/>
  <c r="O7" i="9" s="1"/>
  <c r="P7" i="9" s="1"/>
  <c r="Q7" i="9" s="1"/>
  <c r="R7" i="9" s="1"/>
  <c r="S7" i="9" s="1"/>
  <c r="T7" i="9" s="1"/>
  <c r="U7" i="9" s="1"/>
  <c r="V7" i="9" s="1"/>
  <c r="W7" i="9" s="1"/>
  <c r="X7" i="9" s="1"/>
  <c r="Y7" i="9" s="1"/>
  <c r="Z7" i="9" s="1"/>
  <c r="AA7" i="9" s="1"/>
  <c r="AB7" i="9" s="1"/>
  <c r="AC7" i="9" s="1"/>
  <c r="AD7" i="9" s="1"/>
  <c r="AE7" i="9" s="1"/>
  <c r="AF7" i="9" s="1"/>
  <c r="AG7" i="9" s="1"/>
  <c r="D7" i="9"/>
  <c r="C7" i="9"/>
  <c r="K5" i="9"/>
  <c r="L5" i="9" s="1"/>
  <c r="M5" i="9" s="1"/>
  <c r="N5" i="9" s="1"/>
  <c r="O5" i="9" s="1"/>
  <c r="P5" i="9" s="1"/>
  <c r="Q5" i="9" s="1"/>
  <c r="R5" i="9" s="1"/>
  <c r="S5" i="9" s="1"/>
  <c r="T5" i="9" s="1"/>
  <c r="U5" i="9" s="1"/>
  <c r="V5" i="9" s="1"/>
  <c r="W5" i="9" s="1"/>
  <c r="X5" i="9" s="1"/>
  <c r="Y5" i="9" s="1"/>
  <c r="Z5" i="9" s="1"/>
  <c r="AA5" i="9" s="1"/>
  <c r="AB5" i="9" s="1"/>
  <c r="AC5" i="9" s="1"/>
  <c r="AD5" i="9" s="1"/>
  <c r="AE5" i="9" s="1"/>
  <c r="AF5" i="9" s="1"/>
  <c r="AG5" i="9" s="1"/>
  <c r="D5" i="9"/>
  <c r="E5" i="9" s="1"/>
  <c r="F5" i="9" s="1"/>
  <c r="G5" i="9" s="1"/>
  <c r="H5" i="9" s="1"/>
  <c r="I5" i="9" s="1"/>
  <c r="J5" i="9" s="1"/>
  <c r="C5" i="9"/>
  <c r="J4" i="9"/>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C4" i="9"/>
  <c r="D4" i="9" s="1"/>
  <c r="E4" i="9" s="1"/>
  <c r="F4" i="9" s="1"/>
  <c r="G4" i="9" s="1"/>
  <c r="H4" i="9" s="1"/>
  <c r="I4" i="9" s="1"/>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I2" i="9"/>
  <c r="J2" i="9" s="1"/>
  <c r="K2" i="9" s="1"/>
  <c r="L2" i="9" s="1"/>
  <c r="M2" i="9" s="1"/>
  <c r="N2" i="9" s="1"/>
  <c r="O2" i="9" s="1"/>
  <c r="P2" i="9" s="1"/>
  <c r="Q2" i="9" s="1"/>
  <c r="R2" i="9" s="1"/>
  <c r="S2" i="9" s="1"/>
  <c r="T2" i="9" s="1"/>
  <c r="U2" i="9" s="1"/>
  <c r="V2" i="9" s="1"/>
  <c r="W2" i="9" s="1"/>
  <c r="X2" i="9" s="1"/>
  <c r="Y2" i="9" s="1"/>
  <c r="Z2" i="9" s="1"/>
  <c r="AA2" i="9" s="1"/>
  <c r="AB2" i="9" s="1"/>
  <c r="AC2" i="9" s="1"/>
  <c r="AD2" i="9" s="1"/>
  <c r="AE2" i="9" s="1"/>
  <c r="AF2" i="9" s="1"/>
  <c r="AG2" i="9" s="1"/>
  <c r="C2" i="9"/>
  <c r="D2" i="9" s="1"/>
  <c r="E2" i="9" s="1"/>
  <c r="F2" i="9" s="1"/>
  <c r="G2" i="9" s="1"/>
  <c r="H2" i="9" s="1"/>
  <c r="X4" i="8"/>
  <c r="Q4" i="8"/>
  <c r="B4" i="8"/>
  <c r="AC4" i="8" s="1"/>
  <c r="E52" i="3"/>
  <c r="U48" i="3"/>
  <c r="T48" i="3"/>
  <c r="S48" i="3"/>
  <c r="R48" i="3"/>
  <c r="Q48" i="3"/>
  <c r="P48" i="3"/>
  <c r="O48" i="3"/>
  <c r="N48" i="3"/>
  <c r="J48" i="3"/>
  <c r="I48" i="3"/>
  <c r="H48" i="3"/>
  <c r="G48" i="3"/>
  <c r="F48" i="3"/>
  <c r="E48" i="3"/>
  <c r="D48" i="3"/>
  <c r="C48" i="3"/>
  <c r="N40" i="3" a="1"/>
  <c r="N40" i="3" s="1"/>
  <c r="U36" i="3"/>
  <c r="T36" i="3"/>
  <c r="S36" i="3"/>
  <c r="R36" i="3"/>
  <c r="Q36" i="3"/>
  <c r="P36" i="3"/>
  <c r="O36" i="3"/>
  <c r="N36" i="3"/>
  <c r="B6" i="9" s="1"/>
  <c r="C6" i="9" s="1"/>
  <c r="D6" i="9" s="1"/>
  <c r="E6" i="9" s="1"/>
  <c r="F6" i="9" s="1"/>
  <c r="G6" i="9" s="1"/>
  <c r="H6" i="9" s="1"/>
  <c r="I6" i="9" s="1"/>
  <c r="J6" i="9" s="1"/>
  <c r="K6" i="9" s="1"/>
  <c r="L6" i="9" s="1"/>
  <c r="M6" i="9" s="1"/>
  <c r="N6" i="9" s="1"/>
  <c r="O6" i="9" s="1"/>
  <c r="P6" i="9" s="1"/>
  <c r="Q6" i="9" s="1"/>
  <c r="R6" i="9" s="1"/>
  <c r="S6" i="9" s="1"/>
  <c r="T6" i="9" s="1"/>
  <c r="U6" i="9" s="1"/>
  <c r="V6" i="9" s="1"/>
  <c r="W6" i="9" s="1"/>
  <c r="X6" i="9" s="1"/>
  <c r="Y6" i="9" s="1"/>
  <c r="Z6" i="9" s="1"/>
  <c r="AA6" i="9" s="1"/>
  <c r="AB6" i="9" s="1"/>
  <c r="AC6" i="9" s="1"/>
  <c r="AD6" i="9" s="1"/>
  <c r="AE6" i="9" s="1"/>
  <c r="AF6" i="9" s="1"/>
  <c r="AG6" i="9" s="1"/>
  <c r="J36" i="3"/>
  <c r="I36" i="3"/>
  <c r="H36" i="3"/>
  <c r="G36" i="3"/>
  <c r="F36" i="3"/>
  <c r="E36" i="3"/>
  <c r="D36" i="3"/>
  <c r="C36" i="3"/>
  <c r="U24" i="3"/>
  <c r="T24" i="3"/>
  <c r="S24" i="3"/>
  <c r="R24" i="3"/>
  <c r="Q24" i="3"/>
  <c r="P24" i="3"/>
  <c r="O24" i="3"/>
  <c r="E53" i="3" s="1"/>
  <c r="N24" i="3"/>
  <c r="J24" i="3"/>
  <c r="I24" i="3"/>
  <c r="H24" i="3"/>
  <c r="G24" i="3"/>
  <c r="F24" i="3"/>
  <c r="E24" i="3"/>
  <c r="D24" i="3"/>
  <c r="E51" i="3" s="1"/>
  <c r="C24" i="3"/>
  <c r="B5" i="8" s="1"/>
  <c r="H5" i="8" s="1"/>
  <c r="U12" i="3"/>
  <c r="T12" i="3"/>
  <c r="S12" i="3"/>
  <c r="R12" i="3"/>
  <c r="Q12" i="3"/>
  <c r="P12" i="3"/>
  <c r="O12" i="3"/>
  <c r="N12" i="3"/>
  <c r="J12" i="3"/>
  <c r="I12" i="3"/>
  <c r="H12" i="3"/>
  <c r="G12" i="3"/>
  <c r="F12" i="3"/>
  <c r="E12" i="3"/>
  <c r="D12" i="3"/>
  <c r="C12" i="3" s="1" a="1"/>
  <c r="C12" i="3" s="1"/>
  <c r="G5" i="2"/>
  <c r="F5" i="2"/>
  <c r="E5" i="2"/>
  <c r="D5" i="2"/>
  <c r="Y4" i="8" l="1"/>
  <c r="AF4" i="8"/>
  <c r="AG4" i="8"/>
  <c r="H4" i="8"/>
  <c r="I5" i="8"/>
  <c r="I4" i="8"/>
  <c r="P5" i="8"/>
  <c r="P4" i="8"/>
  <c r="AC5" i="8"/>
  <c r="U5" i="8"/>
  <c r="M5" i="8"/>
  <c r="E5" i="8"/>
  <c r="AB5" i="8"/>
  <c r="T5" i="8"/>
  <c r="L5" i="8"/>
  <c r="D5" i="8"/>
  <c r="J5" i="8"/>
  <c r="AA5" i="8"/>
  <c r="S5" i="8"/>
  <c r="K5" i="8"/>
  <c r="C5" i="8"/>
  <c r="Z5" i="8"/>
  <c r="R5" i="8"/>
  <c r="AE5" i="8"/>
  <c r="W5" i="8"/>
  <c r="O5" i="8"/>
  <c r="G5" i="8"/>
  <c r="AD5" i="8"/>
  <c r="V5" i="8"/>
  <c r="N5" i="8"/>
  <c r="F5" i="8"/>
  <c r="Q5" i="8"/>
  <c r="Y5" i="8"/>
  <c r="B7" i="8"/>
  <c r="B3" i="8"/>
  <c r="B2" i="8"/>
  <c r="AF5" i="8"/>
  <c r="X5" i="8"/>
  <c r="AG5" i="8"/>
  <c r="F4" i="8"/>
  <c r="N4" i="8"/>
  <c r="V4" i="8"/>
  <c r="AD4" i="8"/>
  <c r="G4" i="8"/>
  <c r="O4" i="8"/>
  <c r="W4" i="8"/>
  <c r="AE4" i="8"/>
  <c r="C4" i="8"/>
  <c r="K4" i="8"/>
  <c r="S4" i="8"/>
  <c r="AA4" i="8"/>
  <c r="J4" i="8"/>
  <c r="R4" i="8"/>
  <c r="Z4" i="8"/>
  <c r="D4" i="8"/>
  <c r="L4" i="8"/>
  <c r="T4" i="8"/>
  <c r="AB4" i="8"/>
  <c r="E4" i="8"/>
  <c r="M4" i="8"/>
  <c r="U4" i="8"/>
  <c r="AC2" i="8" l="1"/>
  <c r="U2" i="8"/>
  <c r="M2" i="8"/>
  <c r="E2" i="8"/>
  <c r="AB2" i="8"/>
  <c r="T2" i="8"/>
  <c r="L2" i="8"/>
  <c r="D2" i="8"/>
  <c r="Z2" i="8"/>
  <c r="R2" i="8"/>
  <c r="J2" i="8"/>
  <c r="AA2" i="8"/>
  <c r="S2" i="8"/>
  <c r="K2" i="8"/>
  <c r="C2" i="8"/>
  <c r="AE2" i="8"/>
  <c r="W2" i="8"/>
  <c r="O2" i="8"/>
  <c r="G2" i="8"/>
  <c r="AD2" i="8"/>
  <c r="V2" i="8"/>
  <c r="N2" i="8"/>
  <c r="H2" i="8"/>
  <c r="Y2" i="8"/>
  <c r="AG2" i="8"/>
  <c r="F2" i="8"/>
  <c r="AF2" i="8"/>
  <c r="X2" i="8"/>
  <c r="P2" i="8"/>
  <c r="I2" i="8"/>
  <c r="Q2" i="8"/>
  <c r="AC3" i="8"/>
  <c r="U3" i="8"/>
  <c r="M3" i="8"/>
  <c r="E3" i="8"/>
  <c r="AB3" i="8"/>
  <c r="T3" i="8"/>
  <c r="L3" i="8"/>
  <c r="D3" i="8"/>
  <c r="Z3" i="8"/>
  <c r="R3" i="8"/>
  <c r="J3" i="8"/>
  <c r="AA3" i="8"/>
  <c r="S3" i="8"/>
  <c r="K3" i="8"/>
  <c r="C3" i="8"/>
  <c r="AE3" i="8"/>
  <c r="W3" i="8"/>
  <c r="O3" i="8"/>
  <c r="G3" i="8"/>
  <c r="AD3" i="8"/>
  <c r="V3" i="8"/>
  <c r="N3" i="8"/>
  <c r="F3" i="8"/>
  <c r="H3" i="8"/>
  <c r="Y3" i="8"/>
  <c r="X3" i="8"/>
  <c r="AG3" i="8"/>
  <c r="AF3" i="8"/>
  <c r="Q3" i="8"/>
  <c r="I3" i="8"/>
  <c r="P3" i="8"/>
  <c r="AC7" i="8"/>
  <c r="U7" i="8"/>
  <c r="M7" i="8"/>
  <c r="E7" i="8"/>
  <c r="AB7" i="8"/>
  <c r="T7" i="8"/>
  <c r="L7" i="8"/>
  <c r="D7" i="8"/>
  <c r="Z7" i="8"/>
  <c r="J7" i="8"/>
  <c r="AA7" i="8"/>
  <c r="S7" i="8"/>
  <c r="K7" i="8"/>
  <c r="C7" i="8"/>
  <c r="R7" i="8"/>
  <c r="AE7" i="8"/>
  <c r="W7" i="8"/>
  <c r="O7" i="8"/>
  <c r="G7" i="8"/>
  <c r="AD7" i="8"/>
  <c r="V7" i="8"/>
  <c r="N7" i="8"/>
  <c r="F7" i="8"/>
  <c r="AG7" i="8"/>
  <c r="Q7" i="8"/>
  <c r="AF7" i="8"/>
  <c r="Y7" i="8"/>
  <c r="X7" i="8"/>
  <c r="P7" i="8"/>
  <c r="I7" i="8"/>
  <c r="H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300-000001000000}">
      <text>
        <r>
          <rPr>
            <sz val="11"/>
            <color theme="1"/>
            <rFont val="Calibri"/>
            <family val="2"/>
            <scheme val="minor"/>
          </rPr>
          <t>======
ID#AAAAQyjGt_c
Rizqi Mahfudz Prasetyo    (2021-03-10 06:10:16)
asumsi masih semua bensin</t>
        </r>
      </text>
    </comment>
  </commentList>
  <extLst>
    <ext xmlns:r="http://schemas.openxmlformats.org/officeDocument/2006/relationships" uri="GoogleSheetsCustomDataVersion2">
      <go:sheetsCustomData xmlns:go="http://customooxmlschemas.google.com/" r:id="rId1" roundtripDataSignature="AMtx7miaSQzVHV/aj3PcYpyn+rxJ6ZTYbA=="/>
    </ext>
  </extLst>
</comments>
</file>

<file path=xl/sharedStrings.xml><?xml version="1.0" encoding="utf-8"?>
<sst xmlns="http://schemas.openxmlformats.org/spreadsheetml/2006/main" count="237" uniqueCount="125">
  <si>
    <t>BAADTbVT BAU Average Annual Dist Traveled by Vehicle Type</t>
  </si>
  <si>
    <t>Source:</t>
  </si>
  <si>
    <t>Average Vehicle Loading</t>
  </si>
  <si>
    <t>EPS Indonesia 1.0 (used the same data)</t>
  </si>
  <si>
    <t>Annual Distance Traveled (p-km and t-km)</t>
  </si>
  <si>
    <t>IESR</t>
  </si>
  <si>
    <t>Deep decarbonization of Indonesia’s energy system: A Pathway to zero emissions by 2050</t>
  </si>
  <si>
    <t>https://iesr.or.id/en/pustaka/deep-decarbonization-of-indonesias-energy-system-a-pathway-to-zero-emissions-by-2050</t>
  </si>
  <si>
    <t>Data from IESR (not published in the study)</t>
  </si>
  <si>
    <t>SYVbT</t>
  </si>
  <si>
    <t>See updated SYVbT</t>
  </si>
  <si>
    <t>Notes:</t>
  </si>
  <si>
    <t>This is a time-series variable to support countries or regions where average distance traveled per year changes over the model run.  Even though the annual distance traveled data has different values projected in the following year, the only value used is the one in 2019, since the SYVbT data is for year 2019. It is assumed that the projected value of annual distance traveled data is because of vehicle volume increase, and not due to average distance increase. Road (p-km) data is divided for LDV, HDV, motorbikes based on the number of vehicles.
The value of average annual distance traveled in this model is constant until 2050. 
Adjusted the number of miles traveled on the road for LDV and HDV from the 'Deep Decarbonization' tab by allocating 93% for LDV and 7% and HDV based on the values of the EPS Indonesia 1.0, which used the US data as proxy (source: IEA Annual Energy Outlook 2020 Tables 7, 46, 47, 49).</t>
  </si>
  <si>
    <t>Start Year</t>
  </si>
  <si>
    <t xml:space="preserve">Source: Erahman (2019) Modeling Future Energy Demand and CO2 Emissions of Passenger Cars in Indonesia at the Provincial Level  https://www.mdpi.com/1996-1073/12/16/3168# </t>
  </si>
  <si>
    <t>Vehicle Kilometers Traveled in Provinces, 2012–2015 (km/car/year).</t>
  </si>
  <si>
    <t>No.</t>
  </si>
  <si>
    <t>Province</t>
  </si>
  <si>
    <t>Elasticity</t>
  </si>
  <si>
    <t>Total</t>
  </si>
  <si>
    <t>Aceh</t>
  </si>
  <si>
    <t>−0.646</t>
  </si>
  <si>
    <t>North Sumatra</t>
  </si>
  <si>
    <t>−0.288</t>
  </si>
  <si>
    <t>West Sumatra</t>
  </si>
  <si>
    <t>−0.541</t>
  </si>
  <si>
    <t>Riau</t>
  </si>
  <si>
    <t>−0.268</t>
  </si>
  <si>
    <t>Jambi</t>
  </si>
  <si>
    <t>−0.613</t>
  </si>
  <si>
    <t>South Sumatra</t>
  </si>
  <si>
    <t>−0.559</t>
  </si>
  <si>
    <t>Bengkulu</t>
  </si>
  <si>
    <t>−0.352</t>
  </si>
  <si>
    <t>Lampung</t>
  </si>
  <si>
    <t>−0.409</t>
  </si>
  <si>
    <t>Bangka Belitung Islands</t>
  </si>
  <si>
    <t>−0.753</t>
  </si>
  <si>
    <t>Riau Islands</t>
  </si>
  <si>
    <t>−0.334</t>
  </si>
  <si>
    <t>DKI Jakarta</t>
  </si>
  <si>
    <t>−0.492</t>
  </si>
  <si>
    <t>West Java</t>
  </si>
  <si>
    <t>−0.379</t>
  </si>
  <si>
    <t>Central Java</t>
  </si>
  <si>
    <t>−0.324</t>
  </si>
  <si>
    <t>D.I.Y</t>
  </si>
  <si>
    <t>−0.629</t>
  </si>
  <si>
    <t>East Java</t>
  </si>
  <si>
    <t>−0.313</t>
  </si>
  <si>
    <t>Banten</t>
  </si>
  <si>
    <t>−0.494</t>
  </si>
  <si>
    <t>Bali</t>
  </si>
  <si>
    <t>−0.581</t>
  </si>
  <si>
    <t>West Nusa Tenggara</t>
  </si>
  <si>
    <t>−0.168</t>
  </si>
  <si>
    <t>East Nusa Tenggara</t>
  </si>
  <si>
    <t>−0.308</t>
  </si>
  <si>
    <t>West Kalimantan</t>
  </si>
  <si>
    <t>−0.428</t>
  </si>
  <si>
    <t>Central Kalimantan</t>
  </si>
  <si>
    <t>−0.398</t>
  </si>
  <si>
    <t>South Kalimantan</t>
  </si>
  <si>
    <t>−0.365</t>
  </si>
  <si>
    <t>East Kalimantan</t>
  </si>
  <si>
    <t>−1.051</t>
  </si>
  <si>
    <t>North Sulawesi</t>
  </si>
  <si>
    <t>−0.565</t>
  </si>
  <si>
    <t>Central Sulawesi</t>
  </si>
  <si>
    <t>−0.504</t>
  </si>
  <si>
    <t>South Sulawesi</t>
  </si>
  <si>
    <t>−0.135</t>
  </si>
  <si>
    <t>Southeast Sulawesi</t>
  </si>
  <si>
    <t>−0.276</t>
  </si>
  <si>
    <t>Gorontalo</t>
  </si>
  <si>
    <t>West Sulawesi</t>
  </si>
  <si>
    <t>−0.067</t>
  </si>
  <si>
    <t>Maluku</t>
  </si>
  <si>
    <t>−0.638</t>
  </si>
  <si>
    <t>North Maluku</t>
  </si>
  <si>
    <t>−0.320</t>
  </si>
  <si>
    <t>West Papua</t>
  </si>
  <si>
    <t>−0.241</t>
  </si>
  <si>
    <t>Papua</t>
  </si>
  <si>
    <t>−0.550</t>
  </si>
  <si>
    <t>million kms</t>
  </si>
  <si>
    <t>Road [p-km]</t>
  </si>
  <si>
    <t>Road [t-km]</t>
  </si>
  <si>
    <t>Region</t>
  </si>
  <si>
    <t>Sumatra</t>
  </si>
  <si>
    <t>Java - West</t>
  </si>
  <si>
    <t>Java - Central</t>
  </si>
  <si>
    <t>Java - East</t>
  </si>
  <si>
    <t>Nusa Tenggara</t>
  </si>
  <si>
    <t>Kalimantan</t>
  </si>
  <si>
    <t>Sulawesi</t>
  </si>
  <si>
    <t>Maluku and Papua</t>
  </si>
  <si>
    <t>Rail [p-km]</t>
  </si>
  <si>
    <t>Rail [t-km]</t>
  </si>
  <si>
    <t>Marine [p-km]</t>
  </si>
  <si>
    <t>Marine [t-km]</t>
  </si>
  <si>
    <t>Aviation[p-km]</t>
  </si>
  <si>
    <t>Aviation [t-km]</t>
  </si>
  <si>
    <t>Rail pass elec. specific energy demand</t>
  </si>
  <si>
    <t>[kWh,el/(p-km)]</t>
  </si>
  <si>
    <t>Rail freight fuel specific energy demand</t>
  </si>
  <si>
    <t>[kWh,th/(t*km)]</t>
  </si>
  <si>
    <t>Rail freight elec. specific energy demand</t>
  </si>
  <si>
    <t>[kWh,el/(t-km)]</t>
  </si>
  <si>
    <t>Number of Vehicles</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</si>
  <si>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</si>
  <si>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</si>
  <si>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</si>
  <si>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</si>
  <si>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</si>
  <si>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</si>
  <si>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</si>
  <si>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</si>
  <si>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</si>
  <si>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</si>
  <si>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</si>
  <si>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</si>
  <si>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</si>
  <si>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*As of 2019</t>
  </si>
  <si>
    <t>Annual Distance (miles/vehicle)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</si>
</sst>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quot;$&quot;#,##0.00"/>
    <numFmt numFmtId="166" formatCode="0.0"/>
  </numFmts>
  <fonts count="10" x14ac:knownFonts="1">
    <font>
      <sz val="11"/>
      <color theme="1"/>
      <name val="Calibri"/>
      <scheme val="minor"/>
    </font>
    <font>
      <b/>
      <sz val="11"/>
      <color theme="1"/>
      <name val="Calibri"/>
      <family val="2"/>
      <scheme val="minor"/>
    </font>
    <font>
      <sz val="11"/>
      <color theme="1"/>
      <name val="Calibri"/>
      <family val="2"/>
      <scheme val="minor"/>
    </font>
    <font>
      <u/>
      <sz val="11"/>
      <color rgb="FF1155CC"/>
      <name val="Calibri"/>
      <family val="2"/>
    </font>
    <font>
      <b/>
      <sz val="11"/>
      <color theme="1"/>
      <name val="Calibri"/>
      <family val="2"/>
      <scheme val="minor"/>
    </font>
    <font>
      <b/>
      <sz val="11"/>
      <color rgb="FF9C5700"/>
      <name val="Calibri"/>
      <family val="2"/>
      <scheme val="minor"/>
    </font>
    <font>
      <b/>
      <sz val="11"/>
      <color theme="1"/>
      <name val="Calibri"/>
      <family val="2"/>
    </font>
    <font>
      <sz val="11"/>
      <color theme="1"/>
      <name val="Arial"/>
      <family val="2"/>
    </font>
    <font>
      <sz val="11"/>
      <color theme="1"/>
      <name val="Calibri"/>
      <family val="2"/>
    </font>
    <font>
      <i/>
      <sz val="10"/>
      <color theme="1"/>
      <name val="Arial"/>
      <family val="2"/>
    </font>
  </fonts>
  <fills count="5">
    <fill>
      <patternFill patternType="none"/>
    </fill>
    <fill>
      <patternFill patternType="gray125"/>
    </fill>
    <fill>
      <patternFill patternType="solid">
        <fgColor rgb="FFBFBFBF"/>
        <bgColor rgb="FFBFBFBF"/>
      </patternFill>
    </fill>
    <fill>
      <patternFill patternType="solid">
        <fgColor rgb="FF00B0F0"/>
        <bgColor rgb="FF00B0F0"/>
      </patternFill>
    </fill>
    <fill>
      <patternFill patternType="solid">
        <fgColor rgb="FFFFEB9C"/>
        <bgColor rgb="FFFFEB9C"/>
      </patternFill>
    </fill>
  </fills>
  <borders count="2">
    <border>
      <left/>
      <right/>
      <top/>
      <bottom/>
      <diagonal/>
    </border>
    <border>
      <left/>
      <right/>
      <top/>
      <bottom/>
      <diagonal/>
    </border>
  </borders>
  <cellStyleXfs count="1">
    <xf numFmtId="0" fontId="0" fillId="0" borderId="0"/>
  </cellStyleXfs>
  <cellXfs count="37">
    <xf numFmtId="0" fontId="0" fillId="0" borderId="0" xfId="0"/>
    <xf numFmtId="0" fontId="1" fillId="0" borderId="0" xfId="0" applyFont="1"/>
    <xf numFmtId="0" fontId="1" fillId="2" borderId="1" xfId="0" applyFont="1" applyFill="1" applyBorder="1"/>
    <xf numFmtId="0" fontId="2" fillId="0" borderId="0" xfId="0" applyFont="1"/>
    <xf numFmtId="0" fontId="0" fillId="0" borderId="0" xfId="0" applyAlignment="1">
      <alignment horizontal="left"/>
    </xf>
    <xf numFmtId="0" fontId="3" fillId="0" borderId="0" xfId="0" applyFont="1"/>
    <xf numFmtId="0" fontId="1" fillId="2" borderId="1" xfId="0" applyFont="1" applyFill="1" applyBorder="1" applyAlignment="1">
      <alignment horizontal="left"/>
    </xf>
    <xf numFmtId="3" fontId="0" fillId="0" borderId="0" xfId="0" applyNumberFormat="1" applyAlignment="1">
      <alignment horizontal="left"/>
    </xf>
    <xf numFmtId="0" fontId="4" fillId="0" borderId="0" xfId="0" applyFont="1"/>
    <xf numFmtId="0" fontId="4" fillId="0" borderId="0" xfId="0" applyFont="1" applyAlignment="1">
      <alignment horizontal="center"/>
    </xf>
    <xf numFmtId="0" fontId="2" fillId="0" borderId="0" xfId="0" applyFont="1" applyAlignment="1">
      <alignment horizontal="center"/>
    </xf>
    <xf numFmtId="3" fontId="2" fillId="0" borderId="0" xfId="0" applyNumberFormat="1" applyFont="1" applyAlignment="1">
      <alignment horizontal="center"/>
    </xf>
    <xf numFmtId="0" fontId="1" fillId="3" borderId="1" xfId="0" applyFont="1" applyFill="1" applyBorder="1"/>
    <xf numFmtId="0" fontId="5" fillId="4" borderId="1" xfId="0" applyFont="1" applyFill="1" applyBorder="1" applyAlignment="1">
      <alignment horizontal="left"/>
    </xf>
    <xf numFmtId="0" fontId="5" fillId="4" borderId="1" xfId="0" applyFont="1" applyFill="1" applyBorder="1" applyAlignment="1">
      <alignment horizontal="center"/>
    </xf>
    <xf numFmtId="3" fontId="0" fillId="0" borderId="0" xfId="0" applyNumberFormat="1" applyAlignment="1">
      <alignment horizontal="center" vertical="center"/>
    </xf>
    <xf numFmtId="3" fontId="1" fillId="0" borderId="0" xfId="0" applyNumberFormat="1" applyFont="1" applyAlignment="1">
      <alignment horizontal="center" vertical="center"/>
    </xf>
    <xf numFmtId="3" fontId="0" fillId="0" borderId="0" xfId="0" applyNumberFormat="1"/>
    <xf numFmtId="0" fontId="6" fillId="0" borderId="0" xfId="0" applyFont="1" applyAlignment="1">
      <alignment wrapText="1"/>
    </xf>
    <xf numFmtId="0" fontId="6" fillId="0" borderId="0" xfId="0" applyFont="1" applyAlignment="1">
      <alignment horizontal="right"/>
    </xf>
    <xf numFmtId="0" fontId="7" fillId="0" borderId="0" xfId="0" applyFont="1"/>
    <xf numFmtId="0" fontId="6" fillId="0" borderId="0" xfId="0" applyFont="1"/>
    <xf numFmtId="1" fontId="8" fillId="0" borderId="0" xfId="0" applyNumberFormat="1" applyFont="1"/>
    <xf numFmtId="164" fontId="8" fillId="0" borderId="0" xfId="0" applyNumberFormat="1" applyFont="1"/>
    <xf numFmtId="1" fontId="7" fillId="0" borderId="0" xfId="0" applyNumberFormat="1" applyFont="1"/>
    <xf numFmtId="165" fontId="8" fillId="0" borderId="0" xfId="0" applyNumberFormat="1" applyFont="1"/>
    <xf numFmtId="0" fontId="8" fillId="0" borderId="0" xfId="0" applyFont="1"/>
    <xf numFmtId="0" fontId="9" fillId="0" borderId="0" xfId="0" applyFont="1"/>
    <xf numFmtId="10" fontId="7" fillId="0" borderId="0" xfId="0" applyNumberFormat="1" applyFont="1"/>
    <xf numFmtId="0" fontId="1" fillId="0" borderId="0" xfId="0" applyFont="1" applyAlignment="1">
      <alignment horizontal="right"/>
    </xf>
    <xf numFmtId="166" fontId="0" fillId="0" borderId="0" xfId="0" applyNumberFormat="1"/>
    <xf numFmtId="1" fontId="0" fillId="0" borderId="0" xfId="0" applyNumberFormat="1"/>
    <xf numFmtId="2" fontId="0" fillId="0" borderId="0" xfId="0" applyNumberFormat="1"/>
    <xf numFmtId="0" fontId="1" fillId="0" borderId="0" xfId="0" applyFont="1" applyAlignment="1">
      <alignment wrapText="1"/>
    </xf>
    <xf numFmtId="0" fontId="0" fillId="0" borderId="0" xfId="0" applyAlignment="1">
      <alignment horizontal="left" vertical="top" wrapText="1"/>
    </xf>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Road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linear"/>
            <c:dispRSqr val="1"/>
            <c:dispEq val="0"/>
            <c:trendlineLbl>
              <c:numFmt formatCode="General" sourceLinked="0"/>
            </c:trendlineLbl>
          </c:trendline>
          <c:xVal>
            <c:numRef>
              <c:f>'Deep Decarbonization'!$D$3:$J$3</c:f>
              <c:numCache>
                <c:formatCode>General</c:formatCode>
                <c:ptCount val="7"/>
                <c:pt idx="0">
                  <c:v>2020</c:v>
                </c:pt>
                <c:pt idx="1">
                  <c:v>2025</c:v>
                </c:pt>
                <c:pt idx="2">
                  <c:v>2030</c:v>
                </c:pt>
                <c:pt idx="3">
                  <c:v>2035</c:v>
                </c:pt>
                <c:pt idx="4">
                  <c:v>2040</c:v>
                </c:pt>
                <c:pt idx="5">
                  <c:v>2045</c:v>
                </c:pt>
                <c:pt idx="6">
                  <c:v>2050</c:v>
                </c:pt>
              </c:numCache>
            </c:numRef>
          </c:xVal>
          <c:yVal>
            <c:numRef>
              <c:f>'Deep Decarbonization'!$D$12:$J$12</c:f>
              <c:numCache>
                <c:formatCode>#,##0</c:formatCode>
                <c:ptCount val="7"/>
                <c:pt idx="0">
                  <c:v>3121793</c:v>
                </c:pt>
                <c:pt idx="1">
                  <c:v>4061570</c:v>
                </c:pt>
                <c:pt idx="2">
                  <c:v>4960671</c:v>
                </c:pt>
                <c:pt idx="3">
                  <c:v>6214304</c:v>
                </c:pt>
                <c:pt idx="4">
                  <c:v>7467939</c:v>
                </c:pt>
                <c:pt idx="5">
                  <c:v>8721574</c:v>
                </c:pt>
                <c:pt idx="6">
                  <c:v>9975209</c:v>
                </c:pt>
              </c:numCache>
            </c:numRef>
          </c:yVal>
          <c:smooth val="1"/>
          <c:extLst>
            <c:ext xmlns:c16="http://schemas.microsoft.com/office/drawing/2014/chart" uri="{C3380CC4-5D6E-409C-BE32-E72D297353CC}">
              <c16:uniqueId val="{00000001-203A-094B-B11F-FF2D0928C45D}"/>
            </c:ext>
          </c:extLst>
        </c:ser>
        <c:dLbls>
          <c:showLegendKey val="0"/>
          <c:showVal val="0"/>
          <c:showCatName val="0"/>
          <c:showSerName val="0"/>
          <c:showPercent val="0"/>
          <c:showBubbleSize val="0"/>
        </c:dLbls>
        <c:axId val="213129962"/>
        <c:axId val="1204870832"/>
      </c:scatterChart>
      <c:valAx>
        <c:axId val="21312996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204870832"/>
        <c:crosses val="autoZero"/>
        <c:crossBetween val="midCat"/>
      </c:valAx>
      <c:valAx>
        <c:axId val="12048708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13129962"/>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Rail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Decarbonization'!$D$15:$J$15</c:f>
              <c:numCache>
                <c:formatCode>General</c:formatCode>
                <c:ptCount val="7"/>
                <c:pt idx="0">
                  <c:v>2020</c:v>
                </c:pt>
                <c:pt idx="1">
                  <c:v>2025</c:v>
                </c:pt>
                <c:pt idx="2">
                  <c:v>2030</c:v>
                </c:pt>
                <c:pt idx="3">
                  <c:v>2035</c:v>
                </c:pt>
                <c:pt idx="4">
                  <c:v>2040</c:v>
                </c:pt>
                <c:pt idx="5">
                  <c:v>2045</c:v>
                </c:pt>
                <c:pt idx="6">
                  <c:v>2050</c:v>
                </c:pt>
              </c:numCache>
            </c:numRef>
          </c:xVal>
          <c:yVal>
            <c:numRef>
              <c:f>'Deep Decarbonization'!$D$24:$J$24</c:f>
              <c:numCache>
                <c:formatCode>#,##0</c:formatCode>
                <c:ptCount val="7"/>
                <c:pt idx="0">
                  <c:v>28001</c:v>
                </c:pt>
                <c:pt idx="1">
                  <c:v>30425</c:v>
                </c:pt>
                <c:pt idx="2">
                  <c:v>33394</c:v>
                </c:pt>
                <c:pt idx="3">
                  <c:v>37015</c:v>
                </c:pt>
                <c:pt idx="4">
                  <c:v>41386</c:v>
                </c:pt>
                <c:pt idx="5">
                  <c:v>46601</c:v>
                </c:pt>
                <c:pt idx="6">
                  <c:v>52727</c:v>
                </c:pt>
              </c:numCache>
            </c:numRef>
          </c:yVal>
          <c:smooth val="1"/>
          <c:extLst>
            <c:ext xmlns:c16="http://schemas.microsoft.com/office/drawing/2014/chart" uri="{C3380CC4-5D6E-409C-BE32-E72D297353CC}">
              <c16:uniqueId val="{00000000-177A-D24D-9CE0-715B1F97C963}"/>
            </c:ext>
          </c:extLst>
        </c:ser>
        <c:dLbls>
          <c:showLegendKey val="0"/>
          <c:showVal val="0"/>
          <c:showCatName val="0"/>
          <c:showSerName val="0"/>
          <c:showPercent val="0"/>
          <c:showBubbleSize val="0"/>
        </c:dLbls>
        <c:axId val="1143018474"/>
        <c:axId val="414103584"/>
      </c:scatterChart>
      <c:valAx>
        <c:axId val="11430184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14103584"/>
        <c:crosses val="autoZero"/>
        <c:crossBetween val="midCat"/>
      </c:valAx>
      <c:valAx>
        <c:axId val="4141035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143018474"/>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Marine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exp"/>
            <c:dispRSqr val="1"/>
            <c:dispEq val="0"/>
            <c:trendlineLbl>
              <c:numFmt formatCode="General" sourceLinked="0"/>
            </c:trendlineLbl>
          </c:trendline>
          <c:xVal>
            <c:numRef>
              <c:f>'Deep Decarbonization'!$D$27:$J$27</c:f>
              <c:numCache>
                <c:formatCode>General</c:formatCode>
                <c:ptCount val="7"/>
                <c:pt idx="0">
                  <c:v>2020</c:v>
                </c:pt>
                <c:pt idx="1">
                  <c:v>2025</c:v>
                </c:pt>
                <c:pt idx="2">
                  <c:v>2030</c:v>
                </c:pt>
                <c:pt idx="3">
                  <c:v>2035</c:v>
                </c:pt>
                <c:pt idx="4">
                  <c:v>2040</c:v>
                </c:pt>
                <c:pt idx="5">
                  <c:v>2045</c:v>
                </c:pt>
                <c:pt idx="6">
                  <c:v>2050</c:v>
                </c:pt>
              </c:numCache>
            </c:numRef>
          </c:xVal>
          <c:yVal>
            <c:numRef>
              <c:f>'Deep Decarbonization'!$D$36:$J$36</c:f>
              <c:numCache>
                <c:formatCode>#,##0</c:formatCode>
                <c:ptCount val="7"/>
                <c:pt idx="0">
                  <c:v>6754</c:v>
                </c:pt>
                <c:pt idx="1">
                  <c:v>8781</c:v>
                </c:pt>
                <c:pt idx="2">
                  <c:v>11265</c:v>
                </c:pt>
                <c:pt idx="3">
                  <c:v>14258</c:v>
                </c:pt>
                <c:pt idx="4">
                  <c:v>17798</c:v>
                </c:pt>
                <c:pt idx="5">
                  <c:v>21921</c:v>
                </c:pt>
                <c:pt idx="6">
                  <c:v>26682</c:v>
                </c:pt>
              </c:numCache>
            </c:numRef>
          </c:yVal>
          <c:smooth val="1"/>
          <c:extLst>
            <c:ext xmlns:c16="http://schemas.microsoft.com/office/drawing/2014/chart" uri="{C3380CC4-5D6E-409C-BE32-E72D297353CC}">
              <c16:uniqueId val="{00000001-7600-ED4B-88B6-DE6819F01BD4}"/>
            </c:ext>
          </c:extLst>
        </c:ser>
        <c:dLbls>
          <c:showLegendKey val="0"/>
          <c:showVal val="0"/>
          <c:showCatName val="0"/>
          <c:showSerName val="0"/>
          <c:showPercent val="0"/>
          <c:showBubbleSize val="0"/>
        </c:dLbls>
        <c:axId val="1534885210"/>
        <c:axId val="595294770"/>
      </c:scatterChart>
      <c:valAx>
        <c:axId val="153488521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595294770"/>
        <c:crosses val="autoZero"/>
        <c:crossBetween val="midCat"/>
      </c:valAx>
      <c:valAx>
        <c:axId val="5952947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534885210"/>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Road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Decarbonization'!$O$3:$U$3</c:f>
              <c:numCache>
                <c:formatCode>General</c:formatCode>
                <c:ptCount val="7"/>
                <c:pt idx="0">
                  <c:v>2020</c:v>
                </c:pt>
                <c:pt idx="1">
                  <c:v>2025</c:v>
                </c:pt>
                <c:pt idx="2">
                  <c:v>2030</c:v>
                </c:pt>
                <c:pt idx="3">
                  <c:v>2035</c:v>
                </c:pt>
                <c:pt idx="4">
                  <c:v>2040</c:v>
                </c:pt>
                <c:pt idx="5">
                  <c:v>2045</c:v>
                </c:pt>
                <c:pt idx="6">
                  <c:v>2050</c:v>
                </c:pt>
              </c:numCache>
            </c:numRef>
          </c:xVal>
          <c:yVal>
            <c:numRef>
              <c:f>'Deep Decarbonization'!$O$12:$U$12</c:f>
              <c:numCache>
                <c:formatCode>#,##0</c:formatCode>
                <c:ptCount val="7"/>
                <c:pt idx="0">
                  <c:v>825646</c:v>
                </c:pt>
                <c:pt idx="1">
                  <c:v>828449</c:v>
                </c:pt>
                <c:pt idx="2">
                  <c:v>946509</c:v>
                </c:pt>
                <c:pt idx="3">
                  <c:v>1089087</c:v>
                </c:pt>
                <c:pt idx="4">
                  <c:v>1231664</c:v>
                </c:pt>
                <c:pt idx="5">
                  <c:v>1374243</c:v>
                </c:pt>
                <c:pt idx="6">
                  <c:v>1516820</c:v>
                </c:pt>
              </c:numCache>
            </c:numRef>
          </c:yVal>
          <c:smooth val="1"/>
          <c:extLst>
            <c:ext xmlns:c16="http://schemas.microsoft.com/office/drawing/2014/chart" uri="{C3380CC4-5D6E-409C-BE32-E72D297353CC}">
              <c16:uniqueId val="{00000000-60C0-F24E-9E63-469503D9492E}"/>
            </c:ext>
          </c:extLst>
        </c:ser>
        <c:dLbls>
          <c:showLegendKey val="0"/>
          <c:showVal val="0"/>
          <c:showCatName val="0"/>
          <c:showSerName val="0"/>
          <c:showPercent val="0"/>
          <c:showBubbleSize val="0"/>
        </c:dLbls>
        <c:axId val="1200573680"/>
        <c:axId val="1495009519"/>
      </c:scatterChart>
      <c:valAx>
        <c:axId val="120057368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495009519"/>
        <c:crosses val="autoZero"/>
        <c:crossBetween val="midCat"/>
      </c:valAx>
      <c:valAx>
        <c:axId val="14950095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200573680"/>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Rail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Decarbonization'!$O$15:$U$15</c:f>
              <c:numCache>
                <c:formatCode>General</c:formatCode>
                <c:ptCount val="7"/>
                <c:pt idx="0">
                  <c:v>2020</c:v>
                </c:pt>
                <c:pt idx="1">
                  <c:v>2025</c:v>
                </c:pt>
                <c:pt idx="2">
                  <c:v>2030</c:v>
                </c:pt>
                <c:pt idx="3">
                  <c:v>2035</c:v>
                </c:pt>
                <c:pt idx="4">
                  <c:v>2040</c:v>
                </c:pt>
                <c:pt idx="5">
                  <c:v>2045</c:v>
                </c:pt>
                <c:pt idx="6">
                  <c:v>2050</c:v>
                </c:pt>
              </c:numCache>
            </c:numRef>
          </c:xVal>
          <c:yVal>
            <c:numRef>
              <c:f>'Deep Decarbonization'!$O$24:$U$24</c:f>
              <c:numCache>
                <c:formatCode>#,##0</c:formatCode>
                <c:ptCount val="7"/>
                <c:pt idx="0">
                  <c:v>15098</c:v>
                </c:pt>
                <c:pt idx="1">
                  <c:v>16086</c:v>
                </c:pt>
                <c:pt idx="2">
                  <c:v>17261</c:v>
                </c:pt>
                <c:pt idx="3">
                  <c:v>18679</c:v>
                </c:pt>
                <c:pt idx="4">
                  <c:v>20417</c:v>
                </c:pt>
                <c:pt idx="5">
                  <c:v>22570</c:v>
                </c:pt>
                <c:pt idx="6">
                  <c:v>25285</c:v>
                </c:pt>
              </c:numCache>
            </c:numRef>
          </c:yVal>
          <c:smooth val="1"/>
          <c:extLst>
            <c:ext xmlns:c16="http://schemas.microsoft.com/office/drawing/2014/chart" uri="{C3380CC4-5D6E-409C-BE32-E72D297353CC}">
              <c16:uniqueId val="{00000000-7F1B-2141-B8BB-97737E49F153}"/>
            </c:ext>
          </c:extLst>
        </c:ser>
        <c:dLbls>
          <c:showLegendKey val="0"/>
          <c:showVal val="0"/>
          <c:showCatName val="0"/>
          <c:showSerName val="0"/>
          <c:showPercent val="0"/>
          <c:showBubbleSize val="0"/>
        </c:dLbls>
        <c:axId val="950206040"/>
        <c:axId val="1001973326"/>
      </c:scatterChart>
      <c:valAx>
        <c:axId val="95020604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01973326"/>
        <c:crosses val="autoZero"/>
        <c:crossBetween val="midCat"/>
      </c:valAx>
      <c:valAx>
        <c:axId val="10019733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50206040"/>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Marine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exp"/>
            <c:dispRSqr val="1"/>
            <c:dispEq val="0"/>
            <c:trendlineLbl>
              <c:numFmt formatCode="General" sourceLinked="0"/>
            </c:trendlineLbl>
          </c:trendline>
          <c:xVal>
            <c:numRef>
              <c:f>'Deep Decarbonization'!$O$27:$U$27</c:f>
              <c:numCache>
                <c:formatCode>General</c:formatCode>
                <c:ptCount val="7"/>
                <c:pt idx="0">
                  <c:v>2020</c:v>
                </c:pt>
                <c:pt idx="1">
                  <c:v>2025</c:v>
                </c:pt>
                <c:pt idx="2">
                  <c:v>2030</c:v>
                </c:pt>
                <c:pt idx="3">
                  <c:v>2035</c:v>
                </c:pt>
                <c:pt idx="4">
                  <c:v>2040</c:v>
                </c:pt>
                <c:pt idx="5">
                  <c:v>2045</c:v>
                </c:pt>
                <c:pt idx="6">
                  <c:v>2050</c:v>
                </c:pt>
              </c:numCache>
            </c:numRef>
          </c:xVal>
          <c:yVal>
            <c:numRef>
              <c:f>'Deep Decarbonization'!$O$36:$U$36</c:f>
              <c:numCache>
                <c:formatCode>#,##0</c:formatCode>
                <c:ptCount val="7"/>
                <c:pt idx="0">
                  <c:v>2712640</c:v>
                </c:pt>
                <c:pt idx="1">
                  <c:v>3376210</c:v>
                </c:pt>
                <c:pt idx="2">
                  <c:v>4183575</c:v>
                </c:pt>
                <c:pt idx="3">
                  <c:v>5162477</c:v>
                </c:pt>
                <c:pt idx="4">
                  <c:v>6337496</c:v>
                </c:pt>
                <c:pt idx="5">
                  <c:v>7742570</c:v>
                </c:pt>
                <c:pt idx="6">
                  <c:v>9429572</c:v>
                </c:pt>
              </c:numCache>
            </c:numRef>
          </c:yVal>
          <c:smooth val="1"/>
          <c:extLst>
            <c:ext xmlns:c16="http://schemas.microsoft.com/office/drawing/2014/chart" uri="{C3380CC4-5D6E-409C-BE32-E72D297353CC}">
              <c16:uniqueId val="{00000001-12FC-FF45-832B-FA312FD0BD0B}"/>
            </c:ext>
          </c:extLst>
        </c:ser>
        <c:dLbls>
          <c:showLegendKey val="0"/>
          <c:showVal val="0"/>
          <c:showCatName val="0"/>
          <c:showSerName val="0"/>
          <c:showPercent val="0"/>
          <c:showBubbleSize val="0"/>
        </c:dLbls>
        <c:axId val="973277444"/>
        <c:axId val="47887936"/>
      </c:scatterChart>
      <c:valAx>
        <c:axId val="9732774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7887936"/>
        <c:crosses val="autoZero"/>
        <c:crossBetween val="midCat"/>
      </c:valAx>
      <c:valAx>
        <c:axId val="478879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73277444"/>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Aviation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Decarbonization'!$D$39:$J$39</c:f>
              <c:numCache>
                <c:formatCode>General</c:formatCode>
                <c:ptCount val="7"/>
                <c:pt idx="0">
                  <c:v>2020</c:v>
                </c:pt>
                <c:pt idx="1">
                  <c:v>2025</c:v>
                </c:pt>
                <c:pt idx="2">
                  <c:v>2030</c:v>
                </c:pt>
                <c:pt idx="3">
                  <c:v>2035</c:v>
                </c:pt>
                <c:pt idx="4">
                  <c:v>2040</c:v>
                </c:pt>
                <c:pt idx="5">
                  <c:v>2045</c:v>
                </c:pt>
                <c:pt idx="6">
                  <c:v>2050</c:v>
                </c:pt>
              </c:numCache>
            </c:numRef>
          </c:xVal>
          <c:yVal>
            <c:numRef>
              <c:f>'Deep Decarbonization'!$D$48:$J$48</c:f>
              <c:numCache>
                <c:formatCode>#,##0</c:formatCode>
                <c:ptCount val="7"/>
                <c:pt idx="0">
                  <c:v>124600</c:v>
                </c:pt>
                <c:pt idx="1">
                  <c:v>158471</c:v>
                </c:pt>
                <c:pt idx="2">
                  <c:v>205850</c:v>
                </c:pt>
                <c:pt idx="3">
                  <c:v>252636</c:v>
                </c:pt>
                <c:pt idx="4">
                  <c:v>329669</c:v>
                </c:pt>
                <c:pt idx="5">
                  <c:v>409986</c:v>
                </c:pt>
                <c:pt idx="6">
                  <c:v>486057</c:v>
                </c:pt>
              </c:numCache>
            </c:numRef>
          </c:yVal>
          <c:smooth val="1"/>
          <c:extLst>
            <c:ext xmlns:c16="http://schemas.microsoft.com/office/drawing/2014/chart" uri="{C3380CC4-5D6E-409C-BE32-E72D297353CC}">
              <c16:uniqueId val="{00000000-25E6-E741-B6B3-5639F5E6C7B4}"/>
            </c:ext>
          </c:extLst>
        </c:ser>
        <c:dLbls>
          <c:showLegendKey val="0"/>
          <c:showVal val="0"/>
          <c:showCatName val="0"/>
          <c:showSerName val="0"/>
          <c:showPercent val="0"/>
          <c:showBubbleSize val="0"/>
        </c:dLbls>
        <c:axId val="1724455866"/>
        <c:axId val="743529682"/>
      </c:scatterChart>
      <c:valAx>
        <c:axId val="172445586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743529682"/>
        <c:crosses val="autoZero"/>
        <c:crossBetween val="midCat"/>
      </c:valAx>
      <c:valAx>
        <c:axId val="74352968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724455866"/>
        <c:crosses val="autoZero"/>
        <c:crossBetween val="midCat"/>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Aviation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Decarbonization'!$O$39:$U$39</c:f>
              <c:numCache>
                <c:formatCode>General</c:formatCode>
                <c:ptCount val="7"/>
                <c:pt idx="0">
                  <c:v>2020</c:v>
                </c:pt>
                <c:pt idx="1">
                  <c:v>2025</c:v>
                </c:pt>
                <c:pt idx="2">
                  <c:v>2030</c:v>
                </c:pt>
                <c:pt idx="3">
                  <c:v>2035</c:v>
                </c:pt>
                <c:pt idx="4">
                  <c:v>2040</c:v>
                </c:pt>
                <c:pt idx="5">
                  <c:v>2045</c:v>
                </c:pt>
                <c:pt idx="6">
                  <c:v>2050</c:v>
                </c:pt>
              </c:numCache>
            </c:numRef>
          </c:xVal>
          <c:yVal>
            <c:numRef>
              <c:f>'Deep Decarbonization'!$O$48:$U$48</c:f>
              <c:numCache>
                <c:formatCode>#,##0</c:formatCode>
                <c:ptCount val="7"/>
                <c:pt idx="0">
                  <c:v>10719</c:v>
                </c:pt>
                <c:pt idx="1">
                  <c:v>15142</c:v>
                </c:pt>
                <c:pt idx="2">
                  <c:v>21231</c:v>
                </c:pt>
                <c:pt idx="3">
                  <c:v>29494</c:v>
                </c:pt>
                <c:pt idx="4">
                  <c:v>41218</c:v>
                </c:pt>
                <c:pt idx="5">
                  <c:v>56029</c:v>
                </c:pt>
                <c:pt idx="6">
                  <c:v>73626</c:v>
                </c:pt>
              </c:numCache>
            </c:numRef>
          </c:yVal>
          <c:smooth val="1"/>
          <c:extLst>
            <c:ext xmlns:c16="http://schemas.microsoft.com/office/drawing/2014/chart" uri="{C3380CC4-5D6E-409C-BE32-E72D297353CC}">
              <c16:uniqueId val="{00000000-97B4-AA43-9DBF-CFA763AEAE93}"/>
            </c:ext>
          </c:extLst>
        </c:ser>
        <c:dLbls>
          <c:showLegendKey val="0"/>
          <c:showVal val="0"/>
          <c:showCatName val="0"/>
          <c:showSerName val="0"/>
          <c:showPercent val="0"/>
          <c:showBubbleSize val="0"/>
        </c:dLbls>
        <c:axId val="994062823"/>
        <c:axId val="1509885441"/>
      </c:scatterChart>
      <c:valAx>
        <c:axId val="99406282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09885441"/>
        <c:crosses val="autoZero"/>
        <c:crossBetween val="midCat"/>
      </c:valAx>
      <c:valAx>
        <c:axId val="15098854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94062823"/>
        <c:crosses val="autoZero"/>
        <c:crossBetween val="midCat"/>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54</xdr:row>
      <xdr:rowOff>19050</xdr:rowOff>
    </xdr:from>
    <xdr:ext cx="4448175" cy="2714625"/>
    <xdr:graphicFrame macro="">
      <xdr:nvGraphicFramePr>
        <xdr:cNvPr id="1027723011" name="Chart 1">
          <a:extLst>
            <a:ext uri="{FF2B5EF4-FFF2-40B4-BE49-F238E27FC236}">
              <a16:creationId xmlns:a16="http://schemas.microsoft.com/office/drawing/2014/main" id="{00000000-0008-0000-0200-000003CF4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0</xdr:colOff>
      <xdr:row>54</xdr:row>
      <xdr:rowOff>9525</xdr:rowOff>
    </xdr:from>
    <xdr:ext cx="4448175" cy="2714625"/>
    <xdr:graphicFrame macro="">
      <xdr:nvGraphicFramePr>
        <xdr:cNvPr id="657543001" name="Chart 2">
          <a:extLst>
            <a:ext uri="{FF2B5EF4-FFF2-40B4-BE49-F238E27FC236}">
              <a16:creationId xmlns:a16="http://schemas.microsoft.com/office/drawing/2014/main" id="{00000000-0008-0000-0200-0000594F3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790575</xdr:colOff>
      <xdr:row>54</xdr:row>
      <xdr:rowOff>19050</xdr:rowOff>
    </xdr:from>
    <xdr:ext cx="4238625" cy="2714625"/>
    <xdr:graphicFrame macro="">
      <xdr:nvGraphicFramePr>
        <xdr:cNvPr id="773561005" name="Chart 3">
          <a:extLst>
            <a:ext uri="{FF2B5EF4-FFF2-40B4-BE49-F238E27FC236}">
              <a16:creationId xmlns:a16="http://schemas.microsoft.com/office/drawing/2014/main" id="{00000000-0008-0000-0200-0000AD9A1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9525</xdr:colOff>
      <xdr:row>70</xdr:row>
      <xdr:rowOff>0</xdr:rowOff>
    </xdr:from>
    <xdr:ext cx="4448175" cy="2714625"/>
    <xdr:graphicFrame macro="">
      <xdr:nvGraphicFramePr>
        <xdr:cNvPr id="1602794650" name="Chart 4">
          <a:extLst>
            <a:ext uri="{FF2B5EF4-FFF2-40B4-BE49-F238E27FC236}">
              <a16:creationId xmlns:a16="http://schemas.microsoft.com/office/drawing/2014/main" id="{00000000-0008-0000-0200-00009AB48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38100</xdr:colOff>
      <xdr:row>69</xdr:row>
      <xdr:rowOff>171450</xdr:rowOff>
    </xdr:from>
    <xdr:ext cx="4448175" cy="2714625"/>
    <xdr:graphicFrame macro="">
      <xdr:nvGraphicFramePr>
        <xdr:cNvPr id="201895909" name="Chart 5">
          <a:extLst>
            <a:ext uri="{FF2B5EF4-FFF2-40B4-BE49-F238E27FC236}">
              <a16:creationId xmlns:a16="http://schemas.microsoft.com/office/drawing/2014/main" id="{00000000-0008-0000-0200-0000E5AF0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12</xdr:col>
      <xdr:colOff>971550</xdr:colOff>
      <xdr:row>70</xdr:row>
      <xdr:rowOff>38100</xdr:rowOff>
    </xdr:from>
    <xdr:ext cx="4238625" cy="2714625"/>
    <xdr:graphicFrame macro="">
      <xdr:nvGraphicFramePr>
        <xdr:cNvPr id="1463388148" name="Chart 6">
          <a:extLst>
            <a:ext uri="{FF2B5EF4-FFF2-40B4-BE49-F238E27FC236}">
              <a16:creationId xmlns:a16="http://schemas.microsoft.com/office/drawing/2014/main" id="{00000000-0008-0000-0200-0000F4873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123825</xdr:colOff>
      <xdr:row>86</xdr:row>
      <xdr:rowOff>0</xdr:rowOff>
    </xdr:from>
    <xdr:ext cx="4400550" cy="2686050"/>
    <xdr:graphicFrame macro="">
      <xdr:nvGraphicFramePr>
        <xdr:cNvPr id="1687603315" name="Chart 7">
          <a:extLst>
            <a:ext uri="{FF2B5EF4-FFF2-40B4-BE49-F238E27FC236}">
              <a16:creationId xmlns:a16="http://schemas.microsoft.com/office/drawing/2014/main" id="{00000000-0008-0000-0200-000073C89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104775</xdr:colOff>
      <xdr:row>86</xdr:row>
      <xdr:rowOff>57150</xdr:rowOff>
    </xdr:from>
    <xdr:ext cx="4448175" cy="2714625"/>
    <xdr:graphicFrame macro="">
      <xdr:nvGraphicFramePr>
        <xdr:cNvPr id="544390873" name="Chart 8">
          <a:extLst>
            <a:ext uri="{FF2B5EF4-FFF2-40B4-BE49-F238E27FC236}">
              <a16:creationId xmlns:a16="http://schemas.microsoft.com/office/drawing/2014/main" id="{00000000-0008-0000-0200-0000D9BE7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pustaka/deep-decarbonization-of-indonesias-energy-system-a-pathway-to-zero-emissions-by-205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baseColWidth="10" defaultColWidth="14.5" defaultRowHeight="15" customHeight="1" x14ac:dyDescent="0.2"/>
  <cols>
    <col min="1" max="1" width="8.6640625" customWidth="1"/>
    <col min="2" max="2" width="68.6640625" customWidth="1"/>
    <col min="3" max="26" width="8.6640625" customWidth="1"/>
  </cols>
  <sheetData>
    <row r="1" spans="1:2" ht="14.25" customHeight="1" x14ac:dyDescent="0.2">
      <c r="A1" s="1" t="s">
        <v>0</v>
      </c>
    </row>
    <row r="2" spans="1:2" ht="14.25" customHeight="1" x14ac:dyDescent="0.2"/>
    <row r="3" spans="1:2" ht="14.25" customHeight="1" x14ac:dyDescent="0.2">
      <c r="A3" s="1" t="s">
        <v>1</v>
      </c>
      <c r="B3" s="2" t="s">
        <v>2</v>
      </c>
    </row>
    <row r="4" spans="1:2" ht="14.25" customHeight="1" x14ac:dyDescent="0.2">
      <c r="B4" s="3" t="s">
        <v>3</v>
      </c>
    </row>
    <row r="5" spans="1:2" ht="14.25" customHeight="1" x14ac:dyDescent="0.2"/>
    <row r="6" spans="1:2" ht="14.25" customHeight="1" x14ac:dyDescent="0.2">
      <c r="B6" s="2" t="s">
        <v>4</v>
      </c>
    </row>
    <row r="7" spans="1:2" ht="14.25" customHeight="1" x14ac:dyDescent="0.2">
      <c r="B7" s="3" t="s">
        <v>5</v>
      </c>
    </row>
    <row r="8" spans="1:2" ht="14.25" customHeight="1" x14ac:dyDescent="0.2">
      <c r="B8" s="4">
        <v>2021</v>
      </c>
    </row>
    <row r="9" spans="1:2" ht="14.25" customHeight="1" x14ac:dyDescent="0.2">
      <c r="B9" s="3" t="s">
        <v>6</v>
      </c>
    </row>
    <row r="10" spans="1:2" ht="14.25" customHeight="1" x14ac:dyDescent="0.2">
      <c r="B10" s="5" t="s">
        <v>7</v>
      </c>
    </row>
    <row r="11" spans="1:2" ht="14.25" customHeight="1" x14ac:dyDescent="0.2">
      <c r="B11" s="3" t="s">
        <v>8</v>
      </c>
    </row>
    <row r="12" spans="1:2" ht="14.25" customHeight="1" x14ac:dyDescent="0.2"/>
    <row r="13" spans="1:2" ht="14.25" customHeight="1" x14ac:dyDescent="0.2">
      <c r="B13" s="6" t="s">
        <v>9</v>
      </c>
    </row>
    <row r="14" spans="1:2" ht="14.25" customHeight="1" x14ac:dyDescent="0.2">
      <c r="B14" s="3" t="s">
        <v>10</v>
      </c>
    </row>
    <row r="15" spans="1:2" ht="14.25" customHeight="1" x14ac:dyDescent="0.2">
      <c r="B15" s="4"/>
    </row>
    <row r="16" spans="1:2" ht="14.25" customHeight="1" x14ac:dyDescent="0.2">
      <c r="A16" s="1" t="s">
        <v>11</v>
      </c>
      <c r="B16" s="7"/>
    </row>
    <row r="17" spans="1:2" ht="18.75" customHeight="1" x14ac:dyDescent="0.2">
      <c r="A17" s="34" t="s">
        <v>12</v>
      </c>
      <c r="B17" s="35"/>
    </row>
    <row r="18" spans="1:2" ht="18.75" customHeight="1" x14ac:dyDescent="0.2">
      <c r="A18" s="35"/>
      <c r="B18" s="35"/>
    </row>
    <row r="19" spans="1:2" ht="18.75" customHeight="1" x14ac:dyDescent="0.2">
      <c r="A19" s="35"/>
      <c r="B19" s="35"/>
    </row>
    <row r="20" spans="1:2" ht="18.75" customHeight="1" x14ac:dyDescent="0.2">
      <c r="A20" s="35"/>
      <c r="B20" s="35"/>
    </row>
    <row r="21" spans="1:2" ht="18.75" customHeight="1" x14ac:dyDescent="0.2">
      <c r="A21" s="35"/>
      <c r="B21" s="35"/>
    </row>
    <row r="22" spans="1:2" ht="82.5" customHeight="1" x14ac:dyDescent="0.2">
      <c r="A22" s="35"/>
      <c r="B22" s="35"/>
    </row>
    <row r="23" spans="1:2" ht="14.25" customHeight="1" x14ac:dyDescent="0.2"/>
    <row r="24" spans="1:2" ht="14.25" customHeight="1" x14ac:dyDescent="0.2">
      <c r="A24" s="3" t="s">
        <v>13</v>
      </c>
      <c r="B24" s="3">
        <v>2019</v>
      </c>
    </row>
    <row r="25" spans="1:2" ht="14.25" customHeight="1" x14ac:dyDescent="0.2"/>
    <row r="26" spans="1:2" ht="14.25" customHeight="1" x14ac:dyDescent="0.2"/>
    <row r="27" spans="1:2" ht="14.25" customHeight="1" x14ac:dyDescent="0.2"/>
    <row r="28" spans="1:2" ht="14.25" customHeight="1" x14ac:dyDescent="0.2"/>
    <row r="29" spans="1:2" ht="14.25" customHeight="1" x14ac:dyDescent="0.2"/>
    <row r="30" spans="1:2" ht="14.25" customHeight="1" x14ac:dyDescent="0.2"/>
    <row r="31" spans="1:2" ht="14.25" customHeight="1" x14ac:dyDescent="0.2"/>
    <row r="32" spans="1: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7:B22"/>
  </mergeCells>
  <hyperlinks>
    <hyperlink ref="B10"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H38"/>
  <sheetViews>
    <sheetView workbookViewId="0"/>
  </sheetViews>
  <sheetFormatPr baseColWidth="10" defaultColWidth="14.5" defaultRowHeight="15" customHeight="1" x14ac:dyDescent="0.2"/>
  <sheetData>
    <row r="1" spans="2:8" x14ac:dyDescent="0.2">
      <c r="B1" s="3" t="s">
        <v>14</v>
      </c>
    </row>
    <row r="2" spans="2:8" x14ac:dyDescent="0.2">
      <c r="B2" s="8"/>
    </row>
    <row r="3" spans="2:8" x14ac:dyDescent="0.2">
      <c r="B3" s="8" t="s">
        <v>15</v>
      </c>
    </row>
    <row r="4" spans="2:8" x14ac:dyDescent="0.2">
      <c r="B4" s="9" t="s">
        <v>16</v>
      </c>
      <c r="C4" s="9" t="s">
        <v>17</v>
      </c>
      <c r="D4" s="9">
        <v>2012</v>
      </c>
      <c r="E4" s="9">
        <v>2013</v>
      </c>
      <c r="F4" s="9">
        <v>2014</v>
      </c>
      <c r="G4" s="9">
        <v>2015</v>
      </c>
      <c r="H4" s="9" t="s">
        <v>18</v>
      </c>
    </row>
    <row r="5" spans="2:8" x14ac:dyDescent="0.2">
      <c r="B5" s="10"/>
      <c r="C5" s="10" t="s">
        <v>19</v>
      </c>
      <c r="D5" s="10">
        <f t="shared" ref="D5:G5" si="0">SUM(D6:D38)</f>
        <v>417180</v>
      </c>
      <c r="E5" s="10">
        <f t="shared" si="0"/>
        <v>384145</v>
      </c>
      <c r="F5" s="10">
        <f t="shared" si="0"/>
        <v>359461</v>
      </c>
      <c r="G5" s="10">
        <f t="shared" si="0"/>
        <v>343869</v>
      </c>
      <c r="H5" s="10"/>
    </row>
    <row r="6" spans="2:8" x14ac:dyDescent="0.2">
      <c r="B6" s="10">
        <v>1</v>
      </c>
      <c r="C6" s="10" t="s">
        <v>20</v>
      </c>
      <c r="D6" s="10">
        <v>8902</v>
      </c>
      <c r="E6" s="10">
        <v>7867</v>
      </c>
      <c r="F6" s="10">
        <v>7113</v>
      </c>
      <c r="G6" s="10">
        <v>6647</v>
      </c>
      <c r="H6" s="10" t="s">
        <v>21</v>
      </c>
    </row>
    <row r="7" spans="2:8" x14ac:dyDescent="0.2">
      <c r="B7" s="10">
        <v>2</v>
      </c>
      <c r="C7" s="10" t="s">
        <v>22</v>
      </c>
      <c r="D7" s="11">
        <v>11962</v>
      </c>
      <c r="E7" s="11">
        <v>11319</v>
      </c>
      <c r="F7" s="11">
        <v>10822</v>
      </c>
      <c r="G7" s="11">
        <v>10499</v>
      </c>
      <c r="H7" s="10" t="s">
        <v>23</v>
      </c>
    </row>
    <row r="8" spans="2:8" x14ac:dyDescent="0.2">
      <c r="B8" s="10">
        <v>3</v>
      </c>
      <c r="C8" s="10" t="s">
        <v>24</v>
      </c>
      <c r="D8" s="11">
        <v>15432</v>
      </c>
      <c r="E8" s="11">
        <v>13916</v>
      </c>
      <c r="F8" s="11">
        <v>12791</v>
      </c>
      <c r="G8" s="11">
        <v>12085</v>
      </c>
      <c r="H8" s="10" t="s">
        <v>25</v>
      </c>
    </row>
    <row r="9" spans="2:8" x14ac:dyDescent="0.2">
      <c r="B9" s="10">
        <v>4</v>
      </c>
      <c r="C9" s="10" t="s">
        <v>26</v>
      </c>
      <c r="D9" s="10">
        <v>9623</v>
      </c>
      <c r="E9" s="10">
        <v>9142</v>
      </c>
      <c r="F9" s="10">
        <v>8768</v>
      </c>
      <c r="G9" s="10">
        <v>8525</v>
      </c>
      <c r="H9" s="10" t="s">
        <v>27</v>
      </c>
    </row>
    <row r="10" spans="2:8" x14ac:dyDescent="0.2">
      <c r="B10" s="10">
        <v>5</v>
      </c>
      <c r="C10" s="10" t="s">
        <v>28</v>
      </c>
      <c r="D10" s="10">
        <v>5827</v>
      </c>
      <c r="E10" s="10">
        <v>5182</v>
      </c>
      <c r="F10" s="10">
        <v>4710</v>
      </c>
      <c r="G10" s="10">
        <v>4416</v>
      </c>
      <c r="H10" s="10" t="s">
        <v>29</v>
      </c>
    </row>
    <row r="11" spans="2:8" x14ac:dyDescent="0.2">
      <c r="B11" s="10">
        <v>6</v>
      </c>
      <c r="C11" s="10" t="s">
        <v>30</v>
      </c>
      <c r="D11" s="10">
        <v>6799</v>
      </c>
      <c r="E11" s="10">
        <v>6110</v>
      </c>
      <c r="F11" s="10">
        <v>5600</v>
      </c>
      <c r="G11" s="10">
        <v>5281</v>
      </c>
      <c r="H11" s="10" t="s">
        <v>31</v>
      </c>
    </row>
    <row r="12" spans="2:8" x14ac:dyDescent="0.2">
      <c r="B12" s="10">
        <v>7</v>
      </c>
      <c r="C12" s="10" t="s">
        <v>32</v>
      </c>
      <c r="D12" s="11">
        <v>10242</v>
      </c>
      <c r="E12" s="10">
        <v>9574</v>
      </c>
      <c r="F12" s="10">
        <v>9062</v>
      </c>
      <c r="G12" s="10">
        <v>8733</v>
      </c>
      <c r="H12" s="10" t="s">
        <v>33</v>
      </c>
    </row>
    <row r="13" spans="2:8" x14ac:dyDescent="0.2">
      <c r="B13" s="10">
        <v>8</v>
      </c>
      <c r="C13" s="10" t="s">
        <v>34</v>
      </c>
      <c r="D13" s="11">
        <v>16858</v>
      </c>
      <c r="E13" s="11">
        <v>15591</v>
      </c>
      <c r="F13" s="11">
        <v>14629</v>
      </c>
      <c r="G13" s="11">
        <v>14014</v>
      </c>
      <c r="H13" s="10" t="s">
        <v>35</v>
      </c>
    </row>
    <row r="14" spans="2:8" x14ac:dyDescent="0.2">
      <c r="B14" s="10">
        <v>9</v>
      </c>
      <c r="C14" s="10" t="s">
        <v>36</v>
      </c>
      <c r="D14" s="11">
        <v>17743</v>
      </c>
      <c r="E14" s="11">
        <v>15363</v>
      </c>
      <c r="F14" s="11">
        <v>13660</v>
      </c>
      <c r="G14" s="11">
        <v>12621</v>
      </c>
      <c r="H14" s="10" t="s">
        <v>37</v>
      </c>
    </row>
    <row r="15" spans="2:8" x14ac:dyDescent="0.2">
      <c r="B15" s="10">
        <v>10</v>
      </c>
      <c r="C15" s="10" t="s">
        <v>38</v>
      </c>
      <c r="D15" s="11">
        <v>10563</v>
      </c>
      <c r="E15" s="10">
        <v>9909</v>
      </c>
      <c r="F15" s="10">
        <v>9406</v>
      </c>
      <c r="G15" s="10">
        <v>9082</v>
      </c>
      <c r="H15" s="10" t="s">
        <v>39</v>
      </c>
    </row>
    <row r="16" spans="2:8" x14ac:dyDescent="0.2">
      <c r="B16" s="10">
        <v>11</v>
      </c>
      <c r="C16" s="10" t="s">
        <v>40</v>
      </c>
      <c r="D16" s="10">
        <v>4762</v>
      </c>
      <c r="E16" s="10">
        <v>4334</v>
      </c>
      <c r="F16" s="10">
        <v>4013</v>
      </c>
      <c r="G16" s="10">
        <v>3811</v>
      </c>
      <c r="H16" s="10" t="s">
        <v>41</v>
      </c>
    </row>
    <row r="17" spans="2:8" x14ac:dyDescent="0.2">
      <c r="B17" s="10">
        <v>12</v>
      </c>
      <c r="C17" s="10" t="s">
        <v>42</v>
      </c>
      <c r="D17" s="11">
        <v>33674</v>
      </c>
      <c r="E17" s="11">
        <v>31320</v>
      </c>
      <c r="F17" s="11">
        <v>29523</v>
      </c>
      <c r="G17" s="11">
        <v>28371</v>
      </c>
      <c r="H17" s="10" t="s">
        <v>43</v>
      </c>
    </row>
    <row r="18" spans="2:8" x14ac:dyDescent="0.2">
      <c r="B18" s="10">
        <v>13</v>
      </c>
      <c r="C18" s="10" t="s">
        <v>44</v>
      </c>
      <c r="D18" s="11">
        <v>10753</v>
      </c>
      <c r="E18" s="11">
        <v>10106</v>
      </c>
      <c r="F18" s="10">
        <v>9608</v>
      </c>
      <c r="G18" s="10">
        <v>9286</v>
      </c>
      <c r="H18" s="10" t="s">
        <v>45</v>
      </c>
    </row>
    <row r="19" spans="2:8" x14ac:dyDescent="0.2">
      <c r="B19" s="10">
        <v>14</v>
      </c>
      <c r="C19" s="10" t="s">
        <v>46</v>
      </c>
      <c r="D19" s="10">
        <v>5231</v>
      </c>
      <c r="E19" s="10">
        <v>4638</v>
      </c>
      <c r="F19" s="10">
        <v>4204</v>
      </c>
      <c r="G19" s="10">
        <v>3935</v>
      </c>
      <c r="H19" s="10" t="s">
        <v>47</v>
      </c>
    </row>
    <row r="20" spans="2:8" x14ac:dyDescent="0.2">
      <c r="B20" s="10">
        <v>15</v>
      </c>
      <c r="C20" s="10" t="s">
        <v>48</v>
      </c>
      <c r="D20" s="11">
        <v>10641</v>
      </c>
      <c r="E20" s="11">
        <v>10024</v>
      </c>
      <c r="F20" s="10">
        <v>9547</v>
      </c>
      <c r="G20" s="10">
        <v>9239</v>
      </c>
      <c r="H20" s="10" t="s">
        <v>49</v>
      </c>
    </row>
    <row r="21" spans="2:8" x14ac:dyDescent="0.2">
      <c r="B21" s="10">
        <v>16</v>
      </c>
      <c r="C21" s="10" t="s">
        <v>50</v>
      </c>
      <c r="D21" s="11">
        <v>48432</v>
      </c>
      <c r="E21" s="11">
        <v>44062</v>
      </c>
      <c r="F21" s="11">
        <v>40793</v>
      </c>
      <c r="G21" s="11">
        <v>38728</v>
      </c>
      <c r="H21" s="10" t="s">
        <v>51</v>
      </c>
    </row>
    <row r="22" spans="2:8" x14ac:dyDescent="0.2">
      <c r="B22" s="10">
        <v>17</v>
      </c>
      <c r="C22" s="10" t="s">
        <v>52</v>
      </c>
      <c r="D22" s="10">
        <v>6612</v>
      </c>
      <c r="E22" s="10">
        <v>5917</v>
      </c>
      <c r="F22" s="10">
        <v>5404</v>
      </c>
      <c r="G22" s="10">
        <v>5084</v>
      </c>
      <c r="H22" s="10" t="s">
        <v>53</v>
      </c>
    </row>
    <row r="23" spans="2:8" x14ac:dyDescent="0.2">
      <c r="B23" s="10">
        <v>18</v>
      </c>
      <c r="C23" s="10" t="s">
        <v>54</v>
      </c>
      <c r="D23" s="10">
        <v>8213</v>
      </c>
      <c r="E23" s="10">
        <v>7953</v>
      </c>
      <c r="F23" s="10">
        <v>7748</v>
      </c>
      <c r="G23" s="10">
        <v>7612</v>
      </c>
      <c r="H23" s="10" t="s">
        <v>55</v>
      </c>
    </row>
    <row r="24" spans="2:8" x14ac:dyDescent="0.2">
      <c r="B24" s="10">
        <v>19</v>
      </c>
      <c r="C24" s="10" t="s">
        <v>56</v>
      </c>
      <c r="D24" s="10">
        <v>6994</v>
      </c>
      <c r="E24" s="10">
        <v>6594</v>
      </c>
      <c r="F24" s="10">
        <v>6285</v>
      </c>
      <c r="G24" s="10">
        <v>6085</v>
      </c>
      <c r="H24" s="10" t="s">
        <v>57</v>
      </c>
    </row>
    <row r="25" spans="2:8" x14ac:dyDescent="0.2">
      <c r="B25" s="10">
        <v>20</v>
      </c>
      <c r="C25" s="10" t="s">
        <v>58</v>
      </c>
      <c r="D25" s="10">
        <v>7740</v>
      </c>
      <c r="E25" s="10">
        <v>7131</v>
      </c>
      <c r="F25" s="10">
        <v>6671</v>
      </c>
      <c r="G25" s="10">
        <v>6378</v>
      </c>
      <c r="H25" s="10" t="s">
        <v>59</v>
      </c>
    </row>
    <row r="26" spans="2:8" x14ac:dyDescent="0.2">
      <c r="B26" s="10">
        <v>21</v>
      </c>
      <c r="C26" s="10" t="s">
        <v>60</v>
      </c>
      <c r="D26" s="10">
        <v>7889</v>
      </c>
      <c r="E26" s="10">
        <v>7311</v>
      </c>
      <c r="F26" s="10">
        <v>6872</v>
      </c>
      <c r="G26" s="10">
        <v>6590</v>
      </c>
      <c r="H26" s="10" t="s">
        <v>61</v>
      </c>
    </row>
    <row r="27" spans="2:8" x14ac:dyDescent="0.2">
      <c r="B27" s="10">
        <v>22</v>
      </c>
      <c r="C27" s="10" t="s">
        <v>62</v>
      </c>
      <c r="D27" s="11">
        <v>10001</v>
      </c>
      <c r="E27" s="10">
        <v>9326</v>
      </c>
      <c r="F27" s="10">
        <v>8810</v>
      </c>
      <c r="G27" s="10">
        <v>8478</v>
      </c>
      <c r="H27" s="10" t="s">
        <v>63</v>
      </c>
    </row>
    <row r="28" spans="2:8" x14ac:dyDescent="0.2">
      <c r="B28" s="10">
        <v>23</v>
      </c>
      <c r="C28" s="10" t="s">
        <v>64</v>
      </c>
      <c r="D28" s="11">
        <v>10525</v>
      </c>
      <c r="E28" s="10">
        <v>8608</v>
      </c>
      <c r="F28" s="10">
        <v>7307</v>
      </c>
      <c r="G28" s="10">
        <v>6543</v>
      </c>
      <c r="H28" s="10" t="s">
        <v>65</v>
      </c>
    </row>
    <row r="29" spans="2:8" x14ac:dyDescent="0.2">
      <c r="B29" s="10">
        <v>24</v>
      </c>
      <c r="C29" s="10" t="s">
        <v>66</v>
      </c>
      <c r="D29" s="11">
        <v>10696</v>
      </c>
      <c r="E29" s="10">
        <v>9600</v>
      </c>
      <c r="F29" s="10">
        <v>8791</v>
      </c>
      <c r="G29" s="10">
        <v>8284</v>
      </c>
      <c r="H29" s="10" t="s">
        <v>67</v>
      </c>
    </row>
    <row r="30" spans="2:8" x14ac:dyDescent="0.2">
      <c r="B30" s="10">
        <v>25</v>
      </c>
      <c r="C30" s="10" t="s">
        <v>68</v>
      </c>
      <c r="D30" s="10">
        <v>5368</v>
      </c>
      <c r="E30" s="10">
        <v>4874</v>
      </c>
      <c r="F30" s="10">
        <v>4506</v>
      </c>
      <c r="G30" s="10">
        <v>4273</v>
      </c>
      <c r="H30" s="10" t="s">
        <v>69</v>
      </c>
    </row>
    <row r="31" spans="2:8" x14ac:dyDescent="0.2">
      <c r="B31" s="10">
        <v>26</v>
      </c>
      <c r="C31" s="10" t="s">
        <v>70</v>
      </c>
      <c r="D31" s="11">
        <v>18582</v>
      </c>
      <c r="E31" s="11">
        <v>18108</v>
      </c>
      <c r="F31" s="11">
        <v>17730</v>
      </c>
      <c r="G31" s="11">
        <v>17479</v>
      </c>
      <c r="H31" s="10" t="s">
        <v>71</v>
      </c>
    </row>
    <row r="32" spans="2:8" x14ac:dyDescent="0.2">
      <c r="B32" s="10">
        <v>27</v>
      </c>
      <c r="C32" s="10" t="s">
        <v>72</v>
      </c>
      <c r="D32" s="10">
        <v>8336</v>
      </c>
      <c r="E32" s="10">
        <v>7906</v>
      </c>
      <c r="F32" s="10">
        <v>7573</v>
      </c>
      <c r="G32" s="10">
        <v>7356</v>
      </c>
      <c r="H32" s="10" t="s">
        <v>73</v>
      </c>
    </row>
    <row r="33" spans="2:8" x14ac:dyDescent="0.2">
      <c r="B33" s="10">
        <v>28</v>
      </c>
      <c r="C33" s="10" t="s">
        <v>74</v>
      </c>
      <c r="D33" s="10">
        <v>9325</v>
      </c>
      <c r="E33" s="10">
        <v>8642</v>
      </c>
      <c r="F33" s="10">
        <v>8122</v>
      </c>
      <c r="G33" s="10">
        <v>7789</v>
      </c>
      <c r="H33" s="10" t="s">
        <v>61</v>
      </c>
    </row>
    <row r="34" spans="2:8" x14ac:dyDescent="0.2">
      <c r="B34" s="10">
        <v>29</v>
      </c>
      <c r="C34" s="10" t="s">
        <v>75</v>
      </c>
      <c r="D34" s="10">
        <v>3945</v>
      </c>
      <c r="E34" s="10">
        <v>3895</v>
      </c>
      <c r="F34" s="10">
        <v>3854</v>
      </c>
      <c r="G34" s="10">
        <v>3828</v>
      </c>
      <c r="H34" s="10" t="s">
        <v>76</v>
      </c>
    </row>
    <row r="35" spans="2:8" x14ac:dyDescent="0.2">
      <c r="B35" s="10">
        <v>30</v>
      </c>
      <c r="C35" s="10" t="s">
        <v>77</v>
      </c>
      <c r="D35" s="11">
        <v>11336</v>
      </c>
      <c r="E35" s="11">
        <v>10035</v>
      </c>
      <c r="F35" s="10">
        <v>9085</v>
      </c>
      <c r="G35" s="10">
        <v>8497</v>
      </c>
      <c r="H35" s="10" t="s">
        <v>78</v>
      </c>
    </row>
    <row r="36" spans="2:8" x14ac:dyDescent="0.2">
      <c r="B36" s="10">
        <v>31</v>
      </c>
      <c r="C36" s="10" t="s">
        <v>79</v>
      </c>
      <c r="D36" s="11">
        <v>38195</v>
      </c>
      <c r="E36" s="11">
        <v>35925</v>
      </c>
      <c r="F36" s="11">
        <v>34174</v>
      </c>
      <c r="G36" s="11">
        <v>33042</v>
      </c>
      <c r="H36" s="10" t="s">
        <v>80</v>
      </c>
    </row>
    <row r="37" spans="2:8" x14ac:dyDescent="0.2">
      <c r="B37" s="10">
        <v>32</v>
      </c>
      <c r="C37" s="10" t="s">
        <v>81</v>
      </c>
      <c r="D37" s="10">
        <v>8690</v>
      </c>
      <c r="E37" s="10">
        <v>8299</v>
      </c>
      <c r="F37" s="10">
        <v>7994</v>
      </c>
      <c r="G37" s="10">
        <v>7794</v>
      </c>
      <c r="H37" s="10" t="s">
        <v>82</v>
      </c>
    </row>
    <row r="38" spans="2:8" x14ac:dyDescent="0.2">
      <c r="B38" s="10">
        <v>33</v>
      </c>
      <c r="C38" s="10" t="s">
        <v>83</v>
      </c>
      <c r="D38" s="11">
        <v>17289</v>
      </c>
      <c r="E38" s="11">
        <v>15564</v>
      </c>
      <c r="F38" s="11">
        <v>14286</v>
      </c>
      <c r="G38" s="11">
        <v>13484</v>
      </c>
      <c r="H38" s="10"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1000"/>
  <sheetViews>
    <sheetView workbookViewId="0"/>
  </sheetViews>
  <sheetFormatPr baseColWidth="10" defaultColWidth="14.5" defaultRowHeight="15" customHeight="1" x14ac:dyDescent="0.2"/>
  <cols>
    <col min="1" max="1" width="8.83203125" customWidth="1"/>
    <col min="2" max="2" width="24.83203125" customWidth="1"/>
    <col min="3" max="3" width="15.6640625" customWidth="1"/>
    <col min="4" max="4" width="11.5" customWidth="1"/>
    <col min="5" max="5" width="9.5" customWidth="1"/>
    <col min="6" max="6" width="9.6640625" customWidth="1"/>
    <col min="7" max="7" width="9.83203125" customWidth="1"/>
    <col min="8" max="8" width="9.6640625" customWidth="1"/>
    <col min="9" max="9" width="12" customWidth="1"/>
    <col min="10" max="10" width="11.5" customWidth="1"/>
    <col min="11" max="12" width="8.83203125" customWidth="1"/>
    <col min="13" max="13" width="18.5" customWidth="1"/>
    <col min="14" max="14" width="12.5" customWidth="1"/>
    <col min="15" max="15" width="9.83203125" customWidth="1"/>
    <col min="16" max="16" width="10" customWidth="1"/>
    <col min="17" max="17" width="10.33203125" customWidth="1"/>
    <col min="18" max="18" width="10" customWidth="1"/>
    <col min="19" max="19" width="10.5" customWidth="1"/>
    <col min="20" max="20" width="10.33203125" customWidth="1"/>
    <col min="21" max="21" width="11.5" customWidth="1"/>
    <col min="22" max="26" width="10.83203125" customWidth="1"/>
  </cols>
  <sheetData>
    <row r="1" spans="2:21" ht="14.25" customHeight="1" x14ac:dyDescent="0.2">
      <c r="B1" s="12" t="s">
        <v>85</v>
      </c>
    </row>
    <row r="2" spans="2:21" ht="14.25" customHeight="1" x14ac:dyDescent="0.2">
      <c r="B2" s="36" t="s">
        <v>86</v>
      </c>
      <c r="C2" s="35"/>
      <c r="D2" s="35"/>
      <c r="E2" s="35"/>
      <c r="F2" s="35"/>
      <c r="G2" s="35"/>
      <c r="H2" s="35"/>
      <c r="I2" s="35"/>
      <c r="J2" s="35"/>
      <c r="M2" s="36" t="s">
        <v>87</v>
      </c>
      <c r="N2" s="35"/>
      <c r="O2" s="35"/>
      <c r="P2" s="35"/>
      <c r="Q2" s="35"/>
      <c r="R2" s="35"/>
      <c r="S2" s="35"/>
      <c r="T2" s="35"/>
      <c r="U2" s="35"/>
    </row>
    <row r="3" spans="2:21" ht="14.25" customHeight="1" x14ac:dyDescent="0.2">
      <c r="B3" s="13" t="s">
        <v>88</v>
      </c>
      <c r="C3" s="14">
        <v>2019</v>
      </c>
      <c r="D3" s="14">
        <v>2020</v>
      </c>
      <c r="E3" s="14">
        <v>2025</v>
      </c>
      <c r="F3" s="14">
        <v>2030</v>
      </c>
      <c r="G3" s="14">
        <v>2035</v>
      </c>
      <c r="H3" s="14">
        <v>2040</v>
      </c>
      <c r="I3" s="14">
        <v>2045</v>
      </c>
      <c r="J3" s="14">
        <v>2050</v>
      </c>
      <c r="M3" s="13" t="s">
        <v>88</v>
      </c>
      <c r="N3" s="14">
        <v>2019</v>
      </c>
      <c r="O3" s="14">
        <v>2020</v>
      </c>
      <c r="P3" s="14">
        <v>2025</v>
      </c>
      <c r="Q3" s="14">
        <v>2030</v>
      </c>
      <c r="R3" s="14">
        <v>2035</v>
      </c>
      <c r="S3" s="14">
        <v>2040</v>
      </c>
      <c r="T3" s="14">
        <v>2045</v>
      </c>
      <c r="U3" s="14">
        <v>2050</v>
      </c>
    </row>
    <row r="4" spans="2:21" ht="14.25" customHeight="1" x14ac:dyDescent="0.2">
      <c r="B4" s="1" t="s">
        <v>89</v>
      </c>
      <c r="C4" s="15"/>
      <c r="D4" s="15">
        <v>680447</v>
      </c>
      <c r="E4" s="15">
        <v>885287</v>
      </c>
      <c r="F4" s="15">
        <v>1081261</v>
      </c>
      <c r="G4" s="15">
        <v>1354511</v>
      </c>
      <c r="H4" s="15">
        <v>1627762</v>
      </c>
      <c r="I4" s="15">
        <v>1901012</v>
      </c>
      <c r="J4" s="15">
        <v>2174263</v>
      </c>
      <c r="M4" s="1" t="s">
        <v>89</v>
      </c>
      <c r="N4" s="15"/>
      <c r="O4" s="15">
        <v>179963</v>
      </c>
      <c r="P4" s="15">
        <v>180574</v>
      </c>
      <c r="Q4" s="15">
        <v>206307</v>
      </c>
      <c r="R4" s="15">
        <v>237385</v>
      </c>
      <c r="S4" s="15">
        <v>268462</v>
      </c>
      <c r="T4" s="15">
        <v>299539</v>
      </c>
      <c r="U4" s="15">
        <v>330616</v>
      </c>
    </row>
    <row r="5" spans="2:21" ht="14.25" customHeight="1" x14ac:dyDescent="0.2">
      <c r="B5" s="1" t="s">
        <v>90</v>
      </c>
      <c r="C5" s="15"/>
      <c r="D5" s="15">
        <v>846264</v>
      </c>
      <c r="E5" s="15">
        <v>1101021</v>
      </c>
      <c r="F5" s="15">
        <v>1344750</v>
      </c>
      <c r="G5" s="15">
        <v>1684589</v>
      </c>
      <c r="H5" s="15">
        <v>2024427</v>
      </c>
      <c r="I5" s="15">
        <v>2364266</v>
      </c>
      <c r="J5" s="15">
        <v>2704104</v>
      </c>
      <c r="M5" s="1" t="s">
        <v>90</v>
      </c>
      <c r="N5" s="15"/>
      <c r="O5" s="15">
        <v>223818</v>
      </c>
      <c r="P5" s="15">
        <v>224578</v>
      </c>
      <c r="Q5" s="15">
        <v>256582</v>
      </c>
      <c r="R5" s="15">
        <v>295232</v>
      </c>
      <c r="S5" s="15">
        <v>333883</v>
      </c>
      <c r="T5" s="15">
        <v>372533</v>
      </c>
      <c r="U5" s="15">
        <v>411183</v>
      </c>
    </row>
    <row r="6" spans="2:21" ht="14.25" customHeight="1" x14ac:dyDescent="0.2">
      <c r="B6" s="1" t="s">
        <v>91</v>
      </c>
      <c r="C6" s="15"/>
      <c r="D6" s="15">
        <v>451087</v>
      </c>
      <c r="E6" s="15">
        <v>586881</v>
      </c>
      <c r="F6" s="15">
        <v>716798</v>
      </c>
      <c r="G6" s="15">
        <v>897943</v>
      </c>
      <c r="H6" s="15">
        <v>1079089</v>
      </c>
      <c r="I6" s="15">
        <v>1260234</v>
      </c>
      <c r="J6" s="15">
        <v>1441380</v>
      </c>
      <c r="M6" s="1" t="s">
        <v>91</v>
      </c>
      <c r="N6" s="15"/>
      <c r="O6" s="15">
        <v>119303</v>
      </c>
      <c r="P6" s="15">
        <v>119708</v>
      </c>
      <c r="Q6" s="15">
        <v>136767</v>
      </c>
      <c r="R6" s="15">
        <v>157369</v>
      </c>
      <c r="S6" s="15">
        <v>177971</v>
      </c>
      <c r="T6" s="15">
        <v>198573</v>
      </c>
      <c r="U6" s="15">
        <v>219175</v>
      </c>
    </row>
    <row r="7" spans="2:21" ht="14.25" customHeight="1" x14ac:dyDescent="0.2">
      <c r="B7" s="1" t="s">
        <v>92</v>
      </c>
      <c r="C7" s="15"/>
      <c r="D7" s="15">
        <v>515868</v>
      </c>
      <c r="E7" s="15">
        <v>671164</v>
      </c>
      <c r="F7" s="15">
        <v>819738</v>
      </c>
      <c r="G7" s="15">
        <v>1026898</v>
      </c>
      <c r="H7" s="15">
        <v>1234058</v>
      </c>
      <c r="I7" s="15">
        <v>1441218</v>
      </c>
      <c r="J7" s="15">
        <v>1648378</v>
      </c>
      <c r="M7" s="1" t="s">
        <v>92</v>
      </c>
      <c r="N7" s="15"/>
      <c r="O7" s="15">
        <v>136436</v>
      </c>
      <c r="P7" s="15">
        <v>136899</v>
      </c>
      <c r="Q7" s="15">
        <v>156408</v>
      </c>
      <c r="R7" s="15">
        <v>179969</v>
      </c>
      <c r="S7" s="15">
        <v>203529</v>
      </c>
      <c r="T7" s="15">
        <v>227090</v>
      </c>
      <c r="U7" s="15">
        <v>250651</v>
      </c>
    </row>
    <row r="8" spans="2:21" ht="14.25" customHeight="1" x14ac:dyDescent="0.2">
      <c r="B8" s="1" t="s">
        <v>93</v>
      </c>
      <c r="C8" s="15"/>
      <c r="D8" s="15">
        <v>122334</v>
      </c>
      <c r="E8" s="15">
        <v>159161</v>
      </c>
      <c r="F8" s="15">
        <v>194395</v>
      </c>
      <c r="G8" s="15">
        <v>243521</v>
      </c>
      <c r="H8" s="15">
        <v>292647</v>
      </c>
      <c r="I8" s="15">
        <v>341774</v>
      </c>
      <c r="J8" s="15">
        <v>390900</v>
      </c>
      <c r="M8" s="1" t="s">
        <v>93</v>
      </c>
      <c r="N8" s="15"/>
      <c r="O8" s="15">
        <v>32355</v>
      </c>
      <c r="P8" s="15">
        <v>32465</v>
      </c>
      <c r="Q8" s="15">
        <v>37091</v>
      </c>
      <c r="R8" s="15">
        <v>42678</v>
      </c>
      <c r="S8" s="15">
        <v>48265</v>
      </c>
      <c r="T8" s="15">
        <v>53853</v>
      </c>
      <c r="U8" s="15">
        <v>59440</v>
      </c>
    </row>
    <row r="9" spans="2:21" ht="14.25" customHeight="1" x14ac:dyDescent="0.2">
      <c r="B9" s="1" t="s">
        <v>94</v>
      </c>
      <c r="C9" s="15"/>
      <c r="D9" s="15">
        <v>190946</v>
      </c>
      <c r="E9" s="15">
        <v>248428</v>
      </c>
      <c r="F9" s="15">
        <v>303422</v>
      </c>
      <c r="G9" s="15">
        <v>380101</v>
      </c>
      <c r="H9" s="15">
        <v>456780</v>
      </c>
      <c r="I9" s="15">
        <v>533460</v>
      </c>
      <c r="J9" s="15">
        <v>610139</v>
      </c>
      <c r="M9" s="1" t="s">
        <v>94</v>
      </c>
      <c r="N9" s="15"/>
      <c r="O9" s="15">
        <v>50501</v>
      </c>
      <c r="P9" s="15">
        <v>50672</v>
      </c>
      <c r="Q9" s="15">
        <v>57894</v>
      </c>
      <c r="R9" s="15">
        <v>66615</v>
      </c>
      <c r="S9" s="15">
        <v>75335</v>
      </c>
      <c r="T9" s="15">
        <v>84056</v>
      </c>
      <c r="U9" s="15">
        <v>92777</v>
      </c>
    </row>
    <row r="10" spans="2:21" ht="14.25" customHeight="1" x14ac:dyDescent="0.2">
      <c r="B10" s="1" t="s">
        <v>95</v>
      </c>
      <c r="C10" s="15"/>
      <c r="D10" s="15">
        <v>229251</v>
      </c>
      <c r="E10" s="15">
        <v>298265</v>
      </c>
      <c r="F10" s="15">
        <v>364291</v>
      </c>
      <c r="G10" s="15">
        <v>456352</v>
      </c>
      <c r="H10" s="15">
        <v>548414</v>
      </c>
      <c r="I10" s="15">
        <v>640475</v>
      </c>
      <c r="J10" s="15">
        <v>732537</v>
      </c>
      <c r="M10" s="1" t="s">
        <v>95</v>
      </c>
      <c r="N10" s="15"/>
      <c r="O10" s="15">
        <v>60632</v>
      </c>
      <c r="P10" s="15">
        <v>60838</v>
      </c>
      <c r="Q10" s="15">
        <v>69508</v>
      </c>
      <c r="R10" s="15">
        <v>79978</v>
      </c>
      <c r="S10" s="15">
        <v>90448</v>
      </c>
      <c r="T10" s="15">
        <v>100919</v>
      </c>
      <c r="U10" s="15">
        <v>111389</v>
      </c>
    </row>
    <row r="11" spans="2:21" ht="14.25" customHeight="1" x14ac:dyDescent="0.2">
      <c r="B11" s="1" t="s">
        <v>96</v>
      </c>
      <c r="C11" s="15"/>
      <c r="D11" s="15">
        <v>85596</v>
      </c>
      <c r="E11" s="15">
        <v>111363</v>
      </c>
      <c r="F11" s="15">
        <v>136016</v>
      </c>
      <c r="G11" s="15">
        <v>170389</v>
      </c>
      <c r="H11" s="15">
        <v>204762</v>
      </c>
      <c r="I11" s="15">
        <v>239135</v>
      </c>
      <c r="J11" s="15">
        <v>273508</v>
      </c>
      <c r="M11" s="1" t="s">
        <v>96</v>
      </c>
      <c r="N11" s="15"/>
      <c r="O11" s="15">
        <v>22638</v>
      </c>
      <c r="P11" s="15">
        <v>22715</v>
      </c>
      <c r="Q11" s="15">
        <v>25952</v>
      </c>
      <c r="R11" s="15">
        <v>29861</v>
      </c>
      <c r="S11" s="15">
        <v>33771</v>
      </c>
      <c r="T11" s="15">
        <v>37680</v>
      </c>
      <c r="U11" s="15">
        <v>41589</v>
      </c>
    </row>
    <row r="12" spans="2:21" ht="14.25" customHeight="1" x14ac:dyDescent="0.2">
      <c r="B12" s="1" t="s">
        <v>19</v>
      </c>
      <c r="C12" s="16">
        <f t="array" ref="C12">TREND(D12:J12,D3:J3,C3)</f>
        <v>2659005.8285714388</v>
      </c>
      <c r="D12" s="16">
        <f t="shared" ref="D12:J12" si="0">SUM(D4:D11)</f>
        <v>3121793</v>
      </c>
      <c r="E12" s="16">
        <f t="shared" si="0"/>
        <v>4061570</v>
      </c>
      <c r="F12" s="16">
        <f t="shared" si="0"/>
        <v>4960671</v>
      </c>
      <c r="G12" s="16">
        <f t="shared" si="0"/>
        <v>6214304</v>
      </c>
      <c r="H12" s="16">
        <f t="shared" si="0"/>
        <v>7467939</v>
      </c>
      <c r="I12" s="16">
        <f t="shared" si="0"/>
        <v>8721574</v>
      </c>
      <c r="J12" s="16">
        <f t="shared" si="0"/>
        <v>9975209</v>
      </c>
      <c r="M12" s="1" t="s">
        <v>19</v>
      </c>
      <c r="N12" s="16">
        <f>391.1722725*N3^2 - 1567426.393*N3 + 1570857258</f>
        <v>782766.43337249756</v>
      </c>
      <c r="O12" s="16">
        <f t="shared" ref="O12:U12" si="1">SUM(O4:O11)</f>
        <v>825646</v>
      </c>
      <c r="P12" s="16">
        <f t="shared" si="1"/>
        <v>828449</v>
      </c>
      <c r="Q12" s="16">
        <f t="shared" si="1"/>
        <v>946509</v>
      </c>
      <c r="R12" s="16">
        <f t="shared" si="1"/>
        <v>1089087</v>
      </c>
      <c r="S12" s="16">
        <f t="shared" si="1"/>
        <v>1231664</v>
      </c>
      <c r="T12" s="16">
        <f t="shared" si="1"/>
        <v>1374243</v>
      </c>
      <c r="U12" s="16">
        <f t="shared" si="1"/>
        <v>1516820</v>
      </c>
    </row>
    <row r="13" spans="2:21" ht="14.25" customHeight="1" x14ac:dyDescent="0.2">
      <c r="B13" s="1"/>
      <c r="C13" s="17"/>
      <c r="D13" s="16"/>
      <c r="E13" s="16"/>
      <c r="F13" s="16"/>
      <c r="G13" s="16"/>
      <c r="H13" s="16"/>
      <c r="I13" s="16"/>
      <c r="J13" s="16"/>
      <c r="M13" s="1"/>
      <c r="O13" s="16"/>
      <c r="P13" s="16"/>
      <c r="Q13" s="16"/>
      <c r="R13" s="16"/>
      <c r="S13" s="16"/>
      <c r="T13" s="16"/>
      <c r="U13" s="16"/>
    </row>
    <row r="14" spans="2:21" ht="14.25" customHeight="1" x14ac:dyDescent="0.2">
      <c r="B14" s="36" t="s">
        <v>97</v>
      </c>
      <c r="C14" s="35"/>
      <c r="D14" s="35"/>
      <c r="E14" s="35"/>
      <c r="F14" s="35"/>
      <c r="G14" s="35"/>
      <c r="H14" s="35"/>
      <c r="I14" s="35"/>
      <c r="J14" s="35"/>
      <c r="M14" s="36" t="s">
        <v>98</v>
      </c>
      <c r="N14" s="35"/>
      <c r="O14" s="35"/>
      <c r="P14" s="35"/>
      <c r="Q14" s="35"/>
      <c r="R14" s="35"/>
      <c r="S14" s="35"/>
      <c r="T14" s="35"/>
      <c r="U14" s="35"/>
    </row>
    <row r="15" spans="2:21" ht="14.25" customHeight="1" x14ac:dyDescent="0.2">
      <c r="B15" s="13" t="s">
        <v>88</v>
      </c>
      <c r="C15" s="14">
        <v>2019</v>
      </c>
      <c r="D15" s="14">
        <v>2020</v>
      </c>
      <c r="E15" s="14">
        <v>2025</v>
      </c>
      <c r="F15" s="14">
        <v>2030</v>
      </c>
      <c r="G15" s="14">
        <v>2035</v>
      </c>
      <c r="H15" s="14">
        <v>2040</v>
      </c>
      <c r="I15" s="14">
        <v>2045</v>
      </c>
      <c r="J15" s="14">
        <v>2050</v>
      </c>
      <c r="M15" s="13" t="s">
        <v>88</v>
      </c>
      <c r="N15" s="14">
        <v>2019</v>
      </c>
      <c r="O15" s="14">
        <v>2020</v>
      </c>
      <c r="P15" s="14">
        <v>2025</v>
      </c>
      <c r="Q15" s="14">
        <v>2030</v>
      </c>
      <c r="R15" s="14">
        <v>2035</v>
      </c>
      <c r="S15" s="14">
        <v>2040</v>
      </c>
      <c r="T15" s="14">
        <v>2045</v>
      </c>
      <c r="U15" s="14">
        <v>2050</v>
      </c>
    </row>
    <row r="16" spans="2:21" ht="14.25" customHeight="1" x14ac:dyDescent="0.2">
      <c r="B16" s="1" t="s">
        <v>89</v>
      </c>
      <c r="C16" s="15"/>
      <c r="D16" s="15">
        <v>957</v>
      </c>
      <c r="E16" s="15">
        <v>1040</v>
      </c>
      <c r="F16" s="15">
        <v>1141</v>
      </c>
      <c r="G16" s="15">
        <v>1265</v>
      </c>
      <c r="H16" s="15">
        <v>1414</v>
      </c>
      <c r="I16" s="15">
        <v>1593</v>
      </c>
      <c r="J16" s="15">
        <v>1802</v>
      </c>
      <c r="M16" s="1" t="s">
        <v>89</v>
      </c>
      <c r="N16" s="15"/>
      <c r="O16" s="15">
        <v>10179</v>
      </c>
      <c r="P16" s="15">
        <v>10845</v>
      </c>
      <c r="Q16" s="15">
        <v>11637</v>
      </c>
      <c r="R16" s="15">
        <v>12594</v>
      </c>
      <c r="S16" s="15">
        <v>13765</v>
      </c>
      <c r="T16" s="15">
        <v>15217</v>
      </c>
      <c r="U16" s="15">
        <v>17047</v>
      </c>
    </row>
    <row r="17" spans="2:21" ht="14.25" customHeight="1" x14ac:dyDescent="0.2">
      <c r="B17" s="1" t="s">
        <v>90</v>
      </c>
      <c r="C17" s="15"/>
      <c r="D17" s="15">
        <v>12622</v>
      </c>
      <c r="E17" s="15">
        <v>13715</v>
      </c>
      <c r="F17" s="15">
        <v>15053</v>
      </c>
      <c r="G17" s="15">
        <v>16685</v>
      </c>
      <c r="H17" s="15">
        <v>18656</v>
      </c>
      <c r="I17" s="15">
        <v>21006</v>
      </c>
      <c r="J17" s="15">
        <v>23768</v>
      </c>
      <c r="M17" s="1" t="s">
        <v>90</v>
      </c>
      <c r="N17" s="15"/>
      <c r="O17" s="15">
        <v>2296</v>
      </c>
      <c r="P17" s="15">
        <v>2446</v>
      </c>
      <c r="Q17" s="15">
        <v>2625</v>
      </c>
      <c r="R17" s="15">
        <v>2840</v>
      </c>
      <c r="S17" s="15">
        <v>3105</v>
      </c>
      <c r="T17" s="15">
        <v>3432</v>
      </c>
      <c r="U17" s="15">
        <v>3845</v>
      </c>
    </row>
    <row r="18" spans="2:21" ht="14.25" customHeight="1" x14ac:dyDescent="0.2">
      <c r="B18" s="1" t="s">
        <v>91</v>
      </c>
      <c r="C18" s="15"/>
      <c r="D18" s="15">
        <v>6728</v>
      </c>
      <c r="E18" s="15">
        <v>7310</v>
      </c>
      <c r="F18" s="15">
        <v>8024</v>
      </c>
      <c r="G18" s="15">
        <v>8894</v>
      </c>
      <c r="H18" s="15">
        <v>9944</v>
      </c>
      <c r="I18" s="15">
        <v>11197</v>
      </c>
      <c r="J18" s="15">
        <v>12669</v>
      </c>
      <c r="M18" s="1" t="s">
        <v>91</v>
      </c>
      <c r="N18" s="15"/>
      <c r="O18" s="15">
        <v>1224</v>
      </c>
      <c r="P18" s="15">
        <v>1304</v>
      </c>
      <c r="Q18" s="15">
        <v>1399</v>
      </c>
      <c r="R18" s="15">
        <v>1514</v>
      </c>
      <c r="S18" s="15">
        <v>1655</v>
      </c>
      <c r="T18" s="15">
        <v>1829</v>
      </c>
      <c r="U18" s="15">
        <v>2049</v>
      </c>
    </row>
    <row r="19" spans="2:21" ht="14.25" customHeight="1" x14ac:dyDescent="0.2">
      <c r="B19" s="1" t="s">
        <v>92</v>
      </c>
      <c r="C19" s="15"/>
      <c r="D19" s="15">
        <v>7694</v>
      </c>
      <c r="E19" s="15">
        <v>8360</v>
      </c>
      <c r="F19" s="15">
        <v>9176</v>
      </c>
      <c r="G19" s="15">
        <v>10171</v>
      </c>
      <c r="H19" s="15">
        <v>11372</v>
      </c>
      <c r="I19" s="15">
        <v>12805</v>
      </c>
      <c r="J19" s="15">
        <v>14488</v>
      </c>
      <c r="M19" s="1" t="s">
        <v>92</v>
      </c>
      <c r="N19" s="15"/>
      <c r="O19" s="15">
        <v>1399</v>
      </c>
      <c r="P19" s="15">
        <v>1491</v>
      </c>
      <c r="Q19" s="15">
        <v>1600</v>
      </c>
      <c r="R19" s="15">
        <v>1731</v>
      </c>
      <c r="S19" s="15">
        <v>1892</v>
      </c>
      <c r="T19" s="15">
        <v>2092</v>
      </c>
      <c r="U19" s="15">
        <v>2344</v>
      </c>
    </row>
    <row r="20" spans="2:21" ht="14.25" customHeight="1" x14ac:dyDescent="0.2">
      <c r="B20" s="1" t="s">
        <v>93</v>
      </c>
      <c r="C20" s="15"/>
      <c r="D20" s="15">
        <v>0</v>
      </c>
      <c r="E20" s="15">
        <v>0</v>
      </c>
      <c r="F20" s="15">
        <v>0</v>
      </c>
      <c r="G20" s="15">
        <v>0</v>
      </c>
      <c r="H20" s="15">
        <v>0</v>
      </c>
      <c r="I20" s="15">
        <v>0</v>
      </c>
      <c r="J20" s="15">
        <v>0</v>
      </c>
      <c r="M20" s="1" t="s">
        <v>93</v>
      </c>
      <c r="N20" s="15"/>
      <c r="O20" s="15">
        <v>0</v>
      </c>
      <c r="P20" s="15">
        <v>0</v>
      </c>
      <c r="Q20" s="15">
        <v>0</v>
      </c>
      <c r="R20" s="15">
        <v>0</v>
      </c>
      <c r="S20" s="15">
        <v>0</v>
      </c>
      <c r="T20" s="15">
        <v>0</v>
      </c>
      <c r="U20" s="15">
        <v>0</v>
      </c>
    </row>
    <row r="21" spans="2:21" ht="14.25" customHeight="1" x14ac:dyDescent="0.2">
      <c r="B21" s="1" t="s">
        <v>94</v>
      </c>
      <c r="C21" s="15"/>
      <c r="D21" s="15">
        <v>0</v>
      </c>
      <c r="E21" s="15">
        <v>0</v>
      </c>
      <c r="F21" s="15">
        <v>0</v>
      </c>
      <c r="G21" s="15">
        <v>0</v>
      </c>
      <c r="H21" s="15">
        <v>0</v>
      </c>
      <c r="I21" s="15">
        <v>0</v>
      </c>
      <c r="J21" s="15">
        <v>0</v>
      </c>
      <c r="M21" s="1" t="s">
        <v>94</v>
      </c>
      <c r="N21" s="15"/>
      <c r="O21" s="15">
        <v>0</v>
      </c>
      <c r="P21" s="15">
        <v>0</v>
      </c>
      <c r="Q21" s="15">
        <v>0</v>
      </c>
      <c r="R21" s="15">
        <v>0</v>
      </c>
      <c r="S21" s="15">
        <v>0</v>
      </c>
      <c r="T21" s="15">
        <v>0</v>
      </c>
      <c r="U21" s="15">
        <v>0</v>
      </c>
    </row>
    <row r="22" spans="2:21" ht="14.25" customHeight="1" x14ac:dyDescent="0.2">
      <c r="B22" s="1" t="s">
        <v>95</v>
      </c>
      <c r="C22" s="15"/>
      <c r="D22" s="15">
        <v>0</v>
      </c>
      <c r="E22" s="15">
        <v>0</v>
      </c>
      <c r="F22" s="15">
        <v>0</v>
      </c>
      <c r="G22" s="15">
        <v>0</v>
      </c>
      <c r="H22" s="15">
        <v>0</v>
      </c>
      <c r="I22" s="15">
        <v>0</v>
      </c>
      <c r="J22" s="15">
        <v>0</v>
      </c>
      <c r="M22" s="1" t="s">
        <v>95</v>
      </c>
      <c r="N22" s="15"/>
      <c r="O22" s="15">
        <v>0</v>
      </c>
      <c r="P22" s="15">
        <v>0</v>
      </c>
      <c r="Q22" s="15">
        <v>0</v>
      </c>
      <c r="R22" s="15">
        <v>0</v>
      </c>
      <c r="S22" s="15">
        <v>0</v>
      </c>
      <c r="T22" s="15">
        <v>0</v>
      </c>
      <c r="U22" s="15">
        <v>0</v>
      </c>
    </row>
    <row r="23" spans="2:21" ht="14.25" customHeight="1" x14ac:dyDescent="0.2">
      <c r="B23" s="1" t="s">
        <v>96</v>
      </c>
      <c r="C23" s="15"/>
      <c r="D23" s="15">
        <v>0</v>
      </c>
      <c r="E23" s="15">
        <v>0</v>
      </c>
      <c r="F23" s="15">
        <v>0</v>
      </c>
      <c r="G23" s="15">
        <v>0</v>
      </c>
      <c r="H23" s="15">
        <v>0</v>
      </c>
      <c r="I23" s="15">
        <v>0</v>
      </c>
      <c r="J23" s="15">
        <v>0</v>
      </c>
      <c r="M23" s="1" t="s">
        <v>96</v>
      </c>
      <c r="N23" s="15"/>
      <c r="O23" s="15">
        <v>0</v>
      </c>
      <c r="P23" s="15">
        <v>0</v>
      </c>
      <c r="Q23" s="15">
        <v>0</v>
      </c>
      <c r="R23" s="15">
        <v>0</v>
      </c>
      <c r="S23" s="15">
        <v>0</v>
      </c>
      <c r="T23" s="15">
        <v>0</v>
      </c>
      <c r="U23" s="15">
        <v>0</v>
      </c>
    </row>
    <row r="24" spans="2:21" ht="14.25" customHeight="1" x14ac:dyDescent="0.2">
      <c r="B24" s="1" t="s">
        <v>19</v>
      </c>
      <c r="C24" s="16">
        <f>14.88114858*C15^2 - 59748.26699*C15 + 59998557.62</f>
        <v>27740.273907378316</v>
      </c>
      <c r="D24" s="16">
        <f t="shared" ref="D24:J24" si="2">SUM(D16:D23)</f>
        <v>28001</v>
      </c>
      <c r="E24" s="16">
        <f t="shared" si="2"/>
        <v>30425</v>
      </c>
      <c r="F24" s="16">
        <f t="shared" si="2"/>
        <v>33394</v>
      </c>
      <c r="G24" s="16">
        <f t="shared" si="2"/>
        <v>37015</v>
      </c>
      <c r="H24" s="16">
        <f t="shared" si="2"/>
        <v>41386</v>
      </c>
      <c r="I24" s="16">
        <f t="shared" si="2"/>
        <v>46601</v>
      </c>
      <c r="J24" s="16">
        <f t="shared" si="2"/>
        <v>52727</v>
      </c>
      <c r="M24" s="1" t="s">
        <v>19</v>
      </c>
      <c r="N24" s="16">
        <f>6.745793647*N15^2 - 27121.90459*N15 + 27275894.02</f>
        <v>15058.789468575269</v>
      </c>
      <c r="O24" s="16">
        <f t="shared" ref="O24:U24" si="3">SUM(O16:O23)</f>
        <v>15098</v>
      </c>
      <c r="P24" s="16">
        <f t="shared" si="3"/>
        <v>16086</v>
      </c>
      <c r="Q24" s="16">
        <f t="shared" si="3"/>
        <v>17261</v>
      </c>
      <c r="R24" s="16">
        <f t="shared" si="3"/>
        <v>18679</v>
      </c>
      <c r="S24" s="16">
        <f t="shared" si="3"/>
        <v>20417</v>
      </c>
      <c r="T24" s="16">
        <f t="shared" si="3"/>
        <v>22570</v>
      </c>
      <c r="U24" s="16">
        <f t="shared" si="3"/>
        <v>25285</v>
      </c>
    </row>
    <row r="25" spans="2:21" ht="14.25" customHeight="1" x14ac:dyDescent="0.2">
      <c r="B25" s="1"/>
      <c r="C25" s="16"/>
      <c r="D25" s="16"/>
      <c r="E25" s="16"/>
      <c r="F25" s="16"/>
      <c r="G25" s="16"/>
      <c r="H25" s="16"/>
      <c r="I25" s="16"/>
      <c r="J25" s="16"/>
      <c r="M25" s="1"/>
      <c r="N25" s="16"/>
      <c r="O25" s="16"/>
      <c r="P25" s="16"/>
      <c r="Q25" s="16"/>
      <c r="R25" s="16"/>
      <c r="S25" s="16"/>
      <c r="T25" s="16"/>
      <c r="U25" s="16"/>
    </row>
    <row r="26" spans="2:21" ht="14.25" customHeight="1" x14ac:dyDescent="0.2">
      <c r="B26" s="36" t="s">
        <v>99</v>
      </c>
      <c r="C26" s="35"/>
      <c r="D26" s="35"/>
      <c r="E26" s="35"/>
      <c r="F26" s="35"/>
      <c r="G26" s="35"/>
      <c r="H26" s="35"/>
      <c r="I26" s="35"/>
      <c r="J26" s="35"/>
      <c r="M26" s="36" t="s">
        <v>100</v>
      </c>
      <c r="N26" s="35"/>
      <c r="O26" s="35"/>
      <c r="P26" s="35"/>
      <c r="Q26" s="35"/>
      <c r="R26" s="35"/>
      <c r="S26" s="35"/>
      <c r="T26" s="35"/>
      <c r="U26" s="35"/>
    </row>
    <row r="27" spans="2:21" ht="14.25" customHeight="1" x14ac:dyDescent="0.2">
      <c r="B27" s="13" t="s">
        <v>88</v>
      </c>
      <c r="C27" s="14">
        <v>2019</v>
      </c>
      <c r="D27" s="14">
        <v>2020</v>
      </c>
      <c r="E27" s="14">
        <v>2025</v>
      </c>
      <c r="F27" s="14">
        <v>2030</v>
      </c>
      <c r="G27" s="14">
        <v>2035</v>
      </c>
      <c r="H27" s="14">
        <v>2040</v>
      </c>
      <c r="I27" s="14">
        <v>2045</v>
      </c>
      <c r="J27" s="14">
        <v>2050</v>
      </c>
      <c r="M27" s="13" t="s">
        <v>88</v>
      </c>
      <c r="N27" s="14">
        <v>2019</v>
      </c>
      <c r="O27" s="14">
        <v>2020</v>
      </c>
      <c r="P27" s="14">
        <v>2025</v>
      </c>
      <c r="Q27" s="14">
        <v>2030</v>
      </c>
      <c r="R27" s="14">
        <v>2035</v>
      </c>
      <c r="S27" s="14">
        <v>2040</v>
      </c>
      <c r="T27" s="14">
        <v>2045</v>
      </c>
      <c r="U27" s="14">
        <v>2050</v>
      </c>
    </row>
    <row r="28" spans="2:21" ht="14.25" customHeight="1" x14ac:dyDescent="0.2">
      <c r="B28" s="1" t="s">
        <v>89</v>
      </c>
      <c r="C28" s="15"/>
      <c r="D28" s="15">
        <v>1472</v>
      </c>
      <c r="E28" s="15">
        <v>1914</v>
      </c>
      <c r="F28" s="15">
        <v>2455</v>
      </c>
      <c r="G28" s="15">
        <v>3108</v>
      </c>
      <c r="H28" s="15">
        <v>3879</v>
      </c>
      <c r="I28" s="15">
        <v>4778</v>
      </c>
      <c r="J28" s="15">
        <v>5816</v>
      </c>
      <c r="M28" s="1" t="s">
        <v>89</v>
      </c>
      <c r="N28" s="15"/>
      <c r="O28" s="15">
        <v>591265</v>
      </c>
      <c r="P28" s="15">
        <v>735901</v>
      </c>
      <c r="Q28" s="15">
        <v>911880</v>
      </c>
      <c r="R28" s="15">
        <v>1125248</v>
      </c>
      <c r="S28" s="15">
        <v>1381363</v>
      </c>
      <c r="T28" s="15">
        <v>1687622</v>
      </c>
      <c r="U28" s="15">
        <v>2055332</v>
      </c>
    </row>
    <row r="29" spans="2:21" ht="14.25" customHeight="1" x14ac:dyDescent="0.2">
      <c r="B29" s="1" t="s">
        <v>90</v>
      </c>
      <c r="C29" s="15"/>
      <c r="D29" s="15">
        <v>1831</v>
      </c>
      <c r="E29" s="15">
        <v>2380</v>
      </c>
      <c r="F29" s="15">
        <v>3054</v>
      </c>
      <c r="G29" s="15">
        <v>3865</v>
      </c>
      <c r="H29" s="15">
        <v>4825</v>
      </c>
      <c r="I29" s="15">
        <v>5942</v>
      </c>
      <c r="J29" s="15">
        <v>7233</v>
      </c>
      <c r="M29" s="1" t="s">
        <v>90</v>
      </c>
      <c r="N29" s="15"/>
      <c r="O29" s="15">
        <v>735349</v>
      </c>
      <c r="P29" s="15">
        <v>915231</v>
      </c>
      <c r="Q29" s="15">
        <v>1134094</v>
      </c>
      <c r="R29" s="15">
        <v>1399457</v>
      </c>
      <c r="S29" s="15">
        <v>1717984</v>
      </c>
      <c r="T29" s="15">
        <v>2098875</v>
      </c>
      <c r="U29" s="15">
        <v>2556192</v>
      </c>
    </row>
    <row r="30" spans="2:21" ht="14.25" customHeight="1" x14ac:dyDescent="0.2">
      <c r="B30" s="1" t="s">
        <v>91</v>
      </c>
      <c r="C30" s="15"/>
      <c r="D30" s="15">
        <v>976</v>
      </c>
      <c r="E30" s="15">
        <v>1269</v>
      </c>
      <c r="F30" s="15">
        <v>1628</v>
      </c>
      <c r="G30" s="15">
        <v>2060</v>
      </c>
      <c r="H30" s="15">
        <v>2572</v>
      </c>
      <c r="I30" s="15">
        <v>3168</v>
      </c>
      <c r="J30" s="15">
        <v>3855</v>
      </c>
      <c r="M30" s="1" t="s">
        <v>91</v>
      </c>
      <c r="N30" s="15"/>
      <c r="O30" s="15">
        <v>391966</v>
      </c>
      <c r="P30" s="15">
        <v>487849</v>
      </c>
      <c r="Q30" s="15">
        <v>604510</v>
      </c>
      <c r="R30" s="15">
        <v>745958</v>
      </c>
      <c r="S30" s="15">
        <v>915744</v>
      </c>
      <c r="T30" s="15">
        <v>1118772</v>
      </c>
      <c r="U30" s="15">
        <v>1362537</v>
      </c>
    </row>
    <row r="31" spans="2:21" ht="14.25" customHeight="1" x14ac:dyDescent="0.2">
      <c r="B31" s="1" t="s">
        <v>92</v>
      </c>
      <c r="C31" s="15"/>
      <c r="D31" s="15">
        <v>1116</v>
      </c>
      <c r="E31" s="15">
        <v>1451</v>
      </c>
      <c r="F31" s="15">
        <v>1862</v>
      </c>
      <c r="G31" s="15">
        <v>2356</v>
      </c>
      <c r="H31" s="15">
        <v>2941</v>
      </c>
      <c r="I31" s="15">
        <v>3622</v>
      </c>
      <c r="J31" s="15">
        <v>4409</v>
      </c>
      <c r="M31" s="1" t="s">
        <v>92</v>
      </c>
      <c r="N31" s="15"/>
      <c r="O31" s="15">
        <v>448257</v>
      </c>
      <c r="P31" s="15">
        <v>557910</v>
      </c>
      <c r="Q31" s="15">
        <v>691325</v>
      </c>
      <c r="R31" s="15">
        <v>853086</v>
      </c>
      <c r="S31" s="15">
        <v>1047255</v>
      </c>
      <c r="T31" s="15">
        <v>1279440</v>
      </c>
      <c r="U31" s="15">
        <v>1558213</v>
      </c>
    </row>
    <row r="32" spans="2:21" ht="14.25" customHeight="1" x14ac:dyDescent="0.2">
      <c r="B32" s="1" t="s">
        <v>93</v>
      </c>
      <c r="C32" s="15"/>
      <c r="D32" s="15">
        <v>265</v>
      </c>
      <c r="E32" s="15">
        <v>344</v>
      </c>
      <c r="F32" s="15">
        <v>441</v>
      </c>
      <c r="G32" s="15">
        <v>559</v>
      </c>
      <c r="H32" s="15">
        <v>697</v>
      </c>
      <c r="I32" s="15">
        <v>859</v>
      </c>
      <c r="J32" s="15">
        <v>1046</v>
      </c>
      <c r="M32" s="1" t="s">
        <v>93</v>
      </c>
      <c r="N32" s="15"/>
      <c r="O32" s="15">
        <v>106301</v>
      </c>
      <c r="P32" s="15">
        <v>132304</v>
      </c>
      <c r="Q32" s="15">
        <v>163942</v>
      </c>
      <c r="R32" s="15">
        <v>202303</v>
      </c>
      <c r="S32" s="15">
        <v>248349</v>
      </c>
      <c r="T32" s="15">
        <v>303409</v>
      </c>
      <c r="U32" s="15">
        <v>369518</v>
      </c>
    </row>
    <row r="33" spans="2:21" ht="14.25" customHeight="1" x14ac:dyDescent="0.2">
      <c r="B33" s="1" t="s">
        <v>94</v>
      </c>
      <c r="C33" s="15"/>
      <c r="D33" s="15">
        <v>413</v>
      </c>
      <c r="E33" s="15">
        <v>537</v>
      </c>
      <c r="F33" s="15">
        <v>689</v>
      </c>
      <c r="G33" s="15">
        <v>872</v>
      </c>
      <c r="H33" s="15">
        <v>1089</v>
      </c>
      <c r="I33" s="15">
        <v>1341</v>
      </c>
      <c r="J33" s="15">
        <v>1632</v>
      </c>
      <c r="M33" s="1" t="s">
        <v>94</v>
      </c>
      <c r="N33" s="15"/>
      <c r="O33" s="15">
        <v>165920</v>
      </c>
      <c r="P33" s="15">
        <v>206508</v>
      </c>
      <c r="Q33" s="15">
        <v>255891</v>
      </c>
      <c r="R33" s="15">
        <v>315766</v>
      </c>
      <c r="S33" s="15">
        <v>387636</v>
      </c>
      <c r="T33" s="15">
        <v>473578</v>
      </c>
      <c r="U33" s="15">
        <v>576765</v>
      </c>
    </row>
    <row r="34" spans="2:21" ht="14.25" customHeight="1" x14ac:dyDescent="0.2">
      <c r="B34" s="1" t="s">
        <v>95</v>
      </c>
      <c r="C34" s="15"/>
      <c r="D34" s="15">
        <v>496</v>
      </c>
      <c r="E34" s="15">
        <v>645</v>
      </c>
      <c r="F34" s="15">
        <v>827</v>
      </c>
      <c r="G34" s="15">
        <v>1047</v>
      </c>
      <c r="H34" s="15">
        <v>1307</v>
      </c>
      <c r="I34" s="15">
        <v>1610</v>
      </c>
      <c r="J34" s="15">
        <v>1959</v>
      </c>
      <c r="M34" s="1" t="s">
        <v>95</v>
      </c>
      <c r="N34" s="15"/>
      <c r="O34" s="15">
        <v>199205</v>
      </c>
      <c r="P34" s="15">
        <v>247935</v>
      </c>
      <c r="Q34" s="15">
        <v>307224</v>
      </c>
      <c r="R34" s="15">
        <v>379110</v>
      </c>
      <c r="S34" s="15">
        <v>465399</v>
      </c>
      <c r="T34" s="15">
        <v>568582</v>
      </c>
      <c r="U34" s="15">
        <v>692468</v>
      </c>
    </row>
    <row r="35" spans="2:21" ht="14.25" customHeight="1" x14ac:dyDescent="0.2">
      <c r="B35" s="1" t="s">
        <v>96</v>
      </c>
      <c r="C35" s="15"/>
      <c r="D35" s="15">
        <v>185</v>
      </c>
      <c r="E35" s="15">
        <v>241</v>
      </c>
      <c r="F35" s="15">
        <v>309</v>
      </c>
      <c r="G35" s="15">
        <v>391</v>
      </c>
      <c r="H35" s="15">
        <v>488</v>
      </c>
      <c r="I35" s="15">
        <v>601</v>
      </c>
      <c r="J35" s="15">
        <v>732</v>
      </c>
      <c r="M35" s="1" t="s">
        <v>96</v>
      </c>
      <c r="N35" s="15"/>
      <c r="O35" s="15">
        <v>74377</v>
      </c>
      <c r="P35" s="15">
        <v>92572</v>
      </c>
      <c r="Q35" s="15">
        <v>114709</v>
      </c>
      <c r="R35" s="15">
        <v>141549</v>
      </c>
      <c r="S35" s="15">
        <v>173766</v>
      </c>
      <c r="T35" s="15">
        <v>212292</v>
      </c>
      <c r="U35" s="15">
        <v>258547</v>
      </c>
    </row>
    <row r="36" spans="2:21" ht="14.25" customHeight="1" x14ac:dyDescent="0.2">
      <c r="B36" s="1" t="s">
        <v>19</v>
      </c>
      <c r="C36" s="16">
        <f>4.82813*10^-37*EXP(0.045778497*C27)</f>
        <v>6671.4748496537632</v>
      </c>
      <c r="D36" s="16">
        <f t="shared" ref="D36:J36" si="4">SUM(D28:D35)</f>
        <v>6754</v>
      </c>
      <c r="E36" s="16">
        <f t="shared" si="4"/>
        <v>8781</v>
      </c>
      <c r="F36" s="16">
        <f t="shared" si="4"/>
        <v>11265</v>
      </c>
      <c r="G36" s="16">
        <f t="shared" si="4"/>
        <v>14258</v>
      </c>
      <c r="H36" s="16">
        <f t="shared" si="4"/>
        <v>17798</v>
      </c>
      <c r="I36" s="16">
        <f t="shared" si="4"/>
        <v>21921</v>
      </c>
      <c r="J36" s="16">
        <f t="shared" si="4"/>
        <v>26682</v>
      </c>
      <c r="M36" s="1" t="s">
        <v>19</v>
      </c>
      <c r="N36" s="16">
        <f>1.02847*10^-30*EXP(0.041521884*N27)</f>
        <v>2631864.9706632704</v>
      </c>
      <c r="O36" s="16">
        <f t="shared" ref="O36:U36" si="5">SUM(O28:O35)</f>
        <v>2712640</v>
      </c>
      <c r="P36" s="16">
        <f t="shared" si="5"/>
        <v>3376210</v>
      </c>
      <c r="Q36" s="16">
        <f t="shared" si="5"/>
        <v>4183575</v>
      </c>
      <c r="R36" s="16">
        <f t="shared" si="5"/>
        <v>5162477</v>
      </c>
      <c r="S36" s="16">
        <f t="shared" si="5"/>
        <v>6337496</v>
      </c>
      <c r="T36" s="16">
        <f t="shared" si="5"/>
        <v>7742570</v>
      </c>
      <c r="U36" s="16">
        <f t="shared" si="5"/>
        <v>9429572</v>
      </c>
    </row>
    <row r="37" spans="2:21" ht="14.25" customHeight="1" x14ac:dyDescent="0.2">
      <c r="B37" s="1"/>
      <c r="C37" s="16"/>
      <c r="D37" s="16"/>
      <c r="E37" s="16"/>
      <c r="F37" s="16"/>
      <c r="G37" s="16"/>
      <c r="H37" s="16"/>
      <c r="I37" s="16"/>
      <c r="J37" s="16"/>
      <c r="M37" s="1"/>
      <c r="N37" s="16"/>
      <c r="O37" s="16"/>
      <c r="P37" s="16"/>
      <c r="Q37" s="16"/>
      <c r="R37" s="16"/>
      <c r="S37" s="16"/>
      <c r="T37" s="16"/>
      <c r="U37" s="16"/>
    </row>
    <row r="38" spans="2:21" ht="14.25" customHeight="1" x14ac:dyDescent="0.2">
      <c r="B38" s="36" t="s">
        <v>101</v>
      </c>
      <c r="C38" s="35"/>
      <c r="D38" s="35"/>
      <c r="E38" s="35"/>
      <c r="F38" s="35"/>
      <c r="G38" s="35"/>
      <c r="H38" s="35"/>
      <c r="I38" s="35"/>
      <c r="J38" s="35"/>
      <c r="M38" s="36" t="s">
        <v>102</v>
      </c>
      <c r="N38" s="35"/>
      <c r="O38" s="35"/>
      <c r="P38" s="35"/>
      <c r="Q38" s="35"/>
      <c r="R38" s="35"/>
      <c r="S38" s="35"/>
      <c r="T38" s="35"/>
      <c r="U38" s="35"/>
    </row>
    <row r="39" spans="2:21" ht="14.25" customHeight="1" x14ac:dyDescent="0.2">
      <c r="B39" s="13" t="s">
        <v>88</v>
      </c>
      <c r="C39" s="14">
        <v>2019</v>
      </c>
      <c r="D39" s="14">
        <v>2020</v>
      </c>
      <c r="E39" s="14">
        <v>2025</v>
      </c>
      <c r="F39" s="14">
        <v>2030</v>
      </c>
      <c r="G39" s="14">
        <v>2035</v>
      </c>
      <c r="H39" s="14">
        <v>2040</v>
      </c>
      <c r="I39" s="14">
        <v>2045</v>
      </c>
      <c r="J39" s="14">
        <v>2050</v>
      </c>
      <c r="M39" s="13" t="s">
        <v>88</v>
      </c>
      <c r="N39" s="14">
        <v>2019</v>
      </c>
      <c r="O39" s="14">
        <v>2020</v>
      </c>
      <c r="P39" s="14">
        <v>2025</v>
      </c>
      <c r="Q39" s="14">
        <v>2030</v>
      </c>
      <c r="R39" s="14">
        <v>2035</v>
      </c>
      <c r="S39" s="14">
        <v>2040</v>
      </c>
      <c r="T39" s="14">
        <v>2045</v>
      </c>
      <c r="U39" s="14">
        <v>2050</v>
      </c>
    </row>
    <row r="40" spans="2:21" ht="14.25" customHeight="1" x14ac:dyDescent="0.2">
      <c r="B40" s="1" t="s">
        <v>89</v>
      </c>
      <c r="C40" s="15"/>
      <c r="D40" s="15">
        <v>27159</v>
      </c>
      <c r="E40" s="15">
        <v>34542</v>
      </c>
      <c r="F40" s="15">
        <v>44869</v>
      </c>
      <c r="G40" s="15">
        <v>55067</v>
      </c>
      <c r="H40" s="15">
        <v>71858</v>
      </c>
      <c r="I40" s="15">
        <v>89365</v>
      </c>
      <c r="J40" s="15">
        <v>105946</v>
      </c>
      <c r="M40" s="1" t="s">
        <v>89</v>
      </c>
      <c r="N40" s="15">
        <f t="array" ref="N40">TREND(O40:U40,O39:U39,N39)</f>
        <v>469.22857142845169</v>
      </c>
      <c r="O40" s="15">
        <v>2336</v>
      </c>
      <c r="P40" s="15">
        <v>3300</v>
      </c>
      <c r="Q40" s="15">
        <v>4627</v>
      </c>
      <c r="R40" s="15">
        <v>6428</v>
      </c>
      <c r="S40" s="15">
        <v>8983</v>
      </c>
      <c r="T40" s="15">
        <v>12211</v>
      </c>
      <c r="U40" s="15">
        <v>16046</v>
      </c>
    </row>
    <row r="41" spans="2:21" ht="14.25" customHeight="1" x14ac:dyDescent="0.2">
      <c r="B41" s="1" t="s">
        <v>90</v>
      </c>
      <c r="C41" s="15"/>
      <c r="D41" s="15">
        <v>33777</v>
      </c>
      <c r="E41" s="15">
        <v>42959</v>
      </c>
      <c r="F41" s="15">
        <v>55803</v>
      </c>
      <c r="G41" s="15">
        <v>68486</v>
      </c>
      <c r="H41" s="15">
        <v>89368</v>
      </c>
      <c r="I41" s="15">
        <v>111141</v>
      </c>
      <c r="J41" s="15">
        <v>131763</v>
      </c>
      <c r="M41" s="1" t="s">
        <v>90</v>
      </c>
      <c r="N41" s="15"/>
      <c r="O41" s="15">
        <v>2906</v>
      </c>
      <c r="P41" s="15">
        <v>4105</v>
      </c>
      <c r="Q41" s="15">
        <v>5756</v>
      </c>
      <c r="R41" s="15">
        <v>7996</v>
      </c>
      <c r="S41" s="15">
        <v>11174</v>
      </c>
      <c r="T41" s="15">
        <v>15189</v>
      </c>
      <c r="U41" s="15">
        <v>19959</v>
      </c>
    </row>
    <row r="42" spans="2:21" ht="14.25" customHeight="1" x14ac:dyDescent="0.2">
      <c r="B42" s="1" t="s">
        <v>91</v>
      </c>
      <c r="C42" s="15"/>
      <c r="D42" s="15">
        <v>18004</v>
      </c>
      <c r="E42" s="15">
        <v>22898</v>
      </c>
      <c r="F42" s="15">
        <v>29744</v>
      </c>
      <c r="G42" s="15">
        <v>36504</v>
      </c>
      <c r="H42" s="15">
        <v>47635</v>
      </c>
      <c r="I42" s="15">
        <v>59240</v>
      </c>
      <c r="J42" s="15">
        <v>70232</v>
      </c>
      <c r="M42" s="1" t="s">
        <v>91</v>
      </c>
      <c r="N42" s="15"/>
      <c r="O42" s="15">
        <v>1549</v>
      </c>
      <c r="P42" s="15">
        <v>2188</v>
      </c>
      <c r="Q42" s="15">
        <v>3068</v>
      </c>
      <c r="R42" s="15">
        <v>4262</v>
      </c>
      <c r="S42" s="15">
        <v>5956</v>
      </c>
      <c r="T42" s="15">
        <v>8096</v>
      </c>
      <c r="U42" s="15">
        <v>10639</v>
      </c>
    </row>
    <row r="43" spans="2:21" ht="14.25" customHeight="1" x14ac:dyDescent="0.2">
      <c r="B43" s="1" t="s">
        <v>92</v>
      </c>
      <c r="C43" s="15"/>
      <c r="D43" s="15">
        <v>20590</v>
      </c>
      <c r="E43" s="15">
        <v>26187</v>
      </c>
      <c r="F43" s="15">
        <v>34016</v>
      </c>
      <c r="G43" s="15">
        <v>41747</v>
      </c>
      <c r="H43" s="15">
        <v>54476</v>
      </c>
      <c r="I43" s="15">
        <v>67748</v>
      </c>
      <c r="J43" s="15">
        <v>80318</v>
      </c>
      <c r="M43" s="1" t="s">
        <v>92</v>
      </c>
      <c r="N43" s="15"/>
      <c r="O43" s="15">
        <v>1771</v>
      </c>
      <c r="P43" s="15">
        <v>2502</v>
      </c>
      <c r="Q43" s="15">
        <v>3508</v>
      </c>
      <c r="R43" s="15">
        <v>4873</v>
      </c>
      <c r="S43" s="15">
        <v>6810</v>
      </c>
      <c r="T43" s="15">
        <v>9257</v>
      </c>
      <c r="U43" s="15">
        <v>12164</v>
      </c>
    </row>
    <row r="44" spans="2:21" ht="14.25" customHeight="1" x14ac:dyDescent="0.2">
      <c r="B44" s="1" t="s">
        <v>93</v>
      </c>
      <c r="C44" s="15"/>
      <c r="D44" s="15">
        <v>4883</v>
      </c>
      <c r="E44" s="15">
        <v>6210</v>
      </c>
      <c r="F44" s="15">
        <v>8067</v>
      </c>
      <c r="G44" s="15">
        <v>9900</v>
      </c>
      <c r="H44" s="15">
        <v>12919</v>
      </c>
      <c r="I44" s="15">
        <v>16066</v>
      </c>
      <c r="J44" s="15">
        <v>19047</v>
      </c>
      <c r="M44" s="1" t="s">
        <v>93</v>
      </c>
      <c r="N44" s="15"/>
      <c r="O44" s="15">
        <v>420</v>
      </c>
      <c r="P44" s="15">
        <v>593</v>
      </c>
      <c r="Q44" s="15">
        <v>831</v>
      </c>
      <c r="R44" s="15">
        <v>1154</v>
      </c>
      <c r="S44" s="15">
        <v>1613</v>
      </c>
      <c r="T44" s="15">
        <v>2193</v>
      </c>
      <c r="U44" s="15">
        <v>2882</v>
      </c>
    </row>
    <row r="45" spans="2:21" ht="14.25" customHeight="1" x14ac:dyDescent="0.2">
      <c r="B45" s="1" t="s">
        <v>94</v>
      </c>
      <c r="C45" s="15"/>
      <c r="D45" s="15">
        <v>7621</v>
      </c>
      <c r="E45" s="15">
        <v>9693</v>
      </c>
      <c r="F45" s="15">
        <v>12591</v>
      </c>
      <c r="G45" s="15">
        <v>15453</v>
      </c>
      <c r="H45" s="15">
        <v>20165</v>
      </c>
      <c r="I45" s="15">
        <v>25078</v>
      </c>
      <c r="J45" s="15">
        <v>29731</v>
      </c>
      <c r="M45" s="1" t="s">
        <v>94</v>
      </c>
      <c r="N45" s="15"/>
      <c r="O45" s="15">
        <v>656</v>
      </c>
      <c r="P45" s="15">
        <v>927</v>
      </c>
      <c r="Q45" s="15">
        <v>1300</v>
      </c>
      <c r="R45" s="15">
        <v>1806</v>
      </c>
      <c r="S45" s="15">
        <v>2524</v>
      </c>
      <c r="T45" s="15">
        <v>3431</v>
      </c>
      <c r="U45" s="15">
        <v>4509</v>
      </c>
    </row>
    <row r="46" spans="2:21" ht="14.25" customHeight="1" x14ac:dyDescent="0.2">
      <c r="B46" s="1" t="s">
        <v>95</v>
      </c>
      <c r="C46" s="15"/>
      <c r="D46" s="15">
        <v>9150</v>
      </c>
      <c r="E46" s="15">
        <v>11637</v>
      </c>
      <c r="F46" s="15">
        <v>15116</v>
      </c>
      <c r="G46" s="15">
        <v>18552</v>
      </c>
      <c r="H46" s="15">
        <v>24209</v>
      </c>
      <c r="I46" s="15">
        <v>30107</v>
      </c>
      <c r="J46" s="15">
        <v>35693</v>
      </c>
      <c r="M46" s="1" t="s">
        <v>95</v>
      </c>
      <c r="N46" s="15"/>
      <c r="O46" s="15">
        <v>787</v>
      </c>
      <c r="P46" s="15">
        <v>1112</v>
      </c>
      <c r="Q46" s="15">
        <v>1559</v>
      </c>
      <c r="R46" s="15">
        <v>2166</v>
      </c>
      <c r="S46" s="15">
        <v>3027</v>
      </c>
      <c r="T46" s="15">
        <v>4115</v>
      </c>
      <c r="U46" s="15">
        <v>5407</v>
      </c>
    </row>
    <row r="47" spans="2:21" ht="14.25" customHeight="1" x14ac:dyDescent="0.2">
      <c r="B47" s="1" t="s">
        <v>96</v>
      </c>
      <c r="C47" s="15"/>
      <c r="D47" s="15">
        <v>3416</v>
      </c>
      <c r="E47" s="15">
        <v>4345</v>
      </c>
      <c r="F47" s="15">
        <v>5644</v>
      </c>
      <c r="G47" s="15">
        <v>6927</v>
      </c>
      <c r="H47" s="15">
        <v>9039</v>
      </c>
      <c r="I47" s="15">
        <v>11241</v>
      </c>
      <c r="J47" s="15">
        <v>13327</v>
      </c>
      <c r="M47" s="1" t="s">
        <v>96</v>
      </c>
      <c r="N47" s="15"/>
      <c r="O47" s="15">
        <v>294</v>
      </c>
      <c r="P47" s="15">
        <v>415</v>
      </c>
      <c r="Q47" s="15">
        <v>582</v>
      </c>
      <c r="R47" s="15">
        <v>809</v>
      </c>
      <c r="S47" s="15">
        <v>1131</v>
      </c>
      <c r="T47" s="15">
        <v>1537</v>
      </c>
      <c r="U47" s="15">
        <v>2020</v>
      </c>
    </row>
    <row r="48" spans="2:21" ht="14.25" customHeight="1" x14ac:dyDescent="0.2">
      <c r="B48" s="1" t="s">
        <v>19</v>
      </c>
      <c r="C48" s="16">
        <f>207.7066667*C39^2 - 833143.1333*C39 + 835546503.4</f>
        <v>117872.84317874908</v>
      </c>
      <c r="D48" s="16">
        <f t="shared" ref="D48:J48" si="6">SUM(D40:D47)</f>
        <v>124600</v>
      </c>
      <c r="E48" s="16">
        <f t="shared" si="6"/>
        <v>158471</v>
      </c>
      <c r="F48" s="16">
        <f t="shared" si="6"/>
        <v>205850</v>
      </c>
      <c r="G48" s="16">
        <f t="shared" si="6"/>
        <v>252636</v>
      </c>
      <c r="H48" s="16">
        <f t="shared" si="6"/>
        <v>329669</v>
      </c>
      <c r="I48" s="16">
        <f t="shared" si="6"/>
        <v>409986</v>
      </c>
      <c r="J48" s="16">
        <f t="shared" si="6"/>
        <v>486057</v>
      </c>
      <c r="M48" s="1" t="s">
        <v>19</v>
      </c>
      <c r="N48" s="16">
        <f>55.42952381*N39^2 - 223523.2905*N39 + 225353574.7</f>
        <v>10800.288155376911</v>
      </c>
      <c r="O48" s="16">
        <f t="shared" ref="O48:U48" si="7">SUM(O40:O47)</f>
        <v>10719</v>
      </c>
      <c r="P48" s="16">
        <f t="shared" si="7"/>
        <v>15142</v>
      </c>
      <c r="Q48" s="16">
        <f t="shared" si="7"/>
        <v>21231</v>
      </c>
      <c r="R48" s="16">
        <f t="shared" si="7"/>
        <v>29494</v>
      </c>
      <c r="S48" s="16">
        <f t="shared" si="7"/>
        <v>41218</v>
      </c>
      <c r="T48" s="16">
        <f t="shared" si="7"/>
        <v>56029</v>
      </c>
      <c r="U48" s="16">
        <f t="shared" si="7"/>
        <v>73626</v>
      </c>
    </row>
    <row r="49" spans="2:5" ht="14.25" customHeight="1" x14ac:dyDescent="0.2"/>
    <row r="50" spans="2:5" ht="14.25" customHeight="1" x14ac:dyDescent="0.2"/>
    <row r="51" spans="2:5" ht="14.25" customHeight="1" x14ac:dyDescent="0.2">
      <c r="B51" s="3" t="s">
        <v>103</v>
      </c>
      <c r="C51" s="3" t="s">
        <v>104</v>
      </c>
      <c r="D51" s="3">
        <v>6.7986111111111108E-2</v>
      </c>
      <c r="E51" s="3">
        <f t="shared" ref="E51:E52" si="8">D51*(D24*10^6)</f>
        <v>1903679097.2222221</v>
      </c>
    </row>
    <row r="52" spans="2:5" ht="14.25" customHeight="1" x14ac:dyDescent="0.2">
      <c r="B52" s="3" t="s">
        <v>105</v>
      </c>
      <c r="C52" s="3" t="s">
        <v>106</v>
      </c>
      <c r="D52" s="3">
        <v>6.4583333333333326E-2</v>
      </c>
      <c r="E52" s="3">
        <f t="shared" si="8"/>
        <v>0</v>
      </c>
    </row>
    <row r="53" spans="2:5" ht="14.25" customHeight="1" x14ac:dyDescent="0.2">
      <c r="B53" s="3" t="s">
        <v>107</v>
      </c>
      <c r="C53" s="3" t="s">
        <v>108</v>
      </c>
      <c r="D53" s="3">
        <v>3.4027777777777775E-2</v>
      </c>
      <c r="E53" s="3">
        <f>D53*(O24*10^6)</f>
        <v>513751388.88888884</v>
      </c>
    </row>
    <row r="54" spans="2:5" ht="14.25" customHeight="1" x14ac:dyDescent="0.2"/>
    <row r="55" spans="2:5" ht="14.25" customHeight="1" x14ac:dyDescent="0.2"/>
    <row r="56" spans="2:5" ht="14.25" customHeight="1" x14ac:dyDescent="0.2"/>
    <row r="57" spans="2:5" ht="14.25" customHeight="1" x14ac:dyDescent="0.2"/>
    <row r="58" spans="2:5" ht="14.25" customHeight="1" x14ac:dyDescent="0.2"/>
    <row r="59" spans="2:5" ht="14.25" customHeight="1" x14ac:dyDescent="0.2"/>
    <row r="60" spans="2:5" ht="14.25" customHeight="1" x14ac:dyDescent="0.2"/>
    <row r="61" spans="2:5" ht="14.25" customHeight="1" x14ac:dyDescent="0.2"/>
    <row r="62" spans="2:5" ht="14.25" customHeight="1" x14ac:dyDescent="0.2"/>
    <row r="63" spans="2:5" ht="14.25" customHeight="1" x14ac:dyDescent="0.2"/>
    <row r="64" spans="2:5"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8">
    <mergeCell ref="B38:J38"/>
    <mergeCell ref="M38:U38"/>
    <mergeCell ref="B2:J2"/>
    <mergeCell ref="M2:U2"/>
    <mergeCell ref="B14:J14"/>
    <mergeCell ref="M14:U14"/>
    <mergeCell ref="B26:J26"/>
    <mergeCell ref="M26:U26"/>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9"/>
  <sheetViews>
    <sheetView workbookViewId="0">
      <selection activeCell="D11" sqref="D11"/>
    </sheetView>
  </sheetViews>
  <sheetFormatPr baseColWidth="10" defaultColWidth="14.5" defaultRowHeight="15" customHeight="1" x14ac:dyDescent="0.2"/>
  <cols>
    <col min="1" max="1" width="22" customWidth="1"/>
    <col min="2" max="2" width="23.83203125" customWidth="1"/>
    <col min="3" max="3" width="20.33203125" customWidth="1"/>
    <col min="4" max="4" width="28.6640625" customWidth="1"/>
    <col min="5" max="5" width="21" customWidth="1"/>
    <col min="6" max="8" width="22.6640625" customWidth="1"/>
    <col min="9" max="9" width="8.5" customWidth="1"/>
    <col min="10" max="26" width="14" customWidth="1"/>
  </cols>
  <sheetData>
    <row r="1" spans="1:26" ht="14.25" customHeight="1" x14ac:dyDescent="0.2">
      <c r="A1" s="18" t="s">
        <v>109</v>
      </c>
      <c r="B1" s="19" t="s">
        <v>110</v>
      </c>
      <c r="C1" s="19" t="s">
        <v>111</v>
      </c>
      <c r="D1" s="19" t="s">
        <v>112</v>
      </c>
      <c r="E1" s="19" t="s">
        <v>113</v>
      </c>
      <c r="F1" s="19" t="s">
        <v>114</v>
      </c>
      <c r="G1" s="19" t="s">
        <v>115</v>
      </c>
      <c r="H1" s="19" t="s">
        <v>116</v>
      </c>
      <c r="I1" s="20"/>
      <c r="J1" s="20"/>
      <c r="K1" s="20"/>
      <c r="L1" s="20"/>
      <c r="M1" s="20"/>
      <c r="N1" s="20"/>
      <c r="O1" s="20"/>
      <c r="P1" s="20"/>
      <c r="Q1" s="20"/>
      <c r="R1" s="20"/>
      <c r="S1" s="20"/>
      <c r="T1" s="20"/>
      <c r="U1" s="20"/>
      <c r="V1" s="20"/>
      <c r="W1" s="20"/>
      <c r="X1" s="20"/>
      <c r="Y1" s="20"/>
      <c r="Z1" s="20"/>
    </row>
    <row r="2" spans="1:26" ht="14.25" customHeight="1" x14ac:dyDescent="0.2">
      <c r="A2" s="21" t="s">
        <v>117</v>
      </c>
      <c r="B2" s="22">
        <v>0</v>
      </c>
      <c r="C2" s="22">
        <v>0</v>
      </c>
      <c r="D2" s="22">
        <v>17592419</v>
      </c>
      <c r="E2" s="22">
        <v>0</v>
      </c>
      <c r="F2" s="22">
        <v>0</v>
      </c>
      <c r="G2" s="22">
        <v>0</v>
      </c>
      <c r="H2" s="22">
        <v>0</v>
      </c>
      <c r="I2" s="20"/>
      <c r="J2" s="22"/>
      <c r="K2" s="20"/>
      <c r="L2" s="20"/>
      <c r="M2" s="20"/>
      <c r="N2" s="20"/>
      <c r="O2" s="20"/>
      <c r="P2" s="20"/>
      <c r="Q2" s="20"/>
      <c r="R2" s="20"/>
      <c r="S2" s="20"/>
      <c r="T2" s="20"/>
      <c r="U2" s="20"/>
      <c r="V2" s="20"/>
      <c r="W2" s="20"/>
      <c r="X2" s="20"/>
      <c r="Y2" s="20"/>
      <c r="Z2" s="20"/>
    </row>
    <row r="3" spans="1:26" ht="14.25" customHeight="1" x14ac:dyDescent="0.2">
      <c r="A3" s="21" t="s">
        <v>118</v>
      </c>
      <c r="B3" s="22">
        <v>0</v>
      </c>
      <c r="C3" s="22">
        <v>0</v>
      </c>
      <c r="D3" s="20">
        <v>0</v>
      </c>
      <c r="E3" s="22">
        <v>331569</v>
      </c>
      <c r="F3" s="22">
        <v>0</v>
      </c>
      <c r="G3" s="22">
        <v>0</v>
      </c>
      <c r="H3" s="22">
        <v>0</v>
      </c>
      <c r="I3" s="22"/>
      <c r="J3" s="23"/>
      <c r="K3" s="20"/>
      <c r="L3" s="20"/>
      <c r="M3" s="20"/>
      <c r="N3" s="20"/>
      <c r="O3" s="20"/>
      <c r="P3" s="20"/>
      <c r="Q3" s="20"/>
      <c r="R3" s="20"/>
      <c r="S3" s="20"/>
      <c r="T3" s="20"/>
      <c r="U3" s="20"/>
      <c r="V3" s="20"/>
      <c r="W3" s="20"/>
      <c r="X3" s="20"/>
      <c r="Y3" s="20"/>
      <c r="Z3" s="20"/>
    </row>
    <row r="4" spans="1:26" ht="14.25" customHeight="1" x14ac:dyDescent="0.2">
      <c r="A4" s="21" t="s">
        <v>119</v>
      </c>
      <c r="B4" s="22">
        <v>0</v>
      </c>
      <c r="C4" s="22">
        <v>0</v>
      </c>
      <c r="D4" s="22">
        <v>1197</v>
      </c>
      <c r="E4" s="24">
        <v>0</v>
      </c>
      <c r="F4" s="22">
        <v>0</v>
      </c>
      <c r="G4" s="22">
        <v>0</v>
      </c>
      <c r="H4" s="22">
        <v>0</v>
      </c>
      <c r="I4" s="20"/>
      <c r="J4" s="20"/>
      <c r="K4" s="20"/>
      <c r="L4" s="20"/>
      <c r="M4" s="20"/>
      <c r="N4" s="20"/>
      <c r="O4" s="20"/>
      <c r="P4" s="20"/>
      <c r="Q4" s="20"/>
      <c r="R4" s="20"/>
      <c r="S4" s="20"/>
      <c r="T4" s="20"/>
      <c r="U4" s="20"/>
      <c r="V4" s="20"/>
      <c r="W4" s="20"/>
      <c r="X4" s="20"/>
      <c r="Y4" s="20"/>
      <c r="Z4" s="20"/>
    </row>
    <row r="5" spans="1:26" ht="14.25" customHeight="1" x14ac:dyDescent="0.2">
      <c r="A5" s="21" t="s">
        <v>120</v>
      </c>
      <c r="B5" s="22">
        <v>97</v>
      </c>
      <c r="C5" s="22">
        <v>0</v>
      </c>
      <c r="D5" s="22">
        <v>0</v>
      </c>
      <c r="E5" s="22">
        <v>667</v>
      </c>
      <c r="F5" s="22">
        <v>0</v>
      </c>
      <c r="G5" s="22">
        <v>0</v>
      </c>
      <c r="H5" s="22">
        <v>0</v>
      </c>
      <c r="I5" s="20"/>
      <c r="J5" s="20"/>
      <c r="K5" s="20"/>
      <c r="L5" s="20"/>
      <c r="M5" s="20"/>
      <c r="N5" s="20"/>
      <c r="O5" s="20"/>
      <c r="P5" s="20"/>
      <c r="Q5" s="20"/>
      <c r="R5" s="20"/>
      <c r="S5" s="20"/>
      <c r="T5" s="20"/>
      <c r="U5" s="20"/>
      <c r="V5" s="20"/>
      <c r="W5" s="20"/>
      <c r="X5" s="20"/>
      <c r="Y5" s="20"/>
      <c r="Z5" s="20"/>
    </row>
    <row r="6" spans="1:26" ht="14.25" customHeight="1" x14ac:dyDescent="0.2">
      <c r="A6" s="21" t="s">
        <v>121</v>
      </c>
      <c r="B6" s="22">
        <v>0</v>
      </c>
      <c r="C6" s="22">
        <v>0</v>
      </c>
      <c r="D6" s="24">
        <v>0</v>
      </c>
      <c r="E6" s="22">
        <v>2222</v>
      </c>
      <c r="F6" s="22">
        <v>0</v>
      </c>
      <c r="G6" s="22">
        <v>0</v>
      </c>
      <c r="H6" s="22">
        <v>0</v>
      </c>
      <c r="I6" s="20"/>
      <c r="J6" s="20"/>
      <c r="K6" s="20"/>
      <c r="L6" s="20"/>
      <c r="M6" s="20"/>
      <c r="N6" s="20"/>
      <c r="O6" s="20"/>
      <c r="P6" s="20"/>
      <c r="Q6" s="20"/>
      <c r="R6" s="20"/>
      <c r="S6" s="20"/>
      <c r="T6" s="20"/>
      <c r="U6" s="20"/>
      <c r="V6" s="20"/>
      <c r="W6" s="20"/>
      <c r="X6" s="20"/>
      <c r="Y6" s="20"/>
      <c r="Z6" s="20"/>
    </row>
    <row r="7" spans="1:26" ht="14.25" customHeight="1" x14ac:dyDescent="0.2">
      <c r="A7" s="21" t="s">
        <v>122</v>
      </c>
      <c r="B7" s="22">
        <v>0</v>
      </c>
      <c r="C7" s="22">
        <v>0</v>
      </c>
      <c r="D7" s="22">
        <v>112771136</v>
      </c>
      <c r="E7" s="22">
        <v>0</v>
      </c>
      <c r="F7" s="22">
        <v>0</v>
      </c>
      <c r="G7" s="22">
        <v>0</v>
      </c>
      <c r="H7" s="22">
        <v>0</v>
      </c>
      <c r="I7" s="20"/>
      <c r="J7" s="20"/>
      <c r="K7" s="20"/>
      <c r="L7" s="20"/>
      <c r="M7" s="20"/>
      <c r="N7" s="20"/>
      <c r="O7" s="20"/>
      <c r="P7" s="20"/>
      <c r="Q7" s="20"/>
      <c r="R7" s="20"/>
      <c r="S7" s="20"/>
      <c r="T7" s="20"/>
      <c r="U7" s="20"/>
      <c r="V7" s="20"/>
      <c r="W7" s="20"/>
      <c r="X7" s="20"/>
      <c r="Y7" s="20"/>
      <c r="Z7" s="20"/>
    </row>
    <row r="8" spans="1:26" ht="14.25" customHeight="1" x14ac:dyDescent="0.2">
      <c r="A8" s="20"/>
      <c r="B8" s="25"/>
      <c r="C8" s="26"/>
      <c r="D8" s="20"/>
      <c r="E8" s="20"/>
      <c r="F8" s="20"/>
      <c r="G8" s="20"/>
      <c r="H8" s="20"/>
      <c r="I8" s="20"/>
      <c r="J8" s="20"/>
      <c r="K8" s="20"/>
      <c r="L8" s="20"/>
      <c r="M8" s="20"/>
      <c r="N8" s="20"/>
      <c r="O8" s="20"/>
      <c r="P8" s="20"/>
      <c r="Q8" s="20"/>
      <c r="R8" s="20"/>
      <c r="S8" s="20"/>
      <c r="T8" s="20"/>
      <c r="U8" s="20"/>
      <c r="V8" s="20"/>
      <c r="W8" s="20"/>
      <c r="X8" s="20"/>
      <c r="Y8" s="20"/>
      <c r="Z8" s="20"/>
    </row>
    <row r="9" spans="1:26" ht="14.25" customHeight="1" x14ac:dyDescent="0.2">
      <c r="A9" s="20"/>
      <c r="B9" s="22"/>
      <c r="C9" s="22"/>
      <c r="D9" s="22"/>
      <c r="E9" s="22"/>
      <c r="F9" s="22"/>
      <c r="G9" s="22"/>
      <c r="H9" s="22"/>
      <c r="I9" s="20"/>
      <c r="J9" s="20"/>
      <c r="K9" s="20"/>
      <c r="L9" s="20"/>
      <c r="M9" s="20"/>
      <c r="N9" s="20"/>
      <c r="O9" s="20"/>
      <c r="P9" s="20"/>
      <c r="Q9" s="20"/>
      <c r="R9" s="20"/>
      <c r="S9" s="20"/>
      <c r="T9" s="20"/>
      <c r="U9" s="20"/>
      <c r="V9" s="20"/>
      <c r="W9" s="20"/>
      <c r="X9" s="20"/>
      <c r="Y9" s="20"/>
      <c r="Z9" s="20"/>
    </row>
    <row r="10" spans="1:26" ht="14.25" customHeight="1" x14ac:dyDescent="0.2">
      <c r="A10" s="27" t="s">
        <v>123</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4.25" customHeight="1" x14ac:dyDescent="0.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4.25" customHeight="1" x14ac:dyDescent="0.2">
      <c r="A12" s="20"/>
      <c r="B12" s="20"/>
      <c r="C12" s="28"/>
      <c r="D12" s="20"/>
      <c r="E12" s="20"/>
      <c r="F12" s="20"/>
      <c r="G12" s="20"/>
      <c r="H12" s="20"/>
      <c r="I12" s="20"/>
      <c r="J12" s="20"/>
      <c r="K12" s="20"/>
      <c r="L12" s="20"/>
      <c r="M12" s="20"/>
      <c r="N12" s="20"/>
      <c r="O12" s="20"/>
      <c r="P12" s="20"/>
      <c r="Q12" s="20"/>
      <c r="R12" s="20"/>
      <c r="S12" s="20"/>
      <c r="T12" s="20"/>
      <c r="U12" s="20"/>
      <c r="V12" s="20"/>
      <c r="W12" s="20"/>
      <c r="X12" s="20"/>
      <c r="Y12" s="20"/>
      <c r="Z12" s="20"/>
    </row>
    <row r="13" spans="1:26" ht="14.25" customHeight="1" x14ac:dyDescent="0.2">
      <c r="A13" s="20"/>
      <c r="B13" s="20"/>
      <c r="C13" s="28"/>
      <c r="D13" s="20"/>
      <c r="E13" s="20"/>
      <c r="F13" s="20"/>
      <c r="G13" s="20"/>
      <c r="H13" s="20"/>
      <c r="I13" s="20"/>
      <c r="J13" s="20"/>
      <c r="K13" s="20"/>
      <c r="L13" s="20"/>
      <c r="M13" s="20"/>
      <c r="N13" s="20"/>
      <c r="O13" s="20"/>
      <c r="P13" s="20"/>
      <c r="Q13" s="20"/>
      <c r="R13" s="20"/>
      <c r="S13" s="20"/>
      <c r="T13" s="20"/>
      <c r="U13" s="20"/>
      <c r="V13" s="20"/>
      <c r="W13" s="20"/>
      <c r="X13" s="20"/>
      <c r="Y13" s="20"/>
      <c r="Z13" s="20"/>
    </row>
    <row r="14" spans="1:26" ht="14.25" customHeight="1"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4.25" customHeight="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4.25" customHeight="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4.25" customHeight="1"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4.25" customHeight="1" x14ac:dyDescent="0.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4.25" customHeight="1" x14ac:dyDescent="0.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4.25" customHeight="1" x14ac:dyDescent="0.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4.25" customHeight="1" x14ac:dyDescent="0.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4.25"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4.2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4.2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4.2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4.2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4.2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4.2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4.2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4.2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4.2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4.2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4.2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4.2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4.2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4.2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4.2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4.2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4.2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4.2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4.2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4.2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4.2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4.2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4.2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4.2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4.2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4.2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4.2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4.2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4.25" customHeight="1"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4.25" customHeight="1"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4.2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4.2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4.25" customHeight="1"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4.25" customHeight="1"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4.25" customHeight="1"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4.2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4.2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4.2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4.2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4.2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4.2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4.2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4.2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4.2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4.2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4.2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4.2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4.2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4.2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2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2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2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2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2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2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2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2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2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2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2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2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2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2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2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2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2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2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2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2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2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2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2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2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2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2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2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2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2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2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2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2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2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2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2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2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2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2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2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2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2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2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2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2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2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2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2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2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2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2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2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2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2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2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2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2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2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2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2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2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2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2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2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2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2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2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2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2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2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2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2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2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2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2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2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2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2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2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2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2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2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2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2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2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2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2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2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2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2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2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2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2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2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2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2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2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2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2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2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2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2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2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2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2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2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2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2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2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2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2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2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2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2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2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2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2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2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2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2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2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2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2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2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2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2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2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2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2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2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2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2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2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2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2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2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2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2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2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B2" sqref="B2:H7"/>
    </sheetView>
  </sheetViews>
  <sheetFormatPr baseColWidth="10" defaultColWidth="14.5" defaultRowHeight="15" customHeight="1" x14ac:dyDescent="0.2"/>
  <cols>
    <col min="1" max="1" width="21.1640625" customWidth="1"/>
    <col min="2" max="2" width="23.83203125" customWidth="1"/>
    <col min="3" max="3" width="20.33203125" customWidth="1"/>
    <col min="4" max="4" width="17.6640625" customWidth="1"/>
    <col min="5" max="5" width="16.6640625" customWidth="1"/>
    <col min="6" max="8" width="22.6640625" customWidth="1"/>
    <col min="9" max="9" width="13" customWidth="1"/>
    <col min="10" max="10" width="12.33203125" customWidth="1"/>
    <col min="11" max="26" width="14" customWidth="1"/>
  </cols>
  <sheetData>
    <row r="1" spans="1:26" ht="14.25" customHeight="1" x14ac:dyDescent="0.2">
      <c r="A1" s="18" t="s">
        <v>109</v>
      </c>
      <c r="B1" s="19" t="s">
        <v>110</v>
      </c>
      <c r="C1" s="19" t="s">
        <v>111</v>
      </c>
      <c r="D1" s="19" t="s">
        <v>112</v>
      </c>
      <c r="E1" s="19" t="s">
        <v>113</v>
      </c>
      <c r="F1" s="19" t="s">
        <v>114</v>
      </c>
      <c r="G1" s="19" t="s">
        <v>115</v>
      </c>
      <c r="H1" s="19" t="s">
        <v>116</v>
      </c>
      <c r="I1" s="20"/>
      <c r="J1" s="20"/>
      <c r="K1" s="20"/>
      <c r="L1" s="20"/>
      <c r="M1" s="20"/>
      <c r="N1" s="20"/>
      <c r="O1" s="20"/>
      <c r="P1" s="20"/>
      <c r="Q1" s="20"/>
      <c r="R1" s="20"/>
      <c r="S1" s="20"/>
      <c r="T1" s="20"/>
      <c r="U1" s="20"/>
      <c r="V1" s="20"/>
      <c r="W1" s="20"/>
      <c r="X1" s="20"/>
      <c r="Y1" s="20"/>
      <c r="Z1" s="20"/>
    </row>
    <row r="2" spans="1:26" ht="14.25" customHeight="1" x14ac:dyDescent="0.2">
      <c r="A2" s="21" t="s">
        <v>117</v>
      </c>
      <c r="B2" s="22">
        <v>0</v>
      </c>
      <c r="C2" s="22">
        <v>0</v>
      </c>
      <c r="D2" s="22">
        <v>0</v>
      </c>
      <c r="E2" s="22">
        <v>0</v>
      </c>
      <c r="F2" s="22">
        <v>0</v>
      </c>
      <c r="G2" s="22">
        <v>0</v>
      </c>
      <c r="H2" s="26">
        <v>0</v>
      </c>
      <c r="I2" s="23"/>
      <c r="J2" s="22"/>
      <c r="K2" s="20"/>
      <c r="L2" s="20"/>
      <c r="M2" s="20"/>
      <c r="N2" s="20"/>
      <c r="O2" s="20"/>
      <c r="P2" s="20"/>
      <c r="Q2" s="20"/>
      <c r="R2" s="20"/>
      <c r="S2" s="20"/>
      <c r="T2" s="20"/>
      <c r="U2" s="20"/>
      <c r="V2" s="20"/>
      <c r="W2" s="20"/>
      <c r="X2" s="20"/>
      <c r="Y2" s="20"/>
      <c r="Z2" s="20"/>
    </row>
    <row r="3" spans="1:26" ht="14.25" customHeight="1" x14ac:dyDescent="0.2">
      <c r="A3" s="21" t="s">
        <v>118</v>
      </c>
      <c r="B3" s="26">
        <v>0</v>
      </c>
      <c r="C3" s="26">
        <v>0</v>
      </c>
      <c r="D3" s="26">
        <v>0</v>
      </c>
      <c r="E3" s="22">
        <v>5021888</v>
      </c>
      <c r="F3" s="26">
        <v>0</v>
      </c>
      <c r="G3" s="26">
        <v>0</v>
      </c>
      <c r="H3" s="26">
        <v>0</v>
      </c>
      <c r="I3" s="20"/>
      <c r="J3" s="22"/>
      <c r="K3" s="20"/>
      <c r="L3" s="20"/>
      <c r="M3" s="20"/>
      <c r="N3" s="20"/>
      <c r="O3" s="20"/>
      <c r="P3" s="20"/>
      <c r="Q3" s="20"/>
      <c r="R3" s="20"/>
      <c r="S3" s="20"/>
      <c r="T3" s="20"/>
      <c r="U3" s="20"/>
      <c r="V3" s="20"/>
      <c r="W3" s="20"/>
      <c r="X3" s="20"/>
      <c r="Y3" s="20"/>
      <c r="Z3" s="20"/>
    </row>
    <row r="4" spans="1:26" ht="14.25" customHeight="1" x14ac:dyDescent="0.2">
      <c r="A4" s="21" t="s">
        <v>119</v>
      </c>
      <c r="B4" s="26">
        <v>0</v>
      </c>
      <c r="C4" s="26">
        <v>0</v>
      </c>
      <c r="D4" s="26">
        <v>0</v>
      </c>
      <c r="E4" s="22">
        <v>0</v>
      </c>
      <c r="F4" s="26">
        <v>0</v>
      </c>
      <c r="G4" s="26">
        <v>0</v>
      </c>
      <c r="H4" s="26">
        <v>0</v>
      </c>
      <c r="I4" s="20"/>
      <c r="J4" s="20"/>
      <c r="K4" s="20"/>
      <c r="L4" s="20"/>
      <c r="M4" s="20"/>
      <c r="N4" s="20"/>
      <c r="O4" s="20"/>
      <c r="P4" s="20"/>
      <c r="Q4" s="20"/>
      <c r="R4" s="20"/>
      <c r="S4" s="20"/>
      <c r="T4" s="20"/>
      <c r="U4" s="20"/>
      <c r="V4" s="20"/>
      <c r="W4" s="20"/>
      <c r="X4" s="20"/>
      <c r="Y4" s="20"/>
      <c r="Z4" s="20"/>
    </row>
    <row r="5" spans="1:26" ht="14.25" customHeight="1" x14ac:dyDescent="0.2">
      <c r="A5" s="21" t="s">
        <v>120</v>
      </c>
      <c r="B5" s="26">
        <v>0</v>
      </c>
      <c r="C5" s="26">
        <v>0</v>
      </c>
      <c r="D5" s="26">
        <v>0</v>
      </c>
      <c r="E5" s="22">
        <v>0</v>
      </c>
      <c r="F5" s="26">
        <v>0</v>
      </c>
      <c r="G5" s="26">
        <v>0</v>
      </c>
      <c r="H5" s="26">
        <v>0</v>
      </c>
      <c r="I5" s="20"/>
      <c r="J5" s="20"/>
      <c r="K5" s="20"/>
      <c r="L5" s="20"/>
      <c r="M5" s="20"/>
      <c r="N5" s="20"/>
      <c r="O5" s="20"/>
      <c r="P5" s="20"/>
      <c r="Q5" s="20"/>
      <c r="R5" s="20"/>
      <c r="S5" s="20"/>
      <c r="T5" s="20"/>
      <c r="U5" s="20"/>
      <c r="V5" s="20"/>
      <c r="W5" s="20"/>
      <c r="X5" s="20"/>
      <c r="Y5" s="20"/>
      <c r="Z5" s="20"/>
    </row>
    <row r="6" spans="1:26" ht="14.25" customHeight="1" x14ac:dyDescent="0.2">
      <c r="A6" s="21" t="s">
        <v>121</v>
      </c>
      <c r="B6" s="26">
        <v>0</v>
      </c>
      <c r="C6" s="26">
        <v>0</v>
      </c>
      <c r="D6" s="26">
        <v>0</v>
      </c>
      <c r="E6" s="22">
        <v>27818</v>
      </c>
      <c r="F6" s="26">
        <v>0</v>
      </c>
      <c r="G6" s="26">
        <v>0</v>
      </c>
      <c r="H6" s="26">
        <v>0</v>
      </c>
      <c r="I6" s="20"/>
      <c r="J6" s="20"/>
      <c r="K6" s="20"/>
      <c r="L6" s="20"/>
      <c r="M6" s="20"/>
      <c r="N6" s="20"/>
      <c r="O6" s="20"/>
      <c r="P6" s="20"/>
      <c r="Q6" s="20"/>
      <c r="R6" s="20"/>
      <c r="S6" s="20"/>
      <c r="T6" s="20"/>
      <c r="U6" s="20"/>
      <c r="V6" s="20"/>
      <c r="W6" s="20"/>
      <c r="X6" s="20"/>
      <c r="Y6" s="20"/>
      <c r="Z6" s="20"/>
    </row>
    <row r="7" spans="1:26" ht="14.25" customHeight="1" x14ac:dyDescent="0.2">
      <c r="A7" s="21" t="s">
        <v>122</v>
      </c>
      <c r="B7" s="26">
        <v>0</v>
      </c>
      <c r="C7" s="26">
        <v>0</v>
      </c>
      <c r="D7" s="26">
        <v>0</v>
      </c>
      <c r="E7" s="22">
        <v>0</v>
      </c>
      <c r="F7" s="26">
        <v>0</v>
      </c>
      <c r="G7" s="26">
        <v>0</v>
      </c>
      <c r="H7" s="26">
        <v>0</v>
      </c>
      <c r="I7" s="20"/>
      <c r="J7" s="20"/>
      <c r="K7" s="20"/>
      <c r="L7" s="20"/>
      <c r="M7" s="20"/>
      <c r="N7" s="20"/>
      <c r="O7" s="20"/>
      <c r="P7" s="20"/>
      <c r="Q7" s="20"/>
      <c r="R7" s="20"/>
      <c r="S7" s="20"/>
      <c r="T7" s="20"/>
      <c r="U7" s="20"/>
      <c r="V7" s="20"/>
      <c r="W7" s="20"/>
      <c r="X7" s="20"/>
      <c r="Y7" s="20"/>
      <c r="Z7" s="20"/>
    </row>
    <row r="8" spans="1:26" ht="14.25" customHeight="1" x14ac:dyDescent="0.2">
      <c r="A8" s="20"/>
      <c r="B8" s="26"/>
      <c r="C8" s="26"/>
      <c r="D8" s="26"/>
      <c r="E8" s="26"/>
      <c r="F8" s="26"/>
      <c r="G8" s="26"/>
      <c r="H8" s="26"/>
      <c r="I8" s="20"/>
      <c r="J8" s="20"/>
      <c r="K8" s="20"/>
      <c r="L8" s="20"/>
      <c r="M8" s="20"/>
      <c r="N8" s="20"/>
      <c r="O8" s="20"/>
      <c r="P8" s="20"/>
      <c r="Q8" s="20"/>
      <c r="R8" s="20"/>
      <c r="S8" s="20"/>
      <c r="T8" s="20"/>
      <c r="U8" s="20"/>
      <c r="V8" s="20"/>
      <c r="W8" s="20"/>
      <c r="X8" s="20"/>
      <c r="Y8" s="20"/>
      <c r="Z8" s="20"/>
    </row>
    <row r="9" spans="1:26" ht="14.25" customHeight="1" x14ac:dyDescent="0.2">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14.25" customHeight="1" x14ac:dyDescent="0.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4.25" customHeight="1" x14ac:dyDescent="0.2">
      <c r="A11" s="27" t="s">
        <v>123</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4.25" customHeight="1"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4.25" customHeight="1"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4.25" customHeight="1"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4.25" customHeight="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4.25" customHeight="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4.25" customHeight="1"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4.25" customHeight="1" x14ac:dyDescent="0.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4.25" customHeight="1" x14ac:dyDescent="0.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4.25" customHeight="1" x14ac:dyDescent="0.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4.25" customHeight="1" x14ac:dyDescent="0.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4.25"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4.2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4.2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4.2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4.2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4.2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4.2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4.2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4.2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4.2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4.2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4.2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4.2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4.2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4.2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4.2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4.2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4.2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4.2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4.2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4.2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4.2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4.2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4.2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4.2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4.2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4.2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4.2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4.2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4.25" customHeight="1"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4.25" customHeight="1"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4.2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4.2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4.25" customHeight="1"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4.25" customHeight="1"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4.25" customHeight="1"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4.2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4.2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4.2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4.2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4.2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4.2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4.2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4.2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4.2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4.2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4.2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4.2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4.2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4.2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2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2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2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2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2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2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2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2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2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2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2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2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2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2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2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2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2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2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2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2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2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2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2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2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2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2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2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2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2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2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2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2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2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2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2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2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2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2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2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2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2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2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2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2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2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2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2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2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2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2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2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2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2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2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2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2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2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2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2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2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2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2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2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2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2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2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2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2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2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2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2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2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2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2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2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2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2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2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2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2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2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2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2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2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2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2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2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2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2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2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2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2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2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2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2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2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2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2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2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2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2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2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2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2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2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2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2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2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2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2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2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2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2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2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2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2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2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2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2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2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2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2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2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2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2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2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2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2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2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2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2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2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2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2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2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2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2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2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4.2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4.2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4.2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4.2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4.2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4.2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4.2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4.2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4.2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4.2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4.2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000"/>
  <sheetViews>
    <sheetView workbookViewId="0"/>
  </sheetViews>
  <sheetFormatPr baseColWidth="10" defaultColWidth="14.5" defaultRowHeight="15" customHeight="1" x14ac:dyDescent="0.2"/>
  <cols>
    <col min="1" max="1" width="13.1640625" customWidth="1"/>
    <col min="2" max="37" width="8.6640625" customWidth="1"/>
  </cols>
  <sheetData>
    <row r="1" spans="1:37" ht="14.25" customHeight="1" x14ac:dyDescent="0.2">
      <c r="A1" s="1"/>
      <c r="B1" s="29">
        <v>2015</v>
      </c>
      <c r="C1" s="1">
        <v>2016</v>
      </c>
      <c r="D1" s="29">
        <v>2017</v>
      </c>
      <c r="E1" s="1">
        <v>2018</v>
      </c>
      <c r="F1" s="29">
        <v>2019</v>
      </c>
      <c r="G1" s="1">
        <v>2020</v>
      </c>
      <c r="H1" s="29">
        <v>2021</v>
      </c>
      <c r="I1" s="1">
        <v>2022</v>
      </c>
      <c r="J1" s="29">
        <v>2023</v>
      </c>
      <c r="K1" s="1">
        <v>2024</v>
      </c>
      <c r="L1" s="29">
        <v>2025</v>
      </c>
      <c r="M1" s="1">
        <v>2026</v>
      </c>
      <c r="N1" s="29">
        <v>2027</v>
      </c>
      <c r="O1" s="1">
        <v>2028</v>
      </c>
      <c r="P1" s="29">
        <v>2029</v>
      </c>
      <c r="Q1" s="1">
        <v>2030</v>
      </c>
      <c r="R1" s="29">
        <v>2031</v>
      </c>
      <c r="S1" s="1">
        <v>2032</v>
      </c>
      <c r="T1" s="29">
        <v>2033</v>
      </c>
      <c r="U1" s="1">
        <v>2034</v>
      </c>
      <c r="V1" s="29">
        <v>2035</v>
      </c>
      <c r="W1" s="1">
        <v>2036</v>
      </c>
      <c r="X1" s="29">
        <v>2037</v>
      </c>
      <c r="Y1" s="1">
        <v>2038</v>
      </c>
      <c r="Z1" s="29">
        <v>2039</v>
      </c>
      <c r="AA1" s="1">
        <v>2040</v>
      </c>
      <c r="AB1" s="29">
        <v>2041</v>
      </c>
      <c r="AC1" s="1">
        <v>2042</v>
      </c>
      <c r="AD1" s="29">
        <v>2043</v>
      </c>
      <c r="AE1" s="1">
        <v>2044</v>
      </c>
      <c r="AF1" s="29">
        <v>2045</v>
      </c>
      <c r="AG1" s="1">
        <v>2046</v>
      </c>
      <c r="AH1" s="29">
        <v>2047</v>
      </c>
      <c r="AI1" s="1">
        <v>2048</v>
      </c>
      <c r="AJ1" s="29">
        <v>2049</v>
      </c>
      <c r="AK1" s="1">
        <v>2050</v>
      </c>
    </row>
    <row r="2" spans="1:37" ht="14.25" customHeight="1" x14ac:dyDescent="0.2">
      <c r="A2" s="1" t="s">
        <v>117</v>
      </c>
      <c r="B2" s="3">
        <v>1.67</v>
      </c>
      <c r="C2" s="3">
        <v>1.67</v>
      </c>
      <c r="D2" s="3">
        <v>1.67</v>
      </c>
      <c r="E2" s="3">
        <v>1.67</v>
      </c>
      <c r="F2" s="3">
        <v>1.67</v>
      </c>
      <c r="G2" s="3">
        <v>1.67</v>
      </c>
      <c r="H2" s="3">
        <v>1.67</v>
      </c>
      <c r="I2" s="3">
        <v>1.67</v>
      </c>
      <c r="J2" s="3">
        <v>1.67</v>
      </c>
      <c r="K2" s="3">
        <v>1.67</v>
      </c>
      <c r="L2" s="3">
        <v>1.67</v>
      </c>
      <c r="M2" s="3">
        <v>1.67</v>
      </c>
      <c r="N2" s="3">
        <v>1.67</v>
      </c>
      <c r="O2" s="3">
        <v>1.67</v>
      </c>
      <c r="P2" s="3">
        <v>1.67</v>
      </c>
      <c r="Q2" s="3">
        <v>1.67</v>
      </c>
      <c r="R2" s="3">
        <v>1.67</v>
      </c>
      <c r="S2" s="3">
        <v>1.67</v>
      </c>
      <c r="T2" s="3">
        <v>1.67</v>
      </c>
      <c r="U2" s="3">
        <v>1.67</v>
      </c>
      <c r="V2" s="3">
        <v>1.67</v>
      </c>
      <c r="W2" s="3">
        <v>1.67</v>
      </c>
      <c r="X2" s="3">
        <v>1.67</v>
      </c>
      <c r="Y2" s="3">
        <v>1.67</v>
      </c>
      <c r="Z2" s="3">
        <v>1.67</v>
      </c>
      <c r="AA2" s="3">
        <v>1.67</v>
      </c>
      <c r="AB2" s="3">
        <v>1.67</v>
      </c>
      <c r="AC2" s="3">
        <v>1.67</v>
      </c>
      <c r="AD2" s="3">
        <v>1.67</v>
      </c>
      <c r="AE2" s="3">
        <v>1.67</v>
      </c>
      <c r="AF2" s="3">
        <v>1.67</v>
      </c>
      <c r="AG2" s="3">
        <v>1.67</v>
      </c>
      <c r="AH2" s="3">
        <v>1.67</v>
      </c>
      <c r="AI2" s="3">
        <v>1.67</v>
      </c>
      <c r="AJ2" s="3">
        <v>1.67</v>
      </c>
      <c r="AK2" s="3">
        <v>1.67</v>
      </c>
    </row>
    <row r="3" spans="1:37" ht="14.25" customHeight="1" x14ac:dyDescent="0.2">
      <c r="A3" s="1" t="s">
        <v>118</v>
      </c>
      <c r="B3" s="30">
        <v>17.62</v>
      </c>
      <c r="C3" s="30">
        <v>17.62</v>
      </c>
      <c r="D3" s="30">
        <v>17.62</v>
      </c>
      <c r="E3" s="30">
        <v>17.62</v>
      </c>
      <c r="F3" s="30">
        <v>17.62</v>
      </c>
      <c r="G3" s="30">
        <v>17.62</v>
      </c>
      <c r="H3" s="30">
        <v>17.62</v>
      </c>
      <c r="I3" s="30">
        <v>17.62</v>
      </c>
      <c r="J3" s="30">
        <v>17.62</v>
      </c>
      <c r="K3" s="30">
        <v>17.62</v>
      </c>
      <c r="L3" s="30">
        <v>17.62</v>
      </c>
      <c r="M3" s="30">
        <v>17.62</v>
      </c>
      <c r="N3" s="30">
        <v>17.62</v>
      </c>
      <c r="O3" s="30">
        <v>17.62</v>
      </c>
      <c r="P3" s="30">
        <v>17.62</v>
      </c>
      <c r="Q3" s="30">
        <v>17.62</v>
      </c>
      <c r="R3" s="30">
        <v>17.62</v>
      </c>
      <c r="S3" s="30">
        <v>17.62</v>
      </c>
      <c r="T3" s="30">
        <v>17.62</v>
      </c>
      <c r="U3" s="30">
        <v>17.62</v>
      </c>
      <c r="V3" s="30">
        <v>17.62</v>
      </c>
      <c r="W3" s="30">
        <v>17.62</v>
      </c>
      <c r="X3" s="30">
        <v>17.62</v>
      </c>
      <c r="Y3" s="30">
        <v>17.62</v>
      </c>
      <c r="Z3" s="30">
        <v>17.62</v>
      </c>
      <c r="AA3" s="30">
        <v>17.62</v>
      </c>
      <c r="AB3" s="30">
        <v>17.62</v>
      </c>
      <c r="AC3" s="30">
        <v>17.62</v>
      </c>
      <c r="AD3" s="30">
        <v>17.62</v>
      </c>
      <c r="AE3" s="30">
        <v>17.62</v>
      </c>
      <c r="AF3" s="30">
        <v>17.62</v>
      </c>
      <c r="AG3" s="30">
        <v>17.62</v>
      </c>
      <c r="AH3" s="30">
        <v>17.62</v>
      </c>
      <c r="AI3" s="30">
        <v>17.62</v>
      </c>
      <c r="AJ3" s="30">
        <v>17.62</v>
      </c>
      <c r="AK3" s="3">
        <v>17.62</v>
      </c>
    </row>
    <row r="4" spans="1:37" ht="14.25" customHeight="1" x14ac:dyDescent="0.2">
      <c r="A4" s="1" t="s">
        <v>119</v>
      </c>
      <c r="B4" s="30">
        <v>137.17017868661307</v>
      </c>
      <c r="C4" s="30">
        <v>137.17017868661307</v>
      </c>
      <c r="D4" s="30">
        <v>137.17017868661307</v>
      </c>
      <c r="E4" s="30">
        <v>137.17017868661307</v>
      </c>
      <c r="F4" s="30">
        <v>137.17017868661307</v>
      </c>
      <c r="G4" s="30">
        <v>137.17017868661307</v>
      </c>
      <c r="H4" s="30">
        <v>137.17017868661307</v>
      </c>
      <c r="I4" s="30">
        <v>137.17017868661307</v>
      </c>
      <c r="J4" s="30">
        <v>137.17017868661307</v>
      </c>
      <c r="K4" s="30">
        <v>137.17017868661307</v>
      </c>
      <c r="L4" s="30">
        <v>137.17017868661307</v>
      </c>
      <c r="M4" s="30">
        <v>137.17017868661307</v>
      </c>
      <c r="N4" s="30">
        <v>137.17017868661307</v>
      </c>
      <c r="O4" s="30">
        <v>137.17017868661307</v>
      </c>
      <c r="P4" s="30">
        <v>137.17017868661307</v>
      </c>
      <c r="Q4" s="30">
        <v>137.17017868661307</v>
      </c>
      <c r="R4" s="30">
        <v>137.17017868661307</v>
      </c>
      <c r="S4" s="30">
        <v>137.17017868661307</v>
      </c>
      <c r="T4" s="30">
        <v>137.17017868661307</v>
      </c>
      <c r="U4" s="30">
        <v>137.17017868661307</v>
      </c>
      <c r="V4" s="30">
        <v>137.17017868661307</v>
      </c>
      <c r="W4" s="30">
        <v>137.17017868661307</v>
      </c>
      <c r="X4" s="30">
        <v>137.17017868661307</v>
      </c>
      <c r="Y4" s="30">
        <v>137.17017868661307</v>
      </c>
      <c r="Z4" s="30">
        <v>137.17017868661307</v>
      </c>
      <c r="AA4" s="30">
        <v>137.17017868661307</v>
      </c>
      <c r="AB4" s="30">
        <v>137.17017868661307</v>
      </c>
      <c r="AC4" s="30">
        <v>137.17017868661307</v>
      </c>
      <c r="AD4" s="30">
        <v>137.17017868661307</v>
      </c>
      <c r="AE4" s="30">
        <v>137.17017868661307</v>
      </c>
      <c r="AF4" s="30">
        <v>137.17017868661307</v>
      </c>
      <c r="AG4" s="30">
        <v>137.17017868661307</v>
      </c>
      <c r="AH4" s="30">
        <v>137.17017868661307</v>
      </c>
      <c r="AI4" s="30">
        <v>137.17017868661307</v>
      </c>
      <c r="AJ4" s="30">
        <v>137.17017868661307</v>
      </c>
      <c r="AK4" s="30">
        <v>137.17017868661307</v>
      </c>
    </row>
    <row r="5" spans="1:37" ht="14.25" customHeight="1" x14ac:dyDescent="0.2">
      <c r="A5" s="1" t="s">
        <v>120</v>
      </c>
      <c r="B5" s="31">
        <v>1301.2820512820508</v>
      </c>
      <c r="C5" s="31">
        <v>1314.1025641025626</v>
      </c>
      <c r="D5" s="31">
        <v>1326.9230769230744</v>
      </c>
      <c r="E5" s="31">
        <v>1339.7435897435862</v>
      </c>
      <c r="F5" s="31">
        <v>1352.5641025641016</v>
      </c>
      <c r="G5" s="31">
        <v>1365.3846153846134</v>
      </c>
      <c r="H5" s="31">
        <v>1378.2051282051252</v>
      </c>
      <c r="I5" s="31">
        <v>1391.0256410256407</v>
      </c>
      <c r="J5" s="31">
        <v>1403.8461538461524</v>
      </c>
      <c r="K5" s="31">
        <v>1416.6666666666642</v>
      </c>
      <c r="L5" s="31">
        <v>1429.487179487176</v>
      </c>
      <c r="M5" s="31">
        <v>1442.3076923076915</v>
      </c>
      <c r="N5" s="31">
        <v>1455.1282051282033</v>
      </c>
      <c r="O5" s="31">
        <v>1467.9487179487151</v>
      </c>
      <c r="P5" s="31">
        <v>1480.7692307692305</v>
      </c>
      <c r="Q5" s="31">
        <v>1493.5897435897423</v>
      </c>
      <c r="R5" s="31">
        <v>1506.4102564102541</v>
      </c>
      <c r="S5" s="31">
        <v>1519.2307692307659</v>
      </c>
      <c r="T5" s="31">
        <v>1532.0512820512813</v>
      </c>
      <c r="U5" s="31">
        <v>1544.8717948717931</v>
      </c>
      <c r="V5" s="31">
        <v>1557.6923076923049</v>
      </c>
      <c r="W5" s="31">
        <v>1570.5128205128203</v>
      </c>
      <c r="X5" s="31">
        <v>1583.3333333333321</v>
      </c>
      <c r="Y5" s="31">
        <v>1596.1538461538439</v>
      </c>
      <c r="Z5" s="31">
        <v>1608.9743589743557</v>
      </c>
      <c r="AA5" s="31">
        <v>1621.7948717948711</v>
      </c>
      <c r="AB5" s="31">
        <v>1634.6153846153829</v>
      </c>
      <c r="AC5" s="31">
        <v>1647.4358974358947</v>
      </c>
      <c r="AD5" s="31">
        <v>1660.2564102564102</v>
      </c>
      <c r="AE5" s="31">
        <v>1673.076923076922</v>
      </c>
      <c r="AF5" s="31">
        <v>1685.8974358974338</v>
      </c>
      <c r="AG5" s="31">
        <v>1698.7179487179455</v>
      </c>
      <c r="AH5" s="31">
        <v>1711.538461538461</v>
      </c>
      <c r="AI5" s="31">
        <v>1724.3589743589728</v>
      </c>
      <c r="AJ5" s="31">
        <v>1737.1794871794846</v>
      </c>
      <c r="AK5" s="31">
        <v>1750</v>
      </c>
    </row>
    <row r="6" spans="1:37" ht="14.25" customHeight="1" x14ac:dyDescent="0.2">
      <c r="A6" s="1" t="s">
        <v>121</v>
      </c>
      <c r="B6" s="3">
        <v>625</v>
      </c>
      <c r="C6" s="3">
        <v>625</v>
      </c>
      <c r="D6" s="3">
        <v>625</v>
      </c>
      <c r="E6" s="3">
        <v>625</v>
      </c>
      <c r="F6" s="3">
        <v>625</v>
      </c>
      <c r="G6" s="3">
        <v>625</v>
      </c>
      <c r="H6" s="3">
        <v>625</v>
      </c>
      <c r="I6" s="3">
        <v>625</v>
      </c>
      <c r="J6" s="3">
        <v>625</v>
      </c>
      <c r="K6" s="3">
        <v>625</v>
      </c>
      <c r="L6" s="3">
        <v>625</v>
      </c>
      <c r="M6" s="3">
        <v>625</v>
      </c>
      <c r="N6" s="3">
        <v>625</v>
      </c>
      <c r="O6" s="3">
        <v>625</v>
      </c>
      <c r="P6" s="3">
        <v>625</v>
      </c>
      <c r="Q6" s="3">
        <v>625</v>
      </c>
      <c r="R6" s="3">
        <v>625</v>
      </c>
      <c r="S6" s="3">
        <v>625</v>
      </c>
      <c r="T6" s="3">
        <v>625</v>
      </c>
      <c r="U6" s="3">
        <v>625</v>
      </c>
      <c r="V6" s="3">
        <v>625</v>
      </c>
      <c r="W6" s="3">
        <v>625</v>
      </c>
      <c r="X6" s="3">
        <v>625</v>
      </c>
      <c r="Y6" s="3">
        <v>625</v>
      </c>
      <c r="Z6" s="3">
        <v>625</v>
      </c>
      <c r="AA6" s="3">
        <v>625</v>
      </c>
      <c r="AB6" s="3">
        <v>625</v>
      </c>
      <c r="AC6" s="3">
        <v>625</v>
      </c>
      <c r="AD6" s="3">
        <v>625</v>
      </c>
      <c r="AE6" s="3">
        <v>625</v>
      </c>
      <c r="AF6" s="3">
        <v>625</v>
      </c>
      <c r="AG6" s="3">
        <v>625</v>
      </c>
      <c r="AH6" s="3">
        <v>625</v>
      </c>
      <c r="AI6" s="3">
        <v>625</v>
      </c>
      <c r="AJ6" s="3">
        <v>625</v>
      </c>
      <c r="AK6" s="3">
        <v>625</v>
      </c>
    </row>
    <row r="7" spans="1:37" ht="14.25" customHeight="1" x14ac:dyDescent="0.2">
      <c r="A7" s="1" t="s">
        <v>122</v>
      </c>
      <c r="B7" s="32">
        <v>1.1076935719115613</v>
      </c>
      <c r="C7" s="32">
        <v>1.1075287251418886</v>
      </c>
      <c r="D7" s="32">
        <v>1.1073638783722159</v>
      </c>
      <c r="E7" s="32">
        <v>1.1071990316025433</v>
      </c>
      <c r="F7" s="32">
        <v>1.1070341848328706</v>
      </c>
      <c r="G7" s="32">
        <v>1.106869338063198</v>
      </c>
      <c r="H7" s="32">
        <v>1.106826150065491</v>
      </c>
      <c r="I7" s="32">
        <v>1.106782962067784</v>
      </c>
      <c r="J7" s="32">
        <v>1.1067397740700771</v>
      </c>
      <c r="K7" s="32">
        <v>1.1066965860723701</v>
      </c>
      <c r="L7" s="32">
        <v>1.1066533980746636</v>
      </c>
      <c r="M7" s="32">
        <v>1.1066228644850717</v>
      </c>
      <c r="N7" s="32">
        <v>1.1065923308954799</v>
      </c>
      <c r="O7" s="32">
        <v>1.1065617973058881</v>
      </c>
      <c r="P7" s="32">
        <v>1.1065312637162963</v>
      </c>
      <c r="Q7" s="32">
        <v>1.106500730126704</v>
      </c>
      <c r="R7" s="32">
        <v>1.1064726132903646</v>
      </c>
      <c r="S7" s="32">
        <v>1.1064444964540252</v>
      </c>
      <c r="T7" s="32">
        <v>1.1064163796176858</v>
      </c>
      <c r="U7" s="32">
        <v>1.1063882627813464</v>
      </c>
      <c r="V7" s="32">
        <v>1.106360145945007</v>
      </c>
      <c r="W7" s="32">
        <v>1.1064010177468386</v>
      </c>
      <c r="X7" s="32">
        <v>1.1064418895486703</v>
      </c>
      <c r="Y7" s="32">
        <v>1.1064827613505019</v>
      </c>
      <c r="Z7" s="32">
        <v>1.1065236331523336</v>
      </c>
      <c r="AA7" s="32">
        <v>1.1065645049541648</v>
      </c>
      <c r="AB7" s="32">
        <v>1.1065255128008118</v>
      </c>
      <c r="AC7" s="32">
        <v>1.1064865206474588</v>
      </c>
      <c r="AD7" s="32">
        <v>1.1064475284941058</v>
      </c>
      <c r="AE7" s="32">
        <v>1.1064085363407528</v>
      </c>
      <c r="AF7" s="32">
        <v>1.1063695441873997</v>
      </c>
      <c r="AG7" s="32">
        <v>1.1060003580683904</v>
      </c>
      <c r="AH7" s="32">
        <v>1.105631171949381</v>
      </c>
      <c r="AI7" s="32">
        <v>1.1052619858303716</v>
      </c>
      <c r="AJ7" s="32">
        <v>1.1048927997113622</v>
      </c>
      <c r="AK7" s="32">
        <v>1.1045236135923531</v>
      </c>
    </row>
    <row r="8" spans="1:37" ht="14.25" customHeight="1" x14ac:dyDescent="0.2"/>
    <row r="9" spans="1:37" ht="14.25" customHeight="1" x14ac:dyDescent="0.2"/>
    <row r="10" spans="1:37" ht="14.25" customHeight="1" x14ac:dyDescent="0.2"/>
    <row r="11" spans="1:37" ht="14.25" customHeight="1" x14ac:dyDescent="0.2"/>
    <row r="12" spans="1:37" ht="14.25" customHeight="1" x14ac:dyDescent="0.2"/>
    <row r="13" spans="1:37" ht="14.25" customHeight="1" x14ac:dyDescent="0.2"/>
    <row r="14" spans="1:37" ht="14.25" customHeight="1" x14ac:dyDescent="0.2"/>
    <row r="15" spans="1:37" ht="14.25" customHeight="1" x14ac:dyDescent="0.2"/>
    <row r="16" spans="1:3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workbookViewId="0"/>
  </sheetViews>
  <sheetFormatPr baseColWidth="10" defaultColWidth="14.5" defaultRowHeight="15" customHeight="1" x14ac:dyDescent="0.2"/>
  <cols>
    <col min="1" max="1" width="11.6640625" customWidth="1"/>
    <col min="2" max="36" width="8.6640625" customWidth="1"/>
  </cols>
  <sheetData>
    <row r="1" spans="1:36" ht="14.25" customHeight="1" x14ac:dyDescent="0.2">
      <c r="A1" s="1"/>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ht="14.25" customHeight="1" x14ac:dyDescent="0.2">
      <c r="A2" s="1" t="s">
        <v>117</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v>0</v>
      </c>
    </row>
    <row r="3" spans="1:36" ht="14.25" customHeight="1" x14ac:dyDescent="0.2">
      <c r="A3" s="1" t="s">
        <v>118</v>
      </c>
      <c r="B3" s="30">
        <v>16</v>
      </c>
      <c r="C3" s="30">
        <v>16</v>
      </c>
      <c r="D3" s="30">
        <v>16</v>
      </c>
      <c r="E3" s="30">
        <v>16</v>
      </c>
      <c r="F3" s="30">
        <v>16</v>
      </c>
      <c r="G3" s="30">
        <v>16</v>
      </c>
      <c r="H3" s="30">
        <v>16</v>
      </c>
      <c r="I3" s="30">
        <v>16</v>
      </c>
      <c r="J3" s="30">
        <v>16</v>
      </c>
      <c r="K3" s="30">
        <v>16</v>
      </c>
      <c r="L3" s="30">
        <v>16</v>
      </c>
      <c r="M3" s="30">
        <v>16</v>
      </c>
      <c r="N3" s="30">
        <v>16</v>
      </c>
      <c r="O3" s="30">
        <v>16</v>
      </c>
      <c r="P3" s="30">
        <v>16</v>
      </c>
      <c r="Q3" s="30">
        <v>16</v>
      </c>
      <c r="R3" s="30">
        <v>16</v>
      </c>
      <c r="S3" s="30">
        <v>16</v>
      </c>
      <c r="T3" s="30">
        <v>16</v>
      </c>
      <c r="U3" s="30">
        <v>16</v>
      </c>
      <c r="V3" s="30">
        <v>16</v>
      </c>
      <c r="W3" s="30">
        <v>16</v>
      </c>
      <c r="X3" s="30">
        <v>16</v>
      </c>
      <c r="Y3" s="30">
        <v>16</v>
      </c>
      <c r="Z3" s="30">
        <v>16</v>
      </c>
      <c r="AA3" s="30">
        <v>16</v>
      </c>
      <c r="AB3" s="30">
        <v>16</v>
      </c>
      <c r="AC3" s="30">
        <v>16</v>
      </c>
      <c r="AD3" s="30">
        <v>16</v>
      </c>
      <c r="AE3" s="30">
        <v>16</v>
      </c>
      <c r="AF3" s="30">
        <v>16</v>
      </c>
      <c r="AG3" s="30">
        <v>16</v>
      </c>
      <c r="AH3" s="30">
        <v>16</v>
      </c>
      <c r="AI3" s="30">
        <v>16</v>
      </c>
      <c r="AJ3" s="30">
        <v>16</v>
      </c>
    </row>
    <row r="4" spans="1:36" ht="14.25" customHeight="1" x14ac:dyDescent="0.2">
      <c r="A4" s="1" t="s">
        <v>119</v>
      </c>
      <c r="B4" s="30">
        <v>41.989116133258747</v>
      </c>
      <c r="C4" s="31">
        <v>41.989116133258747</v>
      </c>
      <c r="D4" s="31">
        <v>41.989116133258747</v>
      </c>
      <c r="E4" s="31">
        <v>41.989116133258747</v>
      </c>
      <c r="F4" s="31">
        <v>41.989116133258747</v>
      </c>
      <c r="G4" s="31">
        <v>41.989116133258747</v>
      </c>
      <c r="H4" s="31">
        <v>41.989116133258747</v>
      </c>
      <c r="I4" s="31">
        <v>41.989116133258747</v>
      </c>
      <c r="J4" s="31">
        <v>41.989116133258747</v>
      </c>
      <c r="K4" s="31">
        <v>41.989116133258747</v>
      </c>
      <c r="L4" s="31">
        <v>41.989116133258747</v>
      </c>
      <c r="M4" s="31">
        <v>41.989116133258747</v>
      </c>
      <c r="N4" s="31">
        <v>41.989116133258747</v>
      </c>
      <c r="O4" s="31">
        <v>41.989116133258747</v>
      </c>
      <c r="P4" s="31">
        <v>41.989116133258747</v>
      </c>
      <c r="Q4" s="31">
        <v>41.989116133258747</v>
      </c>
      <c r="R4" s="31">
        <v>41.989116133258747</v>
      </c>
      <c r="S4" s="31">
        <v>41.989116133258747</v>
      </c>
      <c r="T4" s="31">
        <v>41.989116133258747</v>
      </c>
      <c r="U4" s="31">
        <v>41.989116133258747</v>
      </c>
      <c r="V4" s="31">
        <v>41.989116133258747</v>
      </c>
      <c r="W4" s="31">
        <v>41.989116133258747</v>
      </c>
      <c r="X4" s="31">
        <v>41.989116133258747</v>
      </c>
      <c r="Y4" s="31">
        <v>41.989116133258747</v>
      </c>
      <c r="Z4" s="31">
        <v>41.989116133258747</v>
      </c>
      <c r="AA4" s="31">
        <v>41.989116133258747</v>
      </c>
      <c r="AB4" s="31">
        <v>41.989116133258747</v>
      </c>
      <c r="AC4" s="31">
        <v>41.989116133258747</v>
      </c>
      <c r="AD4" s="31">
        <v>41.989116133258747</v>
      </c>
      <c r="AE4" s="31">
        <v>41.989116133258747</v>
      </c>
      <c r="AF4" s="31">
        <v>41.989116133258747</v>
      </c>
      <c r="AG4" s="31">
        <v>41.989116133258747</v>
      </c>
      <c r="AH4" s="31">
        <v>41.989116133258747</v>
      </c>
      <c r="AI4" s="31">
        <v>41.989116133258747</v>
      </c>
      <c r="AJ4" s="31">
        <v>41.989116133258747</v>
      </c>
    </row>
    <row r="5" spans="1:36" ht="14.25" customHeight="1" x14ac:dyDescent="0.2">
      <c r="A5" s="1" t="s">
        <v>120</v>
      </c>
      <c r="B5" s="31">
        <v>3512.35916421195</v>
      </c>
      <c r="C5" s="31">
        <v>3512.35916421195</v>
      </c>
      <c r="D5" s="31">
        <v>3512.35916421195</v>
      </c>
      <c r="E5" s="31">
        <v>3512.35916421195</v>
      </c>
      <c r="F5" s="31">
        <v>3512.35916421195</v>
      </c>
      <c r="G5" s="31">
        <v>3512.35916421195</v>
      </c>
      <c r="H5" s="31">
        <v>3512.35916421195</v>
      </c>
      <c r="I5" s="31">
        <v>3512.35916421195</v>
      </c>
      <c r="J5" s="31">
        <v>3512.35916421195</v>
      </c>
      <c r="K5" s="31">
        <v>3512.35916421195</v>
      </c>
      <c r="L5" s="31">
        <v>3512.35916421195</v>
      </c>
      <c r="M5" s="31">
        <v>3512.35916421195</v>
      </c>
      <c r="N5" s="31">
        <v>3512.35916421195</v>
      </c>
      <c r="O5" s="31">
        <v>3512.35916421195</v>
      </c>
      <c r="P5" s="31">
        <v>3512.35916421195</v>
      </c>
      <c r="Q5" s="31">
        <v>3512.35916421195</v>
      </c>
      <c r="R5" s="31">
        <v>3512.35916421195</v>
      </c>
      <c r="S5" s="31">
        <v>3512.35916421195</v>
      </c>
      <c r="T5" s="31">
        <v>3512.35916421195</v>
      </c>
      <c r="U5" s="31">
        <v>3512.35916421195</v>
      </c>
      <c r="V5" s="31">
        <v>3512.35916421195</v>
      </c>
      <c r="W5" s="31">
        <v>3512.35916421195</v>
      </c>
      <c r="X5" s="31">
        <v>3512.35916421195</v>
      </c>
      <c r="Y5" s="31">
        <v>3512.35916421195</v>
      </c>
      <c r="Z5" s="31">
        <v>3512.35916421195</v>
      </c>
      <c r="AA5" s="31">
        <v>3512.35916421195</v>
      </c>
      <c r="AB5" s="31">
        <v>3512.35916421195</v>
      </c>
      <c r="AC5" s="31">
        <v>3512.35916421195</v>
      </c>
      <c r="AD5" s="31">
        <v>3512.35916421195</v>
      </c>
      <c r="AE5" s="31">
        <v>3512.35916421195</v>
      </c>
      <c r="AF5" s="31">
        <v>3512.35916421195</v>
      </c>
      <c r="AG5" s="31">
        <v>3512.35916421195</v>
      </c>
      <c r="AH5" s="31">
        <v>3512.35916421195</v>
      </c>
      <c r="AI5" s="31">
        <v>3512.35916421195</v>
      </c>
      <c r="AJ5" s="31">
        <v>3512.35916421195</v>
      </c>
    </row>
    <row r="6" spans="1:36" ht="14.25" customHeight="1" x14ac:dyDescent="0.2">
      <c r="A6" s="1" t="s">
        <v>121</v>
      </c>
      <c r="B6" s="31">
        <v>1363.3853547764243</v>
      </c>
      <c r="C6" s="31">
        <v>1363.3853547764243</v>
      </c>
      <c r="D6" s="31">
        <v>1363.3853547764243</v>
      </c>
      <c r="E6" s="31">
        <v>1363.3853547764243</v>
      </c>
      <c r="F6" s="31">
        <v>1363.3853547764243</v>
      </c>
      <c r="G6" s="31">
        <v>1363.3853547764243</v>
      </c>
      <c r="H6" s="31">
        <v>1363.3853547764243</v>
      </c>
      <c r="I6" s="31">
        <v>1363.3853547764243</v>
      </c>
      <c r="J6" s="31">
        <v>1363.3853547764243</v>
      </c>
      <c r="K6" s="31">
        <v>1363.3853547764243</v>
      </c>
      <c r="L6" s="31">
        <v>1363.3853547764243</v>
      </c>
      <c r="M6" s="31">
        <v>1363.3853547764243</v>
      </c>
      <c r="N6" s="31">
        <v>1363.3853547764243</v>
      </c>
      <c r="O6" s="31">
        <v>1363.3853547764243</v>
      </c>
      <c r="P6" s="31">
        <v>1363.3853547764243</v>
      </c>
      <c r="Q6" s="31">
        <v>1363.3853547764243</v>
      </c>
      <c r="R6" s="31">
        <v>1363.3853547764243</v>
      </c>
      <c r="S6" s="31">
        <v>1363.3853547764243</v>
      </c>
      <c r="T6" s="31">
        <v>1363.3853547764243</v>
      </c>
      <c r="U6" s="31">
        <v>1363.3853547764243</v>
      </c>
      <c r="V6" s="31">
        <v>1363.3853547764243</v>
      </c>
      <c r="W6" s="31">
        <v>1363.3853547764243</v>
      </c>
      <c r="X6" s="31">
        <v>1363.3853547764243</v>
      </c>
      <c r="Y6" s="31">
        <v>1363.3853547764243</v>
      </c>
      <c r="Z6" s="31">
        <v>1363.3853547764243</v>
      </c>
      <c r="AA6" s="31">
        <v>1363.3853547764243</v>
      </c>
      <c r="AB6" s="31">
        <v>1363.3853547764243</v>
      </c>
      <c r="AC6" s="31">
        <v>1363.3853547764243</v>
      </c>
      <c r="AD6" s="31">
        <v>1363.3853547764243</v>
      </c>
      <c r="AE6" s="31">
        <v>1363.3853547764243</v>
      </c>
      <c r="AF6" s="31">
        <v>1363.3853547764243</v>
      </c>
      <c r="AG6" s="31">
        <v>1363.3853547764243</v>
      </c>
      <c r="AH6" s="31">
        <v>1363.3853547764243</v>
      </c>
      <c r="AI6" s="31">
        <v>1363.3853547764243</v>
      </c>
      <c r="AJ6" s="31">
        <v>1363.3853547764243</v>
      </c>
    </row>
    <row r="7" spans="1:36" ht="14.25" customHeight="1" x14ac:dyDescent="0.2">
      <c r="A7" s="1" t="s">
        <v>122</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row>
    <row r="8" spans="1:36" ht="14.25" customHeight="1" x14ac:dyDescent="0.2"/>
    <row r="9" spans="1:36" ht="14.25" customHeight="1" x14ac:dyDescent="0.2"/>
    <row r="10" spans="1:36" ht="14.25" customHeight="1" x14ac:dyDescent="0.2"/>
    <row r="11" spans="1:36" ht="14.25" customHeight="1" x14ac:dyDescent="0.2"/>
    <row r="12" spans="1:36" ht="14.25" customHeight="1" x14ac:dyDescent="0.2"/>
    <row r="13" spans="1:36" ht="14.25" customHeight="1" x14ac:dyDescent="0.2"/>
    <row r="14" spans="1:36" ht="14.25" customHeight="1" x14ac:dyDescent="0.2"/>
    <row r="15" spans="1:36" ht="14.25" customHeight="1" x14ac:dyDescent="0.2"/>
    <row r="16" spans="1:3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BA1000"/>
  <sheetViews>
    <sheetView tabSelected="1" topLeftCell="U1" workbookViewId="0">
      <selection activeCell="AH2" sqref="AH2:BA7"/>
    </sheetView>
  </sheetViews>
  <sheetFormatPr baseColWidth="10" defaultColWidth="14.5" defaultRowHeight="15" customHeight="1" x14ac:dyDescent="0.2"/>
  <cols>
    <col min="1" max="1" width="16.5" customWidth="1"/>
    <col min="2" max="3" width="14.1640625" customWidth="1"/>
    <col min="4" max="33" width="15.1640625" customWidth="1"/>
  </cols>
  <sheetData>
    <row r="1" spans="1:53" ht="14.25" customHeight="1" x14ac:dyDescent="0.2">
      <c r="A1" s="33" t="s">
        <v>124</v>
      </c>
      <c r="B1" s="29">
        <v>2019</v>
      </c>
      <c r="C1" s="29">
        <v>2020</v>
      </c>
      <c r="D1" s="29">
        <v>2021</v>
      </c>
      <c r="E1" s="29">
        <v>2022</v>
      </c>
      <c r="F1" s="29">
        <v>2023</v>
      </c>
      <c r="G1" s="29">
        <v>2024</v>
      </c>
      <c r="H1" s="29">
        <v>2025</v>
      </c>
      <c r="I1" s="29">
        <v>2026</v>
      </c>
      <c r="J1" s="29">
        <v>2027</v>
      </c>
      <c r="K1" s="29">
        <v>2028</v>
      </c>
      <c r="L1" s="29">
        <v>2029</v>
      </c>
      <c r="M1" s="29">
        <v>2030</v>
      </c>
      <c r="N1" s="29">
        <v>2031</v>
      </c>
      <c r="O1" s="29">
        <v>2032</v>
      </c>
      <c r="P1" s="29">
        <v>2033</v>
      </c>
      <c r="Q1" s="29">
        <v>2034</v>
      </c>
      <c r="R1" s="29">
        <v>2035</v>
      </c>
      <c r="S1" s="29">
        <v>2036</v>
      </c>
      <c r="T1" s="29">
        <v>2037</v>
      </c>
      <c r="U1" s="29">
        <v>2038</v>
      </c>
      <c r="V1" s="29">
        <v>2039</v>
      </c>
      <c r="W1" s="29">
        <v>2040</v>
      </c>
      <c r="X1" s="29">
        <v>2041</v>
      </c>
      <c r="Y1" s="29">
        <v>2042</v>
      </c>
      <c r="Z1" s="29">
        <v>2043</v>
      </c>
      <c r="AA1" s="29">
        <v>2044</v>
      </c>
      <c r="AB1" s="29">
        <v>2045</v>
      </c>
      <c r="AC1" s="29">
        <v>2046</v>
      </c>
      <c r="AD1" s="29">
        <v>2047</v>
      </c>
      <c r="AE1" s="29">
        <v>2048</v>
      </c>
      <c r="AF1" s="29">
        <v>2049</v>
      </c>
      <c r="AG1" s="29">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ht="14.25" customHeight="1" x14ac:dyDescent="0.2">
      <c r="A2" t="s">
        <v>117</v>
      </c>
      <c r="B2" s="31">
        <f>'Deep Decarbonization'!C12*0.93*0.621371*10^6/('SYVbT-passenger'!D2+'SYVbT-passenger'!E3+'SYVbT-passenger'!D7)/'AVLo-passengers'!F2</f>
        <v>7040.0762349828437</v>
      </c>
      <c r="C2" s="31">
        <f t="shared" ref="C2:AG2" si="0">$B$2</f>
        <v>7040.0762349828437</v>
      </c>
      <c r="D2" s="31">
        <f t="shared" si="0"/>
        <v>7040.0762349828437</v>
      </c>
      <c r="E2" s="31">
        <f t="shared" si="0"/>
        <v>7040.0762349828437</v>
      </c>
      <c r="F2" s="31">
        <f t="shared" si="0"/>
        <v>7040.0762349828437</v>
      </c>
      <c r="G2" s="31">
        <f t="shared" si="0"/>
        <v>7040.0762349828437</v>
      </c>
      <c r="H2" s="31">
        <f t="shared" si="0"/>
        <v>7040.0762349828437</v>
      </c>
      <c r="I2" s="31">
        <f t="shared" si="0"/>
        <v>7040.0762349828437</v>
      </c>
      <c r="J2" s="31">
        <f t="shared" si="0"/>
        <v>7040.0762349828437</v>
      </c>
      <c r="K2" s="31">
        <f t="shared" si="0"/>
        <v>7040.0762349828437</v>
      </c>
      <c r="L2" s="31">
        <f t="shared" si="0"/>
        <v>7040.0762349828437</v>
      </c>
      <c r="M2" s="31">
        <f t="shared" si="0"/>
        <v>7040.0762349828437</v>
      </c>
      <c r="N2" s="31">
        <f t="shared" si="0"/>
        <v>7040.0762349828437</v>
      </c>
      <c r="O2" s="31">
        <f t="shared" si="0"/>
        <v>7040.0762349828437</v>
      </c>
      <c r="P2" s="31">
        <f t="shared" si="0"/>
        <v>7040.0762349828437</v>
      </c>
      <c r="Q2" s="31">
        <f t="shared" si="0"/>
        <v>7040.0762349828437</v>
      </c>
      <c r="R2" s="31">
        <f t="shared" si="0"/>
        <v>7040.0762349828437</v>
      </c>
      <c r="S2" s="31">
        <f t="shared" si="0"/>
        <v>7040.0762349828437</v>
      </c>
      <c r="T2" s="31">
        <f t="shared" si="0"/>
        <v>7040.0762349828437</v>
      </c>
      <c r="U2" s="31">
        <f t="shared" si="0"/>
        <v>7040.0762349828437</v>
      </c>
      <c r="V2" s="31">
        <f t="shared" si="0"/>
        <v>7040.0762349828437</v>
      </c>
      <c r="W2" s="31">
        <f t="shared" si="0"/>
        <v>7040.0762349828437</v>
      </c>
      <c r="X2" s="31">
        <f t="shared" si="0"/>
        <v>7040.0762349828437</v>
      </c>
      <c r="Y2" s="31">
        <f t="shared" si="0"/>
        <v>7040.0762349828437</v>
      </c>
      <c r="Z2" s="31">
        <f t="shared" si="0"/>
        <v>7040.0762349828437</v>
      </c>
      <c r="AA2" s="31">
        <f t="shared" si="0"/>
        <v>7040.0762349828437</v>
      </c>
      <c r="AB2" s="31">
        <f t="shared" si="0"/>
        <v>7040.0762349828437</v>
      </c>
      <c r="AC2" s="31">
        <f t="shared" si="0"/>
        <v>7040.0762349828437</v>
      </c>
      <c r="AD2" s="31">
        <f t="shared" si="0"/>
        <v>7040.0762349828437</v>
      </c>
      <c r="AE2" s="31">
        <f t="shared" si="0"/>
        <v>7040.0762349828437</v>
      </c>
      <c r="AF2" s="31">
        <f t="shared" si="0"/>
        <v>7040.0762349828437</v>
      </c>
      <c r="AG2" s="31">
        <f t="shared" si="0"/>
        <v>7040.0762349828437</v>
      </c>
      <c r="AH2" s="31">
        <f>AG2</f>
        <v>7040.0762349828437</v>
      </c>
      <c r="AI2" s="31">
        <f t="shared" ref="AI2:BA7" si="1">AH2</f>
        <v>7040.0762349828437</v>
      </c>
      <c r="AJ2" s="31">
        <f t="shared" si="1"/>
        <v>7040.0762349828437</v>
      </c>
      <c r="AK2" s="31">
        <f t="shared" si="1"/>
        <v>7040.0762349828437</v>
      </c>
      <c r="AL2" s="31">
        <f t="shared" si="1"/>
        <v>7040.0762349828437</v>
      </c>
      <c r="AM2" s="31">
        <f t="shared" si="1"/>
        <v>7040.0762349828437</v>
      </c>
      <c r="AN2" s="31">
        <f t="shared" si="1"/>
        <v>7040.0762349828437</v>
      </c>
      <c r="AO2" s="31">
        <f t="shared" si="1"/>
        <v>7040.0762349828437</v>
      </c>
      <c r="AP2" s="31">
        <f t="shared" si="1"/>
        <v>7040.0762349828437</v>
      </c>
      <c r="AQ2" s="31">
        <f t="shared" si="1"/>
        <v>7040.0762349828437</v>
      </c>
      <c r="AR2" s="31">
        <f t="shared" si="1"/>
        <v>7040.0762349828437</v>
      </c>
      <c r="AS2" s="31">
        <f t="shared" si="1"/>
        <v>7040.0762349828437</v>
      </c>
      <c r="AT2" s="31">
        <f t="shared" si="1"/>
        <v>7040.0762349828437</v>
      </c>
      <c r="AU2" s="31">
        <f t="shared" si="1"/>
        <v>7040.0762349828437</v>
      </c>
      <c r="AV2" s="31">
        <f t="shared" si="1"/>
        <v>7040.0762349828437</v>
      </c>
      <c r="AW2" s="31">
        <f t="shared" si="1"/>
        <v>7040.0762349828437</v>
      </c>
      <c r="AX2" s="31">
        <f t="shared" si="1"/>
        <v>7040.0762349828437</v>
      </c>
      <c r="AY2" s="31">
        <f t="shared" si="1"/>
        <v>7040.0762349828437</v>
      </c>
      <c r="AZ2" s="31">
        <f t="shared" si="1"/>
        <v>7040.0762349828437</v>
      </c>
      <c r="BA2" s="31">
        <f t="shared" si="1"/>
        <v>7040.0762349828437</v>
      </c>
    </row>
    <row r="3" spans="1:53" ht="14.25" customHeight="1" x14ac:dyDescent="0.2">
      <c r="A3" t="s">
        <v>118</v>
      </c>
      <c r="B3" s="31">
        <f>'Deep Decarbonization'!C12*0.07*0.621371*10^6/('SYVbT-passenger'!D2+'SYVbT-passenger'!E3+'SYVbT-passenger'!D7)/'AVLo-passengers'!F3</f>
        <v>50.223042722071355</v>
      </c>
      <c r="C3" s="31">
        <f t="shared" ref="C3:AG3" si="2">$B$3</f>
        <v>50.223042722071355</v>
      </c>
      <c r="D3" s="31">
        <f t="shared" si="2"/>
        <v>50.223042722071355</v>
      </c>
      <c r="E3" s="31">
        <f t="shared" si="2"/>
        <v>50.223042722071355</v>
      </c>
      <c r="F3" s="31">
        <f t="shared" si="2"/>
        <v>50.223042722071355</v>
      </c>
      <c r="G3" s="31">
        <f t="shared" si="2"/>
        <v>50.223042722071355</v>
      </c>
      <c r="H3" s="31">
        <f t="shared" si="2"/>
        <v>50.223042722071355</v>
      </c>
      <c r="I3" s="31">
        <f t="shared" si="2"/>
        <v>50.223042722071355</v>
      </c>
      <c r="J3" s="31">
        <f t="shared" si="2"/>
        <v>50.223042722071355</v>
      </c>
      <c r="K3" s="31">
        <f t="shared" si="2"/>
        <v>50.223042722071355</v>
      </c>
      <c r="L3" s="31">
        <f t="shared" si="2"/>
        <v>50.223042722071355</v>
      </c>
      <c r="M3" s="31">
        <f t="shared" si="2"/>
        <v>50.223042722071355</v>
      </c>
      <c r="N3" s="31">
        <f t="shared" si="2"/>
        <v>50.223042722071355</v>
      </c>
      <c r="O3" s="31">
        <f t="shared" si="2"/>
        <v>50.223042722071355</v>
      </c>
      <c r="P3" s="31">
        <f t="shared" si="2"/>
        <v>50.223042722071355</v>
      </c>
      <c r="Q3" s="31">
        <f t="shared" si="2"/>
        <v>50.223042722071355</v>
      </c>
      <c r="R3" s="31">
        <f t="shared" si="2"/>
        <v>50.223042722071355</v>
      </c>
      <c r="S3" s="31">
        <f t="shared" si="2"/>
        <v>50.223042722071355</v>
      </c>
      <c r="T3" s="31">
        <f t="shared" si="2"/>
        <v>50.223042722071355</v>
      </c>
      <c r="U3" s="31">
        <f t="shared" si="2"/>
        <v>50.223042722071355</v>
      </c>
      <c r="V3" s="31">
        <f t="shared" si="2"/>
        <v>50.223042722071355</v>
      </c>
      <c r="W3" s="31">
        <f t="shared" si="2"/>
        <v>50.223042722071355</v>
      </c>
      <c r="X3" s="31">
        <f t="shared" si="2"/>
        <v>50.223042722071355</v>
      </c>
      <c r="Y3" s="31">
        <f t="shared" si="2"/>
        <v>50.223042722071355</v>
      </c>
      <c r="Z3" s="31">
        <f t="shared" si="2"/>
        <v>50.223042722071355</v>
      </c>
      <c r="AA3" s="31">
        <f t="shared" si="2"/>
        <v>50.223042722071355</v>
      </c>
      <c r="AB3" s="31">
        <f t="shared" si="2"/>
        <v>50.223042722071355</v>
      </c>
      <c r="AC3" s="31">
        <f t="shared" si="2"/>
        <v>50.223042722071355</v>
      </c>
      <c r="AD3" s="31">
        <f t="shared" si="2"/>
        <v>50.223042722071355</v>
      </c>
      <c r="AE3" s="31">
        <f t="shared" si="2"/>
        <v>50.223042722071355</v>
      </c>
      <c r="AF3" s="31">
        <f t="shared" si="2"/>
        <v>50.223042722071355</v>
      </c>
      <c r="AG3" s="31">
        <f t="shared" si="2"/>
        <v>50.223042722071355</v>
      </c>
      <c r="AH3" s="31">
        <f t="shared" ref="AH3:AW7" si="3">AG3</f>
        <v>50.223042722071355</v>
      </c>
      <c r="AI3" s="31">
        <f t="shared" si="3"/>
        <v>50.223042722071355</v>
      </c>
      <c r="AJ3" s="31">
        <f t="shared" si="3"/>
        <v>50.223042722071355</v>
      </c>
      <c r="AK3" s="31">
        <f t="shared" si="3"/>
        <v>50.223042722071355</v>
      </c>
      <c r="AL3" s="31">
        <f t="shared" si="3"/>
        <v>50.223042722071355</v>
      </c>
      <c r="AM3" s="31">
        <f t="shared" si="3"/>
        <v>50.223042722071355</v>
      </c>
      <c r="AN3" s="31">
        <f t="shared" si="3"/>
        <v>50.223042722071355</v>
      </c>
      <c r="AO3" s="31">
        <f t="shared" si="3"/>
        <v>50.223042722071355</v>
      </c>
      <c r="AP3" s="31">
        <f t="shared" si="3"/>
        <v>50.223042722071355</v>
      </c>
      <c r="AQ3" s="31">
        <f t="shared" si="3"/>
        <v>50.223042722071355</v>
      </c>
      <c r="AR3" s="31">
        <f t="shared" si="3"/>
        <v>50.223042722071355</v>
      </c>
      <c r="AS3" s="31">
        <f t="shared" si="3"/>
        <v>50.223042722071355</v>
      </c>
      <c r="AT3" s="31">
        <f t="shared" si="3"/>
        <v>50.223042722071355</v>
      </c>
      <c r="AU3" s="31">
        <f t="shared" si="3"/>
        <v>50.223042722071355</v>
      </c>
      <c r="AV3" s="31">
        <f t="shared" si="3"/>
        <v>50.223042722071355</v>
      </c>
      <c r="AW3" s="31">
        <f t="shared" si="3"/>
        <v>50.223042722071355</v>
      </c>
      <c r="AX3" s="31">
        <f t="shared" si="1"/>
        <v>50.223042722071355</v>
      </c>
      <c r="AY3" s="31">
        <f t="shared" si="1"/>
        <v>50.223042722071355</v>
      </c>
      <c r="AZ3" s="31">
        <f t="shared" si="1"/>
        <v>50.223042722071355</v>
      </c>
      <c r="BA3" s="31">
        <f t="shared" si="1"/>
        <v>50.223042722071355</v>
      </c>
    </row>
    <row r="4" spans="1:53" ht="14.25" customHeight="1" x14ac:dyDescent="0.2">
      <c r="A4" t="s">
        <v>119</v>
      </c>
      <c r="B4" s="31">
        <f>'Deep Decarbonization'!C48*0.621371*10^6/'SYVbT-passenger'!D4/'AVLo-passengers'!F4</f>
        <v>446078.08206166473</v>
      </c>
      <c r="C4" s="31">
        <f t="shared" ref="C4:AG4" si="4">$B$4</f>
        <v>446078.08206166473</v>
      </c>
      <c r="D4" s="31">
        <f t="shared" si="4"/>
        <v>446078.08206166473</v>
      </c>
      <c r="E4" s="31">
        <f t="shared" si="4"/>
        <v>446078.08206166473</v>
      </c>
      <c r="F4" s="31">
        <f t="shared" si="4"/>
        <v>446078.08206166473</v>
      </c>
      <c r="G4" s="31">
        <f t="shared" si="4"/>
        <v>446078.08206166473</v>
      </c>
      <c r="H4" s="31">
        <f t="shared" si="4"/>
        <v>446078.08206166473</v>
      </c>
      <c r="I4" s="31">
        <f t="shared" si="4"/>
        <v>446078.08206166473</v>
      </c>
      <c r="J4" s="31">
        <f t="shared" si="4"/>
        <v>446078.08206166473</v>
      </c>
      <c r="K4" s="31">
        <f t="shared" si="4"/>
        <v>446078.08206166473</v>
      </c>
      <c r="L4" s="31">
        <f t="shared" si="4"/>
        <v>446078.08206166473</v>
      </c>
      <c r="M4" s="31">
        <f t="shared" si="4"/>
        <v>446078.08206166473</v>
      </c>
      <c r="N4" s="31">
        <f t="shared" si="4"/>
        <v>446078.08206166473</v>
      </c>
      <c r="O4" s="31">
        <f t="shared" si="4"/>
        <v>446078.08206166473</v>
      </c>
      <c r="P4" s="31">
        <f t="shared" si="4"/>
        <v>446078.08206166473</v>
      </c>
      <c r="Q4" s="31">
        <f t="shared" si="4"/>
        <v>446078.08206166473</v>
      </c>
      <c r="R4" s="31">
        <f t="shared" si="4"/>
        <v>446078.08206166473</v>
      </c>
      <c r="S4" s="31">
        <f t="shared" si="4"/>
        <v>446078.08206166473</v>
      </c>
      <c r="T4" s="31">
        <f t="shared" si="4"/>
        <v>446078.08206166473</v>
      </c>
      <c r="U4" s="31">
        <f t="shared" si="4"/>
        <v>446078.08206166473</v>
      </c>
      <c r="V4" s="31">
        <f t="shared" si="4"/>
        <v>446078.08206166473</v>
      </c>
      <c r="W4" s="31">
        <f t="shared" si="4"/>
        <v>446078.08206166473</v>
      </c>
      <c r="X4" s="31">
        <f t="shared" si="4"/>
        <v>446078.08206166473</v>
      </c>
      <c r="Y4" s="31">
        <f t="shared" si="4"/>
        <v>446078.08206166473</v>
      </c>
      <c r="Z4" s="31">
        <f t="shared" si="4"/>
        <v>446078.08206166473</v>
      </c>
      <c r="AA4" s="31">
        <f t="shared" si="4"/>
        <v>446078.08206166473</v>
      </c>
      <c r="AB4" s="31">
        <f t="shared" si="4"/>
        <v>446078.08206166473</v>
      </c>
      <c r="AC4" s="31">
        <f t="shared" si="4"/>
        <v>446078.08206166473</v>
      </c>
      <c r="AD4" s="31">
        <f t="shared" si="4"/>
        <v>446078.08206166473</v>
      </c>
      <c r="AE4" s="31">
        <f t="shared" si="4"/>
        <v>446078.08206166473</v>
      </c>
      <c r="AF4" s="31">
        <f t="shared" si="4"/>
        <v>446078.08206166473</v>
      </c>
      <c r="AG4" s="31">
        <f t="shared" si="4"/>
        <v>446078.08206166473</v>
      </c>
      <c r="AH4" s="31">
        <f t="shared" si="3"/>
        <v>446078.08206166473</v>
      </c>
      <c r="AI4" s="31">
        <f t="shared" si="1"/>
        <v>446078.08206166473</v>
      </c>
      <c r="AJ4" s="31">
        <f t="shared" si="1"/>
        <v>446078.08206166473</v>
      </c>
      <c r="AK4" s="31">
        <f t="shared" si="1"/>
        <v>446078.08206166473</v>
      </c>
      <c r="AL4" s="31">
        <f t="shared" si="1"/>
        <v>446078.08206166473</v>
      </c>
      <c r="AM4" s="31">
        <f t="shared" si="1"/>
        <v>446078.08206166473</v>
      </c>
      <c r="AN4" s="31">
        <f t="shared" si="1"/>
        <v>446078.08206166473</v>
      </c>
      <c r="AO4" s="31">
        <f t="shared" si="1"/>
        <v>446078.08206166473</v>
      </c>
      <c r="AP4" s="31">
        <f t="shared" si="1"/>
        <v>446078.08206166473</v>
      </c>
      <c r="AQ4" s="31">
        <f t="shared" si="1"/>
        <v>446078.08206166473</v>
      </c>
      <c r="AR4" s="31">
        <f t="shared" si="1"/>
        <v>446078.08206166473</v>
      </c>
      <c r="AS4" s="31">
        <f t="shared" si="1"/>
        <v>446078.08206166473</v>
      </c>
      <c r="AT4" s="31">
        <f t="shared" si="1"/>
        <v>446078.08206166473</v>
      </c>
      <c r="AU4" s="31">
        <f t="shared" si="1"/>
        <v>446078.08206166473</v>
      </c>
      <c r="AV4" s="31">
        <f t="shared" si="1"/>
        <v>446078.08206166473</v>
      </c>
      <c r="AW4" s="31">
        <f t="shared" si="1"/>
        <v>446078.08206166473</v>
      </c>
      <c r="AX4" s="31">
        <f t="shared" si="1"/>
        <v>446078.08206166473</v>
      </c>
      <c r="AY4" s="31">
        <f t="shared" si="1"/>
        <v>446078.08206166473</v>
      </c>
      <c r="AZ4" s="31">
        <f t="shared" si="1"/>
        <v>446078.08206166473</v>
      </c>
      <c r="BA4" s="31">
        <f t="shared" si="1"/>
        <v>446078.08206166473</v>
      </c>
    </row>
    <row r="5" spans="1:53" ht="14.25" customHeight="1" x14ac:dyDescent="0.2">
      <c r="A5" t="s">
        <v>120</v>
      </c>
      <c r="B5" s="31">
        <f>'Deep Decarbonization'!C24*0.621371*10^6/'SYVbT-passenger'!B5/'AVLo-passengers'!B5</f>
        <v>136558.44147802785</v>
      </c>
      <c r="C5" s="31">
        <f t="shared" ref="C5:AG5" si="5">$B$5</f>
        <v>136558.44147802785</v>
      </c>
      <c r="D5" s="31">
        <f t="shared" si="5"/>
        <v>136558.44147802785</v>
      </c>
      <c r="E5" s="31">
        <f t="shared" si="5"/>
        <v>136558.44147802785</v>
      </c>
      <c r="F5" s="31">
        <f t="shared" si="5"/>
        <v>136558.44147802785</v>
      </c>
      <c r="G5" s="31">
        <f t="shared" si="5"/>
        <v>136558.44147802785</v>
      </c>
      <c r="H5" s="31">
        <f t="shared" si="5"/>
        <v>136558.44147802785</v>
      </c>
      <c r="I5" s="31">
        <f t="shared" si="5"/>
        <v>136558.44147802785</v>
      </c>
      <c r="J5" s="31">
        <f t="shared" si="5"/>
        <v>136558.44147802785</v>
      </c>
      <c r="K5" s="31">
        <f t="shared" si="5"/>
        <v>136558.44147802785</v>
      </c>
      <c r="L5" s="31">
        <f t="shared" si="5"/>
        <v>136558.44147802785</v>
      </c>
      <c r="M5" s="31">
        <f t="shared" si="5"/>
        <v>136558.44147802785</v>
      </c>
      <c r="N5" s="31">
        <f t="shared" si="5"/>
        <v>136558.44147802785</v>
      </c>
      <c r="O5" s="31">
        <f t="shared" si="5"/>
        <v>136558.44147802785</v>
      </c>
      <c r="P5" s="31">
        <f t="shared" si="5"/>
        <v>136558.44147802785</v>
      </c>
      <c r="Q5" s="31">
        <f t="shared" si="5"/>
        <v>136558.44147802785</v>
      </c>
      <c r="R5" s="31">
        <f t="shared" si="5"/>
        <v>136558.44147802785</v>
      </c>
      <c r="S5" s="31">
        <f t="shared" si="5"/>
        <v>136558.44147802785</v>
      </c>
      <c r="T5" s="31">
        <f t="shared" si="5"/>
        <v>136558.44147802785</v>
      </c>
      <c r="U5" s="31">
        <f t="shared" si="5"/>
        <v>136558.44147802785</v>
      </c>
      <c r="V5" s="31">
        <f t="shared" si="5"/>
        <v>136558.44147802785</v>
      </c>
      <c r="W5" s="31">
        <f t="shared" si="5"/>
        <v>136558.44147802785</v>
      </c>
      <c r="X5" s="31">
        <f t="shared" si="5"/>
        <v>136558.44147802785</v>
      </c>
      <c r="Y5" s="31">
        <f t="shared" si="5"/>
        <v>136558.44147802785</v>
      </c>
      <c r="Z5" s="31">
        <f t="shared" si="5"/>
        <v>136558.44147802785</v>
      </c>
      <c r="AA5" s="31">
        <f t="shared" si="5"/>
        <v>136558.44147802785</v>
      </c>
      <c r="AB5" s="31">
        <f t="shared" si="5"/>
        <v>136558.44147802785</v>
      </c>
      <c r="AC5" s="31">
        <f t="shared" si="5"/>
        <v>136558.44147802785</v>
      </c>
      <c r="AD5" s="31">
        <f t="shared" si="5"/>
        <v>136558.44147802785</v>
      </c>
      <c r="AE5" s="31">
        <f t="shared" si="5"/>
        <v>136558.44147802785</v>
      </c>
      <c r="AF5" s="31">
        <f t="shared" si="5"/>
        <v>136558.44147802785</v>
      </c>
      <c r="AG5" s="31">
        <f t="shared" si="5"/>
        <v>136558.44147802785</v>
      </c>
      <c r="AH5" s="31">
        <f t="shared" si="3"/>
        <v>136558.44147802785</v>
      </c>
      <c r="AI5" s="31">
        <f t="shared" si="1"/>
        <v>136558.44147802785</v>
      </c>
      <c r="AJ5" s="31">
        <f t="shared" si="1"/>
        <v>136558.44147802785</v>
      </c>
      <c r="AK5" s="31">
        <f t="shared" si="1"/>
        <v>136558.44147802785</v>
      </c>
      <c r="AL5" s="31">
        <f t="shared" si="1"/>
        <v>136558.44147802785</v>
      </c>
      <c r="AM5" s="31">
        <f t="shared" si="1"/>
        <v>136558.44147802785</v>
      </c>
      <c r="AN5" s="31">
        <f t="shared" si="1"/>
        <v>136558.44147802785</v>
      </c>
      <c r="AO5" s="31">
        <f t="shared" si="1"/>
        <v>136558.44147802785</v>
      </c>
      <c r="AP5" s="31">
        <f t="shared" si="1"/>
        <v>136558.44147802785</v>
      </c>
      <c r="AQ5" s="31">
        <f t="shared" si="1"/>
        <v>136558.44147802785</v>
      </c>
      <c r="AR5" s="31">
        <f t="shared" si="1"/>
        <v>136558.44147802785</v>
      </c>
      <c r="AS5" s="31">
        <f t="shared" si="1"/>
        <v>136558.44147802785</v>
      </c>
      <c r="AT5" s="31">
        <f t="shared" si="1"/>
        <v>136558.44147802785</v>
      </c>
      <c r="AU5" s="31">
        <f t="shared" si="1"/>
        <v>136558.44147802785</v>
      </c>
      <c r="AV5" s="31">
        <f t="shared" si="1"/>
        <v>136558.44147802785</v>
      </c>
      <c r="AW5" s="31">
        <f t="shared" si="1"/>
        <v>136558.44147802785</v>
      </c>
      <c r="AX5" s="31">
        <f t="shared" si="1"/>
        <v>136558.44147802785</v>
      </c>
      <c r="AY5" s="31">
        <f t="shared" si="1"/>
        <v>136558.44147802785</v>
      </c>
      <c r="AZ5" s="31">
        <f t="shared" si="1"/>
        <v>136558.44147802785</v>
      </c>
      <c r="BA5" s="31">
        <f t="shared" si="1"/>
        <v>136558.44147802785</v>
      </c>
    </row>
    <row r="6" spans="1:53" ht="14.25" customHeight="1" x14ac:dyDescent="0.2">
      <c r="A6" t="s">
        <v>121</v>
      </c>
      <c r="B6" s="31">
        <v>0</v>
      </c>
      <c r="C6" s="31">
        <v>0</v>
      </c>
      <c r="D6" s="31">
        <v>1</v>
      </c>
      <c r="E6" s="31">
        <v>2</v>
      </c>
      <c r="F6" s="31">
        <v>3</v>
      </c>
      <c r="G6" s="31">
        <v>4</v>
      </c>
      <c r="H6" s="31">
        <v>5</v>
      </c>
      <c r="I6" s="31">
        <v>6</v>
      </c>
      <c r="J6" s="31">
        <v>7</v>
      </c>
      <c r="K6" s="31">
        <v>8</v>
      </c>
      <c r="L6" s="31">
        <v>9</v>
      </c>
      <c r="M6" s="31">
        <v>10</v>
      </c>
      <c r="N6" s="31">
        <v>11</v>
      </c>
      <c r="O6" s="31">
        <v>12</v>
      </c>
      <c r="P6" s="31">
        <v>13</v>
      </c>
      <c r="Q6" s="31">
        <v>14</v>
      </c>
      <c r="R6" s="31">
        <v>15</v>
      </c>
      <c r="S6" s="31">
        <v>16</v>
      </c>
      <c r="T6" s="31">
        <v>17</v>
      </c>
      <c r="U6" s="31">
        <v>18</v>
      </c>
      <c r="V6" s="31">
        <v>19</v>
      </c>
      <c r="W6" s="31">
        <v>20</v>
      </c>
      <c r="X6" s="31">
        <v>21</v>
      </c>
      <c r="Y6" s="31">
        <v>22</v>
      </c>
      <c r="Z6" s="31">
        <v>23</v>
      </c>
      <c r="AA6" s="31">
        <v>24</v>
      </c>
      <c r="AB6" s="31">
        <v>25</v>
      </c>
      <c r="AC6" s="31">
        <v>26</v>
      </c>
      <c r="AD6" s="31">
        <v>27</v>
      </c>
      <c r="AE6" s="31">
        <v>28</v>
      </c>
      <c r="AF6" s="31">
        <v>29</v>
      </c>
      <c r="AG6" s="31">
        <v>30</v>
      </c>
      <c r="AH6" s="31">
        <f t="shared" si="3"/>
        <v>30</v>
      </c>
      <c r="AI6" s="31">
        <f t="shared" si="1"/>
        <v>30</v>
      </c>
      <c r="AJ6" s="31">
        <f t="shared" si="1"/>
        <v>30</v>
      </c>
      <c r="AK6" s="31">
        <f t="shared" si="1"/>
        <v>30</v>
      </c>
      <c r="AL6" s="31">
        <f t="shared" si="1"/>
        <v>30</v>
      </c>
      <c r="AM6" s="31">
        <f t="shared" si="1"/>
        <v>30</v>
      </c>
      <c r="AN6" s="31">
        <f t="shared" si="1"/>
        <v>30</v>
      </c>
      <c r="AO6" s="31">
        <f t="shared" si="1"/>
        <v>30</v>
      </c>
      <c r="AP6" s="31">
        <f t="shared" si="1"/>
        <v>30</v>
      </c>
      <c r="AQ6" s="31">
        <f t="shared" si="1"/>
        <v>30</v>
      </c>
      <c r="AR6" s="31">
        <f t="shared" si="1"/>
        <v>30</v>
      </c>
      <c r="AS6" s="31">
        <f t="shared" si="1"/>
        <v>30</v>
      </c>
      <c r="AT6" s="31">
        <f t="shared" si="1"/>
        <v>30</v>
      </c>
      <c r="AU6" s="31">
        <f t="shared" si="1"/>
        <v>30</v>
      </c>
      <c r="AV6" s="31">
        <f t="shared" si="1"/>
        <v>30</v>
      </c>
      <c r="AW6" s="31">
        <f t="shared" si="1"/>
        <v>30</v>
      </c>
      <c r="AX6" s="31">
        <f t="shared" si="1"/>
        <v>30</v>
      </c>
      <c r="AY6" s="31">
        <f t="shared" si="1"/>
        <v>30</v>
      </c>
      <c r="AZ6" s="31">
        <f t="shared" si="1"/>
        <v>30</v>
      </c>
      <c r="BA6" s="31">
        <f t="shared" si="1"/>
        <v>30</v>
      </c>
    </row>
    <row r="7" spans="1:53" ht="14.25" customHeight="1" x14ac:dyDescent="0.2">
      <c r="A7" t="s">
        <v>122</v>
      </c>
      <c r="B7" s="31">
        <f>'Deep Decarbonization'!C12/('SYVbT-passenger'!D2+'SYVbT-passenger'!E3+'SYVbT-passenger'!D7)/'AVLo-passengers'!F7*0.621371*10^6</f>
        <v>11419.572672990937</v>
      </c>
      <c r="C7" s="31">
        <f t="shared" ref="C7:AG7" si="6">$B$7</f>
        <v>11419.572672990937</v>
      </c>
      <c r="D7" s="31">
        <f t="shared" si="6"/>
        <v>11419.572672990937</v>
      </c>
      <c r="E7" s="31">
        <f t="shared" si="6"/>
        <v>11419.572672990937</v>
      </c>
      <c r="F7" s="31">
        <f t="shared" si="6"/>
        <v>11419.572672990937</v>
      </c>
      <c r="G7" s="31">
        <f t="shared" si="6"/>
        <v>11419.572672990937</v>
      </c>
      <c r="H7" s="31">
        <f t="shared" si="6"/>
        <v>11419.572672990937</v>
      </c>
      <c r="I7" s="31">
        <f t="shared" si="6"/>
        <v>11419.572672990937</v>
      </c>
      <c r="J7" s="31">
        <f t="shared" si="6"/>
        <v>11419.572672990937</v>
      </c>
      <c r="K7" s="31">
        <f t="shared" si="6"/>
        <v>11419.572672990937</v>
      </c>
      <c r="L7" s="31">
        <f t="shared" si="6"/>
        <v>11419.572672990937</v>
      </c>
      <c r="M7" s="31">
        <f t="shared" si="6"/>
        <v>11419.572672990937</v>
      </c>
      <c r="N7" s="31">
        <f t="shared" si="6"/>
        <v>11419.572672990937</v>
      </c>
      <c r="O7" s="31">
        <f t="shared" si="6"/>
        <v>11419.572672990937</v>
      </c>
      <c r="P7" s="31">
        <f t="shared" si="6"/>
        <v>11419.572672990937</v>
      </c>
      <c r="Q7" s="31">
        <f t="shared" si="6"/>
        <v>11419.572672990937</v>
      </c>
      <c r="R7" s="31">
        <f t="shared" si="6"/>
        <v>11419.572672990937</v>
      </c>
      <c r="S7" s="31">
        <f t="shared" si="6"/>
        <v>11419.572672990937</v>
      </c>
      <c r="T7" s="31">
        <f t="shared" si="6"/>
        <v>11419.572672990937</v>
      </c>
      <c r="U7" s="31">
        <f t="shared" si="6"/>
        <v>11419.572672990937</v>
      </c>
      <c r="V7" s="31">
        <f t="shared" si="6"/>
        <v>11419.572672990937</v>
      </c>
      <c r="W7" s="31">
        <f t="shared" si="6"/>
        <v>11419.572672990937</v>
      </c>
      <c r="X7" s="31">
        <f t="shared" si="6"/>
        <v>11419.572672990937</v>
      </c>
      <c r="Y7" s="31">
        <f t="shared" si="6"/>
        <v>11419.572672990937</v>
      </c>
      <c r="Z7" s="31">
        <f t="shared" si="6"/>
        <v>11419.572672990937</v>
      </c>
      <c r="AA7" s="31">
        <f t="shared" si="6"/>
        <v>11419.572672990937</v>
      </c>
      <c r="AB7" s="31">
        <f t="shared" si="6"/>
        <v>11419.572672990937</v>
      </c>
      <c r="AC7" s="31">
        <f t="shared" si="6"/>
        <v>11419.572672990937</v>
      </c>
      <c r="AD7" s="31">
        <f t="shared" si="6"/>
        <v>11419.572672990937</v>
      </c>
      <c r="AE7" s="31">
        <f t="shared" si="6"/>
        <v>11419.572672990937</v>
      </c>
      <c r="AF7" s="31">
        <f t="shared" si="6"/>
        <v>11419.572672990937</v>
      </c>
      <c r="AG7" s="31">
        <f t="shared" si="6"/>
        <v>11419.572672990937</v>
      </c>
      <c r="AH7" s="31">
        <f t="shared" si="3"/>
        <v>11419.572672990937</v>
      </c>
      <c r="AI7" s="31">
        <f t="shared" si="1"/>
        <v>11419.572672990937</v>
      </c>
      <c r="AJ7" s="31">
        <f t="shared" si="1"/>
        <v>11419.572672990937</v>
      </c>
      <c r="AK7" s="31">
        <f t="shared" si="1"/>
        <v>11419.572672990937</v>
      </c>
      <c r="AL7" s="31">
        <f t="shared" si="1"/>
        <v>11419.572672990937</v>
      </c>
      <c r="AM7" s="31">
        <f t="shared" si="1"/>
        <v>11419.572672990937</v>
      </c>
      <c r="AN7" s="31">
        <f t="shared" si="1"/>
        <v>11419.572672990937</v>
      </c>
      <c r="AO7" s="31">
        <f t="shared" si="1"/>
        <v>11419.572672990937</v>
      </c>
      <c r="AP7" s="31">
        <f t="shared" si="1"/>
        <v>11419.572672990937</v>
      </c>
      <c r="AQ7" s="31">
        <f t="shared" si="1"/>
        <v>11419.572672990937</v>
      </c>
      <c r="AR7" s="31">
        <f t="shared" si="1"/>
        <v>11419.572672990937</v>
      </c>
      <c r="AS7" s="31">
        <f t="shared" si="1"/>
        <v>11419.572672990937</v>
      </c>
      <c r="AT7" s="31">
        <f t="shared" si="1"/>
        <v>11419.572672990937</v>
      </c>
      <c r="AU7" s="31">
        <f t="shared" si="1"/>
        <v>11419.572672990937</v>
      </c>
      <c r="AV7" s="31">
        <f t="shared" si="1"/>
        <v>11419.572672990937</v>
      </c>
      <c r="AW7" s="31">
        <f t="shared" si="1"/>
        <v>11419.572672990937</v>
      </c>
      <c r="AX7" s="31">
        <f t="shared" si="1"/>
        <v>11419.572672990937</v>
      </c>
      <c r="AY7" s="31">
        <f t="shared" si="1"/>
        <v>11419.572672990937</v>
      </c>
      <c r="AZ7" s="31">
        <f t="shared" si="1"/>
        <v>11419.572672990937</v>
      </c>
      <c r="BA7" s="31">
        <f t="shared" si="1"/>
        <v>11419.572672990937</v>
      </c>
    </row>
    <row r="8" spans="1:53" ht="14.25" customHeight="1" x14ac:dyDescent="0.2"/>
    <row r="9" spans="1:53" ht="14.25" customHeight="1" x14ac:dyDescent="0.2"/>
    <row r="10" spans="1:53" ht="14.25" customHeight="1" x14ac:dyDescent="0.2"/>
    <row r="11" spans="1:53" ht="14.25" customHeight="1" x14ac:dyDescent="0.2"/>
    <row r="12" spans="1:53" ht="14.25" customHeight="1" x14ac:dyDescent="0.2"/>
    <row r="13" spans="1:53" ht="14.25" customHeight="1" x14ac:dyDescent="0.2"/>
    <row r="14" spans="1:53" ht="14.25" customHeight="1" x14ac:dyDescent="0.2"/>
    <row r="15" spans="1:53" ht="14.25" customHeight="1" x14ac:dyDescent="0.2"/>
    <row r="16" spans="1:5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BA1000"/>
  <sheetViews>
    <sheetView topLeftCell="AJ1" workbookViewId="0">
      <selection activeCell="AH2" sqref="AH2:BA7"/>
    </sheetView>
  </sheetViews>
  <sheetFormatPr baseColWidth="10" defaultColWidth="14.5" defaultRowHeight="15" customHeight="1" x14ac:dyDescent="0.2"/>
  <cols>
    <col min="1" max="1" width="16.5" customWidth="1"/>
    <col min="2" max="33" width="9.1640625" customWidth="1"/>
  </cols>
  <sheetData>
    <row r="1" spans="1:53" ht="14.25" customHeight="1" x14ac:dyDescent="0.2">
      <c r="A1" s="33" t="s">
        <v>124</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v>2051</v>
      </c>
      <c r="AI1" s="1">
        <v>2052</v>
      </c>
      <c r="AJ1" s="1">
        <v>2053</v>
      </c>
      <c r="AK1" s="1">
        <v>2054</v>
      </c>
      <c r="AL1" s="1">
        <v>2055</v>
      </c>
      <c r="AM1" s="1">
        <v>2056</v>
      </c>
      <c r="AN1" s="1">
        <v>2057</v>
      </c>
      <c r="AO1" s="1">
        <v>2058</v>
      </c>
      <c r="AP1" s="1">
        <v>2059</v>
      </c>
      <c r="AQ1" s="1">
        <v>2060</v>
      </c>
      <c r="AR1" s="1">
        <v>2061</v>
      </c>
      <c r="AS1" s="1">
        <v>2062</v>
      </c>
      <c r="AT1" s="1">
        <v>2063</v>
      </c>
      <c r="AU1" s="1">
        <v>2064</v>
      </c>
      <c r="AV1" s="1">
        <v>2065</v>
      </c>
      <c r="AW1" s="1">
        <v>2066</v>
      </c>
      <c r="AX1" s="1">
        <v>2067</v>
      </c>
      <c r="AY1" s="1">
        <v>2068</v>
      </c>
      <c r="AZ1" s="1">
        <v>2069</v>
      </c>
      <c r="BA1" s="1">
        <v>2070</v>
      </c>
    </row>
    <row r="2" spans="1:53" ht="14.25" customHeight="1" x14ac:dyDescent="0.2">
      <c r="A2" t="s">
        <v>117</v>
      </c>
      <c r="B2" s="31">
        <v>0</v>
      </c>
      <c r="C2" s="31">
        <f t="shared" ref="C2:AG2" si="0">B2</f>
        <v>0</v>
      </c>
      <c r="D2" s="31">
        <f t="shared" si="0"/>
        <v>0</v>
      </c>
      <c r="E2" s="31">
        <f t="shared" si="0"/>
        <v>0</v>
      </c>
      <c r="F2" s="31">
        <f t="shared" si="0"/>
        <v>0</v>
      </c>
      <c r="G2" s="31">
        <f t="shared" si="0"/>
        <v>0</v>
      </c>
      <c r="H2" s="31">
        <f t="shared" si="0"/>
        <v>0</v>
      </c>
      <c r="I2" s="31">
        <f t="shared" si="0"/>
        <v>0</v>
      </c>
      <c r="J2" s="31">
        <f t="shared" si="0"/>
        <v>0</v>
      </c>
      <c r="K2" s="31">
        <f t="shared" si="0"/>
        <v>0</v>
      </c>
      <c r="L2" s="31">
        <f t="shared" si="0"/>
        <v>0</v>
      </c>
      <c r="M2" s="31">
        <f t="shared" si="0"/>
        <v>0</v>
      </c>
      <c r="N2" s="31">
        <f t="shared" si="0"/>
        <v>0</v>
      </c>
      <c r="O2" s="31">
        <f t="shared" si="0"/>
        <v>0</v>
      </c>
      <c r="P2" s="31">
        <f t="shared" si="0"/>
        <v>0</v>
      </c>
      <c r="Q2" s="31">
        <f t="shared" si="0"/>
        <v>0</v>
      </c>
      <c r="R2" s="31">
        <f t="shared" si="0"/>
        <v>0</v>
      </c>
      <c r="S2" s="31">
        <f t="shared" si="0"/>
        <v>0</v>
      </c>
      <c r="T2" s="31">
        <f t="shared" si="0"/>
        <v>0</v>
      </c>
      <c r="U2" s="31">
        <f t="shared" si="0"/>
        <v>0</v>
      </c>
      <c r="V2" s="31">
        <f t="shared" si="0"/>
        <v>0</v>
      </c>
      <c r="W2" s="31">
        <f t="shared" si="0"/>
        <v>0</v>
      </c>
      <c r="X2" s="31">
        <f t="shared" si="0"/>
        <v>0</v>
      </c>
      <c r="Y2" s="31">
        <f t="shared" si="0"/>
        <v>0</v>
      </c>
      <c r="Z2" s="31">
        <f t="shared" si="0"/>
        <v>0</v>
      </c>
      <c r="AA2" s="31">
        <f t="shared" si="0"/>
        <v>0</v>
      </c>
      <c r="AB2" s="31">
        <f t="shared" si="0"/>
        <v>0</v>
      </c>
      <c r="AC2" s="31">
        <f t="shared" si="0"/>
        <v>0</v>
      </c>
      <c r="AD2" s="31">
        <f t="shared" si="0"/>
        <v>0</v>
      </c>
      <c r="AE2" s="31">
        <f t="shared" si="0"/>
        <v>0</v>
      </c>
      <c r="AF2" s="31">
        <f t="shared" si="0"/>
        <v>0</v>
      </c>
      <c r="AG2" s="31">
        <f t="shared" si="0"/>
        <v>0</v>
      </c>
      <c r="AH2" s="31">
        <f>AG2</f>
        <v>0</v>
      </c>
      <c r="AI2" s="31">
        <f t="shared" ref="AI2:BA7" si="1">AH2</f>
        <v>0</v>
      </c>
      <c r="AJ2" s="31">
        <f t="shared" si="1"/>
        <v>0</v>
      </c>
      <c r="AK2" s="31">
        <f t="shared" si="1"/>
        <v>0</v>
      </c>
      <c r="AL2" s="31">
        <f t="shared" si="1"/>
        <v>0</v>
      </c>
      <c r="AM2" s="31">
        <f t="shared" si="1"/>
        <v>0</v>
      </c>
      <c r="AN2" s="31">
        <f t="shared" si="1"/>
        <v>0</v>
      </c>
      <c r="AO2" s="31">
        <f t="shared" si="1"/>
        <v>0</v>
      </c>
      <c r="AP2" s="31">
        <f t="shared" si="1"/>
        <v>0</v>
      </c>
      <c r="AQ2" s="31">
        <f t="shared" si="1"/>
        <v>0</v>
      </c>
      <c r="AR2" s="31">
        <f t="shared" si="1"/>
        <v>0</v>
      </c>
      <c r="AS2" s="31">
        <f t="shared" si="1"/>
        <v>0</v>
      </c>
      <c r="AT2" s="31">
        <f t="shared" si="1"/>
        <v>0</v>
      </c>
      <c r="AU2" s="31">
        <f t="shared" si="1"/>
        <v>0</v>
      </c>
      <c r="AV2" s="31">
        <f t="shared" si="1"/>
        <v>0</v>
      </c>
      <c r="AW2" s="31">
        <f t="shared" si="1"/>
        <v>0</v>
      </c>
      <c r="AX2" s="31">
        <f t="shared" si="1"/>
        <v>0</v>
      </c>
      <c r="AY2" s="31">
        <f t="shared" si="1"/>
        <v>0</v>
      </c>
      <c r="AZ2" s="31">
        <f t="shared" si="1"/>
        <v>0</v>
      </c>
      <c r="BA2" s="31">
        <f t="shared" si="1"/>
        <v>0</v>
      </c>
    </row>
    <row r="3" spans="1:53" ht="14.25" customHeight="1" x14ac:dyDescent="0.2">
      <c r="A3" t="s">
        <v>118</v>
      </c>
      <c r="B3" s="31">
        <f>('Deep Decarbonization'!N12*0.621371*10^6)/'SYVbT-freight'!E3/'AVLo-freight'!B3</f>
        <v>6053.35535000858</v>
      </c>
      <c r="C3" s="31">
        <f t="shared" ref="C3:AH7" si="2">B3</f>
        <v>6053.35535000858</v>
      </c>
      <c r="D3" s="31">
        <f t="shared" si="2"/>
        <v>6053.35535000858</v>
      </c>
      <c r="E3" s="31">
        <f t="shared" si="2"/>
        <v>6053.35535000858</v>
      </c>
      <c r="F3" s="31">
        <f t="shared" si="2"/>
        <v>6053.35535000858</v>
      </c>
      <c r="G3" s="31">
        <f t="shared" si="2"/>
        <v>6053.35535000858</v>
      </c>
      <c r="H3" s="31">
        <f t="shared" si="2"/>
        <v>6053.35535000858</v>
      </c>
      <c r="I3" s="31">
        <f t="shared" si="2"/>
        <v>6053.35535000858</v>
      </c>
      <c r="J3" s="31">
        <f t="shared" si="2"/>
        <v>6053.35535000858</v>
      </c>
      <c r="K3" s="31">
        <f t="shared" si="2"/>
        <v>6053.35535000858</v>
      </c>
      <c r="L3" s="31">
        <f t="shared" si="2"/>
        <v>6053.35535000858</v>
      </c>
      <c r="M3" s="31">
        <f t="shared" si="2"/>
        <v>6053.35535000858</v>
      </c>
      <c r="N3" s="31">
        <f t="shared" si="2"/>
        <v>6053.35535000858</v>
      </c>
      <c r="O3" s="31">
        <f t="shared" si="2"/>
        <v>6053.35535000858</v>
      </c>
      <c r="P3" s="31">
        <f t="shared" si="2"/>
        <v>6053.35535000858</v>
      </c>
      <c r="Q3" s="31">
        <f t="shared" si="2"/>
        <v>6053.35535000858</v>
      </c>
      <c r="R3" s="31">
        <f t="shared" si="2"/>
        <v>6053.35535000858</v>
      </c>
      <c r="S3" s="31">
        <f t="shared" si="2"/>
        <v>6053.35535000858</v>
      </c>
      <c r="T3" s="31">
        <f t="shared" si="2"/>
        <v>6053.35535000858</v>
      </c>
      <c r="U3" s="31">
        <f t="shared" si="2"/>
        <v>6053.35535000858</v>
      </c>
      <c r="V3" s="31">
        <f t="shared" si="2"/>
        <v>6053.35535000858</v>
      </c>
      <c r="W3" s="31">
        <f t="shared" si="2"/>
        <v>6053.35535000858</v>
      </c>
      <c r="X3" s="31">
        <f t="shared" si="2"/>
        <v>6053.35535000858</v>
      </c>
      <c r="Y3" s="31">
        <f t="shared" si="2"/>
        <v>6053.35535000858</v>
      </c>
      <c r="Z3" s="31">
        <f t="shared" si="2"/>
        <v>6053.35535000858</v>
      </c>
      <c r="AA3" s="31">
        <f t="shared" si="2"/>
        <v>6053.35535000858</v>
      </c>
      <c r="AB3" s="31">
        <f t="shared" si="2"/>
        <v>6053.35535000858</v>
      </c>
      <c r="AC3" s="31">
        <f t="shared" si="2"/>
        <v>6053.35535000858</v>
      </c>
      <c r="AD3" s="31">
        <f t="shared" si="2"/>
        <v>6053.35535000858</v>
      </c>
      <c r="AE3" s="31">
        <f t="shared" si="2"/>
        <v>6053.35535000858</v>
      </c>
      <c r="AF3" s="31">
        <f t="shared" si="2"/>
        <v>6053.35535000858</v>
      </c>
      <c r="AG3" s="31">
        <f t="shared" si="2"/>
        <v>6053.35535000858</v>
      </c>
      <c r="AH3" s="31">
        <f t="shared" si="2"/>
        <v>6053.35535000858</v>
      </c>
      <c r="AI3" s="31">
        <f t="shared" si="1"/>
        <v>6053.35535000858</v>
      </c>
      <c r="AJ3" s="31">
        <f t="shared" si="1"/>
        <v>6053.35535000858</v>
      </c>
      <c r="AK3" s="31">
        <f t="shared" si="1"/>
        <v>6053.35535000858</v>
      </c>
      <c r="AL3" s="31">
        <f t="shared" si="1"/>
        <v>6053.35535000858</v>
      </c>
      <c r="AM3" s="31">
        <f t="shared" si="1"/>
        <v>6053.35535000858</v>
      </c>
      <c r="AN3" s="31">
        <f t="shared" si="1"/>
        <v>6053.35535000858</v>
      </c>
      <c r="AO3" s="31">
        <f t="shared" si="1"/>
        <v>6053.35535000858</v>
      </c>
      <c r="AP3" s="31">
        <f t="shared" si="1"/>
        <v>6053.35535000858</v>
      </c>
      <c r="AQ3" s="31">
        <f t="shared" si="1"/>
        <v>6053.35535000858</v>
      </c>
      <c r="AR3" s="31">
        <f t="shared" si="1"/>
        <v>6053.35535000858</v>
      </c>
      <c r="AS3" s="31">
        <f t="shared" si="1"/>
        <v>6053.35535000858</v>
      </c>
      <c r="AT3" s="31">
        <f t="shared" si="1"/>
        <v>6053.35535000858</v>
      </c>
      <c r="AU3" s="31">
        <f t="shared" si="1"/>
        <v>6053.35535000858</v>
      </c>
      <c r="AV3" s="31">
        <f t="shared" si="1"/>
        <v>6053.35535000858</v>
      </c>
      <c r="AW3" s="31">
        <f t="shared" si="1"/>
        <v>6053.35535000858</v>
      </c>
      <c r="AX3" s="31">
        <f t="shared" si="1"/>
        <v>6053.35535000858</v>
      </c>
      <c r="AY3" s="31">
        <f t="shared" si="1"/>
        <v>6053.35535000858</v>
      </c>
      <c r="AZ3" s="31">
        <f t="shared" si="1"/>
        <v>6053.35535000858</v>
      </c>
      <c r="BA3" s="31">
        <f t="shared" si="1"/>
        <v>6053.35535000858</v>
      </c>
    </row>
    <row r="4" spans="1:53" ht="14.25" customHeight="1" x14ac:dyDescent="0.2">
      <c r="A4" t="s">
        <v>119</v>
      </c>
      <c r="B4" s="31">
        <v>0</v>
      </c>
      <c r="C4" s="31">
        <f t="shared" ref="C4:AG4" si="3">B4</f>
        <v>0</v>
      </c>
      <c r="D4" s="31">
        <f t="shared" si="3"/>
        <v>0</v>
      </c>
      <c r="E4" s="31">
        <f t="shared" si="3"/>
        <v>0</v>
      </c>
      <c r="F4" s="31">
        <f t="shared" si="3"/>
        <v>0</v>
      </c>
      <c r="G4" s="31">
        <f t="shared" si="3"/>
        <v>0</v>
      </c>
      <c r="H4" s="31">
        <f t="shared" si="3"/>
        <v>0</v>
      </c>
      <c r="I4" s="31">
        <f t="shared" si="3"/>
        <v>0</v>
      </c>
      <c r="J4" s="31">
        <f t="shared" si="3"/>
        <v>0</v>
      </c>
      <c r="K4" s="31">
        <f t="shared" si="3"/>
        <v>0</v>
      </c>
      <c r="L4" s="31">
        <f t="shared" si="3"/>
        <v>0</v>
      </c>
      <c r="M4" s="31">
        <f t="shared" si="3"/>
        <v>0</v>
      </c>
      <c r="N4" s="31">
        <f t="shared" si="3"/>
        <v>0</v>
      </c>
      <c r="O4" s="31">
        <f t="shared" si="3"/>
        <v>0</v>
      </c>
      <c r="P4" s="31">
        <f t="shared" si="3"/>
        <v>0</v>
      </c>
      <c r="Q4" s="31">
        <f t="shared" si="3"/>
        <v>0</v>
      </c>
      <c r="R4" s="31">
        <f t="shared" si="3"/>
        <v>0</v>
      </c>
      <c r="S4" s="31">
        <f t="shared" si="3"/>
        <v>0</v>
      </c>
      <c r="T4" s="31">
        <f t="shared" si="3"/>
        <v>0</v>
      </c>
      <c r="U4" s="31">
        <f t="shared" si="3"/>
        <v>0</v>
      </c>
      <c r="V4" s="31">
        <f t="shared" si="3"/>
        <v>0</v>
      </c>
      <c r="W4" s="31">
        <f t="shared" si="3"/>
        <v>0</v>
      </c>
      <c r="X4" s="31">
        <f t="shared" si="3"/>
        <v>0</v>
      </c>
      <c r="Y4" s="31">
        <f t="shared" si="3"/>
        <v>0</v>
      </c>
      <c r="Z4" s="31">
        <f t="shared" si="3"/>
        <v>0</v>
      </c>
      <c r="AA4" s="31">
        <f t="shared" si="3"/>
        <v>0</v>
      </c>
      <c r="AB4" s="31">
        <f t="shared" si="3"/>
        <v>0</v>
      </c>
      <c r="AC4" s="31">
        <f t="shared" si="3"/>
        <v>0</v>
      </c>
      <c r="AD4" s="31">
        <f t="shared" si="3"/>
        <v>0</v>
      </c>
      <c r="AE4" s="31">
        <f t="shared" si="3"/>
        <v>0</v>
      </c>
      <c r="AF4" s="31">
        <f t="shared" si="3"/>
        <v>0</v>
      </c>
      <c r="AG4" s="31">
        <f t="shared" si="3"/>
        <v>0</v>
      </c>
      <c r="AH4" s="31">
        <f t="shared" si="2"/>
        <v>0</v>
      </c>
      <c r="AI4" s="31">
        <f t="shared" si="1"/>
        <v>0</v>
      </c>
      <c r="AJ4" s="31">
        <f t="shared" si="1"/>
        <v>0</v>
      </c>
      <c r="AK4" s="31">
        <f t="shared" si="1"/>
        <v>0</v>
      </c>
      <c r="AL4" s="31">
        <f t="shared" si="1"/>
        <v>0</v>
      </c>
      <c r="AM4" s="31">
        <f t="shared" si="1"/>
        <v>0</v>
      </c>
      <c r="AN4" s="31">
        <f t="shared" si="1"/>
        <v>0</v>
      </c>
      <c r="AO4" s="31">
        <f t="shared" si="1"/>
        <v>0</v>
      </c>
      <c r="AP4" s="31">
        <f t="shared" si="1"/>
        <v>0</v>
      </c>
      <c r="AQ4" s="31">
        <f t="shared" si="1"/>
        <v>0</v>
      </c>
      <c r="AR4" s="31">
        <f t="shared" si="1"/>
        <v>0</v>
      </c>
      <c r="AS4" s="31">
        <f t="shared" si="1"/>
        <v>0</v>
      </c>
      <c r="AT4" s="31">
        <f t="shared" si="1"/>
        <v>0</v>
      </c>
      <c r="AU4" s="31">
        <f t="shared" si="1"/>
        <v>0</v>
      </c>
      <c r="AV4" s="31">
        <f t="shared" si="1"/>
        <v>0</v>
      </c>
      <c r="AW4" s="31">
        <f t="shared" si="1"/>
        <v>0</v>
      </c>
      <c r="AX4" s="31">
        <f t="shared" si="1"/>
        <v>0</v>
      </c>
      <c r="AY4" s="31">
        <f t="shared" si="1"/>
        <v>0</v>
      </c>
      <c r="AZ4" s="31">
        <f t="shared" si="1"/>
        <v>0</v>
      </c>
      <c r="BA4" s="31">
        <f t="shared" si="1"/>
        <v>0</v>
      </c>
    </row>
    <row r="5" spans="1:53" ht="14.25" customHeight="1" x14ac:dyDescent="0.2">
      <c r="A5" t="s">
        <v>120</v>
      </c>
      <c r="B5" s="31">
        <v>0</v>
      </c>
      <c r="C5" s="31">
        <f t="shared" ref="C5:AG5" si="4">B5</f>
        <v>0</v>
      </c>
      <c r="D5" s="31">
        <f t="shared" si="4"/>
        <v>0</v>
      </c>
      <c r="E5" s="31">
        <f t="shared" si="4"/>
        <v>0</v>
      </c>
      <c r="F5" s="31">
        <f t="shared" si="4"/>
        <v>0</v>
      </c>
      <c r="G5" s="31">
        <f t="shared" si="4"/>
        <v>0</v>
      </c>
      <c r="H5" s="31">
        <f t="shared" si="4"/>
        <v>0</v>
      </c>
      <c r="I5" s="31">
        <f t="shared" si="4"/>
        <v>0</v>
      </c>
      <c r="J5" s="31">
        <f t="shared" si="4"/>
        <v>0</v>
      </c>
      <c r="K5" s="31">
        <f t="shared" si="4"/>
        <v>0</v>
      </c>
      <c r="L5" s="31">
        <f t="shared" si="4"/>
        <v>0</v>
      </c>
      <c r="M5" s="31">
        <f t="shared" si="4"/>
        <v>0</v>
      </c>
      <c r="N5" s="31">
        <f t="shared" si="4"/>
        <v>0</v>
      </c>
      <c r="O5" s="31">
        <f t="shared" si="4"/>
        <v>0</v>
      </c>
      <c r="P5" s="31">
        <f t="shared" si="4"/>
        <v>0</v>
      </c>
      <c r="Q5" s="31">
        <f t="shared" si="4"/>
        <v>0</v>
      </c>
      <c r="R5" s="31">
        <f t="shared" si="4"/>
        <v>0</v>
      </c>
      <c r="S5" s="31">
        <f t="shared" si="4"/>
        <v>0</v>
      </c>
      <c r="T5" s="31">
        <f t="shared" si="4"/>
        <v>0</v>
      </c>
      <c r="U5" s="31">
        <f t="shared" si="4"/>
        <v>0</v>
      </c>
      <c r="V5" s="31">
        <f t="shared" si="4"/>
        <v>0</v>
      </c>
      <c r="W5" s="31">
        <f t="shared" si="4"/>
        <v>0</v>
      </c>
      <c r="X5" s="31">
        <f t="shared" si="4"/>
        <v>0</v>
      </c>
      <c r="Y5" s="31">
        <f t="shared" si="4"/>
        <v>0</v>
      </c>
      <c r="Z5" s="31">
        <f t="shared" si="4"/>
        <v>0</v>
      </c>
      <c r="AA5" s="31">
        <f t="shared" si="4"/>
        <v>0</v>
      </c>
      <c r="AB5" s="31">
        <f t="shared" si="4"/>
        <v>0</v>
      </c>
      <c r="AC5" s="31">
        <f t="shared" si="4"/>
        <v>0</v>
      </c>
      <c r="AD5" s="31">
        <f t="shared" si="4"/>
        <v>0</v>
      </c>
      <c r="AE5" s="31">
        <f t="shared" si="4"/>
        <v>0</v>
      </c>
      <c r="AF5" s="31">
        <f t="shared" si="4"/>
        <v>0</v>
      </c>
      <c r="AG5" s="31">
        <f t="shared" si="4"/>
        <v>0</v>
      </c>
      <c r="AH5" s="31">
        <f t="shared" si="2"/>
        <v>0</v>
      </c>
      <c r="AI5" s="31">
        <f t="shared" si="1"/>
        <v>0</v>
      </c>
      <c r="AJ5" s="31">
        <f t="shared" si="1"/>
        <v>0</v>
      </c>
      <c r="AK5" s="31">
        <f t="shared" si="1"/>
        <v>0</v>
      </c>
      <c r="AL5" s="31">
        <f t="shared" si="1"/>
        <v>0</v>
      </c>
      <c r="AM5" s="31">
        <f t="shared" si="1"/>
        <v>0</v>
      </c>
      <c r="AN5" s="31">
        <f t="shared" si="1"/>
        <v>0</v>
      </c>
      <c r="AO5" s="31">
        <f t="shared" si="1"/>
        <v>0</v>
      </c>
      <c r="AP5" s="31">
        <f t="shared" si="1"/>
        <v>0</v>
      </c>
      <c r="AQ5" s="31">
        <f t="shared" si="1"/>
        <v>0</v>
      </c>
      <c r="AR5" s="31">
        <f t="shared" si="1"/>
        <v>0</v>
      </c>
      <c r="AS5" s="31">
        <f t="shared" si="1"/>
        <v>0</v>
      </c>
      <c r="AT5" s="31">
        <f t="shared" si="1"/>
        <v>0</v>
      </c>
      <c r="AU5" s="31">
        <f t="shared" si="1"/>
        <v>0</v>
      </c>
      <c r="AV5" s="31">
        <f t="shared" si="1"/>
        <v>0</v>
      </c>
      <c r="AW5" s="31">
        <f t="shared" si="1"/>
        <v>0</v>
      </c>
      <c r="AX5" s="31">
        <f t="shared" si="1"/>
        <v>0</v>
      </c>
      <c r="AY5" s="31">
        <f t="shared" si="1"/>
        <v>0</v>
      </c>
      <c r="AZ5" s="31">
        <f t="shared" si="1"/>
        <v>0</v>
      </c>
      <c r="BA5" s="31">
        <f t="shared" si="1"/>
        <v>0</v>
      </c>
    </row>
    <row r="6" spans="1:53" ht="14.25" customHeight="1" x14ac:dyDescent="0.2">
      <c r="A6" t="s">
        <v>121</v>
      </c>
      <c r="B6" s="31">
        <f>'Deep Decarbonization'!N36/'SYVbT-freight'!E6/'AVLo-freight'!E6*0.621371*10^6</f>
        <v>43119.136672209439</v>
      </c>
      <c r="C6" s="31">
        <f t="shared" ref="C6:AG6" si="5">B6</f>
        <v>43119.136672209439</v>
      </c>
      <c r="D6" s="31">
        <f t="shared" si="5"/>
        <v>43119.136672209439</v>
      </c>
      <c r="E6" s="31">
        <f t="shared" si="5"/>
        <v>43119.136672209439</v>
      </c>
      <c r="F6" s="31">
        <f t="shared" si="5"/>
        <v>43119.136672209439</v>
      </c>
      <c r="G6" s="31">
        <f t="shared" si="5"/>
        <v>43119.136672209439</v>
      </c>
      <c r="H6" s="31">
        <f t="shared" si="5"/>
        <v>43119.136672209439</v>
      </c>
      <c r="I6" s="31">
        <f t="shared" si="5"/>
        <v>43119.136672209439</v>
      </c>
      <c r="J6" s="31">
        <f t="shared" si="5"/>
        <v>43119.136672209439</v>
      </c>
      <c r="K6" s="31">
        <f t="shared" si="5"/>
        <v>43119.136672209439</v>
      </c>
      <c r="L6" s="31">
        <f t="shared" si="5"/>
        <v>43119.136672209439</v>
      </c>
      <c r="M6" s="31">
        <f t="shared" si="5"/>
        <v>43119.136672209439</v>
      </c>
      <c r="N6" s="31">
        <f t="shared" si="5"/>
        <v>43119.136672209439</v>
      </c>
      <c r="O6" s="31">
        <f t="shared" si="5"/>
        <v>43119.136672209439</v>
      </c>
      <c r="P6" s="31">
        <f t="shared" si="5"/>
        <v>43119.136672209439</v>
      </c>
      <c r="Q6" s="31">
        <f t="shared" si="5"/>
        <v>43119.136672209439</v>
      </c>
      <c r="R6" s="31">
        <f t="shared" si="5"/>
        <v>43119.136672209439</v>
      </c>
      <c r="S6" s="31">
        <f t="shared" si="5"/>
        <v>43119.136672209439</v>
      </c>
      <c r="T6" s="31">
        <f t="shared" si="5"/>
        <v>43119.136672209439</v>
      </c>
      <c r="U6" s="31">
        <f t="shared" si="5"/>
        <v>43119.136672209439</v>
      </c>
      <c r="V6" s="31">
        <f t="shared" si="5"/>
        <v>43119.136672209439</v>
      </c>
      <c r="W6" s="31">
        <f t="shared" si="5"/>
        <v>43119.136672209439</v>
      </c>
      <c r="X6" s="31">
        <f t="shared" si="5"/>
        <v>43119.136672209439</v>
      </c>
      <c r="Y6" s="31">
        <f t="shared" si="5"/>
        <v>43119.136672209439</v>
      </c>
      <c r="Z6" s="31">
        <f t="shared" si="5"/>
        <v>43119.136672209439</v>
      </c>
      <c r="AA6" s="31">
        <f t="shared" si="5"/>
        <v>43119.136672209439</v>
      </c>
      <c r="AB6" s="31">
        <f t="shared" si="5"/>
        <v>43119.136672209439</v>
      </c>
      <c r="AC6" s="31">
        <f t="shared" si="5"/>
        <v>43119.136672209439</v>
      </c>
      <c r="AD6" s="31">
        <f t="shared" si="5"/>
        <v>43119.136672209439</v>
      </c>
      <c r="AE6" s="31">
        <f t="shared" si="5"/>
        <v>43119.136672209439</v>
      </c>
      <c r="AF6" s="31">
        <f t="shared" si="5"/>
        <v>43119.136672209439</v>
      </c>
      <c r="AG6" s="31">
        <f t="shared" si="5"/>
        <v>43119.136672209439</v>
      </c>
      <c r="AH6" s="31">
        <f t="shared" si="2"/>
        <v>43119.136672209439</v>
      </c>
      <c r="AI6" s="31">
        <f t="shared" si="1"/>
        <v>43119.136672209439</v>
      </c>
      <c r="AJ6" s="31">
        <f t="shared" si="1"/>
        <v>43119.136672209439</v>
      </c>
      <c r="AK6" s="31">
        <f t="shared" si="1"/>
        <v>43119.136672209439</v>
      </c>
      <c r="AL6" s="31">
        <f t="shared" si="1"/>
        <v>43119.136672209439</v>
      </c>
      <c r="AM6" s="31">
        <f t="shared" si="1"/>
        <v>43119.136672209439</v>
      </c>
      <c r="AN6" s="31">
        <f t="shared" si="1"/>
        <v>43119.136672209439</v>
      </c>
      <c r="AO6" s="31">
        <f t="shared" si="1"/>
        <v>43119.136672209439</v>
      </c>
      <c r="AP6" s="31">
        <f t="shared" si="1"/>
        <v>43119.136672209439</v>
      </c>
      <c r="AQ6" s="31">
        <f t="shared" si="1"/>
        <v>43119.136672209439</v>
      </c>
      <c r="AR6" s="31">
        <f t="shared" si="1"/>
        <v>43119.136672209439</v>
      </c>
      <c r="AS6" s="31">
        <f t="shared" si="1"/>
        <v>43119.136672209439</v>
      </c>
      <c r="AT6" s="31">
        <f t="shared" si="1"/>
        <v>43119.136672209439</v>
      </c>
      <c r="AU6" s="31">
        <f t="shared" si="1"/>
        <v>43119.136672209439</v>
      </c>
      <c r="AV6" s="31">
        <f t="shared" si="1"/>
        <v>43119.136672209439</v>
      </c>
      <c r="AW6" s="31">
        <f t="shared" si="1"/>
        <v>43119.136672209439</v>
      </c>
      <c r="AX6" s="31">
        <f t="shared" si="1"/>
        <v>43119.136672209439</v>
      </c>
      <c r="AY6" s="31">
        <f t="shared" si="1"/>
        <v>43119.136672209439</v>
      </c>
      <c r="AZ6" s="31">
        <f t="shared" si="1"/>
        <v>43119.136672209439</v>
      </c>
      <c r="BA6" s="31">
        <f t="shared" si="1"/>
        <v>43119.136672209439</v>
      </c>
    </row>
    <row r="7" spans="1:53" ht="14.25" customHeight="1" x14ac:dyDescent="0.2">
      <c r="A7" t="s">
        <v>122</v>
      </c>
      <c r="B7" s="31">
        <v>0</v>
      </c>
      <c r="C7" s="31">
        <f t="shared" ref="C7:AG7" si="6">B7</f>
        <v>0</v>
      </c>
      <c r="D7" s="31">
        <f t="shared" si="6"/>
        <v>0</v>
      </c>
      <c r="E7" s="31">
        <f t="shared" si="6"/>
        <v>0</v>
      </c>
      <c r="F7" s="31">
        <f t="shared" si="6"/>
        <v>0</v>
      </c>
      <c r="G7" s="31">
        <f t="shared" si="6"/>
        <v>0</v>
      </c>
      <c r="H7" s="31">
        <f t="shared" si="6"/>
        <v>0</v>
      </c>
      <c r="I7" s="31">
        <f t="shared" si="6"/>
        <v>0</v>
      </c>
      <c r="J7" s="31">
        <f t="shared" si="6"/>
        <v>0</v>
      </c>
      <c r="K7" s="31">
        <f t="shared" si="6"/>
        <v>0</v>
      </c>
      <c r="L7" s="31">
        <f t="shared" si="6"/>
        <v>0</v>
      </c>
      <c r="M7" s="31">
        <f t="shared" si="6"/>
        <v>0</v>
      </c>
      <c r="N7" s="31">
        <f t="shared" si="6"/>
        <v>0</v>
      </c>
      <c r="O7" s="31">
        <f t="shared" si="6"/>
        <v>0</v>
      </c>
      <c r="P7" s="31">
        <f t="shared" si="6"/>
        <v>0</v>
      </c>
      <c r="Q7" s="31">
        <f t="shared" si="6"/>
        <v>0</v>
      </c>
      <c r="R7" s="31">
        <f t="shared" si="6"/>
        <v>0</v>
      </c>
      <c r="S7" s="31">
        <f t="shared" si="6"/>
        <v>0</v>
      </c>
      <c r="T7" s="31">
        <f t="shared" si="6"/>
        <v>0</v>
      </c>
      <c r="U7" s="31">
        <f t="shared" si="6"/>
        <v>0</v>
      </c>
      <c r="V7" s="31">
        <f t="shared" si="6"/>
        <v>0</v>
      </c>
      <c r="W7" s="31">
        <f t="shared" si="6"/>
        <v>0</v>
      </c>
      <c r="X7" s="31">
        <f t="shared" si="6"/>
        <v>0</v>
      </c>
      <c r="Y7" s="31">
        <f t="shared" si="6"/>
        <v>0</v>
      </c>
      <c r="Z7" s="31">
        <f t="shared" si="6"/>
        <v>0</v>
      </c>
      <c r="AA7" s="31">
        <f t="shared" si="6"/>
        <v>0</v>
      </c>
      <c r="AB7" s="31">
        <f t="shared" si="6"/>
        <v>0</v>
      </c>
      <c r="AC7" s="31">
        <f t="shared" si="6"/>
        <v>0</v>
      </c>
      <c r="AD7" s="31">
        <f t="shared" si="6"/>
        <v>0</v>
      </c>
      <c r="AE7" s="31">
        <f t="shared" si="6"/>
        <v>0</v>
      </c>
      <c r="AF7" s="31">
        <f t="shared" si="6"/>
        <v>0</v>
      </c>
      <c r="AG7" s="31">
        <f t="shared" si="6"/>
        <v>0</v>
      </c>
      <c r="AH7" s="31">
        <f t="shared" si="2"/>
        <v>0</v>
      </c>
      <c r="AI7" s="31">
        <f t="shared" si="1"/>
        <v>0</v>
      </c>
      <c r="AJ7" s="31">
        <f t="shared" si="1"/>
        <v>0</v>
      </c>
      <c r="AK7" s="31">
        <f t="shared" si="1"/>
        <v>0</v>
      </c>
      <c r="AL7" s="31">
        <f t="shared" si="1"/>
        <v>0</v>
      </c>
      <c r="AM7" s="31">
        <f t="shared" si="1"/>
        <v>0</v>
      </c>
      <c r="AN7" s="31">
        <f t="shared" si="1"/>
        <v>0</v>
      </c>
      <c r="AO7" s="31">
        <f t="shared" si="1"/>
        <v>0</v>
      </c>
      <c r="AP7" s="31">
        <f t="shared" si="1"/>
        <v>0</v>
      </c>
      <c r="AQ7" s="31">
        <f t="shared" si="1"/>
        <v>0</v>
      </c>
      <c r="AR7" s="31">
        <f t="shared" si="1"/>
        <v>0</v>
      </c>
      <c r="AS7" s="31">
        <f t="shared" si="1"/>
        <v>0</v>
      </c>
      <c r="AT7" s="31">
        <f t="shared" si="1"/>
        <v>0</v>
      </c>
      <c r="AU7" s="31">
        <f t="shared" si="1"/>
        <v>0</v>
      </c>
      <c r="AV7" s="31">
        <f t="shared" si="1"/>
        <v>0</v>
      </c>
      <c r="AW7" s="31">
        <f t="shared" si="1"/>
        <v>0</v>
      </c>
      <c r="AX7" s="31">
        <f t="shared" si="1"/>
        <v>0</v>
      </c>
      <c r="AY7" s="31">
        <f t="shared" si="1"/>
        <v>0</v>
      </c>
      <c r="AZ7" s="31">
        <f t="shared" si="1"/>
        <v>0</v>
      </c>
      <c r="BA7" s="31">
        <f t="shared" si="1"/>
        <v>0</v>
      </c>
    </row>
    <row r="8" spans="1:53" ht="14.25" customHeight="1" x14ac:dyDescent="0.2"/>
    <row r="9" spans="1:53" ht="14.25" customHeight="1" x14ac:dyDescent="0.2"/>
    <row r="10" spans="1:53" ht="14.25" customHeight="1" x14ac:dyDescent="0.2"/>
    <row r="11" spans="1:53" ht="14.25" customHeight="1" x14ac:dyDescent="0.2"/>
    <row r="12" spans="1:53" ht="14.25" customHeight="1" x14ac:dyDescent="0.2"/>
    <row r="13" spans="1:53" ht="14.25" customHeight="1" x14ac:dyDescent="0.2"/>
    <row r="14" spans="1:53" ht="14.25" customHeight="1" x14ac:dyDescent="0.2"/>
    <row r="15" spans="1:53" ht="14.25" customHeight="1" x14ac:dyDescent="0.2"/>
    <row r="16" spans="1:5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Sheet1</vt:lpstr>
      <vt:lpstr>Deep Decarbonization</vt:lpstr>
      <vt:lpstr>SYVbT-passenger</vt:lpstr>
      <vt:lpstr>SYVbT-freight</vt:lpstr>
      <vt:lpstr>AVLo-passengers</vt:lpstr>
      <vt:lpstr>AVLo-freight</vt:lpstr>
      <vt:lpstr>BAADTbVT-passengers</vt:lpstr>
      <vt:lpstr>BAADTbVT-freight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2015-03-31T22:53:51Z</dcterms:created>
  <dcterms:modified xsi:type="dcterms:W3CDTF">2025-04-12T23:16:32Z</dcterms:modified>
</cp:coreProperties>
</file>