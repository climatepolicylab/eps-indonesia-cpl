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ssy02/Desktop/Postdoc Projects/eps-indonesia-cpl/InputData/bldgs/CpUDSC/"/>
    </mc:Choice>
  </mc:AlternateContent>
  <xr:revisionPtr revIDLastSave="0" documentId="13_ncr:1_{4CB1310B-EE99-B84D-A9B0-6C407849FDDE}" xr6:coauthVersionLast="47" xr6:coauthVersionMax="47" xr10:uidLastSave="{00000000-0000-0000-0000-000000000000}"/>
  <bookViews>
    <workbookView xWindow="0" yWindow="760" windowWidth="34200" windowHeight="21380" tabRatio="780" activeTab="8" xr2:uid="{00000000-000D-0000-FFFF-FFFF00000000}"/>
  </bookViews>
  <sheets>
    <sheet name="About" sheetId="1" r:id="rId1"/>
    <sheet name="DC to AC" sheetId="5" r:id="rId2"/>
    <sheet name="Solar - PV Dist. Comm 2021" sheetId="10" r:id="rId3"/>
    <sheet name="Solar - PV Dist. Comm 2022" sheetId="12" r:id="rId4"/>
    <sheet name="NREL calcs" sheetId="11" r:id="rId5"/>
    <sheet name="NREL ATB" sheetId="7" r:id="rId6"/>
    <sheet name="Soft Cost Data" sheetId="9" r:id="rId7"/>
    <sheet name="CpUDSC-totalcost" sheetId="2" r:id="rId8"/>
    <sheet name="CpUDSC-softcosts" sheetId="8" r:id="rId9"/>
  </sheets>
  <externalReferences>
    <externalReference r:id="rId10"/>
    <externalReference r:id="rId11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3" i="8" l="1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2" i="2"/>
  <c r="D35" i="11"/>
  <c r="D36" i="11"/>
  <c r="D37" i="11"/>
  <c r="D38" i="11"/>
  <c r="D39" i="11"/>
  <c r="D40" i="11"/>
  <c r="D41" i="11"/>
  <c r="D42" i="11"/>
  <c r="D43" i="11"/>
  <c r="D44" i="11"/>
  <c r="D45" i="11"/>
  <c r="D46" i="11"/>
  <c r="D47" i="11"/>
  <c r="D48" i="11"/>
  <c r="D49" i="11"/>
  <c r="D50" i="11"/>
  <c r="D51" i="11"/>
  <c r="D52" i="11"/>
  <c r="D53" i="11"/>
  <c r="D54" i="11"/>
  <c r="C35" i="11"/>
  <c r="C36" i="11"/>
  <c r="C37" i="11"/>
  <c r="C38" i="11"/>
  <c r="C39" i="11"/>
  <c r="C40" i="11"/>
  <c r="C41" i="11"/>
  <c r="C42" i="11"/>
  <c r="C43" i="11"/>
  <c r="C44" i="11"/>
  <c r="C45" i="11"/>
  <c r="C46" i="11"/>
  <c r="C47" i="11"/>
  <c r="C48" i="11"/>
  <c r="C49" i="11"/>
  <c r="C50" i="11"/>
  <c r="C51" i="11"/>
  <c r="C52" i="11"/>
  <c r="C53" i="11"/>
  <c r="C54" i="11"/>
  <c r="C5" i="11"/>
  <c r="C6" i="11"/>
  <c r="C7" i="11"/>
  <c r="C8" i="11"/>
  <c r="C9" i="11"/>
  <c r="D9" i="11" s="1"/>
  <c r="C10" i="11"/>
  <c r="D10" i="11" s="1"/>
  <c r="C11" i="11"/>
  <c r="C12" i="11"/>
  <c r="C13" i="11"/>
  <c r="C14" i="11"/>
  <c r="C15" i="11"/>
  <c r="C16" i="11"/>
  <c r="C17" i="11"/>
  <c r="D17" i="11" s="1"/>
  <c r="C18" i="11"/>
  <c r="D18" i="11" s="1"/>
  <c r="C19" i="11"/>
  <c r="C20" i="11"/>
  <c r="D20" i="11" s="1"/>
  <c r="C21" i="11"/>
  <c r="C22" i="11"/>
  <c r="C23" i="11"/>
  <c r="C24" i="11"/>
  <c r="C25" i="11"/>
  <c r="D25" i="11" s="1"/>
  <c r="C26" i="11"/>
  <c r="D26" i="11" s="1"/>
  <c r="C27" i="11"/>
  <c r="C28" i="11"/>
  <c r="D28" i="11" s="1"/>
  <c r="C29" i="11"/>
  <c r="C30" i="11"/>
  <c r="C31" i="11"/>
  <c r="C32" i="11"/>
  <c r="C33" i="11"/>
  <c r="D33" i="11" s="1"/>
  <c r="C34" i="11"/>
  <c r="D34" i="11" s="1"/>
  <c r="C4" i="11"/>
  <c r="C3" i="11"/>
  <c r="AS376" i="12"/>
  <c r="AT376" i="12" s="1"/>
  <c r="AR376" i="12"/>
  <c r="AR374" i="12"/>
  <c r="AS374" i="12" s="1"/>
  <c r="AT374" i="12" s="1"/>
  <c r="AU374" i="12" s="1"/>
  <c r="AV374" i="12" s="1"/>
  <c r="AW374" i="12" s="1"/>
  <c r="AX374" i="12" s="1"/>
  <c r="AY374" i="12" s="1"/>
  <c r="AZ374" i="12" s="1"/>
  <c r="BA374" i="12" s="1"/>
  <c r="BB374" i="12" s="1"/>
  <c r="BC374" i="12" s="1"/>
  <c r="BD374" i="12" s="1"/>
  <c r="BE374" i="12" s="1"/>
  <c r="BF374" i="12" s="1"/>
  <c r="BG374" i="12" s="1"/>
  <c r="BH374" i="12" s="1"/>
  <c r="BI374" i="12" s="1"/>
  <c r="BJ374" i="12" s="1"/>
  <c r="BK374" i="12" s="1"/>
  <c r="AR149" i="12"/>
  <c r="AS149" i="12"/>
  <c r="AS181" i="12"/>
  <c r="AT181" i="12" s="1"/>
  <c r="AU181" i="12" s="1"/>
  <c r="AV181" i="12" s="1"/>
  <c r="AW181" i="12" s="1"/>
  <c r="AX181" i="12" s="1"/>
  <c r="AY181" i="12" s="1"/>
  <c r="AZ181" i="12" s="1"/>
  <c r="BA181" i="12" s="1"/>
  <c r="BB181" i="12" s="1"/>
  <c r="BC181" i="12" s="1"/>
  <c r="BD181" i="12" s="1"/>
  <c r="BE181" i="12" s="1"/>
  <c r="BF181" i="12" s="1"/>
  <c r="BG181" i="12" s="1"/>
  <c r="BH181" i="12" s="1"/>
  <c r="BI181" i="12" s="1"/>
  <c r="BJ181" i="12" s="1"/>
  <c r="BK181" i="12" s="1"/>
  <c r="AR181" i="12"/>
  <c r="AT183" i="12"/>
  <c r="AR276" i="12"/>
  <c r="AS276" i="12" s="1"/>
  <c r="AT276" i="12" s="1"/>
  <c r="AU276" i="12" s="1"/>
  <c r="AV276" i="12" s="1"/>
  <c r="AW276" i="12" s="1"/>
  <c r="AX276" i="12" s="1"/>
  <c r="AY276" i="12" s="1"/>
  <c r="AZ276" i="12" s="1"/>
  <c r="BA276" i="12" s="1"/>
  <c r="BB276" i="12" s="1"/>
  <c r="BC276" i="12" s="1"/>
  <c r="BD276" i="12" s="1"/>
  <c r="BE276" i="12" s="1"/>
  <c r="BF276" i="12" s="1"/>
  <c r="BG276" i="12" s="1"/>
  <c r="BH276" i="12" s="1"/>
  <c r="BI276" i="12" s="1"/>
  <c r="BJ276" i="12" s="1"/>
  <c r="BK276" i="12" s="1"/>
  <c r="AR179" i="12"/>
  <c r="AS179" i="12" s="1"/>
  <c r="AT179" i="12" s="1"/>
  <c r="AU179" i="12" s="1"/>
  <c r="AV179" i="12" s="1"/>
  <c r="AW179" i="12" s="1"/>
  <c r="AX179" i="12" s="1"/>
  <c r="AY179" i="12" s="1"/>
  <c r="AZ179" i="12" s="1"/>
  <c r="BA179" i="12" s="1"/>
  <c r="BB179" i="12" s="1"/>
  <c r="BC179" i="12" s="1"/>
  <c r="BD179" i="12" s="1"/>
  <c r="BE179" i="12" s="1"/>
  <c r="BF179" i="12" s="1"/>
  <c r="BG179" i="12" s="1"/>
  <c r="BH179" i="12" s="1"/>
  <c r="BI179" i="12" s="1"/>
  <c r="BJ179" i="12" s="1"/>
  <c r="BK179" i="12" s="1"/>
  <c r="AR147" i="12"/>
  <c r="AS147" i="12" s="1"/>
  <c r="AT147" i="12" s="1"/>
  <c r="AU147" i="12" s="1"/>
  <c r="AV147" i="12" s="1"/>
  <c r="AW147" i="12" s="1"/>
  <c r="AX147" i="12" s="1"/>
  <c r="AY147" i="12" s="1"/>
  <c r="AZ147" i="12" s="1"/>
  <c r="BA147" i="12" s="1"/>
  <c r="BB147" i="12" s="1"/>
  <c r="BC147" i="12" s="1"/>
  <c r="BD147" i="12" s="1"/>
  <c r="BE147" i="12" s="1"/>
  <c r="BF147" i="12" s="1"/>
  <c r="BG147" i="12" s="1"/>
  <c r="BH147" i="12" s="1"/>
  <c r="BI147" i="12" s="1"/>
  <c r="BJ147" i="12" s="1"/>
  <c r="BK147" i="12" s="1"/>
  <c r="AR165" i="10"/>
  <c r="AS165" i="10"/>
  <c r="AT165" i="10"/>
  <c r="AU165" i="10"/>
  <c r="AV165" i="10"/>
  <c r="AW165" i="10"/>
  <c r="AX165" i="10"/>
  <c r="AY165" i="10"/>
  <c r="AZ165" i="10"/>
  <c r="BA165" i="10"/>
  <c r="BB165" i="10"/>
  <c r="BC165" i="10"/>
  <c r="BD165" i="10"/>
  <c r="BE165" i="10"/>
  <c r="BF165" i="10"/>
  <c r="BG165" i="10"/>
  <c r="BH165" i="10"/>
  <c r="BI165" i="10"/>
  <c r="BJ165" i="10"/>
  <c r="BK165" i="10"/>
  <c r="AS197" i="10"/>
  <c r="AT197" i="10" s="1"/>
  <c r="AU197" i="10" s="1"/>
  <c r="AV197" i="10" s="1"/>
  <c r="AW197" i="10" s="1"/>
  <c r="AX197" i="10" s="1"/>
  <c r="AY197" i="10" s="1"/>
  <c r="AZ197" i="10" s="1"/>
  <c r="BA197" i="10" s="1"/>
  <c r="BB197" i="10" s="1"/>
  <c r="BC197" i="10" s="1"/>
  <c r="BD197" i="10" s="1"/>
  <c r="BE197" i="10" s="1"/>
  <c r="BF197" i="10" s="1"/>
  <c r="BG197" i="10" s="1"/>
  <c r="BH197" i="10" s="1"/>
  <c r="BI197" i="10" s="1"/>
  <c r="BJ197" i="10" s="1"/>
  <c r="BK197" i="10" s="1"/>
  <c r="AR197" i="10"/>
  <c r="AT199" i="10"/>
  <c r="AR195" i="10"/>
  <c r="AS195" i="10" s="1"/>
  <c r="AT195" i="10" s="1"/>
  <c r="AU195" i="10" s="1"/>
  <c r="AV195" i="10" s="1"/>
  <c r="AW195" i="10" s="1"/>
  <c r="AX195" i="10" s="1"/>
  <c r="AY195" i="10" s="1"/>
  <c r="AZ195" i="10" s="1"/>
  <c r="BA195" i="10" s="1"/>
  <c r="BB195" i="10" s="1"/>
  <c r="BC195" i="10" s="1"/>
  <c r="BD195" i="10" s="1"/>
  <c r="BE195" i="10" s="1"/>
  <c r="BF195" i="10" s="1"/>
  <c r="BG195" i="10" s="1"/>
  <c r="BH195" i="10" s="1"/>
  <c r="BI195" i="10" s="1"/>
  <c r="BJ195" i="10" s="1"/>
  <c r="BK195" i="10" s="1"/>
  <c r="AR324" i="10"/>
  <c r="AS324" i="10" s="1"/>
  <c r="AT324" i="10" s="1"/>
  <c r="AU324" i="10" s="1"/>
  <c r="AV324" i="10" s="1"/>
  <c r="AW324" i="10" s="1"/>
  <c r="AX324" i="10" s="1"/>
  <c r="AY324" i="10" s="1"/>
  <c r="AZ324" i="10" s="1"/>
  <c r="BA324" i="10" s="1"/>
  <c r="BB324" i="10" s="1"/>
  <c r="BC324" i="10" s="1"/>
  <c r="BD324" i="10" s="1"/>
  <c r="BE324" i="10" s="1"/>
  <c r="BF324" i="10" s="1"/>
  <c r="BG324" i="10" s="1"/>
  <c r="BH324" i="10" s="1"/>
  <c r="BI324" i="10" s="1"/>
  <c r="BJ324" i="10" s="1"/>
  <c r="BK324" i="10" s="1"/>
  <c r="BJ163" i="10"/>
  <c r="BK163" i="10" s="1"/>
  <c r="BF163" i="10"/>
  <c r="BG163" i="10" s="1"/>
  <c r="BH163" i="10" s="1"/>
  <c r="BI163" i="10" s="1"/>
  <c r="AS163" i="10"/>
  <c r="AT163" i="10" s="1"/>
  <c r="AU163" i="10" s="1"/>
  <c r="AV163" i="10" s="1"/>
  <c r="AW163" i="10" s="1"/>
  <c r="AX163" i="10" s="1"/>
  <c r="AY163" i="10" s="1"/>
  <c r="AZ163" i="10" s="1"/>
  <c r="BA163" i="10" s="1"/>
  <c r="BB163" i="10" s="1"/>
  <c r="BC163" i="10" s="1"/>
  <c r="BD163" i="10" s="1"/>
  <c r="BE163" i="10" s="1"/>
  <c r="AR163" i="10"/>
  <c r="D5" i="11"/>
  <c r="D6" i="11"/>
  <c r="D7" i="11"/>
  <c r="D8" i="11"/>
  <c r="D11" i="11"/>
  <c r="D12" i="11"/>
  <c r="D13" i="11"/>
  <c r="D14" i="11"/>
  <c r="D15" i="11"/>
  <c r="D16" i="11"/>
  <c r="D19" i="11"/>
  <c r="D21" i="11"/>
  <c r="D22" i="11"/>
  <c r="D23" i="11"/>
  <c r="D24" i="11"/>
  <c r="D27" i="11"/>
  <c r="D29" i="11"/>
  <c r="D30" i="11"/>
  <c r="D31" i="11"/>
  <c r="D32" i="11"/>
  <c r="D4" i="11"/>
  <c r="S33" i="12"/>
  <c r="AG47" i="12" s="1"/>
  <c r="S34" i="12"/>
  <c r="O33" i="12" s="1"/>
  <c r="M41" i="12"/>
  <c r="M42" i="12"/>
  <c r="M43" i="12"/>
  <c r="AE47" i="12"/>
  <c r="T48" i="12"/>
  <c r="Y48" i="12"/>
  <c r="AO48" i="12"/>
  <c r="AI49" i="12"/>
  <c r="AO50" i="12"/>
  <c r="AP50" i="12"/>
  <c r="U54" i="12"/>
  <c r="U380" i="12" s="1"/>
  <c r="N55" i="12"/>
  <c r="N382" i="12" s="1"/>
  <c r="O55" i="12"/>
  <c r="O383" i="12" s="1"/>
  <c r="X56" i="12"/>
  <c r="X387" i="12" s="1"/>
  <c r="P57" i="12"/>
  <c r="AC57" i="12"/>
  <c r="AC388" i="12" s="1"/>
  <c r="AO57" i="12"/>
  <c r="AO389" i="12" s="1"/>
  <c r="N61" i="12"/>
  <c r="V61" i="12"/>
  <c r="AE61" i="12"/>
  <c r="M62" i="12"/>
  <c r="P62" i="12"/>
  <c r="Z62" i="12"/>
  <c r="AC62" i="12"/>
  <c r="AH62" i="12"/>
  <c r="N63" i="12"/>
  <c r="AD63" i="12"/>
  <c r="AF63" i="12"/>
  <c r="AL63" i="12"/>
  <c r="P64" i="12"/>
  <c r="Q64" i="12"/>
  <c r="X64" i="12"/>
  <c r="AF64" i="12"/>
  <c r="AG64" i="12"/>
  <c r="AO64" i="12"/>
  <c r="M116" i="12"/>
  <c r="N116" i="12"/>
  <c r="O116" i="12"/>
  <c r="P116" i="12"/>
  <c r="Q116" i="12"/>
  <c r="R116" i="12"/>
  <c r="S116" i="12"/>
  <c r="T116" i="12"/>
  <c r="U116" i="12"/>
  <c r="V116" i="12"/>
  <c r="W116" i="12"/>
  <c r="X116" i="12"/>
  <c r="Y116" i="12"/>
  <c r="Z116" i="12"/>
  <c r="AA116" i="12"/>
  <c r="AB116" i="12"/>
  <c r="AC116" i="12"/>
  <c r="AD116" i="12"/>
  <c r="AE116" i="12"/>
  <c r="AF116" i="12"/>
  <c r="AG116" i="12"/>
  <c r="AH116" i="12"/>
  <c r="AI116" i="12"/>
  <c r="AJ116" i="12"/>
  <c r="AK116" i="12"/>
  <c r="AL116" i="12"/>
  <c r="AM116" i="12"/>
  <c r="AN116" i="12"/>
  <c r="AO116" i="12"/>
  <c r="AP116" i="12"/>
  <c r="AQ116" i="12"/>
  <c r="M117" i="12"/>
  <c r="N117" i="12"/>
  <c r="O117" i="12"/>
  <c r="P117" i="12"/>
  <c r="Q117" i="12"/>
  <c r="R117" i="12"/>
  <c r="S117" i="12"/>
  <c r="T117" i="12"/>
  <c r="U117" i="12"/>
  <c r="V117" i="12"/>
  <c r="W117" i="12"/>
  <c r="X117" i="12"/>
  <c r="Y117" i="12"/>
  <c r="Z117" i="12"/>
  <c r="AA117" i="12"/>
  <c r="AB117" i="12"/>
  <c r="AC117" i="12"/>
  <c r="AD117" i="12"/>
  <c r="AE117" i="12"/>
  <c r="AF117" i="12"/>
  <c r="AG117" i="12"/>
  <c r="AH117" i="12"/>
  <c r="AI117" i="12"/>
  <c r="AJ117" i="12"/>
  <c r="AK117" i="12"/>
  <c r="AL117" i="12"/>
  <c r="AM117" i="12"/>
  <c r="AN117" i="12"/>
  <c r="AO117" i="12"/>
  <c r="AP117" i="12"/>
  <c r="AQ117" i="12"/>
  <c r="M118" i="12"/>
  <c r="N118" i="12"/>
  <c r="O118" i="12"/>
  <c r="P118" i="12"/>
  <c r="Q118" i="12"/>
  <c r="R118" i="12"/>
  <c r="S118" i="12"/>
  <c r="T118" i="12"/>
  <c r="U118" i="12"/>
  <c r="V118" i="12"/>
  <c r="W118" i="12"/>
  <c r="X118" i="12"/>
  <c r="Y118" i="12"/>
  <c r="Z118" i="12"/>
  <c r="AA118" i="12"/>
  <c r="AB118" i="12"/>
  <c r="AC118" i="12"/>
  <c r="AD118" i="12"/>
  <c r="AE118" i="12"/>
  <c r="AF118" i="12"/>
  <c r="AG118" i="12"/>
  <c r="AH118" i="12"/>
  <c r="AI118" i="12"/>
  <c r="AJ118" i="12"/>
  <c r="AK118" i="12"/>
  <c r="AL118" i="12"/>
  <c r="AM118" i="12"/>
  <c r="AN118" i="12"/>
  <c r="AO118" i="12"/>
  <c r="AP118" i="12"/>
  <c r="AQ118" i="12"/>
  <c r="M119" i="12"/>
  <c r="N119" i="12"/>
  <c r="O119" i="12"/>
  <c r="P119" i="12"/>
  <c r="Q119" i="12"/>
  <c r="R119" i="12"/>
  <c r="S119" i="12"/>
  <c r="T119" i="12"/>
  <c r="U119" i="12"/>
  <c r="V119" i="12"/>
  <c r="W119" i="12"/>
  <c r="X119" i="12"/>
  <c r="Y119" i="12"/>
  <c r="Z119" i="12"/>
  <c r="AA119" i="12"/>
  <c r="AB119" i="12"/>
  <c r="AC119" i="12"/>
  <c r="AD119" i="12"/>
  <c r="AE119" i="12"/>
  <c r="AF119" i="12"/>
  <c r="AG119" i="12"/>
  <c r="AH119" i="12"/>
  <c r="AI119" i="12"/>
  <c r="AJ119" i="12"/>
  <c r="AK119" i="12"/>
  <c r="AL119" i="12"/>
  <c r="AM119" i="12"/>
  <c r="AN119" i="12"/>
  <c r="AO119" i="12"/>
  <c r="AP119" i="12"/>
  <c r="AQ119" i="12"/>
  <c r="M120" i="12"/>
  <c r="N120" i="12"/>
  <c r="O120" i="12"/>
  <c r="P120" i="12"/>
  <c r="Q120" i="12"/>
  <c r="R120" i="12"/>
  <c r="S120" i="12"/>
  <c r="T120" i="12"/>
  <c r="U120" i="12"/>
  <c r="V120" i="12"/>
  <c r="W120" i="12"/>
  <c r="X120" i="12"/>
  <c r="Y120" i="12"/>
  <c r="Z120" i="12"/>
  <c r="AA120" i="12"/>
  <c r="AB120" i="12"/>
  <c r="AC120" i="12"/>
  <c r="AD120" i="12"/>
  <c r="AE120" i="12"/>
  <c r="AF120" i="12"/>
  <c r="AG120" i="12"/>
  <c r="AH120" i="12"/>
  <c r="AI120" i="12"/>
  <c r="AJ120" i="12"/>
  <c r="AK120" i="12"/>
  <c r="AL120" i="12"/>
  <c r="AM120" i="12"/>
  <c r="AN120" i="12"/>
  <c r="AO120" i="12"/>
  <c r="AP120" i="12"/>
  <c r="AQ120" i="12"/>
  <c r="M121" i="12"/>
  <c r="N121" i="12"/>
  <c r="O121" i="12"/>
  <c r="P121" i="12"/>
  <c r="Q121" i="12"/>
  <c r="R121" i="12"/>
  <c r="S121" i="12"/>
  <c r="T121" i="12"/>
  <c r="U121" i="12"/>
  <c r="V121" i="12"/>
  <c r="W121" i="12"/>
  <c r="X121" i="12"/>
  <c r="Y121" i="12"/>
  <c r="Z121" i="12"/>
  <c r="AA121" i="12"/>
  <c r="AB121" i="12"/>
  <c r="AC121" i="12"/>
  <c r="AD121" i="12"/>
  <c r="AE121" i="12"/>
  <c r="AF121" i="12"/>
  <c r="AG121" i="12"/>
  <c r="AH121" i="12"/>
  <c r="AI121" i="12"/>
  <c r="AJ121" i="12"/>
  <c r="AK121" i="12"/>
  <c r="AL121" i="12"/>
  <c r="AM121" i="12"/>
  <c r="AN121" i="12"/>
  <c r="AO121" i="12"/>
  <c r="AP121" i="12"/>
  <c r="AQ121" i="12"/>
  <c r="M122" i="12"/>
  <c r="N122" i="12"/>
  <c r="O122" i="12"/>
  <c r="P122" i="12"/>
  <c r="Q122" i="12"/>
  <c r="R122" i="12"/>
  <c r="S122" i="12"/>
  <c r="T122" i="12"/>
  <c r="U122" i="12"/>
  <c r="V122" i="12"/>
  <c r="W122" i="12"/>
  <c r="X122" i="12"/>
  <c r="Y122" i="12"/>
  <c r="Z122" i="12"/>
  <c r="AA122" i="12"/>
  <c r="AB122" i="12"/>
  <c r="AC122" i="12"/>
  <c r="AD122" i="12"/>
  <c r="AE122" i="12"/>
  <c r="AF122" i="12"/>
  <c r="AG122" i="12"/>
  <c r="AH122" i="12"/>
  <c r="AI122" i="12"/>
  <c r="AJ122" i="12"/>
  <c r="AK122" i="12"/>
  <c r="AL122" i="12"/>
  <c r="AM122" i="12"/>
  <c r="AN122" i="12"/>
  <c r="AO122" i="12"/>
  <c r="AP122" i="12"/>
  <c r="AQ122" i="12"/>
  <c r="M123" i="12"/>
  <c r="N123" i="12"/>
  <c r="O123" i="12"/>
  <c r="P123" i="12"/>
  <c r="Q123" i="12"/>
  <c r="R123" i="12"/>
  <c r="S123" i="12"/>
  <c r="T123" i="12"/>
  <c r="U123" i="12"/>
  <c r="V123" i="12"/>
  <c r="W123" i="12"/>
  <c r="X123" i="12"/>
  <c r="Y123" i="12"/>
  <c r="Z123" i="12"/>
  <c r="AA123" i="12"/>
  <c r="AB123" i="12"/>
  <c r="AC123" i="12"/>
  <c r="AD123" i="12"/>
  <c r="AE123" i="12"/>
  <c r="AF123" i="12"/>
  <c r="AG123" i="12"/>
  <c r="AH123" i="12"/>
  <c r="AI123" i="12"/>
  <c r="AJ123" i="12"/>
  <c r="AK123" i="12"/>
  <c r="AL123" i="12"/>
  <c r="AM123" i="12"/>
  <c r="AN123" i="12"/>
  <c r="AO123" i="12"/>
  <c r="AP123" i="12"/>
  <c r="AQ123" i="12"/>
  <c r="M124" i="12"/>
  <c r="N124" i="12"/>
  <c r="O124" i="12"/>
  <c r="P124" i="12"/>
  <c r="Q124" i="12"/>
  <c r="R124" i="12"/>
  <c r="S124" i="12"/>
  <c r="T124" i="12"/>
  <c r="U124" i="12"/>
  <c r="V124" i="12"/>
  <c r="W124" i="12"/>
  <c r="X124" i="12"/>
  <c r="Y124" i="12"/>
  <c r="Z124" i="12"/>
  <c r="AA124" i="12"/>
  <c r="AB124" i="12"/>
  <c r="AC124" i="12"/>
  <c r="AD124" i="12"/>
  <c r="AE124" i="12"/>
  <c r="AF124" i="12"/>
  <c r="AG124" i="12"/>
  <c r="AH124" i="12"/>
  <c r="AI124" i="12"/>
  <c r="AJ124" i="12"/>
  <c r="AK124" i="12"/>
  <c r="AL124" i="12"/>
  <c r="AM124" i="12"/>
  <c r="AN124" i="12"/>
  <c r="AO124" i="12"/>
  <c r="AP124" i="12"/>
  <c r="AQ124" i="12"/>
  <c r="M125" i="12"/>
  <c r="N125" i="12"/>
  <c r="O125" i="12"/>
  <c r="P125" i="12"/>
  <c r="Q125" i="12"/>
  <c r="R125" i="12"/>
  <c r="S125" i="12"/>
  <c r="T125" i="12"/>
  <c r="U125" i="12"/>
  <c r="V125" i="12"/>
  <c r="W125" i="12"/>
  <c r="X125" i="12"/>
  <c r="Y125" i="12"/>
  <c r="Z125" i="12"/>
  <c r="AA125" i="12"/>
  <c r="AB125" i="12"/>
  <c r="AC125" i="12"/>
  <c r="AD125" i="12"/>
  <c r="AE125" i="12"/>
  <c r="AF125" i="12"/>
  <c r="AG125" i="12"/>
  <c r="AH125" i="12"/>
  <c r="AI125" i="12"/>
  <c r="AJ125" i="12"/>
  <c r="AK125" i="12"/>
  <c r="AL125" i="12"/>
  <c r="AM125" i="12"/>
  <c r="AN125" i="12"/>
  <c r="AO125" i="12"/>
  <c r="AP125" i="12"/>
  <c r="AQ125" i="12"/>
  <c r="M126" i="12"/>
  <c r="N126" i="12"/>
  <c r="O126" i="12"/>
  <c r="P126" i="12"/>
  <c r="Q126" i="12"/>
  <c r="R126" i="12"/>
  <c r="S126" i="12"/>
  <c r="T126" i="12"/>
  <c r="U126" i="12"/>
  <c r="V126" i="12"/>
  <c r="W126" i="12"/>
  <c r="X126" i="12"/>
  <c r="Y126" i="12"/>
  <c r="Z126" i="12"/>
  <c r="AA126" i="12"/>
  <c r="AB126" i="12"/>
  <c r="AC126" i="12"/>
  <c r="AD126" i="12"/>
  <c r="AE126" i="12"/>
  <c r="AF126" i="12"/>
  <c r="AG126" i="12"/>
  <c r="AH126" i="12"/>
  <c r="AI126" i="12"/>
  <c r="AJ126" i="12"/>
  <c r="AK126" i="12"/>
  <c r="AL126" i="12"/>
  <c r="AM126" i="12"/>
  <c r="AN126" i="12"/>
  <c r="AO126" i="12"/>
  <c r="AP126" i="12"/>
  <c r="AQ126" i="12"/>
  <c r="M127" i="12"/>
  <c r="N127" i="12"/>
  <c r="O127" i="12"/>
  <c r="P127" i="12"/>
  <c r="Q127" i="12"/>
  <c r="R127" i="12"/>
  <c r="S127" i="12"/>
  <c r="T127" i="12"/>
  <c r="U127" i="12"/>
  <c r="V127" i="12"/>
  <c r="W127" i="12"/>
  <c r="X127" i="12"/>
  <c r="Y127" i="12"/>
  <c r="Z127" i="12"/>
  <c r="AA127" i="12"/>
  <c r="AB127" i="12"/>
  <c r="AC127" i="12"/>
  <c r="AD127" i="12"/>
  <c r="AE127" i="12"/>
  <c r="AF127" i="12"/>
  <c r="AG127" i="12"/>
  <c r="AH127" i="12"/>
  <c r="AI127" i="12"/>
  <c r="AJ127" i="12"/>
  <c r="AK127" i="12"/>
  <c r="AL127" i="12"/>
  <c r="AM127" i="12"/>
  <c r="AN127" i="12"/>
  <c r="AO127" i="12"/>
  <c r="AP127" i="12"/>
  <c r="AQ127" i="12"/>
  <c r="M128" i="12"/>
  <c r="N128" i="12"/>
  <c r="O128" i="12"/>
  <c r="P128" i="12"/>
  <c r="Q128" i="12"/>
  <c r="R128" i="12"/>
  <c r="S128" i="12"/>
  <c r="T128" i="12"/>
  <c r="U128" i="12"/>
  <c r="V128" i="12"/>
  <c r="W128" i="12"/>
  <c r="X128" i="12"/>
  <c r="Y128" i="12"/>
  <c r="Z128" i="12"/>
  <c r="AA128" i="12"/>
  <c r="AB128" i="12"/>
  <c r="AC128" i="12"/>
  <c r="AD128" i="12"/>
  <c r="AE128" i="12"/>
  <c r="AF128" i="12"/>
  <c r="AG128" i="12"/>
  <c r="AH128" i="12"/>
  <c r="AI128" i="12"/>
  <c r="AJ128" i="12"/>
  <c r="AK128" i="12"/>
  <c r="AL128" i="12"/>
  <c r="AM128" i="12"/>
  <c r="AN128" i="12"/>
  <c r="AO128" i="12"/>
  <c r="AP128" i="12"/>
  <c r="AQ128" i="12"/>
  <c r="M129" i="12"/>
  <c r="N129" i="12"/>
  <c r="O129" i="12"/>
  <c r="P129" i="12"/>
  <c r="Q129" i="12"/>
  <c r="R129" i="12"/>
  <c r="S129" i="12"/>
  <c r="T129" i="12"/>
  <c r="U129" i="12"/>
  <c r="V129" i="12"/>
  <c r="W129" i="12"/>
  <c r="X129" i="12"/>
  <c r="Y129" i="12"/>
  <c r="Z129" i="12"/>
  <c r="AA129" i="12"/>
  <c r="AB129" i="12"/>
  <c r="AC129" i="12"/>
  <c r="AD129" i="12"/>
  <c r="AE129" i="12"/>
  <c r="AF129" i="12"/>
  <c r="AG129" i="12"/>
  <c r="AH129" i="12"/>
  <c r="AI129" i="12"/>
  <c r="AJ129" i="12"/>
  <c r="AK129" i="12"/>
  <c r="AL129" i="12"/>
  <c r="AM129" i="12"/>
  <c r="AN129" i="12"/>
  <c r="AO129" i="12"/>
  <c r="AP129" i="12"/>
  <c r="AQ129" i="12"/>
  <c r="M130" i="12"/>
  <c r="N130" i="12"/>
  <c r="O130" i="12"/>
  <c r="P130" i="12"/>
  <c r="Q130" i="12"/>
  <c r="R130" i="12"/>
  <c r="S130" i="12"/>
  <c r="T130" i="12"/>
  <c r="U130" i="12"/>
  <c r="V130" i="12"/>
  <c r="W130" i="12"/>
  <c r="X130" i="12"/>
  <c r="Y130" i="12"/>
  <c r="Z130" i="12"/>
  <c r="AA130" i="12"/>
  <c r="AB130" i="12"/>
  <c r="AC130" i="12"/>
  <c r="AD130" i="12"/>
  <c r="AE130" i="12"/>
  <c r="AF130" i="12"/>
  <c r="AG130" i="12"/>
  <c r="AH130" i="12"/>
  <c r="AI130" i="12"/>
  <c r="AJ130" i="12"/>
  <c r="AK130" i="12"/>
  <c r="AL130" i="12"/>
  <c r="AM130" i="12"/>
  <c r="AN130" i="12"/>
  <c r="AO130" i="12"/>
  <c r="AP130" i="12"/>
  <c r="AQ130" i="12"/>
  <c r="M131" i="12"/>
  <c r="N131" i="12"/>
  <c r="O131" i="12"/>
  <c r="P131" i="12"/>
  <c r="Q131" i="12"/>
  <c r="R131" i="12"/>
  <c r="S131" i="12"/>
  <c r="T131" i="12"/>
  <c r="U131" i="12"/>
  <c r="V131" i="12"/>
  <c r="W131" i="12"/>
  <c r="X131" i="12"/>
  <c r="Y131" i="12"/>
  <c r="Z131" i="12"/>
  <c r="AA131" i="12"/>
  <c r="AB131" i="12"/>
  <c r="AC131" i="12"/>
  <c r="AD131" i="12"/>
  <c r="AE131" i="12"/>
  <c r="AF131" i="12"/>
  <c r="AG131" i="12"/>
  <c r="AH131" i="12"/>
  <c r="AI131" i="12"/>
  <c r="AJ131" i="12"/>
  <c r="AK131" i="12"/>
  <c r="AL131" i="12"/>
  <c r="AM131" i="12"/>
  <c r="AN131" i="12"/>
  <c r="AO131" i="12"/>
  <c r="AP131" i="12"/>
  <c r="AQ131" i="12"/>
  <c r="M132" i="12"/>
  <c r="N132" i="12"/>
  <c r="O132" i="12"/>
  <c r="P132" i="12"/>
  <c r="Q132" i="12"/>
  <c r="R132" i="12"/>
  <c r="S132" i="12"/>
  <c r="T132" i="12"/>
  <c r="U132" i="12"/>
  <c r="V132" i="12"/>
  <c r="W132" i="12"/>
  <c r="X132" i="12"/>
  <c r="Y132" i="12"/>
  <c r="Z132" i="12"/>
  <c r="AA132" i="12"/>
  <c r="AB132" i="12"/>
  <c r="AC132" i="12"/>
  <c r="AD132" i="12"/>
  <c r="AE132" i="12"/>
  <c r="AF132" i="12"/>
  <c r="AG132" i="12"/>
  <c r="AH132" i="12"/>
  <c r="AI132" i="12"/>
  <c r="AJ132" i="12"/>
  <c r="AK132" i="12"/>
  <c r="AL132" i="12"/>
  <c r="AM132" i="12"/>
  <c r="AN132" i="12"/>
  <c r="AO132" i="12"/>
  <c r="AP132" i="12"/>
  <c r="AQ132" i="12"/>
  <c r="M133" i="12"/>
  <c r="N133" i="12"/>
  <c r="O133" i="12"/>
  <c r="P133" i="12"/>
  <c r="Q133" i="12"/>
  <c r="R133" i="12"/>
  <c r="S133" i="12"/>
  <c r="T133" i="12"/>
  <c r="U133" i="12"/>
  <c r="V133" i="12"/>
  <c r="W133" i="12"/>
  <c r="X133" i="12"/>
  <c r="Y133" i="12"/>
  <c r="Z133" i="12"/>
  <c r="AA133" i="12"/>
  <c r="AB133" i="12"/>
  <c r="AC133" i="12"/>
  <c r="AD133" i="12"/>
  <c r="AE133" i="12"/>
  <c r="AF133" i="12"/>
  <c r="AG133" i="12"/>
  <c r="AH133" i="12"/>
  <c r="AI133" i="12"/>
  <c r="AJ133" i="12"/>
  <c r="AK133" i="12"/>
  <c r="AL133" i="12"/>
  <c r="AM133" i="12"/>
  <c r="AN133" i="12"/>
  <c r="AO133" i="12"/>
  <c r="AP133" i="12"/>
  <c r="AQ133" i="12"/>
  <c r="M134" i="12"/>
  <c r="N134" i="12"/>
  <c r="O134" i="12"/>
  <c r="P134" i="12"/>
  <c r="Q134" i="12"/>
  <c r="R134" i="12"/>
  <c r="S134" i="12"/>
  <c r="T134" i="12"/>
  <c r="U134" i="12"/>
  <c r="V134" i="12"/>
  <c r="W134" i="12"/>
  <c r="X134" i="12"/>
  <c r="Y134" i="12"/>
  <c r="Z134" i="12"/>
  <c r="AA134" i="12"/>
  <c r="AB134" i="12"/>
  <c r="AC134" i="12"/>
  <c r="AD134" i="12"/>
  <c r="AE134" i="12"/>
  <c r="AF134" i="12"/>
  <c r="AG134" i="12"/>
  <c r="AH134" i="12"/>
  <c r="AI134" i="12"/>
  <c r="AJ134" i="12"/>
  <c r="AK134" i="12"/>
  <c r="AL134" i="12"/>
  <c r="AM134" i="12"/>
  <c r="AN134" i="12"/>
  <c r="AO134" i="12"/>
  <c r="AP134" i="12"/>
  <c r="AQ134" i="12"/>
  <c r="M135" i="12"/>
  <c r="N135" i="12"/>
  <c r="O135" i="12"/>
  <c r="P135" i="12"/>
  <c r="Q135" i="12"/>
  <c r="R135" i="12"/>
  <c r="S135" i="12"/>
  <c r="T135" i="12"/>
  <c r="U135" i="12"/>
  <c r="V135" i="12"/>
  <c r="W135" i="12"/>
  <c r="X135" i="12"/>
  <c r="Y135" i="12"/>
  <c r="Z135" i="12"/>
  <c r="AA135" i="12"/>
  <c r="AB135" i="12"/>
  <c r="AC135" i="12"/>
  <c r="AD135" i="12"/>
  <c r="AE135" i="12"/>
  <c r="AF135" i="12"/>
  <c r="AG135" i="12"/>
  <c r="AH135" i="12"/>
  <c r="AI135" i="12"/>
  <c r="AJ135" i="12"/>
  <c r="AK135" i="12"/>
  <c r="AL135" i="12"/>
  <c r="AM135" i="12"/>
  <c r="AN135" i="12"/>
  <c r="AO135" i="12"/>
  <c r="AP135" i="12"/>
  <c r="AQ135" i="12"/>
  <c r="M136" i="12"/>
  <c r="N136" i="12"/>
  <c r="O136" i="12"/>
  <c r="P136" i="12"/>
  <c r="Q136" i="12"/>
  <c r="R136" i="12"/>
  <c r="S136" i="12"/>
  <c r="T136" i="12"/>
  <c r="U136" i="12"/>
  <c r="V136" i="12"/>
  <c r="W136" i="12"/>
  <c r="X136" i="12"/>
  <c r="Y136" i="12"/>
  <c r="Z136" i="12"/>
  <c r="AA136" i="12"/>
  <c r="AB136" i="12"/>
  <c r="AC136" i="12"/>
  <c r="AD136" i="12"/>
  <c r="AE136" i="12"/>
  <c r="AF136" i="12"/>
  <c r="AG136" i="12"/>
  <c r="AH136" i="12"/>
  <c r="AI136" i="12"/>
  <c r="AJ136" i="12"/>
  <c r="AK136" i="12"/>
  <c r="AL136" i="12"/>
  <c r="AM136" i="12"/>
  <c r="AN136" i="12"/>
  <c r="AO136" i="12"/>
  <c r="AP136" i="12"/>
  <c r="AQ136" i="12"/>
  <c r="M137" i="12"/>
  <c r="N137" i="12"/>
  <c r="O137" i="12"/>
  <c r="P137" i="12"/>
  <c r="Q137" i="12"/>
  <c r="R137" i="12"/>
  <c r="S137" i="12"/>
  <c r="T137" i="12"/>
  <c r="U137" i="12"/>
  <c r="V137" i="12"/>
  <c r="W137" i="12"/>
  <c r="X137" i="12"/>
  <c r="Y137" i="12"/>
  <c r="Z137" i="12"/>
  <c r="AA137" i="12"/>
  <c r="AB137" i="12"/>
  <c r="AC137" i="12"/>
  <c r="AD137" i="12"/>
  <c r="AE137" i="12"/>
  <c r="AF137" i="12"/>
  <c r="AG137" i="12"/>
  <c r="AH137" i="12"/>
  <c r="AI137" i="12"/>
  <c r="AJ137" i="12"/>
  <c r="AK137" i="12"/>
  <c r="AL137" i="12"/>
  <c r="AM137" i="12"/>
  <c r="AN137" i="12"/>
  <c r="AO137" i="12"/>
  <c r="AP137" i="12"/>
  <c r="AQ137" i="12"/>
  <c r="M138" i="12"/>
  <c r="N138" i="12"/>
  <c r="O138" i="12"/>
  <c r="P138" i="12"/>
  <c r="Q138" i="12"/>
  <c r="R138" i="12"/>
  <c r="S138" i="12"/>
  <c r="T138" i="12"/>
  <c r="U138" i="12"/>
  <c r="V138" i="12"/>
  <c r="W138" i="12"/>
  <c r="X138" i="12"/>
  <c r="Y138" i="12"/>
  <c r="Z138" i="12"/>
  <c r="AA138" i="12"/>
  <c r="AB138" i="12"/>
  <c r="AC138" i="12"/>
  <c r="AD138" i="12"/>
  <c r="AE138" i="12"/>
  <c r="AF138" i="12"/>
  <c r="AG138" i="12"/>
  <c r="AH138" i="12"/>
  <c r="AI138" i="12"/>
  <c r="AJ138" i="12"/>
  <c r="AK138" i="12"/>
  <c r="AL138" i="12"/>
  <c r="AM138" i="12"/>
  <c r="AN138" i="12"/>
  <c r="AO138" i="12"/>
  <c r="AP138" i="12"/>
  <c r="AQ138" i="12"/>
  <c r="M139" i="12"/>
  <c r="N139" i="12"/>
  <c r="O139" i="12"/>
  <c r="P139" i="12"/>
  <c r="Q139" i="12"/>
  <c r="R139" i="12"/>
  <c r="S139" i="12"/>
  <c r="T139" i="12"/>
  <c r="U139" i="12"/>
  <c r="V139" i="12"/>
  <c r="W139" i="12"/>
  <c r="X139" i="12"/>
  <c r="Y139" i="12"/>
  <c r="Z139" i="12"/>
  <c r="AA139" i="12"/>
  <c r="AB139" i="12"/>
  <c r="AC139" i="12"/>
  <c r="AD139" i="12"/>
  <c r="AE139" i="12"/>
  <c r="AF139" i="12"/>
  <c r="AG139" i="12"/>
  <c r="AH139" i="12"/>
  <c r="AI139" i="12"/>
  <c r="AJ139" i="12"/>
  <c r="AK139" i="12"/>
  <c r="AL139" i="12"/>
  <c r="AM139" i="12"/>
  <c r="AN139" i="12"/>
  <c r="AO139" i="12"/>
  <c r="AP139" i="12"/>
  <c r="AQ139" i="12"/>
  <c r="M140" i="12"/>
  <c r="N140" i="12"/>
  <c r="O140" i="12"/>
  <c r="P140" i="12"/>
  <c r="Q140" i="12"/>
  <c r="R140" i="12"/>
  <c r="S140" i="12"/>
  <c r="T140" i="12"/>
  <c r="U140" i="12"/>
  <c r="V140" i="12"/>
  <c r="W140" i="12"/>
  <c r="X140" i="12"/>
  <c r="Y140" i="12"/>
  <c r="Z140" i="12"/>
  <c r="AA140" i="12"/>
  <c r="AB140" i="12"/>
  <c r="AC140" i="12"/>
  <c r="AD140" i="12"/>
  <c r="AE140" i="12"/>
  <c r="AF140" i="12"/>
  <c r="AG140" i="12"/>
  <c r="AH140" i="12"/>
  <c r="AI140" i="12"/>
  <c r="AJ140" i="12"/>
  <c r="AK140" i="12"/>
  <c r="AL140" i="12"/>
  <c r="AM140" i="12"/>
  <c r="AN140" i="12"/>
  <c r="AO140" i="12"/>
  <c r="AP140" i="12"/>
  <c r="AQ140" i="12"/>
  <c r="M141" i="12"/>
  <c r="N141" i="12"/>
  <c r="O141" i="12"/>
  <c r="P141" i="12"/>
  <c r="Q141" i="12"/>
  <c r="R141" i="12"/>
  <c r="S141" i="12"/>
  <c r="T141" i="12"/>
  <c r="U141" i="12"/>
  <c r="V141" i="12"/>
  <c r="W141" i="12"/>
  <c r="X141" i="12"/>
  <c r="Y141" i="12"/>
  <c r="Z141" i="12"/>
  <c r="AA141" i="12"/>
  <c r="AB141" i="12"/>
  <c r="AC141" i="12"/>
  <c r="AD141" i="12"/>
  <c r="AE141" i="12"/>
  <c r="AF141" i="12"/>
  <c r="AG141" i="12"/>
  <c r="AH141" i="12"/>
  <c r="AI141" i="12"/>
  <c r="AJ141" i="12"/>
  <c r="AK141" i="12"/>
  <c r="AL141" i="12"/>
  <c r="AM141" i="12"/>
  <c r="AN141" i="12"/>
  <c r="AO141" i="12"/>
  <c r="AP141" i="12"/>
  <c r="AQ141" i="12"/>
  <c r="M142" i="12"/>
  <c r="N142" i="12"/>
  <c r="O142" i="12"/>
  <c r="P142" i="12"/>
  <c r="Q142" i="12"/>
  <c r="R142" i="12"/>
  <c r="S142" i="12"/>
  <c r="T142" i="12"/>
  <c r="U142" i="12"/>
  <c r="V142" i="12"/>
  <c r="W142" i="12"/>
  <c r="X142" i="12"/>
  <c r="Y142" i="12"/>
  <c r="Z142" i="12"/>
  <c r="AA142" i="12"/>
  <c r="AB142" i="12"/>
  <c r="AC142" i="12"/>
  <c r="AD142" i="12"/>
  <c r="AE142" i="12"/>
  <c r="AF142" i="12"/>
  <c r="AG142" i="12"/>
  <c r="AH142" i="12"/>
  <c r="AI142" i="12"/>
  <c r="AJ142" i="12"/>
  <c r="AK142" i="12"/>
  <c r="AL142" i="12"/>
  <c r="AM142" i="12"/>
  <c r="AN142" i="12"/>
  <c r="AO142" i="12"/>
  <c r="AP142" i="12"/>
  <c r="AQ142" i="12"/>
  <c r="M143" i="12"/>
  <c r="N143" i="12"/>
  <c r="O143" i="12"/>
  <c r="P143" i="12"/>
  <c r="Q143" i="12"/>
  <c r="R143" i="12"/>
  <c r="S143" i="12"/>
  <c r="T143" i="12"/>
  <c r="U143" i="12"/>
  <c r="V143" i="12"/>
  <c r="W143" i="12"/>
  <c r="X143" i="12"/>
  <c r="Y143" i="12"/>
  <c r="Z143" i="12"/>
  <c r="AA143" i="12"/>
  <c r="AB143" i="12"/>
  <c r="AC143" i="12"/>
  <c r="AD143" i="12"/>
  <c r="AE143" i="12"/>
  <c r="AF143" i="12"/>
  <c r="AG143" i="12"/>
  <c r="AH143" i="12"/>
  <c r="AI143" i="12"/>
  <c r="AJ143" i="12"/>
  <c r="AK143" i="12"/>
  <c r="AL143" i="12"/>
  <c r="AM143" i="12"/>
  <c r="AN143" i="12"/>
  <c r="AO143" i="12"/>
  <c r="AP143" i="12"/>
  <c r="AQ143" i="12"/>
  <c r="M144" i="12"/>
  <c r="N144" i="12"/>
  <c r="O144" i="12"/>
  <c r="P144" i="12"/>
  <c r="Q144" i="12"/>
  <c r="R144" i="12"/>
  <c r="S144" i="12"/>
  <c r="T144" i="12"/>
  <c r="U144" i="12"/>
  <c r="V144" i="12"/>
  <c r="W144" i="12"/>
  <c r="X144" i="12"/>
  <c r="Y144" i="12"/>
  <c r="Z144" i="12"/>
  <c r="AA144" i="12"/>
  <c r="AB144" i="12"/>
  <c r="AC144" i="12"/>
  <c r="AD144" i="12"/>
  <c r="AE144" i="12"/>
  <c r="AF144" i="12"/>
  <c r="AG144" i="12"/>
  <c r="AH144" i="12"/>
  <c r="AI144" i="12"/>
  <c r="AJ144" i="12"/>
  <c r="AK144" i="12"/>
  <c r="AL144" i="12"/>
  <c r="AM144" i="12"/>
  <c r="AN144" i="12"/>
  <c r="AO144" i="12"/>
  <c r="AP144" i="12"/>
  <c r="AQ144" i="12"/>
  <c r="M145" i="12"/>
  <c r="N145" i="12"/>
  <c r="O145" i="12"/>
  <c r="P145" i="12"/>
  <c r="Q145" i="12"/>
  <c r="R145" i="12"/>
  <c r="S145" i="12"/>
  <c r="T145" i="12"/>
  <c r="U145" i="12"/>
  <c r="V145" i="12"/>
  <c r="W145" i="12"/>
  <c r="X145" i="12"/>
  <c r="Y145" i="12"/>
  <c r="Z145" i="12"/>
  <c r="AA145" i="12"/>
  <c r="AB145" i="12"/>
  <c r="AC145" i="12"/>
  <c r="AD145" i="12"/>
  <c r="AE145" i="12"/>
  <c r="AF145" i="12"/>
  <c r="AG145" i="12"/>
  <c r="AH145" i="12"/>
  <c r="AI145" i="12"/>
  <c r="AJ145" i="12"/>
  <c r="AK145" i="12"/>
  <c r="AL145" i="12"/>
  <c r="AM145" i="12"/>
  <c r="AN145" i="12"/>
  <c r="AO145" i="12"/>
  <c r="AP145" i="12"/>
  <c r="AQ145" i="12"/>
  <c r="M183" i="12"/>
  <c r="N183" i="12"/>
  <c r="N186" i="12" s="1"/>
  <c r="O183" i="12"/>
  <c r="P183" i="12"/>
  <c r="P186" i="12" s="1"/>
  <c r="Q183" i="12"/>
  <c r="R183" i="12"/>
  <c r="R186" i="12" s="1"/>
  <c r="R189" i="12" s="1"/>
  <c r="S183" i="12"/>
  <c r="T183" i="12"/>
  <c r="T186" i="12" s="1"/>
  <c r="T189" i="12" s="1"/>
  <c r="T192" i="12" s="1"/>
  <c r="T195" i="12" s="1"/>
  <c r="T198" i="12" s="1"/>
  <c r="T201" i="12" s="1"/>
  <c r="T204" i="12" s="1"/>
  <c r="T207" i="12" s="1"/>
  <c r="U183" i="12"/>
  <c r="V183" i="12"/>
  <c r="V186" i="12" s="1"/>
  <c r="W183" i="12"/>
  <c r="X183" i="12"/>
  <c r="X186" i="12" s="1"/>
  <c r="Y183" i="12"/>
  <c r="Z183" i="12"/>
  <c r="AA183" i="12"/>
  <c r="AB183" i="12"/>
  <c r="AB186" i="12" s="1"/>
  <c r="AC183" i="12"/>
  <c r="AD183" i="12"/>
  <c r="AD186" i="12" s="1"/>
  <c r="AE183" i="12"/>
  <c r="AF183" i="12"/>
  <c r="AF186" i="12" s="1"/>
  <c r="AF189" i="12" s="1"/>
  <c r="AG183" i="12"/>
  <c r="AH183" i="12"/>
  <c r="AI183" i="12"/>
  <c r="AJ183" i="12"/>
  <c r="AK183" i="12"/>
  <c r="AL183" i="12"/>
  <c r="AL186" i="12" s="1"/>
  <c r="AM183" i="12"/>
  <c r="AN183" i="12"/>
  <c r="AN186" i="12" s="1"/>
  <c r="AO183" i="12"/>
  <c r="AP183" i="12"/>
  <c r="AP186" i="12" s="1"/>
  <c r="AP189" i="12" s="1"/>
  <c r="AQ183" i="12"/>
  <c r="M184" i="12"/>
  <c r="N184" i="12"/>
  <c r="O184" i="12"/>
  <c r="O187" i="12" s="1"/>
  <c r="P184" i="12"/>
  <c r="Q184" i="12"/>
  <c r="Q187" i="12" s="1"/>
  <c r="R184" i="12"/>
  <c r="S184" i="12"/>
  <c r="S187" i="12" s="1"/>
  <c r="S190" i="12" s="1"/>
  <c r="S193" i="12" s="1"/>
  <c r="S196" i="12" s="1"/>
  <c r="S199" i="12" s="1"/>
  <c r="S202" i="12" s="1"/>
  <c r="S205" i="12" s="1"/>
  <c r="T184" i="12"/>
  <c r="U184" i="12"/>
  <c r="U187" i="12" s="1"/>
  <c r="U190" i="12" s="1"/>
  <c r="U193" i="12" s="1"/>
  <c r="U196" i="12" s="1"/>
  <c r="U199" i="12" s="1"/>
  <c r="U202" i="12" s="1"/>
  <c r="V184" i="12"/>
  <c r="W184" i="12"/>
  <c r="W187" i="12" s="1"/>
  <c r="X184" i="12"/>
  <c r="Y184" i="12"/>
  <c r="Y187" i="12" s="1"/>
  <c r="Z184" i="12"/>
  <c r="AA184" i="12"/>
  <c r="AB184" i="12"/>
  <c r="AC184" i="12"/>
  <c r="AC187" i="12" s="1"/>
  <c r="AD184" i="12"/>
  <c r="AE184" i="12"/>
  <c r="AE187" i="12" s="1"/>
  <c r="AF184" i="12"/>
  <c r="AG184" i="12"/>
  <c r="AG187" i="12" s="1"/>
  <c r="AG190" i="12" s="1"/>
  <c r="AG193" i="12" s="1"/>
  <c r="AH184" i="12"/>
  <c r="AH187" i="12" s="1"/>
  <c r="AH190" i="12" s="1"/>
  <c r="AI184" i="12"/>
  <c r="AI187" i="12" s="1"/>
  <c r="AI190" i="12" s="1"/>
  <c r="AI193" i="12" s="1"/>
  <c r="AJ184" i="12"/>
  <c r="AK184" i="12"/>
  <c r="AL184" i="12"/>
  <c r="AM184" i="12"/>
  <c r="AM187" i="12" s="1"/>
  <c r="AN184" i="12"/>
  <c r="AO184" i="12"/>
  <c r="AO187" i="12" s="1"/>
  <c r="AP184" i="12"/>
  <c r="AP187" i="12" s="1"/>
  <c r="AP190" i="12" s="1"/>
  <c r="AQ184" i="12"/>
  <c r="AQ187" i="12" s="1"/>
  <c r="AQ190" i="12" s="1"/>
  <c r="M185" i="12"/>
  <c r="N185" i="12"/>
  <c r="N188" i="12" s="1"/>
  <c r="N191" i="12" s="1"/>
  <c r="N194" i="12" s="1"/>
  <c r="N197" i="12" s="1"/>
  <c r="N200" i="12" s="1"/>
  <c r="N203" i="12" s="1"/>
  <c r="N206" i="12" s="1"/>
  <c r="O185" i="12"/>
  <c r="P185" i="12"/>
  <c r="P188" i="12" s="1"/>
  <c r="Q185" i="12"/>
  <c r="R185" i="12"/>
  <c r="R188" i="12" s="1"/>
  <c r="S185" i="12"/>
  <c r="S188" i="12" s="1"/>
  <c r="S191" i="12" s="1"/>
  <c r="S194" i="12" s="1"/>
  <c r="S197" i="12" s="1"/>
  <c r="S200" i="12" s="1"/>
  <c r="S203" i="12" s="1"/>
  <c r="S206" i="12" s="1"/>
  <c r="S209" i="12" s="1"/>
  <c r="T185" i="12"/>
  <c r="U185" i="12"/>
  <c r="V185" i="12"/>
  <c r="V188" i="12" s="1"/>
  <c r="V191" i="12" s="1"/>
  <c r="V194" i="12" s="1"/>
  <c r="V197" i="12" s="1"/>
  <c r="V200" i="12" s="1"/>
  <c r="V203" i="12" s="1"/>
  <c r="V206" i="12" s="1"/>
  <c r="W185" i="12"/>
  <c r="X185" i="12"/>
  <c r="X188" i="12" s="1"/>
  <c r="Y185" i="12"/>
  <c r="Z185" i="12"/>
  <c r="Z188" i="12" s="1"/>
  <c r="AA185" i="12"/>
  <c r="AA188" i="12" s="1"/>
  <c r="AA191" i="12" s="1"/>
  <c r="AA194" i="12" s="1"/>
  <c r="AA197" i="12" s="1"/>
  <c r="AA200" i="12" s="1"/>
  <c r="AA203" i="12" s="1"/>
  <c r="AA206" i="12" s="1"/>
  <c r="AA209" i="12" s="1"/>
  <c r="AB185" i="12"/>
  <c r="AC185" i="12"/>
  <c r="AD185" i="12"/>
  <c r="AE185" i="12"/>
  <c r="AF185" i="12"/>
  <c r="AF188" i="12" s="1"/>
  <c r="AG185" i="12"/>
  <c r="AH185" i="12"/>
  <c r="AH188" i="12" s="1"/>
  <c r="AH191" i="12" s="1"/>
  <c r="AH194" i="12" s="1"/>
  <c r="AI185" i="12"/>
  <c r="AI188" i="12" s="1"/>
  <c r="AI191" i="12" s="1"/>
  <c r="AI194" i="12" s="1"/>
  <c r="AI197" i="12" s="1"/>
  <c r="AI200" i="12" s="1"/>
  <c r="AI203" i="12" s="1"/>
  <c r="AI206" i="12" s="1"/>
  <c r="AI209" i="12" s="1"/>
  <c r="AJ185" i="12"/>
  <c r="AK185" i="12"/>
  <c r="AL185" i="12"/>
  <c r="AL188" i="12" s="1"/>
  <c r="AL191" i="12" s="1"/>
  <c r="AL194" i="12" s="1"/>
  <c r="AM185" i="12"/>
  <c r="AN185" i="12"/>
  <c r="AN188" i="12" s="1"/>
  <c r="AO185" i="12"/>
  <c r="AP185" i="12"/>
  <c r="AP188" i="12" s="1"/>
  <c r="AQ185" i="12"/>
  <c r="AQ188" i="12" s="1"/>
  <c r="AQ191" i="12" s="1"/>
  <c r="AQ194" i="12" s="1"/>
  <c r="AQ197" i="12" s="1"/>
  <c r="AQ200" i="12" s="1"/>
  <c r="AQ203" i="12" s="1"/>
  <c r="AQ206" i="12" s="1"/>
  <c r="M186" i="12"/>
  <c r="O186" i="12"/>
  <c r="O189" i="12" s="1"/>
  <c r="O192" i="12" s="1"/>
  <c r="O195" i="12" s="1"/>
  <c r="O198" i="12" s="1"/>
  <c r="O201" i="12" s="1"/>
  <c r="Q186" i="12"/>
  <c r="Q189" i="12" s="1"/>
  <c r="Q192" i="12" s="1"/>
  <c r="Q195" i="12" s="1"/>
  <c r="S186" i="12"/>
  <c r="S189" i="12" s="1"/>
  <c r="U186" i="12"/>
  <c r="W186" i="12"/>
  <c r="Y186" i="12"/>
  <c r="Y189" i="12" s="1"/>
  <c r="Y192" i="12" s="1"/>
  <c r="Y195" i="12" s="1"/>
  <c r="Y198" i="12" s="1"/>
  <c r="Y201" i="12" s="1"/>
  <c r="Z186" i="12"/>
  <c r="Z189" i="12" s="1"/>
  <c r="Z192" i="12" s="1"/>
  <c r="Z195" i="12" s="1"/>
  <c r="Z198" i="12" s="1"/>
  <c r="Z201" i="12" s="1"/>
  <c r="Z204" i="12" s="1"/>
  <c r="Z207" i="12" s="1"/>
  <c r="AA186" i="12"/>
  <c r="AA189" i="12" s="1"/>
  <c r="AA192" i="12" s="1"/>
  <c r="AA195" i="12" s="1"/>
  <c r="AC186" i="12"/>
  <c r="AE186" i="12"/>
  <c r="AG186" i="12"/>
  <c r="AG189" i="12" s="1"/>
  <c r="AH186" i="12"/>
  <c r="AI186" i="12"/>
  <c r="AI189" i="12" s="1"/>
  <c r="AI192" i="12" s="1"/>
  <c r="AJ186" i="12"/>
  <c r="AJ189" i="12" s="1"/>
  <c r="AJ192" i="12" s="1"/>
  <c r="AK186" i="12"/>
  <c r="AM186" i="12"/>
  <c r="AO186" i="12"/>
  <c r="AO189" i="12" s="1"/>
  <c r="AQ186" i="12"/>
  <c r="AQ189" i="12" s="1"/>
  <c r="M187" i="12"/>
  <c r="M190" i="12" s="1"/>
  <c r="M193" i="12" s="1"/>
  <c r="M196" i="12" s="1"/>
  <c r="M199" i="12" s="1"/>
  <c r="N187" i="12"/>
  <c r="N190" i="12" s="1"/>
  <c r="N193" i="12" s="1"/>
  <c r="N196" i="12" s="1"/>
  <c r="N199" i="12" s="1"/>
  <c r="N202" i="12" s="1"/>
  <c r="N205" i="12" s="1"/>
  <c r="N208" i="12" s="1"/>
  <c r="P187" i="12"/>
  <c r="R187" i="12"/>
  <c r="R190" i="12" s="1"/>
  <c r="R193" i="12" s="1"/>
  <c r="R196" i="12" s="1"/>
  <c r="T187" i="12"/>
  <c r="T190" i="12" s="1"/>
  <c r="V187" i="12"/>
  <c r="X187" i="12"/>
  <c r="X190" i="12" s="1"/>
  <c r="X193" i="12" s="1"/>
  <c r="X196" i="12" s="1"/>
  <c r="X199" i="12" s="1"/>
  <c r="X202" i="12" s="1"/>
  <c r="X205" i="12" s="1"/>
  <c r="X208" i="12" s="1"/>
  <c r="Z187" i="12"/>
  <c r="Z190" i="12" s="1"/>
  <c r="Z193" i="12" s="1"/>
  <c r="Z196" i="12" s="1"/>
  <c r="AA187" i="12"/>
  <c r="AA190" i="12" s="1"/>
  <c r="AA193" i="12" s="1"/>
  <c r="AA196" i="12" s="1"/>
  <c r="AA199" i="12" s="1"/>
  <c r="AA202" i="12" s="1"/>
  <c r="AA205" i="12" s="1"/>
  <c r="AA208" i="12" s="1"/>
  <c r="AB187" i="12"/>
  <c r="AB190" i="12" s="1"/>
  <c r="AB193" i="12" s="1"/>
  <c r="AB196" i="12" s="1"/>
  <c r="AB199" i="12" s="1"/>
  <c r="AB202" i="12" s="1"/>
  <c r="AB205" i="12" s="1"/>
  <c r="AB208" i="12" s="1"/>
  <c r="AD187" i="12"/>
  <c r="AF187" i="12"/>
  <c r="AJ187" i="12"/>
  <c r="AJ190" i="12" s="1"/>
  <c r="AJ193" i="12" s="1"/>
  <c r="AJ196" i="12" s="1"/>
  <c r="AJ199" i="12" s="1"/>
  <c r="AJ202" i="12" s="1"/>
  <c r="AJ205" i="12" s="1"/>
  <c r="AJ208" i="12" s="1"/>
  <c r="AK187" i="12"/>
  <c r="AK190" i="12" s="1"/>
  <c r="AK193" i="12" s="1"/>
  <c r="AK196" i="12" s="1"/>
  <c r="AK199" i="12" s="1"/>
  <c r="AK202" i="12" s="1"/>
  <c r="AL187" i="12"/>
  <c r="AL190" i="12" s="1"/>
  <c r="AL193" i="12" s="1"/>
  <c r="AL196" i="12" s="1"/>
  <c r="AL199" i="12" s="1"/>
  <c r="AL202" i="12" s="1"/>
  <c r="AL205" i="12" s="1"/>
  <c r="AL208" i="12" s="1"/>
  <c r="AN187" i="12"/>
  <c r="M188" i="12"/>
  <c r="M191" i="12" s="1"/>
  <c r="O188" i="12"/>
  <c r="O191" i="12" s="1"/>
  <c r="O194" i="12" s="1"/>
  <c r="Q188" i="12"/>
  <c r="Q191" i="12" s="1"/>
  <c r="Q194" i="12" s="1"/>
  <c r="Q197" i="12" s="1"/>
  <c r="T188" i="12"/>
  <c r="U188" i="12"/>
  <c r="U191" i="12" s="1"/>
  <c r="W188" i="12"/>
  <c r="Y188" i="12"/>
  <c r="AB188" i="12"/>
  <c r="AB191" i="12" s="1"/>
  <c r="AB194" i="12" s="1"/>
  <c r="AB197" i="12" s="1"/>
  <c r="AB200" i="12" s="1"/>
  <c r="AB203" i="12" s="1"/>
  <c r="AB206" i="12" s="1"/>
  <c r="AC188" i="12"/>
  <c r="AC191" i="12" s="1"/>
  <c r="AC194" i="12" s="1"/>
  <c r="AC197" i="12" s="1"/>
  <c r="AC200" i="12" s="1"/>
  <c r="AC203" i="12" s="1"/>
  <c r="AC206" i="12" s="1"/>
  <c r="AC209" i="12" s="1"/>
  <c r="AD188" i="12"/>
  <c r="AD191" i="12" s="1"/>
  <c r="AD194" i="12" s="1"/>
  <c r="AD197" i="12" s="1"/>
  <c r="AD200" i="12" s="1"/>
  <c r="AE188" i="12"/>
  <c r="AG188" i="12"/>
  <c r="AJ188" i="12"/>
  <c r="AJ191" i="12" s="1"/>
  <c r="AK188" i="12"/>
  <c r="AK191" i="12" s="1"/>
  <c r="AK194" i="12" s="1"/>
  <c r="AM188" i="12"/>
  <c r="AM191" i="12" s="1"/>
  <c r="AM194" i="12" s="1"/>
  <c r="AM197" i="12" s="1"/>
  <c r="AM200" i="12" s="1"/>
  <c r="AM203" i="12" s="1"/>
  <c r="AM206" i="12" s="1"/>
  <c r="AM209" i="12" s="1"/>
  <c r="AO188" i="12"/>
  <c r="AO191" i="12" s="1"/>
  <c r="AO194" i="12" s="1"/>
  <c r="AO197" i="12" s="1"/>
  <c r="AO200" i="12" s="1"/>
  <c r="AO203" i="12" s="1"/>
  <c r="AO206" i="12" s="1"/>
  <c r="AO209" i="12" s="1"/>
  <c r="M189" i="12"/>
  <c r="M192" i="12" s="1"/>
  <c r="M195" i="12" s="1"/>
  <c r="M198" i="12" s="1"/>
  <c r="M201" i="12" s="1"/>
  <c r="M204" i="12" s="1"/>
  <c r="M207" i="12" s="1"/>
  <c r="N189" i="12"/>
  <c r="N192" i="12" s="1"/>
  <c r="P189" i="12"/>
  <c r="U189" i="12"/>
  <c r="U192" i="12" s="1"/>
  <c r="U195" i="12" s="1"/>
  <c r="U198" i="12" s="1"/>
  <c r="U201" i="12" s="1"/>
  <c r="U204" i="12" s="1"/>
  <c r="U207" i="12" s="1"/>
  <c r="V189" i="12"/>
  <c r="V192" i="12" s="1"/>
  <c r="W189" i="12"/>
  <c r="X189" i="12"/>
  <c r="AB189" i="12"/>
  <c r="AB192" i="12" s="1"/>
  <c r="AB195" i="12" s="1"/>
  <c r="AB198" i="12" s="1"/>
  <c r="AB201" i="12" s="1"/>
  <c r="AB204" i="12" s="1"/>
  <c r="AB207" i="12" s="1"/>
  <c r="AC189" i="12"/>
  <c r="AD189" i="12"/>
  <c r="AD192" i="12" s="1"/>
  <c r="AD195" i="12" s="1"/>
  <c r="AE189" i="12"/>
  <c r="AH189" i="12"/>
  <c r="AH192" i="12" s="1"/>
  <c r="AH195" i="12" s="1"/>
  <c r="AH198" i="12" s="1"/>
  <c r="AH201" i="12" s="1"/>
  <c r="AH204" i="12" s="1"/>
  <c r="AH207" i="12" s="1"/>
  <c r="AK189" i="12"/>
  <c r="AL189" i="12"/>
  <c r="AL192" i="12" s="1"/>
  <c r="AL195" i="12" s="1"/>
  <c r="AL198" i="12" s="1"/>
  <c r="AM189" i="12"/>
  <c r="AM192" i="12" s="1"/>
  <c r="AM195" i="12" s="1"/>
  <c r="AN189" i="12"/>
  <c r="AN192" i="12" s="1"/>
  <c r="AN195" i="12" s="1"/>
  <c r="O190" i="12"/>
  <c r="O193" i="12" s="1"/>
  <c r="P190" i="12"/>
  <c r="P193" i="12" s="1"/>
  <c r="P196" i="12" s="1"/>
  <c r="P199" i="12" s="1"/>
  <c r="P202" i="12" s="1"/>
  <c r="Q190" i="12"/>
  <c r="Q193" i="12" s="1"/>
  <c r="V190" i="12"/>
  <c r="V193" i="12" s="1"/>
  <c r="W190" i="12"/>
  <c r="W193" i="12" s="1"/>
  <c r="Y190" i="12"/>
  <c r="AC190" i="12"/>
  <c r="AC193" i="12" s="1"/>
  <c r="AC196" i="12" s="1"/>
  <c r="AC199" i="12" s="1"/>
  <c r="AC202" i="12" s="1"/>
  <c r="AC205" i="12" s="1"/>
  <c r="AC208" i="12" s="1"/>
  <c r="AD190" i="12"/>
  <c r="AE190" i="12"/>
  <c r="AE193" i="12" s="1"/>
  <c r="AE196" i="12" s="1"/>
  <c r="AF190" i="12"/>
  <c r="AF193" i="12" s="1"/>
  <c r="AF196" i="12" s="1"/>
  <c r="AF199" i="12" s="1"/>
  <c r="AF202" i="12" s="1"/>
  <c r="AM190" i="12"/>
  <c r="AM193" i="12" s="1"/>
  <c r="AM196" i="12" s="1"/>
  <c r="AM199" i="12" s="1"/>
  <c r="AM202" i="12" s="1"/>
  <c r="AM205" i="12" s="1"/>
  <c r="AM208" i="12" s="1"/>
  <c r="AN190" i="12"/>
  <c r="AN193" i="12" s="1"/>
  <c r="AN196" i="12" s="1"/>
  <c r="AO190" i="12"/>
  <c r="P191" i="12"/>
  <c r="P194" i="12" s="1"/>
  <c r="R191" i="12"/>
  <c r="T191" i="12"/>
  <c r="T194" i="12" s="1"/>
  <c r="T197" i="12" s="1"/>
  <c r="T200" i="12" s="1"/>
  <c r="W191" i="12"/>
  <c r="X191" i="12"/>
  <c r="X194" i="12" s="1"/>
  <c r="Y191" i="12"/>
  <c r="Z191" i="12"/>
  <c r="AE191" i="12"/>
  <c r="AE194" i="12" s="1"/>
  <c r="AE197" i="12" s="1"/>
  <c r="AF191" i="12"/>
  <c r="AF194" i="12" s="1"/>
  <c r="AF197" i="12" s="1"/>
  <c r="AF200" i="12" s="1"/>
  <c r="AG191" i="12"/>
  <c r="AN191" i="12"/>
  <c r="AN194" i="12" s="1"/>
  <c r="AN197" i="12" s="1"/>
  <c r="AP191" i="12"/>
  <c r="P192" i="12"/>
  <c r="P195" i="12" s="1"/>
  <c r="R192" i="12"/>
  <c r="R195" i="12" s="1"/>
  <c r="R198" i="12" s="1"/>
  <c r="R201" i="12" s="1"/>
  <c r="R204" i="12" s="1"/>
  <c r="S192" i="12"/>
  <c r="S195" i="12" s="1"/>
  <c r="S198" i="12" s="1"/>
  <c r="S201" i="12" s="1"/>
  <c r="S204" i="12" s="1"/>
  <c r="S207" i="12" s="1"/>
  <c r="W192" i="12"/>
  <c r="W195" i="12" s="1"/>
  <c r="W198" i="12" s="1"/>
  <c r="W201" i="12" s="1"/>
  <c r="W204" i="12" s="1"/>
  <c r="X192" i="12"/>
  <c r="AC192" i="12"/>
  <c r="AE192" i="12"/>
  <c r="AE195" i="12" s="1"/>
  <c r="AE198" i="12" s="1"/>
  <c r="AE201" i="12" s="1"/>
  <c r="AF192" i="12"/>
  <c r="AF195" i="12" s="1"/>
  <c r="AF198" i="12" s="1"/>
  <c r="AF201" i="12" s="1"/>
  <c r="AF204" i="12" s="1"/>
  <c r="AF207" i="12" s="1"/>
  <c r="AG192" i="12"/>
  <c r="AG195" i="12" s="1"/>
  <c r="AG198" i="12" s="1"/>
  <c r="AK192" i="12"/>
  <c r="AO192" i="12"/>
  <c r="AO195" i="12" s="1"/>
  <c r="AO198" i="12" s="1"/>
  <c r="AO201" i="12" s="1"/>
  <c r="AO204" i="12" s="1"/>
  <c r="AP192" i="12"/>
  <c r="AP195" i="12" s="1"/>
  <c r="AP198" i="12" s="1"/>
  <c r="AP201" i="12" s="1"/>
  <c r="AP204" i="12" s="1"/>
  <c r="AP207" i="12" s="1"/>
  <c r="AQ192" i="12"/>
  <c r="AQ195" i="12" s="1"/>
  <c r="AQ198" i="12" s="1"/>
  <c r="AQ201" i="12" s="1"/>
  <c r="AQ204" i="12" s="1"/>
  <c r="AQ207" i="12" s="1"/>
  <c r="T193" i="12"/>
  <c r="Y193" i="12"/>
  <c r="Y196" i="12" s="1"/>
  <c r="AD193" i="12"/>
  <c r="AD196" i="12" s="1"/>
  <c r="AD199" i="12" s="1"/>
  <c r="AD202" i="12" s="1"/>
  <c r="AH193" i="12"/>
  <c r="AH196" i="12" s="1"/>
  <c r="AH199" i="12" s="1"/>
  <c r="AH202" i="12" s="1"/>
  <c r="AH205" i="12" s="1"/>
  <c r="AH208" i="12" s="1"/>
  <c r="AO193" i="12"/>
  <c r="AO196" i="12" s="1"/>
  <c r="AO199" i="12" s="1"/>
  <c r="AO202" i="12" s="1"/>
  <c r="AO205" i="12" s="1"/>
  <c r="AO208" i="12" s="1"/>
  <c r="AP193" i="12"/>
  <c r="AP196" i="12" s="1"/>
  <c r="AP199" i="12" s="1"/>
  <c r="AP202" i="12" s="1"/>
  <c r="AP205" i="12" s="1"/>
  <c r="AP208" i="12" s="1"/>
  <c r="AQ193" i="12"/>
  <c r="AQ196" i="12" s="1"/>
  <c r="AQ199" i="12" s="1"/>
  <c r="AQ202" i="12" s="1"/>
  <c r="AQ205" i="12" s="1"/>
  <c r="AQ208" i="12" s="1"/>
  <c r="M194" i="12"/>
  <c r="M197" i="12" s="1"/>
  <c r="M200" i="12" s="1"/>
  <c r="R194" i="12"/>
  <c r="R197" i="12" s="1"/>
  <c r="R200" i="12" s="1"/>
  <c r="R203" i="12" s="1"/>
  <c r="R206" i="12" s="1"/>
  <c r="U194" i="12"/>
  <c r="W194" i="12"/>
  <c r="W197" i="12" s="1"/>
  <c r="W200" i="12" s="1"/>
  <c r="W203" i="12" s="1"/>
  <c r="W206" i="12" s="1"/>
  <c r="W209" i="12" s="1"/>
  <c r="Y194" i="12"/>
  <c r="Y197" i="12" s="1"/>
  <c r="Y200" i="12" s="1"/>
  <c r="Y203" i="12" s="1"/>
  <c r="Y206" i="12" s="1"/>
  <c r="Y209" i="12" s="1"/>
  <c r="Z194" i="12"/>
  <c r="Z197" i="12" s="1"/>
  <c r="Z200" i="12" s="1"/>
  <c r="AG194" i="12"/>
  <c r="AG197" i="12" s="1"/>
  <c r="AG200" i="12" s="1"/>
  <c r="AG203" i="12" s="1"/>
  <c r="AG206" i="12" s="1"/>
  <c r="AG209" i="12" s="1"/>
  <c r="AJ194" i="12"/>
  <c r="AJ197" i="12" s="1"/>
  <c r="AJ200" i="12" s="1"/>
  <c r="AJ203" i="12" s="1"/>
  <c r="AJ206" i="12" s="1"/>
  <c r="AJ209" i="12" s="1"/>
  <c r="AP194" i="12"/>
  <c r="AP197" i="12" s="1"/>
  <c r="AP200" i="12" s="1"/>
  <c r="AP203" i="12" s="1"/>
  <c r="AP206" i="12" s="1"/>
  <c r="N195" i="12"/>
  <c r="V195" i="12"/>
  <c r="V198" i="12" s="1"/>
  <c r="V201" i="12" s="1"/>
  <c r="V204" i="12" s="1"/>
  <c r="V207" i="12" s="1"/>
  <c r="X195" i="12"/>
  <c r="X198" i="12" s="1"/>
  <c r="X201" i="12" s="1"/>
  <c r="X204" i="12" s="1"/>
  <c r="X207" i="12" s="1"/>
  <c r="AC195" i="12"/>
  <c r="AI195" i="12"/>
  <c r="AI198" i="12" s="1"/>
  <c r="AJ195" i="12"/>
  <c r="AJ198" i="12" s="1"/>
  <c r="AJ201" i="12" s="1"/>
  <c r="AK195" i="12"/>
  <c r="AK198" i="12" s="1"/>
  <c r="AK201" i="12" s="1"/>
  <c r="O196" i="12"/>
  <c r="Q196" i="12"/>
  <c r="Q199" i="12" s="1"/>
  <c r="Q202" i="12" s="1"/>
  <c r="Q205" i="12" s="1"/>
  <c r="Q208" i="12" s="1"/>
  <c r="T196" i="12"/>
  <c r="T199" i="12" s="1"/>
  <c r="V196" i="12"/>
  <c r="V199" i="12" s="1"/>
  <c r="V202" i="12" s="1"/>
  <c r="V205" i="12" s="1"/>
  <c r="V208" i="12" s="1"/>
  <c r="W196" i="12"/>
  <c r="W199" i="12" s="1"/>
  <c r="W202" i="12" s="1"/>
  <c r="W205" i="12" s="1"/>
  <c r="W208" i="12" s="1"/>
  <c r="AG196" i="12"/>
  <c r="AI196" i="12"/>
  <c r="AI199" i="12" s="1"/>
  <c r="AI202" i="12" s="1"/>
  <c r="AI205" i="12" s="1"/>
  <c r="AI208" i="12" s="1"/>
  <c r="O197" i="12"/>
  <c r="O200" i="12" s="1"/>
  <c r="O203" i="12" s="1"/>
  <c r="O206" i="12" s="1"/>
  <c r="O209" i="12" s="1"/>
  <c r="P197" i="12"/>
  <c r="P200" i="12" s="1"/>
  <c r="P203" i="12" s="1"/>
  <c r="P206" i="12" s="1"/>
  <c r="P209" i="12" s="1"/>
  <c r="U197" i="12"/>
  <c r="X197" i="12"/>
  <c r="X200" i="12" s="1"/>
  <c r="X203" i="12" s="1"/>
  <c r="X206" i="12" s="1"/>
  <c r="X209" i="12" s="1"/>
  <c r="AH197" i="12"/>
  <c r="AH200" i="12" s="1"/>
  <c r="AH203" i="12" s="1"/>
  <c r="AH206" i="12" s="1"/>
  <c r="AH209" i="12" s="1"/>
  <c r="AK197" i="12"/>
  <c r="AL197" i="12"/>
  <c r="AL200" i="12" s="1"/>
  <c r="AL203" i="12" s="1"/>
  <c r="N198" i="12"/>
  <c r="P198" i="12"/>
  <c r="P201" i="12" s="1"/>
  <c r="P204" i="12" s="1"/>
  <c r="P207" i="12" s="1"/>
  <c r="Q198" i="12"/>
  <c r="Q201" i="12" s="1"/>
  <c r="Q204" i="12" s="1"/>
  <c r="AA198" i="12"/>
  <c r="AC198" i="12"/>
  <c r="AC201" i="12" s="1"/>
  <c r="AC204" i="12" s="1"/>
  <c r="AC207" i="12" s="1"/>
  <c r="AD198" i="12"/>
  <c r="AD201" i="12" s="1"/>
  <c r="AD204" i="12" s="1"/>
  <c r="AM198" i="12"/>
  <c r="AM201" i="12" s="1"/>
  <c r="AM204" i="12" s="1"/>
  <c r="AN198" i="12"/>
  <c r="AN201" i="12" s="1"/>
  <c r="AN204" i="12" s="1"/>
  <c r="AN207" i="12" s="1"/>
  <c r="O199" i="12"/>
  <c r="O202" i="12" s="1"/>
  <c r="O205" i="12" s="1"/>
  <c r="O208" i="12" s="1"/>
  <c r="R199" i="12"/>
  <c r="R202" i="12" s="1"/>
  <c r="R205" i="12" s="1"/>
  <c r="Y199" i="12"/>
  <c r="Y202" i="12" s="1"/>
  <c r="Y205" i="12" s="1"/>
  <c r="Y208" i="12" s="1"/>
  <c r="Z199" i="12"/>
  <c r="Z202" i="12" s="1"/>
  <c r="Z205" i="12" s="1"/>
  <c r="Z208" i="12" s="1"/>
  <c r="AE199" i="12"/>
  <c r="AG199" i="12"/>
  <c r="AN199" i="12"/>
  <c r="AN202" i="12" s="1"/>
  <c r="AN205" i="12" s="1"/>
  <c r="Q200" i="12"/>
  <c r="Q203" i="12" s="1"/>
  <c r="Q206" i="12" s="1"/>
  <c r="U200" i="12"/>
  <c r="AE200" i="12"/>
  <c r="AE203" i="12" s="1"/>
  <c r="AE206" i="12" s="1"/>
  <c r="AE209" i="12" s="1"/>
  <c r="AK200" i="12"/>
  <c r="AK203" i="12" s="1"/>
  <c r="AK206" i="12" s="1"/>
  <c r="AK209" i="12" s="1"/>
  <c r="AN200" i="12"/>
  <c r="AN203" i="12" s="1"/>
  <c r="AN206" i="12" s="1"/>
  <c r="AN209" i="12" s="1"/>
  <c r="N201" i="12"/>
  <c r="N204" i="12" s="1"/>
  <c r="N207" i="12" s="1"/>
  <c r="AA201" i="12"/>
  <c r="AG201" i="12"/>
  <c r="AG204" i="12" s="1"/>
  <c r="AG207" i="12" s="1"/>
  <c r="AI201" i="12"/>
  <c r="AI204" i="12" s="1"/>
  <c r="AI207" i="12" s="1"/>
  <c r="AL201" i="12"/>
  <c r="AL204" i="12" s="1"/>
  <c r="AL207" i="12" s="1"/>
  <c r="M202" i="12"/>
  <c r="M205" i="12" s="1"/>
  <c r="M208" i="12" s="1"/>
  <c r="T202" i="12"/>
  <c r="T205" i="12" s="1"/>
  <c r="T208" i="12" s="1"/>
  <c r="AE202" i="12"/>
  <c r="AG202" i="12"/>
  <c r="AG205" i="12" s="1"/>
  <c r="AG208" i="12" s="1"/>
  <c r="M203" i="12"/>
  <c r="T203" i="12"/>
  <c r="T206" i="12" s="1"/>
  <c r="T209" i="12" s="1"/>
  <c r="U203" i="12"/>
  <c r="U206" i="12" s="1"/>
  <c r="U209" i="12" s="1"/>
  <c r="Z203" i="12"/>
  <c r="Z206" i="12" s="1"/>
  <c r="Z209" i="12" s="1"/>
  <c r="AD203" i="12"/>
  <c r="AF203" i="12"/>
  <c r="AF206" i="12" s="1"/>
  <c r="O204" i="12"/>
  <c r="O207" i="12" s="1"/>
  <c r="Y204" i="12"/>
  <c r="Y207" i="12" s="1"/>
  <c r="AA204" i="12"/>
  <c r="AA207" i="12" s="1"/>
  <c r="AE204" i="12"/>
  <c r="AE207" i="12" s="1"/>
  <c r="AJ204" i="12"/>
  <c r="AJ207" i="12" s="1"/>
  <c r="AK204" i="12"/>
  <c r="AK207" i="12" s="1"/>
  <c r="P205" i="12"/>
  <c r="P208" i="12" s="1"/>
  <c r="U205" i="12"/>
  <c r="U208" i="12" s="1"/>
  <c r="AD205" i="12"/>
  <c r="AD208" i="12" s="1"/>
  <c r="AE205" i="12"/>
  <c r="AF205" i="12"/>
  <c r="AF208" i="12" s="1"/>
  <c r="AK205" i="12"/>
  <c r="AK208" i="12" s="1"/>
  <c r="M206" i="12"/>
  <c r="M209" i="12" s="1"/>
  <c r="AD206" i="12"/>
  <c r="AD209" i="12" s="1"/>
  <c r="AL206" i="12"/>
  <c r="AL209" i="12" s="1"/>
  <c r="Q207" i="12"/>
  <c r="R207" i="12"/>
  <c r="W207" i="12"/>
  <c r="AD207" i="12"/>
  <c r="AM207" i="12"/>
  <c r="AO207" i="12"/>
  <c r="R208" i="12"/>
  <c r="S208" i="12"/>
  <c r="AE208" i="12"/>
  <c r="AN208" i="12"/>
  <c r="N209" i="12"/>
  <c r="Q209" i="12"/>
  <c r="R209" i="12"/>
  <c r="V209" i="12"/>
  <c r="AB209" i="12"/>
  <c r="AF209" i="12"/>
  <c r="AP209" i="12"/>
  <c r="AQ209" i="12"/>
  <c r="M215" i="12"/>
  <c r="N215" i="12"/>
  <c r="O215" i="12"/>
  <c r="P215" i="12"/>
  <c r="Q215" i="12"/>
  <c r="Q218" i="12" s="1"/>
  <c r="R215" i="12"/>
  <c r="S215" i="12"/>
  <c r="S218" i="12" s="1"/>
  <c r="S221" i="12" s="1"/>
  <c r="S224" i="12" s="1"/>
  <c r="S227" i="12" s="1"/>
  <c r="S230" i="12" s="1"/>
  <c r="S233" i="12" s="1"/>
  <c r="T215" i="12"/>
  <c r="T218" i="12" s="1"/>
  <c r="T221" i="12" s="1"/>
  <c r="U215" i="12"/>
  <c r="V215" i="12"/>
  <c r="W215" i="12"/>
  <c r="X215" i="12"/>
  <c r="Y215" i="12"/>
  <c r="Y218" i="12" s="1"/>
  <c r="Z215" i="12"/>
  <c r="AA215" i="12"/>
  <c r="AA218" i="12" s="1"/>
  <c r="AB215" i="12"/>
  <c r="AB218" i="12" s="1"/>
  <c r="AB221" i="12" s="1"/>
  <c r="AB224" i="12" s="1"/>
  <c r="AC215" i="12"/>
  <c r="AD215" i="12"/>
  <c r="AE215" i="12"/>
  <c r="AF215" i="12"/>
  <c r="AG215" i="12"/>
  <c r="AG218" i="12" s="1"/>
  <c r="AG221" i="12" s="1"/>
  <c r="AG224" i="12" s="1"/>
  <c r="AG227" i="12" s="1"/>
  <c r="AH215" i="12"/>
  <c r="AI215" i="12"/>
  <c r="AI218" i="12" s="1"/>
  <c r="AI221" i="12" s="1"/>
  <c r="AI224" i="12" s="1"/>
  <c r="AI227" i="12" s="1"/>
  <c r="AJ215" i="12"/>
  <c r="AJ218" i="12" s="1"/>
  <c r="AJ221" i="12" s="1"/>
  <c r="AJ224" i="12" s="1"/>
  <c r="AJ227" i="12" s="1"/>
  <c r="AJ230" i="12" s="1"/>
  <c r="AJ233" i="12" s="1"/>
  <c r="AJ236" i="12" s="1"/>
  <c r="AJ239" i="12" s="1"/>
  <c r="AK215" i="12"/>
  <c r="AL215" i="12"/>
  <c r="AM215" i="12"/>
  <c r="AN215" i="12"/>
  <c r="AO215" i="12"/>
  <c r="AO218" i="12" s="1"/>
  <c r="AO221" i="12" s="1"/>
  <c r="AP215" i="12"/>
  <c r="AQ215" i="12"/>
  <c r="AQ218" i="12" s="1"/>
  <c r="AQ221" i="12" s="1"/>
  <c r="AQ224" i="12" s="1"/>
  <c r="AQ227" i="12" s="1"/>
  <c r="AQ230" i="12" s="1"/>
  <c r="AQ233" i="12" s="1"/>
  <c r="AQ236" i="12" s="1"/>
  <c r="AQ239" i="12" s="1"/>
  <c r="M216" i="12"/>
  <c r="M219" i="12" s="1"/>
  <c r="M222" i="12" s="1"/>
  <c r="M225" i="12" s="1"/>
  <c r="M228" i="12" s="1"/>
  <c r="N216" i="12"/>
  <c r="O216" i="12"/>
  <c r="P216" i="12"/>
  <c r="Q216" i="12"/>
  <c r="R216" i="12"/>
  <c r="R219" i="12" s="1"/>
  <c r="R222" i="12" s="1"/>
  <c r="R225" i="12" s="1"/>
  <c r="R228" i="12" s="1"/>
  <c r="R231" i="12" s="1"/>
  <c r="R234" i="12" s="1"/>
  <c r="R237" i="12" s="1"/>
  <c r="R240" i="12" s="1"/>
  <c r="S216" i="12"/>
  <c r="T216" i="12"/>
  <c r="T219" i="12" s="1"/>
  <c r="T222" i="12" s="1"/>
  <c r="T225" i="12" s="1"/>
  <c r="U216" i="12"/>
  <c r="U219" i="12" s="1"/>
  <c r="U222" i="12" s="1"/>
  <c r="U225" i="12" s="1"/>
  <c r="U228" i="12" s="1"/>
  <c r="U231" i="12" s="1"/>
  <c r="U234" i="12" s="1"/>
  <c r="U237" i="12" s="1"/>
  <c r="V216" i="12"/>
  <c r="W216" i="12"/>
  <c r="X216" i="12"/>
  <c r="Y216" i="12"/>
  <c r="Z216" i="12"/>
  <c r="Z219" i="12" s="1"/>
  <c r="AA216" i="12"/>
  <c r="AA219" i="12" s="1"/>
  <c r="AB216" i="12"/>
  <c r="AB219" i="12" s="1"/>
  <c r="AC216" i="12"/>
  <c r="AC219" i="12" s="1"/>
  <c r="AC222" i="12" s="1"/>
  <c r="AC225" i="12" s="1"/>
  <c r="AC228" i="12" s="1"/>
  <c r="AC231" i="12" s="1"/>
  <c r="AC234" i="12" s="1"/>
  <c r="AC237" i="12" s="1"/>
  <c r="AC240" i="12" s="1"/>
  <c r="AD216" i="12"/>
  <c r="AE216" i="12"/>
  <c r="AF216" i="12"/>
  <c r="AG216" i="12"/>
  <c r="AH216" i="12"/>
  <c r="AH219" i="12" s="1"/>
  <c r="AH222" i="12" s="1"/>
  <c r="AI216" i="12"/>
  <c r="AJ216" i="12"/>
  <c r="AJ219" i="12" s="1"/>
  <c r="AJ222" i="12" s="1"/>
  <c r="AJ225" i="12" s="1"/>
  <c r="AJ228" i="12" s="1"/>
  <c r="AJ231" i="12" s="1"/>
  <c r="AJ234" i="12" s="1"/>
  <c r="AJ237" i="12" s="1"/>
  <c r="AJ240" i="12" s="1"/>
  <c r="AK216" i="12"/>
  <c r="AK219" i="12" s="1"/>
  <c r="AK222" i="12" s="1"/>
  <c r="AK225" i="12" s="1"/>
  <c r="AK228" i="12" s="1"/>
  <c r="AK231" i="12" s="1"/>
  <c r="AK234" i="12" s="1"/>
  <c r="AK237" i="12" s="1"/>
  <c r="AK240" i="12" s="1"/>
  <c r="AL216" i="12"/>
  <c r="AM216" i="12"/>
  <c r="AN216" i="12"/>
  <c r="AO216" i="12"/>
  <c r="AP216" i="12"/>
  <c r="AP219" i="12" s="1"/>
  <c r="AP222" i="12" s="1"/>
  <c r="AQ216" i="12"/>
  <c r="M217" i="12"/>
  <c r="M220" i="12" s="1"/>
  <c r="M223" i="12" s="1"/>
  <c r="M226" i="12" s="1"/>
  <c r="M229" i="12" s="1"/>
  <c r="N217" i="12"/>
  <c r="N220" i="12" s="1"/>
  <c r="N223" i="12" s="1"/>
  <c r="N226" i="12" s="1"/>
  <c r="N229" i="12" s="1"/>
  <c r="N232" i="12" s="1"/>
  <c r="N235" i="12" s="1"/>
  <c r="N238" i="12" s="1"/>
  <c r="N241" i="12" s="1"/>
  <c r="O217" i="12"/>
  <c r="P217" i="12"/>
  <c r="Q217" i="12"/>
  <c r="R217" i="12"/>
  <c r="S217" i="12"/>
  <c r="S220" i="12" s="1"/>
  <c r="T217" i="12"/>
  <c r="U217" i="12"/>
  <c r="U220" i="12" s="1"/>
  <c r="U223" i="12" s="1"/>
  <c r="V217" i="12"/>
  <c r="V220" i="12" s="1"/>
  <c r="V223" i="12" s="1"/>
  <c r="V226" i="12" s="1"/>
  <c r="V229" i="12" s="1"/>
  <c r="V232" i="12" s="1"/>
  <c r="V235" i="12" s="1"/>
  <c r="V238" i="12" s="1"/>
  <c r="V241" i="12" s="1"/>
  <c r="W217" i="12"/>
  <c r="X217" i="12"/>
  <c r="Y217" i="12"/>
  <c r="Z217" i="12"/>
  <c r="AA217" i="12"/>
  <c r="AA220" i="12" s="1"/>
  <c r="AB217" i="12"/>
  <c r="AB220" i="12" s="1"/>
  <c r="AB223" i="12" s="1"/>
  <c r="AB226" i="12" s="1"/>
  <c r="AB229" i="12" s="1"/>
  <c r="AB232" i="12" s="1"/>
  <c r="AC217" i="12"/>
  <c r="AC220" i="12" s="1"/>
  <c r="AC223" i="12" s="1"/>
  <c r="AC226" i="12" s="1"/>
  <c r="AC229" i="12" s="1"/>
  <c r="AC232" i="12" s="1"/>
  <c r="AC235" i="12" s="1"/>
  <c r="AC238" i="12" s="1"/>
  <c r="AC241" i="12" s="1"/>
  <c r="AD217" i="12"/>
  <c r="AD220" i="12" s="1"/>
  <c r="AD223" i="12" s="1"/>
  <c r="AD226" i="12" s="1"/>
  <c r="AD229" i="12" s="1"/>
  <c r="AD232" i="12" s="1"/>
  <c r="AD235" i="12" s="1"/>
  <c r="AD238" i="12" s="1"/>
  <c r="AD241" i="12" s="1"/>
  <c r="AE217" i="12"/>
  <c r="AF217" i="12"/>
  <c r="AG217" i="12"/>
  <c r="AH217" i="12"/>
  <c r="AI217" i="12"/>
  <c r="AI220" i="12" s="1"/>
  <c r="AI223" i="12" s="1"/>
  <c r="AI226" i="12" s="1"/>
  <c r="AJ217" i="12"/>
  <c r="AK217" i="12"/>
  <c r="AK220" i="12" s="1"/>
  <c r="AK223" i="12" s="1"/>
  <c r="AK226" i="12" s="1"/>
  <c r="AK229" i="12" s="1"/>
  <c r="AK232" i="12" s="1"/>
  <c r="AK235" i="12" s="1"/>
  <c r="AK238" i="12" s="1"/>
  <c r="AK241" i="12" s="1"/>
  <c r="AL217" i="12"/>
  <c r="AL220" i="12" s="1"/>
  <c r="AL223" i="12" s="1"/>
  <c r="AL226" i="12" s="1"/>
  <c r="AL229" i="12" s="1"/>
  <c r="AL232" i="12" s="1"/>
  <c r="AL235" i="12" s="1"/>
  <c r="AL238" i="12" s="1"/>
  <c r="AL241" i="12" s="1"/>
  <c r="AM217" i="12"/>
  <c r="AN217" i="12"/>
  <c r="AO217" i="12"/>
  <c r="AP217" i="12"/>
  <c r="AQ217" i="12"/>
  <c r="AQ220" i="12" s="1"/>
  <c r="AQ223" i="12" s="1"/>
  <c r="M218" i="12"/>
  <c r="N218" i="12"/>
  <c r="N221" i="12" s="1"/>
  <c r="N224" i="12" s="1"/>
  <c r="O218" i="12"/>
  <c r="O221" i="12" s="1"/>
  <c r="O224" i="12" s="1"/>
  <c r="O227" i="12" s="1"/>
  <c r="O230" i="12" s="1"/>
  <c r="O233" i="12" s="1"/>
  <c r="O236" i="12" s="1"/>
  <c r="O239" i="12" s="1"/>
  <c r="P218" i="12"/>
  <c r="R218" i="12"/>
  <c r="U218" i="12"/>
  <c r="V218" i="12"/>
  <c r="V221" i="12" s="1"/>
  <c r="V224" i="12" s="1"/>
  <c r="V227" i="12" s="1"/>
  <c r="V230" i="12" s="1"/>
  <c r="V233" i="12" s="1"/>
  <c r="V236" i="12" s="1"/>
  <c r="W218" i="12"/>
  <c r="W221" i="12" s="1"/>
  <c r="W224" i="12" s="1"/>
  <c r="X218" i="12"/>
  <c r="Z218" i="12"/>
  <c r="Z221" i="12" s="1"/>
  <c r="Z224" i="12" s="1"/>
  <c r="Z227" i="12" s="1"/>
  <c r="Z230" i="12" s="1"/>
  <c r="AC218" i="12"/>
  <c r="AC221" i="12" s="1"/>
  <c r="AC224" i="12" s="1"/>
  <c r="AC227" i="12" s="1"/>
  <c r="AC230" i="12" s="1"/>
  <c r="AC233" i="12" s="1"/>
  <c r="AC236" i="12" s="1"/>
  <c r="AC239" i="12" s="1"/>
  <c r="AD218" i="12"/>
  <c r="AD221" i="12" s="1"/>
  <c r="AE218" i="12"/>
  <c r="AE221" i="12" s="1"/>
  <c r="AE224" i="12" s="1"/>
  <c r="AE227" i="12" s="1"/>
  <c r="AF218" i="12"/>
  <c r="AH218" i="12"/>
  <c r="AH221" i="12" s="1"/>
  <c r="AK218" i="12"/>
  <c r="AL218" i="12"/>
  <c r="AL221" i="12" s="1"/>
  <c r="AM218" i="12"/>
  <c r="AM221" i="12" s="1"/>
  <c r="AM224" i="12" s="1"/>
  <c r="AM227" i="12" s="1"/>
  <c r="AM230" i="12" s="1"/>
  <c r="AM233" i="12" s="1"/>
  <c r="AM236" i="12" s="1"/>
  <c r="AM239" i="12" s="1"/>
  <c r="AN218" i="12"/>
  <c r="AP218" i="12"/>
  <c r="N219" i="12"/>
  <c r="N222" i="12" s="1"/>
  <c r="N225" i="12" s="1"/>
  <c r="N228" i="12" s="1"/>
  <c r="N231" i="12" s="1"/>
  <c r="N234" i="12" s="1"/>
  <c r="N237" i="12" s="1"/>
  <c r="N240" i="12" s="1"/>
  <c r="O219" i="12"/>
  <c r="O222" i="12" s="1"/>
  <c r="P219" i="12"/>
  <c r="Q219" i="12"/>
  <c r="S219" i="12"/>
  <c r="V219" i="12"/>
  <c r="V222" i="12" s="1"/>
  <c r="V225" i="12" s="1"/>
  <c r="W219" i="12"/>
  <c r="W222" i="12" s="1"/>
  <c r="X219" i="12"/>
  <c r="X222" i="12" s="1"/>
  <c r="X225" i="12" s="1"/>
  <c r="Y219" i="12"/>
  <c r="Y222" i="12" s="1"/>
  <c r="Y225" i="12" s="1"/>
  <c r="AD219" i="12"/>
  <c r="AE219" i="12"/>
  <c r="AE222" i="12" s="1"/>
  <c r="AF219" i="12"/>
  <c r="AF222" i="12" s="1"/>
  <c r="AF225" i="12" s="1"/>
  <c r="AF228" i="12" s="1"/>
  <c r="AF231" i="12" s="1"/>
  <c r="AF234" i="12" s="1"/>
  <c r="AF237" i="12" s="1"/>
  <c r="AF240" i="12" s="1"/>
  <c r="AG219" i="12"/>
  <c r="AG222" i="12" s="1"/>
  <c r="AG225" i="12" s="1"/>
  <c r="AI219" i="12"/>
  <c r="AL219" i="12"/>
  <c r="AL222" i="12" s="1"/>
  <c r="AL225" i="12" s="1"/>
  <c r="AL228" i="12" s="1"/>
  <c r="AL231" i="12" s="1"/>
  <c r="AM219" i="12"/>
  <c r="AM222" i="12" s="1"/>
  <c r="AN219" i="12"/>
  <c r="AO219" i="12"/>
  <c r="AQ219" i="12"/>
  <c r="O220" i="12"/>
  <c r="P220" i="12"/>
  <c r="P223" i="12" s="1"/>
  <c r="P226" i="12" s="1"/>
  <c r="Q220" i="12"/>
  <c r="Q223" i="12" s="1"/>
  <c r="Q226" i="12" s="1"/>
  <c r="Q229" i="12" s="1"/>
  <c r="Q232" i="12" s="1"/>
  <c r="Q235" i="12" s="1"/>
  <c r="Q238" i="12" s="1"/>
  <c r="Q241" i="12" s="1"/>
  <c r="R220" i="12"/>
  <c r="T220" i="12"/>
  <c r="W220" i="12"/>
  <c r="X220" i="12"/>
  <c r="X223" i="12" s="1"/>
  <c r="X226" i="12" s="1"/>
  <c r="Y220" i="12"/>
  <c r="Y223" i="12" s="1"/>
  <c r="Y226" i="12" s="1"/>
  <c r="Y229" i="12" s="1"/>
  <c r="Z220" i="12"/>
  <c r="AE220" i="12"/>
  <c r="AF220" i="12"/>
  <c r="AF223" i="12" s="1"/>
  <c r="AG220" i="12"/>
  <c r="AG223" i="12" s="1"/>
  <c r="AG226" i="12" s="1"/>
  <c r="AH220" i="12"/>
  <c r="AH223" i="12" s="1"/>
  <c r="AJ220" i="12"/>
  <c r="AJ223" i="12" s="1"/>
  <c r="AJ226" i="12" s="1"/>
  <c r="AJ229" i="12" s="1"/>
  <c r="AM220" i="12"/>
  <c r="AN220" i="12"/>
  <c r="AN223" i="12" s="1"/>
  <c r="AO220" i="12"/>
  <c r="AP220" i="12"/>
  <c r="M221" i="12"/>
  <c r="M224" i="12" s="1"/>
  <c r="M227" i="12" s="1"/>
  <c r="P221" i="12"/>
  <c r="Q221" i="12"/>
  <c r="Q224" i="12" s="1"/>
  <c r="Q227" i="12" s="1"/>
  <c r="Q230" i="12" s="1"/>
  <c r="Q233" i="12" s="1"/>
  <c r="R221" i="12"/>
  <c r="R224" i="12" s="1"/>
  <c r="R227" i="12" s="1"/>
  <c r="U221" i="12"/>
  <c r="X221" i="12"/>
  <c r="Y221" i="12"/>
  <c r="Y224" i="12" s="1"/>
  <c r="AA221" i="12"/>
  <c r="AA224" i="12" s="1"/>
  <c r="AA227" i="12" s="1"/>
  <c r="AA230" i="12" s="1"/>
  <c r="AA233" i="12" s="1"/>
  <c r="AA236" i="12" s="1"/>
  <c r="AA239" i="12" s="1"/>
  <c r="AF221" i="12"/>
  <c r="AF224" i="12" s="1"/>
  <c r="AK221" i="12"/>
  <c r="AN221" i="12"/>
  <c r="AN224" i="12" s="1"/>
  <c r="AN227" i="12" s="1"/>
  <c r="AN230" i="12" s="1"/>
  <c r="AN233" i="12" s="1"/>
  <c r="AP221" i="12"/>
  <c r="AP224" i="12" s="1"/>
  <c r="AP227" i="12" s="1"/>
  <c r="AP230" i="12" s="1"/>
  <c r="P222" i="12"/>
  <c r="P225" i="12" s="1"/>
  <c r="P228" i="12" s="1"/>
  <c r="P231" i="12" s="1"/>
  <c r="P234" i="12" s="1"/>
  <c r="P237" i="12" s="1"/>
  <c r="P240" i="12" s="1"/>
  <c r="Q222" i="12"/>
  <c r="S222" i="12"/>
  <c r="S225" i="12" s="1"/>
  <c r="S228" i="12" s="1"/>
  <c r="S231" i="12" s="1"/>
  <c r="S234" i="12" s="1"/>
  <c r="S237" i="12" s="1"/>
  <c r="S240" i="12" s="1"/>
  <c r="Z222" i="12"/>
  <c r="Z225" i="12" s="1"/>
  <c r="Z228" i="12" s="1"/>
  <c r="AA222" i="12"/>
  <c r="AA225" i="12" s="1"/>
  <c r="AA228" i="12" s="1"/>
  <c r="AA231" i="12" s="1"/>
  <c r="AA234" i="12" s="1"/>
  <c r="AA237" i="12" s="1"/>
  <c r="AA240" i="12" s="1"/>
  <c r="AB222" i="12"/>
  <c r="AB225" i="12" s="1"/>
  <c r="AB228" i="12" s="1"/>
  <c r="AB231" i="12" s="1"/>
  <c r="AB234" i="12" s="1"/>
  <c r="AB237" i="12" s="1"/>
  <c r="AB240" i="12" s="1"/>
  <c r="AD222" i="12"/>
  <c r="AI222" i="12"/>
  <c r="AI225" i="12" s="1"/>
  <c r="AI228" i="12" s="1"/>
  <c r="AN222" i="12"/>
  <c r="AN225" i="12" s="1"/>
  <c r="AN228" i="12" s="1"/>
  <c r="AN231" i="12" s="1"/>
  <c r="AN234" i="12" s="1"/>
  <c r="AN237" i="12" s="1"/>
  <c r="AN240" i="12" s="1"/>
  <c r="AO222" i="12"/>
  <c r="AO225" i="12" s="1"/>
  <c r="AO228" i="12" s="1"/>
  <c r="AO231" i="12" s="1"/>
  <c r="AO234" i="12" s="1"/>
  <c r="AO237" i="12" s="1"/>
  <c r="AO240" i="12" s="1"/>
  <c r="AQ222" i="12"/>
  <c r="AQ225" i="12" s="1"/>
  <c r="O223" i="12"/>
  <c r="O226" i="12" s="1"/>
  <c r="O229" i="12" s="1"/>
  <c r="R223" i="12"/>
  <c r="R226" i="12" s="1"/>
  <c r="R229" i="12" s="1"/>
  <c r="R232" i="12" s="1"/>
  <c r="S223" i="12"/>
  <c r="S226" i="12" s="1"/>
  <c r="T223" i="12"/>
  <c r="W223" i="12"/>
  <c r="W226" i="12" s="1"/>
  <c r="W229" i="12" s="1"/>
  <c r="W232" i="12" s="1"/>
  <c r="W235" i="12" s="1"/>
  <c r="W238" i="12" s="1"/>
  <c r="W241" i="12" s="1"/>
  <c r="Z223" i="12"/>
  <c r="Z226" i="12" s="1"/>
  <c r="Z229" i="12" s="1"/>
  <c r="Z232" i="12" s="1"/>
  <c r="AA223" i="12"/>
  <c r="AE223" i="12"/>
  <c r="AE226" i="12" s="1"/>
  <c r="AE229" i="12" s="1"/>
  <c r="AE232" i="12" s="1"/>
  <c r="AE235" i="12" s="1"/>
  <c r="AE238" i="12" s="1"/>
  <c r="AE241" i="12" s="1"/>
  <c r="AM223" i="12"/>
  <c r="AM226" i="12" s="1"/>
  <c r="AM229" i="12" s="1"/>
  <c r="AM232" i="12" s="1"/>
  <c r="AM235" i="12" s="1"/>
  <c r="AM238" i="12" s="1"/>
  <c r="AM241" i="12" s="1"/>
  <c r="AO223" i="12"/>
  <c r="AO226" i="12" s="1"/>
  <c r="AO229" i="12" s="1"/>
  <c r="AO232" i="12" s="1"/>
  <c r="AO235" i="12" s="1"/>
  <c r="AO238" i="12" s="1"/>
  <c r="AO241" i="12" s="1"/>
  <c r="AP223" i="12"/>
  <c r="P224" i="12"/>
  <c r="P227" i="12" s="1"/>
  <c r="P230" i="12" s="1"/>
  <c r="P233" i="12" s="1"/>
  <c r="P236" i="12" s="1"/>
  <c r="P239" i="12" s="1"/>
  <c r="T224" i="12"/>
  <c r="T227" i="12" s="1"/>
  <c r="T230" i="12" s="1"/>
  <c r="T233" i="12" s="1"/>
  <c r="T236" i="12" s="1"/>
  <c r="T239" i="12" s="1"/>
  <c r="U224" i="12"/>
  <c r="U227" i="12" s="1"/>
  <c r="U230" i="12" s="1"/>
  <c r="U233" i="12" s="1"/>
  <c r="U236" i="12" s="1"/>
  <c r="U239" i="12" s="1"/>
  <c r="X224" i="12"/>
  <c r="X227" i="12" s="1"/>
  <c r="X230" i="12" s="1"/>
  <c r="AD224" i="12"/>
  <c r="AD227" i="12" s="1"/>
  <c r="AD230" i="12" s="1"/>
  <c r="AD233" i="12" s="1"/>
  <c r="AD236" i="12" s="1"/>
  <c r="AH224" i="12"/>
  <c r="AH227" i="12" s="1"/>
  <c r="AK224" i="12"/>
  <c r="AL224" i="12"/>
  <c r="AO224" i="12"/>
  <c r="AO227" i="12" s="1"/>
  <c r="AO230" i="12" s="1"/>
  <c r="AO233" i="12" s="1"/>
  <c r="O225" i="12"/>
  <c r="O228" i="12" s="1"/>
  <c r="O231" i="12" s="1"/>
  <c r="Q225" i="12"/>
  <c r="Q228" i="12" s="1"/>
  <c r="Q231" i="12" s="1"/>
  <c r="Q234" i="12" s="1"/>
  <c r="Q237" i="12" s="1"/>
  <c r="Q240" i="12" s="1"/>
  <c r="W225" i="12"/>
  <c r="W228" i="12" s="1"/>
  <c r="W231" i="12" s="1"/>
  <c r="W234" i="12" s="1"/>
  <c r="W237" i="12" s="1"/>
  <c r="AD225" i="12"/>
  <c r="AD228" i="12" s="1"/>
  <c r="AD231" i="12" s="1"/>
  <c r="AD234" i="12" s="1"/>
  <c r="AD237" i="12" s="1"/>
  <c r="AD240" i="12" s="1"/>
  <c r="AE225" i="12"/>
  <c r="AH225" i="12"/>
  <c r="AH228" i="12" s="1"/>
  <c r="AH231" i="12" s="1"/>
  <c r="AH234" i="12" s="1"/>
  <c r="AH237" i="12" s="1"/>
  <c r="AH240" i="12" s="1"/>
  <c r="AM225" i="12"/>
  <c r="AM228" i="12" s="1"/>
  <c r="AM231" i="12" s="1"/>
  <c r="AP225" i="12"/>
  <c r="T226" i="12"/>
  <c r="U226" i="12"/>
  <c r="U229" i="12" s="1"/>
  <c r="U232" i="12" s="1"/>
  <c r="U235" i="12" s="1"/>
  <c r="U238" i="12" s="1"/>
  <c r="U241" i="12" s="1"/>
  <c r="AA226" i="12"/>
  <c r="AF226" i="12"/>
  <c r="AH226" i="12"/>
  <c r="AH229" i="12" s="1"/>
  <c r="AH232" i="12" s="1"/>
  <c r="AH235" i="12" s="1"/>
  <c r="AH238" i="12" s="1"/>
  <c r="AH241" i="12" s="1"/>
  <c r="AN226" i="12"/>
  <c r="AP226" i="12"/>
  <c r="AQ226" i="12"/>
  <c r="N227" i="12"/>
  <c r="N230" i="12" s="1"/>
  <c r="N233" i="12" s="1"/>
  <c r="N236" i="12" s="1"/>
  <c r="N239" i="12" s="1"/>
  <c r="W227" i="12"/>
  <c r="Y227" i="12"/>
  <c r="AB227" i="12"/>
  <c r="AB230" i="12" s="1"/>
  <c r="AB233" i="12" s="1"/>
  <c r="AB236" i="12" s="1"/>
  <c r="AB239" i="12" s="1"/>
  <c r="AF227" i="12"/>
  <c r="AF230" i="12" s="1"/>
  <c r="AF233" i="12" s="1"/>
  <c r="AF236" i="12" s="1"/>
  <c r="AK227" i="12"/>
  <c r="AK230" i="12" s="1"/>
  <c r="AL227" i="12"/>
  <c r="AL230" i="12" s="1"/>
  <c r="AL233" i="12" s="1"/>
  <c r="AL236" i="12" s="1"/>
  <c r="AL239" i="12" s="1"/>
  <c r="T228" i="12"/>
  <c r="T231" i="12" s="1"/>
  <c r="T234" i="12" s="1"/>
  <c r="T237" i="12" s="1"/>
  <c r="T240" i="12" s="1"/>
  <c r="V228" i="12"/>
  <c r="X228" i="12"/>
  <c r="Y228" i="12"/>
  <c r="Y231" i="12" s="1"/>
  <c r="Y234" i="12" s="1"/>
  <c r="Y237" i="12" s="1"/>
  <c r="Y240" i="12" s="1"/>
  <c r="AE228" i="12"/>
  <c r="AE231" i="12" s="1"/>
  <c r="AE234" i="12" s="1"/>
  <c r="AE237" i="12" s="1"/>
  <c r="AE240" i="12" s="1"/>
  <c r="AG228" i="12"/>
  <c r="AG231" i="12" s="1"/>
  <c r="AG234" i="12" s="1"/>
  <c r="AG237" i="12" s="1"/>
  <c r="AP228" i="12"/>
  <c r="AP231" i="12" s="1"/>
  <c r="AP234" i="12" s="1"/>
  <c r="AP237" i="12" s="1"/>
  <c r="AP240" i="12" s="1"/>
  <c r="AQ228" i="12"/>
  <c r="AQ231" i="12" s="1"/>
  <c r="AQ234" i="12" s="1"/>
  <c r="AQ237" i="12" s="1"/>
  <c r="AQ240" i="12" s="1"/>
  <c r="P229" i="12"/>
  <c r="P232" i="12" s="1"/>
  <c r="S229" i="12"/>
  <c r="S232" i="12" s="1"/>
  <c r="S235" i="12" s="1"/>
  <c r="T229" i="12"/>
  <c r="T232" i="12" s="1"/>
  <c r="T235" i="12" s="1"/>
  <c r="T238" i="12" s="1"/>
  <c r="T241" i="12" s="1"/>
  <c r="X229" i="12"/>
  <c r="X232" i="12" s="1"/>
  <c r="X235" i="12" s="1"/>
  <c r="X238" i="12" s="1"/>
  <c r="X241" i="12" s="1"/>
  <c r="AA229" i="12"/>
  <c r="AA232" i="12" s="1"/>
  <c r="AA235" i="12" s="1"/>
  <c r="AA238" i="12" s="1"/>
  <c r="AA241" i="12" s="1"/>
  <c r="AF229" i="12"/>
  <c r="AF232" i="12" s="1"/>
  <c r="AF235" i="12" s="1"/>
  <c r="AF238" i="12" s="1"/>
  <c r="AG229" i="12"/>
  <c r="AG232" i="12" s="1"/>
  <c r="AG235" i="12" s="1"/>
  <c r="AG238" i="12" s="1"/>
  <c r="AG241" i="12" s="1"/>
  <c r="AI229" i="12"/>
  <c r="AN229" i="12"/>
  <c r="AN232" i="12" s="1"/>
  <c r="AP229" i="12"/>
  <c r="AP232" i="12" s="1"/>
  <c r="AP235" i="12" s="1"/>
  <c r="AQ229" i="12"/>
  <c r="AQ232" i="12" s="1"/>
  <c r="AQ235" i="12" s="1"/>
  <c r="AQ238" i="12" s="1"/>
  <c r="AQ241" i="12" s="1"/>
  <c r="M230" i="12"/>
  <c r="M233" i="12" s="1"/>
  <c r="M236" i="12" s="1"/>
  <c r="M239" i="12" s="1"/>
  <c r="R230" i="12"/>
  <c r="R233" i="12" s="1"/>
  <c r="W230" i="12"/>
  <c r="W233" i="12" s="1"/>
  <c r="W236" i="12" s="1"/>
  <c r="W239" i="12" s="1"/>
  <c r="Y230" i="12"/>
  <c r="Y233" i="12" s="1"/>
  <c r="Y236" i="12" s="1"/>
  <c r="Y239" i="12" s="1"/>
  <c r="AE230" i="12"/>
  <c r="AG230" i="12"/>
  <c r="AG233" i="12" s="1"/>
  <c r="AG236" i="12" s="1"/>
  <c r="AG239" i="12" s="1"/>
  <c r="AH230" i="12"/>
  <c r="AH233" i="12" s="1"/>
  <c r="AH236" i="12" s="1"/>
  <c r="AH239" i="12" s="1"/>
  <c r="AI230" i="12"/>
  <c r="AI233" i="12" s="1"/>
  <c r="AI236" i="12" s="1"/>
  <c r="AI239" i="12" s="1"/>
  <c r="M231" i="12"/>
  <c r="M234" i="12" s="1"/>
  <c r="M237" i="12" s="1"/>
  <c r="M240" i="12" s="1"/>
  <c r="V231" i="12"/>
  <c r="V234" i="12" s="1"/>
  <c r="V237" i="12" s="1"/>
  <c r="V240" i="12" s="1"/>
  <c r="X231" i="12"/>
  <c r="X234" i="12" s="1"/>
  <c r="X237" i="12" s="1"/>
  <c r="X240" i="12" s="1"/>
  <c r="Z231" i="12"/>
  <c r="Z234" i="12" s="1"/>
  <c r="Z237" i="12" s="1"/>
  <c r="Z240" i="12" s="1"/>
  <c r="AI231" i="12"/>
  <c r="AI234" i="12" s="1"/>
  <c r="AI237" i="12" s="1"/>
  <c r="AI240" i="12" s="1"/>
  <c r="M232" i="12"/>
  <c r="M235" i="12" s="1"/>
  <c r="M238" i="12" s="1"/>
  <c r="M241" i="12" s="1"/>
  <c r="O232" i="12"/>
  <c r="O235" i="12" s="1"/>
  <c r="O238" i="12" s="1"/>
  <c r="O241" i="12" s="1"/>
  <c r="Y232" i="12"/>
  <c r="Y235" i="12" s="1"/>
  <c r="Y238" i="12" s="1"/>
  <c r="Y241" i="12" s="1"/>
  <c r="AI232" i="12"/>
  <c r="AI235" i="12" s="1"/>
  <c r="AI238" i="12" s="1"/>
  <c r="AI241" i="12" s="1"/>
  <c r="AJ232" i="12"/>
  <c r="AJ235" i="12" s="1"/>
  <c r="AJ238" i="12" s="1"/>
  <c r="AJ241" i="12" s="1"/>
  <c r="X233" i="12"/>
  <c r="X236" i="12" s="1"/>
  <c r="X239" i="12" s="1"/>
  <c r="Z233" i="12"/>
  <c r="Z236" i="12" s="1"/>
  <c r="Z239" i="12" s="1"/>
  <c r="AE233" i="12"/>
  <c r="AE236" i="12" s="1"/>
  <c r="AE239" i="12" s="1"/>
  <c r="AK233" i="12"/>
  <c r="AK236" i="12" s="1"/>
  <c r="AK239" i="12" s="1"/>
  <c r="AP233" i="12"/>
  <c r="AP236" i="12" s="1"/>
  <c r="AP239" i="12" s="1"/>
  <c r="O234" i="12"/>
  <c r="O237" i="12" s="1"/>
  <c r="O240" i="12" s="1"/>
  <c r="AL234" i="12"/>
  <c r="AL237" i="12" s="1"/>
  <c r="AL240" i="12" s="1"/>
  <c r="AM234" i="12"/>
  <c r="AM237" i="12" s="1"/>
  <c r="AM240" i="12" s="1"/>
  <c r="P235" i="12"/>
  <c r="P238" i="12" s="1"/>
  <c r="P241" i="12" s="1"/>
  <c r="R235" i="12"/>
  <c r="R238" i="12" s="1"/>
  <c r="Z235" i="12"/>
  <c r="Z238" i="12" s="1"/>
  <c r="Z241" i="12" s="1"/>
  <c r="AB235" i="12"/>
  <c r="AB238" i="12" s="1"/>
  <c r="AB241" i="12" s="1"/>
  <c r="AN235" i="12"/>
  <c r="AN238" i="12" s="1"/>
  <c r="AN241" i="12" s="1"/>
  <c r="Q236" i="12"/>
  <c r="Q239" i="12" s="1"/>
  <c r="R236" i="12"/>
  <c r="R239" i="12" s="1"/>
  <c r="S236" i="12"/>
  <c r="S239" i="12" s="1"/>
  <c r="AN236" i="12"/>
  <c r="AN239" i="12" s="1"/>
  <c r="AO236" i="12"/>
  <c r="AO239" i="12" s="1"/>
  <c r="S238" i="12"/>
  <c r="S241" i="12" s="1"/>
  <c r="AP238" i="12"/>
  <c r="AP241" i="12" s="1"/>
  <c r="V239" i="12"/>
  <c r="AD239" i="12"/>
  <c r="AF239" i="12"/>
  <c r="U240" i="12"/>
  <c r="W240" i="12"/>
  <c r="AG240" i="12"/>
  <c r="R241" i="12"/>
  <c r="AF241" i="12"/>
  <c r="M345" i="12"/>
  <c r="N345" i="12"/>
  <c r="O345" i="12"/>
  <c r="P345" i="12"/>
  <c r="Q345" i="12"/>
  <c r="R345" i="12"/>
  <c r="S345" i="12"/>
  <c r="T345" i="12"/>
  <c r="U345" i="12"/>
  <c r="V345" i="12"/>
  <c r="W345" i="12"/>
  <c r="X345" i="12"/>
  <c r="Y345" i="12"/>
  <c r="Z345" i="12"/>
  <c r="AA345" i="12"/>
  <c r="AB345" i="12"/>
  <c r="AC345" i="12"/>
  <c r="AD345" i="12"/>
  <c r="AE345" i="12"/>
  <c r="AF345" i="12"/>
  <c r="AG345" i="12"/>
  <c r="AH345" i="12"/>
  <c r="AI345" i="12"/>
  <c r="AJ345" i="12"/>
  <c r="AK345" i="12"/>
  <c r="AL345" i="12"/>
  <c r="AM345" i="12"/>
  <c r="AN345" i="12"/>
  <c r="AO345" i="12"/>
  <c r="AP345" i="12"/>
  <c r="AQ345" i="12"/>
  <c r="U379" i="12"/>
  <c r="N383" i="12"/>
  <c r="N384" i="12"/>
  <c r="O384" i="12"/>
  <c r="X385" i="12"/>
  <c r="P388" i="12"/>
  <c r="P389" i="12"/>
  <c r="P390" i="12"/>
  <c r="AC390" i="12"/>
  <c r="AO390" i="12"/>
  <c r="D3" i="11"/>
  <c r="AT149" i="12" l="1"/>
  <c r="AU376" i="12"/>
  <c r="Q47" i="12"/>
  <c r="AC389" i="12"/>
  <c r="V63" i="12"/>
  <c r="AM61" i="12"/>
  <c r="AB56" i="12"/>
  <c r="Q50" i="12"/>
  <c r="AP62" i="12"/>
  <c r="W61" i="12"/>
  <c r="AG55" i="12"/>
  <c r="AG49" i="12"/>
  <c r="U381" i="12"/>
  <c r="AE64" i="12"/>
  <c r="O64" i="12"/>
  <c r="Y63" i="12"/>
  <c r="AN62" i="12"/>
  <c r="X62" i="12"/>
  <c r="AK61" i="12"/>
  <c r="U61" i="12"/>
  <c r="AA57" i="12"/>
  <c r="T56" i="12"/>
  <c r="AM54" i="12"/>
  <c r="AI50" i="12"/>
  <c r="U49" i="12"/>
  <c r="P48" i="12"/>
  <c r="AB386" i="12"/>
  <c r="AB64" i="12"/>
  <c r="AO63" i="12"/>
  <c r="X63" i="12"/>
  <c r="AM62" i="12"/>
  <c r="V62" i="12"/>
  <c r="AJ61" i="12"/>
  <c r="T61" i="12"/>
  <c r="X57" i="12"/>
  <c r="AN55" i="12"/>
  <c r="AH54" i="12"/>
  <c r="AD50" i="12"/>
  <c r="S49" i="12"/>
  <c r="AQ47" i="12"/>
  <c r="X386" i="12"/>
  <c r="AP64" i="12"/>
  <c r="Z64" i="12"/>
  <c r="AM63" i="12"/>
  <c r="W63" i="12"/>
  <c r="AL62" i="12"/>
  <c r="R62" i="12"/>
  <c r="AG61" i="12"/>
  <c r="AG65" i="12" s="1"/>
  <c r="Q61" i="12"/>
  <c r="R57" i="12"/>
  <c r="AM55" i="12"/>
  <c r="AE54" i="12"/>
  <c r="AA50" i="12"/>
  <c r="P49" i="12"/>
  <c r="AF47" i="12"/>
  <c r="Q53" i="12"/>
  <c r="AO388" i="12"/>
  <c r="O382" i="12"/>
  <c r="AN64" i="12"/>
  <c r="T64" i="12"/>
  <c r="AI63" i="12"/>
  <c r="S63" i="12"/>
  <c r="AE62" i="12"/>
  <c r="O62" i="12"/>
  <c r="O66" i="12" s="1"/>
  <c r="AD61" i="12"/>
  <c r="AH56" i="12"/>
  <c r="AD55" i="12"/>
  <c r="R54" i="12"/>
  <c r="N50" i="12"/>
  <c r="AM48" i="12"/>
  <c r="Y47" i="12"/>
  <c r="Y51" i="12" s="1"/>
  <c r="AJ64" i="12"/>
  <c r="R64" i="12"/>
  <c r="AG63" i="12"/>
  <c r="P63" i="12"/>
  <c r="AD62" i="12"/>
  <c r="N62" i="12"/>
  <c r="AB61" i="12"/>
  <c r="AQ57" i="12"/>
  <c r="AG56" i="12"/>
  <c r="AG59" i="12" s="1"/>
  <c r="Y55" i="12"/>
  <c r="N54" i="12"/>
  <c r="AO49" i="12"/>
  <c r="Z48" i="12"/>
  <c r="V47" i="12"/>
  <c r="AP57" i="12"/>
  <c r="Q57" i="12"/>
  <c r="W56" i="12"/>
  <c r="AA55" i="12"/>
  <c r="AF54" i="12"/>
  <c r="AB50" i="12"/>
  <c r="AH49" i="12"/>
  <c r="AN48" i="12"/>
  <c r="O48" i="12"/>
  <c r="S47" i="12"/>
  <c r="S52" i="12" s="1"/>
  <c r="AG52" i="12"/>
  <c r="AI57" i="12"/>
  <c r="AO56" i="12"/>
  <c r="P56" i="12"/>
  <c r="V55" i="12"/>
  <c r="Z54" i="12"/>
  <c r="V50" i="12"/>
  <c r="V53" i="12" s="1"/>
  <c r="AA49" i="12"/>
  <c r="AG48" i="12"/>
  <c r="AG51" i="12" s="1"/>
  <c r="AM47" i="12"/>
  <c r="AM51" i="12" s="1"/>
  <c r="N47" i="12"/>
  <c r="N58" i="12" s="1"/>
  <c r="AO67" i="12"/>
  <c r="AF57" i="12"/>
  <c r="AJ56" i="12"/>
  <c r="AO55" i="12"/>
  <c r="P55" i="12"/>
  <c r="V54" i="12"/>
  <c r="AQ50" i="12"/>
  <c r="R50" i="12"/>
  <c r="X49" i="12"/>
  <c r="AB48" i="12"/>
  <c r="P66" i="12"/>
  <c r="AG58" i="12"/>
  <c r="R47" i="12"/>
  <c r="Z47" i="12"/>
  <c r="AH47" i="12"/>
  <c r="AP47" i="12"/>
  <c r="AP53" i="12" s="1"/>
  <c r="S48" i="12"/>
  <c r="AA48" i="12"/>
  <c r="AI48" i="12"/>
  <c r="AQ48" i="12"/>
  <c r="T49" i="12"/>
  <c r="AB49" i="12"/>
  <c r="AJ49" i="12"/>
  <c r="M50" i="12"/>
  <c r="U50" i="12"/>
  <c r="AC50" i="12"/>
  <c r="AK50" i="12"/>
  <c r="Q54" i="12"/>
  <c r="Y54" i="12"/>
  <c r="AG54" i="12"/>
  <c r="AO54" i="12"/>
  <c r="R55" i="12"/>
  <c r="Z55" i="12"/>
  <c r="AH55" i="12"/>
  <c r="AP55" i="12"/>
  <c r="S56" i="12"/>
  <c r="AA56" i="12"/>
  <c r="AI56" i="12"/>
  <c r="AQ56" i="12"/>
  <c r="T57" i="12"/>
  <c r="AB57" i="12"/>
  <c r="AJ57" i="12"/>
  <c r="P61" i="12"/>
  <c r="P65" i="12" s="1"/>
  <c r="X61" i="12"/>
  <c r="AF61" i="12"/>
  <c r="AN61" i="12"/>
  <c r="Q62" i="12"/>
  <c r="Y62" i="12"/>
  <c r="AG62" i="12"/>
  <c r="AO62" i="12"/>
  <c r="AO66" i="12" s="1"/>
  <c r="R63" i="12"/>
  <c r="Z63" i="12"/>
  <c r="AH63" i="12"/>
  <c r="AP63" i="12"/>
  <c r="S64" i="12"/>
  <c r="AA64" i="12"/>
  <c r="AI64" i="12"/>
  <c r="AQ64" i="12"/>
  <c r="T47" i="12"/>
  <c r="T51" i="12" s="1"/>
  <c r="AB47" i="12"/>
  <c r="AB59" i="12" s="1"/>
  <c r="AJ47" i="12"/>
  <c r="M48" i="12"/>
  <c r="U48" i="12"/>
  <c r="AC48" i="12"/>
  <c r="AK48" i="12"/>
  <c r="N49" i="12"/>
  <c r="N52" i="12" s="1"/>
  <c r="V49" i="12"/>
  <c r="AD49" i="12"/>
  <c r="AL49" i="12"/>
  <c r="O50" i="12"/>
  <c r="W50" i="12"/>
  <c r="AE50" i="12"/>
  <c r="AE53" i="12" s="1"/>
  <c r="AM50" i="12"/>
  <c r="S54" i="12"/>
  <c r="AA54" i="12"/>
  <c r="AI54" i="12"/>
  <c r="AQ54" i="12"/>
  <c r="T55" i="12"/>
  <c r="AB55" i="12"/>
  <c r="AJ55" i="12"/>
  <c r="M56" i="12"/>
  <c r="U56" i="12"/>
  <c r="AC56" i="12"/>
  <c r="AK56" i="12"/>
  <c r="N57" i="12"/>
  <c r="V57" i="12"/>
  <c r="AD57" i="12"/>
  <c r="AL57" i="12"/>
  <c r="R61" i="12"/>
  <c r="Z61" i="12"/>
  <c r="AH61" i="12"/>
  <c r="AP61" i="12"/>
  <c r="S62" i="12"/>
  <c r="AA62" i="12"/>
  <c r="AI62" i="12"/>
  <c r="AQ62" i="12"/>
  <c r="T63" i="12"/>
  <c r="AB63" i="12"/>
  <c r="AJ63" i="12"/>
  <c r="AJ67" i="12" s="1"/>
  <c r="M64" i="12"/>
  <c r="U64" i="12"/>
  <c r="AC64" i="12"/>
  <c r="AK64" i="12"/>
  <c r="M47" i="12"/>
  <c r="U47" i="12"/>
  <c r="U52" i="12" s="1"/>
  <c r="AC47" i="12"/>
  <c r="AC60" i="12" s="1"/>
  <c r="AK47" i="12"/>
  <c r="N48" i="12"/>
  <c r="N51" i="12" s="1"/>
  <c r="V48" i="12"/>
  <c r="V51" i="12" s="1"/>
  <c r="AD48" i="12"/>
  <c r="AL48" i="12"/>
  <c r="O49" i="12"/>
  <c r="W49" i="12"/>
  <c r="AE49" i="12"/>
  <c r="AE52" i="12" s="1"/>
  <c r="AM49" i="12"/>
  <c r="AM52" i="12" s="1"/>
  <c r="P50" i="12"/>
  <c r="X50" i="12"/>
  <c r="AF50" i="12"/>
  <c r="AF53" i="12" s="1"/>
  <c r="AN50" i="12"/>
  <c r="T54" i="12"/>
  <c r="AB54" i="12"/>
  <c r="AJ54" i="12"/>
  <c r="M55" i="12"/>
  <c r="U55" i="12"/>
  <c r="AC55" i="12"/>
  <c r="AK55" i="12"/>
  <c r="N56" i="12"/>
  <c r="V56" i="12"/>
  <c r="AD56" i="12"/>
  <c r="AL56" i="12"/>
  <c r="O57" i="12"/>
  <c r="W57" i="12"/>
  <c r="AE57" i="12"/>
  <c r="AM57" i="12"/>
  <c r="S61" i="12"/>
  <c r="AA61" i="12"/>
  <c r="AI61" i="12"/>
  <c r="AQ61" i="12"/>
  <c r="T62" i="12"/>
  <c r="AB62" i="12"/>
  <c r="AJ62" i="12"/>
  <c r="M63" i="12"/>
  <c r="U63" i="12"/>
  <c r="AC63" i="12"/>
  <c r="AK63" i="12"/>
  <c r="N64" i="12"/>
  <c r="V64" i="12"/>
  <c r="AD64" i="12"/>
  <c r="AL64" i="12"/>
  <c r="P47" i="12"/>
  <c r="P52" i="12" s="1"/>
  <c r="AD47" i="12"/>
  <c r="AD58" i="12" s="1"/>
  <c r="AO47" i="12"/>
  <c r="AO60" i="12" s="1"/>
  <c r="X48" i="12"/>
  <c r="AJ48" i="12"/>
  <c r="R49" i="12"/>
  <c r="R66" i="12" s="1"/>
  <c r="AF49" i="12"/>
  <c r="AF52" i="12" s="1"/>
  <c r="AQ49" i="12"/>
  <c r="Z50" i="12"/>
  <c r="Z53" i="12" s="1"/>
  <c r="AL50" i="12"/>
  <c r="AL67" i="12" s="1"/>
  <c r="P54" i="12"/>
  <c r="AD54" i="12"/>
  <c r="AP54" i="12"/>
  <c r="X55" i="12"/>
  <c r="AL55" i="12"/>
  <c r="R56" i="12"/>
  <c r="AF56" i="12"/>
  <c r="M57" i="12"/>
  <c r="Z57" i="12"/>
  <c r="AN57" i="12"/>
  <c r="W47" i="12"/>
  <c r="AI47" i="12"/>
  <c r="AI52" i="12" s="1"/>
  <c r="Q48" i="12"/>
  <c r="Q51" i="12" s="1"/>
  <c r="AE48" i="12"/>
  <c r="AE51" i="12" s="1"/>
  <c r="AP48" i="12"/>
  <c r="AP51" i="12" s="1"/>
  <c r="Y49" i="12"/>
  <c r="Y52" i="12" s="1"/>
  <c r="AK49" i="12"/>
  <c r="S50" i="12"/>
  <c r="AG50" i="12"/>
  <c r="AG53" i="12" s="1"/>
  <c r="W54" i="12"/>
  <c r="AK54" i="12"/>
  <c r="Q55" i="12"/>
  <c r="AE55" i="12"/>
  <c r="AQ55" i="12"/>
  <c r="Y56" i="12"/>
  <c r="AM56" i="12"/>
  <c r="S57" i="12"/>
  <c r="AG57" i="12"/>
  <c r="X47" i="12"/>
  <c r="AL47" i="12"/>
  <c r="R48" i="12"/>
  <c r="R51" i="12" s="1"/>
  <c r="AF48" i="12"/>
  <c r="AF51" i="12" s="1"/>
  <c r="M49" i="12"/>
  <c r="M52" i="12" s="1"/>
  <c r="Z49" i="12"/>
  <c r="AN49" i="12"/>
  <c r="T50" i="12"/>
  <c r="T53" i="12" s="1"/>
  <c r="AH50" i="12"/>
  <c r="M54" i="12"/>
  <c r="X54" i="12"/>
  <c r="AL54" i="12"/>
  <c r="S55" i="12"/>
  <c r="AF55" i="12"/>
  <c r="O56" i="12"/>
  <c r="Z56" i="12"/>
  <c r="Z66" i="12" s="1"/>
  <c r="AN56" i="12"/>
  <c r="U57" i="12"/>
  <c r="AH57" i="12"/>
  <c r="M61" i="12"/>
  <c r="Y61" i="12"/>
  <c r="AL61" i="12"/>
  <c r="U62" i="12"/>
  <c r="AF62" i="12"/>
  <c r="O63" i="12"/>
  <c r="AA63" i="12"/>
  <c r="AA67" i="12" s="1"/>
  <c r="AN63" i="12"/>
  <c r="W64" i="12"/>
  <c r="AH64" i="12"/>
  <c r="O47" i="12"/>
  <c r="O58" i="12" s="1"/>
  <c r="AA47" i="12"/>
  <c r="AA60" i="12" s="1"/>
  <c r="AN47" i="12"/>
  <c r="AN58" i="12" s="1"/>
  <c r="W48" i="12"/>
  <c r="AH48" i="12"/>
  <c r="Q49" i="12"/>
  <c r="Q52" i="12" s="1"/>
  <c r="AC49" i="12"/>
  <c r="AC52" i="12" s="1"/>
  <c r="AP49" i="12"/>
  <c r="AP52" i="12" s="1"/>
  <c r="Y50" i="12"/>
  <c r="Y53" i="12" s="1"/>
  <c r="AJ50" i="12"/>
  <c r="O54" i="12"/>
  <c r="AC54" i="12"/>
  <c r="AN54" i="12"/>
  <c r="W55" i="12"/>
  <c r="AI55" i="12"/>
  <c r="Q56" i="12"/>
  <c r="AE56" i="12"/>
  <c r="AP56" i="12"/>
  <c r="Y57" i="12"/>
  <c r="AK57" i="12"/>
  <c r="O61" i="12"/>
  <c r="AC61" i="12"/>
  <c r="AC65" i="12" s="1"/>
  <c r="AO61" i="12"/>
  <c r="AO65" i="12" s="1"/>
  <c r="W62" i="12"/>
  <c r="AK62" i="12"/>
  <c r="Q63" i="12"/>
  <c r="AE63" i="12"/>
  <c r="AQ63" i="12"/>
  <c r="Y64" i="12"/>
  <c r="AM64" i="12"/>
  <c r="AV376" i="12" l="1"/>
  <c r="AU149" i="12"/>
  <c r="AJ65" i="12"/>
  <c r="AM58" i="12"/>
  <c r="AB387" i="12"/>
  <c r="AB385" i="12"/>
  <c r="S65" i="12"/>
  <c r="AI66" i="12"/>
  <c r="AH59" i="12"/>
  <c r="O51" i="12"/>
  <c r="AM53" i="12"/>
  <c r="R60" i="12"/>
  <c r="X66" i="12"/>
  <c r="Z51" i="12"/>
  <c r="N66" i="12"/>
  <c r="AG384" i="12"/>
  <c r="AG382" i="12"/>
  <c r="AG383" i="12"/>
  <c r="Z65" i="12"/>
  <c r="AD384" i="12"/>
  <c r="AD383" i="12"/>
  <c r="AD382" i="12"/>
  <c r="AM384" i="12"/>
  <c r="AM383" i="12"/>
  <c r="AM382" i="12"/>
  <c r="X388" i="12"/>
  <c r="X390" i="12"/>
  <c r="X389" i="12"/>
  <c r="AG66" i="12"/>
  <c r="AA53" i="12"/>
  <c r="N381" i="12"/>
  <c r="N380" i="12"/>
  <c r="N379" i="12"/>
  <c r="N375" i="12" s="1"/>
  <c r="N172" i="12" s="1"/>
  <c r="AH385" i="12"/>
  <c r="AH376" i="12" s="1"/>
  <c r="AH387" i="12"/>
  <c r="AH386" i="12"/>
  <c r="R390" i="12"/>
  <c r="R389" i="12"/>
  <c r="R388" i="12"/>
  <c r="AE379" i="12"/>
  <c r="AE380" i="12"/>
  <c r="AE381" i="12"/>
  <c r="AA52" i="12"/>
  <c r="AA65" i="12"/>
  <c r="AO53" i="12"/>
  <c r="Y58" i="12"/>
  <c r="Y384" i="12"/>
  <c r="Y383" i="12"/>
  <c r="Y382" i="12"/>
  <c r="AN382" i="12"/>
  <c r="AN384" i="12"/>
  <c r="AN383" i="12"/>
  <c r="M65" i="12"/>
  <c r="AM67" i="12"/>
  <c r="AN67" i="12"/>
  <c r="T65" i="12"/>
  <c r="T68" i="12" s="1"/>
  <c r="O53" i="12"/>
  <c r="M51" i="12"/>
  <c r="AP67" i="12"/>
  <c r="AN51" i="12"/>
  <c r="AQ390" i="12"/>
  <c r="AQ60" i="12"/>
  <c r="AQ389" i="12"/>
  <c r="AQ388" i="12"/>
  <c r="AM380" i="12"/>
  <c r="AM379" i="12"/>
  <c r="AM381" i="12"/>
  <c r="R381" i="12"/>
  <c r="R380" i="12"/>
  <c r="R379" i="12"/>
  <c r="R377" i="12" s="1"/>
  <c r="AN53" i="12"/>
  <c r="W53" i="12"/>
  <c r="AG385" i="12"/>
  <c r="AG387" i="12"/>
  <c r="AG386" i="12"/>
  <c r="Y67" i="12"/>
  <c r="O65" i="12"/>
  <c r="AH51" i="12"/>
  <c r="AQ52" i="12"/>
  <c r="AJ66" i="12"/>
  <c r="X53" i="12"/>
  <c r="S66" i="12"/>
  <c r="S69" i="12" s="1"/>
  <c r="T52" i="12"/>
  <c r="AQ53" i="12"/>
  <c r="AH52" i="12"/>
  <c r="N53" i="12"/>
  <c r="T386" i="12"/>
  <c r="T387" i="12"/>
  <c r="T385" i="12"/>
  <c r="W51" i="12"/>
  <c r="O67" i="12"/>
  <c r="AH53" i="12"/>
  <c r="X60" i="12"/>
  <c r="AD67" i="12"/>
  <c r="AD73" i="12" s="1"/>
  <c r="AB66" i="12"/>
  <c r="P67" i="12"/>
  <c r="X65" i="12"/>
  <c r="X68" i="12" s="1"/>
  <c r="AQ51" i="12"/>
  <c r="AO51" i="12"/>
  <c r="V67" i="12"/>
  <c r="AH380" i="12"/>
  <c r="AH379" i="12"/>
  <c r="AH381" i="12"/>
  <c r="AA389" i="12"/>
  <c r="AA390" i="12"/>
  <c r="AA388" i="12"/>
  <c r="AM73" i="12"/>
  <c r="AM70" i="12"/>
  <c r="Y73" i="12"/>
  <c r="Y70" i="12"/>
  <c r="P70" i="12"/>
  <c r="P73" i="12"/>
  <c r="AL70" i="12"/>
  <c r="AL73" i="12"/>
  <c r="X72" i="12"/>
  <c r="X69" i="12"/>
  <c r="T71" i="12"/>
  <c r="Z69" i="12"/>
  <c r="Z72" i="12"/>
  <c r="R72" i="12"/>
  <c r="R69" i="12"/>
  <c r="M68" i="12"/>
  <c r="M71" i="12"/>
  <c r="O68" i="12"/>
  <c r="O71" i="12"/>
  <c r="AC58" i="12"/>
  <c r="AC383" i="12"/>
  <c r="AC384" i="12"/>
  <c r="AC382" i="12"/>
  <c r="N60" i="12"/>
  <c r="N388" i="12"/>
  <c r="N389" i="12"/>
  <c r="N390" i="12"/>
  <c r="AA59" i="12"/>
  <c r="AA385" i="12"/>
  <c r="AA387" i="12"/>
  <c r="AA386" i="12"/>
  <c r="AK60" i="12"/>
  <c r="AK389" i="12"/>
  <c r="AK388" i="12"/>
  <c r="AK390" i="12"/>
  <c r="AN59" i="12"/>
  <c r="AN387" i="12"/>
  <c r="AN386" i="12"/>
  <c r="AN385" i="12"/>
  <c r="AK379" i="12"/>
  <c r="AK381" i="12"/>
  <c r="AK380" i="12"/>
  <c r="AB72" i="12"/>
  <c r="AB69" i="12"/>
  <c r="AP65" i="12"/>
  <c r="Y60" i="12"/>
  <c r="Y390" i="12"/>
  <c r="Y388" i="12"/>
  <c r="Y389" i="12"/>
  <c r="AF66" i="12"/>
  <c r="AG60" i="12"/>
  <c r="AG390" i="12"/>
  <c r="AG388" i="12"/>
  <c r="AG389" i="12"/>
  <c r="X58" i="12"/>
  <c r="X382" i="12"/>
  <c r="X383" i="12"/>
  <c r="X384" i="12"/>
  <c r="O60" i="12"/>
  <c r="O389" i="12"/>
  <c r="O388" i="12"/>
  <c r="O390" i="12"/>
  <c r="AJ70" i="12"/>
  <c r="AJ73" i="12"/>
  <c r="AA381" i="12"/>
  <c r="AA379" i="12"/>
  <c r="AA380" i="12"/>
  <c r="R67" i="12"/>
  <c r="AK53" i="12"/>
  <c r="AG67" i="12"/>
  <c r="AO73" i="12"/>
  <c r="AO70" i="12"/>
  <c r="AP59" i="12"/>
  <c r="AP385" i="12"/>
  <c r="AP386" i="12"/>
  <c r="AP387" i="12"/>
  <c r="AK66" i="12"/>
  <c r="AE59" i="12"/>
  <c r="AE385" i="12"/>
  <c r="AE386" i="12"/>
  <c r="AE387" i="12"/>
  <c r="AL65" i="12"/>
  <c r="AF58" i="12"/>
  <c r="AF382" i="12"/>
  <c r="AF384" i="12"/>
  <c r="AF383" i="12"/>
  <c r="Z52" i="12"/>
  <c r="AM59" i="12"/>
  <c r="AM386" i="12"/>
  <c r="AM385" i="12"/>
  <c r="AM387" i="12"/>
  <c r="S53" i="12"/>
  <c r="AN60" i="12"/>
  <c r="AN389" i="12"/>
  <c r="AN390" i="12"/>
  <c r="AN388" i="12"/>
  <c r="AD380" i="12"/>
  <c r="AD379" i="12"/>
  <c r="AD381" i="12"/>
  <c r="X51" i="12"/>
  <c r="AK67" i="12"/>
  <c r="AI65" i="12"/>
  <c r="AD59" i="12"/>
  <c r="AD387" i="12"/>
  <c r="AD385" i="12"/>
  <c r="AD386" i="12"/>
  <c r="AB381" i="12"/>
  <c r="AB379" i="12"/>
  <c r="AB380" i="12"/>
  <c r="W52" i="12"/>
  <c r="T67" i="12"/>
  <c r="R65" i="12"/>
  <c r="M59" i="12"/>
  <c r="M387" i="12"/>
  <c r="M386" i="12"/>
  <c r="M385" i="12"/>
  <c r="AK51" i="12"/>
  <c r="AK65" i="12"/>
  <c r="AG69" i="12"/>
  <c r="AG72" i="12"/>
  <c r="AB60" i="12"/>
  <c r="AB390" i="12"/>
  <c r="AB388" i="12"/>
  <c r="AB389" i="12"/>
  <c r="Z58" i="12"/>
  <c r="Z384" i="12"/>
  <c r="Z383" i="12"/>
  <c r="Z382" i="12"/>
  <c r="U53" i="12"/>
  <c r="S51" i="12"/>
  <c r="AD53" i="12"/>
  <c r="AO52" i="12"/>
  <c r="N65" i="12"/>
  <c r="AG68" i="12"/>
  <c r="AG71" i="12"/>
  <c r="AJ59" i="12"/>
  <c r="AJ386" i="12"/>
  <c r="AJ385" i="12"/>
  <c r="AJ387" i="12"/>
  <c r="AI60" i="12"/>
  <c r="AI389" i="12"/>
  <c r="AI390" i="12"/>
  <c r="AI388" i="12"/>
  <c r="V65" i="12"/>
  <c r="AA58" i="12"/>
  <c r="AA384" i="12"/>
  <c r="AA382" i="12"/>
  <c r="AA383" i="12"/>
  <c r="AF67" i="12"/>
  <c r="S67" i="12"/>
  <c r="AI58" i="12"/>
  <c r="AI384" i="12"/>
  <c r="AI382" i="12"/>
  <c r="AI383" i="12"/>
  <c r="W58" i="12"/>
  <c r="W382" i="12"/>
  <c r="W383" i="12"/>
  <c r="W384" i="12"/>
  <c r="AQ381" i="12"/>
  <c r="AQ380" i="12"/>
  <c r="AQ379" i="12"/>
  <c r="Z381" i="12"/>
  <c r="Z380" i="12"/>
  <c r="Z379" i="12"/>
  <c r="O73" i="12"/>
  <c r="O70" i="12"/>
  <c r="AL58" i="12"/>
  <c r="AL384" i="12"/>
  <c r="AL382" i="12"/>
  <c r="AL383" i="12"/>
  <c r="W60" i="12"/>
  <c r="W388" i="12"/>
  <c r="W389" i="12"/>
  <c r="W390" i="12"/>
  <c r="Q380" i="12"/>
  <c r="Q379" i="12"/>
  <c r="Q381" i="12"/>
  <c r="O381" i="12"/>
  <c r="O380" i="12"/>
  <c r="O379" i="12"/>
  <c r="AH65" i="12"/>
  <c r="P68" i="12"/>
  <c r="P71" i="12"/>
  <c r="AI51" i="12"/>
  <c r="P59" i="12"/>
  <c r="P387" i="12"/>
  <c r="P386" i="12"/>
  <c r="P385" i="12"/>
  <c r="AB53" i="12"/>
  <c r="Q67" i="12"/>
  <c r="W66" i="12"/>
  <c r="Q59" i="12"/>
  <c r="Q387" i="12"/>
  <c r="Q385" i="12"/>
  <c r="Q386" i="12"/>
  <c r="Y65" i="12"/>
  <c r="S58" i="12"/>
  <c r="S384" i="12"/>
  <c r="S382" i="12"/>
  <c r="S383" i="12"/>
  <c r="Y59" i="12"/>
  <c r="Y387" i="12"/>
  <c r="Y385" i="12"/>
  <c r="Y386" i="12"/>
  <c r="AK52" i="12"/>
  <c r="Z60" i="12"/>
  <c r="Z389" i="12"/>
  <c r="Z388" i="12"/>
  <c r="Z390" i="12"/>
  <c r="P381" i="12"/>
  <c r="P379" i="12"/>
  <c r="P380" i="12"/>
  <c r="AC67" i="12"/>
  <c r="AA68" i="12"/>
  <c r="AA71" i="12"/>
  <c r="V59" i="12"/>
  <c r="V387" i="12"/>
  <c r="V385" i="12"/>
  <c r="V386" i="12"/>
  <c r="T379" i="12"/>
  <c r="T380" i="12"/>
  <c r="T381" i="12"/>
  <c r="O52" i="12"/>
  <c r="AQ66" i="12"/>
  <c r="AL60" i="12"/>
  <c r="AL388" i="12"/>
  <c r="AL390" i="12"/>
  <c r="AL389" i="12"/>
  <c r="AJ58" i="12"/>
  <c r="AJ383" i="12"/>
  <c r="AJ382" i="12"/>
  <c r="AJ384" i="12"/>
  <c r="AC51" i="12"/>
  <c r="Y66" i="12"/>
  <c r="T60" i="12"/>
  <c r="T390" i="12"/>
  <c r="T388" i="12"/>
  <c r="T389" i="12"/>
  <c r="R58" i="12"/>
  <c r="R384" i="12"/>
  <c r="R383" i="12"/>
  <c r="R382" i="12"/>
  <c r="R375" i="12" s="1"/>
  <c r="M53" i="12"/>
  <c r="X59" i="12"/>
  <c r="AI53" i="12"/>
  <c r="AE65" i="12"/>
  <c r="AB51" i="12"/>
  <c r="AF60" i="12"/>
  <c r="AF389" i="12"/>
  <c r="AF388" i="12"/>
  <c r="AF390" i="12"/>
  <c r="AM65" i="12"/>
  <c r="W59" i="12"/>
  <c r="W386" i="12"/>
  <c r="W385" i="12"/>
  <c r="W387" i="12"/>
  <c r="AI67" i="12"/>
  <c r="AL380" i="12"/>
  <c r="AL379" i="12"/>
  <c r="AL381" i="12"/>
  <c r="AQ58" i="12"/>
  <c r="AQ384" i="12"/>
  <c r="AQ382" i="12"/>
  <c r="AQ383" i="12"/>
  <c r="M60" i="12"/>
  <c r="M388" i="12"/>
  <c r="M390" i="12"/>
  <c r="M389" i="12"/>
  <c r="AL53" i="12"/>
  <c r="U67" i="12"/>
  <c r="S71" i="12"/>
  <c r="S68" i="12"/>
  <c r="N59" i="12"/>
  <c r="N387" i="12"/>
  <c r="N385" i="12"/>
  <c r="N386" i="12"/>
  <c r="AL51" i="12"/>
  <c r="AI69" i="12"/>
  <c r="AI72" i="12"/>
  <c r="AD60" i="12"/>
  <c r="AD388" i="12"/>
  <c r="AD390" i="12"/>
  <c r="AD389" i="12"/>
  <c r="AB58" i="12"/>
  <c r="AB383" i="12"/>
  <c r="AB382" i="12"/>
  <c r="AB384" i="12"/>
  <c r="U51" i="12"/>
  <c r="U65" i="12"/>
  <c r="Q66" i="12"/>
  <c r="AQ59" i="12"/>
  <c r="AQ385" i="12"/>
  <c r="AQ386" i="12"/>
  <c r="AQ387" i="12"/>
  <c r="AO380" i="12"/>
  <c r="AO379" i="12"/>
  <c r="AO381" i="12"/>
  <c r="AJ52" i="12"/>
  <c r="P69" i="12"/>
  <c r="P72" i="12"/>
  <c r="X52" i="12"/>
  <c r="AN66" i="12"/>
  <c r="Q60" i="12"/>
  <c r="Q390" i="12"/>
  <c r="Q388" i="12"/>
  <c r="Q389" i="12"/>
  <c r="W67" i="12"/>
  <c r="P60" i="12"/>
  <c r="AC68" i="12"/>
  <c r="AC71" i="12"/>
  <c r="AN73" i="12"/>
  <c r="AN70" i="12"/>
  <c r="AH60" i="12"/>
  <c r="AH388" i="12"/>
  <c r="AH389" i="12"/>
  <c r="AH390" i="12"/>
  <c r="X381" i="12"/>
  <c r="X379" i="12"/>
  <c r="X380" i="12"/>
  <c r="AE58" i="12"/>
  <c r="AE383" i="12"/>
  <c r="AE384" i="12"/>
  <c r="AE382" i="12"/>
  <c r="AF59" i="12"/>
  <c r="AF387" i="12"/>
  <c r="AF386" i="12"/>
  <c r="AF385" i="12"/>
  <c r="M67" i="12"/>
  <c r="AM60" i="12"/>
  <c r="AM388" i="12"/>
  <c r="AM390" i="12"/>
  <c r="AM389" i="12"/>
  <c r="AK58" i="12"/>
  <c r="AK384" i="12"/>
  <c r="AK383" i="12"/>
  <c r="AK382" i="12"/>
  <c r="AD51" i="12"/>
  <c r="AA66" i="12"/>
  <c r="V60" i="12"/>
  <c r="V388" i="12"/>
  <c r="V389" i="12"/>
  <c r="V390" i="12"/>
  <c r="T58" i="12"/>
  <c r="T383" i="12"/>
  <c r="T382" i="12"/>
  <c r="T384" i="12"/>
  <c r="AP70" i="12"/>
  <c r="AP73" i="12"/>
  <c r="AN65" i="12"/>
  <c r="AI59" i="12"/>
  <c r="AI385" i="12"/>
  <c r="AI387" i="12"/>
  <c r="AI386" i="12"/>
  <c r="AG380" i="12"/>
  <c r="AG379" i="12"/>
  <c r="AG381" i="12"/>
  <c r="AB52" i="12"/>
  <c r="AB65" i="12"/>
  <c r="AD65" i="12"/>
  <c r="R53" i="12"/>
  <c r="AJ71" i="12"/>
  <c r="AJ68" i="12"/>
  <c r="AP60" i="12"/>
  <c r="AP389" i="12"/>
  <c r="AP388" i="12"/>
  <c r="AP390" i="12"/>
  <c r="AH66" i="12"/>
  <c r="T59" i="12"/>
  <c r="M379" i="12"/>
  <c r="M381" i="12"/>
  <c r="M380" i="12"/>
  <c r="R59" i="12"/>
  <c r="R385" i="12"/>
  <c r="R386" i="12"/>
  <c r="R387" i="12"/>
  <c r="AE60" i="12"/>
  <c r="AE388" i="12"/>
  <c r="AE389" i="12"/>
  <c r="AE390" i="12"/>
  <c r="AH67" i="12"/>
  <c r="N72" i="12"/>
  <c r="N69" i="12"/>
  <c r="W65" i="12"/>
  <c r="V70" i="12"/>
  <c r="V73" i="12"/>
  <c r="AN381" i="12"/>
  <c r="AN379" i="12"/>
  <c r="AN380" i="12"/>
  <c r="Q58" i="12"/>
  <c r="Q383" i="12"/>
  <c r="Q382" i="12"/>
  <c r="Q384" i="12"/>
  <c r="O69" i="12"/>
  <c r="O72" i="12"/>
  <c r="AC379" i="12"/>
  <c r="AC381" i="12"/>
  <c r="AC380" i="12"/>
  <c r="V58" i="12"/>
  <c r="V384" i="12"/>
  <c r="V382" i="12"/>
  <c r="V383" i="12"/>
  <c r="AO68" i="12"/>
  <c r="AO71" i="12"/>
  <c r="U60" i="12"/>
  <c r="U388" i="12"/>
  <c r="U390" i="12"/>
  <c r="U389" i="12"/>
  <c r="AJ72" i="12"/>
  <c r="AJ69" i="12"/>
  <c r="AF65" i="12"/>
  <c r="AM66" i="12"/>
  <c r="U58" i="12"/>
  <c r="U384" i="12"/>
  <c r="U383" i="12"/>
  <c r="U382" i="12"/>
  <c r="U375" i="12" s="1"/>
  <c r="AK59" i="12"/>
  <c r="AK387" i="12"/>
  <c r="AK386" i="12"/>
  <c r="AK385" i="12"/>
  <c r="AD52" i="12"/>
  <c r="AD66" i="12"/>
  <c r="X67" i="12"/>
  <c r="M66" i="12"/>
  <c r="R52" i="12"/>
  <c r="V52" i="12"/>
  <c r="V66" i="12"/>
  <c r="AC66" i="12"/>
  <c r="AA70" i="12"/>
  <c r="AA73" i="12"/>
  <c r="AL52" i="12"/>
  <c r="AL66" i="12"/>
  <c r="Y380" i="12"/>
  <c r="Y379" i="12"/>
  <c r="Y381" i="12"/>
  <c r="AQ67" i="12"/>
  <c r="P53" i="12"/>
  <c r="AI381" i="12"/>
  <c r="AI379" i="12"/>
  <c r="AI380" i="12"/>
  <c r="Z67" i="12"/>
  <c r="S59" i="12"/>
  <c r="S385" i="12"/>
  <c r="S386" i="12"/>
  <c r="S387" i="12"/>
  <c r="P51" i="12"/>
  <c r="V380" i="12"/>
  <c r="V379" i="12"/>
  <c r="V381" i="12"/>
  <c r="AE67" i="12"/>
  <c r="Z59" i="12"/>
  <c r="Z385" i="12"/>
  <c r="Z386" i="12"/>
  <c r="Z387" i="12"/>
  <c r="W381" i="12"/>
  <c r="W380" i="12"/>
  <c r="W379" i="12"/>
  <c r="T66" i="12"/>
  <c r="M58" i="12"/>
  <c r="M383" i="12"/>
  <c r="M384" i="12"/>
  <c r="M382" i="12"/>
  <c r="AC59" i="12"/>
  <c r="AC387" i="12"/>
  <c r="AC386" i="12"/>
  <c r="AC385" i="12"/>
  <c r="AP58" i="12"/>
  <c r="AP384" i="12"/>
  <c r="AP383" i="12"/>
  <c r="AP382" i="12"/>
  <c r="P58" i="12"/>
  <c r="P382" i="12"/>
  <c r="P383" i="12"/>
  <c r="P384" i="12"/>
  <c r="AJ53" i="12"/>
  <c r="U66" i="12"/>
  <c r="O59" i="12"/>
  <c r="O385" i="12"/>
  <c r="O386" i="12"/>
  <c r="O387" i="12"/>
  <c r="AN52" i="12"/>
  <c r="S60" i="12"/>
  <c r="S389" i="12"/>
  <c r="S390" i="12"/>
  <c r="S388" i="12"/>
  <c r="AP381" i="12"/>
  <c r="AP380" i="12"/>
  <c r="AP379" i="12"/>
  <c r="AJ51" i="12"/>
  <c r="AQ65" i="12"/>
  <c r="AL59" i="12"/>
  <c r="AL387" i="12"/>
  <c r="AL385" i="12"/>
  <c r="AL386" i="12"/>
  <c r="AJ379" i="12"/>
  <c r="AJ380" i="12"/>
  <c r="AJ381" i="12"/>
  <c r="AB67" i="12"/>
  <c r="Z68" i="12"/>
  <c r="Z71" i="12"/>
  <c r="U59" i="12"/>
  <c r="U387" i="12"/>
  <c r="U386" i="12"/>
  <c r="U385" i="12"/>
  <c r="S381" i="12"/>
  <c r="S380" i="12"/>
  <c r="S379" i="12"/>
  <c r="AO69" i="12"/>
  <c r="AO72" i="12"/>
  <c r="AJ60" i="12"/>
  <c r="AJ390" i="12"/>
  <c r="AJ389" i="12"/>
  <c r="AJ388" i="12"/>
  <c r="AH58" i="12"/>
  <c r="AH384" i="12"/>
  <c r="AH383" i="12"/>
  <c r="AH382" i="12"/>
  <c r="AC53" i="12"/>
  <c r="AA51" i="12"/>
  <c r="Q65" i="12"/>
  <c r="AO58" i="12"/>
  <c r="AO383" i="12"/>
  <c r="AO382" i="12"/>
  <c r="AO384" i="12"/>
  <c r="AO59" i="12"/>
  <c r="AO387" i="12"/>
  <c r="AO385" i="12"/>
  <c r="AO386" i="12"/>
  <c r="AF381" i="12"/>
  <c r="AF379" i="12"/>
  <c r="AF380" i="12"/>
  <c r="N67" i="12"/>
  <c r="AE66" i="12"/>
  <c r="AP66" i="12"/>
  <c r="N169" i="12"/>
  <c r="N175" i="12"/>
  <c r="T301" i="10"/>
  <c r="AQ257" i="10"/>
  <c r="X255" i="10"/>
  <c r="T255" i="10"/>
  <c r="AG246" i="10"/>
  <c r="AG249" i="10" s="1"/>
  <c r="AG252" i="10" s="1"/>
  <c r="AG255" i="10" s="1"/>
  <c r="AH242" i="10"/>
  <c r="AH245" i="10" s="1"/>
  <c r="AH248" i="10" s="1"/>
  <c r="AH251" i="10" s="1"/>
  <c r="AH254" i="10" s="1"/>
  <c r="AH257" i="10" s="1"/>
  <c r="AH239" i="10"/>
  <c r="AH238" i="10"/>
  <c r="AH241" i="10" s="1"/>
  <c r="AH244" i="10" s="1"/>
  <c r="AH247" i="10" s="1"/>
  <c r="AH250" i="10" s="1"/>
  <c r="AH253" i="10" s="1"/>
  <c r="AH256" i="10" s="1"/>
  <c r="AH236" i="10"/>
  <c r="AG236" i="10"/>
  <c r="AG239" i="10" s="1"/>
  <c r="AG242" i="10" s="1"/>
  <c r="AG245" i="10" s="1"/>
  <c r="AG248" i="10" s="1"/>
  <c r="AG251" i="10" s="1"/>
  <c r="AG254" i="10" s="1"/>
  <c r="AG257" i="10" s="1"/>
  <c r="AH235" i="10"/>
  <c r="AH234" i="10"/>
  <c r="AH237" i="10" s="1"/>
  <c r="AH240" i="10" s="1"/>
  <c r="AH243" i="10" s="1"/>
  <c r="AH246" i="10" s="1"/>
  <c r="AH249" i="10" s="1"/>
  <c r="AH252" i="10" s="1"/>
  <c r="AH255" i="10" s="1"/>
  <c r="AG234" i="10"/>
  <c r="AG237" i="10" s="1"/>
  <c r="AG240" i="10" s="1"/>
  <c r="AG243" i="10" s="1"/>
  <c r="AQ233" i="10"/>
  <c r="AQ236" i="10" s="1"/>
  <c r="AQ239" i="10" s="1"/>
  <c r="AQ242" i="10" s="1"/>
  <c r="AQ245" i="10" s="1"/>
  <c r="AQ248" i="10" s="1"/>
  <c r="AQ251" i="10" s="1"/>
  <c r="AQ254" i="10" s="1"/>
  <c r="AP233" i="10"/>
  <c r="AP236" i="10" s="1"/>
  <c r="AP239" i="10" s="1"/>
  <c r="AP242" i="10" s="1"/>
  <c r="AP245" i="10" s="1"/>
  <c r="AP248" i="10" s="1"/>
  <c r="AP251" i="10" s="1"/>
  <c r="AP254" i="10" s="1"/>
  <c r="AP257" i="10" s="1"/>
  <c r="AO233" i="10"/>
  <c r="AO236" i="10" s="1"/>
  <c r="AO239" i="10" s="1"/>
  <c r="AO242" i="10" s="1"/>
  <c r="AO245" i="10" s="1"/>
  <c r="AO248" i="10" s="1"/>
  <c r="AO251" i="10" s="1"/>
  <c r="AO254" i="10" s="1"/>
  <c r="AO257" i="10" s="1"/>
  <c r="AN233" i="10"/>
  <c r="AN236" i="10" s="1"/>
  <c r="AN239" i="10" s="1"/>
  <c r="AN242" i="10" s="1"/>
  <c r="AN245" i="10" s="1"/>
  <c r="AN248" i="10" s="1"/>
  <c r="AN251" i="10" s="1"/>
  <c r="AN254" i="10" s="1"/>
  <c r="AN257" i="10" s="1"/>
  <c r="AM233" i="10"/>
  <c r="AM236" i="10" s="1"/>
  <c r="AM239" i="10" s="1"/>
  <c r="AM242" i="10" s="1"/>
  <c r="AM245" i="10" s="1"/>
  <c r="AM248" i="10" s="1"/>
  <c r="AM251" i="10" s="1"/>
  <c r="AM254" i="10" s="1"/>
  <c r="AM257" i="10" s="1"/>
  <c r="AL233" i="10"/>
  <c r="AL236" i="10" s="1"/>
  <c r="AL239" i="10" s="1"/>
  <c r="AL242" i="10" s="1"/>
  <c r="AL245" i="10" s="1"/>
  <c r="AL248" i="10" s="1"/>
  <c r="AL251" i="10" s="1"/>
  <c r="AL254" i="10" s="1"/>
  <c r="AL257" i="10" s="1"/>
  <c r="AK233" i="10"/>
  <c r="AK236" i="10" s="1"/>
  <c r="AK239" i="10" s="1"/>
  <c r="AK242" i="10" s="1"/>
  <c r="AK245" i="10" s="1"/>
  <c r="AK248" i="10" s="1"/>
  <c r="AK251" i="10" s="1"/>
  <c r="AK254" i="10" s="1"/>
  <c r="AK257" i="10" s="1"/>
  <c r="AJ233" i="10"/>
  <c r="AJ236" i="10" s="1"/>
  <c r="AJ239" i="10" s="1"/>
  <c r="AJ242" i="10" s="1"/>
  <c r="AJ245" i="10" s="1"/>
  <c r="AJ248" i="10" s="1"/>
  <c r="AJ251" i="10" s="1"/>
  <c r="AJ254" i="10" s="1"/>
  <c r="AJ257" i="10" s="1"/>
  <c r="AI233" i="10"/>
  <c r="AI236" i="10" s="1"/>
  <c r="AI239" i="10" s="1"/>
  <c r="AI242" i="10" s="1"/>
  <c r="AI245" i="10" s="1"/>
  <c r="AI248" i="10" s="1"/>
  <c r="AI251" i="10" s="1"/>
  <c r="AI254" i="10" s="1"/>
  <c r="AI257" i="10" s="1"/>
  <c r="AH233" i="10"/>
  <c r="AG233" i="10"/>
  <c r="AF233" i="10"/>
  <c r="AF236" i="10" s="1"/>
  <c r="AF239" i="10" s="1"/>
  <c r="AF242" i="10" s="1"/>
  <c r="AF245" i="10" s="1"/>
  <c r="AF248" i="10" s="1"/>
  <c r="AF251" i="10" s="1"/>
  <c r="AF254" i="10" s="1"/>
  <c r="AF257" i="10" s="1"/>
  <c r="AE233" i="10"/>
  <c r="AE236" i="10" s="1"/>
  <c r="AE239" i="10" s="1"/>
  <c r="AE242" i="10" s="1"/>
  <c r="AE245" i="10" s="1"/>
  <c r="AE248" i="10" s="1"/>
  <c r="AE251" i="10" s="1"/>
  <c r="AE254" i="10" s="1"/>
  <c r="AE257" i="10" s="1"/>
  <c r="AD233" i="10"/>
  <c r="AD236" i="10" s="1"/>
  <c r="AD239" i="10" s="1"/>
  <c r="AD242" i="10" s="1"/>
  <c r="AD245" i="10" s="1"/>
  <c r="AD248" i="10" s="1"/>
  <c r="AD251" i="10" s="1"/>
  <c r="AD254" i="10" s="1"/>
  <c r="AD257" i="10" s="1"/>
  <c r="AC233" i="10"/>
  <c r="AC236" i="10" s="1"/>
  <c r="AC239" i="10" s="1"/>
  <c r="AC242" i="10" s="1"/>
  <c r="AC245" i="10" s="1"/>
  <c r="AC248" i="10" s="1"/>
  <c r="AC251" i="10" s="1"/>
  <c r="AC254" i="10" s="1"/>
  <c r="AC257" i="10" s="1"/>
  <c r="AB233" i="10"/>
  <c r="AB236" i="10" s="1"/>
  <c r="AB239" i="10" s="1"/>
  <c r="AB242" i="10" s="1"/>
  <c r="AB245" i="10" s="1"/>
  <c r="AB248" i="10" s="1"/>
  <c r="AB251" i="10" s="1"/>
  <c r="AB254" i="10" s="1"/>
  <c r="AB257" i="10" s="1"/>
  <c r="AA233" i="10"/>
  <c r="AA236" i="10" s="1"/>
  <c r="AA239" i="10" s="1"/>
  <c r="AA242" i="10" s="1"/>
  <c r="AA245" i="10" s="1"/>
  <c r="AA248" i="10" s="1"/>
  <c r="AA251" i="10" s="1"/>
  <c r="AA254" i="10" s="1"/>
  <c r="AA257" i="10" s="1"/>
  <c r="Z233" i="10"/>
  <c r="Z236" i="10" s="1"/>
  <c r="Z239" i="10" s="1"/>
  <c r="Z242" i="10" s="1"/>
  <c r="Z245" i="10" s="1"/>
  <c r="Z248" i="10" s="1"/>
  <c r="Z251" i="10" s="1"/>
  <c r="Z254" i="10" s="1"/>
  <c r="Z257" i="10" s="1"/>
  <c r="Y233" i="10"/>
  <c r="Y236" i="10" s="1"/>
  <c r="Y239" i="10" s="1"/>
  <c r="Y242" i="10" s="1"/>
  <c r="Y245" i="10" s="1"/>
  <c r="Y248" i="10" s="1"/>
  <c r="Y251" i="10" s="1"/>
  <c r="Y254" i="10" s="1"/>
  <c r="Y257" i="10" s="1"/>
  <c r="X233" i="10"/>
  <c r="X236" i="10" s="1"/>
  <c r="X239" i="10" s="1"/>
  <c r="X242" i="10" s="1"/>
  <c r="X245" i="10" s="1"/>
  <c r="X248" i="10" s="1"/>
  <c r="X251" i="10" s="1"/>
  <c r="X254" i="10" s="1"/>
  <c r="X257" i="10" s="1"/>
  <c r="W233" i="10"/>
  <c r="W236" i="10" s="1"/>
  <c r="W239" i="10" s="1"/>
  <c r="W242" i="10" s="1"/>
  <c r="W245" i="10" s="1"/>
  <c r="W248" i="10" s="1"/>
  <c r="W251" i="10" s="1"/>
  <c r="W254" i="10" s="1"/>
  <c r="W257" i="10" s="1"/>
  <c r="V233" i="10"/>
  <c r="V236" i="10" s="1"/>
  <c r="V239" i="10" s="1"/>
  <c r="V242" i="10" s="1"/>
  <c r="V245" i="10" s="1"/>
  <c r="V248" i="10" s="1"/>
  <c r="V251" i="10" s="1"/>
  <c r="V254" i="10" s="1"/>
  <c r="V257" i="10" s="1"/>
  <c r="U233" i="10"/>
  <c r="U236" i="10" s="1"/>
  <c r="U239" i="10" s="1"/>
  <c r="U242" i="10" s="1"/>
  <c r="U245" i="10" s="1"/>
  <c r="U248" i="10" s="1"/>
  <c r="U251" i="10" s="1"/>
  <c r="U254" i="10" s="1"/>
  <c r="U257" i="10" s="1"/>
  <c r="T233" i="10"/>
  <c r="T236" i="10" s="1"/>
  <c r="T239" i="10" s="1"/>
  <c r="T242" i="10" s="1"/>
  <c r="T245" i="10" s="1"/>
  <c r="T248" i="10" s="1"/>
  <c r="T251" i="10" s="1"/>
  <c r="T254" i="10" s="1"/>
  <c r="T257" i="10" s="1"/>
  <c r="S233" i="10"/>
  <c r="S236" i="10" s="1"/>
  <c r="S239" i="10" s="1"/>
  <c r="S242" i="10" s="1"/>
  <c r="S245" i="10" s="1"/>
  <c r="S248" i="10" s="1"/>
  <c r="S251" i="10" s="1"/>
  <c r="S254" i="10" s="1"/>
  <c r="S257" i="10" s="1"/>
  <c r="R233" i="10"/>
  <c r="R236" i="10" s="1"/>
  <c r="R239" i="10" s="1"/>
  <c r="R242" i="10" s="1"/>
  <c r="R245" i="10" s="1"/>
  <c r="R248" i="10" s="1"/>
  <c r="R251" i="10" s="1"/>
  <c r="R254" i="10" s="1"/>
  <c r="R257" i="10" s="1"/>
  <c r="Q233" i="10"/>
  <c r="Q236" i="10" s="1"/>
  <c r="Q239" i="10" s="1"/>
  <c r="Q242" i="10" s="1"/>
  <c r="Q245" i="10" s="1"/>
  <c r="Q248" i="10" s="1"/>
  <c r="Q251" i="10" s="1"/>
  <c r="Q254" i="10" s="1"/>
  <c r="Q257" i="10" s="1"/>
  <c r="P233" i="10"/>
  <c r="P236" i="10" s="1"/>
  <c r="P239" i="10" s="1"/>
  <c r="P242" i="10" s="1"/>
  <c r="P245" i="10" s="1"/>
  <c r="P248" i="10" s="1"/>
  <c r="P251" i="10" s="1"/>
  <c r="P254" i="10" s="1"/>
  <c r="P257" i="10" s="1"/>
  <c r="O233" i="10"/>
  <c r="O236" i="10" s="1"/>
  <c r="O239" i="10" s="1"/>
  <c r="O242" i="10" s="1"/>
  <c r="O245" i="10" s="1"/>
  <c r="O248" i="10" s="1"/>
  <c r="O251" i="10" s="1"/>
  <c r="O254" i="10" s="1"/>
  <c r="O257" i="10" s="1"/>
  <c r="N233" i="10"/>
  <c r="N236" i="10" s="1"/>
  <c r="N239" i="10" s="1"/>
  <c r="N242" i="10" s="1"/>
  <c r="N245" i="10" s="1"/>
  <c r="N248" i="10" s="1"/>
  <c r="N251" i="10" s="1"/>
  <c r="N254" i="10" s="1"/>
  <c r="N257" i="10" s="1"/>
  <c r="M233" i="10"/>
  <c r="M236" i="10" s="1"/>
  <c r="M239" i="10" s="1"/>
  <c r="M242" i="10" s="1"/>
  <c r="M245" i="10" s="1"/>
  <c r="M248" i="10" s="1"/>
  <c r="M251" i="10" s="1"/>
  <c r="M254" i="10" s="1"/>
  <c r="M257" i="10" s="1"/>
  <c r="L233" i="10"/>
  <c r="L236" i="10" s="1"/>
  <c r="L239" i="10" s="1"/>
  <c r="L242" i="10" s="1"/>
  <c r="L245" i="10" s="1"/>
  <c r="L248" i="10" s="1"/>
  <c r="L251" i="10" s="1"/>
  <c r="L254" i="10" s="1"/>
  <c r="L257" i="10" s="1"/>
  <c r="AQ232" i="10"/>
  <c r="AQ235" i="10" s="1"/>
  <c r="AQ238" i="10" s="1"/>
  <c r="AQ241" i="10" s="1"/>
  <c r="AQ244" i="10" s="1"/>
  <c r="AQ247" i="10" s="1"/>
  <c r="AQ250" i="10" s="1"/>
  <c r="AQ253" i="10" s="1"/>
  <c r="AQ256" i="10" s="1"/>
  <c r="AP232" i="10"/>
  <c r="AP235" i="10" s="1"/>
  <c r="AP238" i="10" s="1"/>
  <c r="AP241" i="10" s="1"/>
  <c r="AP244" i="10" s="1"/>
  <c r="AP247" i="10" s="1"/>
  <c r="AP250" i="10" s="1"/>
  <c r="AP253" i="10" s="1"/>
  <c r="AP256" i="10" s="1"/>
  <c r="AO232" i="10"/>
  <c r="AO235" i="10" s="1"/>
  <c r="AO238" i="10" s="1"/>
  <c r="AO241" i="10" s="1"/>
  <c r="AO244" i="10" s="1"/>
  <c r="AO247" i="10" s="1"/>
  <c r="AO250" i="10" s="1"/>
  <c r="AO253" i="10" s="1"/>
  <c r="AO256" i="10" s="1"/>
  <c r="AN232" i="10"/>
  <c r="AN235" i="10" s="1"/>
  <c r="AN238" i="10" s="1"/>
  <c r="AN241" i="10" s="1"/>
  <c r="AN244" i="10" s="1"/>
  <c r="AN247" i="10" s="1"/>
  <c r="AN250" i="10" s="1"/>
  <c r="AN253" i="10" s="1"/>
  <c r="AN256" i="10" s="1"/>
  <c r="AM232" i="10"/>
  <c r="AM235" i="10" s="1"/>
  <c r="AM238" i="10" s="1"/>
  <c r="AM241" i="10" s="1"/>
  <c r="AM244" i="10" s="1"/>
  <c r="AM247" i="10" s="1"/>
  <c r="AM250" i="10" s="1"/>
  <c r="AM253" i="10" s="1"/>
  <c r="AM256" i="10" s="1"/>
  <c r="AL232" i="10"/>
  <c r="AL235" i="10" s="1"/>
  <c r="AL238" i="10" s="1"/>
  <c r="AL241" i="10" s="1"/>
  <c r="AL244" i="10" s="1"/>
  <c r="AL247" i="10" s="1"/>
  <c r="AL250" i="10" s="1"/>
  <c r="AL253" i="10" s="1"/>
  <c r="AL256" i="10" s="1"/>
  <c r="AK232" i="10"/>
  <c r="AK235" i="10" s="1"/>
  <c r="AK238" i="10" s="1"/>
  <c r="AK241" i="10" s="1"/>
  <c r="AK244" i="10" s="1"/>
  <c r="AK247" i="10" s="1"/>
  <c r="AK250" i="10" s="1"/>
  <c r="AK253" i="10" s="1"/>
  <c r="AK256" i="10" s="1"/>
  <c r="AJ232" i="10"/>
  <c r="AJ235" i="10" s="1"/>
  <c r="AJ238" i="10" s="1"/>
  <c r="AJ241" i="10" s="1"/>
  <c r="AJ244" i="10" s="1"/>
  <c r="AJ247" i="10" s="1"/>
  <c r="AJ250" i="10" s="1"/>
  <c r="AJ253" i="10" s="1"/>
  <c r="AJ256" i="10" s="1"/>
  <c r="AI232" i="10"/>
  <c r="AI235" i="10" s="1"/>
  <c r="AI238" i="10" s="1"/>
  <c r="AI241" i="10" s="1"/>
  <c r="AI244" i="10" s="1"/>
  <c r="AI247" i="10" s="1"/>
  <c r="AI250" i="10" s="1"/>
  <c r="AI253" i="10" s="1"/>
  <c r="AI256" i="10" s="1"/>
  <c r="AH232" i="10"/>
  <c r="AG232" i="10"/>
  <c r="AG235" i="10" s="1"/>
  <c r="AG238" i="10" s="1"/>
  <c r="AG241" i="10" s="1"/>
  <c r="AG244" i="10" s="1"/>
  <c r="AG247" i="10" s="1"/>
  <c r="AG250" i="10" s="1"/>
  <c r="AG253" i="10" s="1"/>
  <c r="AG256" i="10" s="1"/>
  <c r="AF232" i="10"/>
  <c r="AF235" i="10" s="1"/>
  <c r="AF238" i="10" s="1"/>
  <c r="AF241" i="10" s="1"/>
  <c r="AF244" i="10" s="1"/>
  <c r="AF247" i="10" s="1"/>
  <c r="AF250" i="10" s="1"/>
  <c r="AF253" i="10" s="1"/>
  <c r="AF256" i="10" s="1"/>
  <c r="AE232" i="10"/>
  <c r="AE235" i="10" s="1"/>
  <c r="AE238" i="10" s="1"/>
  <c r="AE241" i="10" s="1"/>
  <c r="AE244" i="10" s="1"/>
  <c r="AE247" i="10" s="1"/>
  <c r="AE250" i="10" s="1"/>
  <c r="AE253" i="10" s="1"/>
  <c r="AE256" i="10" s="1"/>
  <c r="AD232" i="10"/>
  <c r="AD235" i="10" s="1"/>
  <c r="AD238" i="10" s="1"/>
  <c r="AD241" i="10" s="1"/>
  <c r="AD244" i="10" s="1"/>
  <c r="AD247" i="10" s="1"/>
  <c r="AD250" i="10" s="1"/>
  <c r="AD253" i="10" s="1"/>
  <c r="AD256" i="10" s="1"/>
  <c r="AC232" i="10"/>
  <c r="AC235" i="10" s="1"/>
  <c r="AC238" i="10" s="1"/>
  <c r="AC241" i="10" s="1"/>
  <c r="AC244" i="10" s="1"/>
  <c r="AC247" i="10" s="1"/>
  <c r="AC250" i="10" s="1"/>
  <c r="AC253" i="10" s="1"/>
  <c r="AC256" i="10" s="1"/>
  <c r="AB232" i="10"/>
  <c r="AB235" i="10" s="1"/>
  <c r="AB238" i="10" s="1"/>
  <c r="AB241" i="10" s="1"/>
  <c r="AB244" i="10" s="1"/>
  <c r="AB247" i="10" s="1"/>
  <c r="AB250" i="10" s="1"/>
  <c r="AB253" i="10" s="1"/>
  <c r="AB256" i="10" s="1"/>
  <c r="AA232" i="10"/>
  <c r="AA235" i="10" s="1"/>
  <c r="AA238" i="10" s="1"/>
  <c r="AA241" i="10" s="1"/>
  <c r="AA244" i="10" s="1"/>
  <c r="AA247" i="10" s="1"/>
  <c r="AA250" i="10" s="1"/>
  <c r="AA253" i="10" s="1"/>
  <c r="AA256" i="10" s="1"/>
  <c r="Z232" i="10"/>
  <c r="Z235" i="10" s="1"/>
  <c r="Z238" i="10" s="1"/>
  <c r="Z241" i="10" s="1"/>
  <c r="Z244" i="10" s="1"/>
  <c r="Z247" i="10" s="1"/>
  <c r="Z250" i="10" s="1"/>
  <c r="Z253" i="10" s="1"/>
  <c r="Z256" i="10" s="1"/>
  <c r="Y232" i="10"/>
  <c r="Y235" i="10" s="1"/>
  <c r="Y238" i="10" s="1"/>
  <c r="Y241" i="10" s="1"/>
  <c r="Y244" i="10" s="1"/>
  <c r="Y247" i="10" s="1"/>
  <c r="Y250" i="10" s="1"/>
  <c r="Y253" i="10" s="1"/>
  <c r="Y256" i="10" s="1"/>
  <c r="X232" i="10"/>
  <c r="X235" i="10" s="1"/>
  <c r="X238" i="10" s="1"/>
  <c r="X241" i="10" s="1"/>
  <c r="X244" i="10" s="1"/>
  <c r="X247" i="10" s="1"/>
  <c r="X250" i="10" s="1"/>
  <c r="X253" i="10" s="1"/>
  <c r="X256" i="10" s="1"/>
  <c r="W232" i="10"/>
  <c r="W235" i="10" s="1"/>
  <c r="W238" i="10" s="1"/>
  <c r="W241" i="10" s="1"/>
  <c r="W244" i="10" s="1"/>
  <c r="W247" i="10" s="1"/>
  <c r="W250" i="10" s="1"/>
  <c r="W253" i="10" s="1"/>
  <c r="W256" i="10" s="1"/>
  <c r="V232" i="10"/>
  <c r="V235" i="10" s="1"/>
  <c r="V238" i="10" s="1"/>
  <c r="V241" i="10" s="1"/>
  <c r="V244" i="10" s="1"/>
  <c r="V247" i="10" s="1"/>
  <c r="V250" i="10" s="1"/>
  <c r="V253" i="10" s="1"/>
  <c r="V256" i="10" s="1"/>
  <c r="U232" i="10"/>
  <c r="U235" i="10" s="1"/>
  <c r="U238" i="10" s="1"/>
  <c r="U241" i="10" s="1"/>
  <c r="U244" i="10" s="1"/>
  <c r="U247" i="10" s="1"/>
  <c r="U250" i="10" s="1"/>
  <c r="U253" i="10" s="1"/>
  <c r="U256" i="10" s="1"/>
  <c r="T232" i="10"/>
  <c r="T235" i="10" s="1"/>
  <c r="T238" i="10" s="1"/>
  <c r="T241" i="10" s="1"/>
  <c r="T244" i="10" s="1"/>
  <c r="T247" i="10" s="1"/>
  <c r="T250" i="10" s="1"/>
  <c r="T253" i="10" s="1"/>
  <c r="T256" i="10" s="1"/>
  <c r="S232" i="10"/>
  <c r="S235" i="10" s="1"/>
  <c r="S238" i="10" s="1"/>
  <c r="S241" i="10" s="1"/>
  <c r="S244" i="10" s="1"/>
  <c r="S247" i="10" s="1"/>
  <c r="S250" i="10" s="1"/>
  <c r="S253" i="10" s="1"/>
  <c r="S256" i="10" s="1"/>
  <c r="R232" i="10"/>
  <c r="R235" i="10" s="1"/>
  <c r="R238" i="10" s="1"/>
  <c r="R241" i="10" s="1"/>
  <c r="R244" i="10" s="1"/>
  <c r="R247" i="10" s="1"/>
  <c r="R250" i="10" s="1"/>
  <c r="R253" i="10" s="1"/>
  <c r="R256" i="10" s="1"/>
  <c r="Q232" i="10"/>
  <c r="Q235" i="10" s="1"/>
  <c r="Q238" i="10" s="1"/>
  <c r="Q241" i="10" s="1"/>
  <c r="Q244" i="10" s="1"/>
  <c r="Q247" i="10" s="1"/>
  <c r="Q250" i="10" s="1"/>
  <c r="Q253" i="10" s="1"/>
  <c r="Q256" i="10" s="1"/>
  <c r="P232" i="10"/>
  <c r="P235" i="10" s="1"/>
  <c r="P238" i="10" s="1"/>
  <c r="P241" i="10" s="1"/>
  <c r="P244" i="10" s="1"/>
  <c r="P247" i="10" s="1"/>
  <c r="P250" i="10" s="1"/>
  <c r="P253" i="10" s="1"/>
  <c r="P256" i="10" s="1"/>
  <c r="O232" i="10"/>
  <c r="O235" i="10" s="1"/>
  <c r="O238" i="10" s="1"/>
  <c r="O241" i="10" s="1"/>
  <c r="O244" i="10" s="1"/>
  <c r="O247" i="10" s="1"/>
  <c r="O250" i="10" s="1"/>
  <c r="O253" i="10" s="1"/>
  <c r="O256" i="10" s="1"/>
  <c r="N232" i="10"/>
  <c r="N235" i="10" s="1"/>
  <c r="N238" i="10" s="1"/>
  <c r="N241" i="10" s="1"/>
  <c r="N244" i="10" s="1"/>
  <c r="N247" i="10" s="1"/>
  <c r="N250" i="10" s="1"/>
  <c r="N253" i="10" s="1"/>
  <c r="N256" i="10" s="1"/>
  <c r="M232" i="10"/>
  <c r="M235" i="10" s="1"/>
  <c r="M238" i="10" s="1"/>
  <c r="M241" i="10" s="1"/>
  <c r="M244" i="10" s="1"/>
  <c r="M247" i="10" s="1"/>
  <c r="M250" i="10" s="1"/>
  <c r="M253" i="10" s="1"/>
  <c r="M256" i="10" s="1"/>
  <c r="L232" i="10"/>
  <c r="L235" i="10" s="1"/>
  <c r="L238" i="10" s="1"/>
  <c r="L241" i="10" s="1"/>
  <c r="L244" i="10" s="1"/>
  <c r="L247" i="10" s="1"/>
  <c r="L250" i="10" s="1"/>
  <c r="L253" i="10" s="1"/>
  <c r="L256" i="10" s="1"/>
  <c r="AQ231" i="10"/>
  <c r="AQ234" i="10" s="1"/>
  <c r="AQ237" i="10" s="1"/>
  <c r="AQ240" i="10" s="1"/>
  <c r="AQ243" i="10" s="1"/>
  <c r="AQ246" i="10" s="1"/>
  <c r="AQ249" i="10" s="1"/>
  <c r="AQ252" i="10" s="1"/>
  <c r="AQ255" i="10" s="1"/>
  <c r="AP231" i="10"/>
  <c r="AP234" i="10" s="1"/>
  <c r="AP237" i="10" s="1"/>
  <c r="AP240" i="10" s="1"/>
  <c r="AP243" i="10" s="1"/>
  <c r="AP246" i="10" s="1"/>
  <c r="AP249" i="10" s="1"/>
  <c r="AP252" i="10" s="1"/>
  <c r="AP255" i="10" s="1"/>
  <c r="AO231" i="10"/>
  <c r="AO234" i="10" s="1"/>
  <c r="AO237" i="10" s="1"/>
  <c r="AO240" i="10" s="1"/>
  <c r="AO243" i="10" s="1"/>
  <c r="AO246" i="10" s="1"/>
  <c r="AO249" i="10" s="1"/>
  <c r="AO252" i="10" s="1"/>
  <c r="AO255" i="10" s="1"/>
  <c r="AN231" i="10"/>
  <c r="AN234" i="10" s="1"/>
  <c r="AN237" i="10" s="1"/>
  <c r="AN240" i="10" s="1"/>
  <c r="AN243" i="10" s="1"/>
  <c r="AN246" i="10" s="1"/>
  <c r="AN249" i="10" s="1"/>
  <c r="AN252" i="10" s="1"/>
  <c r="AN255" i="10" s="1"/>
  <c r="AM231" i="10"/>
  <c r="AM234" i="10" s="1"/>
  <c r="AM237" i="10" s="1"/>
  <c r="AM240" i="10" s="1"/>
  <c r="AM243" i="10" s="1"/>
  <c r="AM246" i="10" s="1"/>
  <c r="AM249" i="10" s="1"/>
  <c r="AM252" i="10" s="1"/>
  <c r="AM255" i="10" s="1"/>
  <c r="AL231" i="10"/>
  <c r="AL234" i="10" s="1"/>
  <c r="AL237" i="10" s="1"/>
  <c r="AL240" i="10" s="1"/>
  <c r="AL243" i="10" s="1"/>
  <c r="AL246" i="10" s="1"/>
  <c r="AL249" i="10" s="1"/>
  <c r="AL252" i="10" s="1"/>
  <c r="AL255" i="10" s="1"/>
  <c r="AK231" i="10"/>
  <c r="AK234" i="10" s="1"/>
  <c r="AK237" i="10" s="1"/>
  <c r="AK240" i="10" s="1"/>
  <c r="AK243" i="10" s="1"/>
  <c r="AK246" i="10" s="1"/>
  <c r="AK249" i="10" s="1"/>
  <c r="AK252" i="10" s="1"/>
  <c r="AK255" i="10" s="1"/>
  <c r="AJ231" i="10"/>
  <c r="AJ234" i="10" s="1"/>
  <c r="AJ237" i="10" s="1"/>
  <c r="AJ240" i="10" s="1"/>
  <c r="AJ243" i="10" s="1"/>
  <c r="AJ246" i="10" s="1"/>
  <c r="AJ249" i="10" s="1"/>
  <c r="AJ252" i="10" s="1"/>
  <c r="AJ255" i="10" s="1"/>
  <c r="AI231" i="10"/>
  <c r="AI234" i="10" s="1"/>
  <c r="AI237" i="10" s="1"/>
  <c r="AI240" i="10" s="1"/>
  <c r="AI243" i="10" s="1"/>
  <c r="AI246" i="10" s="1"/>
  <c r="AI249" i="10" s="1"/>
  <c r="AI252" i="10" s="1"/>
  <c r="AI255" i="10" s="1"/>
  <c r="AH231" i="10"/>
  <c r="AG231" i="10"/>
  <c r="AF231" i="10"/>
  <c r="AF234" i="10" s="1"/>
  <c r="AF237" i="10" s="1"/>
  <c r="AF240" i="10" s="1"/>
  <c r="AF243" i="10" s="1"/>
  <c r="AF246" i="10" s="1"/>
  <c r="AF249" i="10" s="1"/>
  <c r="AF252" i="10" s="1"/>
  <c r="AF255" i="10" s="1"/>
  <c r="AE231" i="10"/>
  <c r="AE234" i="10" s="1"/>
  <c r="AE237" i="10" s="1"/>
  <c r="AE240" i="10" s="1"/>
  <c r="AE243" i="10" s="1"/>
  <c r="AE246" i="10" s="1"/>
  <c r="AE249" i="10" s="1"/>
  <c r="AE252" i="10" s="1"/>
  <c r="AE255" i="10" s="1"/>
  <c r="AD231" i="10"/>
  <c r="AD234" i="10" s="1"/>
  <c r="AD237" i="10" s="1"/>
  <c r="AD240" i="10" s="1"/>
  <c r="AD243" i="10" s="1"/>
  <c r="AD246" i="10" s="1"/>
  <c r="AD249" i="10" s="1"/>
  <c r="AD252" i="10" s="1"/>
  <c r="AD255" i="10" s="1"/>
  <c r="AC231" i="10"/>
  <c r="AC234" i="10" s="1"/>
  <c r="AC237" i="10" s="1"/>
  <c r="AC240" i="10" s="1"/>
  <c r="AC243" i="10" s="1"/>
  <c r="AC246" i="10" s="1"/>
  <c r="AC249" i="10" s="1"/>
  <c r="AC252" i="10" s="1"/>
  <c r="AC255" i="10" s="1"/>
  <c r="AB231" i="10"/>
  <c r="AB234" i="10" s="1"/>
  <c r="AB237" i="10" s="1"/>
  <c r="AB240" i="10" s="1"/>
  <c r="AB243" i="10" s="1"/>
  <c r="AB246" i="10" s="1"/>
  <c r="AB249" i="10" s="1"/>
  <c r="AB252" i="10" s="1"/>
  <c r="AB255" i="10" s="1"/>
  <c r="AA231" i="10"/>
  <c r="AA234" i="10" s="1"/>
  <c r="AA237" i="10" s="1"/>
  <c r="AA240" i="10" s="1"/>
  <c r="AA243" i="10" s="1"/>
  <c r="AA246" i="10" s="1"/>
  <c r="AA249" i="10" s="1"/>
  <c r="AA252" i="10" s="1"/>
  <c r="AA255" i="10" s="1"/>
  <c r="Z231" i="10"/>
  <c r="Z234" i="10" s="1"/>
  <c r="Z237" i="10" s="1"/>
  <c r="Z240" i="10" s="1"/>
  <c r="Z243" i="10" s="1"/>
  <c r="Z246" i="10" s="1"/>
  <c r="Z249" i="10" s="1"/>
  <c r="Z252" i="10" s="1"/>
  <c r="Z255" i="10" s="1"/>
  <c r="Y231" i="10"/>
  <c r="Y234" i="10" s="1"/>
  <c r="Y237" i="10" s="1"/>
  <c r="Y240" i="10" s="1"/>
  <c r="Y243" i="10" s="1"/>
  <c r="Y246" i="10" s="1"/>
  <c r="Y249" i="10" s="1"/>
  <c r="Y252" i="10" s="1"/>
  <c r="Y255" i="10" s="1"/>
  <c r="X231" i="10"/>
  <c r="X234" i="10" s="1"/>
  <c r="X237" i="10" s="1"/>
  <c r="X240" i="10" s="1"/>
  <c r="X243" i="10" s="1"/>
  <c r="X246" i="10" s="1"/>
  <c r="X249" i="10" s="1"/>
  <c r="X252" i="10" s="1"/>
  <c r="W231" i="10"/>
  <c r="W234" i="10" s="1"/>
  <c r="W237" i="10" s="1"/>
  <c r="W240" i="10" s="1"/>
  <c r="W243" i="10" s="1"/>
  <c r="W246" i="10" s="1"/>
  <c r="W249" i="10" s="1"/>
  <c r="W252" i="10" s="1"/>
  <c r="W255" i="10" s="1"/>
  <c r="V231" i="10"/>
  <c r="V234" i="10" s="1"/>
  <c r="V237" i="10" s="1"/>
  <c r="V240" i="10" s="1"/>
  <c r="V243" i="10" s="1"/>
  <c r="V246" i="10" s="1"/>
  <c r="V249" i="10" s="1"/>
  <c r="V252" i="10" s="1"/>
  <c r="V255" i="10" s="1"/>
  <c r="U231" i="10"/>
  <c r="U234" i="10" s="1"/>
  <c r="U237" i="10" s="1"/>
  <c r="U240" i="10" s="1"/>
  <c r="U243" i="10" s="1"/>
  <c r="U246" i="10" s="1"/>
  <c r="U249" i="10" s="1"/>
  <c r="U252" i="10" s="1"/>
  <c r="U255" i="10" s="1"/>
  <c r="T231" i="10"/>
  <c r="T234" i="10" s="1"/>
  <c r="T237" i="10" s="1"/>
  <c r="T240" i="10" s="1"/>
  <c r="T243" i="10" s="1"/>
  <c r="T246" i="10" s="1"/>
  <c r="T249" i="10" s="1"/>
  <c r="T252" i="10" s="1"/>
  <c r="S231" i="10"/>
  <c r="S234" i="10" s="1"/>
  <c r="S237" i="10" s="1"/>
  <c r="S240" i="10" s="1"/>
  <c r="S243" i="10" s="1"/>
  <c r="S246" i="10" s="1"/>
  <c r="S249" i="10" s="1"/>
  <c r="S252" i="10" s="1"/>
  <c r="S255" i="10" s="1"/>
  <c r="R231" i="10"/>
  <c r="R234" i="10" s="1"/>
  <c r="R237" i="10" s="1"/>
  <c r="R240" i="10" s="1"/>
  <c r="R243" i="10" s="1"/>
  <c r="R246" i="10" s="1"/>
  <c r="R249" i="10" s="1"/>
  <c r="R252" i="10" s="1"/>
  <c r="R255" i="10" s="1"/>
  <c r="Q231" i="10"/>
  <c r="Q234" i="10" s="1"/>
  <c r="Q237" i="10" s="1"/>
  <c r="Q240" i="10" s="1"/>
  <c r="Q243" i="10" s="1"/>
  <c r="Q246" i="10" s="1"/>
  <c r="Q249" i="10" s="1"/>
  <c r="Q252" i="10" s="1"/>
  <c r="Q255" i="10" s="1"/>
  <c r="P231" i="10"/>
  <c r="P234" i="10" s="1"/>
  <c r="P237" i="10" s="1"/>
  <c r="P240" i="10" s="1"/>
  <c r="P243" i="10" s="1"/>
  <c r="P246" i="10" s="1"/>
  <c r="P249" i="10" s="1"/>
  <c r="P252" i="10" s="1"/>
  <c r="P255" i="10" s="1"/>
  <c r="O231" i="10"/>
  <c r="O234" i="10" s="1"/>
  <c r="O237" i="10" s="1"/>
  <c r="O240" i="10" s="1"/>
  <c r="O243" i="10" s="1"/>
  <c r="O246" i="10" s="1"/>
  <c r="O249" i="10" s="1"/>
  <c r="O252" i="10" s="1"/>
  <c r="O255" i="10" s="1"/>
  <c r="N231" i="10"/>
  <c r="N234" i="10" s="1"/>
  <c r="N237" i="10" s="1"/>
  <c r="N240" i="10" s="1"/>
  <c r="N243" i="10" s="1"/>
  <c r="N246" i="10" s="1"/>
  <c r="N249" i="10" s="1"/>
  <c r="N252" i="10" s="1"/>
  <c r="N255" i="10" s="1"/>
  <c r="M231" i="10"/>
  <c r="M234" i="10" s="1"/>
  <c r="M237" i="10" s="1"/>
  <c r="M240" i="10" s="1"/>
  <c r="M243" i="10" s="1"/>
  <c r="M246" i="10" s="1"/>
  <c r="M249" i="10" s="1"/>
  <c r="M252" i="10" s="1"/>
  <c r="M255" i="10" s="1"/>
  <c r="L231" i="10"/>
  <c r="L234" i="10" s="1"/>
  <c r="L237" i="10" s="1"/>
  <c r="L240" i="10" s="1"/>
  <c r="L243" i="10" s="1"/>
  <c r="L246" i="10" s="1"/>
  <c r="L249" i="10" s="1"/>
  <c r="L252" i="10" s="1"/>
  <c r="L255" i="10" s="1"/>
  <c r="AG222" i="10"/>
  <c r="AG225" i="10" s="1"/>
  <c r="AG216" i="10"/>
  <c r="AG219" i="10" s="1"/>
  <c r="AG214" i="10"/>
  <c r="AG217" i="10" s="1"/>
  <c r="AG220" i="10" s="1"/>
  <c r="AG223" i="10" s="1"/>
  <c r="AG213" i="10"/>
  <c r="AG212" i="10"/>
  <c r="AG215" i="10" s="1"/>
  <c r="AG218" i="10" s="1"/>
  <c r="AG221" i="10" s="1"/>
  <c r="AG224" i="10" s="1"/>
  <c r="AK206" i="10"/>
  <c r="AK209" i="10" s="1"/>
  <c r="AK212" i="10" s="1"/>
  <c r="AK215" i="10" s="1"/>
  <c r="AK218" i="10" s="1"/>
  <c r="AK221" i="10" s="1"/>
  <c r="AK224" i="10" s="1"/>
  <c r="AL204" i="10"/>
  <c r="AL207" i="10" s="1"/>
  <c r="AL210" i="10" s="1"/>
  <c r="AL213" i="10" s="1"/>
  <c r="AL216" i="10" s="1"/>
  <c r="AL219" i="10" s="1"/>
  <c r="AL222" i="10" s="1"/>
  <c r="AL225" i="10" s="1"/>
  <c r="AK204" i="10"/>
  <c r="AK207" i="10" s="1"/>
  <c r="AK210" i="10" s="1"/>
  <c r="AK213" i="10" s="1"/>
  <c r="AK216" i="10" s="1"/>
  <c r="AK219" i="10" s="1"/>
  <c r="AK222" i="10" s="1"/>
  <c r="AK225" i="10" s="1"/>
  <c r="AC204" i="10"/>
  <c r="AC207" i="10" s="1"/>
  <c r="AC210" i="10" s="1"/>
  <c r="AC213" i="10" s="1"/>
  <c r="AC216" i="10" s="1"/>
  <c r="AC219" i="10" s="1"/>
  <c r="AC222" i="10" s="1"/>
  <c r="AC225" i="10" s="1"/>
  <c r="U204" i="10"/>
  <c r="U207" i="10" s="1"/>
  <c r="U210" i="10" s="1"/>
  <c r="U213" i="10" s="1"/>
  <c r="U216" i="10" s="1"/>
  <c r="U219" i="10" s="1"/>
  <c r="U222" i="10" s="1"/>
  <c r="U225" i="10" s="1"/>
  <c r="AL203" i="10"/>
  <c r="AL206" i="10" s="1"/>
  <c r="AL209" i="10" s="1"/>
  <c r="AL212" i="10" s="1"/>
  <c r="AL215" i="10" s="1"/>
  <c r="AL218" i="10" s="1"/>
  <c r="AL221" i="10" s="1"/>
  <c r="AL224" i="10" s="1"/>
  <c r="AK203" i="10"/>
  <c r="AC203" i="10"/>
  <c r="AC206" i="10" s="1"/>
  <c r="AC209" i="10" s="1"/>
  <c r="AC212" i="10" s="1"/>
  <c r="AC215" i="10" s="1"/>
  <c r="AC218" i="10" s="1"/>
  <c r="AC221" i="10" s="1"/>
  <c r="AC224" i="10" s="1"/>
  <c r="U203" i="10"/>
  <c r="U206" i="10" s="1"/>
  <c r="U209" i="10" s="1"/>
  <c r="U212" i="10" s="1"/>
  <c r="U215" i="10" s="1"/>
  <c r="U218" i="10" s="1"/>
  <c r="U221" i="10" s="1"/>
  <c r="U224" i="10" s="1"/>
  <c r="AL202" i="10"/>
  <c r="AL205" i="10" s="1"/>
  <c r="AL208" i="10" s="1"/>
  <c r="AL211" i="10" s="1"/>
  <c r="AL214" i="10" s="1"/>
  <c r="AL217" i="10" s="1"/>
  <c r="AL220" i="10" s="1"/>
  <c r="AL223" i="10" s="1"/>
  <c r="AK202" i="10"/>
  <c r="AK205" i="10" s="1"/>
  <c r="AK208" i="10" s="1"/>
  <c r="AK211" i="10" s="1"/>
  <c r="AK214" i="10" s="1"/>
  <c r="AK217" i="10" s="1"/>
  <c r="AK220" i="10" s="1"/>
  <c r="AK223" i="10" s="1"/>
  <c r="AC202" i="10"/>
  <c r="AC205" i="10" s="1"/>
  <c r="AC208" i="10" s="1"/>
  <c r="AC211" i="10" s="1"/>
  <c r="AC214" i="10" s="1"/>
  <c r="AC217" i="10" s="1"/>
  <c r="AC220" i="10" s="1"/>
  <c r="AC223" i="10" s="1"/>
  <c r="U202" i="10"/>
  <c r="U205" i="10" s="1"/>
  <c r="U208" i="10" s="1"/>
  <c r="U211" i="10" s="1"/>
  <c r="U214" i="10" s="1"/>
  <c r="U217" i="10" s="1"/>
  <c r="U220" i="10" s="1"/>
  <c r="U223" i="10" s="1"/>
  <c r="AQ201" i="10"/>
  <c r="AQ204" i="10" s="1"/>
  <c r="AQ207" i="10" s="1"/>
  <c r="AQ210" i="10" s="1"/>
  <c r="AQ213" i="10" s="1"/>
  <c r="AQ216" i="10" s="1"/>
  <c r="AQ219" i="10" s="1"/>
  <c r="AQ222" i="10" s="1"/>
  <c r="AQ225" i="10" s="1"/>
  <c r="AP201" i="10"/>
  <c r="AP204" i="10" s="1"/>
  <c r="AP207" i="10" s="1"/>
  <c r="AP210" i="10" s="1"/>
  <c r="AP213" i="10" s="1"/>
  <c r="AP216" i="10" s="1"/>
  <c r="AP219" i="10" s="1"/>
  <c r="AP222" i="10" s="1"/>
  <c r="AP225" i="10" s="1"/>
  <c r="AO201" i="10"/>
  <c r="AO204" i="10" s="1"/>
  <c r="AO207" i="10" s="1"/>
  <c r="AO210" i="10" s="1"/>
  <c r="AO213" i="10" s="1"/>
  <c r="AO216" i="10" s="1"/>
  <c r="AO219" i="10" s="1"/>
  <c r="AO222" i="10" s="1"/>
  <c r="AO225" i="10" s="1"/>
  <c r="AN201" i="10"/>
  <c r="AN204" i="10" s="1"/>
  <c r="AN207" i="10" s="1"/>
  <c r="AN210" i="10" s="1"/>
  <c r="AN213" i="10" s="1"/>
  <c r="AN216" i="10" s="1"/>
  <c r="AN219" i="10" s="1"/>
  <c r="AN222" i="10" s="1"/>
  <c r="AN225" i="10" s="1"/>
  <c r="AM201" i="10"/>
  <c r="AM204" i="10" s="1"/>
  <c r="AM207" i="10" s="1"/>
  <c r="AM210" i="10" s="1"/>
  <c r="AM213" i="10" s="1"/>
  <c r="AM216" i="10" s="1"/>
  <c r="AM219" i="10" s="1"/>
  <c r="AM222" i="10" s="1"/>
  <c r="AM225" i="10" s="1"/>
  <c r="AL201" i="10"/>
  <c r="AK201" i="10"/>
  <c r="AJ201" i="10"/>
  <c r="AJ204" i="10" s="1"/>
  <c r="AJ207" i="10" s="1"/>
  <c r="AJ210" i="10" s="1"/>
  <c r="AJ213" i="10" s="1"/>
  <c r="AJ216" i="10" s="1"/>
  <c r="AJ219" i="10" s="1"/>
  <c r="AJ222" i="10" s="1"/>
  <c r="AJ225" i="10" s="1"/>
  <c r="AI201" i="10"/>
  <c r="AI204" i="10" s="1"/>
  <c r="AI207" i="10" s="1"/>
  <c r="AI210" i="10" s="1"/>
  <c r="AI213" i="10" s="1"/>
  <c r="AI216" i="10" s="1"/>
  <c r="AI219" i="10" s="1"/>
  <c r="AI222" i="10" s="1"/>
  <c r="AI225" i="10" s="1"/>
  <c r="AH201" i="10"/>
  <c r="AH204" i="10" s="1"/>
  <c r="AH207" i="10" s="1"/>
  <c r="AH210" i="10" s="1"/>
  <c r="AH213" i="10" s="1"/>
  <c r="AH216" i="10" s="1"/>
  <c r="AH219" i="10" s="1"/>
  <c r="AH222" i="10" s="1"/>
  <c r="AH225" i="10" s="1"/>
  <c r="AG201" i="10"/>
  <c r="AG204" i="10" s="1"/>
  <c r="AG207" i="10" s="1"/>
  <c r="AG210" i="10" s="1"/>
  <c r="AF201" i="10"/>
  <c r="AF204" i="10" s="1"/>
  <c r="AF207" i="10" s="1"/>
  <c r="AF210" i="10" s="1"/>
  <c r="AF213" i="10" s="1"/>
  <c r="AF216" i="10" s="1"/>
  <c r="AF219" i="10" s="1"/>
  <c r="AF222" i="10" s="1"/>
  <c r="AF225" i="10" s="1"/>
  <c r="AE201" i="10"/>
  <c r="AE204" i="10" s="1"/>
  <c r="AE207" i="10" s="1"/>
  <c r="AE210" i="10" s="1"/>
  <c r="AE213" i="10" s="1"/>
  <c r="AE216" i="10" s="1"/>
  <c r="AE219" i="10" s="1"/>
  <c r="AE222" i="10" s="1"/>
  <c r="AE225" i="10" s="1"/>
  <c r="AD201" i="10"/>
  <c r="AD204" i="10" s="1"/>
  <c r="AD207" i="10" s="1"/>
  <c r="AD210" i="10" s="1"/>
  <c r="AD213" i="10" s="1"/>
  <c r="AD216" i="10" s="1"/>
  <c r="AD219" i="10" s="1"/>
  <c r="AD222" i="10" s="1"/>
  <c r="AD225" i="10" s="1"/>
  <c r="AC201" i="10"/>
  <c r="AB201" i="10"/>
  <c r="AB204" i="10" s="1"/>
  <c r="AB207" i="10" s="1"/>
  <c r="AB210" i="10" s="1"/>
  <c r="AB213" i="10" s="1"/>
  <c r="AB216" i="10" s="1"/>
  <c r="AB219" i="10" s="1"/>
  <c r="AB222" i="10" s="1"/>
  <c r="AB225" i="10" s="1"/>
  <c r="AA201" i="10"/>
  <c r="AA204" i="10" s="1"/>
  <c r="AA207" i="10" s="1"/>
  <c r="AA210" i="10" s="1"/>
  <c r="AA213" i="10" s="1"/>
  <c r="AA216" i="10" s="1"/>
  <c r="AA219" i="10" s="1"/>
  <c r="AA222" i="10" s="1"/>
  <c r="AA225" i="10" s="1"/>
  <c r="Z201" i="10"/>
  <c r="Z204" i="10" s="1"/>
  <c r="Z207" i="10" s="1"/>
  <c r="Z210" i="10" s="1"/>
  <c r="Z213" i="10" s="1"/>
  <c r="Z216" i="10" s="1"/>
  <c r="Z219" i="10" s="1"/>
  <c r="Z222" i="10" s="1"/>
  <c r="Z225" i="10" s="1"/>
  <c r="Y201" i="10"/>
  <c r="Y204" i="10" s="1"/>
  <c r="Y207" i="10" s="1"/>
  <c r="Y210" i="10" s="1"/>
  <c r="Y213" i="10" s="1"/>
  <c r="Y216" i="10" s="1"/>
  <c r="Y219" i="10" s="1"/>
  <c r="Y222" i="10" s="1"/>
  <c r="Y225" i="10" s="1"/>
  <c r="X201" i="10"/>
  <c r="X204" i="10" s="1"/>
  <c r="X207" i="10" s="1"/>
  <c r="X210" i="10" s="1"/>
  <c r="X213" i="10" s="1"/>
  <c r="X216" i="10" s="1"/>
  <c r="X219" i="10" s="1"/>
  <c r="X222" i="10" s="1"/>
  <c r="X225" i="10" s="1"/>
  <c r="W201" i="10"/>
  <c r="W204" i="10" s="1"/>
  <c r="W207" i="10" s="1"/>
  <c r="W210" i="10" s="1"/>
  <c r="W213" i="10" s="1"/>
  <c r="W216" i="10" s="1"/>
  <c r="W219" i="10" s="1"/>
  <c r="W222" i="10" s="1"/>
  <c r="W225" i="10" s="1"/>
  <c r="V201" i="10"/>
  <c r="V204" i="10" s="1"/>
  <c r="V207" i="10" s="1"/>
  <c r="V210" i="10" s="1"/>
  <c r="V213" i="10" s="1"/>
  <c r="V216" i="10" s="1"/>
  <c r="V219" i="10" s="1"/>
  <c r="V222" i="10" s="1"/>
  <c r="V225" i="10" s="1"/>
  <c r="U201" i="10"/>
  <c r="T201" i="10"/>
  <c r="T204" i="10" s="1"/>
  <c r="T207" i="10" s="1"/>
  <c r="T210" i="10" s="1"/>
  <c r="T213" i="10" s="1"/>
  <c r="T216" i="10" s="1"/>
  <c r="T219" i="10" s="1"/>
  <c r="T222" i="10" s="1"/>
  <c r="T225" i="10" s="1"/>
  <c r="S201" i="10"/>
  <c r="S204" i="10" s="1"/>
  <c r="S207" i="10" s="1"/>
  <c r="S210" i="10" s="1"/>
  <c r="S213" i="10" s="1"/>
  <c r="S216" i="10" s="1"/>
  <c r="S219" i="10" s="1"/>
  <c r="S222" i="10" s="1"/>
  <c r="S225" i="10" s="1"/>
  <c r="R201" i="10"/>
  <c r="R204" i="10" s="1"/>
  <c r="R207" i="10" s="1"/>
  <c r="R210" i="10" s="1"/>
  <c r="R213" i="10" s="1"/>
  <c r="R216" i="10" s="1"/>
  <c r="R219" i="10" s="1"/>
  <c r="R222" i="10" s="1"/>
  <c r="R225" i="10" s="1"/>
  <c r="Q201" i="10"/>
  <c r="Q204" i="10" s="1"/>
  <c r="Q207" i="10" s="1"/>
  <c r="Q210" i="10" s="1"/>
  <c r="Q213" i="10" s="1"/>
  <c r="Q216" i="10" s="1"/>
  <c r="Q219" i="10" s="1"/>
  <c r="Q222" i="10" s="1"/>
  <c r="Q225" i="10" s="1"/>
  <c r="P201" i="10"/>
  <c r="P204" i="10" s="1"/>
  <c r="P207" i="10" s="1"/>
  <c r="P210" i="10" s="1"/>
  <c r="P213" i="10" s="1"/>
  <c r="P216" i="10" s="1"/>
  <c r="P219" i="10" s="1"/>
  <c r="P222" i="10" s="1"/>
  <c r="P225" i="10" s="1"/>
  <c r="O201" i="10"/>
  <c r="O204" i="10" s="1"/>
  <c r="O207" i="10" s="1"/>
  <c r="O210" i="10" s="1"/>
  <c r="O213" i="10" s="1"/>
  <c r="O216" i="10" s="1"/>
  <c r="O219" i="10" s="1"/>
  <c r="O222" i="10" s="1"/>
  <c r="O225" i="10" s="1"/>
  <c r="N201" i="10"/>
  <c r="N204" i="10" s="1"/>
  <c r="N207" i="10" s="1"/>
  <c r="N210" i="10" s="1"/>
  <c r="N213" i="10" s="1"/>
  <c r="N216" i="10" s="1"/>
  <c r="N219" i="10" s="1"/>
  <c r="N222" i="10" s="1"/>
  <c r="N225" i="10" s="1"/>
  <c r="M201" i="10"/>
  <c r="M204" i="10" s="1"/>
  <c r="M207" i="10" s="1"/>
  <c r="M210" i="10" s="1"/>
  <c r="M213" i="10" s="1"/>
  <c r="M216" i="10" s="1"/>
  <c r="M219" i="10" s="1"/>
  <c r="M222" i="10" s="1"/>
  <c r="M225" i="10" s="1"/>
  <c r="L201" i="10"/>
  <c r="L204" i="10" s="1"/>
  <c r="L207" i="10" s="1"/>
  <c r="L210" i="10" s="1"/>
  <c r="L213" i="10" s="1"/>
  <c r="L216" i="10" s="1"/>
  <c r="L219" i="10" s="1"/>
  <c r="L222" i="10" s="1"/>
  <c r="L225" i="10" s="1"/>
  <c r="AQ200" i="10"/>
  <c r="AQ203" i="10" s="1"/>
  <c r="AQ206" i="10" s="1"/>
  <c r="AQ209" i="10" s="1"/>
  <c r="AQ212" i="10" s="1"/>
  <c r="AQ215" i="10" s="1"/>
  <c r="AQ218" i="10" s="1"/>
  <c r="AQ221" i="10" s="1"/>
  <c r="AQ224" i="10" s="1"/>
  <c r="AP200" i="10"/>
  <c r="AP203" i="10" s="1"/>
  <c r="AP206" i="10" s="1"/>
  <c r="AP209" i="10" s="1"/>
  <c r="AP212" i="10" s="1"/>
  <c r="AP215" i="10" s="1"/>
  <c r="AP218" i="10" s="1"/>
  <c r="AP221" i="10" s="1"/>
  <c r="AP224" i="10" s="1"/>
  <c r="AO200" i="10"/>
  <c r="AO203" i="10" s="1"/>
  <c r="AO206" i="10" s="1"/>
  <c r="AO209" i="10" s="1"/>
  <c r="AO212" i="10" s="1"/>
  <c r="AO215" i="10" s="1"/>
  <c r="AO218" i="10" s="1"/>
  <c r="AO221" i="10" s="1"/>
  <c r="AO224" i="10" s="1"/>
  <c r="AN200" i="10"/>
  <c r="AN203" i="10" s="1"/>
  <c r="AN206" i="10" s="1"/>
  <c r="AN209" i="10" s="1"/>
  <c r="AN212" i="10" s="1"/>
  <c r="AN215" i="10" s="1"/>
  <c r="AN218" i="10" s="1"/>
  <c r="AN221" i="10" s="1"/>
  <c r="AN224" i="10" s="1"/>
  <c r="AM200" i="10"/>
  <c r="AM203" i="10" s="1"/>
  <c r="AM206" i="10" s="1"/>
  <c r="AM209" i="10" s="1"/>
  <c r="AM212" i="10" s="1"/>
  <c r="AM215" i="10" s="1"/>
  <c r="AM218" i="10" s="1"/>
  <c r="AM221" i="10" s="1"/>
  <c r="AM224" i="10" s="1"/>
  <c r="AL200" i="10"/>
  <c r="AK200" i="10"/>
  <c r="AJ200" i="10"/>
  <c r="AJ203" i="10" s="1"/>
  <c r="AJ206" i="10" s="1"/>
  <c r="AJ209" i="10" s="1"/>
  <c r="AJ212" i="10" s="1"/>
  <c r="AJ215" i="10" s="1"/>
  <c r="AJ218" i="10" s="1"/>
  <c r="AJ221" i="10" s="1"/>
  <c r="AJ224" i="10" s="1"/>
  <c r="AI200" i="10"/>
  <c r="AI203" i="10" s="1"/>
  <c r="AI206" i="10" s="1"/>
  <c r="AI209" i="10" s="1"/>
  <c r="AI212" i="10" s="1"/>
  <c r="AI215" i="10" s="1"/>
  <c r="AI218" i="10" s="1"/>
  <c r="AI221" i="10" s="1"/>
  <c r="AI224" i="10" s="1"/>
  <c r="AH200" i="10"/>
  <c r="AH203" i="10" s="1"/>
  <c r="AH206" i="10" s="1"/>
  <c r="AH209" i="10" s="1"/>
  <c r="AH212" i="10" s="1"/>
  <c r="AH215" i="10" s="1"/>
  <c r="AH218" i="10" s="1"/>
  <c r="AH221" i="10" s="1"/>
  <c r="AH224" i="10" s="1"/>
  <c r="AG200" i="10"/>
  <c r="AG203" i="10" s="1"/>
  <c r="AG206" i="10" s="1"/>
  <c r="AG209" i="10" s="1"/>
  <c r="AF200" i="10"/>
  <c r="AF203" i="10" s="1"/>
  <c r="AF206" i="10" s="1"/>
  <c r="AF209" i="10" s="1"/>
  <c r="AF212" i="10" s="1"/>
  <c r="AF215" i="10" s="1"/>
  <c r="AF218" i="10" s="1"/>
  <c r="AF221" i="10" s="1"/>
  <c r="AF224" i="10" s="1"/>
  <c r="AE200" i="10"/>
  <c r="AE203" i="10" s="1"/>
  <c r="AE206" i="10" s="1"/>
  <c r="AE209" i="10" s="1"/>
  <c r="AE212" i="10" s="1"/>
  <c r="AE215" i="10" s="1"/>
  <c r="AE218" i="10" s="1"/>
  <c r="AE221" i="10" s="1"/>
  <c r="AE224" i="10" s="1"/>
  <c r="AD200" i="10"/>
  <c r="AD203" i="10" s="1"/>
  <c r="AD206" i="10" s="1"/>
  <c r="AD209" i="10" s="1"/>
  <c r="AD212" i="10" s="1"/>
  <c r="AD215" i="10" s="1"/>
  <c r="AD218" i="10" s="1"/>
  <c r="AD221" i="10" s="1"/>
  <c r="AD224" i="10" s="1"/>
  <c r="AC200" i="10"/>
  <c r="AB200" i="10"/>
  <c r="AB203" i="10" s="1"/>
  <c r="AB206" i="10" s="1"/>
  <c r="AB209" i="10" s="1"/>
  <c r="AB212" i="10" s="1"/>
  <c r="AB215" i="10" s="1"/>
  <c r="AB218" i="10" s="1"/>
  <c r="AB221" i="10" s="1"/>
  <c r="AB224" i="10" s="1"/>
  <c r="AA200" i="10"/>
  <c r="AA203" i="10" s="1"/>
  <c r="AA206" i="10" s="1"/>
  <c r="AA209" i="10" s="1"/>
  <c r="AA212" i="10" s="1"/>
  <c r="AA215" i="10" s="1"/>
  <c r="AA218" i="10" s="1"/>
  <c r="AA221" i="10" s="1"/>
  <c r="AA224" i="10" s="1"/>
  <c r="Z200" i="10"/>
  <c r="Z203" i="10" s="1"/>
  <c r="Z206" i="10" s="1"/>
  <c r="Z209" i="10" s="1"/>
  <c r="Z212" i="10" s="1"/>
  <c r="Z215" i="10" s="1"/>
  <c r="Z218" i="10" s="1"/>
  <c r="Z221" i="10" s="1"/>
  <c r="Z224" i="10" s="1"/>
  <c r="Y200" i="10"/>
  <c r="Y203" i="10" s="1"/>
  <c r="Y206" i="10" s="1"/>
  <c r="Y209" i="10" s="1"/>
  <c r="Y212" i="10" s="1"/>
  <c r="Y215" i="10" s="1"/>
  <c r="Y218" i="10" s="1"/>
  <c r="Y221" i="10" s="1"/>
  <c r="Y224" i="10" s="1"/>
  <c r="X200" i="10"/>
  <c r="X203" i="10" s="1"/>
  <c r="X206" i="10" s="1"/>
  <c r="X209" i="10" s="1"/>
  <c r="X212" i="10" s="1"/>
  <c r="X215" i="10" s="1"/>
  <c r="X218" i="10" s="1"/>
  <c r="X221" i="10" s="1"/>
  <c r="X224" i="10" s="1"/>
  <c r="W200" i="10"/>
  <c r="W203" i="10" s="1"/>
  <c r="W206" i="10" s="1"/>
  <c r="W209" i="10" s="1"/>
  <c r="W212" i="10" s="1"/>
  <c r="W215" i="10" s="1"/>
  <c r="W218" i="10" s="1"/>
  <c r="W221" i="10" s="1"/>
  <c r="W224" i="10" s="1"/>
  <c r="V200" i="10"/>
  <c r="V203" i="10" s="1"/>
  <c r="V206" i="10" s="1"/>
  <c r="V209" i="10" s="1"/>
  <c r="V212" i="10" s="1"/>
  <c r="V215" i="10" s="1"/>
  <c r="V218" i="10" s="1"/>
  <c r="V221" i="10" s="1"/>
  <c r="V224" i="10" s="1"/>
  <c r="U200" i="10"/>
  <c r="T200" i="10"/>
  <c r="T203" i="10" s="1"/>
  <c r="T206" i="10" s="1"/>
  <c r="T209" i="10" s="1"/>
  <c r="T212" i="10" s="1"/>
  <c r="T215" i="10" s="1"/>
  <c r="T218" i="10" s="1"/>
  <c r="T221" i="10" s="1"/>
  <c r="T224" i="10" s="1"/>
  <c r="S200" i="10"/>
  <c r="S203" i="10" s="1"/>
  <c r="S206" i="10" s="1"/>
  <c r="S209" i="10" s="1"/>
  <c r="S212" i="10" s="1"/>
  <c r="S215" i="10" s="1"/>
  <c r="S218" i="10" s="1"/>
  <c r="S221" i="10" s="1"/>
  <c r="S224" i="10" s="1"/>
  <c r="R200" i="10"/>
  <c r="R203" i="10" s="1"/>
  <c r="R206" i="10" s="1"/>
  <c r="R209" i="10" s="1"/>
  <c r="R212" i="10" s="1"/>
  <c r="R215" i="10" s="1"/>
  <c r="R218" i="10" s="1"/>
  <c r="R221" i="10" s="1"/>
  <c r="R224" i="10" s="1"/>
  <c r="Q200" i="10"/>
  <c r="Q203" i="10" s="1"/>
  <c r="Q206" i="10" s="1"/>
  <c r="Q209" i="10" s="1"/>
  <c r="Q212" i="10" s="1"/>
  <c r="Q215" i="10" s="1"/>
  <c r="Q218" i="10" s="1"/>
  <c r="Q221" i="10" s="1"/>
  <c r="Q224" i="10" s="1"/>
  <c r="P200" i="10"/>
  <c r="P203" i="10" s="1"/>
  <c r="P206" i="10" s="1"/>
  <c r="P209" i="10" s="1"/>
  <c r="P212" i="10" s="1"/>
  <c r="P215" i="10" s="1"/>
  <c r="P218" i="10" s="1"/>
  <c r="P221" i="10" s="1"/>
  <c r="P224" i="10" s="1"/>
  <c r="O200" i="10"/>
  <c r="O203" i="10" s="1"/>
  <c r="O206" i="10" s="1"/>
  <c r="O209" i="10" s="1"/>
  <c r="O212" i="10" s="1"/>
  <c r="O215" i="10" s="1"/>
  <c r="O218" i="10" s="1"/>
  <c r="O221" i="10" s="1"/>
  <c r="O224" i="10" s="1"/>
  <c r="N200" i="10"/>
  <c r="N203" i="10" s="1"/>
  <c r="N206" i="10" s="1"/>
  <c r="N209" i="10" s="1"/>
  <c r="N212" i="10" s="1"/>
  <c r="N215" i="10" s="1"/>
  <c r="N218" i="10" s="1"/>
  <c r="N221" i="10" s="1"/>
  <c r="N224" i="10" s="1"/>
  <c r="M200" i="10"/>
  <c r="M203" i="10" s="1"/>
  <c r="M206" i="10" s="1"/>
  <c r="M209" i="10" s="1"/>
  <c r="M212" i="10" s="1"/>
  <c r="M215" i="10" s="1"/>
  <c r="M218" i="10" s="1"/>
  <c r="M221" i="10" s="1"/>
  <c r="M224" i="10" s="1"/>
  <c r="L200" i="10"/>
  <c r="L203" i="10" s="1"/>
  <c r="L206" i="10" s="1"/>
  <c r="L209" i="10" s="1"/>
  <c r="L212" i="10" s="1"/>
  <c r="L215" i="10" s="1"/>
  <c r="L218" i="10" s="1"/>
  <c r="L221" i="10" s="1"/>
  <c r="L224" i="10" s="1"/>
  <c r="AQ199" i="10"/>
  <c r="AQ202" i="10" s="1"/>
  <c r="AQ205" i="10" s="1"/>
  <c r="AQ208" i="10" s="1"/>
  <c r="AQ211" i="10" s="1"/>
  <c r="AQ214" i="10" s="1"/>
  <c r="AQ217" i="10" s="1"/>
  <c r="AQ220" i="10" s="1"/>
  <c r="AQ223" i="10" s="1"/>
  <c r="AP199" i="10"/>
  <c r="AP202" i="10" s="1"/>
  <c r="AP205" i="10" s="1"/>
  <c r="AP208" i="10" s="1"/>
  <c r="AP211" i="10" s="1"/>
  <c r="AP214" i="10" s="1"/>
  <c r="AP217" i="10" s="1"/>
  <c r="AP220" i="10" s="1"/>
  <c r="AP223" i="10" s="1"/>
  <c r="AO199" i="10"/>
  <c r="AO202" i="10" s="1"/>
  <c r="AO205" i="10" s="1"/>
  <c r="AO208" i="10" s="1"/>
  <c r="AO211" i="10" s="1"/>
  <c r="AO214" i="10" s="1"/>
  <c r="AO217" i="10" s="1"/>
  <c r="AO220" i="10" s="1"/>
  <c r="AO223" i="10" s="1"/>
  <c r="AN199" i="10"/>
  <c r="AN202" i="10" s="1"/>
  <c r="AN205" i="10" s="1"/>
  <c r="AN208" i="10" s="1"/>
  <c r="AN211" i="10" s="1"/>
  <c r="AN214" i="10" s="1"/>
  <c r="AN217" i="10" s="1"/>
  <c r="AN220" i="10" s="1"/>
  <c r="AN223" i="10" s="1"/>
  <c r="AM199" i="10"/>
  <c r="AM202" i="10" s="1"/>
  <c r="AM205" i="10" s="1"/>
  <c r="AM208" i="10" s="1"/>
  <c r="AM211" i="10" s="1"/>
  <c r="AM214" i="10" s="1"/>
  <c r="AM217" i="10" s="1"/>
  <c r="AM220" i="10" s="1"/>
  <c r="AM223" i="10" s="1"/>
  <c r="AL199" i="10"/>
  <c r="AK199" i="10"/>
  <c r="AJ199" i="10"/>
  <c r="AJ202" i="10" s="1"/>
  <c r="AJ205" i="10" s="1"/>
  <c r="AJ208" i="10" s="1"/>
  <c r="AJ211" i="10" s="1"/>
  <c r="AJ214" i="10" s="1"/>
  <c r="AJ217" i="10" s="1"/>
  <c r="AJ220" i="10" s="1"/>
  <c r="AJ223" i="10" s="1"/>
  <c r="AI199" i="10"/>
  <c r="AI202" i="10" s="1"/>
  <c r="AI205" i="10" s="1"/>
  <c r="AI208" i="10" s="1"/>
  <c r="AI211" i="10" s="1"/>
  <c r="AI214" i="10" s="1"/>
  <c r="AI217" i="10" s="1"/>
  <c r="AI220" i="10" s="1"/>
  <c r="AI223" i="10" s="1"/>
  <c r="AH199" i="10"/>
  <c r="AH202" i="10" s="1"/>
  <c r="AH205" i="10" s="1"/>
  <c r="AH208" i="10" s="1"/>
  <c r="AH211" i="10" s="1"/>
  <c r="AH214" i="10" s="1"/>
  <c r="AH217" i="10" s="1"/>
  <c r="AH220" i="10" s="1"/>
  <c r="AH223" i="10" s="1"/>
  <c r="AG199" i="10"/>
  <c r="AG202" i="10" s="1"/>
  <c r="AG205" i="10" s="1"/>
  <c r="AG208" i="10" s="1"/>
  <c r="AG211" i="10" s="1"/>
  <c r="AF199" i="10"/>
  <c r="AF202" i="10" s="1"/>
  <c r="AF205" i="10" s="1"/>
  <c r="AF208" i="10" s="1"/>
  <c r="AF211" i="10" s="1"/>
  <c r="AF214" i="10" s="1"/>
  <c r="AF217" i="10" s="1"/>
  <c r="AF220" i="10" s="1"/>
  <c r="AF223" i="10" s="1"/>
  <c r="AE199" i="10"/>
  <c r="AE202" i="10" s="1"/>
  <c r="AE205" i="10" s="1"/>
  <c r="AE208" i="10" s="1"/>
  <c r="AE211" i="10" s="1"/>
  <c r="AE214" i="10" s="1"/>
  <c r="AE217" i="10" s="1"/>
  <c r="AE220" i="10" s="1"/>
  <c r="AE223" i="10" s="1"/>
  <c r="AD199" i="10"/>
  <c r="AD202" i="10" s="1"/>
  <c r="AD205" i="10" s="1"/>
  <c r="AD208" i="10" s="1"/>
  <c r="AD211" i="10" s="1"/>
  <c r="AD214" i="10" s="1"/>
  <c r="AD217" i="10" s="1"/>
  <c r="AD220" i="10" s="1"/>
  <c r="AD223" i="10" s="1"/>
  <c r="AC199" i="10"/>
  <c r="AB199" i="10"/>
  <c r="AB202" i="10" s="1"/>
  <c r="AB205" i="10" s="1"/>
  <c r="AB208" i="10" s="1"/>
  <c r="AB211" i="10" s="1"/>
  <c r="AB214" i="10" s="1"/>
  <c r="AB217" i="10" s="1"/>
  <c r="AB220" i="10" s="1"/>
  <c r="AB223" i="10" s="1"/>
  <c r="AA199" i="10"/>
  <c r="AA202" i="10" s="1"/>
  <c r="AA205" i="10" s="1"/>
  <c r="AA208" i="10" s="1"/>
  <c r="AA211" i="10" s="1"/>
  <c r="AA214" i="10" s="1"/>
  <c r="AA217" i="10" s="1"/>
  <c r="AA220" i="10" s="1"/>
  <c r="AA223" i="10" s="1"/>
  <c r="Z199" i="10"/>
  <c r="Z202" i="10" s="1"/>
  <c r="Z205" i="10" s="1"/>
  <c r="Z208" i="10" s="1"/>
  <c r="Z211" i="10" s="1"/>
  <c r="Z214" i="10" s="1"/>
  <c r="Z217" i="10" s="1"/>
  <c r="Z220" i="10" s="1"/>
  <c r="Z223" i="10" s="1"/>
  <c r="Y199" i="10"/>
  <c r="Y202" i="10" s="1"/>
  <c r="Y205" i="10" s="1"/>
  <c r="Y208" i="10" s="1"/>
  <c r="Y211" i="10" s="1"/>
  <c r="Y214" i="10" s="1"/>
  <c r="Y217" i="10" s="1"/>
  <c r="Y220" i="10" s="1"/>
  <c r="Y223" i="10" s="1"/>
  <c r="X199" i="10"/>
  <c r="X202" i="10" s="1"/>
  <c r="X205" i="10" s="1"/>
  <c r="X208" i="10" s="1"/>
  <c r="X211" i="10" s="1"/>
  <c r="X214" i="10" s="1"/>
  <c r="X217" i="10" s="1"/>
  <c r="X220" i="10" s="1"/>
  <c r="X223" i="10" s="1"/>
  <c r="W199" i="10"/>
  <c r="W202" i="10" s="1"/>
  <c r="W205" i="10" s="1"/>
  <c r="W208" i="10" s="1"/>
  <c r="W211" i="10" s="1"/>
  <c r="W214" i="10" s="1"/>
  <c r="W217" i="10" s="1"/>
  <c r="W220" i="10" s="1"/>
  <c r="W223" i="10" s="1"/>
  <c r="V199" i="10"/>
  <c r="V202" i="10" s="1"/>
  <c r="V205" i="10" s="1"/>
  <c r="V208" i="10" s="1"/>
  <c r="V211" i="10" s="1"/>
  <c r="V214" i="10" s="1"/>
  <c r="V217" i="10" s="1"/>
  <c r="V220" i="10" s="1"/>
  <c r="V223" i="10" s="1"/>
  <c r="U199" i="10"/>
  <c r="T199" i="10"/>
  <c r="T202" i="10" s="1"/>
  <c r="T205" i="10" s="1"/>
  <c r="T208" i="10" s="1"/>
  <c r="T211" i="10" s="1"/>
  <c r="T214" i="10" s="1"/>
  <c r="T217" i="10" s="1"/>
  <c r="T220" i="10" s="1"/>
  <c r="T223" i="10" s="1"/>
  <c r="S199" i="10"/>
  <c r="S202" i="10" s="1"/>
  <c r="S205" i="10" s="1"/>
  <c r="S208" i="10" s="1"/>
  <c r="S211" i="10" s="1"/>
  <c r="S214" i="10" s="1"/>
  <c r="S217" i="10" s="1"/>
  <c r="S220" i="10" s="1"/>
  <c r="S223" i="10" s="1"/>
  <c r="R199" i="10"/>
  <c r="R202" i="10" s="1"/>
  <c r="R205" i="10" s="1"/>
  <c r="R208" i="10" s="1"/>
  <c r="R211" i="10" s="1"/>
  <c r="R214" i="10" s="1"/>
  <c r="R217" i="10" s="1"/>
  <c r="R220" i="10" s="1"/>
  <c r="R223" i="10" s="1"/>
  <c r="Q199" i="10"/>
  <c r="Q202" i="10" s="1"/>
  <c r="Q205" i="10" s="1"/>
  <c r="Q208" i="10" s="1"/>
  <c r="Q211" i="10" s="1"/>
  <c r="Q214" i="10" s="1"/>
  <c r="Q217" i="10" s="1"/>
  <c r="Q220" i="10" s="1"/>
  <c r="Q223" i="10" s="1"/>
  <c r="P199" i="10"/>
  <c r="P202" i="10" s="1"/>
  <c r="P205" i="10" s="1"/>
  <c r="P208" i="10" s="1"/>
  <c r="P211" i="10" s="1"/>
  <c r="P214" i="10" s="1"/>
  <c r="P217" i="10" s="1"/>
  <c r="P220" i="10" s="1"/>
  <c r="P223" i="10" s="1"/>
  <c r="O199" i="10"/>
  <c r="O202" i="10" s="1"/>
  <c r="O205" i="10" s="1"/>
  <c r="O208" i="10" s="1"/>
  <c r="O211" i="10" s="1"/>
  <c r="O214" i="10" s="1"/>
  <c r="O217" i="10" s="1"/>
  <c r="O220" i="10" s="1"/>
  <c r="O223" i="10" s="1"/>
  <c r="N199" i="10"/>
  <c r="N202" i="10" s="1"/>
  <c r="N205" i="10" s="1"/>
  <c r="N208" i="10" s="1"/>
  <c r="N211" i="10" s="1"/>
  <c r="N214" i="10" s="1"/>
  <c r="N217" i="10" s="1"/>
  <c r="N220" i="10" s="1"/>
  <c r="N223" i="10" s="1"/>
  <c r="M199" i="10"/>
  <c r="M202" i="10" s="1"/>
  <c r="M205" i="10" s="1"/>
  <c r="M208" i="10" s="1"/>
  <c r="M211" i="10" s="1"/>
  <c r="M214" i="10" s="1"/>
  <c r="M217" i="10" s="1"/>
  <c r="M220" i="10" s="1"/>
  <c r="M223" i="10" s="1"/>
  <c r="L199" i="10"/>
  <c r="L202" i="10" s="1"/>
  <c r="L205" i="10" s="1"/>
  <c r="L208" i="10" s="1"/>
  <c r="L211" i="10" s="1"/>
  <c r="L214" i="10" s="1"/>
  <c r="L217" i="10" s="1"/>
  <c r="L220" i="10" s="1"/>
  <c r="L223" i="10" s="1"/>
  <c r="AQ161" i="10"/>
  <c r="AP161" i="10"/>
  <c r="AO161" i="10"/>
  <c r="AN161" i="10"/>
  <c r="AM161" i="10"/>
  <c r="AL161" i="10"/>
  <c r="AK161" i="10"/>
  <c r="AJ161" i="10"/>
  <c r="AI161" i="10"/>
  <c r="AH161" i="10"/>
  <c r="AG161" i="10"/>
  <c r="AF161" i="10"/>
  <c r="AE161" i="10"/>
  <c r="AD161" i="10"/>
  <c r="AC161" i="10"/>
  <c r="AB161" i="10"/>
  <c r="AA161" i="10"/>
  <c r="Z161" i="10"/>
  <c r="Y161" i="10"/>
  <c r="X161" i="10"/>
  <c r="W161" i="10"/>
  <c r="V161" i="10"/>
  <c r="U161" i="10"/>
  <c r="T161" i="10"/>
  <c r="S161" i="10"/>
  <c r="R161" i="10"/>
  <c r="Q161" i="10"/>
  <c r="P161" i="10"/>
  <c r="O161" i="10"/>
  <c r="N161" i="10"/>
  <c r="M161" i="10"/>
  <c r="L161" i="10"/>
  <c r="AQ160" i="10"/>
  <c r="AP160" i="10"/>
  <c r="AO160" i="10"/>
  <c r="AN160" i="10"/>
  <c r="AM160" i="10"/>
  <c r="AL160" i="10"/>
  <c r="AK160" i="10"/>
  <c r="AJ160" i="10"/>
  <c r="AI160" i="10"/>
  <c r="AH160" i="10"/>
  <c r="AG160" i="10"/>
  <c r="AF160" i="10"/>
  <c r="AE160" i="10"/>
  <c r="AD160" i="10"/>
  <c r="AC160" i="10"/>
  <c r="AB160" i="10"/>
  <c r="AA160" i="10"/>
  <c r="Z160" i="10"/>
  <c r="Y160" i="10"/>
  <c r="X160" i="10"/>
  <c r="W160" i="10"/>
  <c r="V160" i="10"/>
  <c r="U160" i="10"/>
  <c r="T160" i="10"/>
  <c r="S160" i="10"/>
  <c r="R160" i="10"/>
  <c r="Q160" i="10"/>
  <c r="P160" i="10"/>
  <c r="O160" i="10"/>
  <c r="N160" i="10"/>
  <c r="M160" i="10"/>
  <c r="L160" i="10"/>
  <c r="AQ159" i="10"/>
  <c r="AP159" i="10"/>
  <c r="AO159" i="10"/>
  <c r="AN159" i="10"/>
  <c r="AM159" i="10"/>
  <c r="AL159" i="10"/>
  <c r="AK159" i="10"/>
  <c r="AJ159" i="10"/>
  <c r="AI159" i="10"/>
  <c r="AH159" i="10"/>
  <c r="AG159" i="10"/>
  <c r="AF159" i="10"/>
  <c r="AE159" i="10"/>
  <c r="AD159" i="10"/>
  <c r="AC159" i="10"/>
  <c r="AB159" i="10"/>
  <c r="AA159" i="10"/>
  <c r="Z159" i="10"/>
  <c r="Y159" i="10"/>
  <c r="X159" i="10"/>
  <c r="W159" i="10"/>
  <c r="V159" i="10"/>
  <c r="U159" i="10"/>
  <c r="T159" i="10"/>
  <c r="S159" i="10"/>
  <c r="R159" i="10"/>
  <c r="Q159" i="10"/>
  <c r="P159" i="10"/>
  <c r="O159" i="10"/>
  <c r="N159" i="10"/>
  <c r="M159" i="10"/>
  <c r="L159" i="10"/>
  <c r="AQ158" i="10"/>
  <c r="AP158" i="10"/>
  <c r="AO158" i="10"/>
  <c r="AN158" i="10"/>
  <c r="AM158" i="10"/>
  <c r="AL158" i="10"/>
  <c r="AK158" i="10"/>
  <c r="AJ158" i="10"/>
  <c r="AI158" i="10"/>
  <c r="AH158" i="10"/>
  <c r="AG158" i="10"/>
  <c r="AF158" i="10"/>
  <c r="AE158" i="10"/>
  <c r="AD158" i="10"/>
  <c r="AC158" i="10"/>
  <c r="AB158" i="10"/>
  <c r="AA158" i="10"/>
  <c r="Z158" i="10"/>
  <c r="Y158" i="10"/>
  <c r="X158" i="10"/>
  <c r="W158" i="10"/>
  <c r="V158" i="10"/>
  <c r="U158" i="10"/>
  <c r="T158" i="10"/>
  <c r="S158" i="10"/>
  <c r="R158" i="10"/>
  <c r="Q158" i="10"/>
  <c r="P158" i="10"/>
  <c r="O158" i="10"/>
  <c r="N158" i="10"/>
  <c r="M158" i="10"/>
  <c r="L158" i="10"/>
  <c r="AQ157" i="10"/>
  <c r="AP157" i="10"/>
  <c r="AO157" i="10"/>
  <c r="AN157" i="10"/>
  <c r="AM157" i="10"/>
  <c r="AL157" i="10"/>
  <c r="AK157" i="10"/>
  <c r="AJ157" i="10"/>
  <c r="AI157" i="10"/>
  <c r="AH157" i="10"/>
  <c r="AG157" i="10"/>
  <c r="AF157" i="10"/>
  <c r="AE157" i="10"/>
  <c r="AD157" i="10"/>
  <c r="AC157" i="10"/>
  <c r="AB157" i="10"/>
  <c r="AA157" i="10"/>
  <c r="Z157" i="10"/>
  <c r="Y157" i="10"/>
  <c r="X157" i="10"/>
  <c r="W157" i="10"/>
  <c r="V157" i="10"/>
  <c r="U157" i="10"/>
  <c r="T157" i="10"/>
  <c r="S157" i="10"/>
  <c r="R157" i="10"/>
  <c r="Q157" i="10"/>
  <c r="P157" i="10"/>
  <c r="O157" i="10"/>
  <c r="N157" i="10"/>
  <c r="M157" i="10"/>
  <c r="L157" i="10"/>
  <c r="AQ156" i="10"/>
  <c r="AP156" i="10"/>
  <c r="AO156" i="10"/>
  <c r="AN156" i="10"/>
  <c r="AM156" i="10"/>
  <c r="AL156" i="10"/>
  <c r="AK156" i="10"/>
  <c r="AJ156" i="10"/>
  <c r="AI156" i="10"/>
  <c r="AH156" i="10"/>
  <c r="AG156" i="10"/>
  <c r="AF156" i="10"/>
  <c r="AE156" i="10"/>
  <c r="AD156" i="10"/>
  <c r="AC156" i="10"/>
  <c r="AB156" i="10"/>
  <c r="AA156" i="10"/>
  <c r="Z156" i="10"/>
  <c r="Y156" i="10"/>
  <c r="X156" i="10"/>
  <c r="W156" i="10"/>
  <c r="V156" i="10"/>
  <c r="U156" i="10"/>
  <c r="T156" i="10"/>
  <c r="S156" i="10"/>
  <c r="R156" i="10"/>
  <c r="Q156" i="10"/>
  <c r="P156" i="10"/>
  <c r="O156" i="10"/>
  <c r="N156" i="10"/>
  <c r="M156" i="10"/>
  <c r="L156" i="10"/>
  <c r="AQ155" i="10"/>
  <c r="AP155" i="10"/>
  <c r="AO155" i="10"/>
  <c r="AN155" i="10"/>
  <c r="AM155" i="10"/>
  <c r="AL155" i="10"/>
  <c r="AK155" i="10"/>
  <c r="AJ155" i="10"/>
  <c r="AI155" i="10"/>
  <c r="AH155" i="10"/>
  <c r="AG155" i="10"/>
  <c r="AF155" i="10"/>
  <c r="AE155" i="10"/>
  <c r="AD155" i="10"/>
  <c r="AC155" i="10"/>
  <c r="AB155" i="10"/>
  <c r="AA155" i="10"/>
  <c r="Z155" i="10"/>
  <c r="Y155" i="10"/>
  <c r="X155" i="10"/>
  <c r="W155" i="10"/>
  <c r="V155" i="10"/>
  <c r="U155" i="10"/>
  <c r="T155" i="10"/>
  <c r="S155" i="10"/>
  <c r="R155" i="10"/>
  <c r="Q155" i="10"/>
  <c r="P155" i="10"/>
  <c r="O155" i="10"/>
  <c r="N155" i="10"/>
  <c r="M155" i="10"/>
  <c r="L155" i="10"/>
  <c r="AQ154" i="10"/>
  <c r="AP154" i="10"/>
  <c r="AO154" i="10"/>
  <c r="AN154" i="10"/>
  <c r="AM154" i="10"/>
  <c r="AL154" i="10"/>
  <c r="AK154" i="10"/>
  <c r="AJ154" i="10"/>
  <c r="AI154" i="10"/>
  <c r="AH154" i="10"/>
  <c r="AG154" i="10"/>
  <c r="AF154" i="10"/>
  <c r="AE154" i="10"/>
  <c r="AD154" i="10"/>
  <c r="AC154" i="10"/>
  <c r="AB154" i="10"/>
  <c r="AA154" i="10"/>
  <c r="Z154" i="10"/>
  <c r="Y154" i="10"/>
  <c r="X154" i="10"/>
  <c r="W154" i="10"/>
  <c r="V154" i="10"/>
  <c r="U154" i="10"/>
  <c r="T154" i="10"/>
  <c r="S154" i="10"/>
  <c r="R154" i="10"/>
  <c r="Q154" i="10"/>
  <c r="P154" i="10"/>
  <c r="O154" i="10"/>
  <c r="N154" i="10"/>
  <c r="M154" i="10"/>
  <c r="L154" i="10"/>
  <c r="AQ153" i="10"/>
  <c r="AP153" i="10"/>
  <c r="AO153" i="10"/>
  <c r="AN153" i="10"/>
  <c r="AM153" i="10"/>
  <c r="AL153" i="10"/>
  <c r="AK153" i="10"/>
  <c r="AJ153" i="10"/>
  <c r="AI153" i="10"/>
  <c r="AH153" i="10"/>
  <c r="AG153" i="10"/>
  <c r="AF153" i="10"/>
  <c r="AE153" i="10"/>
  <c r="AD153" i="10"/>
  <c r="AC153" i="10"/>
  <c r="AB153" i="10"/>
  <c r="AA153" i="10"/>
  <c r="Z153" i="10"/>
  <c r="Y153" i="10"/>
  <c r="X153" i="10"/>
  <c r="W153" i="10"/>
  <c r="V153" i="10"/>
  <c r="U153" i="10"/>
  <c r="T153" i="10"/>
  <c r="S153" i="10"/>
  <c r="R153" i="10"/>
  <c r="Q153" i="10"/>
  <c r="P153" i="10"/>
  <c r="O153" i="10"/>
  <c r="N153" i="10"/>
  <c r="M153" i="10"/>
  <c r="L153" i="10"/>
  <c r="AQ152" i="10"/>
  <c r="AP152" i="10"/>
  <c r="AO152" i="10"/>
  <c r="AN152" i="10"/>
  <c r="AM152" i="10"/>
  <c r="AL152" i="10"/>
  <c r="AK152" i="10"/>
  <c r="AJ152" i="10"/>
  <c r="AI152" i="10"/>
  <c r="AH152" i="10"/>
  <c r="AG152" i="10"/>
  <c r="AF152" i="10"/>
  <c r="AE152" i="10"/>
  <c r="AD152" i="10"/>
  <c r="AC152" i="10"/>
  <c r="AB152" i="10"/>
  <c r="AA152" i="10"/>
  <c r="Z152" i="10"/>
  <c r="Y152" i="10"/>
  <c r="X152" i="10"/>
  <c r="W152" i="10"/>
  <c r="V152" i="10"/>
  <c r="U152" i="10"/>
  <c r="T152" i="10"/>
  <c r="S152" i="10"/>
  <c r="R152" i="10"/>
  <c r="Q152" i="10"/>
  <c r="P152" i="10"/>
  <c r="O152" i="10"/>
  <c r="N152" i="10"/>
  <c r="M152" i="10"/>
  <c r="L152" i="10"/>
  <c r="AQ151" i="10"/>
  <c r="AP151" i="10"/>
  <c r="AO151" i="10"/>
  <c r="AN151" i="10"/>
  <c r="AM151" i="10"/>
  <c r="AL151" i="10"/>
  <c r="AK151" i="10"/>
  <c r="AJ151" i="10"/>
  <c r="AI151" i="10"/>
  <c r="AH151" i="10"/>
  <c r="AG151" i="10"/>
  <c r="AF151" i="10"/>
  <c r="AE151" i="10"/>
  <c r="AD151" i="10"/>
  <c r="AC151" i="10"/>
  <c r="AB151" i="10"/>
  <c r="AA151" i="10"/>
  <c r="Z151" i="10"/>
  <c r="Y151" i="10"/>
  <c r="X151" i="10"/>
  <c r="W151" i="10"/>
  <c r="V151" i="10"/>
  <c r="U151" i="10"/>
  <c r="T151" i="10"/>
  <c r="S151" i="10"/>
  <c r="R151" i="10"/>
  <c r="Q151" i="10"/>
  <c r="P151" i="10"/>
  <c r="O151" i="10"/>
  <c r="N151" i="10"/>
  <c r="M151" i="10"/>
  <c r="L151" i="10"/>
  <c r="AQ150" i="10"/>
  <c r="AP150" i="10"/>
  <c r="AO150" i="10"/>
  <c r="AN150" i="10"/>
  <c r="AM150" i="10"/>
  <c r="AL150" i="10"/>
  <c r="AK150" i="10"/>
  <c r="AJ150" i="10"/>
  <c r="AI150" i="10"/>
  <c r="AH150" i="10"/>
  <c r="AG150" i="10"/>
  <c r="AF150" i="10"/>
  <c r="AE150" i="10"/>
  <c r="AD150" i="10"/>
  <c r="AC150" i="10"/>
  <c r="AB150" i="10"/>
  <c r="AA150" i="10"/>
  <c r="Z150" i="10"/>
  <c r="Y150" i="10"/>
  <c r="X150" i="10"/>
  <c r="W150" i="10"/>
  <c r="V150" i="10"/>
  <c r="U150" i="10"/>
  <c r="T150" i="10"/>
  <c r="S150" i="10"/>
  <c r="R150" i="10"/>
  <c r="Q150" i="10"/>
  <c r="P150" i="10"/>
  <c r="O150" i="10"/>
  <c r="N150" i="10"/>
  <c r="M150" i="10"/>
  <c r="L150" i="10"/>
  <c r="AQ149" i="10"/>
  <c r="AP149" i="10"/>
  <c r="AO149" i="10"/>
  <c r="AN149" i="10"/>
  <c r="AM149" i="10"/>
  <c r="AL149" i="10"/>
  <c r="AK149" i="10"/>
  <c r="AJ149" i="10"/>
  <c r="AI149" i="10"/>
  <c r="AH149" i="10"/>
  <c r="AG149" i="10"/>
  <c r="AF149" i="10"/>
  <c r="AE149" i="10"/>
  <c r="AD149" i="10"/>
  <c r="AC149" i="10"/>
  <c r="AB149" i="10"/>
  <c r="AA149" i="10"/>
  <c r="Z149" i="10"/>
  <c r="Y149" i="10"/>
  <c r="X149" i="10"/>
  <c r="W149" i="10"/>
  <c r="V149" i="10"/>
  <c r="U149" i="10"/>
  <c r="T149" i="10"/>
  <c r="S149" i="10"/>
  <c r="R149" i="10"/>
  <c r="Q149" i="10"/>
  <c r="P149" i="10"/>
  <c r="O149" i="10"/>
  <c r="N149" i="10"/>
  <c r="M149" i="10"/>
  <c r="L149" i="10"/>
  <c r="AQ148" i="10"/>
  <c r="AP148" i="10"/>
  <c r="AO148" i="10"/>
  <c r="AN148" i="10"/>
  <c r="AM148" i="10"/>
  <c r="AL148" i="10"/>
  <c r="AK148" i="10"/>
  <c r="AJ148" i="10"/>
  <c r="AI148" i="10"/>
  <c r="AH148" i="10"/>
  <c r="AG148" i="10"/>
  <c r="AF148" i="10"/>
  <c r="AE148" i="10"/>
  <c r="AD148" i="10"/>
  <c r="AC148" i="10"/>
  <c r="AB148" i="10"/>
  <c r="AA148" i="10"/>
  <c r="Z148" i="10"/>
  <c r="Y148" i="10"/>
  <c r="X148" i="10"/>
  <c r="W148" i="10"/>
  <c r="V148" i="10"/>
  <c r="U148" i="10"/>
  <c r="T148" i="10"/>
  <c r="S148" i="10"/>
  <c r="R148" i="10"/>
  <c r="Q148" i="10"/>
  <c r="P148" i="10"/>
  <c r="O148" i="10"/>
  <c r="N148" i="10"/>
  <c r="M148" i="10"/>
  <c r="L148" i="10"/>
  <c r="AQ147" i="10"/>
  <c r="AP147" i="10"/>
  <c r="AO147" i="10"/>
  <c r="AN147" i="10"/>
  <c r="AM147" i="10"/>
  <c r="AL147" i="10"/>
  <c r="AK147" i="10"/>
  <c r="AJ147" i="10"/>
  <c r="AI147" i="10"/>
  <c r="AH147" i="10"/>
  <c r="AG147" i="10"/>
  <c r="AF147" i="10"/>
  <c r="AE147" i="10"/>
  <c r="AD147" i="10"/>
  <c r="AC147" i="10"/>
  <c r="AB147" i="10"/>
  <c r="AA147" i="10"/>
  <c r="Z147" i="10"/>
  <c r="Y147" i="10"/>
  <c r="X147" i="10"/>
  <c r="W147" i="10"/>
  <c r="V147" i="10"/>
  <c r="U147" i="10"/>
  <c r="T147" i="10"/>
  <c r="S147" i="10"/>
  <c r="R147" i="10"/>
  <c r="Q147" i="10"/>
  <c r="P147" i="10"/>
  <c r="O147" i="10"/>
  <c r="N147" i="10"/>
  <c r="M147" i="10"/>
  <c r="L147" i="10"/>
  <c r="AQ146" i="10"/>
  <c r="AP146" i="10"/>
  <c r="AO146" i="10"/>
  <c r="AN146" i="10"/>
  <c r="AM146" i="10"/>
  <c r="AL146" i="10"/>
  <c r="AK146" i="10"/>
  <c r="AJ146" i="10"/>
  <c r="AI146" i="10"/>
  <c r="AH146" i="10"/>
  <c r="AG146" i="10"/>
  <c r="AF146" i="10"/>
  <c r="AE146" i="10"/>
  <c r="AD146" i="10"/>
  <c r="AC146" i="10"/>
  <c r="AB146" i="10"/>
  <c r="AA146" i="10"/>
  <c r="Z146" i="10"/>
  <c r="Y146" i="10"/>
  <c r="X146" i="10"/>
  <c r="W146" i="10"/>
  <c r="V146" i="10"/>
  <c r="U146" i="10"/>
  <c r="T146" i="10"/>
  <c r="S146" i="10"/>
  <c r="R146" i="10"/>
  <c r="Q146" i="10"/>
  <c r="P146" i="10"/>
  <c r="O146" i="10"/>
  <c r="N146" i="10"/>
  <c r="M146" i="10"/>
  <c r="L146" i="10"/>
  <c r="AQ145" i="10"/>
  <c r="AP145" i="10"/>
  <c r="AO145" i="10"/>
  <c r="AN145" i="10"/>
  <c r="AM145" i="10"/>
  <c r="AL145" i="10"/>
  <c r="AK145" i="10"/>
  <c r="AJ145" i="10"/>
  <c r="AI145" i="10"/>
  <c r="AH145" i="10"/>
  <c r="AG145" i="10"/>
  <c r="AF145" i="10"/>
  <c r="AE145" i="10"/>
  <c r="AD145" i="10"/>
  <c r="AC145" i="10"/>
  <c r="AB145" i="10"/>
  <c r="AA145" i="10"/>
  <c r="Z145" i="10"/>
  <c r="Y145" i="10"/>
  <c r="X145" i="10"/>
  <c r="W145" i="10"/>
  <c r="V145" i="10"/>
  <c r="U145" i="10"/>
  <c r="T145" i="10"/>
  <c r="S145" i="10"/>
  <c r="R145" i="10"/>
  <c r="Q145" i="10"/>
  <c r="P145" i="10"/>
  <c r="O145" i="10"/>
  <c r="N145" i="10"/>
  <c r="M145" i="10"/>
  <c r="L145" i="10"/>
  <c r="AQ144" i="10"/>
  <c r="AP144" i="10"/>
  <c r="AO144" i="10"/>
  <c r="AN144" i="10"/>
  <c r="AM144" i="10"/>
  <c r="AL144" i="10"/>
  <c r="AK144" i="10"/>
  <c r="AJ144" i="10"/>
  <c r="AI144" i="10"/>
  <c r="AH144" i="10"/>
  <c r="AG144" i="10"/>
  <c r="AF144" i="10"/>
  <c r="AE144" i="10"/>
  <c r="AD144" i="10"/>
  <c r="AC144" i="10"/>
  <c r="AB144" i="10"/>
  <c r="AA144" i="10"/>
  <c r="Z144" i="10"/>
  <c r="Y144" i="10"/>
  <c r="X144" i="10"/>
  <c r="W144" i="10"/>
  <c r="V144" i="10"/>
  <c r="U144" i="10"/>
  <c r="T144" i="10"/>
  <c r="S144" i="10"/>
  <c r="R144" i="10"/>
  <c r="Q144" i="10"/>
  <c r="P144" i="10"/>
  <c r="O144" i="10"/>
  <c r="N144" i="10"/>
  <c r="M144" i="10"/>
  <c r="L144" i="10"/>
  <c r="AQ143" i="10"/>
  <c r="AP143" i="10"/>
  <c r="AO143" i="10"/>
  <c r="AN143" i="10"/>
  <c r="AM143" i="10"/>
  <c r="AL143" i="10"/>
  <c r="AK143" i="10"/>
  <c r="AJ143" i="10"/>
  <c r="AI143" i="10"/>
  <c r="AH143" i="10"/>
  <c r="AG143" i="10"/>
  <c r="AF143" i="10"/>
  <c r="AE143" i="10"/>
  <c r="AD143" i="10"/>
  <c r="AC143" i="10"/>
  <c r="AB143" i="10"/>
  <c r="AA143" i="10"/>
  <c r="Z143" i="10"/>
  <c r="Y143" i="10"/>
  <c r="X143" i="10"/>
  <c r="W143" i="10"/>
  <c r="V143" i="10"/>
  <c r="U143" i="10"/>
  <c r="T143" i="10"/>
  <c r="S143" i="10"/>
  <c r="R143" i="10"/>
  <c r="Q143" i="10"/>
  <c r="P143" i="10"/>
  <c r="O143" i="10"/>
  <c r="N143" i="10"/>
  <c r="M143" i="10"/>
  <c r="L143" i="10"/>
  <c r="AQ142" i="10"/>
  <c r="AP142" i="10"/>
  <c r="AO142" i="10"/>
  <c r="AN142" i="10"/>
  <c r="AM142" i="10"/>
  <c r="AL142" i="10"/>
  <c r="AK142" i="10"/>
  <c r="AJ142" i="10"/>
  <c r="AI142" i="10"/>
  <c r="AH142" i="10"/>
  <c r="AG142" i="10"/>
  <c r="AF142" i="10"/>
  <c r="AE142" i="10"/>
  <c r="AD142" i="10"/>
  <c r="AC142" i="10"/>
  <c r="AB142" i="10"/>
  <c r="AA142" i="10"/>
  <c r="Z142" i="10"/>
  <c r="Y142" i="10"/>
  <c r="X142" i="10"/>
  <c r="W142" i="10"/>
  <c r="V142" i="10"/>
  <c r="U142" i="10"/>
  <c r="T142" i="10"/>
  <c r="S142" i="10"/>
  <c r="R142" i="10"/>
  <c r="Q142" i="10"/>
  <c r="P142" i="10"/>
  <c r="O142" i="10"/>
  <c r="N142" i="10"/>
  <c r="M142" i="10"/>
  <c r="L142" i="10"/>
  <c r="AQ141" i="10"/>
  <c r="AP141" i="10"/>
  <c r="AO141" i="10"/>
  <c r="AN141" i="10"/>
  <c r="AM141" i="10"/>
  <c r="AL141" i="10"/>
  <c r="AK141" i="10"/>
  <c r="AJ141" i="10"/>
  <c r="AI141" i="10"/>
  <c r="AH141" i="10"/>
  <c r="AG141" i="10"/>
  <c r="AF141" i="10"/>
  <c r="AE141" i="10"/>
  <c r="AD141" i="10"/>
  <c r="AC141" i="10"/>
  <c r="AB141" i="10"/>
  <c r="AA141" i="10"/>
  <c r="Z141" i="10"/>
  <c r="Y141" i="10"/>
  <c r="X141" i="10"/>
  <c r="W141" i="10"/>
  <c r="V141" i="10"/>
  <c r="U141" i="10"/>
  <c r="T141" i="10"/>
  <c r="S141" i="10"/>
  <c r="R141" i="10"/>
  <c r="Q141" i="10"/>
  <c r="P141" i="10"/>
  <c r="O141" i="10"/>
  <c r="N141" i="10"/>
  <c r="M141" i="10"/>
  <c r="L141" i="10"/>
  <c r="AQ140" i="10"/>
  <c r="AP140" i="10"/>
  <c r="AO140" i="10"/>
  <c r="AN140" i="10"/>
  <c r="AM140" i="10"/>
  <c r="AL140" i="10"/>
  <c r="AK140" i="10"/>
  <c r="AJ140" i="10"/>
  <c r="AI140" i="10"/>
  <c r="AH140" i="10"/>
  <c r="AG140" i="10"/>
  <c r="AF140" i="10"/>
  <c r="AE140" i="10"/>
  <c r="AD140" i="10"/>
  <c r="AC140" i="10"/>
  <c r="AB140" i="10"/>
  <c r="AA140" i="10"/>
  <c r="Z140" i="10"/>
  <c r="Y140" i="10"/>
  <c r="X140" i="10"/>
  <c r="W140" i="10"/>
  <c r="V140" i="10"/>
  <c r="U140" i="10"/>
  <c r="T140" i="10"/>
  <c r="S140" i="10"/>
  <c r="R140" i="10"/>
  <c r="Q140" i="10"/>
  <c r="P140" i="10"/>
  <c r="O140" i="10"/>
  <c r="N140" i="10"/>
  <c r="M140" i="10"/>
  <c r="L140" i="10"/>
  <c r="AQ139" i="10"/>
  <c r="AP139" i="10"/>
  <c r="AO139" i="10"/>
  <c r="AN139" i="10"/>
  <c r="AM139" i="10"/>
  <c r="AL139" i="10"/>
  <c r="AK139" i="10"/>
  <c r="AJ139" i="10"/>
  <c r="AI139" i="10"/>
  <c r="AH139" i="10"/>
  <c r="AG139" i="10"/>
  <c r="AF139" i="10"/>
  <c r="AE139" i="10"/>
  <c r="AD139" i="10"/>
  <c r="AC139" i="10"/>
  <c r="AB139" i="10"/>
  <c r="AA139" i="10"/>
  <c r="Z139" i="10"/>
  <c r="Y139" i="10"/>
  <c r="X139" i="10"/>
  <c r="W139" i="10"/>
  <c r="V139" i="10"/>
  <c r="U139" i="10"/>
  <c r="T139" i="10"/>
  <c r="S139" i="10"/>
  <c r="R139" i="10"/>
  <c r="Q139" i="10"/>
  <c r="P139" i="10"/>
  <c r="O139" i="10"/>
  <c r="N139" i="10"/>
  <c r="M139" i="10"/>
  <c r="L139" i="10"/>
  <c r="AQ138" i="10"/>
  <c r="AP138" i="10"/>
  <c r="AO138" i="10"/>
  <c r="AN138" i="10"/>
  <c r="AM138" i="10"/>
  <c r="AL138" i="10"/>
  <c r="AK138" i="10"/>
  <c r="AJ138" i="10"/>
  <c r="AI138" i="10"/>
  <c r="AH138" i="10"/>
  <c r="AG138" i="10"/>
  <c r="AF138" i="10"/>
  <c r="AE138" i="10"/>
  <c r="AD138" i="10"/>
  <c r="AC138" i="10"/>
  <c r="AB138" i="10"/>
  <c r="AA138" i="10"/>
  <c r="Z138" i="10"/>
  <c r="Y138" i="10"/>
  <c r="X138" i="10"/>
  <c r="W138" i="10"/>
  <c r="V138" i="10"/>
  <c r="U138" i="10"/>
  <c r="T138" i="10"/>
  <c r="S138" i="10"/>
  <c r="R138" i="10"/>
  <c r="Q138" i="10"/>
  <c r="P138" i="10"/>
  <c r="O138" i="10"/>
  <c r="N138" i="10"/>
  <c r="M138" i="10"/>
  <c r="L138" i="10"/>
  <c r="AQ137" i="10"/>
  <c r="AP137" i="10"/>
  <c r="AO137" i="10"/>
  <c r="AN137" i="10"/>
  <c r="AM137" i="10"/>
  <c r="AL137" i="10"/>
  <c r="AK137" i="10"/>
  <c r="AJ137" i="10"/>
  <c r="AI137" i="10"/>
  <c r="AH137" i="10"/>
  <c r="AG137" i="10"/>
  <c r="AF137" i="10"/>
  <c r="AE137" i="10"/>
  <c r="AD137" i="10"/>
  <c r="AC137" i="10"/>
  <c r="AB137" i="10"/>
  <c r="AA137" i="10"/>
  <c r="Z137" i="10"/>
  <c r="Y137" i="10"/>
  <c r="X137" i="10"/>
  <c r="W137" i="10"/>
  <c r="V137" i="10"/>
  <c r="U137" i="10"/>
  <c r="T137" i="10"/>
  <c r="S137" i="10"/>
  <c r="R137" i="10"/>
  <c r="Q137" i="10"/>
  <c r="P137" i="10"/>
  <c r="O137" i="10"/>
  <c r="N137" i="10"/>
  <c r="M137" i="10"/>
  <c r="L137" i="10"/>
  <c r="AQ136" i="10"/>
  <c r="AP136" i="10"/>
  <c r="AO136" i="10"/>
  <c r="AN136" i="10"/>
  <c r="AM136" i="10"/>
  <c r="AL136" i="10"/>
  <c r="AK136" i="10"/>
  <c r="AJ136" i="10"/>
  <c r="AI136" i="10"/>
  <c r="AH136" i="10"/>
  <c r="AG136" i="10"/>
  <c r="AF136" i="10"/>
  <c r="AE136" i="10"/>
  <c r="AD136" i="10"/>
  <c r="AC136" i="10"/>
  <c r="AB136" i="10"/>
  <c r="AA136" i="10"/>
  <c r="Z136" i="10"/>
  <c r="Y136" i="10"/>
  <c r="X136" i="10"/>
  <c r="W136" i="10"/>
  <c r="V136" i="10"/>
  <c r="U136" i="10"/>
  <c r="T136" i="10"/>
  <c r="S136" i="10"/>
  <c r="R136" i="10"/>
  <c r="Q136" i="10"/>
  <c r="P136" i="10"/>
  <c r="O136" i="10"/>
  <c r="N136" i="10"/>
  <c r="M136" i="10"/>
  <c r="L136" i="10"/>
  <c r="AQ135" i="10"/>
  <c r="AP135" i="10"/>
  <c r="AO135" i="10"/>
  <c r="AN135" i="10"/>
  <c r="AM135" i="10"/>
  <c r="AL135" i="10"/>
  <c r="AK135" i="10"/>
  <c r="AJ135" i="10"/>
  <c r="AI135" i="10"/>
  <c r="AH135" i="10"/>
  <c r="AG135" i="10"/>
  <c r="AF135" i="10"/>
  <c r="AE135" i="10"/>
  <c r="AD135" i="10"/>
  <c r="AC135" i="10"/>
  <c r="AB135" i="10"/>
  <c r="AA135" i="10"/>
  <c r="Z135" i="10"/>
  <c r="Y135" i="10"/>
  <c r="X135" i="10"/>
  <c r="W135" i="10"/>
  <c r="V135" i="10"/>
  <c r="U135" i="10"/>
  <c r="T135" i="10"/>
  <c r="S135" i="10"/>
  <c r="R135" i="10"/>
  <c r="Q135" i="10"/>
  <c r="P135" i="10"/>
  <c r="O135" i="10"/>
  <c r="N135" i="10"/>
  <c r="M135" i="10"/>
  <c r="L135" i="10"/>
  <c r="AQ134" i="10"/>
  <c r="AP134" i="10"/>
  <c r="AO134" i="10"/>
  <c r="AN134" i="10"/>
  <c r="AM134" i="10"/>
  <c r="AL134" i="10"/>
  <c r="AK134" i="10"/>
  <c r="AJ134" i="10"/>
  <c r="AI134" i="10"/>
  <c r="AH134" i="10"/>
  <c r="AG134" i="10"/>
  <c r="AF134" i="10"/>
  <c r="AE134" i="10"/>
  <c r="AD134" i="10"/>
  <c r="AC134" i="10"/>
  <c r="AB134" i="10"/>
  <c r="AA134" i="10"/>
  <c r="Z134" i="10"/>
  <c r="Y134" i="10"/>
  <c r="X134" i="10"/>
  <c r="W134" i="10"/>
  <c r="V134" i="10"/>
  <c r="U134" i="10"/>
  <c r="T134" i="10"/>
  <c r="S134" i="10"/>
  <c r="R134" i="10"/>
  <c r="Q134" i="10"/>
  <c r="P134" i="10"/>
  <c r="O134" i="10"/>
  <c r="N134" i="10"/>
  <c r="M134" i="10"/>
  <c r="L134" i="10"/>
  <c r="AQ133" i="10"/>
  <c r="AP133" i="10"/>
  <c r="AO133" i="10"/>
  <c r="AN133" i="10"/>
  <c r="AM133" i="10"/>
  <c r="AL133" i="10"/>
  <c r="AK133" i="10"/>
  <c r="AJ133" i="10"/>
  <c r="AI133" i="10"/>
  <c r="AH133" i="10"/>
  <c r="AG133" i="10"/>
  <c r="AF133" i="10"/>
  <c r="AE133" i="10"/>
  <c r="AD133" i="10"/>
  <c r="AC133" i="10"/>
  <c r="AB133" i="10"/>
  <c r="AA133" i="10"/>
  <c r="Z133" i="10"/>
  <c r="Y133" i="10"/>
  <c r="X133" i="10"/>
  <c r="W133" i="10"/>
  <c r="V133" i="10"/>
  <c r="U133" i="10"/>
  <c r="T133" i="10"/>
  <c r="S133" i="10"/>
  <c r="R133" i="10"/>
  <c r="Q133" i="10"/>
  <c r="P133" i="10"/>
  <c r="O133" i="10"/>
  <c r="N133" i="10"/>
  <c r="M133" i="10"/>
  <c r="L133" i="10"/>
  <c r="AQ132" i="10"/>
  <c r="AP132" i="10"/>
  <c r="AO132" i="10"/>
  <c r="AN132" i="10"/>
  <c r="AM132" i="10"/>
  <c r="AL132" i="10"/>
  <c r="AK132" i="10"/>
  <c r="AJ132" i="10"/>
  <c r="AI132" i="10"/>
  <c r="AH132" i="10"/>
  <c r="AG132" i="10"/>
  <c r="AF132" i="10"/>
  <c r="AE132" i="10"/>
  <c r="AD132" i="10"/>
  <c r="AC132" i="10"/>
  <c r="AB132" i="10"/>
  <c r="AA132" i="10"/>
  <c r="Z132" i="10"/>
  <c r="Y132" i="10"/>
  <c r="X132" i="10"/>
  <c r="W132" i="10"/>
  <c r="V132" i="10"/>
  <c r="U132" i="10"/>
  <c r="T132" i="10"/>
  <c r="S132" i="10"/>
  <c r="R132" i="10"/>
  <c r="Q132" i="10"/>
  <c r="P132" i="10"/>
  <c r="O132" i="10"/>
  <c r="N132" i="10"/>
  <c r="M132" i="10"/>
  <c r="L132" i="10"/>
  <c r="AI92" i="10"/>
  <c r="AQ91" i="10"/>
  <c r="AI91" i="10"/>
  <c r="AI90" i="10"/>
  <c r="AI89" i="10"/>
  <c r="AI88" i="10"/>
  <c r="AI87" i="10"/>
  <c r="AQ86" i="10"/>
  <c r="AP86" i="10"/>
  <c r="AO86" i="10"/>
  <c r="AN86" i="10"/>
  <c r="AM86" i="10"/>
  <c r="AL86" i="10"/>
  <c r="AK86" i="10"/>
  <c r="AJ86" i="10"/>
  <c r="AI86" i="10"/>
  <c r="AH86" i="10"/>
  <c r="AG86" i="10"/>
  <c r="AF86" i="10"/>
  <c r="AE86" i="10"/>
  <c r="AD86" i="10"/>
  <c r="AC86" i="10"/>
  <c r="AB86" i="10"/>
  <c r="AA86" i="10"/>
  <c r="Z86" i="10"/>
  <c r="Y86" i="10"/>
  <c r="X86" i="10"/>
  <c r="W86" i="10"/>
  <c r="V86" i="10"/>
  <c r="U86" i="10"/>
  <c r="T86" i="10"/>
  <c r="S86" i="10"/>
  <c r="R86" i="10"/>
  <c r="R92" i="10" s="1"/>
  <c r="Q86" i="10"/>
  <c r="P86" i="10"/>
  <c r="O86" i="10"/>
  <c r="N86" i="10"/>
  <c r="M86" i="10"/>
  <c r="L86" i="10"/>
  <c r="AQ85" i="10"/>
  <c r="AP85" i="10"/>
  <c r="AP91" i="10" s="1"/>
  <c r="AO85" i="10"/>
  <c r="AN85" i="10"/>
  <c r="AM85" i="10"/>
  <c r="AL85" i="10"/>
  <c r="AK85" i="10"/>
  <c r="AJ85" i="10"/>
  <c r="AI85" i="10"/>
  <c r="AH85" i="10"/>
  <c r="AG85" i="10"/>
  <c r="AF85" i="10"/>
  <c r="AE85" i="10"/>
  <c r="AD85" i="10"/>
  <c r="AC85" i="10"/>
  <c r="AB85" i="10"/>
  <c r="AA85" i="10"/>
  <c r="Z85" i="10"/>
  <c r="Y85" i="10"/>
  <c r="X85" i="10"/>
  <c r="W85" i="10"/>
  <c r="V85" i="10"/>
  <c r="U85" i="10"/>
  <c r="T85" i="10"/>
  <c r="S85" i="10"/>
  <c r="R85" i="10"/>
  <c r="Q85" i="10"/>
  <c r="P85" i="10"/>
  <c r="O85" i="10"/>
  <c r="N85" i="10"/>
  <c r="M85" i="10"/>
  <c r="L85" i="10"/>
  <c r="AQ84" i="10"/>
  <c r="AP84" i="10"/>
  <c r="AO84" i="10"/>
  <c r="AN84" i="10"/>
  <c r="AM84" i="10"/>
  <c r="AL84" i="10"/>
  <c r="AK84" i="10"/>
  <c r="AJ84" i="10"/>
  <c r="AI84" i="10"/>
  <c r="AH84" i="10"/>
  <c r="AG84" i="10"/>
  <c r="AF84" i="10"/>
  <c r="AE84" i="10"/>
  <c r="AD84" i="10"/>
  <c r="AC84" i="10"/>
  <c r="AB84" i="10"/>
  <c r="AA84" i="10"/>
  <c r="Z84" i="10"/>
  <c r="Y84" i="10"/>
  <c r="X84" i="10"/>
  <c r="W84" i="10"/>
  <c r="V84" i="10"/>
  <c r="U84" i="10"/>
  <c r="T84" i="10"/>
  <c r="S84" i="10"/>
  <c r="R84" i="10"/>
  <c r="Q84" i="10"/>
  <c r="P84" i="10"/>
  <c r="O84" i="10"/>
  <c r="N84" i="10"/>
  <c r="M84" i="10"/>
  <c r="L84" i="10"/>
  <c r="AQ83" i="10"/>
  <c r="AP83" i="10"/>
  <c r="AO83" i="10"/>
  <c r="AN83" i="10"/>
  <c r="AM83" i="10"/>
  <c r="AL83" i="10"/>
  <c r="AK83" i="10"/>
  <c r="AJ83" i="10"/>
  <c r="AI83" i="10"/>
  <c r="AH83" i="10"/>
  <c r="AG83" i="10"/>
  <c r="AF83" i="10"/>
  <c r="AE83" i="10"/>
  <c r="AD83" i="10"/>
  <c r="AC83" i="10"/>
  <c r="AB83" i="10"/>
  <c r="AA83" i="10"/>
  <c r="Z83" i="10"/>
  <c r="Y83" i="10"/>
  <c r="X83" i="10"/>
  <c r="W83" i="10"/>
  <c r="V83" i="10"/>
  <c r="U83" i="10"/>
  <c r="T83" i="10"/>
  <c r="S83" i="10"/>
  <c r="R83" i="10"/>
  <c r="Q83" i="10"/>
  <c r="P83" i="10"/>
  <c r="O83" i="10"/>
  <c r="N83" i="10"/>
  <c r="M83" i="10"/>
  <c r="L83" i="10"/>
  <c r="AQ82" i="10"/>
  <c r="AP82" i="10"/>
  <c r="AP88" i="10" s="1"/>
  <c r="AO82" i="10"/>
  <c r="AN82" i="10"/>
  <c r="AM82" i="10"/>
  <c r="AL82" i="10"/>
  <c r="AK82" i="10"/>
  <c r="AJ82" i="10"/>
  <c r="AI82" i="10"/>
  <c r="AH82" i="10"/>
  <c r="AG82" i="10"/>
  <c r="AF82" i="10"/>
  <c r="AE82" i="10"/>
  <c r="AD82" i="10"/>
  <c r="AC82" i="10"/>
  <c r="AB82" i="10"/>
  <c r="AA82" i="10"/>
  <c r="Z82" i="10"/>
  <c r="Y82" i="10"/>
  <c r="X82" i="10"/>
  <c r="W82" i="10"/>
  <c r="V82" i="10"/>
  <c r="U82" i="10"/>
  <c r="T82" i="10"/>
  <c r="S82" i="10"/>
  <c r="R82" i="10"/>
  <c r="R88" i="10" s="1"/>
  <c r="Q82" i="10"/>
  <c r="P82" i="10"/>
  <c r="O82" i="10"/>
  <c r="N82" i="10"/>
  <c r="M82" i="10"/>
  <c r="L82" i="10"/>
  <c r="AQ81" i="10"/>
  <c r="AP81" i="10"/>
  <c r="AO81" i="10"/>
  <c r="AN81" i="10"/>
  <c r="AM81" i="10"/>
  <c r="AL81" i="10"/>
  <c r="AK81" i="10"/>
  <c r="AJ81" i="10"/>
  <c r="AI81" i="10"/>
  <c r="AH81" i="10"/>
  <c r="AG81" i="10"/>
  <c r="AF81" i="10"/>
  <c r="AE81" i="10"/>
  <c r="AD81" i="10"/>
  <c r="AC81" i="10"/>
  <c r="AB81" i="10"/>
  <c r="AA81" i="10"/>
  <c r="Z81" i="10"/>
  <c r="Y81" i="10"/>
  <c r="X81" i="10"/>
  <c r="W81" i="10"/>
  <c r="V81" i="10"/>
  <c r="U81" i="10"/>
  <c r="T81" i="10"/>
  <c r="S81" i="10"/>
  <c r="R81" i="10"/>
  <c r="R87" i="10" s="1"/>
  <c r="Q81" i="10"/>
  <c r="P81" i="10"/>
  <c r="O81" i="10"/>
  <c r="N81" i="10"/>
  <c r="M81" i="10"/>
  <c r="L81" i="10"/>
  <c r="AQ80" i="10"/>
  <c r="AP80" i="10"/>
  <c r="AO80" i="10"/>
  <c r="AN80" i="10"/>
  <c r="AM80" i="10"/>
  <c r="AL80" i="10"/>
  <c r="AK80" i="10"/>
  <c r="AJ80" i="10"/>
  <c r="AI80" i="10"/>
  <c r="AH80" i="10"/>
  <c r="AG80" i="10"/>
  <c r="AF80" i="10"/>
  <c r="AE80" i="10"/>
  <c r="AD80" i="10"/>
  <c r="AC80" i="10"/>
  <c r="AB80" i="10"/>
  <c r="AA80" i="10"/>
  <c r="Z80" i="10"/>
  <c r="Y80" i="10"/>
  <c r="X80" i="10"/>
  <c r="W80" i="10"/>
  <c r="V80" i="10"/>
  <c r="U80" i="10"/>
  <c r="T80" i="10"/>
  <c r="S80" i="10"/>
  <c r="R80" i="10"/>
  <c r="Q80" i="10"/>
  <c r="P80" i="10"/>
  <c r="O80" i="10"/>
  <c r="N80" i="10"/>
  <c r="M80" i="10"/>
  <c r="L80" i="10"/>
  <c r="AQ79" i="10"/>
  <c r="AP79" i="10"/>
  <c r="AO79" i="10"/>
  <c r="AN79" i="10"/>
  <c r="AM79" i="10"/>
  <c r="AL79" i="10"/>
  <c r="AK79" i="10"/>
  <c r="AJ79" i="10"/>
  <c r="AI79" i="10"/>
  <c r="AH79" i="10"/>
  <c r="AG79" i="10"/>
  <c r="AF79" i="10"/>
  <c r="AE79" i="10"/>
  <c r="AD79" i="10"/>
  <c r="AC79" i="10"/>
  <c r="AB79" i="10"/>
  <c r="AA79" i="10"/>
  <c r="Z79" i="10"/>
  <c r="Y79" i="10"/>
  <c r="X79" i="10"/>
  <c r="W79" i="10"/>
  <c r="V79" i="10"/>
  <c r="U79" i="10"/>
  <c r="T79" i="10"/>
  <c r="S79" i="10"/>
  <c r="R79" i="10"/>
  <c r="Q79" i="10"/>
  <c r="P79" i="10"/>
  <c r="O79" i="10"/>
  <c r="N79" i="10"/>
  <c r="M79" i="10"/>
  <c r="L79" i="10"/>
  <c r="AQ78" i="10"/>
  <c r="AP78" i="10"/>
  <c r="AO78" i="10"/>
  <c r="AN78" i="10"/>
  <c r="AM78" i="10"/>
  <c r="AL78" i="10"/>
  <c r="AK78" i="10"/>
  <c r="AJ78" i="10"/>
  <c r="AI78" i="10"/>
  <c r="AH78" i="10"/>
  <c r="AG78" i="10"/>
  <c r="AF78" i="10"/>
  <c r="AE78" i="10"/>
  <c r="AD78" i="10"/>
  <c r="AC78" i="10"/>
  <c r="AB78" i="10"/>
  <c r="AA78" i="10"/>
  <c r="Z78" i="10"/>
  <c r="Y78" i="10"/>
  <c r="X78" i="10"/>
  <c r="W78" i="10"/>
  <c r="V78" i="10"/>
  <c r="U78" i="10"/>
  <c r="T78" i="10"/>
  <c r="S78" i="10"/>
  <c r="R78" i="10"/>
  <c r="Q78" i="10"/>
  <c r="P78" i="10"/>
  <c r="O78" i="10"/>
  <c r="N78" i="10"/>
  <c r="M78" i="10"/>
  <c r="L78" i="10"/>
  <c r="AQ77" i="10"/>
  <c r="AP77" i="10"/>
  <c r="AO77" i="10"/>
  <c r="AN77" i="10"/>
  <c r="AM77" i="10"/>
  <c r="AL77" i="10"/>
  <c r="AK77" i="10"/>
  <c r="AJ77" i="10"/>
  <c r="AI77" i="10"/>
  <c r="AH77" i="10"/>
  <c r="AG77" i="10"/>
  <c r="AF77" i="10"/>
  <c r="AE77" i="10"/>
  <c r="AD77" i="10"/>
  <c r="AC77" i="10"/>
  <c r="AB77" i="10"/>
  <c r="AA77" i="10"/>
  <c r="Z77" i="10"/>
  <c r="Y77" i="10"/>
  <c r="X77" i="10"/>
  <c r="W77" i="10"/>
  <c r="V77" i="10"/>
  <c r="U77" i="10"/>
  <c r="T77" i="10"/>
  <c r="S77" i="10"/>
  <c r="R77" i="10"/>
  <c r="Q77" i="10"/>
  <c r="P77" i="10"/>
  <c r="O77" i="10"/>
  <c r="N77" i="10"/>
  <c r="M77" i="10"/>
  <c r="L77" i="10"/>
  <c r="AQ76" i="10"/>
  <c r="AP76" i="10"/>
  <c r="AO76" i="10"/>
  <c r="AN76" i="10"/>
  <c r="AM76" i="10"/>
  <c r="AL76" i="10"/>
  <c r="AK76" i="10"/>
  <c r="AJ76" i="10"/>
  <c r="AI76" i="10"/>
  <c r="AH76" i="10"/>
  <c r="AG76" i="10"/>
  <c r="AF76" i="10"/>
  <c r="AE76" i="10"/>
  <c r="AD76" i="10"/>
  <c r="AC76" i="10"/>
  <c r="AB76" i="10"/>
  <c r="AA76" i="10"/>
  <c r="Z76" i="10"/>
  <c r="Y76" i="10"/>
  <c r="X76" i="10"/>
  <c r="W76" i="10"/>
  <c r="V76" i="10"/>
  <c r="U76" i="10"/>
  <c r="T76" i="10"/>
  <c r="S76" i="10"/>
  <c r="R76" i="10"/>
  <c r="Q76" i="10"/>
  <c r="P76" i="10"/>
  <c r="O76" i="10"/>
  <c r="N76" i="10"/>
  <c r="M76" i="10"/>
  <c r="L76" i="10"/>
  <c r="AQ75" i="10"/>
  <c r="AP75" i="10"/>
  <c r="AO75" i="10"/>
  <c r="AN75" i="10"/>
  <c r="AM75" i="10"/>
  <c r="AL75" i="10"/>
  <c r="AK75" i="10"/>
  <c r="AJ75" i="10"/>
  <c r="AI75" i="10"/>
  <c r="AH75" i="10"/>
  <c r="AG75" i="10"/>
  <c r="AF75" i="10"/>
  <c r="AE75" i="10"/>
  <c r="AD75" i="10"/>
  <c r="AC75" i="10"/>
  <c r="AB75" i="10"/>
  <c r="AA75" i="10"/>
  <c r="Z75" i="10"/>
  <c r="Y75" i="10"/>
  <c r="X75" i="10"/>
  <c r="W75" i="10"/>
  <c r="V75" i="10"/>
  <c r="U75" i="10"/>
  <c r="T75" i="10"/>
  <c r="S75" i="10"/>
  <c r="R75" i="10"/>
  <c r="Q75" i="10"/>
  <c r="P75" i="10"/>
  <c r="O75" i="10"/>
  <c r="N75" i="10"/>
  <c r="M75" i="10"/>
  <c r="L75" i="10"/>
  <c r="AQ74" i="10"/>
  <c r="AP74" i="10"/>
  <c r="AO74" i="10"/>
  <c r="AN74" i="10"/>
  <c r="AM74" i="10"/>
  <c r="AL74" i="10"/>
  <c r="AK74" i="10"/>
  <c r="AJ74" i="10"/>
  <c r="AI74" i="10"/>
  <c r="AH74" i="10"/>
  <c r="AG74" i="10"/>
  <c r="AF74" i="10"/>
  <c r="AE74" i="10"/>
  <c r="AD74" i="10"/>
  <c r="AC74" i="10"/>
  <c r="AB74" i="10"/>
  <c r="AA74" i="10"/>
  <c r="Z74" i="10"/>
  <c r="Y74" i="10"/>
  <c r="X74" i="10"/>
  <c r="W74" i="10"/>
  <c r="V74" i="10"/>
  <c r="U74" i="10"/>
  <c r="T74" i="10"/>
  <c r="S74" i="10"/>
  <c r="R74" i="10"/>
  <c r="Q74" i="10"/>
  <c r="P74" i="10"/>
  <c r="O74" i="10"/>
  <c r="N74" i="10"/>
  <c r="M74" i="10"/>
  <c r="L74" i="10"/>
  <c r="AQ73" i="10"/>
  <c r="AP73" i="10"/>
  <c r="AO73" i="10"/>
  <c r="AN73" i="10"/>
  <c r="AM73" i="10"/>
  <c r="AL73" i="10"/>
  <c r="AK73" i="10"/>
  <c r="AJ73" i="10"/>
  <c r="AI73" i="10"/>
  <c r="AH73" i="10"/>
  <c r="AG73" i="10"/>
  <c r="AF73" i="10"/>
  <c r="AE73" i="10"/>
  <c r="AD73" i="10"/>
  <c r="AC73" i="10"/>
  <c r="AB73" i="10"/>
  <c r="AA73" i="10"/>
  <c r="Z73" i="10"/>
  <c r="Y73" i="10"/>
  <c r="X73" i="10"/>
  <c r="W73" i="10"/>
  <c r="V73" i="10"/>
  <c r="U73" i="10"/>
  <c r="T73" i="10"/>
  <c r="S73" i="10"/>
  <c r="R73" i="10"/>
  <c r="Q73" i="10"/>
  <c r="P73" i="10"/>
  <c r="O73" i="10"/>
  <c r="N73" i="10"/>
  <c r="M73" i="10"/>
  <c r="L73" i="10"/>
  <c r="AQ72" i="10"/>
  <c r="AP72" i="10"/>
  <c r="AO72" i="10"/>
  <c r="AN72" i="10"/>
  <c r="AM72" i="10"/>
  <c r="AL72" i="10"/>
  <c r="AK72" i="10"/>
  <c r="AJ72" i="10"/>
  <c r="AI72" i="10"/>
  <c r="AH72" i="10"/>
  <c r="AG72" i="10"/>
  <c r="AF72" i="10"/>
  <c r="AE72" i="10"/>
  <c r="AD72" i="10"/>
  <c r="AC72" i="10"/>
  <c r="AB72" i="10"/>
  <c r="AA72" i="10"/>
  <c r="Z72" i="10"/>
  <c r="Y72" i="10"/>
  <c r="X72" i="10"/>
  <c r="W72" i="10"/>
  <c r="V72" i="10"/>
  <c r="U72" i="10"/>
  <c r="T72" i="10"/>
  <c r="S72" i="10"/>
  <c r="R72" i="10"/>
  <c r="Q72" i="10"/>
  <c r="P72" i="10"/>
  <c r="O72" i="10"/>
  <c r="N72" i="10"/>
  <c r="M72" i="10"/>
  <c r="L72" i="10"/>
  <c r="AQ71" i="10"/>
  <c r="AP71" i="10"/>
  <c r="AO71" i="10"/>
  <c r="AN71" i="10"/>
  <c r="AM71" i="10"/>
  <c r="AL71" i="10"/>
  <c r="AK71" i="10"/>
  <c r="AJ71" i="10"/>
  <c r="AI71" i="10"/>
  <c r="AH71" i="10"/>
  <c r="AG71" i="10"/>
  <c r="AF71" i="10"/>
  <c r="AE71" i="10"/>
  <c r="AD71" i="10"/>
  <c r="AC71" i="10"/>
  <c r="AB71" i="10"/>
  <c r="AA71" i="10"/>
  <c r="Z71" i="10"/>
  <c r="Y71" i="10"/>
  <c r="X71" i="10"/>
  <c r="W71" i="10"/>
  <c r="V71" i="10"/>
  <c r="U71" i="10"/>
  <c r="T71" i="10"/>
  <c r="S71" i="10"/>
  <c r="R71" i="10"/>
  <c r="Q71" i="10"/>
  <c r="P71" i="10"/>
  <c r="O71" i="10"/>
  <c r="N71" i="10"/>
  <c r="M71" i="10"/>
  <c r="L71" i="10"/>
  <c r="AQ70" i="10"/>
  <c r="AP70" i="10"/>
  <c r="AO70" i="10"/>
  <c r="AN70" i="10"/>
  <c r="AM70" i="10"/>
  <c r="AL70" i="10"/>
  <c r="AK70" i="10"/>
  <c r="AJ70" i="10"/>
  <c r="AI70" i="10"/>
  <c r="AH70" i="10"/>
  <c r="AG70" i="10"/>
  <c r="AF70" i="10"/>
  <c r="AE70" i="10"/>
  <c r="AD70" i="10"/>
  <c r="AC70" i="10"/>
  <c r="AB70" i="10"/>
  <c r="AA70" i="10"/>
  <c r="Z70" i="10"/>
  <c r="Y70" i="10"/>
  <c r="X70" i="10"/>
  <c r="W70" i="10"/>
  <c r="V70" i="10"/>
  <c r="U70" i="10"/>
  <c r="T70" i="10"/>
  <c r="S70" i="10"/>
  <c r="R70" i="10"/>
  <c r="Q70" i="10"/>
  <c r="P70" i="10"/>
  <c r="O70" i="10"/>
  <c r="N70" i="10"/>
  <c r="M70" i="10"/>
  <c r="L70" i="10"/>
  <c r="AQ69" i="10"/>
  <c r="AP69" i="10"/>
  <c r="AO69" i="10"/>
  <c r="AN69" i="10"/>
  <c r="AM69" i="10"/>
  <c r="AL69" i="10"/>
  <c r="AK69" i="10"/>
  <c r="AJ69" i="10"/>
  <c r="AI69" i="10"/>
  <c r="AH69" i="10"/>
  <c r="AG69" i="10"/>
  <c r="AF69" i="10"/>
  <c r="AE69" i="10"/>
  <c r="AD69" i="10"/>
  <c r="AC69" i="10"/>
  <c r="AB69" i="10"/>
  <c r="AA69" i="10"/>
  <c r="Z69" i="10"/>
  <c r="Y69" i="10"/>
  <c r="X69" i="10"/>
  <c r="W69" i="10"/>
  <c r="V69" i="10"/>
  <c r="U69" i="10"/>
  <c r="T69" i="10"/>
  <c r="S69" i="10"/>
  <c r="R69" i="10"/>
  <c r="Q69" i="10"/>
  <c r="P69" i="10"/>
  <c r="O69" i="10"/>
  <c r="N69" i="10"/>
  <c r="M69" i="10"/>
  <c r="L69" i="10"/>
  <c r="AQ68" i="10"/>
  <c r="AP68" i="10"/>
  <c r="AO68" i="10"/>
  <c r="AN68" i="10"/>
  <c r="AM68" i="10"/>
  <c r="AL68" i="10"/>
  <c r="AK68" i="10"/>
  <c r="AJ68" i="10"/>
  <c r="AI68" i="10"/>
  <c r="AH68" i="10"/>
  <c r="AG68" i="10"/>
  <c r="AF68" i="10"/>
  <c r="AF295" i="10" s="1"/>
  <c r="AE68" i="10"/>
  <c r="AD68" i="10"/>
  <c r="AC68" i="10"/>
  <c r="AB68" i="10"/>
  <c r="AA68" i="10"/>
  <c r="Z68" i="10"/>
  <c r="Y68" i="10"/>
  <c r="X68" i="10"/>
  <c r="W68" i="10"/>
  <c r="V68" i="10"/>
  <c r="U68" i="10"/>
  <c r="T68" i="10"/>
  <c r="S68" i="10"/>
  <c r="R68" i="10"/>
  <c r="Q68" i="10"/>
  <c r="P68" i="10"/>
  <c r="O68" i="10"/>
  <c r="N68" i="10"/>
  <c r="M68" i="10"/>
  <c r="L68" i="10"/>
  <c r="AQ67" i="10"/>
  <c r="AP67" i="10"/>
  <c r="AO67" i="10"/>
  <c r="AN67" i="10"/>
  <c r="AM67" i="10"/>
  <c r="AL67" i="10"/>
  <c r="AK67" i="10"/>
  <c r="AJ67" i="10"/>
  <c r="AI67" i="10"/>
  <c r="AH67" i="10"/>
  <c r="AG67" i="10"/>
  <c r="AF67" i="10"/>
  <c r="AE67" i="10"/>
  <c r="AD67" i="10"/>
  <c r="AC67" i="10"/>
  <c r="AB67" i="10"/>
  <c r="AA67" i="10"/>
  <c r="Z67" i="10"/>
  <c r="Y67" i="10"/>
  <c r="X67" i="10"/>
  <c r="W67" i="10"/>
  <c r="V67" i="10"/>
  <c r="U67" i="10"/>
  <c r="T67" i="10"/>
  <c r="S67" i="10"/>
  <c r="R67" i="10"/>
  <c r="Q67" i="10"/>
  <c r="P67" i="10"/>
  <c r="O67" i="10"/>
  <c r="N67" i="10"/>
  <c r="M67" i="10"/>
  <c r="L67" i="10"/>
  <c r="AQ66" i="10"/>
  <c r="AP66" i="10"/>
  <c r="AO66" i="10"/>
  <c r="AN66" i="10"/>
  <c r="AM66" i="10"/>
  <c r="AL66" i="10"/>
  <c r="AK66" i="10"/>
  <c r="AJ66" i="10"/>
  <c r="AI66" i="10"/>
  <c r="AH66" i="10"/>
  <c r="AG66" i="10"/>
  <c r="AF66" i="10"/>
  <c r="AE66" i="10"/>
  <c r="AD66" i="10"/>
  <c r="AC66" i="10"/>
  <c r="AB66" i="10"/>
  <c r="AA66" i="10"/>
  <c r="Z66" i="10"/>
  <c r="Y66" i="10"/>
  <c r="X66" i="10"/>
  <c r="W66" i="10"/>
  <c r="V66" i="10"/>
  <c r="U66" i="10"/>
  <c r="T66" i="10"/>
  <c r="S66" i="10"/>
  <c r="R66" i="10"/>
  <c r="Q66" i="10"/>
  <c r="P66" i="10"/>
  <c r="O66" i="10"/>
  <c r="N66" i="10"/>
  <c r="M66" i="10"/>
  <c r="L66" i="10"/>
  <c r="AQ65" i="10"/>
  <c r="AP65" i="10"/>
  <c r="AO65" i="10"/>
  <c r="AN65" i="10"/>
  <c r="AM65" i="10"/>
  <c r="AL65" i="10"/>
  <c r="AK65" i="10"/>
  <c r="AJ65" i="10"/>
  <c r="AI65" i="10"/>
  <c r="AH65" i="10"/>
  <c r="AG65" i="10"/>
  <c r="AF65" i="10"/>
  <c r="AE65" i="10"/>
  <c r="AD65" i="10"/>
  <c r="AC65" i="10"/>
  <c r="AB65" i="10"/>
  <c r="AA65" i="10"/>
  <c r="Z65" i="10"/>
  <c r="Y65" i="10"/>
  <c r="X65" i="10"/>
  <c r="W65" i="10"/>
  <c r="V65" i="10"/>
  <c r="U65" i="10"/>
  <c r="T65" i="10"/>
  <c r="S65" i="10"/>
  <c r="R65" i="10"/>
  <c r="Q65" i="10"/>
  <c r="P65" i="10"/>
  <c r="O65" i="10"/>
  <c r="N65" i="10"/>
  <c r="M65" i="10"/>
  <c r="L65" i="10"/>
  <c r="AQ64" i="10"/>
  <c r="AP64" i="10"/>
  <c r="AO64" i="10"/>
  <c r="AN64" i="10"/>
  <c r="AM64" i="10"/>
  <c r="AL64" i="10"/>
  <c r="AK64" i="10"/>
  <c r="AJ64" i="10"/>
  <c r="AI64" i="10"/>
  <c r="AH64" i="10"/>
  <c r="AG64" i="10"/>
  <c r="AF64" i="10"/>
  <c r="AE64" i="10"/>
  <c r="AD64" i="10"/>
  <c r="AC64" i="10"/>
  <c r="AB64" i="10"/>
  <c r="AA64" i="10"/>
  <c r="Z64" i="10"/>
  <c r="Y64" i="10"/>
  <c r="X64" i="10"/>
  <c r="W64" i="10"/>
  <c r="V64" i="10"/>
  <c r="U64" i="10"/>
  <c r="T64" i="10"/>
  <c r="S64" i="10"/>
  <c r="R64" i="10"/>
  <c r="Q64" i="10"/>
  <c r="P64" i="10"/>
  <c r="O64" i="10"/>
  <c r="N64" i="10"/>
  <c r="M64" i="10"/>
  <c r="L64" i="10"/>
  <c r="AQ63" i="10"/>
  <c r="AP63" i="10"/>
  <c r="AO63" i="10"/>
  <c r="AN63" i="10"/>
  <c r="AM63" i="10"/>
  <c r="AL63" i="10"/>
  <c r="AK63" i="10"/>
  <c r="AJ63" i="10"/>
  <c r="AI63" i="10"/>
  <c r="AH63" i="10"/>
  <c r="AG63" i="10"/>
  <c r="AF63" i="10"/>
  <c r="AE63" i="10"/>
  <c r="AD63" i="10"/>
  <c r="AC63" i="10"/>
  <c r="AB63" i="10"/>
  <c r="AA63" i="10"/>
  <c r="Z63" i="10"/>
  <c r="Y63" i="10"/>
  <c r="X63" i="10"/>
  <c r="W63" i="10"/>
  <c r="V63" i="10"/>
  <c r="U63" i="10"/>
  <c r="T63" i="10"/>
  <c r="S63" i="10"/>
  <c r="R63" i="10"/>
  <c r="Q63" i="10"/>
  <c r="P63" i="10"/>
  <c r="O63" i="10"/>
  <c r="N63" i="10"/>
  <c r="M63" i="10"/>
  <c r="L63" i="10"/>
  <c r="O59" i="10"/>
  <c r="N59" i="10"/>
  <c r="W58" i="10"/>
  <c r="R58" i="10"/>
  <c r="N58" i="10"/>
  <c r="N57" i="10"/>
  <c r="N43" i="10"/>
  <c r="V58" i="10" s="1"/>
  <c r="N42" i="10"/>
  <c r="N41" i="10"/>
  <c r="N40" i="10"/>
  <c r="N39" i="10"/>
  <c r="N38" i="10"/>
  <c r="N51" i="10" s="1"/>
  <c r="O57" i="10" s="1"/>
  <c r="N37" i="10"/>
  <c r="L59" i="10" s="1"/>
  <c r="N36" i="10"/>
  <c r="N35" i="10"/>
  <c r="N34" i="10"/>
  <c r="N33" i="10"/>
  <c r="AV149" i="12" l="1"/>
  <c r="AW376" i="12"/>
  <c r="AD70" i="12"/>
  <c r="AE375" i="12"/>
  <c r="N376" i="12"/>
  <c r="N160" i="12"/>
  <c r="N151" i="12"/>
  <c r="S72" i="12"/>
  <c r="N154" i="12"/>
  <c r="N157" i="12"/>
  <c r="R171" i="12"/>
  <c r="R162" i="12"/>
  <c r="R156" i="12"/>
  <c r="R165" i="12"/>
  <c r="R174" i="12"/>
  <c r="R159" i="12"/>
  <c r="R150" i="12"/>
  <c r="R168" i="12"/>
  <c r="R153" i="12"/>
  <c r="R177" i="12"/>
  <c r="AH176" i="12"/>
  <c r="AH155" i="12"/>
  <c r="AH173" i="12"/>
  <c r="AH149" i="12"/>
  <c r="AH170" i="12"/>
  <c r="AH158" i="12"/>
  <c r="AH164" i="12"/>
  <c r="AH152" i="12"/>
  <c r="AH161" i="12"/>
  <c r="AH167" i="12"/>
  <c r="N166" i="12"/>
  <c r="N163" i="12"/>
  <c r="AM376" i="12"/>
  <c r="N148" i="12"/>
  <c r="X71" i="12"/>
  <c r="AM375" i="12"/>
  <c r="AF377" i="12"/>
  <c r="AF375" i="12"/>
  <c r="AF376" i="12"/>
  <c r="AP375" i="12"/>
  <c r="AP376" i="12"/>
  <c r="AP377" i="12"/>
  <c r="V376" i="12"/>
  <c r="V375" i="12"/>
  <c r="V377" i="12"/>
  <c r="AL72" i="12"/>
  <c r="AL69" i="12"/>
  <c r="M72" i="12"/>
  <c r="M69" i="12"/>
  <c r="U154" i="12"/>
  <c r="U151" i="12"/>
  <c r="U160" i="12"/>
  <c r="U166" i="12"/>
  <c r="U157" i="12"/>
  <c r="U169" i="12"/>
  <c r="U175" i="12"/>
  <c r="U172" i="12"/>
  <c r="U163" i="12"/>
  <c r="U148" i="12"/>
  <c r="AF68" i="12"/>
  <c r="AF71" i="12"/>
  <c r="U377" i="12"/>
  <c r="AE148" i="12"/>
  <c r="AE160" i="12"/>
  <c r="AE151" i="12"/>
  <c r="AE157" i="12"/>
  <c r="AE175" i="12"/>
  <c r="AE154" i="12"/>
  <c r="AE166" i="12"/>
  <c r="AE169" i="12"/>
  <c r="AE172" i="12"/>
  <c r="AE163" i="12"/>
  <c r="W73" i="12"/>
  <c r="W70" i="12"/>
  <c r="P75" i="12"/>
  <c r="P362" i="12"/>
  <c r="P361" i="12"/>
  <c r="P360" i="12"/>
  <c r="P364" i="12"/>
  <c r="P365" i="12"/>
  <c r="P363" i="12"/>
  <c r="AI75" i="12"/>
  <c r="AI365" i="12"/>
  <c r="AI364" i="12"/>
  <c r="AI363" i="12"/>
  <c r="AI362" i="12"/>
  <c r="AI361" i="12"/>
  <c r="AI360" i="12"/>
  <c r="AI73" i="12"/>
  <c r="AI70" i="12"/>
  <c r="T377" i="12"/>
  <c r="T376" i="12"/>
  <c r="T375" i="12"/>
  <c r="Y68" i="12"/>
  <c r="Y71" i="12"/>
  <c r="W72" i="12"/>
  <c r="W69" i="12"/>
  <c r="AF70" i="12"/>
  <c r="AF73" i="12"/>
  <c r="N68" i="12"/>
  <c r="N71" i="12"/>
  <c r="R68" i="12"/>
  <c r="R71" i="12"/>
  <c r="AO76" i="12"/>
  <c r="AO368" i="12"/>
  <c r="AO372" i="12"/>
  <c r="AO371" i="12"/>
  <c r="AO369" i="12"/>
  <c r="AO370" i="12"/>
  <c r="AO367" i="12"/>
  <c r="AI376" i="12"/>
  <c r="AI375" i="12"/>
  <c r="AI377" i="12"/>
  <c r="X70" i="12"/>
  <c r="X73" i="12"/>
  <c r="S75" i="12"/>
  <c r="S361" i="12"/>
  <c r="S365" i="12"/>
  <c r="S364" i="12"/>
  <c r="S363" i="12"/>
  <c r="S362" i="12"/>
  <c r="S360" i="12"/>
  <c r="AE377" i="12"/>
  <c r="M377" i="12"/>
  <c r="M375" i="12"/>
  <c r="M376" i="12"/>
  <c r="AH72" i="12"/>
  <c r="AH69" i="12"/>
  <c r="AD68" i="12"/>
  <c r="AD71" i="12"/>
  <c r="AM377" i="12"/>
  <c r="AH377" i="12"/>
  <c r="Q69" i="12"/>
  <c r="Q72" i="12"/>
  <c r="S74" i="12"/>
  <c r="S356" i="12"/>
  <c r="S355" i="12"/>
  <c r="S354" i="12"/>
  <c r="S353" i="12"/>
  <c r="S357" i="12"/>
  <c r="S358" i="12"/>
  <c r="P377" i="12"/>
  <c r="P376" i="12"/>
  <c r="P375" i="12"/>
  <c r="Q73" i="12"/>
  <c r="Q70" i="12"/>
  <c r="P74" i="12"/>
  <c r="P353" i="12"/>
  <c r="P358" i="12"/>
  <c r="P357" i="12"/>
  <c r="P356" i="12"/>
  <c r="P354" i="12"/>
  <c r="P355" i="12"/>
  <c r="Z375" i="12"/>
  <c r="Z376" i="12"/>
  <c r="Z377" i="12"/>
  <c r="T70" i="12"/>
  <c r="T73" i="12"/>
  <c r="AE376" i="12"/>
  <c r="AJ76" i="12"/>
  <c r="AJ367" i="12"/>
  <c r="AJ372" i="12"/>
  <c r="AJ371" i="12"/>
  <c r="AJ369" i="12"/>
  <c r="AJ368" i="12"/>
  <c r="AJ370" i="12"/>
  <c r="N377" i="12"/>
  <c r="Z75" i="12"/>
  <c r="Z360" i="12"/>
  <c r="Z364" i="12"/>
  <c r="Z363" i="12"/>
  <c r="Z362" i="12"/>
  <c r="Z361" i="12"/>
  <c r="Z365" i="12"/>
  <c r="P76" i="12"/>
  <c r="P367" i="12"/>
  <c r="P371" i="12"/>
  <c r="P370" i="12"/>
  <c r="P368" i="12"/>
  <c r="P372" i="12"/>
  <c r="P369" i="12"/>
  <c r="Q68" i="12"/>
  <c r="Q71" i="12"/>
  <c r="S376" i="12"/>
  <c r="S375" i="12"/>
  <c r="S377" i="12"/>
  <c r="Z74" i="12"/>
  <c r="Z353" i="12"/>
  <c r="Z355" i="12"/>
  <c r="Z354" i="12"/>
  <c r="Z358" i="12"/>
  <c r="Z356" i="12"/>
  <c r="Z357" i="12"/>
  <c r="AD72" i="12"/>
  <c r="AD69" i="12"/>
  <c r="V76" i="12"/>
  <c r="V369" i="12"/>
  <c r="V368" i="12"/>
  <c r="V371" i="12"/>
  <c r="V370" i="12"/>
  <c r="V367" i="12"/>
  <c r="V372" i="12"/>
  <c r="AB71" i="12"/>
  <c r="AB68" i="12"/>
  <c r="AH68" i="12"/>
  <c r="AH71" i="12"/>
  <c r="Q377" i="12"/>
  <c r="Q376" i="12"/>
  <c r="Q375" i="12"/>
  <c r="AK71" i="12"/>
  <c r="AK68" i="12"/>
  <c r="AI71" i="12"/>
  <c r="AI68" i="12"/>
  <c r="AG70" i="12"/>
  <c r="AG73" i="12"/>
  <c r="AK377" i="12"/>
  <c r="AK375" i="12"/>
  <c r="AK376" i="12"/>
  <c r="AD76" i="12"/>
  <c r="AD369" i="12"/>
  <c r="AD368" i="12"/>
  <c r="AD372" i="12"/>
  <c r="AD371" i="12"/>
  <c r="AD370" i="12"/>
  <c r="AD367" i="12"/>
  <c r="AB70" i="12"/>
  <c r="AB73" i="12"/>
  <c r="AQ71" i="12"/>
  <c r="AQ68" i="12"/>
  <c r="AA76" i="12"/>
  <c r="AA370" i="12"/>
  <c r="AA371" i="12"/>
  <c r="AA372" i="12"/>
  <c r="AA368" i="12"/>
  <c r="AA369" i="12"/>
  <c r="AA367" i="12"/>
  <c r="W68" i="12"/>
  <c r="W71" i="12"/>
  <c r="AN68" i="12"/>
  <c r="AN71" i="12"/>
  <c r="M73" i="12"/>
  <c r="M70" i="12"/>
  <c r="AN76" i="12"/>
  <c r="AN367" i="12"/>
  <c r="AN371" i="12"/>
  <c r="AN370" i="12"/>
  <c r="AN368" i="12"/>
  <c r="AN372" i="12"/>
  <c r="AN369" i="12"/>
  <c r="AO377" i="12"/>
  <c r="AO376" i="12"/>
  <c r="AO375" i="12"/>
  <c r="U73" i="12"/>
  <c r="U70" i="12"/>
  <c r="AE68" i="12"/>
  <c r="AE71" i="12"/>
  <c r="AK73" i="12"/>
  <c r="AK70" i="12"/>
  <c r="AK69" i="12"/>
  <c r="AK72" i="12"/>
  <c r="O74" i="12"/>
  <c r="O354" i="12"/>
  <c r="O358" i="12"/>
  <c r="O357" i="12"/>
  <c r="O356" i="12"/>
  <c r="O353" i="12"/>
  <c r="O355" i="12"/>
  <c r="T74" i="12"/>
  <c r="T353" i="12"/>
  <c r="T357" i="12"/>
  <c r="T356" i="12"/>
  <c r="T355" i="12"/>
  <c r="T354" i="12"/>
  <c r="T358" i="12"/>
  <c r="AP69" i="12"/>
  <c r="AP72" i="12"/>
  <c r="U69" i="12"/>
  <c r="U72" i="12"/>
  <c r="AQ70" i="12"/>
  <c r="AQ73" i="12"/>
  <c r="AC72" i="12"/>
  <c r="AC69" i="12"/>
  <c r="AJ75" i="12"/>
  <c r="AJ362" i="12"/>
  <c r="AJ365" i="12"/>
  <c r="AJ364" i="12"/>
  <c r="AJ363" i="12"/>
  <c r="AJ360" i="12"/>
  <c r="AJ361" i="12"/>
  <c r="N75" i="12"/>
  <c r="N364" i="12"/>
  <c r="N360" i="12"/>
  <c r="N365" i="12"/>
  <c r="N362" i="12"/>
  <c r="N363" i="12"/>
  <c r="N361" i="12"/>
  <c r="AQ69" i="12"/>
  <c r="AQ72" i="12"/>
  <c r="AQ376" i="12"/>
  <c r="AQ375" i="12"/>
  <c r="AQ377" i="12"/>
  <c r="AB377" i="12"/>
  <c r="AB376" i="12"/>
  <c r="AB375" i="12"/>
  <c r="R70" i="12"/>
  <c r="R73" i="12"/>
  <c r="X74" i="12"/>
  <c r="X357" i="12"/>
  <c r="X353" i="12"/>
  <c r="X358" i="12"/>
  <c r="X356" i="12"/>
  <c r="X354" i="12"/>
  <c r="X355" i="12"/>
  <c r="X75" i="12"/>
  <c r="X362" i="12"/>
  <c r="X361" i="12"/>
  <c r="X360" i="12"/>
  <c r="X363" i="12"/>
  <c r="X364" i="12"/>
  <c r="X365" i="12"/>
  <c r="Y76" i="12"/>
  <c r="Y368" i="12"/>
  <c r="Y372" i="12"/>
  <c r="Y371" i="12"/>
  <c r="Y369" i="12"/>
  <c r="Y370" i="12"/>
  <c r="Y367" i="12"/>
  <c r="AE69" i="12"/>
  <c r="AE72" i="12"/>
  <c r="AH375" i="12"/>
  <c r="U376" i="12"/>
  <c r="V72" i="12"/>
  <c r="V69" i="12"/>
  <c r="AC377" i="12"/>
  <c r="AC375" i="12"/>
  <c r="AC376" i="12"/>
  <c r="R376" i="12"/>
  <c r="AG377" i="12"/>
  <c r="AG376" i="12"/>
  <c r="AG375" i="12"/>
  <c r="AP76" i="12"/>
  <c r="AP369" i="12"/>
  <c r="AP372" i="12"/>
  <c r="AP370" i="12"/>
  <c r="AP371" i="12"/>
  <c r="AP368" i="12"/>
  <c r="AP367" i="12"/>
  <c r="X377" i="12"/>
  <c r="X376" i="12"/>
  <c r="X375" i="12"/>
  <c r="AN72" i="12"/>
  <c r="AN69" i="12"/>
  <c r="U71" i="12"/>
  <c r="U68" i="12"/>
  <c r="AM68" i="12"/>
  <c r="AM71" i="12"/>
  <c r="V68" i="12"/>
  <c r="V71" i="12"/>
  <c r="AP68" i="12"/>
  <c r="AP71" i="12"/>
  <c r="M74" i="12"/>
  <c r="M354" i="12"/>
  <c r="M353" i="12"/>
  <c r="M358" i="12"/>
  <c r="M357" i="12"/>
  <c r="M356" i="12"/>
  <c r="M355" i="12"/>
  <c r="N73" i="12"/>
  <c r="N70" i="12"/>
  <c r="AO75" i="12"/>
  <c r="AO363" i="12"/>
  <c r="AO362" i="12"/>
  <c r="AO361" i="12"/>
  <c r="AO360" i="12"/>
  <c r="AO364" i="12"/>
  <c r="AO365" i="12"/>
  <c r="AJ377" i="12"/>
  <c r="AJ376" i="12"/>
  <c r="AJ375" i="12"/>
  <c r="T72" i="12"/>
  <c r="T69" i="12"/>
  <c r="AE73" i="12"/>
  <c r="AE70" i="12"/>
  <c r="Y376" i="12"/>
  <c r="Y377" i="12"/>
  <c r="Y375" i="12"/>
  <c r="AO74" i="12"/>
  <c r="AO358" i="12"/>
  <c r="AO354" i="12"/>
  <c r="AO353" i="12"/>
  <c r="AO356" i="12"/>
  <c r="AO357" i="12"/>
  <c r="AO355" i="12"/>
  <c r="AH70" i="12"/>
  <c r="AH73" i="12"/>
  <c r="AJ74" i="12"/>
  <c r="AJ353" i="12"/>
  <c r="AJ357" i="12"/>
  <c r="AJ356" i="12"/>
  <c r="AJ355" i="12"/>
  <c r="AJ354" i="12"/>
  <c r="AJ358" i="12"/>
  <c r="AA69" i="12"/>
  <c r="AA72" i="12"/>
  <c r="AC74" i="12"/>
  <c r="AC358" i="12"/>
  <c r="AC357" i="12"/>
  <c r="AC353" i="12"/>
  <c r="AC356" i="12"/>
  <c r="AC355" i="12"/>
  <c r="AC354" i="12"/>
  <c r="N155" i="12"/>
  <c r="N152" i="12"/>
  <c r="N149" i="12"/>
  <c r="N161" i="12"/>
  <c r="N167" i="12"/>
  <c r="N158" i="12"/>
  <c r="N170" i="12"/>
  <c r="N164" i="12"/>
  <c r="N173" i="12"/>
  <c r="N176" i="12"/>
  <c r="AL376" i="12"/>
  <c r="AL375" i="12"/>
  <c r="AL377" i="12"/>
  <c r="AA74" i="12"/>
  <c r="AA356" i="12"/>
  <c r="AA353" i="12"/>
  <c r="AA355" i="12"/>
  <c r="AA354" i="12"/>
  <c r="AA357" i="12"/>
  <c r="AA358" i="12"/>
  <c r="O376" i="12"/>
  <c r="O377" i="12"/>
  <c r="O375" i="12"/>
  <c r="AG75" i="12"/>
  <c r="AG363" i="12"/>
  <c r="AG362" i="12"/>
  <c r="AG361" i="12"/>
  <c r="AG360" i="12"/>
  <c r="AG364" i="12"/>
  <c r="AG365" i="12"/>
  <c r="AD376" i="12"/>
  <c r="AD375" i="12"/>
  <c r="AD377" i="12"/>
  <c r="AM152" i="12"/>
  <c r="AM155" i="12"/>
  <c r="AM176" i="12"/>
  <c r="AM170" i="12"/>
  <c r="AM149" i="12"/>
  <c r="AM164" i="12"/>
  <c r="AM173" i="12"/>
  <c r="AM158" i="12"/>
  <c r="AM161" i="12"/>
  <c r="AM167" i="12"/>
  <c r="AL68" i="12"/>
  <c r="AL71" i="12"/>
  <c r="AA376" i="12"/>
  <c r="AA375" i="12"/>
  <c r="AA377" i="12"/>
  <c r="AF69" i="12"/>
  <c r="AF72" i="12"/>
  <c r="AB75" i="12"/>
  <c r="AB365" i="12"/>
  <c r="AB364" i="12"/>
  <c r="AB363" i="12"/>
  <c r="AB362" i="12"/>
  <c r="AB361" i="12"/>
  <c r="AB360" i="12"/>
  <c r="R75" i="12"/>
  <c r="R364" i="12"/>
  <c r="R363" i="12"/>
  <c r="R362" i="12"/>
  <c r="R361" i="12"/>
  <c r="R360" i="12"/>
  <c r="R365" i="12"/>
  <c r="AM76" i="12"/>
  <c r="AM370" i="12"/>
  <c r="AM369" i="12"/>
  <c r="AM367" i="12"/>
  <c r="AM372" i="12"/>
  <c r="AM371" i="12"/>
  <c r="AM368" i="12"/>
  <c r="W377" i="12"/>
  <c r="W376" i="12"/>
  <c r="W375" i="12"/>
  <c r="Z70" i="12"/>
  <c r="Z73" i="12"/>
  <c r="AM72" i="12"/>
  <c r="AM69" i="12"/>
  <c r="O75" i="12"/>
  <c r="O365" i="12"/>
  <c r="O361" i="12"/>
  <c r="O360" i="12"/>
  <c r="O362" i="12"/>
  <c r="O363" i="12"/>
  <c r="O364" i="12"/>
  <c r="AN377" i="12"/>
  <c r="AN376" i="12"/>
  <c r="AN375" i="12"/>
  <c r="R151" i="12"/>
  <c r="R148" i="12"/>
  <c r="R157" i="12"/>
  <c r="R163" i="12"/>
  <c r="R166" i="12"/>
  <c r="R154" i="12"/>
  <c r="R160" i="12"/>
  <c r="R172" i="12"/>
  <c r="R169" i="12"/>
  <c r="R175" i="12"/>
  <c r="Y69" i="12"/>
  <c r="Y72" i="12"/>
  <c r="AC73" i="12"/>
  <c r="AC70" i="12"/>
  <c r="O76" i="12"/>
  <c r="O370" i="12"/>
  <c r="O369" i="12"/>
  <c r="O367" i="12"/>
  <c r="O372" i="12"/>
  <c r="O371" i="12"/>
  <c r="O368" i="12"/>
  <c r="S73" i="12"/>
  <c r="S70" i="12"/>
  <c r="AG74" i="12"/>
  <c r="AG354" i="12"/>
  <c r="AG358" i="12"/>
  <c r="AG357" i="12"/>
  <c r="AG355" i="12"/>
  <c r="AG353" i="12"/>
  <c r="AG356" i="12"/>
  <c r="AL76" i="12"/>
  <c r="AL369" i="12"/>
  <c r="AL368" i="12"/>
  <c r="AL372" i="12"/>
  <c r="AL371" i="12"/>
  <c r="AL370" i="12"/>
  <c r="AL367" i="12"/>
  <c r="R305" i="10"/>
  <c r="R302" i="10"/>
  <c r="R299" i="10"/>
  <c r="R296" i="10"/>
  <c r="R293" i="10"/>
  <c r="R306" i="10"/>
  <c r="R303" i="10"/>
  <c r="R300" i="10"/>
  <c r="R297" i="10"/>
  <c r="R294" i="10"/>
  <c r="AP306" i="10"/>
  <c r="AP303" i="10"/>
  <c r="AP300" i="10"/>
  <c r="AP297" i="10"/>
  <c r="AP294" i="10"/>
  <c r="AP307" i="10"/>
  <c r="AP304" i="10"/>
  <c r="AP301" i="10"/>
  <c r="AP298" i="10"/>
  <c r="AP295" i="10"/>
  <c r="Z320" i="10"/>
  <c r="Z317" i="10"/>
  <c r="Z314" i="10"/>
  <c r="Z311" i="10"/>
  <c r="Z308" i="10"/>
  <c r="Z321" i="10"/>
  <c r="Z318" i="10"/>
  <c r="Z315" i="10"/>
  <c r="Z312" i="10"/>
  <c r="Z309" i="10"/>
  <c r="R322" i="10"/>
  <c r="R319" i="10"/>
  <c r="R316" i="10"/>
  <c r="R313" i="10"/>
  <c r="R310" i="10"/>
  <c r="R406" i="10"/>
  <c r="R405" i="10"/>
  <c r="R404" i="10"/>
  <c r="R403" i="10"/>
  <c r="R402" i="10"/>
  <c r="R401" i="10"/>
  <c r="R394" i="10" s="1"/>
  <c r="R397" i="10" s="1"/>
  <c r="R413" i="10"/>
  <c r="R412" i="10"/>
  <c r="R411" i="10"/>
  <c r="R410" i="10"/>
  <c r="R409" i="10"/>
  <c r="R408" i="10"/>
  <c r="R395" i="10" s="1"/>
  <c r="R398" i="10" s="1"/>
  <c r="AP420" i="10"/>
  <c r="AP419" i="10"/>
  <c r="AP418" i="10"/>
  <c r="AP417" i="10"/>
  <c r="AP416" i="10"/>
  <c r="AP415" i="10"/>
  <c r="AP92" i="10"/>
  <c r="AA299" i="10"/>
  <c r="AA293" i="10"/>
  <c r="AA296" i="10"/>
  <c r="AA305" i="10"/>
  <c r="AA302" i="10"/>
  <c r="AQ305" i="10"/>
  <c r="AQ302" i="10"/>
  <c r="AQ299" i="10"/>
  <c r="AQ293" i="10"/>
  <c r="AQ296" i="10"/>
  <c r="AQ306" i="10"/>
  <c r="AQ303" i="10"/>
  <c r="AQ300" i="10"/>
  <c r="AQ297" i="10"/>
  <c r="AQ294" i="10"/>
  <c r="AA295" i="10"/>
  <c r="AA298" i="10"/>
  <c r="AA307" i="10"/>
  <c r="AA304" i="10"/>
  <c r="AA301" i="10"/>
  <c r="AQ307" i="10"/>
  <c r="AQ304" i="10"/>
  <c r="AQ301" i="10"/>
  <c r="AQ295" i="10"/>
  <c r="AQ298" i="10"/>
  <c r="S317" i="10"/>
  <c r="S314" i="10"/>
  <c r="S311" i="10"/>
  <c r="S320" i="10"/>
  <c r="S308" i="10"/>
  <c r="AI314" i="10"/>
  <c r="AI317" i="10"/>
  <c r="AI308" i="10"/>
  <c r="AI320" i="10"/>
  <c r="AI311" i="10"/>
  <c r="AQ317" i="10"/>
  <c r="AQ320" i="10"/>
  <c r="AQ314" i="10"/>
  <c r="AQ308" i="10"/>
  <c r="AQ311" i="10"/>
  <c r="S312" i="10"/>
  <c r="S321" i="10"/>
  <c r="S315" i="10"/>
  <c r="S318" i="10"/>
  <c r="S309" i="10"/>
  <c r="AA312" i="10"/>
  <c r="AA318" i="10"/>
  <c r="AA321" i="10"/>
  <c r="AA315" i="10"/>
  <c r="AA309" i="10"/>
  <c r="AI312" i="10"/>
  <c r="AI321" i="10"/>
  <c r="AI315" i="10"/>
  <c r="AI309" i="10"/>
  <c r="AI318" i="10"/>
  <c r="AQ321" i="10"/>
  <c r="AQ315" i="10"/>
  <c r="AQ312" i="10"/>
  <c r="AQ318" i="10"/>
  <c r="AQ309" i="10"/>
  <c r="S310" i="10"/>
  <c r="S319" i="10"/>
  <c r="S313" i="10"/>
  <c r="S322" i="10"/>
  <c r="S316" i="10"/>
  <c r="AA310" i="10"/>
  <c r="AA322" i="10"/>
  <c r="AA316" i="10"/>
  <c r="AA313" i="10"/>
  <c r="AA319" i="10"/>
  <c r="AI310" i="10"/>
  <c r="AI319" i="10"/>
  <c r="AI313" i="10"/>
  <c r="AI322" i="10"/>
  <c r="AI316" i="10"/>
  <c r="AQ319" i="10"/>
  <c r="AQ313" i="10"/>
  <c r="AQ310" i="10"/>
  <c r="AQ322" i="10"/>
  <c r="AQ316" i="10"/>
  <c r="S406" i="10"/>
  <c r="S405" i="10"/>
  <c r="S404" i="10"/>
  <c r="S403" i="10"/>
  <c r="S402" i="10"/>
  <c r="S401" i="10"/>
  <c r="AA406" i="10"/>
  <c r="AA405" i="10"/>
  <c r="AA404" i="10"/>
  <c r="AA403" i="10"/>
  <c r="AA402" i="10"/>
  <c r="AA401" i="10"/>
  <c r="AI406" i="10"/>
  <c r="AI405" i="10"/>
  <c r="AI404" i="10"/>
  <c r="AI403" i="10"/>
  <c r="AI402" i="10"/>
  <c r="AI401" i="10"/>
  <c r="AI394" i="10" s="1"/>
  <c r="AI397" i="10" s="1"/>
  <c r="AQ406" i="10"/>
  <c r="AQ405" i="10"/>
  <c r="AQ404" i="10"/>
  <c r="AQ403" i="10"/>
  <c r="AQ402" i="10"/>
  <c r="AQ401" i="10"/>
  <c r="S413" i="10"/>
  <c r="S412" i="10"/>
  <c r="S411" i="10"/>
  <c r="S410" i="10"/>
  <c r="S409" i="10"/>
  <c r="S408" i="10"/>
  <c r="AA413" i="10"/>
  <c r="AA412" i="10"/>
  <c r="AA411" i="10"/>
  <c r="AA410" i="10"/>
  <c r="AA409" i="10"/>
  <c r="AA408" i="10"/>
  <c r="AI413" i="10"/>
  <c r="AI412" i="10"/>
  <c r="AI411" i="10"/>
  <c r="AI410" i="10"/>
  <c r="AI409" i="10"/>
  <c r="AI408" i="10"/>
  <c r="AI395" i="10" s="1"/>
  <c r="AI398" i="10" s="1"/>
  <c r="AQ413" i="10"/>
  <c r="AQ412" i="10"/>
  <c r="AQ411" i="10"/>
  <c r="AQ410" i="10"/>
  <c r="AQ409" i="10"/>
  <c r="AQ408" i="10"/>
  <c r="S420" i="10"/>
  <c r="S419" i="10"/>
  <c r="S418" i="10"/>
  <c r="S417" i="10"/>
  <c r="S416" i="10"/>
  <c r="S415" i="10"/>
  <c r="AA420" i="10"/>
  <c r="AA419" i="10"/>
  <c r="AA418" i="10"/>
  <c r="AA417" i="10"/>
  <c r="AA416" i="10"/>
  <c r="AA415" i="10"/>
  <c r="AI420" i="10"/>
  <c r="AI419" i="10"/>
  <c r="AI418" i="10"/>
  <c r="AI417" i="10"/>
  <c r="AI416" i="10"/>
  <c r="AI415" i="10"/>
  <c r="AI396" i="10" s="1"/>
  <c r="AI399" i="10" s="1"/>
  <c r="AQ420" i="10"/>
  <c r="AQ419" i="10"/>
  <c r="AQ418" i="10"/>
  <c r="AQ417" i="10"/>
  <c r="AQ416" i="10"/>
  <c r="AQ415" i="10"/>
  <c r="AQ87" i="10"/>
  <c r="AQ88" i="10"/>
  <c r="AQ89" i="10"/>
  <c r="AQ90" i="10"/>
  <c r="AQ92" i="10"/>
  <c r="AP305" i="10"/>
  <c r="AP302" i="10"/>
  <c r="AP299" i="10"/>
  <c r="AP296" i="10"/>
  <c r="AP293" i="10"/>
  <c r="R307" i="10"/>
  <c r="R304" i="10"/>
  <c r="R301" i="10"/>
  <c r="R298" i="10"/>
  <c r="R295" i="10"/>
  <c r="AP320" i="10"/>
  <c r="AP317" i="10"/>
  <c r="AP314" i="10"/>
  <c r="AP311" i="10"/>
  <c r="AP308" i="10"/>
  <c r="AH321" i="10"/>
  <c r="AH318" i="10"/>
  <c r="AH315" i="10"/>
  <c r="AH312" i="10"/>
  <c r="AH309" i="10"/>
  <c r="Z322" i="10"/>
  <c r="Z319" i="10"/>
  <c r="Z316" i="10"/>
  <c r="Z313" i="10"/>
  <c r="Z310" i="10"/>
  <c r="Z406" i="10"/>
  <c r="Z405" i="10"/>
  <c r="Z404" i="10"/>
  <c r="Z403" i="10"/>
  <c r="Z402" i="10"/>
  <c r="Z401" i="10"/>
  <c r="Z413" i="10"/>
  <c r="Z412" i="10"/>
  <c r="Z411" i="10"/>
  <c r="Z410" i="10"/>
  <c r="Z409" i="10"/>
  <c r="Z408" i="10"/>
  <c r="AH420" i="10"/>
  <c r="AH419" i="10"/>
  <c r="AH418" i="10"/>
  <c r="AH417" i="10"/>
  <c r="AH416" i="10"/>
  <c r="AH415" i="10"/>
  <c r="AP87" i="10"/>
  <c r="S299" i="10"/>
  <c r="S293" i="10"/>
  <c r="S302" i="10"/>
  <c r="S296" i="10"/>
  <c r="S305" i="10"/>
  <c r="AI296" i="10"/>
  <c r="AI305" i="10"/>
  <c r="AI302" i="10"/>
  <c r="AI299" i="10"/>
  <c r="AI293" i="10"/>
  <c r="S297" i="10"/>
  <c r="S300" i="10"/>
  <c r="S303" i="10"/>
  <c r="S294" i="10"/>
  <c r="S306" i="10"/>
  <c r="S295" i="10"/>
  <c r="S304" i="10"/>
  <c r="S307" i="10"/>
  <c r="S298" i="10"/>
  <c r="AI298" i="10"/>
  <c r="AI307" i="10"/>
  <c r="AI304" i="10"/>
  <c r="AI301" i="10"/>
  <c r="AI295" i="10"/>
  <c r="R89" i="10"/>
  <c r="R90" i="10"/>
  <c r="R91" i="10"/>
  <c r="Z306" i="10"/>
  <c r="Z303" i="10"/>
  <c r="Z300" i="10"/>
  <c r="Z297" i="10"/>
  <c r="Z294" i="10"/>
  <c r="AH320" i="10"/>
  <c r="AH317" i="10"/>
  <c r="AH314" i="10"/>
  <c r="AH311" i="10"/>
  <c r="AH308" i="10"/>
  <c r="AP321" i="10"/>
  <c r="AP318" i="10"/>
  <c r="AP315" i="10"/>
  <c r="AP312" i="10"/>
  <c r="AP309" i="10"/>
  <c r="AP322" i="10"/>
  <c r="AP319" i="10"/>
  <c r="AP316" i="10"/>
  <c r="AP313" i="10"/>
  <c r="AP310" i="10"/>
  <c r="AP406" i="10"/>
  <c r="AP405" i="10"/>
  <c r="AP404" i="10"/>
  <c r="AP403" i="10"/>
  <c r="AP402" i="10"/>
  <c r="AP401" i="10"/>
  <c r="Z420" i="10"/>
  <c r="Z419" i="10"/>
  <c r="Z418" i="10"/>
  <c r="Z417" i="10"/>
  <c r="Z416" i="10"/>
  <c r="Z415" i="10"/>
  <c r="AP89" i="10"/>
  <c r="AI294" i="10"/>
  <c r="AI306" i="10"/>
  <c r="AI303" i="10"/>
  <c r="AI300" i="10"/>
  <c r="AI297" i="10"/>
  <c r="AA320" i="10"/>
  <c r="AA314" i="10"/>
  <c r="AA311" i="10"/>
  <c r="AA317" i="10"/>
  <c r="AA308" i="10"/>
  <c r="S87" i="10"/>
  <c r="S88" i="10"/>
  <c r="S89" i="10"/>
  <c r="S90" i="10"/>
  <c r="S91" i="10"/>
  <c r="S92" i="10"/>
  <c r="Z305" i="10"/>
  <c r="Z302" i="10"/>
  <c r="Z299" i="10"/>
  <c r="Z296" i="10"/>
  <c r="Z293" i="10"/>
  <c r="Z307" i="10"/>
  <c r="Z304" i="10"/>
  <c r="Z301" i="10"/>
  <c r="Z298" i="10"/>
  <c r="Z295" i="10"/>
  <c r="R320" i="10"/>
  <c r="R317" i="10"/>
  <c r="R314" i="10"/>
  <c r="R311" i="10"/>
  <c r="R308" i="10"/>
  <c r="AH413" i="10"/>
  <c r="AH412" i="10"/>
  <c r="AH411" i="10"/>
  <c r="AH410" i="10"/>
  <c r="AH409" i="10"/>
  <c r="AH408" i="10"/>
  <c r="Z87" i="10"/>
  <c r="Z88" i="10"/>
  <c r="Z89" i="10"/>
  <c r="Z90" i="10"/>
  <c r="Z91" i="10"/>
  <c r="Z92" i="10"/>
  <c r="AH305" i="10"/>
  <c r="AH302" i="10"/>
  <c r="AH299" i="10"/>
  <c r="AH296" i="10"/>
  <c r="AH293" i="10"/>
  <c r="AH307" i="10"/>
  <c r="AH304" i="10"/>
  <c r="AH301" i="10"/>
  <c r="AH298" i="10"/>
  <c r="AH295" i="10"/>
  <c r="AP413" i="10"/>
  <c r="AP412" i="10"/>
  <c r="AP411" i="10"/>
  <c r="AP410" i="10"/>
  <c r="AP409" i="10"/>
  <c r="AP408" i="10"/>
  <c r="O58" i="10"/>
  <c r="AA87" i="10"/>
  <c r="AA88" i="10"/>
  <c r="AA89" i="10"/>
  <c r="AA90" i="10"/>
  <c r="AA91" i="10"/>
  <c r="AA92" i="10"/>
  <c r="S301" i="10"/>
  <c r="AH306" i="10"/>
  <c r="AH303" i="10"/>
  <c r="AH300" i="10"/>
  <c r="AH297" i="10"/>
  <c r="AH294" i="10"/>
  <c r="R321" i="10"/>
  <c r="R318" i="10"/>
  <c r="R315" i="10"/>
  <c r="R312" i="10"/>
  <c r="R309" i="10"/>
  <c r="AH322" i="10"/>
  <c r="AH319" i="10"/>
  <c r="AH316" i="10"/>
  <c r="AH313" i="10"/>
  <c r="AH310" i="10"/>
  <c r="AH406" i="10"/>
  <c r="AH405" i="10"/>
  <c r="AH404" i="10"/>
  <c r="AH403" i="10"/>
  <c r="AH402" i="10"/>
  <c r="AH401" i="10"/>
  <c r="R420" i="10"/>
  <c r="R419" i="10"/>
  <c r="R418" i="10"/>
  <c r="R417" i="10"/>
  <c r="R416" i="10"/>
  <c r="R415" i="10"/>
  <c r="AP90" i="10"/>
  <c r="AA297" i="10"/>
  <c r="AA294" i="10"/>
  <c r="AA306" i="10"/>
  <c r="AA303" i="10"/>
  <c r="AA300" i="10"/>
  <c r="AH87" i="10"/>
  <c r="AH88" i="10"/>
  <c r="AH89" i="10"/>
  <c r="AH90" i="10"/>
  <c r="AH91" i="10"/>
  <c r="AH92" i="10"/>
  <c r="S58" i="10"/>
  <c r="L305" i="10"/>
  <c r="L302" i="10"/>
  <c r="L296" i="10"/>
  <c r="L299" i="10"/>
  <c r="L293" i="10"/>
  <c r="T299" i="10"/>
  <c r="T293" i="10"/>
  <c r="T302" i="10"/>
  <c r="T296" i="10"/>
  <c r="AB296" i="10"/>
  <c r="AB305" i="10"/>
  <c r="AB302" i="10"/>
  <c r="AB299" i="10"/>
  <c r="AB293" i="10"/>
  <c r="AJ296" i="10"/>
  <c r="AJ305" i="10"/>
  <c r="AJ302" i="10"/>
  <c r="AJ299" i="10"/>
  <c r="AJ293" i="10"/>
  <c r="L306" i="10"/>
  <c r="L303" i="10"/>
  <c r="L300" i="10"/>
  <c r="L294" i="10"/>
  <c r="L297" i="10"/>
  <c r="T297" i="10"/>
  <c r="T300" i="10"/>
  <c r="T303" i="10"/>
  <c r="T294" i="10"/>
  <c r="T306" i="10"/>
  <c r="AB294" i="10"/>
  <c r="AB306" i="10"/>
  <c r="AB303" i="10"/>
  <c r="AB300" i="10"/>
  <c r="AB297" i="10"/>
  <c r="AJ294" i="10"/>
  <c r="AJ306" i="10"/>
  <c r="AJ303" i="10"/>
  <c r="AJ300" i="10"/>
  <c r="AJ297" i="10"/>
  <c r="L307" i="10"/>
  <c r="L304" i="10"/>
  <c r="L301" i="10"/>
  <c r="L298" i="10"/>
  <c r="L295" i="10"/>
  <c r="T295" i="10"/>
  <c r="T304" i="10"/>
  <c r="T307" i="10"/>
  <c r="AB298" i="10"/>
  <c r="AB307" i="10"/>
  <c r="AB304" i="10"/>
  <c r="AB301" i="10"/>
  <c r="AJ298" i="10"/>
  <c r="AJ307" i="10"/>
  <c r="AJ304" i="10"/>
  <c r="AJ301" i="10"/>
  <c r="AJ295" i="10"/>
  <c r="L314" i="10"/>
  <c r="L311" i="10"/>
  <c r="L317" i="10"/>
  <c r="L308" i="10"/>
  <c r="L320" i="10"/>
  <c r="T317" i="10"/>
  <c r="T314" i="10"/>
  <c r="T311" i="10"/>
  <c r="T320" i="10"/>
  <c r="T308" i="10"/>
  <c r="AB320" i="10"/>
  <c r="AB314" i="10"/>
  <c r="AB311" i="10"/>
  <c r="AB317" i="10"/>
  <c r="AB308" i="10"/>
  <c r="AJ314" i="10"/>
  <c r="AJ317" i="10"/>
  <c r="AJ311" i="10"/>
  <c r="AJ320" i="10"/>
  <c r="AJ308" i="10"/>
  <c r="L321" i="10"/>
  <c r="L315" i="10"/>
  <c r="L318" i="10"/>
  <c r="L309" i="10"/>
  <c r="L312" i="10"/>
  <c r="T321" i="10"/>
  <c r="T315" i="10"/>
  <c r="T318" i="10"/>
  <c r="T312" i="10"/>
  <c r="AB312" i="10"/>
  <c r="AB318" i="10"/>
  <c r="AB321" i="10"/>
  <c r="AB315" i="10"/>
  <c r="AB309" i="10"/>
  <c r="AJ312" i="10"/>
  <c r="AJ321" i="10"/>
  <c r="AJ315" i="10"/>
  <c r="AJ318" i="10"/>
  <c r="AJ309" i="10"/>
  <c r="L313" i="10"/>
  <c r="L319" i="10"/>
  <c r="L310" i="10"/>
  <c r="L322" i="10"/>
  <c r="L316" i="10"/>
  <c r="T319" i="10"/>
  <c r="T313" i="10"/>
  <c r="T322" i="10"/>
  <c r="T316" i="10"/>
  <c r="T310" i="10"/>
  <c r="AB310" i="10"/>
  <c r="AB322" i="10"/>
  <c r="AB316" i="10"/>
  <c r="AB313" i="10"/>
  <c r="AB319" i="10"/>
  <c r="AJ310" i="10"/>
  <c r="AJ319" i="10"/>
  <c r="AJ322" i="10"/>
  <c r="AJ316" i="10"/>
  <c r="AJ313" i="10"/>
  <c r="L406" i="10"/>
  <c r="L405" i="10"/>
  <c r="L404" i="10"/>
  <c r="L403" i="10"/>
  <c r="L402" i="10"/>
  <c r="L401" i="10"/>
  <c r="L394" i="10" s="1"/>
  <c r="L397" i="10" s="1"/>
  <c r="T405" i="10"/>
  <c r="T404" i="10"/>
  <c r="T403" i="10"/>
  <c r="T402" i="10"/>
  <c r="T401" i="10"/>
  <c r="T406" i="10"/>
  <c r="AB405" i="10"/>
  <c r="AB404" i="10"/>
  <c r="AB403" i="10"/>
  <c r="AB402" i="10"/>
  <c r="AB401" i="10"/>
  <c r="AB406" i="10"/>
  <c r="AJ405" i="10"/>
  <c r="AJ404" i="10"/>
  <c r="AJ403" i="10"/>
  <c r="AJ402" i="10"/>
  <c r="AJ401" i="10"/>
  <c r="AJ406" i="10"/>
  <c r="L413" i="10"/>
  <c r="L412" i="10"/>
  <c r="L411" i="10"/>
  <c r="L410" i="10"/>
  <c r="L409" i="10"/>
  <c r="L408" i="10"/>
  <c r="L395" i="10" s="1"/>
  <c r="L398" i="10" s="1"/>
  <c r="T413" i="10"/>
  <c r="T412" i="10"/>
  <c r="T411" i="10"/>
  <c r="T410" i="10"/>
  <c r="T409" i="10"/>
  <c r="T408" i="10"/>
  <c r="AB413" i="10"/>
  <c r="AB412" i="10"/>
  <c r="AB411" i="10"/>
  <c r="AB410" i="10"/>
  <c r="AB409" i="10"/>
  <c r="AB408" i="10"/>
  <c r="AJ413" i="10"/>
  <c r="AJ412" i="10"/>
  <c r="AJ411" i="10"/>
  <c r="AJ410" i="10"/>
  <c r="AJ409" i="10"/>
  <c r="AJ408" i="10"/>
  <c r="L420" i="10"/>
  <c r="L419" i="10"/>
  <c r="L418" i="10"/>
  <c r="L417" i="10"/>
  <c r="L416" i="10"/>
  <c r="L415" i="10"/>
  <c r="L396" i="10" s="1"/>
  <c r="L399" i="10" s="1"/>
  <c r="T420" i="10"/>
  <c r="T419" i="10"/>
  <c r="T418" i="10"/>
  <c r="T417" i="10"/>
  <c r="T416" i="10"/>
  <c r="T415" i="10"/>
  <c r="AB420" i="10"/>
  <c r="AB419" i="10"/>
  <c r="AB418" i="10"/>
  <c r="AB417" i="10"/>
  <c r="AB416" i="10"/>
  <c r="AB415" i="10"/>
  <c r="AJ420" i="10"/>
  <c r="AJ419" i="10"/>
  <c r="AJ418" i="10"/>
  <c r="AJ417" i="10"/>
  <c r="AJ416" i="10"/>
  <c r="AJ415" i="10"/>
  <c r="L87" i="10"/>
  <c r="T87" i="10"/>
  <c r="AB87" i="10"/>
  <c r="AJ87" i="10"/>
  <c r="L88" i="10"/>
  <c r="N48" i="10" s="1"/>
  <c r="T88" i="10"/>
  <c r="AB88" i="10"/>
  <c r="AJ88" i="10"/>
  <c r="L89" i="10"/>
  <c r="T89" i="10"/>
  <c r="AB89" i="10"/>
  <c r="AJ89" i="10"/>
  <c r="L90" i="10"/>
  <c r="T90" i="10"/>
  <c r="AB90" i="10"/>
  <c r="AJ90" i="10"/>
  <c r="L91" i="10"/>
  <c r="T91" i="10"/>
  <c r="AB91" i="10"/>
  <c r="AJ91" i="10"/>
  <c r="L92" i="10"/>
  <c r="T92" i="10"/>
  <c r="AB92" i="10"/>
  <c r="AJ92" i="10"/>
  <c r="L57" i="10"/>
  <c r="T58" i="10"/>
  <c r="N46" i="10" s="1"/>
  <c r="N47" i="10" s="1"/>
  <c r="M305" i="10"/>
  <c r="M302" i="10"/>
  <c r="M299" i="10"/>
  <c r="M296" i="10"/>
  <c r="M293" i="10"/>
  <c r="U305" i="10"/>
  <c r="U302" i="10"/>
  <c r="U299" i="10"/>
  <c r="U296" i="10"/>
  <c r="U293" i="10"/>
  <c r="AC305" i="10"/>
  <c r="AC302" i="10"/>
  <c r="AC299" i="10"/>
  <c r="AC296" i="10"/>
  <c r="AC293" i="10"/>
  <c r="AK305" i="10"/>
  <c r="AK302" i="10"/>
  <c r="AK299" i="10"/>
  <c r="AK296" i="10"/>
  <c r="AK293" i="10"/>
  <c r="M306" i="10"/>
  <c r="M303" i="10"/>
  <c r="M300" i="10"/>
  <c r="M297" i="10"/>
  <c r="M294" i="10"/>
  <c r="U306" i="10"/>
  <c r="U303" i="10"/>
  <c r="U300" i="10"/>
  <c r="U297" i="10"/>
  <c r="U294" i="10"/>
  <c r="AC306" i="10"/>
  <c r="AC303" i="10"/>
  <c r="AC300" i="10"/>
  <c r="AC297" i="10"/>
  <c r="AC294" i="10"/>
  <c r="AK306" i="10"/>
  <c r="AK303" i="10"/>
  <c r="AK300" i="10"/>
  <c r="AK297" i="10"/>
  <c r="AK294" i="10"/>
  <c r="M307" i="10"/>
  <c r="M304" i="10"/>
  <c r="M301" i="10"/>
  <c r="M298" i="10"/>
  <c r="M295" i="10"/>
  <c r="U307" i="10"/>
  <c r="U304" i="10"/>
  <c r="U301" i="10"/>
  <c r="U298" i="10"/>
  <c r="U295" i="10"/>
  <c r="AC307" i="10"/>
  <c r="AC304" i="10"/>
  <c r="AC301" i="10"/>
  <c r="AC298" i="10"/>
  <c r="AC295" i="10"/>
  <c r="AK307" i="10"/>
  <c r="AK304" i="10"/>
  <c r="AK301" i="10"/>
  <c r="AK298" i="10"/>
  <c r="AK295" i="10"/>
  <c r="M320" i="10"/>
  <c r="M317" i="10"/>
  <c r="M311" i="10"/>
  <c r="M308" i="10"/>
  <c r="U320" i="10"/>
  <c r="U317" i="10"/>
  <c r="U314" i="10"/>
  <c r="U311" i="10"/>
  <c r="U308" i="10"/>
  <c r="AC320" i="10"/>
  <c r="AC317" i="10"/>
  <c r="AC314" i="10"/>
  <c r="AC311" i="10"/>
  <c r="AC308" i="10"/>
  <c r="AK320" i="10"/>
  <c r="AK317" i="10"/>
  <c r="AK314" i="10"/>
  <c r="AK311" i="10"/>
  <c r="AK308" i="10"/>
  <c r="M321" i="10"/>
  <c r="M318" i="10"/>
  <c r="M315" i="10"/>
  <c r="M312" i="10"/>
  <c r="M309" i="10"/>
  <c r="U321" i="10"/>
  <c r="U318" i="10"/>
  <c r="U315" i="10"/>
  <c r="U309" i="10"/>
  <c r="U312" i="10"/>
  <c r="AC321" i="10"/>
  <c r="AC318" i="10"/>
  <c r="AC315" i="10"/>
  <c r="AC309" i="10"/>
  <c r="AC312" i="10"/>
  <c r="AK321" i="10"/>
  <c r="AK318" i="10"/>
  <c r="AK315" i="10"/>
  <c r="AK312" i="10"/>
  <c r="AK309" i="10"/>
  <c r="M322" i="10"/>
  <c r="M319" i="10"/>
  <c r="M316" i="10"/>
  <c r="M313" i="10"/>
  <c r="M310" i="10"/>
  <c r="U322" i="10"/>
  <c r="U319" i="10"/>
  <c r="U316" i="10"/>
  <c r="U313" i="10"/>
  <c r="U310" i="10"/>
  <c r="AC322" i="10"/>
  <c r="AC319" i="10"/>
  <c r="AC316" i="10"/>
  <c r="AC313" i="10"/>
  <c r="AC310" i="10"/>
  <c r="AK322" i="10"/>
  <c r="AK319" i="10"/>
  <c r="AK316" i="10"/>
  <c r="AK310" i="10"/>
  <c r="AK313" i="10"/>
  <c r="M405" i="10"/>
  <c r="M401" i="10"/>
  <c r="M406" i="10"/>
  <c r="M402" i="10"/>
  <c r="M403" i="10"/>
  <c r="M404" i="10"/>
  <c r="U406" i="10"/>
  <c r="U405" i="10"/>
  <c r="U401" i="10"/>
  <c r="U394" i="10" s="1"/>
  <c r="U397" i="10" s="1"/>
  <c r="U402" i="10"/>
  <c r="U403" i="10"/>
  <c r="U404" i="10"/>
  <c r="AC406" i="10"/>
  <c r="AC402" i="10"/>
  <c r="AC403" i="10"/>
  <c r="AC404" i="10"/>
  <c r="AC401" i="10"/>
  <c r="AC394" i="10" s="1"/>
  <c r="AC397" i="10" s="1"/>
  <c r="AC405" i="10"/>
  <c r="AK406" i="10"/>
  <c r="AK403" i="10"/>
  <c r="AK404" i="10"/>
  <c r="AK405" i="10"/>
  <c r="AK401" i="10"/>
  <c r="AK402" i="10"/>
  <c r="M410" i="10"/>
  <c r="M413" i="10"/>
  <c r="M412" i="10"/>
  <c r="M409" i="10"/>
  <c r="M411" i="10"/>
  <c r="M408" i="10"/>
  <c r="U413" i="10"/>
  <c r="U411" i="10"/>
  <c r="U410" i="10"/>
  <c r="U409" i="10"/>
  <c r="U408" i="10"/>
  <c r="U412" i="10"/>
  <c r="AC413" i="10"/>
  <c r="AC411" i="10"/>
  <c r="AC410" i="10"/>
  <c r="AC409" i="10"/>
  <c r="AC408" i="10"/>
  <c r="AC395" i="10" s="1"/>
  <c r="AC398" i="10" s="1"/>
  <c r="AC412" i="10"/>
  <c r="AK413" i="10"/>
  <c r="AK411" i="10"/>
  <c r="AK410" i="10"/>
  <c r="AK409" i="10"/>
  <c r="AK408" i="10"/>
  <c r="AK412" i="10"/>
  <c r="M420" i="10"/>
  <c r="M415" i="10"/>
  <c r="M419" i="10"/>
  <c r="M418" i="10"/>
  <c r="M417" i="10"/>
  <c r="M416" i="10"/>
  <c r="U420" i="10"/>
  <c r="U418" i="10"/>
  <c r="U416" i="10"/>
  <c r="U419" i="10"/>
  <c r="U417" i="10"/>
  <c r="U415" i="10"/>
  <c r="AC420" i="10"/>
  <c r="AC418" i="10"/>
  <c r="AC416" i="10"/>
  <c r="AC419" i="10"/>
  <c r="AC417" i="10"/>
  <c r="AC415" i="10"/>
  <c r="AK420" i="10"/>
  <c r="AK418" i="10"/>
  <c r="AK416" i="10"/>
  <c r="AK419" i="10"/>
  <c r="AK417" i="10"/>
  <c r="AK415" i="10"/>
  <c r="M87" i="10"/>
  <c r="U87" i="10"/>
  <c r="AC87" i="10"/>
  <c r="AK87" i="10"/>
  <c r="M88" i="10"/>
  <c r="U88" i="10"/>
  <c r="AC88" i="10"/>
  <c r="AK88" i="10"/>
  <c r="M89" i="10"/>
  <c r="U89" i="10"/>
  <c r="AC89" i="10"/>
  <c r="AK89" i="10"/>
  <c r="M90" i="10"/>
  <c r="U90" i="10"/>
  <c r="AC90" i="10"/>
  <c r="AK90" i="10"/>
  <c r="M91" i="10"/>
  <c r="U91" i="10"/>
  <c r="AC91" i="10"/>
  <c r="AK91" i="10"/>
  <c r="M92" i="10"/>
  <c r="U92" i="10"/>
  <c r="AC92" i="10"/>
  <c r="AK92" i="10"/>
  <c r="T305" i="10"/>
  <c r="U58" i="10"/>
  <c r="N305" i="10"/>
  <c r="N302" i="10"/>
  <c r="N299" i="10"/>
  <c r="N296" i="10"/>
  <c r="N293" i="10"/>
  <c r="V305" i="10"/>
  <c r="V302" i="10"/>
  <c r="V299" i="10"/>
  <c r="V296" i="10"/>
  <c r="V293" i="10"/>
  <c r="AD305" i="10"/>
  <c r="AD302" i="10"/>
  <c r="AD299" i="10"/>
  <c r="AD296" i="10"/>
  <c r="AD293" i="10"/>
  <c r="AL305" i="10"/>
  <c r="AL302" i="10"/>
  <c r="AL299" i="10"/>
  <c r="AL296" i="10"/>
  <c r="AL293" i="10"/>
  <c r="N306" i="10"/>
  <c r="N303" i="10"/>
  <c r="N300" i="10"/>
  <c r="N297" i="10"/>
  <c r="N294" i="10"/>
  <c r="V306" i="10"/>
  <c r="V303" i="10"/>
  <c r="V300" i="10"/>
  <c r="V297" i="10"/>
  <c r="V294" i="10"/>
  <c r="AD306" i="10"/>
  <c r="AD303" i="10"/>
  <c r="AD300" i="10"/>
  <c r="AD297" i="10"/>
  <c r="AD294" i="10"/>
  <c r="AL306" i="10"/>
  <c r="AL303" i="10"/>
  <c r="AL300" i="10"/>
  <c r="AL297" i="10"/>
  <c r="AL294" i="10"/>
  <c r="N307" i="10"/>
  <c r="N304" i="10"/>
  <c r="N301" i="10"/>
  <c r="N298" i="10"/>
  <c r="N295" i="10"/>
  <c r="V307" i="10"/>
  <c r="V304" i="10"/>
  <c r="V301" i="10"/>
  <c r="V298" i="10"/>
  <c r="V295" i="10"/>
  <c r="AD307" i="10"/>
  <c r="AD304" i="10"/>
  <c r="AD301" i="10"/>
  <c r="AD298" i="10"/>
  <c r="AD295" i="10"/>
  <c r="AL307" i="10"/>
  <c r="AL304" i="10"/>
  <c r="AL301" i="10"/>
  <c r="AL298" i="10"/>
  <c r="AL295" i="10"/>
  <c r="N320" i="10"/>
  <c r="N317" i="10"/>
  <c r="N311" i="10"/>
  <c r="N308" i="10"/>
  <c r="N314" i="10"/>
  <c r="V320" i="10"/>
  <c r="V317" i="10"/>
  <c r="V314" i="10"/>
  <c r="V311" i="10"/>
  <c r="V308" i="10"/>
  <c r="AD320" i="10"/>
  <c r="AD317" i="10"/>
  <c r="AD314" i="10"/>
  <c r="AD311" i="10"/>
  <c r="AD308" i="10"/>
  <c r="AL320" i="10"/>
  <c r="AL317" i="10"/>
  <c r="AL314" i="10"/>
  <c r="AL311" i="10"/>
  <c r="AL308" i="10"/>
  <c r="N321" i="10"/>
  <c r="N318" i="10"/>
  <c r="N315" i="10"/>
  <c r="N312" i="10"/>
  <c r="N309" i="10"/>
  <c r="V321" i="10"/>
  <c r="V318" i="10"/>
  <c r="V315" i="10"/>
  <c r="V309" i="10"/>
  <c r="V312" i="10"/>
  <c r="AD321" i="10"/>
  <c r="AD318" i="10"/>
  <c r="AD315" i="10"/>
  <c r="AD309" i="10"/>
  <c r="AD312" i="10"/>
  <c r="AL321" i="10"/>
  <c r="AL318" i="10"/>
  <c r="AL315" i="10"/>
  <c r="AL309" i="10"/>
  <c r="AL312" i="10"/>
  <c r="N322" i="10"/>
  <c r="N319" i="10"/>
  <c r="N316" i="10"/>
  <c r="N313" i="10"/>
  <c r="N310" i="10"/>
  <c r="V322" i="10"/>
  <c r="V319" i="10"/>
  <c r="V316" i="10"/>
  <c r="V313" i="10"/>
  <c r="V310" i="10"/>
  <c r="AD322" i="10"/>
  <c r="AD319" i="10"/>
  <c r="AD316" i="10"/>
  <c r="AD313" i="10"/>
  <c r="AD310" i="10"/>
  <c r="AL322" i="10"/>
  <c r="AL319" i="10"/>
  <c r="AL316" i="10"/>
  <c r="AL313" i="10"/>
  <c r="AL310" i="10"/>
  <c r="N406" i="10"/>
  <c r="N405" i="10"/>
  <c r="N404" i="10"/>
  <c r="N403" i="10"/>
  <c r="N402" i="10"/>
  <c r="N401" i="10"/>
  <c r="V406" i="10"/>
  <c r="V402" i="10"/>
  <c r="V403" i="10"/>
  <c r="V404" i="10"/>
  <c r="V401" i="10"/>
  <c r="V394" i="10" s="1"/>
  <c r="V397" i="10" s="1"/>
  <c r="V405" i="10"/>
  <c r="AD406" i="10"/>
  <c r="AD405" i="10"/>
  <c r="AD404" i="10"/>
  <c r="AD403" i="10"/>
  <c r="AD402" i="10"/>
  <c r="AD401" i="10"/>
  <c r="AL406" i="10"/>
  <c r="AL403" i="10"/>
  <c r="AL404" i="10"/>
  <c r="AL405" i="10"/>
  <c r="AL401" i="10"/>
  <c r="AL402" i="10"/>
  <c r="N413" i="10"/>
  <c r="N412" i="10"/>
  <c r="N411" i="10"/>
  <c r="N410" i="10"/>
  <c r="N409" i="10"/>
  <c r="N408" i="10"/>
  <c r="V413" i="10"/>
  <c r="V412" i="10"/>
  <c r="V411" i="10"/>
  <c r="V410" i="10"/>
  <c r="V409" i="10"/>
  <c r="V408" i="10"/>
  <c r="AD413" i="10"/>
  <c r="AD412" i="10"/>
  <c r="AD411" i="10"/>
  <c r="AD410" i="10"/>
  <c r="AD409" i="10"/>
  <c r="AD408" i="10"/>
  <c r="AL413" i="10"/>
  <c r="AL412" i="10"/>
  <c r="AL411" i="10"/>
  <c r="AL410" i="10"/>
  <c r="AL409" i="10"/>
  <c r="AL408" i="10"/>
  <c r="N420" i="10"/>
  <c r="N419" i="10"/>
  <c r="N418" i="10"/>
  <c r="N417" i="10"/>
  <c r="N416" i="10"/>
  <c r="N415" i="10"/>
  <c r="V420" i="10"/>
  <c r="V419" i="10"/>
  <c r="V418" i="10"/>
  <c r="V417" i="10"/>
  <c r="V416" i="10"/>
  <c r="V415" i="10"/>
  <c r="AD420" i="10"/>
  <c r="AD419" i="10"/>
  <c r="AD418" i="10"/>
  <c r="AD417" i="10"/>
  <c r="AD416" i="10"/>
  <c r="AD415" i="10"/>
  <c r="AL420" i="10"/>
  <c r="AL419" i="10"/>
  <c r="AL418" i="10"/>
  <c r="AL417" i="10"/>
  <c r="AL416" i="10"/>
  <c r="AL415" i="10"/>
  <c r="N87" i="10"/>
  <c r="V87" i="10"/>
  <c r="AD87" i="10"/>
  <c r="AL87" i="10"/>
  <c r="N88" i="10"/>
  <c r="V88" i="10"/>
  <c r="AD88" i="10"/>
  <c r="AL88" i="10"/>
  <c r="N89" i="10"/>
  <c r="V89" i="10"/>
  <c r="AD89" i="10"/>
  <c r="AL89" i="10"/>
  <c r="N90" i="10"/>
  <c r="V90" i="10"/>
  <c r="AD90" i="10"/>
  <c r="AL90" i="10"/>
  <c r="N91" i="10"/>
  <c r="V91" i="10"/>
  <c r="AD91" i="10"/>
  <c r="AL91" i="10"/>
  <c r="N92" i="10"/>
  <c r="V92" i="10"/>
  <c r="AD92" i="10"/>
  <c r="AL92" i="10"/>
  <c r="AB295" i="10"/>
  <c r="O305" i="10"/>
  <c r="O302" i="10"/>
  <c r="O299" i="10"/>
  <c r="O296" i="10"/>
  <c r="O293" i="10"/>
  <c r="W305" i="10"/>
  <c r="W302" i="10"/>
  <c r="W299" i="10"/>
  <c r="W296" i="10"/>
  <c r="W293" i="10"/>
  <c r="AE305" i="10"/>
  <c r="AE302" i="10"/>
  <c r="AE299" i="10"/>
  <c r="AE296" i="10"/>
  <c r="AE293" i="10"/>
  <c r="AM305" i="10"/>
  <c r="AM302" i="10"/>
  <c r="AM299" i="10"/>
  <c r="AM296" i="10"/>
  <c r="AM293" i="10"/>
  <c r="O306" i="10"/>
  <c r="O303" i="10"/>
  <c r="O300" i="10"/>
  <c r="O297" i="10"/>
  <c r="O294" i="10"/>
  <c r="W306" i="10"/>
  <c r="W303" i="10"/>
  <c r="W300" i="10"/>
  <c r="W297" i="10"/>
  <c r="W294" i="10"/>
  <c r="AE306" i="10"/>
  <c r="AE303" i="10"/>
  <c r="AE300" i="10"/>
  <c r="AE297" i="10"/>
  <c r="AE294" i="10"/>
  <c r="AM306" i="10"/>
  <c r="AM303" i="10"/>
  <c r="AM300" i="10"/>
  <c r="AM297" i="10"/>
  <c r="AM294" i="10"/>
  <c r="O307" i="10"/>
  <c r="O304" i="10"/>
  <c r="O301" i="10"/>
  <c r="O298" i="10"/>
  <c r="O295" i="10"/>
  <c r="W307" i="10"/>
  <c r="W304" i="10"/>
  <c r="W301" i="10"/>
  <c r="W298" i="10"/>
  <c r="W295" i="10"/>
  <c r="AE307" i="10"/>
  <c r="AE304" i="10"/>
  <c r="AE301" i="10"/>
  <c r="AE298" i="10"/>
  <c r="AE295" i="10"/>
  <c r="AM307" i="10"/>
  <c r="AM304" i="10"/>
  <c r="AM301" i="10"/>
  <c r="AM298" i="10"/>
  <c r="AM295" i="10"/>
  <c r="O317" i="10"/>
  <c r="O308" i="10"/>
  <c r="O314" i="10"/>
  <c r="O320" i="10"/>
  <c r="O311" i="10"/>
  <c r="W311" i="10"/>
  <c r="W320" i="10"/>
  <c r="W308" i="10"/>
  <c r="W317" i="10"/>
  <c r="AE320" i="10"/>
  <c r="AE311" i="10"/>
  <c r="AE314" i="10"/>
  <c r="AE308" i="10"/>
  <c r="AE317" i="10"/>
  <c r="AM317" i="10"/>
  <c r="AM311" i="10"/>
  <c r="AM308" i="10"/>
  <c r="AM320" i="10"/>
  <c r="AM314" i="10"/>
  <c r="O321" i="10"/>
  <c r="O315" i="10"/>
  <c r="O312" i="10"/>
  <c r="O309" i="10"/>
  <c r="O318" i="10"/>
  <c r="W318" i="10"/>
  <c r="W309" i="10"/>
  <c r="W312" i="10"/>
  <c r="W321" i="10"/>
  <c r="W315" i="10"/>
  <c r="AE318" i="10"/>
  <c r="AE309" i="10"/>
  <c r="AE321" i="10"/>
  <c r="AE315" i="10"/>
  <c r="AE312" i="10"/>
  <c r="AM321" i="10"/>
  <c r="AM315" i="10"/>
  <c r="AM309" i="10"/>
  <c r="AM318" i="10"/>
  <c r="AM312" i="10"/>
  <c r="O319" i="10"/>
  <c r="O310" i="10"/>
  <c r="O322" i="10"/>
  <c r="O316" i="10"/>
  <c r="O313" i="10"/>
  <c r="W313" i="10"/>
  <c r="W322" i="10"/>
  <c r="W316" i="10"/>
  <c r="W310" i="10"/>
  <c r="W319" i="10"/>
  <c r="AE322" i="10"/>
  <c r="AE316" i="10"/>
  <c r="AE313" i="10"/>
  <c r="AE319" i="10"/>
  <c r="AE310" i="10"/>
  <c r="AM319" i="10"/>
  <c r="AM313" i="10"/>
  <c r="AM322" i="10"/>
  <c r="AM316" i="10"/>
  <c r="AM310" i="10"/>
  <c r="O405" i="10"/>
  <c r="O404" i="10"/>
  <c r="O403" i="10"/>
  <c r="O402" i="10"/>
  <c r="O401" i="10"/>
  <c r="O406" i="10"/>
  <c r="W405" i="10"/>
  <c r="W404" i="10"/>
  <c r="W403" i="10"/>
  <c r="W402" i="10"/>
  <c r="W401" i="10"/>
  <c r="W406" i="10"/>
  <c r="AE405" i="10"/>
  <c r="AE404" i="10"/>
  <c r="AE403" i="10"/>
  <c r="AE402" i="10"/>
  <c r="AE401" i="10"/>
  <c r="AE406" i="10"/>
  <c r="AM406" i="10"/>
  <c r="AM405" i="10"/>
  <c r="AM404" i="10"/>
  <c r="AM403" i="10"/>
  <c r="AM402" i="10"/>
  <c r="AM401" i="10"/>
  <c r="O413" i="10"/>
  <c r="O412" i="10"/>
  <c r="O411" i="10"/>
  <c r="O410" i="10"/>
  <c r="O409" i="10"/>
  <c r="O408" i="10"/>
  <c r="W413" i="10"/>
  <c r="W412" i="10"/>
  <c r="W409" i="10"/>
  <c r="W411" i="10"/>
  <c r="W408" i="10"/>
  <c r="W410" i="10"/>
  <c r="AE413" i="10"/>
  <c r="AE412" i="10"/>
  <c r="AE411" i="10"/>
  <c r="AE410" i="10"/>
  <c r="AE409" i="10"/>
  <c r="AE408" i="10"/>
  <c r="AM413" i="10"/>
  <c r="AM412" i="10"/>
  <c r="AM411" i="10"/>
  <c r="AM409" i="10"/>
  <c r="AM408" i="10"/>
  <c r="AM395" i="10" s="1"/>
  <c r="AM398" i="10" s="1"/>
  <c r="AM410" i="10"/>
  <c r="O420" i="10"/>
  <c r="O419" i="10"/>
  <c r="O418" i="10"/>
  <c r="O417" i="10"/>
  <c r="O416" i="10"/>
  <c r="O415" i="10"/>
  <c r="W420" i="10"/>
  <c r="W419" i="10"/>
  <c r="W418" i="10"/>
  <c r="W417" i="10"/>
  <c r="W416" i="10"/>
  <c r="W415" i="10"/>
  <c r="AE420" i="10"/>
  <c r="AE419" i="10"/>
  <c r="AE418" i="10"/>
  <c r="AE417" i="10"/>
  <c r="AE416" i="10"/>
  <c r="AE415" i="10"/>
  <c r="AM420" i="10"/>
  <c r="AM419" i="10"/>
  <c r="AM418" i="10"/>
  <c r="AM417" i="10"/>
  <c r="AM416" i="10"/>
  <c r="AM415" i="10"/>
  <c r="O87" i="10"/>
  <c r="W87" i="10"/>
  <c r="AE87" i="10"/>
  <c r="AM87" i="10"/>
  <c r="O88" i="10"/>
  <c r="W88" i="10"/>
  <c r="AE88" i="10"/>
  <c r="AM88" i="10"/>
  <c r="O89" i="10"/>
  <c r="W89" i="10"/>
  <c r="AE89" i="10"/>
  <c r="AM89" i="10"/>
  <c r="O90" i="10"/>
  <c r="W90" i="10"/>
  <c r="AE90" i="10"/>
  <c r="AM90" i="10"/>
  <c r="O91" i="10"/>
  <c r="W91" i="10"/>
  <c r="AE91" i="10"/>
  <c r="AM91" i="10"/>
  <c r="O92" i="10"/>
  <c r="W92" i="10"/>
  <c r="AE92" i="10"/>
  <c r="AM92" i="10"/>
  <c r="T309" i="10"/>
  <c r="L58" i="10"/>
  <c r="P305" i="10"/>
  <c r="P302" i="10"/>
  <c r="P296" i="10"/>
  <c r="P299" i="10"/>
  <c r="P293" i="10"/>
  <c r="X305" i="10"/>
  <c r="X302" i="10"/>
  <c r="X299" i="10"/>
  <c r="X293" i="10"/>
  <c r="X296" i="10"/>
  <c r="AF305" i="10"/>
  <c r="AF302" i="10"/>
  <c r="AF296" i="10"/>
  <c r="AF299" i="10"/>
  <c r="AF293" i="10"/>
  <c r="AN305" i="10"/>
  <c r="AN302" i="10"/>
  <c r="AN299" i="10"/>
  <c r="AN293" i="10"/>
  <c r="AN296" i="10"/>
  <c r="P306" i="10"/>
  <c r="P303" i="10"/>
  <c r="P300" i="10"/>
  <c r="P294" i="10"/>
  <c r="P297" i="10"/>
  <c r="X306" i="10"/>
  <c r="X303" i="10"/>
  <c r="X300" i="10"/>
  <c r="X297" i="10"/>
  <c r="X294" i="10"/>
  <c r="AF306" i="10"/>
  <c r="AF303" i="10"/>
  <c r="AF300" i="10"/>
  <c r="AF294" i="10"/>
  <c r="AF297" i="10"/>
  <c r="AN306" i="10"/>
  <c r="AN303" i="10"/>
  <c r="AN300" i="10"/>
  <c r="AN297" i="10"/>
  <c r="AN294" i="10"/>
  <c r="P307" i="10"/>
  <c r="P304" i="10"/>
  <c r="P301" i="10"/>
  <c r="P298" i="10"/>
  <c r="P295" i="10"/>
  <c r="X307" i="10"/>
  <c r="X304" i="10"/>
  <c r="X301" i="10"/>
  <c r="X295" i="10"/>
  <c r="X298" i="10"/>
  <c r="AF307" i="10"/>
  <c r="AF304" i="10"/>
  <c r="AF301" i="10"/>
  <c r="AF298" i="10"/>
  <c r="AN307" i="10"/>
  <c r="AN304" i="10"/>
  <c r="AN301" i="10"/>
  <c r="AN295" i="10"/>
  <c r="AN298" i="10"/>
  <c r="P320" i="10"/>
  <c r="P317" i="10"/>
  <c r="P308" i="10"/>
  <c r="P314" i="10"/>
  <c r="P311" i="10"/>
  <c r="X320" i="10"/>
  <c r="X317" i="10"/>
  <c r="X308" i="10"/>
  <c r="X314" i="10"/>
  <c r="X311" i="10"/>
  <c r="AF320" i="10"/>
  <c r="AF317" i="10"/>
  <c r="AF311" i="10"/>
  <c r="AF314" i="10"/>
  <c r="AF308" i="10"/>
  <c r="AN320" i="10"/>
  <c r="AN317" i="10"/>
  <c r="AN311" i="10"/>
  <c r="AN308" i="10"/>
  <c r="AN314" i="10"/>
  <c r="P321" i="10"/>
  <c r="P318" i="10"/>
  <c r="P315" i="10"/>
  <c r="P312" i="10"/>
  <c r="P309" i="10"/>
  <c r="X321" i="10"/>
  <c r="X318" i="10"/>
  <c r="X315" i="10"/>
  <c r="X309" i="10"/>
  <c r="X312" i="10"/>
  <c r="AF321" i="10"/>
  <c r="AF318" i="10"/>
  <c r="AF315" i="10"/>
  <c r="AF309" i="10"/>
  <c r="AF312" i="10"/>
  <c r="AN321" i="10"/>
  <c r="AN318" i="10"/>
  <c r="AN315" i="10"/>
  <c r="AN309" i="10"/>
  <c r="AN312" i="10"/>
  <c r="P322" i="10"/>
  <c r="P319" i="10"/>
  <c r="P316" i="10"/>
  <c r="P310" i="10"/>
  <c r="P313" i="10"/>
  <c r="X322" i="10"/>
  <c r="X319" i="10"/>
  <c r="X316" i="10"/>
  <c r="X310" i="10"/>
  <c r="X313" i="10"/>
  <c r="AF322" i="10"/>
  <c r="AF319" i="10"/>
  <c r="AF316" i="10"/>
  <c r="AF313" i="10"/>
  <c r="AF310" i="10"/>
  <c r="AN322" i="10"/>
  <c r="AN319" i="10"/>
  <c r="AN316" i="10"/>
  <c r="AN313" i="10"/>
  <c r="AN310" i="10"/>
  <c r="P406" i="10"/>
  <c r="P405" i="10"/>
  <c r="P404" i="10"/>
  <c r="P403" i="10"/>
  <c r="P402" i="10"/>
  <c r="P401" i="10"/>
  <c r="X406" i="10"/>
  <c r="X405" i="10"/>
  <c r="X404" i="10"/>
  <c r="X403" i="10"/>
  <c r="X402" i="10"/>
  <c r="X401" i="10"/>
  <c r="AF406" i="10"/>
  <c r="AF405" i="10"/>
  <c r="AF404" i="10"/>
  <c r="AF403" i="10"/>
  <c r="AF402" i="10"/>
  <c r="AF401" i="10"/>
  <c r="AF394" i="10" s="1"/>
  <c r="AF397" i="10" s="1"/>
  <c r="AN406" i="10"/>
  <c r="AN405" i="10"/>
  <c r="AN404" i="10"/>
  <c r="AN403" i="10"/>
  <c r="AN402" i="10"/>
  <c r="AN401" i="10"/>
  <c r="P413" i="10"/>
  <c r="P412" i="10"/>
  <c r="P411" i="10"/>
  <c r="P410" i="10"/>
  <c r="P409" i="10"/>
  <c r="P408" i="10"/>
  <c r="X413" i="10"/>
  <c r="X412" i="10"/>
  <c r="X411" i="10"/>
  <c r="X410" i="10"/>
  <c r="X409" i="10"/>
  <c r="X408" i="10"/>
  <c r="AF413" i="10"/>
  <c r="AF412" i="10"/>
  <c r="AF411" i="10"/>
  <c r="AF410" i="10"/>
  <c r="AF409" i="10"/>
  <c r="AF408" i="10"/>
  <c r="AF395" i="10" s="1"/>
  <c r="AF398" i="10" s="1"/>
  <c r="AN413" i="10"/>
  <c r="AN412" i="10"/>
  <c r="AN411" i="10"/>
  <c r="AN410" i="10"/>
  <c r="AN409" i="10"/>
  <c r="AN408" i="10"/>
  <c r="P420" i="10"/>
  <c r="P419" i="10"/>
  <c r="P418" i="10"/>
  <c r="P417" i="10"/>
  <c r="P416" i="10"/>
  <c r="P415" i="10"/>
  <c r="X420" i="10"/>
  <c r="X419" i="10"/>
  <c r="X418" i="10"/>
  <c r="X417" i="10"/>
  <c r="X416" i="10"/>
  <c r="X415" i="10"/>
  <c r="AF420" i="10"/>
  <c r="AF419" i="10"/>
  <c r="AF418" i="10"/>
  <c r="AF417" i="10"/>
  <c r="AF416" i="10"/>
  <c r="AF415" i="10"/>
  <c r="AF396" i="10" s="1"/>
  <c r="AF399" i="10" s="1"/>
  <c r="AN420" i="10"/>
  <c r="AN419" i="10"/>
  <c r="AN418" i="10"/>
  <c r="AN417" i="10"/>
  <c r="AN416" i="10"/>
  <c r="AN415" i="10"/>
  <c r="P87" i="10"/>
  <c r="X87" i="10"/>
  <c r="AF87" i="10"/>
  <c r="AN87" i="10"/>
  <c r="P88" i="10"/>
  <c r="X88" i="10"/>
  <c r="AF88" i="10"/>
  <c r="AN88" i="10"/>
  <c r="P89" i="10"/>
  <c r="X89" i="10"/>
  <c r="AF89" i="10"/>
  <c r="AN89" i="10"/>
  <c r="P90" i="10"/>
  <c r="X90" i="10"/>
  <c r="AF90" i="10"/>
  <c r="AN90" i="10"/>
  <c r="P91" i="10"/>
  <c r="X91" i="10"/>
  <c r="AF91" i="10"/>
  <c r="AN91" i="10"/>
  <c r="P92" i="10"/>
  <c r="X92" i="10"/>
  <c r="AF92" i="10"/>
  <c r="AN92" i="10"/>
  <c r="M314" i="10"/>
  <c r="Q305" i="10"/>
  <c r="Q302" i="10"/>
  <c r="Q299" i="10"/>
  <c r="Q296" i="10"/>
  <c r="Q293" i="10"/>
  <c r="Y305" i="10"/>
  <c r="Y302" i="10"/>
  <c r="Y299" i="10"/>
  <c r="Y296" i="10"/>
  <c r="Y293" i="10"/>
  <c r="AG305" i="10"/>
  <c r="AG302" i="10"/>
  <c r="AG299" i="10"/>
  <c r="AG296" i="10"/>
  <c r="AG293" i="10"/>
  <c r="AO305" i="10"/>
  <c r="AO302" i="10"/>
  <c r="AO299" i="10"/>
  <c r="AO296" i="10"/>
  <c r="AO293" i="10"/>
  <c r="Q306" i="10"/>
  <c r="Q303" i="10"/>
  <c r="Q300" i="10"/>
  <c r="Q297" i="10"/>
  <c r="Q294" i="10"/>
  <c r="Y306" i="10"/>
  <c r="Y303" i="10"/>
  <c r="Y300" i="10"/>
  <c r="Y297" i="10"/>
  <c r="Y294" i="10"/>
  <c r="AG306" i="10"/>
  <c r="AG303" i="10"/>
  <c r="AG300" i="10"/>
  <c r="AG297" i="10"/>
  <c r="AG294" i="10"/>
  <c r="AO306" i="10"/>
  <c r="AO303" i="10"/>
  <c r="AO300" i="10"/>
  <c r="AO297" i="10"/>
  <c r="AO294" i="10"/>
  <c r="Q307" i="10"/>
  <c r="Q304" i="10"/>
  <c r="Q301" i="10"/>
  <c r="Q298" i="10"/>
  <c r="Q295" i="10"/>
  <c r="Y307" i="10"/>
  <c r="Y304" i="10"/>
  <c r="Y301" i="10"/>
  <c r="Y298" i="10"/>
  <c r="Y295" i="10"/>
  <c r="AG307" i="10"/>
  <c r="AG304" i="10"/>
  <c r="AG301" i="10"/>
  <c r="AG298" i="10"/>
  <c r="AG295" i="10"/>
  <c r="AO307" i="10"/>
  <c r="AO304" i="10"/>
  <c r="AO301" i="10"/>
  <c r="AO298" i="10"/>
  <c r="AO295" i="10"/>
  <c r="Q320" i="10"/>
  <c r="Q317" i="10"/>
  <c r="Q314" i="10"/>
  <c r="Q308" i="10"/>
  <c r="Q311" i="10"/>
  <c r="Y320" i="10"/>
  <c r="Y317" i="10"/>
  <c r="Y314" i="10"/>
  <c r="Y308" i="10"/>
  <c r="Y311" i="10"/>
  <c r="AG320" i="10"/>
  <c r="AG317" i="10"/>
  <c r="AG314" i="10"/>
  <c r="AG308" i="10"/>
  <c r="AG311" i="10"/>
  <c r="AO320" i="10"/>
  <c r="AO317" i="10"/>
  <c r="AO314" i="10"/>
  <c r="AO311" i="10"/>
  <c r="AO308" i="10"/>
  <c r="Q321" i="10"/>
  <c r="Q318" i="10"/>
  <c r="Q315" i="10"/>
  <c r="Q312" i="10"/>
  <c r="Q309" i="10"/>
  <c r="Y321" i="10"/>
  <c r="Y318" i="10"/>
  <c r="Y315" i="10"/>
  <c r="Y309" i="10"/>
  <c r="Y312" i="10"/>
  <c r="AG321" i="10"/>
  <c r="AG318" i="10"/>
  <c r="AG315" i="10"/>
  <c r="AG309" i="10"/>
  <c r="AG312" i="10"/>
  <c r="AO321" i="10"/>
  <c r="AO318" i="10"/>
  <c r="AO315" i="10"/>
  <c r="AO309" i="10"/>
  <c r="AO312" i="10"/>
  <c r="Q322" i="10"/>
  <c r="Q319" i="10"/>
  <c r="Q316" i="10"/>
  <c r="Q310" i="10"/>
  <c r="Q313" i="10"/>
  <c r="Y322" i="10"/>
  <c r="Y319" i="10"/>
  <c r="Y316" i="10"/>
  <c r="Y310" i="10"/>
  <c r="Y313" i="10"/>
  <c r="AG322" i="10"/>
  <c r="AG319" i="10"/>
  <c r="AG316" i="10"/>
  <c r="AG313" i="10"/>
  <c r="AG310" i="10"/>
  <c r="AO322" i="10"/>
  <c r="AO319" i="10"/>
  <c r="AO316" i="10"/>
  <c r="AO313" i="10"/>
  <c r="AO310" i="10"/>
  <c r="Q406" i="10"/>
  <c r="Q405" i="10"/>
  <c r="Q404" i="10"/>
  <c r="Q403" i="10"/>
  <c r="Q402" i="10"/>
  <c r="Q401" i="10"/>
  <c r="Y406" i="10"/>
  <c r="Y405" i="10"/>
  <c r="Y404" i="10"/>
  <c r="Y403" i="10"/>
  <c r="Y402" i="10"/>
  <c r="Y401" i="10"/>
  <c r="AG406" i="10"/>
  <c r="AG405" i="10"/>
  <c r="AG404" i="10"/>
  <c r="AG403" i="10"/>
  <c r="AG402" i="10"/>
  <c r="AG401" i="10"/>
  <c r="AO406" i="10"/>
  <c r="AO405" i="10"/>
  <c r="AO404" i="10"/>
  <c r="AO403" i="10"/>
  <c r="AO402" i="10"/>
  <c r="AO401" i="10"/>
  <c r="Q413" i="10"/>
  <c r="Q412" i="10"/>
  <c r="Q411" i="10"/>
  <c r="Q410" i="10"/>
  <c r="Q409" i="10"/>
  <c r="Q408" i="10"/>
  <c r="Y413" i="10"/>
  <c r="Y412" i="10"/>
  <c r="Y411" i="10"/>
  <c r="Y410" i="10"/>
  <c r="Y409" i="10"/>
  <c r="Y408" i="10"/>
  <c r="AG413" i="10"/>
  <c r="AG412" i="10"/>
  <c r="AG411" i="10"/>
  <c r="AG410" i="10"/>
  <c r="AG409" i="10"/>
  <c r="AG408" i="10"/>
  <c r="AO413" i="10"/>
  <c r="AO412" i="10"/>
  <c r="AO411" i="10"/>
  <c r="AO410" i="10"/>
  <c r="AO409" i="10"/>
  <c r="AO408" i="10"/>
  <c r="Q420" i="10"/>
  <c r="Q419" i="10"/>
  <c r="Q418" i="10"/>
  <c r="Q417" i="10"/>
  <c r="Q416" i="10"/>
  <c r="Q415" i="10"/>
  <c r="Y420" i="10"/>
  <c r="Y419" i="10"/>
  <c r="Y418" i="10"/>
  <c r="Y417" i="10"/>
  <c r="Y416" i="10"/>
  <c r="Y415" i="10"/>
  <c r="AG420" i="10"/>
  <c r="AG419" i="10"/>
  <c r="AG418" i="10"/>
  <c r="AG417" i="10"/>
  <c r="AG416" i="10"/>
  <c r="AG415" i="10"/>
  <c r="AO420" i="10"/>
  <c r="AO419" i="10"/>
  <c r="AO418" i="10"/>
  <c r="AO417" i="10"/>
  <c r="AO416" i="10"/>
  <c r="AO415" i="10"/>
  <c r="Q87" i="10"/>
  <c r="Y87" i="10"/>
  <c r="AG87" i="10"/>
  <c r="AO87" i="10"/>
  <c r="Q88" i="10"/>
  <c r="Y88" i="10"/>
  <c r="AG88" i="10"/>
  <c r="AO88" i="10"/>
  <c r="Q89" i="10"/>
  <c r="Y89" i="10"/>
  <c r="AG89" i="10"/>
  <c r="AO89" i="10"/>
  <c r="Q90" i="10"/>
  <c r="Y90" i="10"/>
  <c r="AG90" i="10"/>
  <c r="AO90" i="10"/>
  <c r="Q91" i="10"/>
  <c r="Y91" i="10"/>
  <c r="AG91" i="10"/>
  <c r="AO91" i="10"/>
  <c r="Q92" i="10"/>
  <c r="Y92" i="10"/>
  <c r="AG92" i="10"/>
  <c r="AO92" i="10"/>
  <c r="T298" i="10"/>
  <c r="W314" i="10"/>
  <c r="AW149" i="12" l="1"/>
  <c r="AX376" i="12"/>
  <c r="R347" i="12"/>
  <c r="R350" i="12" s="1"/>
  <c r="O346" i="12"/>
  <c r="O349" i="12" s="1"/>
  <c r="AM157" i="12"/>
  <c r="AM148" i="12"/>
  <c r="AM169" i="12"/>
  <c r="AM166" i="12"/>
  <c r="AM175" i="12"/>
  <c r="AM154" i="12"/>
  <c r="AM172" i="12"/>
  <c r="AM151" i="12"/>
  <c r="AM163" i="12"/>
  <c r="AM160" i="12"/>
  <c r="AO346" i="12"/>
  <c r="AO349" i="12" s="1"/>
  <c r="AO347" i="12"/>
  <c r="AO350" i="12" s="1"/>
  <c r="AO348" i="12"/>
  <c r="AO351" i="12" s="1"/>
  <c r="P347" i="12"/>
  <c r="P350" i="12" s="1"/>
  <c r="W152" i="12"/>
  <c r="W155" i="12"/>
  <c r="W176" i="12"/>
  <c r="W167" i="12"/>
  <c r="W170" i="12"/>
  <c r="W158" i="12"/>
  <c r="W164" i="12"/>
  <c r="W149" i="12"/>
  <c r="W173" i="12"/>
  <c r="W161" i="12"/>
  <c r="AB347" i="12"/>
  <c r="AB350" i="12" s="1"/>
  <c r="AF75" i="12"/>
  <c r="AF362" i="12"/>
  <c r="AF361" i="12"/>
  <c r="AF360" i="12"/>
  <c r="AF364" i="12"/>
  <c r="AF365" i="12"/>
  <c r="AF363" i="12"/>
  <c r="AD159" i="12"/>
  <c r="AD156" i="12"/>
  <c r="AD153" i="12"/>
  <c r="AD168" i="12"/>
  <c r="AD171" i="12"/>
  <c r="AD150" i="12"/>
  <c r="AD174" i="12"/>
  <c r="AD162" i="12"/>
  <c r="AD177" i="12"/>
  <c r="AD165" i="12"/>
  <c r="X153" i="12"/>
  <c r="X177" i="12"/>
  <c r="X150" i="12"/>
  <c r="X168" i="12"/>
  <c r="X165" i="12"/>
  <c r="X171" i="12"/>
  <c r="X159" i="12"/>
  <c r="X156" i="12"/>
  <c r="X174" i="12"/>
  <c r="X162" i="12"/>
  <c r="AG154" i="12"/>
  <c r="AG148" i="12"/>
  <c r="AG169" i="12"/>
  <c r="AG157" i="12"/>
  <c r="AG175" i="12"/>
  <c r="AG151" i="12"/>
  <c r="AG172" i="12"/>
  <c r="AG160" i="12"/>
  <c r="AG163" i="12"/>
  <c r="AG166" i="12"/>
  <c r="AQ148" i="12"/>
  <c r="AQ151" i="12"/>
  <c r="AQ166" i="12"/>
  <c r="AQ172" i="12"/>
  <c r="AQ169" i="12"/>
  <c r="AQ157" i="12"/>
  <c r="AQ163" i="12"/>
  <c r="AQ160" i="12"/>
  <c r="AQ154" i="12"/>
  <c r="AQ175" i="12"/>
  <c r="N347" i="12"/>
  <c r="N350" i="12" s="1"/>
  <c r="AO154" i="12"/>
  <c r="AO157" i="12"/>
  <c r="AO172" i="12"/>
  <c r="AO148" i="12"/>
  <c r="AO169" i="12"/>
  <c r="AO166" i="12"/>
  <c r="AO175" i="12"/>
  <c r="AO163" i="12"/>
  <c r="AO151" i="12"/>
  <c r="AO160" i="12"/>
  <c r="AN348" i="12"/>
  <c r="AN351" i="12" s="1"/>
  <c r="AA348" i="12"/>
  <c r="AA351" i="12" s="1"/>
  <c r="AB74" i="12"/>
  <c r="AB353" i="12"/>
  <c r="AB357" i="12"/>
  <c r="AB356" i="12"/>
  <c r="AB355" i="12"/>
  <c r="AB354" i="12"/>
  <c r="AB358" i="12"/>
  <c r="Z346" i="12"/>
  <c r="Z349" i="12" s="1"/>
  <c r="Z313" i="12" s="1"/>
  <c r="Z150" i="12"/>
  <c r="Z165" i="12"/>
  <c r="Z171" i="12"/>
  <c r="Z162" i="12"/>
  <c r="Z177" i="12"/>
  <c r="Z159" i="12"/>
  <c r="Z168" i="12"/>
  <c r="Z153" i="12"/>
  <c r="Z156" i="12"/>
  <c r="Z174" i="12"/>
  <c r="P346" i="12"/>
  <c r="P349" i="12" s="1"/>
  <c r="AH150" i="12"/>
  <c r="AH153" i="12"/>
  <c r="AH165" i="12"/>
  <c r="AH171" i="12"/>
  <c r="AH174" i="12"/>
  <c r="AH168" i="12"/>
  <c r="AH156" i="12"/>
  <c r="AH159" i="12"/>
  <c r="AH177" i="12"/>
  <c r="AH162" i="12"/>
  <c r="M150" i="12"/>
  <c r="M153" i="12"/>
  <c r="M168" i="12"/>
  <c r="M174" i="12"/>
  <c r="M171" i="12"/>
  <c r="M177" i="12"/>
  <c r="M156" i="12"/>
  <c r="M159" i="12"/>
  <c r="M165" i="12"/>
  <c r="M162" i="12"/>
  <c r="N74" i="12"/>
  <c r="N353" i="12"/>
  <c r="N355" i="12"/>
  <c r="N358" i="12"/>
  <c r="N357" i="12"/>
  <c r="N356" i="12"/>
  <c r="N354" i="12"/>
  <c r="T149" i="12"/>
  <c r="T152" i="12"/>
  <c r="T155" i="12"/>
  <c r="T167" i="12"/>
  <c r="T173" i="12"/>
  <c r="T164" i="12"/>
  <c r="T176" i="12"/>
  <c r="T161" i="12"/>
  <c r="T170" i="12"/>
  <c r="T158" i="12"/>
  <c r="AF74" i="12"/>
  <c r="AF353" i="12"/>
  <c r="AF357" i="12"/>
  <c r="AF358" i="12"/>
  <c r="AF355" i="12"/>
  <c r="AF356" i="12"/>
  <c r="AF354" i="12"/>
  <c r="V151" i="12"/>
  <c r="V154" i="12"/>
  <c r="V169" i="12"/>
  <c r="V175" i="12"/>
  <c r="V148" i="12"/>
  <c r="V166" i="12"/>
  <c r="V160" i="12"/>
  <c r="V172" i="12"/>
  <c r="V157" i="12"/>
  <c r="V163" i="12"/>
  <c r="AN148" i="12"/>
  <c r="AN154" i="12"/>
  <c r="AN163" i="12"/>
  <c r="AN169" i="12"/>
  <c r="AN166" i="12"/>
  <c r="AN175" i="12"/>
  <c r="AN151" i="12"/>
  <c r="AN160" i="12"/>
  <c r="AN172" i="12"/>
  <c r="AN157" i="12"/>
  <c r="W153" i="12"/>
  <c r="W162" i="12"/>
  <c r="W168" i="12"/>
  <c r="W159" i="12"/>
  <c r="W177" i="12"/>
  <c r="W165" i="12"/>
  <c r="W156" i="12"/>
  <c r="W174" i="12"/>
  <c r="W171" i="12"/>
  <c r="W150" i="12"/>
  <c r="AA156" i="12"/>
  <c r="AA171" i="12"/>
  <c r="AA174" i="12"/>
  <c r="AA162" i="12"/>
  <c r="AA153" i="12"/>
  <c r="AA165" i="12"/>
  <c r="AA150" i="12"/>
  <c r="AA177" i="12"/>
  <c r="AA159" i="12"/>
  <c r="AA168" i="12"/>
  <c r="AD151" i="12"/>
  <c r="AD154" i="12"/>
  <c r="AD169" i="12"/>
  <c r="AD175" i="12"/>
  <c r="AD166" i="12"/>
  <c r="AD157" i="12"/>
  <c r="AD163" i="12"/>
  <c r="AD172" i="12"/>
  <c r="AD160" i="12"/>
  <c r="AD148" i="12"/>
  <c r="AA346" i="12"/>
  <c r="AA349" i="12" s="1"/>
  <c r="AA75" i="12"/>
  <c r="AA361" i="12"/>
  <c r="AA365" i="12"/>
  <c r="AA364" i="12"/>
  <c r="AA363" i="12"/>
  <c r="AA362" i="12"/>
  <c r="AA360" i="12"/>
  <c r="AO316" i="12"/>
  <c r="AO314" i="12"/>
  <c r="AO322" i="12"/>
  <c r="AO318" i="12"/>
  <c r="AO324" i="12"/>
  <c r="AO332" i="12"/>
  <c r="AO312" i="12"/>
  <c r="AO323" i="12"/>
  <c r="AO328" i="12"/>
  <c r="AO311" i="12"/>
  <c r="AO321" i="12"/>
  <c r="AO327" i="12"/>
  <c r="AO335" i="12"/>
  <c r="AO309" i="12"/>
  <c r="AO319" i="12"/>
  <c r="AO325" i="12"/>
  <c r="AO333" i="12"/>
  <c r="AO320" i="12"/>
  <c r="AO326" i="12"/>
  <c r="AO334" i="12"/>
  <c r="AO310" i="12"/>
  <c r="AO317" i="12"/>
  <c r="AO331" i="12"/>
  <c r="AO338" i="12"/>
  <c r="AO315" i="12"/>
  <c r="AO330" i="12"/>
  <c r="AO337" i="12"/>
  <c r="AO313" i="12"/>
  <c r="AO329" i="12"/>
  <c r="AO336" i="12"/>
  <c r="AJ151" i="12"/>
  <c r="AJ157" i="12"/>
  <c r="AJ160" i="12"/>
  <c r="AJ166" i="12"/>
  <c r="AJ172" i="12"/>
  <c r="AJ148" i="12"/>
  <c r="AJ169" i="12"/>
  <c r="AJ154" i="12"/>
  <c r="AJ175" i="12"/>
  <c r="AJ163" i="12"/>
  <c r="M346" i="12"/>
  <c r="M349" i="12" s="1"/>
  <c r="AM74" i="12"/>
  <c r="AM356" i="12"/>
  <c r="AM353" i="12"/>
  <c r="AM358" i="12"/>
  <c r="AM357" i="12"/>
  <c r="AM354" i="12"/>
  <c r="AM355" i="12"/>
  <c r="AP348" i="12"/>
  <c r="AP351" i="12" s="1"/>
  <c r="AG149" i="12"/>
  <c r="AG155" i="12"/>
  <c r="AG152" i="12"/>
  <c r="AG164" i="12"/>
  <c r="AG170" i="12"/>
  <c r="AG167" i="12"/>
  <c r="AG161" i="12"/>
  <c r="AG176" i="12"/>
  <c r="AG173" i="12"/>
  <c r="AG158" i="12"/>
  <c r="U152" i="12"/>
  <c r="U158" i="12"/>
  <c r="U170" i="12"/>
  <c r="U173" i="12"/>
  <c r="U155" i="12"/>
  <c r="U161" i="12"/>
  <c r="U149" i="12"/>
  <c r="U164" i="12"/>
  <c r="U167" i="12"/>
  <c r="U176" i="12"/>
  <c r="AQ152" i="12"/>
  <c r="AQ149" i="12"/>
  <c r="AQ158" i="12"/>
  <c r="AQ164" i="12"/>
  <c r="AQ155" i="12"/>
  <c r="AQ167" i="12"/>
  <c r="AQ161" i="12"/>
  <c r="AQ176" i="12"/>
  <c r="AQ173" i="12"/>
  <c r="AQ170" i="12"/>
  <c r="AP75" i="12"/>
  <c r="AP364" i="12"/>
  <c r="AP363" i="12"/>
  <c r="AP362" i="12"/>
  <c r="AP361" i="12"/>
  <c r="AP360" i="12"/>
  <c r="AP365" i="12"/>
  <c r="AK75" i="12"/>
  <c r="AK365" i="12"/>
  <c r="AK364" i="12"/>
  <c r="AK363" i="12"/>
  <c r="AK362" i="12"/>
  <c r="AK360" i="12"/>
  <c r="AK361" i="12"/>
  <c r="AO149" i="12"/>
  <c r="AO155" i="12"/>
  <c r="AO164" i="12"/>
  <c r="AO170" i="12"/>
  <c r="AO167" i="12"/>
  <c r="AO158" i="12"/>
  <c r="AO176" i="12"/>
  <c r="AO152" i="12"/>
  <c r="AO173" i="12"/>
  <c r="AO161" i="12"/>
  <c r="AK74" i="12"/>
  <c r="AK354" i="12"/>
  <c r="AK353" i="12"/>
  <c r="AK358" i="12"/>
  <c r="AK357" i="12"/>
  <c r="AK356" i="12"/>
  <c r="AK355" i="12"/>
  <c r="AD75" i="12"/>
  <c r="AD360" i="12"/>
  <c r="AD365" i="12"/>
  <c r="AD364" i="12"/>
  <c r="AD363" i="12"/>
  <c r="AD361" i="12"/>
  <c r="AD362" i="12"/>
  <c r="Z315" i="12"/>
  <c r="Z323" i="12"/>
  <c r="Z325" i="12"/>
  <c r="Z328" i="12"/>
  <c r="Z336" i="12"/>
  <c r="Z326" i="12"/>
  <c r="Z311" i="12"/>
  <c r="Z338" i="12"/>
  <c r="Z337" i="12"/>
  <c r="Z331" i="12"/>
  <c r="Z321" i="12"/>
  <c r="Z330" i="12"/>
  <c r="Z155" i="12"/>
  <c r="Z152" i="12"/>
  <c r="Z164" i="12"/>
  <c r="Z158" i="12"/>
  <c r="Z173" i="12"/>
  <c r="Z161" i="12"/>
  <c r="Z176" i="12"/>
  <c r="Z149" i="12"/>
  <c r="Z167" i="12"/>
  <c r="Z170" i="12"/>
  <c r="P315" i="12"/>
  <c r="P323" i="12"/>
  <c r="P313" i="12"/>
  <c r="P321" i="12"/>
  <c r="P314" i="12"/>
  <c r="P331" i="12"/>
  <c r="P309" i="12"/>
  <c r="P319" i="12"/>
  <c r="P327" i="12"/>
  <c r="P318" i="12"/>
  <c r="P326" i="12"/>
  <c r="P334" i="12"/>
  <c r="P316" i="12"/>
  <c r="P332" i="12"/>
  <c r="P333" i="12"/>
  <c r="P312" i="12"/>
  <c r="P330" i="12"/>
  <c r="P329" i="12"/>
  <c r="P338" i="12"/>
  <c r="P310" i="12"/>
  <c r="P328" i="12"/>
  <c r="P337" i="12"/>
  <c r="P317" i="12"/>
  <c r="P325" i="12"/>
  <c r="P336" i="12"/>
  <c r="P324" i="12"/>
  <c r="P335" i="12"/>
  <c r="P322" i="12"/>
  <c r="P311" i="12"/>
  <c r="P320" i="12"/>
  <c r="S346" i="12"/>
  <c r="S349" i="12" s="1"/>
  <c r="AM153" i="12"/>
  <c r="AM162" i="12"/>
  <c r="AM168" i="12"/>
  <c r="AM165" i="12"/>
  <c r="AM150" i="12"/>
  <c r="AM159" i="12"/>
  <c r="AM174" i="12"/>
  <c r="AM177" i="12"/>
  <c r="AM156" i="12"/>
  <c r="AM171" i="12"/>
  <c r="AE153" i="12"/>
  <c r="AE150" i="12"/>
  <c r="AE162" i="12"/>
  <c r="AE168" i="12"/>
  <c r="AE165" i="12"/>
  <c r="AE156" i="12"/>
  <c r="AE159" i="12"/>
  <c r="AE174" i="12"/>
  <c r="AE171" i="12"/>
  <c r="AE177" i="12"/>
  <c r="T153" i="12"/>
  <c r="T150" i="12"/>
  <c r="T159" i="12"/>
  <c r="T165" i="12"/>
  <c r="T156" i="12"/>
  <c r="T168" i="12"/>
  <c r="T171" i="12"/>
  <c r="T174" i="12"/>
  <c r="T162" i="12"/>
  <c r="T177" i="12"/>
  <c r="V155" i="12"/>
  <c r="V152" i="12"/>
  <c r="V161" i="12"/>
  <c r="V167" i="12"/>
  <c r="V158" i="12"/>
  <c r="V173" i="12"/>
  <c r="V164" i="12"/>
  <c r="V170" i="12"/>
  <c r="V149" i="12"/>
  <c r="V176" i="12"/>
  <c r="S76" i="12"/>
  <c r="S371" i="12"/>
  <c r="S370" i="12"/>
  <c r="S369" i="12"/>
  <c r="S368" i="12"/>
  <c r="S367" i="12"/>
  <c r="S372" i="12"/>
  <c r="AN149" i="12"/>
  <c r="AN155" i="12"/>
  <c r="AN161" i="12"/>
  <c r="AN164" i="12"/>
  <c r="AN173" i="12"/>
  <c r="AN158" i="12"/>
  <c r="AN170" i="12"/>
  <c r="AN152" i="12"/>
  <c r="AN176" i="12"/>
  <c r="AN167" i="12"/>
  <c r="AA148" i="12"/>
  <c r="AA151" i="12"/>
  <c r="AA166" i="12"/>
  <c r="AA172" i="12"/>
  <c r="AA163" i="12"/>
  <c r="AA154" i="12"/>
  <c r="AA169" i="12"/>
  <c r="AA175" i="12"/>
  <c r="AA157" i="12"/>
  <c r="AA160" i="12"/>
  <c r="AD155" i="12"/>
  <c r="AD152" i="12"/>
  <c r="AD149" i="12"/>
  <c r="AD161" i="12"/>
  <c r="AD167" i="12"/>
  <c r="AD170" i="12"/>
  <c r="AD164" i="12"/>
  <c r="AD173" i="12"/>
  <c r="AD158" i="12"/>
  <c r="AD176" i="12"/>
  <c r="O148" i="12"/>
  <c r="O160" i="12"/>
  <c r="O163" i="12"/>
  <c r="O151" i="12"/>
  <c r="O175" i="12"/>
  <c r="O169" i="12"/>
  <c r="O157" i="12"/>
  <c r="O172" i="12"/>
  <c r="O154" i="12"/>
  <c r="O166" i="12"/>
  <c r="AH76" i="12"/>
  <c r="AH372" i="12"/>
  <c r="AH370" i="12"/>
  <c r="AH369" i="12"/>
  <c r="AH368" i="12"/>
  <c r="AH367" i="12"/>
  <c r="AH371" i="12"/>
  <c r="Y154" i="12"/>
  <c r="Y169" i="12"/>
  <c r="Y172" i="12"/>
  <c r="Y151" i="12"/>
  <c r="Y157" i="12"/>
  <c r="Y160" i="12"/>
  <c r="Y175" i="12"/>
  <c r="Y148" i="12"/>
  <c r="Y163" i="12"/>
  <c r="Y166" i="12"/>
  <c r="AJ149" i="12"/>
  <c r="AJ152" i="12"/>
  <c r="AJ155" i="12"/>
  <c r="AJ167" i="12"/>
  <c r="AJ173" i="12"/>
  <c r="AJ176" i="12"/>
  <c r="AJ170" i="12"/>
  <c r="AJ164" i="12"/>
  <c r="AJ158" i="12"/>
  <c r="AJ161" i="12"/>
  <c r="U74" i="12"/>
  <c r="U353" i="12"/>
  <c r="U354" i="12"/>
  <c r="U358" i="12"/>
  <c r="U357" i="12"/>
  <c r="U356" i="12"/>
  <c r="U355" i="12"/>
  <c r="AG150" i="12"/>
  <c r="AG156" i="12"/>
  <c r="AG162" i="12"/>
  <c r="AG153" i="12"/>
  <c r="AG159" i="12"/>
  <c r="AG177" i="12"/>
  <c r="AG165" i="12"/>
  <c r="AG171" i="12"/>
  <c r="AG168" i="12"/>
  <c r="AG174" i="12"/>
  <c r="AH151" i="12"/>
  <c r="AH148" i="12"/>
  <c r="AH157" i="12"/>
  <c r="AH163" i="12"/>
  <c r="AH160" i="12"/>
  <c r="AH172" i="12"/>
  <c r="AH166" i="12"/>
  <c r="AH169" i="12"/>
  <c r="AH154" i="12"/>
  <c r="AH175" i="12"/>
  <c r="AC75" i="12"/>
  <c r="AC363" i="12"/>
  <c r="AC365" i="12"/>
  <c r="AC364" i="12"/>
  <c r="AC360" i="12"/>
  <c r="AC361" i="12"/>
  <c r="AC362" i="12"/>
  <c r="AK76" i="12"/>
  <c r="AK368" i="12"/>
  <c r="AK367" i="12"/>
  <c r="AK348" i="12" s="1"/>
  <c r="AK351" i="12" s="1"/>
  <c r="AK372" i="12"/>
  <c r="AK371" i="12"/>
  <c r="AK370" i="12"/>
  <c r="AK369" i="12"/>
  <c r="AO150" i="12"/>
  <c r="AO156" i="12"/>
  <c r="AO162" i="12"/>
  <c r="AO153" i="12"/>
  <c r="AO165" i="12"/>
  <c r="AO171" i="12"/>
  <c r="AO174" i="12"/>
  <c r="AO159" i="12"/>
  <c r="AO177" i="12"/>
  <c r="AO168" i="12"/>
  <c r="M76" i="12"/>
  <c r="M368" i="12"/>
  <c r="M367" i="12"/>
  <c r="M372" i="12"/>
  <c r="M371" i="12"/>
  <c r="M370" i="12"/>
  <c r="M369" i="12"/>
  <c r="AB76" i="12"/>
  <c r="AB371" i="12"/>
  <c r="AB367" i="12"/>
  <c r="AB348" i="12" s="1"/>
  <c r="AB351" i="12" s="1"/>
  <c r="AB372" i="12"/>
  <c r="AB370" i="12"/>
  <c r="AB369" i="12"/>
  <c r="AB368" i="12"/>
  <c r="AK152" i="12"/>
  <c r="AK158" i="12"/>
  <c r="AK149" i="12"/>
  <c r="AK161" i="12"/>
  <c r="AK155" i="12"/>
  <c r="AK173" i="12"/>
  <c r="AK176" i="12"/>
  <c r="AK164" i="12"/>
  <c r="AK167" i="12"/>
  <c r="AK170" i="12"/>
  <c r="S150" i="12"/>
  <c r="S156" i="12"/>
  <c r="S162" i="12"/>
  <c r="S159" i="12"/>
  <c r="S165" i="12"/>
  <c r="S171" i="12"/>
  <c r="S177" i="12"/>
  <c r="S153" i="12"/>
  <c r="S174" i="12"/>
  <c r="S168" i="12"/>
  <c r="Z151" i="12"/>
  <c r="Z148" i="12"/>
  <c r="Z157" i="12"/>
  <c r="Z163" i="12"/>
  <c r="Z154" i="12"/>
  <c r="Z160" i="12"/>
  <c r="Z175" i="12"/>
  <c r="Z172" i="12"/>
  <c r="Z166" i="12"/>
  <c r="Z169" i="12"/>
  <c r="Q76" i="12"/>
  <c r="Q372" i="12"/>
  <c r="Q371" i="12"/>
  <c r="Q369" i="12"/>
  <c r="Q368" i="12"/>
  <c r="Q370" i="12"/>
  <c r="Q367" i="12"/>
  <c r="S347" i="12"/>
  <c r="S350" i="12" s="1"/>
  <c r="X76" i="12"/>
  <c r="X367" i="12"/>
  <c r="X371" i="12"/>
  <c r="X370" i="12"/>
  <c r="X368" i="12"/>
  <c r="X372" i="12"/>
  <c r="X369" i="12"/>
  <c r="AF76" i="12"/>
  <c r="AF371" i="12"/>
  <c r="AF370" i="12"/>
  <c r="AF368" i="12"/>
  <c r="AF367" i="12"/>
  <c r="AF372" i="12"/>
  <c r="AF369" i="12"/>
  <c r="AI76" i="12"/>
  <c r="AI370" i="12"/>
  <c r="AI371" i="12"/>
  <c r="AI372" i="12"/>
  <c r="AI368" i="12"/>
  <c r="AI367" i="12"/>
  <c r="AI369" i="12"/>
  <c r="W76" i="12"/>
  <c r="W370" i="12"/>
  <c r="W369" i="12"/>
  <c r="W367" i="12"/>
  <c r="W372" i="12"/>
  <c r="W371" i="12"/>
  <c r="W368" i="12"/>
  <c r="AP150" i="12"/>
  <c r="AP165" i="12"/>
  <c r="AP171" i="12"/>
  <c r="AP168" i="12"/>
  <c r="AP177" i="12"/>
  <c r="AP156" i="12"/>
  <c r="AP162" i="12"/>
  <c r="AP159" i="12"/>
  <c r="AP153" i="12"/>
  <c r="AP174" i="12"/>
  <c r="AC76" i="12"/>
  <c r="AC368" i="12"/>
  <c r="AC367" i="12"/>
  <c r="AC372" i="12"/>
  <c r="AC371" i="12"/>
  <c r="AC370" i="12"/>
  <c r="AC369" i="12"/>
  <c r="AN153" i="12"/>
  <c r="AN177" i="12"/>
  <c r="AN150" i="12"/>
  <c r="AN156" i="12"/>
  <c r="AN159" i="12"/>
  <c r="AN168" i="12"/>
  <c r="AN171" i="12"/>
  <c r="AN162" i="12"/>
  <c r="AN165" i="12"/>
  <c r="AN174" i="12"/>
  <c r="AM75" i="12"/>
  <c r="AM361" i="12"/>
  <c r="AM360" i="12"/>
  <c r="AM365" i="12"/>
  <c r="AM364" i="12"/>
  <c r="AM362" i="12"/>
  <c r="AM363" i="12"/>
  <c r="AA152" i="12"/>
  <c r="AA149" i="12"/>
  <c r="AA158" i="12"/>
  <c r="AA164" i="12"/>
  <c r="AA176" i="12"/>
  <c r="AA161" i="12"/>
  <c r="AA167" i="12"/>
  <c r="AA155" i="12"/>
  <c r="AA170" i="12"/>
  <c r="AA173" i="12"/>
  <c r="O153" i="12"/>
  <c r="O150" i="12"/>
  <c r="O162" i="12"/>
  <c r="O168" i="12"/>
  <c r="O159" i="12"/>
  <c r="O171" i="12"/>
  <c r="O165" i="12"/>
  <c r="O174" i="12"/>
  <c r="O156" i="12"/>
  <c r="O177" i="12"/>
  <c r="AA310" i="12"/>
  <c r="AA318" i="12"/>
  <c r="AA316" i="12"/>
  <c r="AA314" i="12"/>
  <c r="AA326" i="12"/>
  <c r="AA309" i="12"/>
  <c r="AA320" i="12"/>
  <c r="AA330" i="12"/>
  <c r="AA319" i="12"/>
  <c r="AA329" i="12"/>
  <c r="AA337" i="12"/>
  <c r="AA315" i="12"/>
  <c r="AA327" i="12"/>
  <c r="AA335" i="12"/>
  <c r="AA317" i="12"/>
  <c r="AA328" i="12"/>
  <c r="AA313" i="12"/>
  <c r="AA325" i="12"/>
  <c r="AA322" i="12"/>
  <c r="AA324" i="12"/>
  <c r="AA311" i="12"/>
  <c r="AA338" i="12"/>
  <c r="AA336" i="12"/>
  <c r="AA323" i="12"/>
  <c r="AA333" i="12"/>
  <c r="AA334" i="12"/>
  <c r="AA332" i="12"/>
  <c r="AA312" i="12"/>
  <c r="AA321" i="12"/>
  <c r="AA331" i="12"/>
  <c r="Y150" i="12"/>
  <c r="Y156" i="12"/>
  <c r="Y162" i="12"/>
  <c r="Y174" i="12"/>
  <c r="Y159" i="12"/>
  <c r="Y153" i="12"/>
  <c r="Y177" i="12"/>
  <c r="Y168" i="12"/>
  <c r="Y171" i="12"/>
  <c r="Y165" i="12"/>
  <c r="AJ153" i="12"/>
  <c r="AJ150" i="12"/>
  <c r="AJ159" i="12"/>
  <c r="AJ165" i="12"/>
  <c r="AJ162" i="12"/>
  <c r="AJ171" i="12"/>
  <c r="AJ174" i="12"/>
  <c r="AJ156" i="12"/>
  <c r="AJ177" i="12"/>
  <c r="AJ168" i="12"/>
  <c r="N76" i="12"/>
  <c r="N369" i="12"/>
  <c r="N368" i="12"/>
  <c r="N367" i="12"/>
  <c r="N372" i="12"/>
  <c r="N371" i="12"/>
  <c r="N370" i="12"/>
  <c r="M312" i="12"/>
  <c r="M320" i="12"/>
  <c r="M310" i="12"/>
  <c r="M318" i="12"/>
  <c r="M311" i="12"/>
  <c r="M322" i="12"/>
  <c r="M328" i="12"/>
  <c r="M316" i="12"/>
  <c r="M332" i="12"/>
  <c r="M315" i="12"/>
  <c r="M331" i="12"/>
  <c r="M313" i="12"/>
  <c r="M323" i="12"/>
  <c r="M329" i="12"/>
  <c r="M337" i="12"/>
  <c r="M314" i="12"/>
  <c r="M330" i="12"/>
  <c r="M338" i="12"/>
  <c r="M321" i="12"/>
  <c r="M327" i="12"/>
  <c r="M336" i="12"/>
  <c r="M319" i="12"/>
  <c r="M326" i="12"/>
  <c r="M335" i="12"/>
  <c r="M317" i="12"/>
  <c r="M325" i="12"/>
  <c r="M324" i="12"/>
  <c r="M309" i="12"/>
  <c r="M334" i="12"/>
  <c r="M333" i="12"/>
  <c r="R155" i="12"/>
  <c r="R149" i="12"/>
  <c r="R176" i="12"/>
  <c r="R167" i="12"/>
  <c r="R170" i="12"/>
  <c r="R152" i="12"/>
  <c r="R164" i="12"/>
  <c r="R173" i="12"/>
  <c r="R158" i="12"/>
  <c r="R161" i="12"/>
  <c r="R76" i="12"/>
  <c r="R372" i="12"/>
  <c r="R370" i="12"/>
  <c r="R369" i="12"/>
  <c r="R371" i="12"/>
  <c r="R367" i="12"/>
  <c r="R368" i="12"/>
  <c r="AQ75" i="12"/>
  <c r="AQ361" i="12"/>
  <c r="AQ365" i="12"/>
  <c r="AQ364" i="12"/>
  <c r="AQ363" i="12"/>
  <c r="AQ362" i="12"/>
  <c r="AQ360" i="12"/>
  <c r="AD348" i="12"/>
  <c r="AD351" i="12" s="1"/>
  <c r="AK154" i="12"/>
  <c r="AK151" i="12"/>
  <c r="AK160" i="12"/>
  <c r="AK166" i="12"/>
  <c r="AK163" i="12"/>
  <c r="AK169" i="12"/>
  <c r="AK175" i="12"/>
  <c r="AK157" i="12"/>
  <c r="AK172" i="12"/>
  <c r="AK148" i="12"/>
  <c r="Q154" i="12"/>
  <c r="Q148" i="12"/>
  <c r="Q166" i="12"/>
  <c r="Q175" i="12"/>
  <c r="Q157" i="12"/>
  <c r="Q172" i="12"/>
  <c r="Q169" i="12"/>
  <c r="Q160" i="12"/>
  <c r="Q163" i="12"/>
  <c r="Q151" i="12"/>
  <c r="V348" i="12"/>
  <c r="V351" i="12" s="1"/>
  <c r="S148" i="12"/>
  <c r="S151" i="12"/>
  <c r="S154" i="12"/>
  <c r="S166" i="12"/>
  <c r="S172" i="12"/>
  <c r="S163" i="12"/>
  <c r="S160" i="12"/>
  <c r="S157" i="12"/>
  <c r="S169" i="12"/>
  <c r="S175" i="12"/>
  <c r="Z347" i="12"/>
  <c r="Z350" i="12" s="1"/>
  <c r="AJ348" i="12"/>
  <c r="AJ351" i="12" s="1"/>
  <c r="AD74" i="12"/>
  <c r="AD353" i="12"/>
  <c r="AD358" i="12"/>
  <c r="AD357" i="12"/>
  <c r="AD356" i="12"/>
  <c r="AD355" i="12"/>
  <c r="AD354" i="12"/>
  <c r="AI150" i="12"/>
  <c r="AI156" i="12"/>
  <c r="AI159" i="12"/>
  <c r="AI177" i="12"/>
  <c r="AI171" i="12"/>
  <c r="AI153" i="12"/>
  <c r="AI162" i="12"/>
  <c r="AI174" i="12"/>
  <c r="AI165" i="12"/>
  <c r="AI168" i="12"/>
  <c r="W75" i="12"/>
  <c r="W361" i="12"/>
  <c r="W360" i="12"/>
  <c r="W365" i="12"/>
  <c r="W363" i="12"/>
  <c r="W364" i="12"/>
  <c r="W362" i="12"/>
  <c r="M75" i="12"/>
  <c r="M365" i="12"/>
  <c r="M364" i="12"/>
  <c r="M363" i="12"/>
  <c r="M360" i="12"/>
  <c r="M361" i="12"/>
  <c r="M362" i="12"/>
  <c r="AP155" i="12"/>
  <c r="AP152" i="12"/>
  <c r="AP158" i="12"/>
  <c r="AP170" i="12"/>
  <c r="AP149" i="12"/>
  <c r="AP164" i="12"/>
  <c r="AP167" i="12"/>
  <c r="AP176" i="12"/>
  <c r="AP161" i="12"/>
  <c r="AP173" i="12"/>
  <c r="AL348" i="12"/>
  <c r="AL351" i="12" s="1"/>
  <c r="AG346" i="12"/>
  <c r="AG349" i="12" s="1"/>
  <c r="AG320" i="12" s="1"/>
  <c r="O152" i="12"/>
  <c r="O155" i="12"/>
  <c r="O176" i="12"/>
  <c r="O149" i="12"/>
  <c r="O158" i="12"/>
  <c r="O161" i="12"/>
  <c r="O167" i="12"/>
  <c r="O173" i="12"/>
  <c r="O170" i="12"/>
  <c r="O164" i="12"/>
  <c r="AL153" i="12"/>
  <c r="AL159" i="12"/>
  <c r="AL162" i="12"/>
  <c r="AL171" i="12"/>
  <c r="AL165" i="12"/>
  <c r="AL150" i="12"/>
  <c r="AL168" i="12"/>
  <c r="AL156" i="12"/>
  <c r="AL174" i="12"/>
  <c r="AL177" i="12"/>
  <c r="AC346" i="12"/>
  <c r="AC349" i="12" s="1"/>
  <c r="AC328" i="12" s="1"/>
  <c r="Y149" i="12"/>
  <c r="Y155" i="12"/>
  <c r="Y164" i="12"/>
  <c r="Y170" i="12"/>
  <c r="Y161" i="12"/>
  <c r="Y152" i="12"/>
  <c r="Y176" i="12"/>
  <c r="Y167" i="12"/>
  <c r="Y158" i="12"/>
  <c r="Y173" i="12"/>
  <c r="AN75" i="12"/>
  <c r="AN362" i="12"/>
  <c r="AN361" i="12"/>
  <c r="AN360" i="12"/>
  <c r="AN364" i="12"/>
  <c r="AN365" i="12"/>
  <c r="AN363" i="12"/>
  <c r="AC158" i="12"/>
  <c r="AC149" i="12"/>
  <c r="AC173" i="12"/>
  <c r="AC176" i="12"/>
  <c r="AC161" i="12"/>
  <c r="AC164" i="12"/>
  <c r="AC167" i="12"/>
  <c r="AC152" i="12"/>
  <c r="AC155" i="12"/>
  <c r="AC170" i="12"/>
  <c r="AE75" i="12"/>
  <c r="AE365" i="12"/>
  <c r="AE361" i="12"/>
  <c r="AE360" i="12"/>
  <c r="AE362" i="12"/>
  <c r="AE363" i="12"/>
  <c r="AE364" i="12"/>
  <c r="AB157" i="12"/>
  <c r="AB154" i="12"/>
  <c r="AB169" i="12"/>
  <c r="AB163" i="12"/>
  <c r="AB148" i="12"/>
  <c r="AB166" i="12"/>
  <c r="AB160" i="12"/>
  <c r="AB175" i="12"/>
  <c r="AB151" i="12"/>
  <c r="AB172" i="12"/>
  <c r="AJ347" i="12"/>
  <c r="AJ350" i="12" s="1"/>
  <c r="AK150" i="12"/>
  <c r="AK153" i="12"/>
  <c r="AK168" i="12"/>
  <c r="AK174" i="12"/>
  <c r="AK171" i="12"/>
  <c r="AK165" i="12"/>
  <c r="AK177" i="12"/>
  <c r="AK159" i="12"/>
  <c r="AK162" i="12"/>
  <c r="AK156" i="12"/>
  <c r="Q149" i="12"/>
  <c r="Q155" i="12"/>
  <c r="Q152" i="12"/>
  <c r="Q164" i="12"/>
  <c r="Q170" i="12"/>
  <c r="Q161" i="12"/>
  <c r="Q167" i="12"/>
  <c r="Q158" i="12"/>
  <c r="Q176" i="12"/>
  <c r="Q173" i="12"/>
  <c r="S152" i="12"/>
  <c r="S149" i="12"/>
  <c r="S158" i="12"/>
  <c r="S164" i="12"/>
  <c r="S167" i="12"/>
  <c r="S173" i="12"/>
  <c r="S155" i="12"/>
  <c r="S170" i="12"/>
  <c r="S161" i="12"/>
  <c r="S176" i="12"/>
  <c r="P348" i="12"/>
  <c r="P351" i="12" s="1"/>
  <c r="P148" i="12"/>
  <c r="P154" i="12"/>
  <c r="P151" i="12"/>
  <c r="P163" i="12"/>
  <c r="P169" i="12"/>
  <c r="P160" i="12"/>
  <c r="P172" i="12"/>
  <c r="P157" i="12"/>
  <c r="P166" i="12"/>
  <c r="P175" i="12"/>
  <c r="AH75" i="12"/>
  <c r="AH360" i="12"/>
  <c r="AH364" i="12"/>
  <c r="AH363" i="12"/>
  <c r="AH362" i="12"/>
  <c r="AH361" i="12"/>
  <c r="AH365" i="12"/>
  <c r="AI148" i="12"/>
  <c r="AI151" i="12"/>
  <c r="AI154" i="12"/>
  <c r="AI166" i="12"/>
  <c r="AI172" i="12"/>
  <c r="AI169" i="12"/>
  <c r="AI175" i="12"/>
  <c r="AI160" i="12"/>
  <c r="AI163" i="12"/>
  <c r="AI157" i="12"/>
  <c r="AI347" i="12"/>
  <c r="AI350" i="12" s="1"/>
  <c r="AP151" i="12"/>
  <c r="AP148" i="12"/>
  <c r="AP157" i="12"/>
  <c r="AP163" i="12"/>
  <c r="AP166" i="12"/>
  <c r="AP175" i="12"/>
  <c r="AP169" i="12"/>
  <c r="AP172" i="12"/>
  <c r="AP160" i="12"/>
  <c r="AP154" i="12"/>
  <c r="AM348" i="12"/>
  <c r="AM351" i="12" s="1"/>
  <c r="AL74" i="12"/>
  <c r="AL353" i="12"/>
  <c r="AL355" i="12"/>
  <c r="AL358" i="12"/>
  <c r="AL357" i="12"/>
  <c r="AL356" i="12"/>
  <c r="AL354" i="12"/>
  <c r="AG347" i="12"/>
  <c r="AG350" i="12" s="1"/>
  <c r="AL151" i="12"/>
  <c r="AL154" i="12"/>
  <c r="AL169" i="12"/>
  <c r="AL175" i="12"/>
  <c r="AL148" i="12"/>
  <c r="AL160" i="12"/>
  <c r="AL163" i="12"/>
  <c r="AL157" i="12"/>
  <c r="AL172" i="12"/>
  <c r="AL166" i="12"/>
  <c r="AE76" i="12"/>
  <c r="AE370" i="12"/>
  <c r="AE369" i="12"/>
  <c r="AE367" i="12"/>
  <c r="AE368" i="12"/>
  <c r="AE372" i="12"/>
  <c r="AE371" i="12"/>
  <c r="AP74" i="12"/>
  <c r="AP353" i="12"/>
  <c r="AP355" i="12"/>
  <c r="AP354" i="12"/>
  <c r="AP358" i="12"/>
  <c r="AP356" i="12"/>
  <c r="AP357" i="12"/>
  <c r="AC154" i="12"/>
  <c r="AC151" i="12"/>
  <c r="AC148" i="12"/>
  <c r="AC160" i="12"/>
  <c r="AC166" i="12"/>
  <c r="AC163" i="12"/>
  <c r="AC157" i="12"/>
  <c r="AC169" i="12"/>
  <c r="AC175" i="12"/>
  <c r="AC172" i="12"/>
  <c r="Y348" i="12"/>
  <c r="Y351" i="12" s="1"/>
  <c r="AB149" i="12"/>
  <c r="AB152" i="12"/>
  <c r="AB167" i="12"/>
  <c r="AB173" i="12"/>
  <c r="AB164" i="12"/>
  <c r="AB155" i="12"/>
  <c r="AB158" i="12"/>
  <c r="AB176" i="12"/>
  <c r="AB170" i="12"/>
  <c r="AB161" i="12"/>
  <c r="AQ76" i="12"/>
  <c r="AQ371" i="12"/>
  <c r="AQ370" i="12"/>
  <c r="AQ372" i="12"/>
  <c r="AQ369" i="12"/>
  <c r="AQ368" i="12"/>
  <c r="AQ367" i="12"/>
  <c r="AE74" i="12"/>
  <c r="AE358" i="12"/>
  <c r="AE353" i="12"/>
  <c r="AE357" i="12"/>
  <c r="AE356" i="12"/>
  <c r="AE355" i="12"/>
  <c r="AE354" i="12"/>
  <c r="AN74" i="12"/>
  <c r="AN353" i="12"/>
  <c r="AN358" i="12"/>
  <c r="AN357" i="12"/>
  <c r="AN356" i="12"/>
  <c r="AN354" i="12"/>
  <c r="AN355" i="12"/>
  <c r="Q150" i="12"/>
  <c r="Q156" i="12"/>
  <c r="Q162" i="12"/>
  <c r="Q165" i="12"/>
  <c r="Q171" i="12"/>
  <c r="Q153" i="12"/>
  <c r="Q177" i="12"/>
  <c r="Q168" i="12"/>
  <c r="Q174" i="12"/>
  <c r="Q159" i="12"/>
  <c r="N159" i="12"/>
  <c r="N162" i="12"/>
  <c r="N177" i="12"/>
  <c r="N156" i="12"/>
  <c r="N150" i="12"/>
  <c r="N174" i="12"/>
  <c r="N168" i="12"/>
  <c r="N171" i="12"/>
  <c r="N153" i="12"/>
  <c r="N165" i="12"/>
  <c r="AE152" i="12"/>
  <c r="AE155" i="12"/>
  <c r="AE176" i="12"/>
  <c r="AE167" i="12"/>
  <c r="AE173" i="12"/>
  <c r="AE149" i="12"/>
  <c r="AE170" i="12"/>
  <c r="AE158" i="12"/>
  <c r="AE161" i="12"/>
  <c r="AE164" i="12"/>
  <c r="P149" i="12"/>
  <c r="P161" i="12"/>
  <c r="P164" i="12"/>
  <c r="P155" i="12"/>
  <c r="P176" i="12"/>
  <c r="P152" i="12"/>
  <c r="P158" i="12"/>
  <c r="P167" i="12"/>
  <c r="P170" i="12"/>
  <c r="P173" i="12"/>
  <c r="S310" i="12"/>
  <c r="S318" i="12"/>
  <c r="S316" i="12"/>
  <c r="S317" i="12"/>
  <c r="S326" i="12"/>
  <c r="S334" i="12"/>
  <c r="S312" i="12"/>
  <c r="S322" i="12"/>
  <c r="S330" i="12"/>
  <c r="S311" i="12"/>
  <c r="S321" i="12"/>
  <c r="S329" i="12"/>
  <c r="S337" i="12"/>
  <c r="S319" i="12"/>
  <c r="S327" i="12"/>
  <c r="S335" i="12"/>
  <c r="S309" i="12"/>
  <c r="S320" i="12"/>
  <c r="S333" i="12"/>
  <c r="S314" i="12"/>
  <c r="S332" i="12"/>
  <c r="S323" i="12"/>
  <c r="S331" i="12"/>
  <c r="S328" i="12"/>
  <c r="S315" i="12"/>
  <c r="S325" i="12"/>
  <c r="S338" i="12"/>
  <c r="S336" i="12"/>
  <c r="S313" i="12"/>
  <c r="S324" i="12"/>
  <c r="AI152" i="12"/>
  <c r="AI149" i="12"/>
  <c r="AI158" i="12"/>
  <c r="AI164" i="12"/>
  <c r="AI155" i="12"/>
  <c r="AI161" i="12"/>
  <c r="AI173" i="12"/>
  <c r="AI170" i="12"/>
  <c r="AI167" i="12"/>
  <c r="AI176" i="12"/>
  <c r="AL75" i="12"/>
  <c r="AL364" i="12"/>
  <c r="AL360" i="12"/>
  <c r="AL365" i="12"/>
  <c r="AL362" i="12"/>
  <c r="AL363" i="12"/>
  <c r="AL361" i="12"/>
  <c r="AF149" i="12"/>
  <c r="AF161" i="12"/>
  <c r="AF158" i="12"/>
  <c r="AF170" i="12"/>
  <c r="AF152" i="12"/>
  <c r="AF167" i="12"/>
  <c r="AF176" i="12"/>
  <c r="AF155" i="12"/>
  <c r="AF164" i="12"/>
  <c r="AF173" i="12"/>
  <c r="Y75" i="12"/>
  <c r="Y363" i="12"/>
  <c r="Y362" i="12"/>
  <c r="Y361" i="12"/>
  <c r="Y360" i="12"/>
  <c r="Y364" i="12"/>
  <c r="Y365" i="12"/>
  <c r="Z76" i="12"/>
  <c r="Z369" i="12"/>
  <c r="Z372" i="12"/>
  <c r="Z370" i="12"/>
  <c r="Z371" i="12"/>
  <c r="Z368" i="12"/>
  <c r="Z367" i="12"/>
  <c r="AL155" i="12"/>
  <c r="AL152" i="12"/>
  <c r="AL161" i="12"/>
  <c r="AL167" i="12"/>
  <c r="AL164" i="12"/>
  <c r="AL173" i="12"/>
  <c r="AL176" i="12"/>
  <c r="AL158" i="12"/>
  <c r="AL170" i="12"/>
  <c r="AL149" i="12"/>
  <c r="X148" i="12"/>
  <c r="X154" i="12"/>
  <c r="X163" i="12"/>
  <c r="X169" i="12"/>
  <c r="X160" i="12"/>
  <c r="X175" i="12"/>
  <c r="X151" i="12"/>
  <c r="X157" i="12"/>
  <c r="X172" i="12"/>
  <c r="X166" i="12"/>
  <c r="AC150" i="12"/>
  <c r="AC153" i="12"/>
  <c r="AC168" i="12"/>
  <c r="AC174" i="12"/>
  <c r="AC165" i="12"/>
  <c r="AC171" i="12"/>
  <c r="AC162" i="12"/>
  <c r="AC177" i="12"/>
  <c r="AC156" i="12"/>
  <c r="AC159" i="12"/>
  <c r="AB153" i="12"/>
  <c r="AB150" i="12"/>
  <c r="AB159" i="12"/>
  <c r="AB165" i="12"/>
  <c r="AB162" i="12"/>
  <c r="AB156" i="12"/>
  <c r="AB168" i="12"/>
  <c r="AB171" i="12"/>
  <c r="AB177" i="12"/>
  <c r="AB174" i="12"/>
  <c r="U76" i="12"/>
  <c r="U372" i="12"/>
  <c r="U368" i="12"/>
  <c r="U367" i="12"/>
  <c r="U371" i="12"/>
  <c r="U370" i="12"/>
  <c r="U369" i="12"/>
  <c r="AG76" i="12"/>
  <c r="AG372" i="12"/>
  <c r="AG371" i="12"/>
  <c r="AG369" i="12"/>
  <c r="AG368" i="12"/>
  <c r="AG367" i="12"/>
  <c r="AG370" i="12"/>
  <c r="Q74" i="12"/>
  <c r="Q358" i="12"/>
  <c r="Q354" i="12"/>
  <c r="Q353" i="12"/>
  <c r="Q356" i="12"/>
  <c r="Q357" i="12"/>
  <c r="Q355" i="12"/>
  <c r="P153" i="12"/>
  <c r="P177" i="12"/>
  <c r="P174" i="12"/>
  <c r="P171" i="12"/>
  <c r="P156" i="12"/>
  <c r="P162" i="12"/>
  <c r="P168" i="12"/>
  <c r="P165" i="12"/>
  <c r="P150" i="12"/>
  <c r="P159" i="12"/>
  <c r="M158" i="12"/>
  <c r="M155" i="12"/>
  <c r="M161" i="12"/>
  <c r="M149" i="12"/>
  <c r="M173" i="12"/>
  <c r="M164" i="12"/>
  <c r="M152" i="12"/>
  <c r="M167" i="12"/>
  <c r="M170" i="12"/>
  <c r="M176" i="12"/>
  <c r="R74" i="12"/>
  <c r="R355" i="12"/>
  <c r="R354" i="12"/>
  <c r="R353" i="12"/>
  <c r="R356" i="12"/>
  <c r="R357" i="12"/>
  <c r="R358" i="12"/>
  <c r="Y74" i="12"/>
  <c r="Y358" i="12"/>
  <c r="Y354" i="12"/>
  <c r="Y355" i="12"/>
  <c r="Y356" i="12"/>
  <c r="Y353" i="12"/>
  <c r="Y357" i="12"/>
  <c r="U150" i="12"/>
  <c r="U153" i="12"/>
  <c r="U168" i="12"/>
  <c r="U174" i="12"/>
  <c r="U165" i="12"/>
  <c r="U177" i="12"/>
  <c r="U159" i="12"/>
  <c r="U162" i="12"/>
  <c r="U156" i="12"/>
  <c r="U171" i="12"/>
  <c r="AF148" i="12"/>
  <c r="AF154" i="12"/>
  <c r="AF151" i="12"/>
  <c r="AF163" i="12"/>
  <c r="AF169" i="12"/>
  <c r="AF172" i="12"/>
  <c r="AF166" i="12"/>
  <c r="AF160" i="12"/>
  <c r="AF175" i="12"/>
  <c r="AF157" i="12"/>
  <c r="O348" i="12"/>
  <c r="O351" i="12" s="1"/>
  <c r="O347" i="12"/>
  <c r="O350" i="12" s="1"/>
  <c r="W148" i="12"/>
  <c r="W154" i="12"/>
  <c r="W160" i="12"/>
  <c r="W172" i="12"/>
  <c r="W157" i="12"/>
  <c r="W166" i="12"/>
  <c r="W163" i="12"/>
  <c r="W169" i="12"/>
  <c r="W175" i="12"/>
  <c r="W151" i="12"/>
  <c r="AJ346" i="12"/>
  <c r="AJ349" i="12" s="1"/>
  <c r="AJ313" i="12" s="1"/>
  <c r="T75" i="12"/>
  <c r="T365" i="12"/>
  <c r="T364" i="12"/>
  <c r="T363" i="12"/>
  <c r="T362" i="12"/>
  <c r="T361" i="12"/>
  <c r="T360" i="12"/>
  <c r="V74" i="12"/>
  <c r="V353" i="12"/>
  <c r="V355" i="12"/>
  <c r="V358" i="12"/>
  <c r="V357" i="12"/>
  <c r="V356" i="12"/>
  <c r="V354" i="12"/>
  <c r="X149" i="12"/>
  <c r="X155" i="12"/>
  <c r="X161" i="12"/>
  <c r="X152" i="12"/>
  <c r="X158" i="12"/>
  <c r="X170" i="12"/>
  <c r="X173" i="12"/>
  <c r="X164" i="12"/>
  <c r="X167" i="12"/>
  <c r="X176" i="12"/>
  <c r="V75" i="12"/>
  <c r="V364" i="12"/>
  <c r="V360" i="12"/>
  <c r="V365" i="12"/>
  <c r="V361" i="12"/>
  <c r="V362" i="12"/>
  <c r="V363" i="12"/>
  <c r="X347" i="12"/>
  <c r="X350" i="12" s="1"/>
  <c r="X346" i="12"/>
  <c r="X349" i="12" s="1"/>
  <c r="X323" i="12" s="1"/>
  <c r="AQ156" i="12"/>
  <c r="AQ159" i="12"/>
  <c r="AQ174" i="12"/>
  <c r="AQ168" i="12"/>
  <c r="AQ177" i="12"/>
  <c r="AQ150" i="12"/>
  <c r="AQ162" i="12"/>
  <c r="AQ165" i="12"/>
  <c r="AQ171" i="12"/>
  <c r="AQ153" i="12"/>
  <c r="U75" i="12"/>
  <c r="U363" i="12"/>
  <c r="U365" i="12"/>
  <c r="U364" i="12"/>
  <c r="U361" i="12"/>
  <c r="U362" i="12"/>
  <c r="U360" i="12"/>
  <c r="T346" i="12"/>
  <c r="T349" i="12" s="1"/>
  <c r="T323" i="12" s="1"/>
  <c r="O314" i="12"/>
  <c r="O322" i="12"/>
  <c r="O312" i="12"/>
  <c r="O320" i="12"/>
  <c r="O313" i="12"/>
  <c r="O324" i="12"/>
  <c r="O330" i="12"/>
  <c r="O318" i="12"/>
  <c r="O326" i="12"/>
  <c r="O334" i="12"/>
  <c r="O317" i="12"/>
  <c r="O325" i="12"/>
  <c r="O333" i="12"/>
  <c r="O315" i="12"/>
  <c r="O331" i="12"/>
  <c r="O316" i="12"/>
  <c r="O332" i="12"/>
  <c r="O323" i="12"/>
  <c r="O329" i="12"/>
  <c r="O338" i="12"/>
  <c r="O310" i="12"/>
  <c r="O321" i="12"/>
  <c r="O328" i="12"/>
  <c r="O337" i="12"/>
  <c r="O319" i="12"/>
  <c r="O327" i="12"/>
  <c r="O336" i="12"/>
  <c r="O335" i="12"/>
  <c r="O311" i="12"/>
  <c r="O309" i="12"/>
  <c r="W74" i="12"/>
  <c r="W356" i="12"/>
  <c r="W358" i="12"/>
  <c r="W357" i="12"/>
  <c r="W353" i="12"/>
  <c r="W354" i="12"/>
  <c r="W355" i="12"/>
  <c r="AQ74" i="12"/>
  <c r="AQ356" i="12"/>
  <c r="AQ355" i="12"/>
  <c r="AQ354" i="12"/>
  <c r="AQ358" i="12"/>
  <c r="AQ357" i="12"/>
  <c r="AQ353" i="12"/>
  <c r="AI74" i="12"/>
  <c r="AI356" i="12"/>
  <c r="AI355" i="12"/>
  <c r="AI354" i="12"/>
  <c r="AI357" i="12"/>
  <c r="AI353" i="12"/>
  <c r="AI358" i="12"/>
  <c r="AH74" i="12"/>
  <c r="AH353" i="12"/>
  <c r="AH355" i="12"/>
  <c r="AH354" i="12"/>
  <c r="AH357" i="12"/>
  <c r="AH358" i="12"/>
  <c r="AH356" i="12"/>
  <c r="T76" i="12"/>
  <c r="T367" i="12"/>
  <c r="T372" i="12"/>
  <c r="T371" i="12"/>
  <c r="T370" i="12"/>
  <c r="T369" i="12"/>
  <c r="T368" i="12"/>
  <c r="Q75" i="12"/>
  <c r="Q363" i="12"/>
  <c r="Q362" i="12"/>
  <c r="Q361" i="12"/>
  <c r="Q360" i="12"/>
  <c r="Q364" i="12"/>
  <c r="Q365" i="12"/>
  <c r="M154" i="12"/>
  <c r="M151" i="12"/>
  <c r="M148" i="12"/>
  <c r="M160" i="12"/>
  <c r="M166" i="12"/>
  <c r="M157" i="12"/>
  <c r="M169" i="12"/>
  <c r="M163" i="12"/>
  <c r="M175" i="12"/>
  <c r="M172" i="12"/>
  <c r="T151" i="12"/>
  <c r="T157" i="12"/>
  <c r="T148" i="12"/>
  <c r="T160" i="12"/>
  <c r="T166" i="12"/>
  <c r="T154" i="12"/>
  <c r="T163" i="12"/>
  <c r="T169" i="12"/>
  <c r="T175" i="12"/>
  <c r="T172" i="12"/>
  <c r="V153" i="12"/>
  <c r="V159" i="12"/>
  <c r="V150" i="12"/>
  <c r="V156" i="12"/>
  <c r="V168" i="12"/>
  <c r="V171" i="12"/>
  <c r="V177" i="12"/>
  <c r="V174" i="12"/>
  <c r="V162" i="12"/>
  <c r="V165" i="12"/>
  <c r="AF153" i="12"/>
  <c r="AF177" i="12"/>
  <c r="AF168" i="12"/>
  <c r="AF156" i="12"/>
  <c r="AF162" i="12"/>
  <c r="AF174" i="12"/>
  <c r="AF150" i="12"/>
  <c r="AF165" i="12"/>
  <c r="AF171" i="12"/>
  <c r="AF159" i="12"/>
  <c r="AI374" i="10"/>
  <c r="AI358" i="10"/>
  <c r="AI384" i="10"/>
  <c r="Q380" i="10"/>
  <c r="Q362" i="10"/>
  <c r="AE363" i="10"/>
  <c r="T374" i="10"/>
  <c r="Y396" i="10"/>
  <c r="Y399" i="10" s="1"/>
  <c r="Y395" i="10"/>
  <c r="Y398" i="10" s="1"/>
  <c r="Y394" i="10"/>
  <c r="Y397" i="10" s="1"/>
  <c r="P385" i="10"/>
  <c r="P361" i="10"/>
  <c r="W368" i="10"/>
  <c r="W372" i="10"/>
  <c r="O396" i="10"/>
  <c r="O399" i="10" s="1"/>
  <c r="O395" i="10"/>
  <c r="O398" i="10" s="1"/>
  <c r="V385" i="10"/>
  <c r="V358" i="10"/>
  <c r="AD396" i="10"/>
  <c r="AD399" i="10" s="1"/>
  <c r="AD395" i="10"/>
  <c r="AD398" i="10" s="1"/>
  <c r="AD394" i="10"/>
  <c r="AD397" i="10" s="1"/>
  <c r="AK377" i="10"/>
  <c r="AK378" i="10"/>
  <c r="AK357" i="10"/>
  <c r="AK396" i="10"/>
  <c r="AK399" i="10" s="1"/>
  <c r="AK374" i="10" s="1"/>
  <c r="L371" i="10"/>
  <c r="L372" i="10"/>
  <c r="AA378" i="10"/>
  <c r="Z386" i="10"/>
  <c r="Z359" i="10"/>
  <c r="Z394" i="10"/>
  <c r="Z397" i="10" s="1"/>
  <c r="Q363" i="10"/>
  <c r="AO370" i="10"/>
  <c r="AO382" i="10"/>
  <c r="AG361" i="10"/>
  <c r="AN371" i="10"/>
  <c r="AN375" i="10"/>
  <c r="AN396" i="10"/>
  <c r="AN399" i="10" s="1"/>
  <c r="AN368" i="10" s="1"/>
  <c r="AN395" i="10"/>
  <c r="AN398" i="10" s="1"/>
  <c r="AN373" i="10" s="1"/>
  <c r="AN394" i="10"/>
  <c r="AN397" i="10" s="1"/>
  <c r="AN372" i="10" s="1"/>
  <c r="O368" i="10"/>
  <c r="O372" i="10"/>
  <c r="O394" i="10"/>
  <c r="O397" i="10" s="1"/>
  <c r="O369" i="10" s="1"/>
  <c r="N376" i="10"/>
  <c r="N364" i="10"/>
  <c r="AC368" i="10"/>
  <c r="AC369" i="10"/>
  <c r="AK395" i="10"/>
  <c r="AK398" i="10" s="1"/>
  <c r="AK394" i="10"/>
  <c r="AK397" i="10" s="1"/>
  <c r="AK381" i="10" s="1"/>
  <c r="AJ382" i="10"/>
  <c r="AJ358" i="10"/>
  <c r="T396" i="10"/>
  <c r="T399" i="10" s="1"/>
  <c r="T371" i="10" s="1"/>
  <c r="T395" i="10"/>
  <c r="T398" i="10" s="1"/>
  <c r="Z370" i="10"/>
  <c r="AQ396" i="10"/>
  <c r="AQ399" i="10" s="1"/>
  <c r="AQ395" i="10"/>
  <c r="AQ398" i="10" s="1"/>
  <c r="AQ394" i="10"/>
  <c r="AQ397" i="10" s="1"/>
  <c r="AE386" i="10"/>
  <c r="AE362" i="10"/>
  <c r="AD364" i="10"/>
  <c r="Y367" i="10"/>
  <c r="AG396" i="10"/>
  <c r="AG399" i="10" s="1"/>
  <c r="AG395" i="10"/>
  <c r="AG398" i="10" s="1"/>
  <c r="AG382" i="10" s="1"/>
  <c r="AG394" i="10"/>
  <c r="AG397" i="10" s="1"/>
  <c r="AG360" i="10" s="1"/>
  <c r="AF365" i="10"/>
  <c r="AF369" i="10"/>
  <c r="AM376" i="10"/>
  <c r="W396" i="10"/>
  <c r="W399" i="10" s="1"/>
  <c r="W365" i="10" s="1"/>
  <c r="AL386" i="10"/>
  <c r="AL362" i="10"/>
  <c r="AL366" i="10"/>
  <c r="AL396" i="10"/>
  <c r="AL399" i="10" s="1"/>
  <c r="AL380" i="10" s="1"/>
  <c r="AL395" i="10"/>
  <c r="AL398" i="10" s="1"/>
  <c r="U374" i="10"/>
  <c r="U381" i="10"/>
  <c r="U357" i="10"/>
  <c r="M395" i="10"/>
  <c r="M398" i="10" s="1"/>
  <c r="AB358" i="10"/>
  <c r="T394" i="10"/>
  <c r="T397" i="10" s="1"/>
  <c r="Z378" i="10"/>
  <c r="AP394" i="10"/>
  <c r="AP397" i="10" s="1"/>
  <c r="AP378" i="10" s="1"/>
  <c r="Z395" i="10"/>
  <c r="Z398" i="10" s="1"/>
  <c r="Z367" i="10" s="1"/>
  <c r="AP368" i="10"/>
  <c r="R372" i="10"/>
  <c r="Q373" i="10"/>
  <c r="X386" i="10"/>
  <c r="X362" i="10"/>
  <c r="X366" i="10"/>
  <c r="P396" i="10"/>
  <c r="P399" i="10" s="1"/>
  <c r="P395" i="10"/>
  <c r="P398" i="10" s="1"/>
  <c r="P382" i="10" s="1"/>
  <c r="P394" i="10"/>
  <c r="P397" i="10" s="1"/>
  <c r="P363" i="10" s="1"/>
  <c r="AE382" i="10"/>
  <c r="AE361" i="10"/>
  <c r="W395" i="10"/>
  <c r="W398" i="10" s="1"/>
  <c r="W394" i="10"/>
  <c r="W397" i="10" s="1"/>
  <c r="W369" i="10" s="1"/>
  <c r="AD371" i="10"/>
  <c r="AD365" i="10"/>
  <c r="AD378" i="10"/>
  <c r="AD369" i="10"/>
  <c r="AD381" i="10"/>
  <c r="AL394" i="10"/>
  <c r="AL397" i="10" s="1"/>
  <c r="AL363" i="10" s="1"/>
  <c r="M386" i="10"/>
  <c r="M383" i="10"/>
  <c r="T379" i="10"/>
  <c r="T364" i="10"/>
  <c r="AB396" i="10"/>
  <c r="AB399" i="10" s="1"/>
  <c r="AB395" i="10"/>
  <c r="AB398" i="10" s="1"/>
  <c r="AB373" i="10" s="1"/>
  <c r="AH394" i="10"/>
  <c r="AH397" i="10" s="1"/>
  <c r="AH372" i="10" s="1"/>
  <c r="S371" i="10"/>
  <c r="S365" i="10"/>
  <c r="S396" i="10"/>
  <c r="S399" i="10" s="1"/>
  <c r="S380" i="10" s="1"/>
  <c r="S395" i="10"/>
  <c r="S398" i="10" s="1"/>
  <c r="S394" i="10"/>
  <c r="S397" i="10" s="1"/>
  <c r="AP396" i="10"/>
  <c r="AP399" i="10" s="1"/>
  <c r="AP365" i="10" s="1"/>
  <c r="AO383" i="10"/>
  <c r="AO359" i="10"/>
  <c r="AO363" i="10"/>
  <c r="AO375" i="10"/>
  <c r="AO396" i="10"/>
  <c r="AO399" i="10" s="1"/>
  <c r="AO374" i="10" s="1"/>
  <c r="AO395" i="10"/>
  <c r="AO398" i="10" s="1"/>
  <c r="AO367" i="10" s="1"/>
  <c r="AO394" i="10"/>
  <c r="AO397" i="10" s="1"/>
  <c r="AO384" i="10" s="1"/>
  <c r="P386" i="10"/>
  <c r="P371" i="10"/>
  <c r="P368" i="10"/>
  <c r="P365" i="10"/>
  <c r="P359" i="10"/>
  <c r="P375" i="10"/>
  <c r="P372" i="10"/>
  <c r="P369" i="10"/>
  <c r="P366" i="10"/>
  <c r="W382" i="10"/>
  <c r="W379" i="10"/>
  <c r="W376" i="10"/>
  <c r="W373" i="10"/>
  <c r="W361" i="10"/>
  <c r="AE396" i="10"/>
  <c r="AE399" i="10" s="1"/>
  <c r="AE383" i="10" s="1"/>
  <c r="AE395" i="10"/>
  <c r="AE398" i="10" s="1"/>
  <c r="AE379" i="10" s="1"/>
  <c r="V383" i="10"/>
  <c r="V380" i="10"/>
  <c r="V369" i="10"/>
  <c r="V366" i="10"/>
  <c r="V384" i="10"/>
  <c r="V378" i="10"/>
  <c r="N396" i="10"/>
  <c r="N399" i="10" s="1"/>
  <c r="N395" i="10"/>
  <c r="N398" i="10" s="1"/>
  <c r="N385" i="10" s="1"/>
  <c r="N394" i="10"/>
  <c r="N397" i="10" s="1"/>
  <c r="N381" i="10" s="1"/>
  <c r="AK382" i="10"/>
  <c r="AK376" i="10"/>
  <c r="AK370" i="10"/>
  <c r="AK367" i="10"/>
  <c r="AK361" i="10"/>
  <c r="AK358" i="10"/>
  <c r="AK364" i="10"/>
  <c r="U396" i="10"/>
  <c r="U399" i="10" s="1"/>
  <c r="U371" i="10" s="1"/>
  <c r="N45" i="10"/>
  <c r="AI362" i="10" s="1"/>
  <c r="L382" i="10"/>
  <c r="L379" i="10"/>
  <c r="L376" i="10"/>
  <c r="L364" i="10"/>
  <c r="L361" i="10"/>
  <c r="L370" i="10"/>
  <c r="L358" i="10"/>
  <c r="N49" i="10"/>
  <c r="AB394" i="10"/>
  <c r="AB397" i="10" s="1"/>
  <c r="AP381" i="10"/>
  <c r="AP357" i="10"/>
  <c r="S385" i="10"/>
  <c r="S382" i="10"/>
  <c r="S376" i="10"/>
  <c r="S373" i="10"/>
  <c r="S370" i="10"/>
  <c r="S367" i="10"/>
  <c r="S364" i="10"/>
  <c r="S361" i="10"/>
  <c r="S358" i="10"/>
  <c r="Z396" i="10"/>
  <c r="Z399" i="10" s="1"/>
  <c r="Z383" i="10" s="1"/>
  <c r="AH396" i="10"/>
  <c r="AH399" i="10" s="1"/>
  <c r="AQ386" i="10"/>
  <c r="AQ383" i="10"/>
  <c r="AQ380" i="10"/>
  <c r="AQ377" i="10"/>
  <c r="AQ374" i="10"/>
  <c r="AQ371" i="10"/>
  <c r="AQ365" i="10"/>
  <c r="AQ362" i="10"/>
  <c r="AQ359" i="10"/>
  <c r="T384" i="10"/>
  <c r="T381" i="10"/>
  <c r="T378" i="10"/>
  <c r="T375" i="10"/>
  <c r="T369" i="10"/>
  <c r="T366" i="10"/>
  <c r="T357" i="10"/>
  <c r="T363" i="10"/>
  <c r="T360" i="10"/>
  <c r="AA373" i="10"/>
  <c r="AA370" i="10"/>
  <c r="AA367" i="10"/>
  <c r="AA364" i="10"/>
  <c r="AG363" i="10"/>
  <c r="AN376" i="10"/>
  <c r="X396" i="10"/>
  <c r="X399" i="10" s="1"/>
  <c r="X383" i="10" s="1"/>
  <c r="X395" i="10"/>
  <c r="X398" i="10" s="1"/>
  <c r="X379" i="10" s="1"/>
  <c r="X394" i="10"/>
  <c r="X397" i="10" s="1"/>
  <c r="X363" i="10" s="1"/>
  <c r="O385" i="10"/>
  <c r="O382" i="10"/>
  <c r="O379" i="10"/>
  <c r="O376" i="10"/>
  <c r="O373" i="10"/>
  <c r="O370" i="10"/>
  <c r="O367" i="10"/>
  <c r="O364" i="10"/>
  <c r="O361" i="10"/>
  <c r="O358" i="10"/>
  <c r="AE394" i="10"/>
  <c r="AE397" i="10" s="1"/>
  <c r="AE384" i="10" s="1"/>
  <c r="N386" i="10"/>
  <c r="N380" i="10"/>
  <c r="N383" i="10"/>
  <c r="N377" i="10"/>
  <c r="N374" i="10"/>
  <c r="N371" i="10"/>
  <c r="N368" i="10"/>
  <c r="N365" i="10"/>
  <c r="N359" i="10"/>
  <c r="N362" i="10"/>
  <c r="N384" i="10"/>
  <c r="N378" i="10"/>
  <c r="N363" i="10"/>
  <c r="N360" i="10"/>
  <c r="N357" i="10"/>
  <c r="AC385" i="10"/>
  <c r="AC379" i="10"/>
  <c r="AC382" i="10"/>
  <c r="AC376" i="10"/>
  <c r="AC373" i="10"/>
  <c r="AC370" i="10"/>
  <c r="AC367" i="10"/>
  <c r="AC364" i="10"/>
  <c r="AC361" i="10"/>
  <c r="AC358" i="10"/>
  <c r="U395" i="10"/>
  <c r="U398" i="10" s="1"/>
  <c r="AJ378" i="10"/>
  <c r="AJ396" i="10"/>
  <c r="AJ399" i="10" s="1"/>
  <c r="AJ371" i="10" s="1"/>
  <c r="AJ395" i="10"/>
  <c r="AJ398" i="10" s="1"/>
  <c r="AJ379" i="10" s="1"/>
  <c r="AH386" i="10"/>
  <c r="AH383" i="10"/>
  <c r="AH380" i="10"/>
  <c r="AH377" i="10"/>
  <c r="AH374" i="10"/>
  <c r="AH371" i="10"/>
  <c r="AH368" i="10"/>
  <c r="AH365" i="10"/>
  <c r="AH359" i="10"/>
  <c r="AH362" i="10"/>
  <c r="R396" i="10"/>
  <c r="R399" i="10" s="1"/>
  <c r="AP395" i="10"/>
  <c r="AP398" i="10" s="1"/>
  <c r="S384" i="10"/>
  <c r="S381" i="10"/>
  <c r="S378" i="10"/>
  <c r="S375" i="10"/>
  <c r="S372" i="10"/>
  <c r="S369" i="10"/>
  <c r="S366" i="10"/>
  <c r="S363" i="10"/>
  <c r="S357" i="10"/>
  <c r="S360" i="10"/>
  <c r="AQ384" i="10"/>
  <c r="AQ381" i="10"/>
  <c r="AQ378" i="10"/>
  <c r="AQ375" i="10"/>
  <c r="AQ372" i="10"/>
  <c r="AQ369" i="10"/>
  <c r="AQ366" i="10"/>
  <c r="AQ363" i="10"/>
  <c r="AQ357" i="10"/>
  <c r="AQ360" i="10"/>
  <c r="AA396" i="10"/>
  <c r="AA399" i="10" s="1"/>
  <c r="AA395" i="10"/>
  <c r="AA398" i="10" s="1"/>
  <c r="AA385" i="10" s="1"/>
  <c r="AA394" i="10"/>
  <c r="AA397" i="10" s="1"/>
  <c r="AA375" i="10" s="1"/>
  <c r="M382" i="10"/>
  <c r="M376" i="10"/>
  <c r="M385" i="10"/>
  <c r="M379" i="10"/>
  <c r="M364" i="10"/>
  <c r="M361" i="10"/>
  <c r="M358" i="10"/>
  <c r="M373" i="10"/>
  <c r="M370" i="10"/>
  <c r="M367" i="10"/>
  <c r="AG386" i="10"/>
  <c r="AG380" i="10"/>
  <c r="AG374" i="10"/>
  <c r="AG371" i="10"/>
  <c r="AG368" i="10"/>
  <c r="AG365" i="10"/>
  <c r="AG359" i="10"/>
  <c r="AG383" i="10"/>
  <c r="AG362" i="10"/>
  <c r="AG377" i="10"/>
  <c r="Y383" i="10"/>
  <c r="Y377" i="10"/>
  <c r="Y374" i="10"/>
  <c r="Y371" i="10"/>
  <c r="Y368" i="10"/>
  <c r="Y365" i="10"/>
  <c r="Y386" i="10"/>
  <c r="Y380" i="10"/>
  <c r="Y359" i="10"/>
  <c r="Y362" i="10"/>
  <c r="Y381" i="10"/>
  <c r="Y375" i="10"/>
  <c r="Y372" i="10"/>
  <c r="Y369" i="10"/>
  <c r="Y366" i="10"/>
  <c r="Y363" i="10"/>
  <c r="Y384" i="10"/>
  <c r="Y378" i="10"/>
  <c r="Y360" i="10"/>
  <c r="Y357" i="10"/>
  <c r="Q396" i="10"/>
  <c r="Q399" i="10" s="1"/>
  <c r="Q374" i="10" s="1"/>
  <c r="Q395" i="10"/>
  <c r="Q398" i="10" s="1"/>
  <c r="Q370" i="10" s="1"/>
  <c r="Q394" i="10"/>
  <c r="Q397" i="10" s="1"/>
  <c r="Q381" i="10" s="1"/>
  <c r="AF385" i="10"/>
  <c r="AF382" i="10"/>
  <c r="AF379" i="10"/>
  <c r="AF376" i="10"/>
  <c r="AF373" i="10"/>
  <c r="AF370" i="10"/>
  <c r="AF367" i="10"/>
  <c r="AF364" i="10"/>
  <c r="AF361" i="10"/>
  <c r="AF358" i="10"/>
  <c r="AM368" i="10"/>
  <c r="AM378" i="10"/>
  <c r="AM372" i="10"/>
  <c r="AM396" i="10"/>
  <c r="AM399" i="10" s="1"/>
  <c r="AM365" i="10" s="1"/>
  <c r="AM394" i="10"/>
  <c r="AM397" i="10" s="1"/>
  <c r="AM369" i="10" s="1"/>
  <c r="AL382" i="10"/>
  <c r="AL376" i="10"/>
  <c r="AL385" i="10"/>
  <c r="AL379" i="10"/>
  <c r="AL373" i="10"/>
  <c r="AL370" i="10"/>
  <c r="AL367" i="10"/>
  <c r="AL361" i="10"/>
  <c r="AL358" i="10"/>
  <c r="AL364" i="10"/>
  <c r="V396" i="10"/>
  <c r="V399" i="10" s="1"/>
  <c r="V377" i="10" s="1"/>
  <c r="V395" i="10"/>
  <c r="V398" i="10" s="1"/>
  <c r="V379" i="10" s="1"/>
  <c r="U385" i="10"/>
  <c r="U379" i="10"/>
  <c r="U382" i="10"/>
  <c r="U373" i="10"/>
  <c r="U370" i="10"/>
  <c r="U367" i="10"/>
  <c r="U361" i="10"/>
  <c r="U358" i="10"/>
  <c r="U364" i="10"/>
  <c r="U376" i="10"/>
  <c r="AC396" i="10"/>
  <c r="AC399" i="10" s="1"/>
  <c r="AC383" i="10" s="1"/>
  <c r="M396" i="10"/>
  <c r="M399" i="10" s="1"/>
  <c r="M380" i="10" s="1"/>
  <c r="M394" i="10"/>
  <c r="M397" i="10" s="1"/>
  <c r="M363" i="10" s="1"/>
  <c r="AB386" i="10"/>
  <c r="AB383" i="10"/>
  <c r="AB380" i="10"/>
  <c r="AB377" i="10"/>
  <c r="AB362" i="10"/>
  <c r="AB365" i="10"/>
  <c r="AB374" i="10"/>
  <c r="AB371" i="10"/>
  <c r="AB368" i="10"/>
  <c r="AB359" i="10"/>
  <c r="AB384" i="10"/>
  <c r="AB381" i="10"/>
  <c r="AB378" i="10"/>
  <c r="AB375" i="10"/>
  <c r="AB363" i="10"/>
  <c r="AB366" i="10"/>
  <c r="AB360" i="10"/>
  <c r="AB357" i="10"/>
  <c r="AB372" i="10"/>
  <c r="AB369" i="10"/>
  <c r="AJ394" i="10"/>
  <c r="AJ397" i="10" s="1"/>
  <c r="AJ375" i="10" s="1"/>
  <c r="AH385" i="10"/>
  <c r="AH382" i="10"/>
  <c r="AH379" i="10"/>
  <c r="AH367" i="10"/>
  <c r="AH364" i="10"/>
  <c r="AH361" i="10"/>
  <c r="AH358" i="10"/>
  <c r="AA386" i="10"/>
  <c r="AA383" i="10"/>
  <c r="AA380" i="10"/>
  <c r="AA377" i="10"/>
  <c r="AA374" i="10"/>
  <c r="AA371" i="10"/>
  <c r="AA368" i="10"/>
  <c r="AA365" i="10"/>
  <c r="AA362" i="10"/>
  <c r="AA359" i="10"/>
  <c r="AH395" i="10"/>
  <c r="AH398" i="10" s="1"/>
  <c r="AH376" i="10" s="1"/>
  <c r="R385" i="10"/>
  <c r="R382" i="10"/>
  <c r="R379" i="10"/>
  <c r="R376" i="10"/>
  <c r="R373" i="10"/>
  <c r="R370" i="10"/>
  <c r="R367" i="10"/>
  <c r="R364" i="10"/>
  <c r="R361" i="10"/>
  <c r="R358" i="10"/>
  <c r="AY376" i="12" l="1"/>
  <c r="AX149" i="12"/>
  <c r="AC333" i="12"/>
  <c r="AC326" i="12"/>
  <c r="AJ325" i="12"/>
  <c r="AC331" i="12"/>
  <c r="AJ337" i="12"/>
  <c r="AC316" i="12"/>
  <c r="AJ338" i="12"/>
  <c r="T313" i="12"/>
  <c r="U348" i="12"/>
  <c r="U351" i="12" s="1"/>
  <c r="AL347" i="12"/>
  <c r="AL350" i="12" s="1"/>
  <c r="AN346" i="12"/>
  <c r="AN349" i="12" s="1"/>
  <c r="AH347" i="12"/>
  <c r="AH350" i="12" s="1"/>
  <c r="U346" i="12"/>
  <c r="U349" i="12" s="1"/>
  <c r="U319" i="12" s="1"/>
  <c r="AJ317" i="12"/>
  <c r="AG310" i="12"/>
  <c r="T348" i="12"/>
  <c r="T351" i="12" s="1"/>
  <c r="X333" i="12"/>
  <c r="W346" i="12"/>
  <c r="W349" i="12" s="1"/>
  <c r="W316" i="12" s="1"/>
  <c r="X338" i="12"/>
  <c r="AG309" i="12"/>
  <c r="AD347" i="12"/>
  <c r="AD350" i="12" s="1"/>
  <c r="X317" i="12"/>
  <c r="AG319" i="12"/>
  <c r="T310" i="12"/>
  <c r="X315" i="12"/>
  <c r="AG335" i="12"/>
  <c r="T320" i="12"/>
  <c r="AI346" i="12"/>
  <c r="AI349" i="12" s="1"/>
  <c r="AC323" i="12"/>
  <c r="AC327" i="12"/>
  <c r="AC321" i="12"/>
  <c r="AC318" i="12"/>
  <c r="AN315" i="12"/>
  <c r="AN323" i="12"/>
  <c r="AN313" i="12"/>
  <c r="AN321" i="12"/>
  <c r="AN317" i="12"/>
  <c r="AN331" i="12"/>
  <c r="AN311" i="12"/>
  <c r="AN322" i="12"/>
  <c r="AN327" i="12"/>
  <c r="AN310" i="12"/>
  <c r="AN320" i="12"/>
  <c r="AN326" i="12"/>
  <c r="AN334" i="12"/>
  <c r="AN318" i="12"/>
  <c r="AN324" i="12"/>
  <c r="AN332" i="12"/>
  <c r="AN309" i="12"/>
  <c r="AN325" i="12"/>
  <c r="AN316" i="12"/>
  <c r="AN314" i="12"/>
  <c r="AN312" i="12"/>
  <c r="AN319" i="12"/>
  <c r="AN333" i="12"/>
  <c r="AN338" i="12"/>
  <c r="AN330" i="12"/>
  <c r="AN337" i="12"/>
  <c r="AN336" i="12"/>
  <c r="AN329" i="12"/>
  <c r="AN328" i="12"/>
  <c r="AN335" i="12"/>
  <c r="AQ348" i="12"/>
  <c r="AQ351" i="12" s="1"/>
  <c r="AE347" i="12"/>
  <c r="AE350" i="12" s="1"/>
  <c r="AM347" i="12"/>
  <c r="AM350" i="12" s="1"/>
  <c r="X348" i="12"/>
  <c r="X351" i="12" s="1"/>
  <c r="U310" i="12"/>
  <c r="U318" i="12"/>
  <c r="U332" i="12"/>
  <c r="U324" i="12"/>
  <c r="U331" i="12"/>
  <c r="U337" i="12"/>
  <c r="U335" i="12"/>
  <c r="U316" i="12"/>
  <c r="U317" i="12"/>
  <c r="U326" i="12"/>
  <c r="U315" i="12"/>
  <c r="Z332" i="12"/>
  <c r="Z324" i="12"/>
  <c r="Z318" i="12"/>
  <c r="Z317" i="12"/>
  <c r="X314" i="12"/>
  <c r="X325" i="12"/>
  <c r="X331" i="12"/>
  <c r="AG326" i="12"/>
  <c r="AG337" i="12"/>
  <c r="AG327" i="12"/>
  <c r="AG322" i="12"/>
  <c r="T335" i="12"/>
  <c r="T332" i="12"/>
  <c r="T338" i="12"/>
  <c r="T327" i="12"/>
  <c r="AJ326" i="12"/>
  <c r="AJ333" i="12"/>
  <c r="AJ330" i="12"/>
  <c r="AJ309" i="12"/>
  <c r="AF347" i="12"/>
  <c r="AF350" i="12" s="1"/>
  <c r="AC335" i="12"/>
  <c r="AC315" i="12"/>
  <c r="AC309" i="12"/>
  <c r="AC310" i="12"/>
  <c r="Q346" i="12"/>
  <c r="Q349" i="12" s="1"/>
  <c r="AP346" i="12"/>
  <c r="AP349" i="12" s="1"/>
  <c r="AP309" i="12" s="1"/>
  <c r="AN347" i="12"/>
  <c r="AN350" i="12" s="1"/>
  <c r="AQ347" i="12"/>
  <c r="AQ350" i="12" s="1"/>
  <c r="R348" i="12"/>
  <c r="R351" i="12" s="1"/>
  <c r="AC348" i="12"/>
  <c r="AC351" i="12" s="1"/>
  <c r="W348" i="12"/>
  <c r="W351" i="12" s="1"/>
  <c r="AC347" i="12"/>
  <c r="AC350" i="12" s="1"/>
  <c r="Z312" i="12"/>
  <c r="Z322" i="12"/>
  <c r="Z329" i="12"/>
  <c r="Z309" i="12"/>
  <c r="X335" i="12"/>
  <c r="X332" i="12"/>
  <c r="X324" i="12"/>
  <c r="AM346" i="12"/>
  <c r="AM349" i="12" s="1"/>
  <c r="AG329" i="12"/>
  <c r="AG323" i="12"/>
  <c r="AG313" i="12"/>
  <c r="AG314" i="12"/>
  <c r="T337" i="12"/>
  <c r="T314" i="12"/>
  <c r="T330" i="12"/>
  <c r="T318" i="12"/>
  <c r="AJ322" i="12"/>
  <c r="AJ321" i="12"/>
  <c r="AJ316" i="12"/>
  <c r="AJ319" i="12"/>
  <c r="V347" i="12"/>
  <c r="V350" i="12" s="1"/>
  <c r="AC314" i="12"/>
  <c r="AC330" i="12"/>
  <c r="AC332" i="12"/>
  <c r="AC320" i="12"/>
  <c r="AL346" i="12"/>
  <c r="AL349" i="12" s="1"/>
  <c r="AL329" i="12" s="1"/>
  <c r="M347" i="12"/>
  <c r="M350" i="12" s="1"/>
  <c r="N348" i="12"/>
  <c r="N351" i="12" s="1"/>
  <c r="Z335" i="12"/>
  <c r="Z327" i="12"/>
  <c r="Z319" i="12"/>
  <c r="AP347" i="12"/>
  <c r="AP350" i="12" s="1"/>
  <c r="X328" i="12"/>
  <c r="X318" i="12"/>
  <c r="X312" i="12"/>
  <c r="X322" i="12"/>
  <c r="AG317" i="12"/>
  <c r="AG312" i="12"/>
  <c r="AG328" i="12"/>
  <c r="AG316" i="12"/>
  <c r="AF346" i="12"/>
  <c r="AF349" i="12" s="1"/>
  <c r="AF314" i="12" s="1"/>
  <c r="AB346" i="12"/>
  <c r="AB349" i="12" s="1"/>
  <c r="AB315" i="12" s="1"/>
  <c r="T315" i="12"/>
  <c r="T333" i="12"/>
  <c r="T322" i="12"/>
  <c r="T317" i="12"/>
  <c r="AJ334" i="12"/>
  <c r="AJ310" i="12"/>
  <c r="AJ331" i="12"/>
  <c r="AJ311" i="12"/>
  <c r="W312" i="12"/>
  <c r="W321" i="12"/>
  <c r="W330" i="12"/>
  <c r="W315" i="12"/>
  <c r="W311" i="12"/>
  <c r="W323" i="12"/>
  <c r="W337" i="12"/>
  <c r="W318" i="12"/>
  <c r="W335" i="12"/>
  <c r="W328" i="12"/>
  <c r="W338" i="12"/>
  <c r="U347" i="12"/>
  <c r="U350" i="12" s="1"/>
  <c r="AC336" i="12"/>
  <c r="AC319" i="12"/>
  <c r="AC324" i="12"/>
  <c r="AC312" i="12"/>
  <c r="Z348" i="12"/>
  <c r="Z351" i="12" s="1"/>
  <c r="AL319" i="12"/>
  <c r="AL315" i="12"/>
  <c r="AL324" i="12"/>
  <c r="AL332" i="12"/>
  <c r="AL310" i="12"/>
  <c r="AL337" i="12"/>
  <c r="AL334" i="12"/>
  <c r="AL322" i="12"/>
  <c r="W347" i="12"/>
  <c r="W350" i="12" s="1"/>
  <c r="Q348" i="12"/>
  <c r="Q351" i="12" s="1"/>
  <c r="M348" i="12"/>
  <c r="M351" i="12" s="1"/>
  <c r="Z316" i="12"/>
  <c r="Z334" i="12"/>
  <c r="Z333" i="12"/>
  <c r="AK347" i="12"/>
  <c r="AK350" i="12" s="1"/>
  <c r="X319" i="12"/>
  <c r="X336" i="12"/>
  <c r="X334" i="12"/>
  <c r="X311" i="12"/>
  <c r="AM314" i="12"/>
  <c r="AM322" i="12"/>
  <c r="AM312" i="12"/>
  <c r="AM320" i="12"/>
  <c r="AM316" i="12"/>
  <c r="AM330" i="12"/>
  <c r="AM310" i="12"/>
  <c r="AM321" i="12"/>
  <c r="AM326" i="12"/>
  <c r="AM309" i="12"/>
  <c r="AM319" i="12"/>
  <c r="AM325" i="12"/>
  <c r="AM333" i="12"/>
  <c r="AM317" i="12"/>
  <c r="AM331" i="12"/>
  <c r="AM318" i="12"/>
  <c r="AM324" i="12"/>
  <c r="AM323" i="12"/>
  <c r="AM338" i="12"/>
  <c r="AM332" i="12"/>
  <c r="AM337" i="12"/>
  <c r="AM315" i="12"/>
  <c r="AM329" i="12"/>
  <c r="AM336" i="12"/>
  <c r="AM328" i="12"/>
  <c r="AM313" i="12"/>
  <c r="AM335" i="12"/>
  <c r="AM311" i="12"/>
  <c r="AM327" i="12"/>
  <c r="AM334" i="12"/>
  <c r="AG334" i="12"/>
  <c r="AG333" i="12"/>
  <c r="AG315" i="12"/>
  <c r="AF331" i="12"/>
  <c r="AF324" i="12"/>
  <c r="AF328" i="12"/>
  <c r="N346" i="12"/>
  <c r="N349" i="12" s="1"/>
  <c r="N311" i="12" s="1"/>
  <c r="AB309" i="12"/>
  <c r="AB317" i="12"/>
  <c r="AB330" i="12"/>
  <c r="AB338" i="12"/>
  <c r="AB325" i="12"/>
  <c r="AB322" i="12"/>
  <c r="AB334" i="12"/>
  <c r="AB323" i="12"/>
  <c r="T325" i="12"/>
  <c r="T334" i="12"/>
  <c r="T312" i="12"/>
  <c r="T309" i="12"/>
  <c r="AJ329" i="12"/>
  <c r="AJ312" i="12"/>
  <c r="AJ318" i="12"/>
  <c r="Q347" i="12"/>
  <c r="Q350" i="12" s="1"/>
  <c r="V346" i="12"/>
  <c r="V349" i="12" s="1"/>
  <c r="AC338" i="12"/>
  <c r="AC337" i="12"/>
  <c r="AC322" i="12"/>
  <c r="Q316" i="12"/>
  <c r="Q324" i="12"/>
  <c r="Q314" i="12"/>
  <c r="Q322" i="12"/>
  <c r="Q315" i="12"/>
  <c r="Q332" i="12"/>
  <c r="Q310" i="12"/>
  <c r="Q320" i="12"/>
  <c r="Q328" i="12"/>
  <c r="Q309" i="12"/>
  <c r="Q319" i="12"/>
  <c r="Q327" i="12"/>
  <c r="Q335" i="12"/>
  <c r="Q317" i="12"/>
  <c r="Q325" i="12"/>
  <c r="Q333" i="12"/>
  <c r="Q318" i="12"/>
  <c r="Q334" i="12"/>
  <c r="Q331" i="12"/>
  <c r="Q312" i="12"/>
  <c r="Q323" i="12"/>
  <c r="Q330" i="12"/>
  <c r="Q321" i="12"/>
  <c r="Q329" i="12"/>
  <c r="Q338" i="12"/>
  <c r="Q326" i="12"/>
  <c r="Q337" i="12"/>
  <c r="Q313" i="12"/>
  <c r="Q336" i="12"/>
  <c r="Q311" i="12"/>
  <c r="Y347" i="12"/>
  <c r="Y350" i="12" s="1"/>
  <c r="X329" i="12"/>
  <c r="X309" i="12"/>
  <c r="X326" i="12"/>
  <c r="X321" i="12"/>
  <c r="AG330" i="12"/>
  <c r="AG325" i="12"/>
  <c r="AG332" i="12"/>
  <c r="N321" i="12"/>
  <c r="N333" i="12"/>
  <c r="N310" i="12"/>
  <c r="N322" i="12"/>
  <c r="T326" i="12"/>
  <c r="T316" i="12"/>
  <c r="T331" i="12"/>
  <c r="T319" i="12"/>
  <c r="AJ315" i="12"/>
  <c r="AJ336" i="12"/>
  <c r="AJ327" i="12"/>
  <c r="AH346" i="12"/>
  <c r="AH349" i="12" s="1"/>
  <c r="AH309" i="12" s="1"/>
  <c r="AI310" i="12"/>
  <c r="AI318" i="12"/>
  <c r="AI316" i="12"/>
  <c r="AI312" i="12"/>
  <c r="AI322" i="12"/>
  <c r="AI326" i="12"/>
  <c r="AI317" i="12"/>
  <c r="AI330" i="12"/>
  <c r="AI315" i="12"/>
  <c r="AI329" i="12"/>
  <c r="AI337" i="12"/>
  <c r="AI313" i="12"/>
  <c r="AI323" i="12"/>
  <c r="AI327" i="12"/>
  <c r="AI335" i="12"/>
  <c r="AI314" i="12"/>
  <c r="AI321" i="12"/>
  <c r="AI333" i="12"/>
  <c r="AI338" i="12"/>
  <c r="AI332" i="12"/>
  <c r="AI336" i="12"/>
  <c r="AI319" i="12"/>
  <c r="AI331" i="12"/>
  <c r="AI334" i="12"/>
  <c r="AI328" i="12"/>
  <c r="AI311" i="12"/>
  <c r="AI325" i="12"/>
  <c r="AI320" i="12"/>
  <c r="AI309" i="12"/>
  <c r="AI324" i="12"/>
  <c r="V313" i="12"/>
  <c r="V321" i="12"/>
  <c r="V311" i="12"/>
  <c r="V319" i="12"/>
  <c r="V309" i="12"/>
  <c r="V320" i="12"/>
  <c r="V329" i="12"/>
  <c r="V315" i="12"/>
  <c r="V325" i="12"/>
  <c r="V333" i="12"/>
  <c r="V314" i="12"/>
  <c r="V332" i="12"/>
  <c r="V310" i="12"/>
  <c r="V322" i="12"/>
  <c r="V330" i="12"/>
  <c r="V338" i="12"/>
  <c r="V324" i="12"/>
  <c r="V336" i="12"/>
  <c r="V318" i="12"/>
  <c r="V335" i="12"/>
  <c r="V316" i="12"/>
  <c r="V334" i="12"/>
  <c r="V312" i="12"/>
  <c r="V323" i="12"/>
  <c r="V331" i="12"/>
  <c r="V328" i="12"/>
  <c r="V317" i="12"/>
  <c r="V327" i="12"/>
  <c r="V326" i="12"/>
  <c r="V337" i="12"/>
  <c r="AC325" i="12"/>
  <c r="AC329" i="12"/>
  <c r="AC311" i="12"/>
  <c r="Y346" i="12"/>
  <c r="Y349" i="12" s="1"/>
  <c r="Y332" i="12" s="1"/>
  <c r="AE346" i="12"/>
  <c r="AE349" i="12" s="1"/>
  <c r="AE322" i="12" s="1"/>
  <c r="AD346" i="12"/>
  <c r="AD349" i="12" s="1"/>
  <c r="AD317" i="12" s="1"/>
  <c r="S348" i="12"/>
  <c r="S351" i="12" s="1"/>
  <c r="Z310" i="12"/>
  <c r="Z320" i="12"/>
  <c r="Z314" i="12"/>
  <c r="AK346" i="12"/>
  <c r="AK349" i="12" s="1"/>
  <c r="AK324" i="12" s="1"/>
  <c r="X330" i="12"/>
  <c r="X337" i="12"/>
  <c r="X316" i="12"/>
  <c r="X313" i="12"/>
  <c r="AA347" i="12"/>
  <c r="AA350" i="12" s="1"/>
  <c r="AG338" i="12"/>
  <c r="AG336" i="12"/>
  <c r="AG321" i="12"/>
  <c r="AG324" i="12"/>
  <c r="T329" i="12"/>
  <c r="T336" i="12"/>
  <c r="T324" i="12"/>
  <c r="T311" i="12"/>
  <c r="AJ324" i="12"/>
  <c r="AJ335" i="12"/>
  <c r="AJ328" i="12"/>
  <c r="AJ323" i="12"/>
  <c r="AH333" i="12"/>
  <c r="AH326" i="12"/>
  <c r="AH335" i="12"/>
  <c r="AQ346" i="12"/>
  <c r="AQ349" i="12" s="1"/>
  <c r="AQ314" i="12" s="1"/>
  <c r="T347" i="12"/>
  <c r="T350" i="12" s="1"/>
  <c r="AC334" i="12"/>
  <c r="AC313" i="12"/>
  <c r="AC317" i="12"/>
  <c r="R346" i="12"/>
  <c r="R349" i="12" s="1"/>
  <c r="R325" i="12" s="1"/>
  <c r="AG348" i="12"/>
  <c r="AG351" i="12" s="1"/>
  <c r="AE348" i="12"/>
  <c r="AE351" i="12" s="1"/>
  <c r="AI348" i="12"/>
  <c r="AI351" i="12" s="1"/>
  <c r="AF348" i="12"/>
  <c r="AF351" i="12" s="1"/>
  <c r="AH348" i="12"/>
  <c r="AH351" i="12" s="1"/>
  <c r="X310" i="12"/>
  <c r="X320" i="12"/>
  <c r="X327" i="12"/>
  <c r="AG318" i="12"/>
  <c r="AG331" i="12"/>
  <c r="AG311" i="12"/>
  <c r="T321" i="12"/>
  <c r="T328" i="12"/>
  <c r="AJ320" i="12"/>
  <c r="AJ332" i="12"/>
  <c r="AJ314" i="12"/>
  <c r="AJ374" i="10"/>
  <c r="X382" i="10"/>
  <c r="AM375" i="10"/>
  <c r="AM371" i="10"/>
  <c r="AJ360" i="10"/>
  <c r="AJ381" i="10"/>
  <c r="AJ377" i="10"/>
  <c r="AN379" i="10"/>
  <c r="AG366" i="10"/>
  <c r="AP360" i="10"/>
  <c r="AP384" i="10"/>
  <c r="V359" i="10"/>
  <c r="AO381" i="10"/>
  <c r="AO377" i="10"/>
  <c r="X358" i="10"/>
  <c r="X385" i="10"/>
  <c r="S368" i="10"/>
  <c r="T376" i="10"/>
  <c r="M369" i="10"/>
  <c r="M368" i="10"/>
  <c r="AD372" i="10"/>
  <c r="AD368" i="10"/>
  <c r="AE358" i="10"/>
  <c r="AE385" i="10"/>
  <c r="X369" i="10"/>
  <c r="X359" i="10"/>
  <c r="Q358" i="10"/>
  <c r="Q376" i="10"/>
  <c r="R375" i="10"/>
  <c r="AP371" i="10"/>
  <c r="Z363" i="10"/>
  <c r="Z381" i="10"/>
  <c r="AB364" i="10"/>
  <c r="U360" i="10"/>
  <c r="U362" i="10"/>
  <c r="U377" i="10"/>
  <c r="AL369" i="10"/>
  <c r="AL365" i="10"/>
  <c r="AM379" i="10"/>
  <c r="AF372" i="10"/>
  <c r="AF368" i="10"/>
  <c r="Y370" i="10"/>
  <c r="AD379" i="10"/>
  <c r="AE365" i="10"/>
  <c r="Z373" i="10"/>
  <c r="AJ361" i="10"/>
  <c r="AJ385" i="10"/>
  <c r="AC372" i="10"/>
  <c r="AC371" i="10"/>
  <c r="N358" i="10"/>
  <c r="N382" i="10"/>
  <c r="O375" i="10"/>
  <c r="O371" i="10"/>
  <c r="AN378" i="10"/>
  <c r="AN374" i="10"/>
  <c r="AG379" i="10"/>
  <c r="AO358" i="10"/>
  <c r="AO373" i="10"/>
  <c r="AH378" i="10"/>
  <c r="Q366" i="10"/>
  <c r="Z365" i="10"/>
  <c r="AA357" i="10"/>
  <c r="AA381" i="10"/>
  <c r="L363" i="10"/>
  <c r="L374" i="10"/>
  <c r="AK360" i="10"/>
  <c r="AK384" i="10"/>
  <c r="AK383" i="10"/>
  <c r="V361" i="10"/>
  <c r="W375" i="10"/>
  <c r="W371" i="10"/>
  <c r="P364" i="10"/>
  <c r="T362" i="10"/>
  <c r="AE366" i="10"/>
  <c r="Q359" i="10"/>
  <c r="Q386" i="10"/>
  <c r="AI363" i="10"/>
  <c r="AI382" i="10"/>
  <c r="AI377" i="10"/>
  <c r="AM374" i="10"/>
  <c r="AJ357" i="10"/>
  <c r="AJ384" i="10"/>
  <c r="AJ380" i="10"/>
  <c r="AN364" i="10"/>
  <c r="AN382" i="10"/>
  <c r="AG369" i="10"/>
  <c r="AP363" i="10"/>
  <c r="V386" i="10"/>
  <c r="X361" i="10"/>
  <c r="M357" i="10"/>
  <c r="M371" i="10"/>
  <c r="AE364" i="10"/>
  <c r="X372" i="10"/>
  <c r="X368" i="10"/>
  <c r="Q361" i="10"/>
  <c r="Q382" i="10"/>
  <c r="R378" i="10"/>
  <c r="AP374" i="10"/>
  <c r="Z357" i="10"/>
  <c r="Z384" i="10"/>
  <c r="AB376" i="10"/>
  <c r="U363" i="10"/>
  <c r="U365" i="10"/>
  <c r="U383" i="10"/>
  <c r="AL372" i="10"/>
  <c r="AL368" i="10"/>
  <c r="AM358" i="10"/>
  <c r="AM382" i="10"/>
  <c r="AF375" i="10"/>
  <c r="AF371" i="10"/>
  <c r="Y373" i="10"/>
  <c r="AD367" i="10"/>
  <c r="AE368" i="10"/>
  <c r="AQ373" i="10"/>
  <c r="AQ376" i="10"/>
  <c r="AQ370" i="10"/>
  <c r="AQ367" i="10"/>
  <c r="AQ364" i="10"/>
  <c r="AQ385" i="10"/>
  <c r="AQ361" i="10"/>
  <c r="AQ382" i="10"/>
  <c r="AQ358" i="10"/>
  <c r="AQ379" i="10"/>
  <c r="Z376" i="10"/>
  <c r="AJ364" i="10"/>
  <c r="AC378" i="10"/>
  <c r="AC374" i="10"/>
  <c r="N361" i="10"/>
  <c r="O378" i="10"/>
  <c r="O374" i="10"/>
  <c r="AN363" i="10"/>
  <c r="AN381" i="10"/>
  <c r="AN377" i="10"/>
  <c r="AG364" i="10"/>
  <c r="AO361" i="10"/>
  <c r="AH363" i="10"/>
  <c r="AH381" i="10"/>
  <c r="Q369" i="10"/>
  <c r="Z368" i="10"/>
  <c r="AA360" i="10"/>
  <c r="AA384" i="10"/>
  <c r="L378" i="10"/>
  <c r="L362" i="10"/>
  <c r="AK363" i="10"/>
  <c r="AK359" i="10"/>
  <c r="AK380" i="10"/>
  <c r="V376" i="10"/>
  <c r="W378" i="10"/>
  <c r="W374" i="10"/>
  <c r="P367" i="10"/>
  <c r="T377" i="10"/>
  <c r="AE369" i="10"/>
  <c r="Q377" i="10"/>
  <c r="AI372" i="10"/>
  <c r="AI366" i="10"/>
  <c r="AI361" i="10"/>
  <c r="AI380" i="10"/>
  <c r="M366" i="10"/>
  <c r="AM363" i="10"/>
  <c r="AM381" i="10"/>
  <c r="AM377" i="10"/>
  <c r="AP385" i="10"/>
  <c r="AP361" i="10"/>
  <c r="AP382" i="10"/>
  <c r="AP358" i="10"/>
  <c r="AP379" i="10"/>
  <c r="AP376" i="10"/>
  <c r="AP373" i="10"/>
  <c r="AP364" i="10"/>
  <c r="AP370" i="10"/>
  <c r="AP367" i="10"/>
  <c r="AJ363" i="10"/>
  <c r="AJ359" i="10"/>
  <c r="AJ383" i="10"/>
  <c r="N366" i="10"/>
  <c r="AN358" i="10"/>
  <c r="AN385" i="10"/>
  <c r="AG372" i="10"/>
  <c r="AP366" i="10"/>
  <c r="V365" i="10"/>
  <c r="AO366" i="10"/>
  <c r="AO362" i="10"/>
  <c r="X367" i="10"/>
  <c r="S374" i="10"/>
  <c r="T358" i="10"/>
  <c r="T382" i="10"/>
  <c r="M360" i="10"/>
  <c r="M374" i="10"/>
  <c r="AD363" i="10"/>
  <c r="AD384" i="10"/>
  <c r="AD374" i="10"/>
  <c r="AE367" i="10"/>
  <c r="X375" i="10"/>
  <c r="X371" i="10"/>
  <c r="Q379" i="10"/>
  <c r="R363" i="10"/>
  <c r="R381" i="10"/>
  <c r="AP377" i="10"/>
  <c r="Z360" i="10"/>
  <c r="AB379" i="10"/>
  <c r="U378" i="10"/>
  <c r="U380" i="10"/>
  <c r="AL375" i="10"/>
  <c r="AL371" i="10"/>
  <c r="AM361" i="10"/>
  <c r="AM385" i="10"/>
  <c r="AF378" i="10"/>
  <c r="AF374" i="10"/>
  <c r="Y358" i="10"/>
  <c r="Y379" i="10"/>
  <c r="AD370" i="10"/>
  <c r="AE371" i="10"/>
  <c r="Z379" i="10"/>
  <c r="AJ367" i="10"/>
  <c r="AC384" i="10"/>
  <c r="AC362" i="10"/>
  <c r="N367" i="10"/>
  <c r="O360" i="10"/>
  <c r="O381" i="10"/>
  <c r="O377" i="10"/>
  <c r="AN357" i="10"/>
  <c r="AN384" i="10"/>
  <c r="AN380" i="10"/>
  <c r="AG367" i="10"/>
  <c r="AO376" i="10"/>
  <c r="AH357" i="10"/>
  <c r="AH384" i="10"/>
  <c r="Q372" i="10"/>
  <c r="Z371" i="10"/>
  <c r="AA363" i="10"/>
  <c r="L360" i="10"/>
  <c r="L381" i="10"/>
  <c r="L377" i="10"/>
  <c r="AK366" i="10"/>
  <c r="AK362" i="10"/>
  <c r="AK386" i="10"/>
  <c r="V382" i="10"/>
  <c r="W357" i="10"/>
  <c r="W381" i="10"/>
  <c r="W377" i="10"/>
  <c r="P370" i="10"/>
  <c r="T380" i="10"/>
  <c r="AE372" i="10"/>
  <c r="Q383" i="10"/>
  <c r="AI375" i="10"/>
  <c r="AI369" i="10"/>
  <c r="AI385" i="10"/>
  <c r="AI359" i="10"/>
  <c r="AH375" i="10"/>
  <c r="AM360" i="10"/>
  <c r="AM384" i="10"/>
  <c r="AM380" i="10"/>
  <c r="R368" i="10"/>
  <c r="R365" i="10"/>
  <c r="R386" i="10"/>
  <c r="R359" i="10"/>
  <c r="R371" i="10"/>
  <c r="R383" i="10"/>
  <c r="R362" i="10"/>
  <c r="R380" i="10"/>
  <c r="R377" i="10"/>
  <c r="R374" i="10"/>
  <c r="AJ366" i="10"/>
  <c r="AJ362" i="10"/>
  <c r="AJ386" i="10"/>
  <c r="N369" i="10"/>
  <c r="AN361" i="10"/>
  <c r="AG375" i="10"/>
  <c r="AG378" i="10"/>
  <c r="AA376" i="10"/>
  <c r="AP369" i="10"/>
  <c r="V372" i="10"/>
  <c r="V368" i="10"/>
  <c r="W358" i="10"/>
  <c r="W385" i="10"/>
  <c r="P378" i="10"/>
  <c r="P374" i="10"/>
  <c r="AO378" i="10"/>
  <c r="AO369" i="10"/>
  <c r="AO365" i="10"/>
  <c r="X370" i="10"/>
  <c r="S377" i="10"/>
  <c r="T361" i="10"/>
  <c r="T385" i="10"/>
  <c r="M381" i="10"/>
  <c r="M359" i="10"/>
  <c r="AD375" i="10"/>
  <c r="AD377" i="10"/>
  <c r="AD380" i="10"/>
  <c r="AE370" i="10"/>
  <c r="X378" i="10"/>
  <c r="X374" i="10"/>
  <c r="Q385" i="10"/>
  <c r="R357" i="10"/>
  <c r="R384" i="10"/>
  <c r="AP380" i="10"/>
  <c r="Z366" i="10"/>
  <c r="AB361" i="10"/>
  <c r="AB382" i="10"/>
  <c r="U366" i="10"/>
  <c r="U359" i="10"/>
  <c r="AL381" i="10"/>
  <c r="AL374" i="10"/>
  <c r="AM364" i="10"/>
  <c r="AF363" i="10"/>
  <c r="AF381" i="10"/>
  <c r="AF377" i="10"/>
  <c r="Y361" i="10"/>
  <c r="Y385" i="10"/>
  <c r="AD373" i="10"/>
  <c r="AE374" i="10"/>
  <c r="Z358" i="10"/>
  <c r="Z382" i="10"/>
  <c r="AJ370" i="10"/>
  <c r="AC363" i="10"/>
  <c r="AC375" i="10"/>
  <c r="AC380" i="10"/>
  <c r="N370" i="10"/>
  <c r="O357" i="10"/>
  <c r="O384" i="10"/>
  <c r="O380" i="10"/>
  <c r="AN360" i="10"/>
  <c r="AN362" i="10"/>
  <c r="AN383" i="10"/>
  <c r="AG370" i="10"/>
  <c r="AO379" i="10"/>
  <c r="AH360" i="10"/>
  <c r="Q357" i="10"/>
  <c r="Q378" i="10"/>
  <c r="Z374" i="10"/>
  <c r="AA366" i="10"/>
  <c r="L375" i="10"/>
  <c r="L384" i="10"/>
  <c r="L380" i="10"/>
  <c r="AK369" i="10"/>
  <c r="AK365" i="10"/>
  <c r="V367" i="10"/>
  <c r="W360" i="10"/>
  <c r="W384" i="10"/>
  <c r="W380" i="10"/>
  <c r="P373" i="10"/>
  <c r="T365" i="10"/>
  <c r="T383" i="10"/>
  <c r="AE375" i="10"/>
  <c r="Q365" i="10"/>
  <c r="AI378" i="10"/>
  <c r="AI373" i="10"/>
  <c r="AI364" i="10"/>
  <c r="AI383" i="10"/>
  <c r="AH370" i="10"/>
  <c r="AM357" i="10"/>
  <c r="AM362" i="10"/>
  <c r="AM383" i="10"/>
  <c r="AJ369" i="10"/>
  <c r="AJ365" i="10"/>
  <c r="N372" i="10"/>
  <c r="AN367" i="10"/>
  <c r="AG381" i="10"/>
  <c r="AG384" i="10"/>
  <c r="AA379" i="10"/>
  <c r="T372" i="10"/>
  <c r="AQ368" i="10"/>
  <c r="S379" i="10"/>
  <c r="AP372" i="10"/>
  <c r="L367" i="10"/>
  <c r="L385" i="10"/>
  <c r="AK373" i="10"/>
  <c r="V357" i="10"/>
  <c r="V375" i="10"/>
  <c r="V371" i="10"/>
  <c r="W364" i="10"/>
  <c r="P357" i="10"/>
  <c r="P381" i="10"/>
  <c r="P377" i="10"/>
  <c r="AO357" i="10"/>
  <c r="AO372" i="10"/>
  <c r="AO368" i="10"/>
  <c r="X373" i="10"/>
  <c r="T367" i="10"/>
  <c r="M372" i="10"/>
  <c r="M378" i="10"/>
  <c r="M365" i="10"/>
  <c r="AD357" i="10"/>
  <c r="AD362" i="10"/>
  <c r="AD386" i="10"/>
  <c r="AE373" i="10"/>
  <c r="X357" i="10"/>
  <c r="X381" i="10"/>
  <c r="X377" i="10"/>
  <c r="Q364" i="10"/>
  <c r="R360" i="10"/>
  <c r="AP362" i="10"/>
  <c r="AP383" i="10"/>
  <c r="Z369" i="10"/>
  <c r="AB367" i="10"/>
  <c r="AB385" i="10"/>
  <c r="U369" i="10"/>
  <c r="U386" i="10"/>
  <c r="AL357" i="10"/>
  <c r="AL378" i="10"/>
  <c r="AL377" i="10"/>
  <c r="AM367" i="10"/>
  <c r="AF357" i="10"/>
  <c r="AF384" i="10"/>
  <c r="AF380" i="10"/>
  <c r="Y376" i="10"/>
  <c r="AD385" i="10"/>
  <c r="AD376" i="10"/>
  <c r="AE377" i="10"/>
  <c r="Z361" i="10"/>
  <c r="Z385" i="10"/>
  <c r="AJ373" i="10"/>
  <c r="AC357" i="10"/>
  <c r="AC381" i="10"/>
  <c r="AC386" i="10"/>
  <c r="N373" i="10"/>
  <c r="O363" i="10"/>
  <c r="O359" i="10"/>
  <c r="O383" i="10"/>
  <c r="AN366" i="10"/>
  <c r="AN359" i="10"/>
  <c r="AN386" i="10"/>
  <c r="AG373" i="10"/>
  <c r="AO385" i="10"/>
  <c r="AH366" i="10"/>
  <c r="Q360" i="10"/>
  <c r="Q384" i="10"/>
  <c r="Z377" i="10"/>
  <c r="AA369" i="10"/>
  <c r="L357" i="10"/>
  <c r="L365" i="10"/>
  <c r="L383" i="10"/>
  <c r="AK372" i="10"/>
  <c r="AK368" i="10"/>
  <c r="V370" i="10"/>
  <c r="W363" i="10"/>
  <c r="W359" i="10"/>
  <c r="W383" i="10"/>
  <c r="P376" i="10"/>
  <c r="T359" i="10"/>
  <c r="T386" i="10"/>
  <c r="AE378" i="10"/>
  <c r="Q368" i="10"/>
  <c r="AI360" i="10"/>
  <c r="AI370" i="10"/>
  <c r="AI367" i="10"/>
  <c r="X364" i="10"/>
  <c r="AH373" i="10"/>
  <c r="AM366" i="10"/>
  <c r="AM359" i="10"/>
  <c r="AM386" i="10"/>
  <c r="AJ372" i="10"/>
  <c r="AJ368" i="10"/>
  <c r="N375" i="10"/>
  <c r="AN370" i="10"/>
  <c r="AG357" i="10"/>
  <c r="AA361" i="10"/>
  <c r="AA382" i="10"/>
  <c r="AP375" i="10"/>
  <c r="AJ193" i="10"/>
  <c r="AB193" i="10"/>
  <c r="T193" i="10"/>
  <c r="L193" i="10"/>
  <c r="AJ192" i="10"/>
  <c r="AB192" i="10"/>
  <c r="T192" i="10"/>
  <c r="L192" i="10"/>
  <c r="AJ191" i="10"/>
  <c r="AB191" i="10"/>
  <c r="T191" i="10"/>
  <c r="L191" i="10"/>
  <c r="AJ190" i="10"/>
  <c r="AB190" i="10"/>
  <c r="T190" i="10"/>
  <c r="L190" i="10"/>
  <c r="AJ189" i="10"/>
  <c r="AB189" i="10"/>
  <c r="T189" i="10"/>
  <c r="L189" i="10"/>
  <c r="AJ188" i="10"/>
  <c r="AB188" i="10"/>
  <c r="T188" i="10"/>
  <c r="L188" i="10"/>
  <c r="AJ187" i="10"/>
  <c r="AB187" i="10"/>
  <c r="AQ193" i="10"/>
  <c r="AI193" i="10"/>
  <c r="AA193" i="10"/>
  <c r="S193" i="10"/>
  <c r="AQ192" i="10"/>
  <c r="AI192" i="10"/>
  <c r="AA192" i="10"/>
  <c r="S192" i="10"/>
  <c r="AQ191" i="10"/>
  <c r="AI191" i="10"/>
  <c r="AA191" i="10"/>
  <c r="S191" i="10"/>
  <c r="AQ190" i="10"/>
  <c r="AI190" i="10"/>
  <c r="AA190" i="10"/>
  <c r="S190" i="10"/>
  <c r="AQ189" i="10"/>
  <c r="AI189" i="10"/>
  <c r="AA189" i="10"/>
  <c r="S189" i="10"/>
  <c r="AQ188" i="10"/>
  <c r="AI188" i="10"/>
  <c r="AA188" i="10"/>
  <c r="S188" i="10"/>
  <c r="AQ187" i="10"/>
  <c r="AI187" i="10"/>
  <c r="AA187" i="10"/>
  <c r="S187" i="10"/>
  <c r="AQ186" i="10"/>
  <c r="AI186" i="10"/>
  <c r="AA186" i="10"/>
  <c r="S186" i="10"/>
  <c r="AQ185" i="10"/>
  <c r="AI185" i="10"/>
  <c r="AA185" i="10"/>
  <c r="S185" i="10"/>
  <c r="AQ184" i="10"/>
  <c r="AI184" i="10"/>
  <c r="AA184" i="10"/>
  <c r="S184" i="10"/>
  <c r="AQ183" i="10"/>
  <c r="AI183" i="10"/>
  <c r="AA183" i="10"/>
  <c r="S183" i="10"/>
  <c r="AQ182" i="10"/>
  <c r="AI182" i="10"/>
  <c r="AA182" i="10"/>
  <c r="S182" i="10"/>
  <c r="AQ181" i="10"/>
  <c r="AI181" i="10"/>
  <c r="AA181" i="10"/>
  <c r="S181" i="10"/>
  <c r="AQ180" i="10"/>
  <c r="AI180" i="10"/>
  <c r="AP193" i="10"/>
  <c r="AH193" i="10"/>
  <c r="Z193" i="10"/>
  <c r="R193" i="10"/>
  <c r="AP192" i="10"/>
  <c r="AH192" i="10"/>
  <c r="Z192" i="10"/>
  <c r="R192" i="10"/>
  <c r="AP191" i="10"/>
  <c r="AH191" i="10"/>
  <c r="Z191" i="10"/>
  <c r="R191" i="10"/>
  <c r="AP190" i="10"/>
  <c r="AH190" i="10"/>
  <c r="Z190" i="10"/>
  <c r="AO193" i="10"/>
  <c r="AG193" i="10"/>
  <c r="Y193" i="10"/>
  <c r="Q193" i="10"/>
  <c r="AO192" i="10"/>
  <c r="AG192" i="10"/>
  <c r="Y192" i="10"/>
  <c r="Q192" i="10"/>
  <c r="AO191" i="10"/>
  <c r="AG191" i="10"/>
  <c r="Y191" i="10"/>
  <c r="Q191" i="10"/>
  <c r="AO190" i="10"/>
  <c r="AG190" i="10"/>
  <c r="Y190" i="10"/>
  <c r="Q190" i="10"/>
  <c r="AO189" i="10"/>
  <c r="AG189" i="10"/>
  <c r="Y189" i="10"/>
  <c r="Q189" i="10"/>
  <c r="AO188" i="10"/>
  <c r="AG188" i="10"/>
  <c r="Y188" i="10"/>
  <c r="Q188" i="10"/>
  <c r="AO187" i="10"/>
  <c r="AG187" i="10"/>
  <c r="Y187" i="10"/>
  <c r="Q187" i="10"/>
  <c r="AO186" i="10"/>
  <c r="AG186" i="10"/>
  <c r="Y186" i="10"/>
  <c r="Q186" i="10"/>
  <c r="AO185" i="10"/>
  <c r="AG185" i="10"/>
  <c r="Y185" i="10"/>
  <c r="Q185" i="10"/>
  <c r="AO184" i="10"/>
  <c r="AG184" i="10"/>
  <c r="Y184" i="10"/>
  <c r="Q184" i="10"/>
  <c r="AO183" i="10"/>
  <c r="AG183" i="10"/>
  <c r="Y183" i="10"/>
  <c r="Q183" i="10"/>
  <c r="AO182" i="10"/>
  <c r="AG182" i="10"/>
  <c r="Y182" i="10"/>
  <c r="Q182" i="10"/>
  <c r="AO181" i="10"/>
  <c r="AG181" i="10"/>
  <c r="Y181" i="10"/>
  <c r="Q181" i="10"/>
  <c r="AO180" i="10"/>
  <c r="AG180" i="10"/>
  <c r="AN193" i="10"/>
  <c r="AF193" i="10"/>
  <c r="X193" i="10"/>
  <c r="P193" i="10"/>
  <c r="AN192" i="10"/>
  <c r="AF192" i="10"/>
  <c r="X192" i="10"/>
  <c r="P192" i="10"/>
  <c r="AN191" i="10"/>
  <c r="AF191" i="10"/>
  <c r="X191" i="10"/>
  <c r="P191" i="10"/>
  <c r="AN190" i="10"/>
  <c r="AF190" i="10"/>
  <c r="X190" i="10"/>
  <c r="P190" i="10"/>
  <c r="AN189" i="10"/>
  <c r="AF189" i="10"/>
  <c r="X189" i="10"/>
  <c r="P189" i="10"/>
  <c r="AN188" i="10"/>
  <c r="AF188" i="10"/>
  <c r="X188" i="10"/>
  <c r="P188" i="10"/>
  <c r="AN187" i="10"/>
  <c r="AF187" i="10"/>
  <c r="X187" i="10"/>
  <c r="P187" i="10"/>
  <c r="AM193" i="10"/>
  <c r="AE193" i="10"/>
  <c r="W193" i="10"/>
  <c r="O193" i="10"/>
  <c r="AM192" i="10"/>
  <c r="AE192" i="10"/>
  <c r="W192" i="10"/>
  <c r="O192" i="10"/>
  <c r="AM191" i="10"/>
  <c r="AE191" i="10"/>
  <c r="W191" i="10"/>
  <c r="O191" i="10"/>
  <c r="AM190" i="10"/>
  <c r="AE190" i="10"/>
  <c r="W190" i="10"/>
  <c r="O190" i="10"/>
  <c r="AM189" i="10"/>
  <c r="AE189" i="10"/>
  <c r="W189" i="10"/>
  <c r="O189" i="10"/>
  <c r="AM188" i="10"/>
  <c r="AE188" i="10"/>
  <c r="W188" i="10"/>
  <c r="O188" i="10"/>
  <c r="AM187" i="10"/>
  <c r="AE187" i="10"/>
  <c r="W187" i="10"/>
  <c r="O187" i="10"/>
  <c r="AM186" i="10"/>
  <c r="AE186" i="10"/>
  <c r="W186" i="10"/>
  <c r="O186" i="10"/>
  <c r="AM185" i="10"/>
  <c r="AE185" i="10"/>
  <c r="W185" i="10"/>
  <c r="O185" i="10"/>
  <c r="AM184" i="10"/>
  <c r="AE184" i="10"/>
  <c r="W184" i="10"/>
  <c r="O184" i="10"/>
  <c r="AM183" i="10"/>
  <c r="AE183" i="10"/>
  <c r="W183" i="10"/>
  <c r="O183" i="10"/>
  <c r="AM182" i="10"/>
  <c r="AE182" i="10"/>
  <c r="W182" i="10"/>
  <c r="O182" i="10"/>
  <c r="AM181" i="10"/>
  <c r="AE181" i="10"/>
  <c r="W181" i="10"/>
  <c r="O181" i="10"/>
  <c r="AM180" i="10"/>
  <c r="AE180" i="10"/>
  <c r="W180" i="10"/>
  <c r="O180" i="10"/>
  <c r="AM179" i="10"/>
  <c r="AE179" i="10"/>
  <c r="W179" i="10"/>
  <c r="O179" i="10"/>
  <c r="AM178" i="10"/>
  <c r="AE178" i="10"/>
  <c r="W178" i="10"/>
  <c r="O178" i="10"/>
  <c r="AM177" i="10"/>
  <c r="AE177" i="10"/>
  <c r="W177" i="10"/>
  <c r="O177" i="10"/>
  <c r="AM176" i="10"/>
  <c r="AE176" i="10"/>
  <c r="W176" i="10"/>
  <c r="O176" i="10"/>
  <c r="AM175" i="10"/>
  <c r="AE175" i="10"/>
  <c r="W175" i="10"/>
  <c r="O175" i="10"/>
  <c r="AM174" i="10"/>
  <c r="AE174" i="10"/>
  <c r="W174" i="10"/>
  <c r="O174" i="10"/>
  <c r="AM173" i="10"/>
  <c r="AE173" i="10"/>
  <c r="W173" i="10"/>
  <c r="O173" i="10"/>
  <c r="AM172" i="10"/>
  <c r="AE172" i="10"/>
  <c r="W172" i="10"/>
  <c r="AD193" i="10"/>
  <c r="AD192" i="10"/>
  <c r="AD191" i="10"/>
  <c r="AD190" i="10"/>
  <c r="AL189" i="10"/>
  <c r="R189" i="10"/>
  <c r="AC188" i="10"/>
  <c r="AL187" i="10"/>
  <c r="T187" i="10"/>
  <c r="AK186" i="10"/>
  <c r="X186" i="10"/>
  <c r="L186" i="10"/>
  <c r="AD185" i="10"/>
  <c r="R185" i="10"/>
  <c r="AK184" i="10"/>
  <c r="X184" i="10"/>
  <c r="L184" i="10"/>
  <c r="AD183" i="10"/>
  <c r="R183" i="10"/>
  <c r="AK182" i="10"/>
  <c r="X182" i="10"/>
  <c r="L182" i="10"/>
  <c r="AD181" i="10"/>
  <c r="R181" i="10"/>
  <c r="AK180" i="10"/>
  <c r="Z180" i="10"/>
  <c r="Q180" i="10"/>
  <c r="AN179" i="10"/>
  <c r="AD179" i="10"/>
  <c r="U179" i="10"/>
  <c r="L179" i="10"/>
  <c r="AI178" i="10"/>
  <c r="Z178" i="10"/>
  <c r="Q178" i="10"/>
  <c r="AN177" i="10"/>
  <c r="AD177" i="10"/>
  <c r="U177" i="10"/>
  <c r="L177" i="10"/>
  <c r="AI176" i="10"/>
  <c r="Z176" i="10"/>
  <c r="Q176" i="10"/>
  <c r="AN175" i="10"/>
  <c r="AD175" i="10"/>
  <c r="U175" i="10"/>
  <c r="L175" i="10"/>
  <c r="AI174" i="10"/>
  <c r="Z174" i="10"/>
  <c r="Q174" i="10"/>
  <c r="AN173" i="10"/>
  <c r="AD173" i="10"/>
  <c r="U173" i="10"/>
  <c r="L173" i="10"/>
  <c r="AI172" i="10"/>
  <c r="Z172" i="10"/>
  <c r="Q172" i="10"/>
  <c r="AO171" i="10"/>
  <c r="AG171" i="10"/>
  <c r="Y171" i="10"/>
  <c r="Q171" i="10"/>
  <c r="AO170" i="10"/>
  <c r="AG170" i="10"/>
  <c r="Y170" i="10"/>
  <c r="Q170" i="10"/>
  <c r="AO169" i="10"/>
  <c r="AG169" i="10"/>
  <c r="Y169" i="10"/>
  <c r="Q169" i="10"/>
  <c r="AO168" i="10"/>
  <c r="AG168" i="10"/>
  <c r="Y168" i="10"/>
  <c r="Q168" i="10"/>
  <c r="AO167" i="10"/>
  <c r="AG167" i="10"/>
  <c r="Y167" i="10"/>
  <c r="Q167" i="10"/>
  <c r="AO166" i="10"/>
  <c r="AG166" i="10"/>
  <c r="Y166" i="10"/>
  <c r="Q166" i="10"/>
  <c r="AO165" i="10"/>
  <c r="AG165" i="10"/>
  <c r="Y165" i="10"/>
  <c r="Q165" i="10"/>
  <c r="AO164" i="10"/>
  <c r="AG164" i="10"/>
  <c r="Y164" i="10"/>
  <c r="Q164" i="10"/>
  <c r="AL193" i="10"/>
  <c r="V189" i="10"/>
  <c r="M188" i="10"/>
  <c r="AH185" i="10"/>
  <c r="AN184" i="10"/>
  <c r="N184" i="10"/>
  <c r="U183" i="10"/>
  <c r="U181" i="10"/>
  <c r="S180" i="10"/>
  <c r="N179" i="10"/>
  <c r="AB178" i="10"/>
  <c r="X177" i="10"/>
  <c r="AB176" i="10"/>
  <c r="X175" i="10"/>
  <c r="S174" i="10"/>
  <c r="N173" i="10"/>
  <c r="S172" i="10"/>
  <c r="AA171" i="10"/>
  <c r="AQ170" i="10"/>
  <c r="AI169" i="10"/>
  <c r="AQ168" i="10"/>
  <c r="AC193" i="10"/>
  <c r="AC192" i="10"/>
  <c r="AC191" i="10"/>
  <c r="AC190" i="10"/>
  <c r="AK189" i="10"/>
  <c r="N189" i="10"/>
  <c r="Z188" i="10"/>
  <c r="AK187" i="10"/>
  <c r="R187" i="10"/>
  <c r="AJ186" i="10"/>
  <c r="V186" i="10"/>
  <c r="AP185" i="10"/>
  <c r="AC185" i="10"/>
  <c r="P185" i="10"/>
  <c r="AJ184" i="10"/>
  <c r="V184" i="10"/>
  <c r="AP183" i="10"/>
  <c r="AC183" i="10"/>
  <c r="P183" i="10"/>
  <c r="AJ182" i="10"/>
  <c r="V182" i="10"/>
  <c r="AP181" i="10"/>
  <c r="AC181" i="10"/>
  <c r="P181" i="10"/>
  <c r="AJ180" i="10"/>
  <c r="Y180" i="10"/>
  <c r="P180" i="10"/>
  <c r="AL179" i="10"/>
  <c r="AC179" i="10"/>
  <c r="T179" i="10"/>
  <c r="AQ178" i="10"/>
  <c r="AH178" i="10"/>
  <c r="Y178" i="10"/>
  <c r="P178" i="10"/>
  <c r="AL177" i="10"/>
  <c r="AC177" i="10"/>
  <c r="T177" i="10"/>
  <c r="AQ176" i="10"/>
  <c r="AH176" i="10"/>
  <c r="Y176" i="10"/>
  <c r="P176" i="10"/>
  <c r="AL175" i="10"/>
  <c r="AC175" i="10"/>
  <c r="T175" i="10"/>
  <c r="AQ174" i="10"/>
  <c r="AH174" i="10"/>
  <c r="Y174" i="10"/>
  <c r="P174" i="10"/>
  <c r="AL173" i="10"/>
  <c r="AC173" i="10"/>
  <c r="T173" i="10"/>
  <c r="AQ172" i="10"/>
  <c r="AH172" i="10"/>
  <c r="Y172" i="10"/>
  <c r="P172" i="10"/>
  <c r="AN171" i="10"/>
  <c r="AF171" i="10"/>
  <c r="X171" i="10"/>
  <c r="P171" i="10"/>
  <c r="AN170" i="10"/>
  <c r="AF170" i="10"/>
  <c r="X170" i="10"/>
  <c r="P170" i="10"/>
  <c r="AN169" i="10"/>
  <c r="AF169" i="10"/>
  <c r="X169" i="10"/>
  <c r="P169" i="10"/>
  <c r="AN168" i="10"/>
  <c r="AF168" i="10"/>
  <c r="X168" i="10"/>
  <c r="P168" i="10"/>
  <c r="AN167" i="10"/>
  <c r="AF167" i="10"/>
  <c r="X167" i="10"/>
  <c r="P167" i="10"/>
  <c r="AN166" i="10"/>
  <c r="AF166" i="10"/>
  <c r="X166" i="10"/>
  <c r="P166" i="10"/>
  <c r="AN165" i="10"/>
  <c r="AF165" i="10"/>
  <c r="X165" i="10"/>
  <c r="P165" i="10"/>
  <c r="AN164" i="10"/>
  <c r="AF164" i="10"/>
  <c r="X164" i="10"/>
  <c r="P164" i="10"/>
  <c r="N186" i="10"/>
  <c r="AB180" i="10"/>
  <c r="AK176" i="10"/>
  <c r="X173" i="10"/>
  <c r="AI170" i="10"/>
  <c r="V193" i="10"/>
  <c r="V192" i="10"/>
  <c r="V191" i="10"/>
  <c r="V190" i="10"/>
  <c r="AH189" i="10"/>
  <c r="M189" i="10"/>
  <c r="V188" i="10"/>
  <c r="AH187" i="10"/>
  <c r="N187" i="10"/>
  <c r="AH186" i="10"/>
  <c r="U186" i="10"/>
  <c r="AN185" i="10"/>
  <c r="AB185" i="10"/>
  <c r="N185" i="10"/>
  <c r="AH184" i="10"/>
  <c r="U184" i="10"/>
  <c r="AN183" i="10"/>
  <c r="AB183" i="10"/>
  <c r="N183" i="10"/>
  <c r="AH182" i="10"/>
  <c r="U182" i="10"/>
  <c r="AN181" i="10"/>
  <c r="AB181" i="10"/>
  <c r="N181" i="10"/>
  <c r="AH180" i="10"/>
  <c r="X180" i="10"/>
  <c r="N180" i="10"/>
  <c r="AK179" i="10"/>
  <c r="AB179" i="10"/>
  <c r="S179" i="10"/>
  <c r="AP178" i="10"/>
  <c r="AG178" i="10"/>
  <c r="X178" i="10"/>
  <c r="N178" i="10"/>
  <c r="AK177" i="10"/>
  <c r="AB177" i="10"/>
  <c r="S177" i="10"/>
  <c r="AP176" i="10"/>
  <c r="AG176" i="10"/>
  <c r="X176" i="10"/>
  <c r="N176" i="10"/>
  <c r="AK175" i="10"/>
  <c r="AB175" i="10"/>
  <c r="S175" i="10"/>
  <c r="AP174" i="10"/>
  <c r="AG174" i="10"/>
  <c r="X174" i="10"/>
  <c r="N174" i="10"/>
  <c r="AK173" i="10"/>
  <c r="AB173" i="10"/>
  <c r="S173" i="10"/>
  <c r="AP172" i="10"/>
  <c r="AG172" i="10"/>
  <c r="X172" i="10"/>
  <c r="O172" i="10"/>
  <c r="AM171" i="10"/>
  <c r="AE171" i="10"/>
  <c r="W171" i="10"/>
  <c r="O171" i="10"/>
  <c r="AM170" i="10"/>
  <c r="AE170" i="10"/>
  <c r="W170" i="10"/>
  <c r="O170" i="10"/>
  <c r="AM169" i="10"/>
  <c r="AE169" i="10"/>
  <c r="W169" i="10"/>
  <c r="O169" i="10"/>
  <c r="AM168" i="10"/>
  <c r="AE168" i="10"/>
  <c r="W168" i="10"/>
  <c r="O168" i="10"/>
  <c r="AM167" i="10"/>
  <c r="AE167" i="10"/>
  <c r="W167" i="10"/>
  <c r="O167" i="10"/>
  <c r="AM166" i="10"/>
  <c r="AE166" i="10"/>
  <c r="W166" i="10"/>
  <c r="O166" i="10"/>
  <c r="AM165" i="10"/>
  <c r="AE165" i="10"/>
  <c r="W165" i="10"/>
  <c r="O165" i="10"/>
  <c r="AM164" i="10"/>
  <c r="AE164" i="10"/>
  <c r="W164" i="10"/>
  <c r="O164" i="10"/>
  <c r="AL192" i="10"/>
  <c r="M190" i="10"/>
  <c r="AH188" i="10"/>
  <c r="V187" i="10"/>
  <c r="U185" i="10"/>
  <c r="AB184" i="10"/>
  <c r="AH183" i="10"/>
  <c r="AB182" i="10"/>
  <c r="AN180" i="10"/>
  <c r="AP179" i="10"/>
  <c r="AK178" i="10"/>
  <c r="S178" i="10"/>
  <c r="N177" i="10"/>
  <c r="AP175" i="10"/>
  <c r="AK174" i="10"/>
  <c r="AG173" i="10"/>
  <c r="AK172" i="10"/>
  <c r="AQ171" i="10"/>
  <c r="S171" i="10"/>
  <c r="AA170" i="10"/>
  <c r="S169" i="10"/>
  <c r="U193" i="10"/>
  <c r="U192" i="10"/>
  <c r="U191" i="10"/>
  <c r="U190" i="10"/>
  <c r="AD189" i="10"/>
  <c r="AP188" i="10"/>
  <c r="U188" i="10"/>
  <c r="AD187" i="10"/>
  <c r="M187" i="10"/>
  <c r="AF186" i="10"/>
  <c r="T186" i="10"/>
  <c r="AL185" i="10"/>
  <c r="Z185" i="10"/>
  <c r="M185" i="10"/>
  <c r="AF184" i="10"/>
  <c r="T184" i="10"/>
  <c r="AL183" i="10"/>
  <c r="Z183" i="10"/>
  <c r="M183" i="10"/>
  <c r="AF182" i="10"/>
  <c r="T182" i="10"/>
  <c r="AL181" i="10"/>
  <c r="Z181" i="10"/>
  <c r="M181" i="10"/>
  <c r="AF180" i="10"/>
  <c r="V180" i="10"/>
  <c r="M180" i="10"/>
  <c r="AJ179" i="10"/>
  <c r="AA179" i="10"/>
  <c r="R179" i="10"/>
  <c r="AO178" i="10"/>
  <c r="AF178" i="10"/>
  <c r="V178" i="10"/>
  <c r="M178" i="10"/>
  <c r="AJ177" i="10"/>
  <c r="AA177" i="10"/>
  <c r="R177" i="10"/>
  <c r="AO176" i="10"/>
  <c r="AF176" i="10"/>
  <c r="V176" i="10"/>
  <c r="M176" i="10"/>
  <c r="AJ175" i="10"/>
  <c r="AA175" i="10"/>
  <c r="R175" i="10"/>
  <c r="AO174" i="10"/>
  <c r="AF174" i="10"/>
  <c r="V174" i="10"/>
  <c r="M174" i="10"/>
  <c r="AJ173" i="10"/>
  <c r="AA173" i="10"/>
  <c r="R173" i="10"/>
  <c r="AO172" i="10"/>
  <c r="AF172" i="10"/>
  <c r="V172" i="10"/>
  <c r="N172" i="10"/>
  <c r="AL171" i="10"/>
  <c r="AD171" i="10"/>
  <c r="V171" i="10"/>
  <c r="N171" i="10"/>
  <c r="AL170" i="10"/>
  <c r="AD170" i="10"/>
  <c r="V170" i="10"/>
  <c r="N170" i="10"/>
  <c r="AL169" i="10"/>
  <c r="AD169" i="10"/>
  <c r="V169" i="10"/>
  <c r="N169" i="10"/>
  <c r="AL168" i="10"/>
  <c r="AD168" i="10"/>
  <c r="V168" i="10"/>
  <c r="N168" i="10"/>
  <c r="AL167" i="10"/>
  <c r="AD167" i="10"/>
  <c r="V167" i="10"/>
  <c r="N167" i="10"/>
  <c r="AL166" i="10"/>
  <c r="AD166" i="10"/>
  <c r="V166" i="10"/>
  <c r="N166" i="10"/>
  <c r="AL165" i="10"/>
  <c r="AD165" i="10"/>
  <c r="V165" i="10"/>
  <c r="N165" i="10"/>
  <c r="AL164" i="10"/>
  <c r="AD164" i="10"/>
  <c r="V164" i="10"/>
  <c r="N164" i="10"/>
  <c r="AH181" i="10"/>
  <c r="N175" i="10"/>
  <c r="N193" i="10"/>
  <c r="N192" i="10"/>
  <c r="N191" i="10"/>
  <c r="R190" i="10"/>
  <c r="AC189" i="10"/>
  <c r="AL188" i="10"/>
  <c r="R188" i="10"/>
  <c r="AC187" i="10"/>
  <c r="L187" i="10"/>
  <c r="AD186" i="10"/>
  <c r="R186" i="10"/>
  <c r="AK185" i="10"/>
  <c r="X185" i="10"/>
  <c r="L185" i="10"/>
  <c r="AD184" i="10"/>
  <c r="R184" i="10"/>
  <c r="AK183" i="10"/>
  <c r="X183" i="10"/>
  <c r="L183" i="10"/>
  <c r="AD182" i="10"/>
  <c r="R182" i="10"/>
  <c r="AK181" i="10"/>
  <c r="X181" i="10"/>
  <c r="L181" i="10"/>
  <c r="AD180" i="10"/>
  <c r="U180" i="10"/>
  <c r="L180" i="10"/>
  <c r="AI179" i="10"/>
  <c r="Z179" i="10"/>
  <c r="Q179" i="10"/>
  <c r="AN178" i="10"/>
  <c r="AD178" i="10"/>
  <c r="U178" i="10"/>
  <c r="L178" i="10"/>
  <c r="AI177" i="10"/>
  <c r="Z177" i="10"/>
  <c r="Q177" i="10"/>
  <c r="AN176" i="10"/>
  <c r="AD176" i="10"/>
  <c r="U176" i="10"/>
  <c r="L176" i="10"/>
  <c r="AI175" i="10"/>
  <c r="Z175" i="10"/>
  <c r="Q175" i="10"/>
  <c r="AN174" i="10"/>
  <c r="AD174" i="10"/>
  <c r="U174" i="10"/>
  <c r="L174" i="10"/>
  <c r="AI173" i="10"/>
  <c r="Z173" i="10"/>
  <c r="Q173" i="10"/>
  <c r="AN172" i="10"/>
  <c r="AD172" i="10"/>
  <c r="U172" i="10"/>
  <c r="M172" i="10"/>
  <c r="AK171" i="10"/>
  <c r="AC171" i="10"/>
  <c r="U171" i="10"/>
  <c r="M171" i="10"/>
  <c r="AK170" i="10"/>
  <c r="AC170" i="10"/>
  <c r="U170" i="10"/>
  <c r="M170" i="10"/>
  <c r="AK169" i="10"/>
  <c r="AC169" i="10"/>
  <c r="U169" i="10"/>
  <c r="M169" i="10"/>
  <c r="AK168" i="10"/>
  <c r="AC168" i="10"/>
  <c r="U168" i="10"/>
  <c r="M168" i="10"/>
  <c r="AK167" i="10"/>
  <c r="AC167" i="10"/>
  <c r="U167" i="10"/>
  <c r="M167" i="10"/>
  <c r="AK166" i="10"/>
  <c r="AC166" i="10"/>
  <c r="U166" i="10"/>
  <c r="M166" i="10"/>
  <c r="AK165" i="10"/>
  <c r="AC165" i="10"/>
  <c r="U165" i="10"/>
  <c r="M165" i="10"/>
  <c r="AK164" i="10"/>
  <c r="AC164" i="10"/>
  <c r="U164" i="10"/>
  <c r="M164" i="10"/>
  <c r="AL190" i="10"/>
  <c r="AN186" i="10"/>
  <c r="AN182" i="10"/>
  <c r="AG179" i="10"/>
  <c r="AG177" i="10"/>
  <c r="AG175" i="10"/>
  <c r="AP173" i="10"/>
  <c r="AI171" i="10"/>
  <c r="AA169" i="10"/>
  <c r="M193" i="10"/>
  <c r="M192" i="10"/>
  <c r="M191" i="10"/>
  <c r="N190" i="10"/>
  <c r="Z189" i="10"/>
  <c r="AK188" i="10"/>
  <c r="N188" i="10"/>
  <c r="Z187" i="10"/>
  <c r="AP186" i="10"/>
  <c r="AC186" i="10"/>
  <c r="P186" i="10"/>
  <c r="AJ185" i="10"/>
  <c r="V185" i="10"/>
  <c r="AP184" i="10"/>
  <c r="AC184" i="10"/>
  <c r="P184" i="10"/>
  <c r="AJ183" i="10"/>
  <c r="V183" i="10"/>
  <c r="AP182" i="10"/>
  <c r="AC182" i="10"/>
  <c r="P182" i="10"/>
  <c r="AJ181" i="10"/>
  <c r="V181" i="10"/>
  <c r="AP180" i="10"/>
  <c r="AC180" i="10"/>
  <c r="T180" i="10"/>
  <c r="AQ179" i="10"/>
  <c r="AH179" i="10"/>
  <c r="Y179" i="10"/>
  <c r="P179" i="10"/>
  <c r="AL178" i="10"/>
  <c r="AC178" i="10"/>
  <c r="T178" i="10"/>
  <c r="AQ177" i="10"/>
  <c r="AH177" i="10"/>
  <c r="Y177" i="10"/>
  <c r="P177" i="10"/>
  <c r="AL176" i="10"/>
  <c r="AC176" i="10"/>
  <c r="T176" i="10"/>
  <c r="AQ175" i="10"/>
  <c r="AH175" i="10"/>
  <c r="Y175" i="10"/>
  <c r="P175" i="10"/>
  <c r="AL174" i="10"/>
  <c r="AC174" i="10"/>
  <c r="T174" i="10"/>
  <c r="AQ173" i="10"/>
  <c r="AH173" i="10"/>
  <c r="Y173" i="10"/>
  <c r="P173" i="10"/>
  <c r="AL172" i="10"/>
  <c r="AC172" i="10"/>
  <c r="T172" i="10"/>
  <c r="L172" i="10"/>
  <c r="AJ171" i="10"/>
  <c r="AB171" i="10"/>
  <c r="T171" i="10"/>
  <c r="L171" i="10"/>
  <c r="AJ170" i="10"/>
  <c r="AB170" i="10"/>
  <c r="T170" i="10"/>
  <c r="L170" i="10"/>
  <c r="AJ169" i="10"/>
  <c r="AB169" i="10"/>
  <c r="T169" i="10"/>
  <c r="L169" i="10"/>
  <c r="AJ168" i="10"/>
  <c r="AB168" i="10"/>
  <c r="T168" i="10"/>
  <c r="L168" i="10"/>
  <c r="AJ167" i="10"/>
  <c r="AB167" i="10"/>
  <c r="T167" i="10"/>
  <c r="L167" i="10"/>
  <c r="AJ166" i="10"/>
  <c r="AB166" i="10"/>
  <c r="T166" i="10"/>
  <c r="L166" i="10"/>
  <c r="AJ165" i="10"/>
  <c r="AB165" i="10"/>
  <c r="T165" i="10"/>
  <c r="L165" i="10"/>
  <c r="AJ164" i="10"/>
  <c r="AB164" i="10"/>
  <c r="T164" i="10"/>
  <c r="L164" i="10"/>
  <c r="AL191" i="10"/>
  <c r="AB186" i="10"/>
  <c r="N182" i="10"/>
  <c r="X179" i="10"/>
  <c r="AP177" i="10"/>
  <c r="S176" i="10"/>
  <c r="AB174" i="10"/>
  <c r="AB172" i="10"/>
  <c r="AQ169" i="10"/>
  <c r="AD188" i="10"/>
  <c r="AL184" i="10"/>
  <c r="AF181" i="10"/>
  <c r="M179" i="10"/>
  <c r="AJ176" i="10"/>
  <c r="AA174" i="10"/>
  <c r="R172" i="10"/>
  <c r="S170" i="10"/>
  <c r="AH168" i="10"/>
  <c r="AH167" i="10"/>
  <c r="AH166" i="10"/>
  <c r="AH165" i="10"/>
  <c r="AH164" i="10"/>
  <c r="AJ174" i="10"/>
  <c r="AI166" i="10"/>
  <c r="AP187" i="10"/>
  <c r="Z184" i="10"/>
  <c r="T181" i="10"/>
  <c r="AJ178" i="10"/>
  <c r="AA176" i="10"/>
  <c r="R174" i="10"/>
  <c r="AP171" i="10"/>
  <c r="R170" i="10"/>
  <c r="AA168" i="10"/>
  <c r="AA167" i="10"/>
  <c r="AA166" i="10"/>
  <c r="AA165" i="10"/>
  <c r="AA164" i="10"/>
  <c r="AI164" i="10"/>
  <c r="AK193" i="10"/>
  <c r="U187" i="10"/>
  <c r="M184" i="10"/>
  <c r="AL180" i="10"/>
  <c r="AA178" i="10"/>
  <c r="R176" i="10"/>
  <c r="AO173" i="10"/>
  <c r="AH171" i="10"/>
  <c r="AP169" i="10"/>
  <c r="Z168" i="10"/>
  <c r="Z167" i="10"/>
  <c r="Z166" i="10"/>
  <c r="Z165" i="10"/>
  <c r="Z164" i="10"/>
  <c r="Z170" i="10"/>
  <c r="AK192" i="10"/>
  <c r="AL186" i="10"/>
  <c r="AF183" i="10"/>
  <c r="AA180" i="10"/>
  <c r="R178" i="10"/>
  <c r="AO175" i="10"/>
  <c r="AF173" i="10"/>
  <c r="Z171" i="10"/>
  <c r="AH169" i="10"/>
  <c r="S168" i="10"/>
  <c r="S167" i="10"/>
  <c r="S166" i="10"/>
  <c r="S165" i="10"/>
  <c r="S164" i="10"/>
  <c r="U189" i="10"/>
  <c r="T185" i="10"/>
  <c r="M182" i="10"/>
  <c r="V179" i="10"/>
  <c r="M177" i="10"/>
  <c r="AA172" i="10"/>
  <c r="AI168" i="10"/>
  <c r="AK191" i="10"/>
  <c r="Z186" i="10"/>
  <c r="T183" i="10"/>
  <c r="R180" i="10"/>
  <c r="AO177" i="10"/>
  <c r="AF175" i="10"/>
  <c r="V173" i="10"/>
  <c r="R171" i="10"/>
  <c r="Z169" i="10"/>
  <c r="R168" i="10"/>
  <c r="R167" i="10"/>
  <c r="R166" i="10"/>
  <c r="R165" i="10"/>
  <c r="R164" i="10"/>
  <c r="AI167" i="10"/>
  <c r="AK190" i="10"/>
  <c r="M186" i="10"/>
  <c r="AL182" i="10"/>
  <c r="AO179" i="10"/>
  <c r="AF177" i="10"/>
  <c r="V175" i="10"/>
  <c r="M173" i="10"/>
  <c r="AP170" i="10"/>
  <c r="R169" i="10"/>
  <c r="AQ167" i="10"/>
  <c r="AQ166" i="10"/>
  <c r="AQ165" i="10"/>
  <c r="AQ164" i="10"/>
  <c r="AI165" i="10"/>
  <c r="AP189" i="10"/>
  <c r="AF185" i="10"/>
  <c r="Z182" i="10"/>
  <c r="AF179" i="10"/>
  <c r="V177" i="10"/>
  <c r="M175" i="10"/>
  <c r="AJ172" i="10"/>
  <c r="AH170" i="10"/>
  <c r="AP168" i="10"/>
  <c r="AP167" i="10"/>
  <c r="AP166" i="10"/>
  <c r="AP165" i="10"/>
  <c r="AP164" i="10"/>
  <c r="AK379" i="10"/>
  <c r="V360" i="10"/>
  <c r="V381" i="10"/>
  <c r="V374" i="10"/>
  <c r="W367" i="10"/>
  <c r="P360" i="10"/>
  <c r="P384" i="10"/>
  <c r="P380" i="10"/>
  <c r="AO360" i="10"/>
  <c r="AO386" i="10"/>
  <c r="AO371" i="10"/>
  <c r="X376" i="10"/>
  <c r="S359" i="10"/>
  <c r="S383" i="10"/>
  <c r="T370" i="10"/>
  <c r="M375" i="10"/>
  <c r="M384" i="10"/>
  <c r="M377" i="10"/>
  <c r="AD360" i="10"/>
  <c r="AD383" i="10"/>
  <c r="AE376" i="10"/>
  <c r="X360" i="10"/>
  <c r="X384" i="10"/>
  <c r="X380" i="10"/>
  <c r="Q367" i="10"/>
  <c r="R366" i="10"/>
  <c r="AP359" i="10"/>
  <c r="AP386" i="10"/>
  <c r="Z372" i="10"/>
  <c r="AB370" i="10"/>
  <c r="U372" i="10"/>
  <c r="U368" i="10"/>
  <c r="AL360" i="10"/>
  <c r="AL384" i="10"/>
  <c r="AL383" i="10"/>
  <c r="AM370" i="10"/>
  <c r="AF360" i="10"/>
  <c r="AF362" i="10"/>
  <c r="AF383" i="10"/>
  <c r="Y382" i="10"/>
  <c r="AD358" i="10"/>
  <c r="AD382" i="10"/>
  <c r="AE380" i="10"/>
  <c r="Z364" i="10"/>
  <c r="AJ376" i="10"/>
  <c r="AC360" i="10"/>
  <c r="AC365" i="10"/>
  <c r="AC377" i="10"/>
  <c r="N379" i="10"/>
  <c r="O366" i="10"/>
  <c r="O362" i="10"/>
  <c r="O386" i="10"/>
  <c r="AN369" i="10"/>
  <c r="AN365" i="10"/>
  <c r="AG385" i="10"/>
  <c r="AG376" i="10"/>
  <c r="AO364" i="10"/>
  <c r="AH369" i="10"/>
  <c r="Q375" i="10"/>
  <c r="Z380" i="10"/>
  <c r="AA372" i="10"/>
  <c r="L366" i="10"/>
  <c r="L368" i="10"/>
  <c r="L386" i="10"/>
  <c r="AK375" i="10"/>
  <c r="AK371" i="10"/>
  <c r="V373" i="10"/>
  <c r="W366" i="10"/>
  <c r="W362" i="10"/>
  <c r="W386" i="10"/>
  <c r="P379" i="10"/>
  <c r="T368" i="10"/>
  <c r="AE357" i="10"/>
  <c r="AE381" i="10"/>
  <c r="Q371" i="10"/>
  <c r="AI381" i="10"/>
  <c r="AI376" i="10"/>
  <c r="AI368" i="10"/>
  <c r="AI386" i="10"/>
  <c r="AA358" i="10"/>
  <c r="L373" i="10"/>
  <c r="AK385" i="10"/>
  <c r="V363" i="10"/>
  <c r="V362" i="10"/>
  <c r="W370" i="10"/>
  <c r="P362" i="10"/>
  <c r="P383" i="10"/>
  <c r="AO380" i="10"/>
  <c r="S362" i="10"/>
  <c r="S386" i="10"/>
  <c r="T373" i="10"/>
  <c r="M362" i="10"/>
  <c r="AD366" i="10"/>
  <c r="AD359" i="10"/>
  <c r="X365" i="10"/>
  <c r="R369" i="10"/>
  <c r="Z375" i="10"/>
  <c r="U384" i="10"/>
  <c r="U375" i="10"/>
  <c r="AL359" i="10"/>
  <c r="AM373" i="10"/>
  <c r="AF366" i="10"/>
  <c r="AF359" i="10"/>
  <c r="AF386" i="10"/>
  <c r="Y364" i="10"/>
  <c r="AD361" i="10"/>
  <c r="AE359" i="10"/>
  <c r="AC366" i="10"/>
  <c r="AC359" i="10"/>
  <c r="O365" i="10"/>
  <c r="AG358" i="10"/>
  <c r="Z362" i="10"/>
  <c r="L369" i="10"/>
  <c r="L359" i="10"/>
  <c r="V364" i="10"/>
  <c r="P358" i="10"/>
  <c r="AE360" i="10"/>
  <c r="AI357" i="10"/>
  <c r="AI379" i="10"/>
  <c r="AI371" i="10"/>
  <c r="AI365" i="10"/>
  <c r="AY149" i="12" l="1"/>
  <c r="AZ376" i="12"/>
  <c r="AQ334" i="12"/>
  <c r="AD336" i="12"/>
  <c r="AE327" i="12"/>
  <c r="AP315" i="12"/>
  <c r="AD328" i="12"/>
  <c r="AE314" i="12"/>
  <c r="AD322" i="12"/>
  <c r="AP338" i="12"/>
  <c r="AD319" i="12"/>
  <c r="AP314" i="12"/>
  <c r="AK319" i="12"/>
  <c r="AP333" i="12"/>
  <c r="AH331" i="12"/>
  <c r="AH322" i="12"/>
  <c r="AH325" i="12"/>
  <c r="N315" i="12"/>
  <c r="N331" i="12"/>
  <c r="N325" i="12"/>
  <c r="N313" i="12"/>
  <c r="AQ322" i="12"/>
  <c r="AF337" i="12"/>
  <c r="AF329" i="12"/>
  <c r="AF320" i="12"/>
  <c r="AF319" i="12"/>
  <c r="Y312" i="12"/>
  <c r="AK328" i="12"/>
  <c r="AH318" i="12"/>
  <c r="AH319" i="12"/>
  <c r="AH312" i="12"/>
  <c r="AH321" i="12"/>
  <c r="AE321" i="12"/>
  <c r="N335" i="12"/>
  <c r="N338" i="12"/>
  <c r="N317" i="12"/>
  <c r="AQ321" i="12"/>
  <c r="AF316" i="12"/>
  <c r="AF317" i="12"/>
  <c r="AF310" i="12"/>
  <c r="AF309" i="12"/>
  <c r="W327" i="12"/>
  <c r="W336" i="12"/>
  <c r="W333" i="12"/>
  <c r="W310" i="12"/>
  <c r="AP316" i="12"/>
  <c r="Y338" i="12"/>
  <c r="U338" i="12"/>
  <c r="U322" i="12"/>
  <c r="U323" i="12"/>
  <c r="U320" i="12"/>
  <c r="AH324" i="12"/>
  <c r="AH337" i="12"/>
  <c r="AH336" i="12"/>
  <c r="AH311" i="12"/>
  <c r="AE311" i="12"/>
  <c r="N326" i="12"/>
  <c r="N330" i="12"/>
  <c r="N329" i="12"/>
  <c r="AQ311" i="12"/>
  <c r="AF338" i="12"/>
  <c r="AF335" i="12"/>
  <c r="AF334" i="12"/>
  <c r="AF321" i="12"/>
  <c r="W317" i="12"/>
  <c r="W309" i="12"/>
  <c r="W325" i="12"/>
  <c r="W320" i="12"/>
  <c r="AP327" i="12"/>
  <c r="Y329" i="12"/>
  <c r="R335" i="12"/>
  <c r="AK325" i="12"/>
  <c r="U327" i="12"/>
  <c r="U311" i="12"/>
  <c r="U313" i="12"/>
  <c r="U312" i="12"/>
  <c r="Y323" i="12"/>
  <c r="AH320" i="12"/>
  <c r="AF326" i="12"/>
  <c r="AF313" i="12"/>
  <c r="R312" i="12"/>
  <c r="AH327" i="12"/>
  <c r="AH310" i="12"/>
  <c r="AH314" i="12"/>
  <c r="AH315" i="12"/>
  <c r="N318" i="12"/>
  <c r="N327" i="12"/>
  <c r="N314" i="12"/>
  <c r="N312" i="12"/>
  <c r="AQ331" i="12"/>
  <c r="AQ326" i="12"/>
  <c r="AF325" i="12"/>
  <c r="AF336" i="12"/>
  <c r="AF312" i="12"/>
  <c r="AF323" i="12"/>
  <c r="W329" i="12"/>
  <c r="W313" i="12"/>
  <c r="W334" i="12"/>
  <c r="W322" i="12"/>
  <c r="AP320" i="12"/>
  <c r="Y309" i="12"/>
  <c r="R328" i="12"/>
  <c r="AK335" i="12"/>
  <c r="U330" i="12"/>
  <c r="U329" i="12"/>
  <c r="U314" i="12"/>
  <c r="N334" i="12"/>
  <c r="AQ338" i="12"/>
  <c r="AQ313" i="12"/>
  <c r="AF318" i="12"/>
  <c r="Y336" i="12"/>
  <c r="AH313" i="12"/>
  <c r="AH338" i="12"/>
  <c r="AH329" i="12"/>
  <c r="AH317" i="12"/>
  <c r="N320" i="12"/>
  <c r="N337" i="12"/>
  <c r="N332" i="12"/>
  <c r="N319" i="12"/>
  <c r="AQ333" i="12"/>
  <c r="AQ320" i="12"/>
  <c r="AF322" i="12"/>
  <c r="AF333" i="12"/>
  <c r="AF327" i="12"/>
  <c r="AF315" i="12"/>
  <c r="W319" i="12"/>
  <c r="W331" i="12"/>
  <c r="W326" i="12"/>
  <c r="W314" i="12"/>
  <c r="AP322" i="12"/>
  <c r="Y325" i="12"/>
  <c r="R316" i="12"/>
  <c r="AK316" i="12"/>
  <c r="U336" i="12"/>
  <c r="U333" i="12"/>
  <c r="U321" i="12"/>
  <c r="U328" i="12"/>
  <c r="AH332" i="12"/>
  <c r="AH328" i="12"/>
  <c r="AH323" i="12"/>
  <c r="N336" i="12"/>
  <c r="N324" i="12"/>
  <c r="N323" i="12"/>
  <c r="AF330" i="12"/>
  <c r="AP326" i="12"/>
  <c r="AK313" i="12"/>
  <c r="AH330" i="12"/>
  <c r="AH334" i="12"/>
  <c r="AH316" i="12"/>
  <c r="N309" i="12"/>
  <c r="N328" i="12"/>
  <c r="N316" i="12"/>
  <c r="AQ324" i="12"/>
  <c r="AQ310" i="12"/>
  <c r="AF311" i="12"/>
  <c r="AF332" i="12"/>
  <c r="W332" i="12"/>
  <c r="W324" i="12"/>
  <c r="AP313" i="12"/>
  <c r="Y313" i="12"/>
  <c r="AK337" i="12"/>
  <c r="U325" i="12"/>
  <c r="U334" i="12"/>
  <c r="U309" i="12"/>
  <c r="AD310" i="12"/>
  <c r="R313" i="12"/>
  <c r="R331" i="12"/>
  <c r="R320" i="12"/>
  <c r="R323" i="12"/>
  <c r="AE315" i="12"/>
  <c r="AD316" i="12"/>
  <c r="AD331" i="12"/>
  <c r="AD333" i="12"/>
  <c r="AD321" i="12"/>
  <c r="AE328" i="12"/>
  <c r="AE331" i="12"/>
  <c r="AE313" i="12"/>
  <c r="AQ315" i="12"/>
  <c r="AQ325" i="12"/>
  <c r="AQ337" i="12"/>
  <c r="AQ309" i="12"/>
  <c r="AB333" i="12"/>
  <c r="AB313" i="12"/>
  <c r="AB320" i="12"/>
  <c r="AB319" i="12"/>
  <c r="AL327" i="12"/>
  <c r="AL323" i="12"/>
  <c r="AL318" i="12"/>
  <c r="AL311" i="12"/>
  <c r="AP337" i="12"/>
  <c r="AP324" i="12"/>
  <c r="AP310" i="12"/>
  <c r="AP325" i="12"/>
  <c r="Y319" i="12"/>
  <c r="Y337" i="12"/>
  <c r="Y335" i="12"/>
  <c r="Y322" i="12"/>
  <c r="R324" i="12"/>
  <c r="R332" i="12"/>
  <c r="R310" i="12"/>
  <c r="R315" i="12"/>
  <c r="AK309" i="12"/>
  <c r="AK330" i="12"/>
  <c r="AK329" i="12"/>
  <c r="AK314" i="12"/>
  <c r="AD334" i="12"/>
  <c r="AD311" i="12"/>
  <c r="AE310" i="12"/>
  <c r="AE326" i="12"/>
  <c r="AD320" i="12"/>
  <c r="AD338" i="12"/>
  <c r="AD325" i="12"/>
  <c r="AD313" i="12"/>
  <c r="AE336" i="12"/>
  <c r="AE334" i="12"/>
  <c r="AE319" i="12"/>
  <c r="AE330" i="12"/>
  <c r="AQ332" i="12"/>
  <c r="AQ336" i="12"/>
  <c r="AQ329" i="12"/>
  <c r="AQ316" i="12"/>
  <c r="AB335" i="12"/>
  <c r="AB326" i="12"/>
  <c r="AB331" i="12"/>
  <c r="AB311" i="12"/>
  <c r="AL335" i="12"/>
  <c r="AL312" i="12"/>
  <c r="AL333" i="12"/>
  <c r="AL321" i="12"/>
  <c r="AP330" i="12"/>
  <c r="AP318" i="12"/>
  <c r="AP336" i="12"/>
  <c r="AP319" i="12"/>
  <c r="Y330" i="12"/>
  <c r="Y320" i="12"/>
  <c r="Y327" i="12"/>
  <c r="Y314" i="12"/>
  <c r="R337" i="12"/>
  <c r="R314" i="12"/>
  <c r="R329" i="12"/>
  <c r="R317" i="12"/>
  <c r="AK311" i="12"/>
  <c r="AK336" i="12"/>
  <c r="AK315" i="12"/>
  <c r="AK318" i="12"/>
  <c r="AD337" i="12"/>
  <c r="AD309" i="12"/>
  <c r="AD330" i="12"/>
  <c r="AD323" i="12"/>
  <c r="AE337" i="12"/>
  <c r="AE329" i="12"/>
  <c r="AE309" i="12"/>
  <c r="AE318" i="12"/>
  <c r="AQ317" i="12"/>
  <c r="AQ328" i="12"/>
  <c r="AQ323" i="12"/>
  <c r="AQ318" i="12"/>
  <c r="AB314" i="12"/>
  <c r="AB329" i="12"/>
  <c r="AB321" i="12"/>
  <c r="AL328" i="12"/>
  <c r="AL314" i="12"/>
  <c r="AL325" i="12"/>
  <c r="AL313" i="12"/>
  <c r="AP331" i="12"/>
  <c r="AP335" i="12"/>
  <c r="AP328" i="12"/>
  <c r="AP323" i="12"/>
  <c r="Y310" i="12"/>
  <c r="Y311" i="12"/>
  <c r="Y317" i="12"/>
  <c r="Y324" i="12"/>
  <c r="R338" i="12"/>
  <c r="R334" i="12"/>
  <c r="R321" i="12"/>
  <c r="R309" i="12"/>
  <c r="AK326" i="12"/>
  <c r="AK333" i="12"/>
  <c r="AK331" i="12"/>
  <c r="AK310" i="12"/>
  <c r="AE316" i="12"/>
  <c r="AE317" i="12"/>
  <c r="AE333" i="12"/>
  <c r="AE320" i="12"/>
  <c r="AB337" i="12"/>
  <c r="AB336" i="12"/>
  <c r="AB310" i="12"/>
  <c r="AL336" i="12"/>
  <c r="AL338" i="12"/>
  <c r="AL320" i="12"/>
  <c r="Y331" i="12"/>
  <c r="Y326" i="12"/>
  <c r="Y328" i="12"/>
  <c r="Y316" i="12"/>
  <c r="R327" i="12"/>
  <c r="R326" i="12"/>
  <c r="R311" i="12"/>
  <c r="AK322" i="12"/>
  <c r="AK321" i="12"/>
  <c r="AK317" i="12"/>
  <c r="AK320" i="12"/>
  <c r="AD326" i="12"/>
  <c r="AD312" i="12"/>
  <c r="AD335" i="12"/>
  <c r="AD327" i="12"/>
  <c r="AD332" i="12"/>
  <c r="AD329" i="12"/>
  <c r="AE338" i="12"/>
  <c r="AE335" i="12"/>
  <c r="AE325" i="12"/>
  <c r="AE312" i="12"/>
  <c r="AQ319" i="12"/>
  <c r="AQ335" i="12"/>
  <c r="AQ330" i="12"/>
  <c r="AB332" i="12"/>
  <c r="AB318" i="12"/>
  <c r="AB328" i="12"/>
  <c r="AB327" i="12"/>
  <c r="AL331" i="12"/>
  <c r="AL330" i="12"/>
  <c r="AL309" i="12"/>
  <c r="AP332" i="12"/>
  <c r="AP311" i="12"/>
  <c r="AP312" i="12"/>
  <c r="AP317" i="12"/>
  <c r="Y321" i="12"/>
  <c r="Y315" i="12"/>
  <c r="Y318" i="12"/>
  <c r="R319" i="12"/>
  <c r="R318" i="12"/>
  <c r="R333" i="12"/>
  <c r="AK334" i="12"/>
  <c r="AK338" i="12"/>
  <c r="AK332" i="12"/>
  <c r="AK312" i="12"/>
  <c r="AD318" i="12"/>
  <c r="AD314" i="12"/>
  <c r="AD315" i="12"/>
  <c r="AD324" i="12"/>
  <c r="AE324" i="12"/>
  <c r="AE332" i="12"/>
  <c r="AE323" i="12"/>
  <c r="AQ312" i="12"/>
  <c r="AQ327" i="12"/>
  <c r="AB312" i="12"/>
  <c r="AB324" i="12"/>
  <c r="AB316" i="12"/>
  <c r="AL326" i="12"/>
  <c r="AL317" i="12"/>
  <c r="AL316" i="12"/>
  <c r="AP321" i="12"/>
  <c r="AP334" i="12"/>
  <c r="AP329" i="12"/>
  <c r="Y334" i="12"/>
  <c r="Y333" i="12"/>
  <c r="R322" i="12"/>
  <c r="R330" i="12"/>
  <c r="R336" i="12"/>
  <c r="AK327" i="12"/>
  <c r="AK323" i="12"/>
  <c r="B2" i="8"/>
  <c r="B10" i="9"/>
  <c r="BA376" i="12" l="1"/>
  <c r="AZ149" i="12"/>
  <c r="BB376" i="12" l="1"/>
  <c r="BA149" i="12"/>
  <c r="BC376" i="12" l="1"/>
  <c r="BB149" i="12"/>
  <c r="BD376" i="12" l="1"/>
  <c r="BC149" i="12"/>
  <c r="BD149" i="12" l="1"/>
  <c r="BE376" i="12"/>
  <c r="BE149" i="12" l="1"/>
  <c r="BF376" i="12"/>
  <c r="BF149" i="12" l="1"/>
  <c r="BG376" i="12"/>
  <c r="BG149" i="12" l="1"/>
  <c r="BH376" i="12"/>
  <c r="BI376" i="12" l="1"/>
  <c r="BH149" i="12"/>
  <c r="BJ376" i="12" l="1"/>
  <c r="BI149" i="12"/>
  <c r="BJ149" i="12" l="1"/>
  <c r="BK376" i="12"/>
  <c r="BK149" i="12" s="1"/>
</calcChain>
</file>

<file path=xl/sharedStrings.xml><?xml version="1.0" encoding="utf-8"?>
<sst xmlns="http://schemas.openxmlformats.org/spreadsheetml/2006/main" count="1185" uniqueCount="262">
  <si>
    <t>CpUDSC Cost per Unit Distributed Solar Capacity</t>
  </si>
  <si>
    <t>Sources:</t>
  </si>
  <si>
    <t>Solar DC to AC Derate Value</t>
  </si>
  <si>
    <t xml:space="preserve">Watts DC are lower than Watts AC, but AC is needed to either sell to the grid or to power devices in homes. </t>
  </si>
  <si>
    <t>Therefore, we convert to the cost per Watt AC using a derate factor:</t>
  </si>
  <si>
    <t>DC to AC derate factor</t>
  </si>
  <si>
    <t>http://brattle.com/system/publications/pdfs/000/005/188/original/Comparative_Generation_Costs_of_Utility-Scale_and_Residential-Scale_PV_in_Xcel_Energy_Colorado's_Service_Area.pdf?1436797265</t>
  </si>
  <si>
    <t>Production Levels of Utility-Scale and Residential-Scale PV Systems</t>
  </si>
  <si>
    <t>Jens Schoene, EnerNex</t>
  </si>
  <si>
    <t>This document is included as Appendix B of a report by Brattle Group.  It is on Page 10 of the EnerNex report, which is Page 70 of the PDF</t>
  </si>
  <si>
    <t>Representative Dist. Res system is fixed-tilt roof mounted  with capacity of 5 kW</t>
  </si>
  <si>
    <t>Capacity factors chosen here to reflect range of across the continental U.S. using NREL PVWATTS</t>
  </si>
  <si>
    <t>Overnight Capital Cost ($/kW)</t>
  </si>
  <si>
    <t>Price Trajectory</t>
  </si>
  <si>
    <t>NREL</t>
  </si>
  <si>
    <t>https://atb.nrel.gov/</t>
  </si>
  <si>
    <t>"Solar - PV Dist. Res" tab</t>
  </si>
  <si>
    <t xml:space="preserve">Overnight Capital Cost, Capacity Factor, Fixed O&amp;M, and Variable O&amp;M costs </t>
  </si>
  <si>
    <t>represent $/kW DC;  however LCOE reflects $/MWh AC.</t>
  </si>
  <si>
    <t>Tab Solar - PV Dist. Res</t>
  </si>
  <si>
    <t>Res PV - Seattle - Advanced</t>
  </si>
  <si>
    <t>Res PV - Seattle - Moderate</t>
  </si>
  <si>
    <t>Res PV - Seattle - Conservative</t>
  </si>
  <si>
    <t>Res PV - Chicago - Advanced</t>
  </si>
  <si>
    <t>Res PV - Chicago - Moderate</t>
  </si>
  <si>
    <t>Res PV - Chicago - Conservative</t>
  </si>
  <si>
    <t>Res PV - Kansas City - Advanced</t>
  </si>
  <si>
    <t>Res PV - Kansas City - Moderate</t>
  </si>
  <si>
    <t>Res PV - Kansas City - Conservative</t>
  </si>
  <si>
    <t>Res PV - Los Angeles - Advanced</t>
  </si>
  <si>
    <t>Res PV - Los Angeles - Moderate</t>
  </si>
  <si>
    <t>Res PV - Los Angeles - Conservative</t>
  </si>
  <si>
    <t>Res PV - Daggett, CA - Advanced</t>
  </si>
  <si>
    <t>Res PV - Daggett, CA - Moderate</t>
  </si>
  <si>
    <t>Res PV - Daggett, CA - Conservative</t>
  </si>
  <si>
    <t>Notes</t>
  </si>
  <si>
    <t>We use the ATB "Moderate" case</t>
  </si>
  <si>
    <t>Solar PV</t>
  </si>
  <si>
    <t>Solar PV Type</t>
  </si>
  <si>
    <t>Non-Hardware Cost %</t>
  </si>
  <si>
    <t>Residential</t>
  </si>
  <si>
    <t>Commercial</t>
  </si>
  <si>
    <t>Utility-Scale</t>
  </si>
  <si>
    <t>Share of Costs that are Soft Costs</t>
  </si>
  <si>
    <t>U.S. Solar Photovoltaic System Cost Benchmark: Q1 2018</t>
  </si>
  <si>
    <t>https://www.nrel.gov/docs/fy17osti/68925.pdf</t>
  </si>
  <si>
    <t>Page viii, Figure ES-2</t>
  </si>
  <si>
    <t>"Soft costs" (non-hardware costs, such as the cost of installation)</t>
  </si>
  <si>
    <t>are a subset of the total costs.  Soft costs are not subject to</t>
  </si>
  <si>
    <t>reductions from endogenous learning.</t>
  </si>
  <si>
    <t>For distributed PV on buildings, we use the average</t>
  </si>
  <si>
    <t>of residential and commercial soft cost shares.</t>
  </si>
  <si>
    <t>Buildings</t>
  </si>
  <si>
    <t>Unit: $/MW</t>
  </si>
  <si>
    <t>Distributed Solar Soft Costs</t>
  </si>
  <si>
    <t>Distributed Solar Total Cap Cost</t>
  </si>
  <si>
    <t>TEST</t>
  </si>
  <si>
    <t>https://atb.nrel.gov/electricity/2021/commercial_pv</t>
  </si>
  <si>
    <t>Inputs</t>
  </si>
  <si>
    <t xml:space="preserve">Take me to: </t>
  </si>
  <si>
    <t>Calculated</t>
  </si>
  <si>
    <t>X</t>
  </si>
  <si>
    <t>Assumptions</t>
  </si>
  <si>
    <t>Technology</t>
  </si>
  <si>
    <t>Basis Year:</t>
  </si>
  <si>
    <t>All values are given in 2019 U.S. dollars, using the Consumer Price Index (BLS, 2020) for dollar year conversions. Projections use an inflation assumption of 2.5% per year.</t>
  </si>
  <si>
    <t>Commercial Solar Photovoltaic</t>
  </si>
  <si>
    <t>Representative Dist. Commercial system is fixed-tilt roof mounted with capacity of 300 kW</t>
  </si>
  <si>
    <t>Capacity factors chosen here to reflect range across the continental U.S. using NREL PVWATTS</t>
  </si>
  <si>
    <t>Available</t>
  </si>
  <si>
    <t>Capacity</t>
  </si>
  <si>
    <t>Generation</t>
  </si>
  <si>
    <t>(GW)</t>
  </si>
  <si>
    <t>(GWh)</t>
  </si>
  <si>
    <t>ATB values reflect annual average capacity factor over life of plant including estimated degradation, starting at  0.7% per year, reducing to 0.2%, 0.5%,  and 0.5% annual degradation by 2050 for the advanced, moderate, and conservative scenarios, respectively. Capacity factors also assume an energy yield gain at the module of 10%, 5%, and 2.5% for advanced, moderate, and conservatives scenarios.</t>
  </si>
  <si>
    <t>Finance</t>
  </si>
  <si>
    <t>Financial Assumptions:</t>
  </si>
  <si>
    <t>Inflation Rate</t>
  </si>
  <si>
    <t>Capital Recovery Period (Years)</t>
  </si>
  <si>
    <t>Interest Rate Nominal - Moderate</t>
  </si>
  <si>
    <t>Calculated Interest Rate Real - Moderate</t>
  </si>
  <si>
    <t>Interest During Construction  - Nominal</t>
  </si>
  <si>
    <t>Rate of Return on Equity Nominal - Moderate</t>
  </si>
  <si>
    <t xml:space="preserve"> </t>
  </si>
  <si>
    <t>Calculated Rate of Return on Equity Real - Moderate</t>
  </si>
  <si>
    <t>Debt Fraction - Moderate</t>
  </si>
  <si>
    <t>Tax Rate (Federal and State)</t>
  </si>
  <si>
    <t>WACC Nominal - Moderate</t>
  </si>
  <si>
    <t>WACC Real - Moderate</t>
  </si>
  <si>
    <t>Depreciation Period</t>
  </si>
  <si>
    <t>Construction Finance Factor</t>
  </si>
  <si>
    <t>Present Value of Depreciation</t>
  </si>
  <si>
    <t>Project Finance Factor</t>
  </si>
  <si>
    <t>Capital Recovery Factor (CRF) Nominal - Moderate</t>
  </si>
  <si>
    <t>Capital Recovery Factor (CRF) Real - Moderate</t>
  </si>
  <si>
    <t>Equity Premium During Construction</t>
  </si>
  <si>
    <t>Cost of equity during construction</t>
  </si>
  <si>
    <t>Construction Duration yrs</t>
  </si>
  <si>
    <t>Year</t>
  </si>
  <si>
    <t>Capital</t>
  </si>
  <si>
    <t>Accumulated</t>
  </si>
  <si>
    <t>Percent of Leverage During Construction</t>
  </si>
  <si>
    <t>Percent of Equity During Construction</t>
  </si>
  <si>
    <t>Accumulated Equity Cost</t>
  </si>
  <si>
    <t>Index</t>
  </si>
  <si>
    <t>Fraction</t>
  </si>
  <si>
    <t>Interest</t>
  </si>
  <si>
    <t>MACRS yr</t>
  </si>
  <si>
    <t>Depreciation</t>
  </si>
  <si>
    <t>Factor</t>
  </si>
  <si>
    <t>Base Year</t>
  </si>
  <si>
    <t>Interest Rate Nominal - Advanced</t>
  </si>
  <si>
    <t>Interest Rate Nominal - Conservative</t>
  </si>
  <si>
    <t>Calculated Interest Rate Real - Advanced</t>
  </si>
  <si>
    <t>Calculated Interest Rate Real - Conservative</t>
  </si>
  <si>
    <t>Rate of Return on Equity Nominal - Advanced</t>
  </si>
  <si>
    <t>Rate of Return on Equity Nominal - Conservative</t>
  </si>
  <si>
    <t>Calculated Rate of Return on Equity Real - Advanced</t>
  </si>
  <si>
    <t>Calculated Rate of Return on Equity Real - Conservative</t>
  </si>
  <si>
    <t>Debt Fraction - Advanced</t>
  </si>
  <si>
    <t>Debt Fraction - Conservative</t>
  </si>
  <si>
    <t>WACC Nominal - Advanced</t>
  </si>
  <si>
    <t>WACC Nominal - Conservative</t>
  </si>
  <si>
    <t>WACC Real - Advanced</t>
  </si>
  <si>
    <t>WACC Real - Conservative</t>
  </si>
  <si>
    <t>Capital Recovery Factor (CRF) Nominal - Advanced</t>
  </si>
  <si>
    <t>Capital Recovery Factor (CRF) Nominal - Conservative</t>
  </si>
  <si>
    <t>Capital Recovery Factor (CRF) Real - Advanced</t>
  </si>
  <si>
    <t>Capital Recovery Factor (CRF) Real - Conservative</t>
  </si>
  <si>
    <t>Future Projections</t>
  </si>
  <si>
    <t>Basis Year</t>
  </si>
  <si>
    <t>Techno-Economic Cost and Performance Parameters</t>
  </si>
  <si>
    <t>Net Capacity Factor (%)</t>
  </si>
  <si>
    <t>Commercial PV - Class 10 - Advanced</t>
  </si>
  <si>
    <t>Commercial PV - Class 10 - Moderate</t>
  </si>
  <si>
    <t>Commercial PV - Class 10 - Conservative</t>
  </si>
  <si>
    <t>Commercial PV - Class 9 - Advanced</t>
  </si>
  <si>
    <t>Commercial PV - Class 9 - Moderate</t>
  </si>
  <si>
    <t>Commercial PV - Class 9 - Conservative</t>
  </si>
  <si>
    <t>Commercial PV - Class 8 - Advanced</t>
  </si>
  <si>
    <t>Commercial PV - Class 8 - Moderate</t>
  </si>
  <si>
    <t>Commercial PV - Class 8 - Conservative</t>
  </si>
  <si>
    <t>Commercial PV - Class 7 - Advanced</t>
  </si>
  <si>
    <t>Commercial PV - Class 7 - Moderate</t>
  </si>
  <si>
    <t>Commercial PV - Class 7 - Conservative</t>
  </si>
  <si>
    <t>Commercial PV - Class 6 - Advanced</t>
  </si>
  <si>
    <t>Commercial PV - Class 6 - Moderate</t>
  </si>
  <si>
    <t>Commercial PV - Class 6 - Conservative</t>
  </si>
  <si>
    <t>Commercial PV - Class 5 - Advanced</t>
  </si>
  <si>
    <t>Commercial PV - Class 5 - Moderate</t>
  </si>
  <si>
    <t>Commercial PV - Class 5 - Conservative</t>
  </si>
  <si>
    <t>Commercial PV - Class 4 - Advanced</t>
  </si>
  <si>
    <t>Commercial PV - Class 4 - Moderate</t>
  </si>
  <si>
    <t>Commercial PV - Class 4 - Conservative</t>
  </si>
  <si>
    <t>Commercial PV - Class 3 - Advanced</t>
  </si>
  <si>
    <t>Commercial PV - Class 3 - Moderate</t>
  </si>
  <si>
    <t>Commercial PV - Class 3 - Conservative</t>
  </si>
  <si>
    <t>Commercial PV - Class 2 - Advanced</t>
  </si>
  <si>
    <t>Commercial PV - Class 2 - Moderate</t>
  </si>
  <si>
    <t>Commercial PV - Class 2 - Conservative</t>
  </si>
  <si>
    <t>Commercial PV - Class 1 - Advanced</t>
  </si>
  <si>
    <t>Commercial PV - Class 1 - Moderate</t>
  </si>
  <si>
    <t>Commercial PV - Class 1 - Conservative</t>
  </si>
  <si>
    <t>Annual Energy Production (kWh/kW)</t>
  </si>
  <si>
    <t>CAPEX ($/kW)</t>
  </si>
  <si>
    <t>Fixed Operation and Maintenance Expenses ($/kW-yr)</t>
  </si>
  <si>
    <t>Variable Operation and Maintenance Expenses ($/MWh)</t>
  </si>
  <si>
    <t>Weighted Average Cost of Capital (WACC) (Nominal) (%)</t>
  </si>
  <si>
    <t>Grid Connection Costs</t>
  </si>
  <si>
    <t>Grid Connection Costs (GCC) ($/kW)</t>
  </si>
  <si>
    <t>LCOE</t>
  </si>
  <si>
    <t>Levelized Cost of Energy ($/MWh)</t>
  </si>
  <si>
    <t>Additional Factors</t>
  </si>
  <si>
    <t>Tax Credit</t>
  </si>
  <si>
    <t>10 year CRF - Advanced</t>
  </si>
  <si>
    <t>10 year CRF - Moderate</t>
  </si>
  <si>
    <t>10 year CRF - Conservative</t>
  </si>
  <si>
    <t>ITC Schedule</t>
  </si>
  <si>
    <t>PVD - Advanced</t>
  </si>
  <si>
    <t>PVD - Moderate</t>
  </si>
  <si>
    <t>PVD - Conservative</t>
  </si>
  <si>
    <t>PFF - Advanced</t>
  </si>
  <si>
    <t>PFF - Moderate</t>
  </si>
  <si>
    <t>PFF - Conservative</t>
  </si>
  <si>
    <t>MACRS</t>
  </si>
  <si>
    <t>Year (Advanced)</t>
  </si>
  <si>
    <t>Depreciation Factor</t>
  </si>
  <si>
    <t>Year (Moderate)</t>
  </si>
  <si>
    <t>Year (Conservative)</t>
  </si>
  <si>
    <t>Tariff Schedule</t>
  </si>
  <si>
    <t>Tarriff Schedule ($/Wdc)</t>
  </si>
  <si>
    <t>Data Sources for Default Inputs</t>
  </si>
  <si>
    <t>Current Costs:</t>
  </si>
  <si>
    <t>Available Capacity (GW)</t>
  </si>
  <si>
    <t xml:space="preserve">Pieter Gagnon, Robert Margolis, Jennifer Melius, Caleb Phillips, Ryan Elmore. (2016). </t>
  </si>
  <si>
    <t>NREL. PVWATTS v5. Representative of national range of capacity factors.</t>
  </si>
  <si>
    <t>D.Feldman, Fu, R., A. Ramdas, J. Desai, and R. Margolis. 2021.</t>
  </si>
  <si>
    <t xml:space="preserve"> U.S. Solar Photovoltaic System and Energy Storage Cost Benchmark: Q1 2020. Golden, CO: National Renewable Energy Laboratory</t>
  </si>
  <si>
    <t>Fixed Operating Expenses ($/kW-yr)</t>
  </si>
  <si>
    <t xml:space="preserve">D.Feldman, Fu, R., A. Ramdas, J. Desai, and R. Margolis. 2021. </t>
  </si>
  <si>
    <t>U.S. Solar Photovoltaic System and Energy Storage Cost Benchmark: Q1 2020. Golden, CO: National Renewable Energy Laboratory</t>
  </si>
  <si>
    <t>Variable Operating Expenses ($/MWh)</t>
  </si>
  <si>
    <t>N/A</t>
  </si>
  <si>
    <t>Grid Feature Cost ($/kW)</t>
  </si>
  <si>
    <t>Spur Line Cost ($/kW)</t>
  </si>
  <si>
    <t>Future Projections Costs:</t>
  </si>
  <si>
    <t>NREL internal modeling taking into account improvements in degradation and increases in energy yield.  See accompanying ATB presentation for more information.</t>
  </si>
  <si>
    <t>NREL internal modeling  See accompanying ATB presentation for more information.</t>
  </si>
  <si>
    <t>Grid Connection Cost ($/kW)</t>
  </si>
  <si>
    <t>2019$/kw</t>
  </si>
  <si>
    <t>2012$/kw</t>
  </si>
  <si>
    <t>2019 to 2012</t>
  </si>
  <si>
    <t>U.S. Solar Photovoltaic System and Energy Storage Cost Benchmarks: Q1 2021. Golden, CO: National Renewable Energy Laboratory</t>
  </si>
  <si>
    <t>V. Ramasamy, D. Feldman, J. Desai, and R. Margolis. 2021.</t>
  </si>
  <si>
    <t>Conservative</t>
  </si>
  <si>
    <t>Accumulated Equity Cost - Year 3</t>
  </si>
  <si>
    <t>Accumulated Equity Cost - Year 2</t>
  </si>
  <si>
    <t>Accumulated Equity Cost - Year 1</t>
  </si>
  <si>
    <t>Moderate</t>
  </si>
  <si>
    <t>Advanced</t>
  </si>
  <si>
    <t>*</t>
  </si>
  <si>
    <t>Accumulated Interest - Year 3</t>
  </si>
  <si>
    <t>Accumulated Interest - Year 2</t>
  </si>
  <si>
    <t>Accumulated Interest - Year 1</t>
  </si>
  <si>
    <t>CFF</t>
  </si>
  <si>
    <t>PFF</t>
  </si>
  <si>
    <t>PVD</t>
  </si>
  <si>
    <t>10 year CRF</t>
  </si>
  <si>
    <t>Commercial PV - Class 1</t>
  </si>
  <si>
    <t>Commercial PV - Class 2</t>
  </si>
  <si>
    <t>Commercial PV - Class 3</t>
  </si>
  <si>
    <t>Commercial PV - Class 4</t>
  </si>
  <si>
    <t>Commercial PV - Class 5</t>
  </si>
  <si>
    <t>Commercial PV - Class 6</t>
  </si>
  <si>
    <t>Commercial PV - Class 7</t>
  </si>
  <si>
    <t>Commercial PV - Class 8</t>
  </si>
  <si>
    <t>Commercial PV - Class 9</t>
  </si>
  <si>
    <t>Commercial PV - Class 10</t>
  </si>
  <si>
    <t>Capital Recovery Factor (CRF) Real</t>
  </si>
  <si>
    <t>Capital Recovery Factor (CRF) Nominal</t>
  </si>
  <si>
    <t>WACC Real</t>
  </si>
  <si>
    <t>WACC Nominal</t>
  </si>
  <si>
    <t>Debt Fraction</t>
  </si>
  <si>
    <t>Calculated Rate of Return on Equity Real</t>
  </si>
  <si>
    <t>Rate of Return on Equity Nominal</t>
  </si>
  <si>
    <t>Interest During Construction - Nominal</t>
  </si>
  <si>
    <t>Calculated Interest Rate Real</t>
  </si>
  <si>
    <t>Interest Rate Nominal</t>
  </si>
  <si>
    <t>Capital Recovery Period</t>
  </si>
  <si>
    <t>Financial Case</t>
  </si>
  <si>
    <t>Capacity factors chosen here to reflect range across the continental U.S. using NREL PVWATTS.</t>
  </si>
  <si>
    <t>Representative Dist. Commercial system is fixed-tilt roof mounted with capacity of 200 kW</t>
  </si>
  <si>
    <t>All values are given in 2020 U.S. dollars, using the Consumer Price Index (BLS, 2021) for dollar year conversions where source dollar years don't match 2020.</t>
  </si>
  <si>
    <t>Base Year:</t>
  </si>
  <si>
    <t>Input from other tab</t>
  </si>
  <si>
    <t>https://atb.nrel.gov/electricity/2022/commercial_pv</t>
  </si>
  <si>
    <t xml:space="preserve">Solar Distributed Commercial PV </t>
  </si>
  <si>
    <t>2020, 2022</t>
  </si>
  <si>
    <t>Annual Technology Baseline 2020, Annual Technology Baseline 2022</t>
  </si>
  <si>
    <t>"Solar - PV Dist. Comm" tab</t>
  </si>
  <si>
    <t>2020 to 2012</t>
  </si>
  <si>
    <t>Growth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</si>
</sst>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5" formatCode="&quot;$&quot;#,##0_);\(&quot;$&quot;#,##0\)"/>
    <numFmt numFmtId="7" formatCode="&quot;$&quot;#,##0.00_);\(&quot;$&quot;#,##0.00\)"/>
    <numFmt numFmtId="8" formatCode="&quot;$&quot;#,##0.00_);[Red]\(&quot;$&quot;#,##0.00\)"/>
    <numFmt numFmtId="164" formatCode="0.0%"/>
    <numFmt numFmtId="165" formatCode="0.000%"/>
    <numFmt numFmtId="166" formatCode="#,##0.000_);\(#,##0.000\)"/>
    <numFmt numFmtId="167" formatCode="#,##0.0000_);\(#,##0.0000\)"/>
    <numFmt numFmtId="168" formatCode="&quot;$&quot;#,##0"/>
    <numFmt numFmtId="169" formatCode="0.000"/>
    <numFmt numFmtId="170" formatCode="0.0000"/>
    <numFmt numFmtId="171" formatCode="#,##0.000"/>
    <numFmt numFmtId="172" formatCode="0.000000000"/>
  </numFmts>
  <fonts count="2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10"/>
      <color theme="4"/>
      <name val="Calibri"/>
      <family val="2"/>
      <scheme val="minor"/>
    </font>
    <font>
      <b/>
      <sz val="12"/>
      <color theme="4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"/>
      <family val="2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4"/>
      <color theme="1"/>
      <name val="Arial"/>
      <family val="2"/>
    </font>
    <font>
      <b/>
      <sz val="10"/>
      <color theme="1"/>
      <name val="Arial"/>
      <family val="2"/>
    </font>
    <font>
      <sz val="10"/>
      <color theme="0" tint="-0.14999847407452621"/>
      <name val="Arial"/>
      <family val="2"/>
    </font>
    <font>
      <b/>
      <sz val="10"/>
      <color theme="0"/>
      <name val="Arial"/>
      <family val="2"/>
    </font>
    <font>
      <sz val="10"/>
      <color rgb="FFFFFFFF"/>
      <name val="Arial"/>
      <family val="2"/>
    </font>
    <font>
      <sz val="10"/>
      <color rgb="FFFF0000"/>
      <name val="Arial"/>
      <family val="2"/>
    </font>
    <font>
      <sz val="9"/>
      <color theme="1"/>
      <name val="Arial"/>
      <family val="2"/>
    </font>
    <font>
      <sz val="10"/>
      <color rgb="FF000000"/>
      <name val="Arial"/>
      <family val="2"/>
    </font>
    <font>
      <i/>
      <sz val="8"/>
      <color theme="1"/>
      <name val="Arial"/>
      <family val="2"/>
    </font>
    <font>
      <i/>
      <sz val="10"/>
      <color theme="1"/>
      <name val="Arial"/>
      <family val="2"/>
    </font>
    <font>
      <sz val="10"/>
      <color theme="0"/>
      <name val="Arial"/>
      <family val="2"/>
    </font>
    <font>
      <b/>
      <sz val="10"/>
      <name val="Arial"/>
      <family val="2"/>
    </font>
    <font>
      <b/>
      <sz val="9"/>
      <color theme="1"/>
      <name val="Arial"/>
      <family val="2"/>
    </font>
    <font>
      <sz val="8"/>
      <color rgb="FF000000"/>
      <name val="Segoe UI"/>
      <charset val="1"/>
    </font>
  </fonts>
  <fills count="2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7BBD"/>
        <bgColor indexed="64"/>
      </patternFill>
    </fill>
    <fill>
      <patternFill patternType="solid">
        <fgColor rgb="FF0070C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A6A6A6"/>
        <bgColor indexed="64"/>
      </patternFill>
    </fill>
  </fills>
  <borders count="1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  <border>
      <left style="thick">
        <color theme="0"/>
      </left>
      <right style="thick">
        <color theme="0"/>
      </right>
      <top/>
      <bottom style="thin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thin">
        <color theme="4"/>
      </top>
      <bottom style="dashed">
        <color theme="0" tint="-0.24994659260841701"/>
      </bottom>
      <diagonal/>
    </border>
    <border>
      <left/>
      <right/>
      <top style="thin">
        <color theme="4"/>
      </top>
      <bottom style="thin">
        <color theme="0" tint="-0.24994659260841701"/>
      </bottom>
      <diagonal/>
    </border>
    <border>
      <left style="medium">
        <color theme="0" tint="-0.249977111117893"/>
      </left>
      <right/>
      <top/>
      <bottom style="medium">
        <color theme="0" tint="-0.24994659260841701"/>
      </bottom>
      <diagonal/>
    </border>
    <border>
      <left/>
      <right/>
      <top/>
      <bottom style="medium">
        <color theme="0" tint="-0.24994659260841701"/>
      </bottom>
      <diagonal/>
    </border>
    <border>
      <left/>
      <right style="medium">
        <color theme="0" tint="-0.249977111117893"/>
      </right>
      <top/>
      <bottom style="medium">
        <color theme="0" tint="-0.24994659260841701"/>
      </bottom>
      <diagonal/>
    </border>
    <border>
      <left style="medium">
        <color theme="0" tint="-0.249977111117893"/>
      </left>
      <right/>
      <top/>
      <bottom/>
      <diagonal/>
    </border>
    <border>
      <left/>
      <right style="medium">
        <color theme="0" tint="-0.249977111117893"/>
      </right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theme="0"/>
      </top>
      <bottom style="thin">
        <color auto="1"/>
      </bottom>
      <diagonal/>
    </border>
    <border>
      <left/>
      <right style="hair">
        <color theme="0" tint="-0.24994659260841701"/>
      </right>
      <top/>
      <bottom/>
      <diagonal/>
    </border>
    <border>
      <left style="hair">
        <color theme="0" tint="-0.24994659260841701"/>
      </left>
      <right/>
      <top/>
      <bottom/>
      <diagonal/>
    </border>
    <border>
      <left style="medium">
        <color theme="0" tint="-0.24994659260841701"/>
      </left>
      <right/>
      <top style="medium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/>
      <right/>
      <top style="medium">
        <color theme="0" tint="-0.24994659260841701"/>
      </top>
      <bottom style="medium">
        <color theme="0" tint="-0.24994659260841701"/>
      </bottom>
      <diagonal/>
    </border>
    <border>
      <left style="medium">
        <color theme="0" tint="-0.249977111117893"/>
      </left>
      <right/>
      <top style="medium">
        <color theme="0" tint="-0.24994659260841701"/>
      </top>
      <bottom/>
      <diagonal/>
    </border>
    <border>
      <left/>
      <right/>
      <top style="medium">
        <color theme="0" tint="-0.24994659260841701"/>
      </top>
      <bottom/>
      <diagonal/>
    </border>
    <border>
      <left/>
      <right style="medium">
        <color theme="0" tint="-0.249977111117893"/>
      </right>
      <top style="medium">
        <color theme="0" tint="-0.24994659260841701"/>
      </top>
      <bottom/>
      <diagonal/>
    </border>
    <border>
      <left style="medium">
        <color theme="0" tint="-0.249977111117893"/>
      </left>
      <right/>
      <top/>
      <bottom style="medium">
        <color theme="0" tint="-0.249977111117893"/>
      </bottom>
      <diagonal/>
    </border>
    <border>
      <left/>
      <right/>
      <top/>
      <bottom style="medium">
        <color theme="0" tint="-0.249977111117893"/>
      </bottom>
      <diagonal/>
    </border>
    <border>
      <left/>
      <right style="medium">
        <color theme="0" tint="-0.249977111117893"/>
      </right>
      <top/>
      <bottom style="medium">
        <color theme="0" tint="-0.249977111117893"/>
      </bottom>
      <diagonal/>
    </border>
    <border>
      <left style="medium">
        <color theme="0" tint="-0.249977111117893"/>
      </left>
      <right/>
      <top style="medium">
        <color theme="0" tint="-0.249977111117893"/>
      </top>
      <bottom/>
      <diagonal/>
    </border>
    <border>
      <left/>
      <right/>
      <top style="medium">
        <color theme="0" tint="-0.249977111117893"/>
      </top>
      <bottom/>
      <diagonal/>
    </border>
    <border>
      <left/>
      <right style="medium">
        <color theme="0" tint="-0.24994659260841701"/>
      </right>
      <top style="medium">
        <color theme="0" tint="-0.249977111117893"/>
      </top>
      <bottom/>
      <diagonal/>
    </border>
    <border>
      <left style="medium">
        <color theme="0" tint="-0.24994659260841701"/>
      </left>
      <right style="medium">
        <color theme="0" tint="-0.24994659260841701"/>
      </right>
      <top/>
      <bottom/>
      <diagonal/>
    </border>
    <border>
      <left style="medium">
        <color theme="0" tint="-0.24994659260841701"/>
      </left>
      <right style="medium">
        <color theme="0" tint="-0.249977111117893"/>
      </right>
      <top/>
      <bottom/>
      <diagonal/>
    </border>
    <border>
      <left/>
      <right style="medium">
        <color theme="0" tint="-0.24994659260841701"/>
      </right>
      <top/>
      <bottom/>
      <diagonal/>
    </border>
    <border>
      <left style="medium">
        <color theme="0" tint="-0.249977111117893"/>
      </left>
      <right style="medium">
        <color theme="0" tint="-0.249977111117893"/>
      </right>
      <top style="medium">
        <color theme="0" tint="-0.249977111117893"/>
      </top>
      <bottom style="medium">
        <color theme="0" tint="-0.249977111117893"/>
      </bottom>
      <diagonal/>
    </border>
    <border>
      <left/>
      <right style="medium">
        <color theme="0" tint="-0.249977111117893"/>
      </right>
      <top style="medium">
        <color theme="0" tint="-0.249977111117893"/>
      </top>
      <bottom/>
      <diagonal/>
    </border>
    <border>
      <left style="medium">
        <color theme="0" tint="-0.24994659260841701"/>
      </left>
      <right/>
      <top style="medium">
        <color theme="0" tint="-0.24994659260841701"/>
      </top>
      <bottom style="thin">
        <color auto="1"/>
      </bottom>
      <diagonal/>
    </border>
    <border>
      <left/>
      <right/>
      <top style="medium">
        <color theme="0" tint="-0.24994659260841701"/>
      </top>
      <bottom style="thin">
        <color auto="1"/>
      </bottom>
      <diagonal/>
    </border>
    <border>
      <left/>
      <right style="medium">
        <color theme="0" tint="-0.24994659260841701"/>
      </right>
      <top style="medium">
        <color theme="0" tint="-0.24994659260841701"/>
      </top>
      <bottom style="thin">
        <color auto="1"/>
      </bottom>
      <diagonal/>
    </border>
    <border>
      <left style="medium">
        <color theme="0" tint="-0.24994659260841701"/>
      </left>
      <right/>
      <top style="thin">
        <color auto="1"/>
      </top>
      <bottom style="thin">
        <color theme="0" tint="-0.14996795556505021"/>
      </bottom>
      <diagonal/>
    </border>
    <border>
      <left/>
      <right/>
      <top style="thin">
        <color auto="1"/>
      </top>
      <bottom style="thin">
        <color theme="0" tint="-0.14996795556505021"/>
      </bottom>
      <diagonal/>
    </border>
    <border>
      <left/>
      <right style="medium">
        <color theme="0" tint="-0.24994659260841701"/>
      </right>
      <top style="thin">
        <color auto="1"/>
      </top>
      <bottom style="thin">
        <color theme="0"/>
      </bottom>
      <diagonal/>
    </border>
    <border>
      <left style="medium">
        <color theme="0" tint="-0.2499465926084170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medium">
        <color theme="0" tint="-0.24994659260841701"/>
      </right>
      <top style="thin">
        <color theme="0"/>
      </top>
      <bottom style="thin">
        <color theme="0"/>
      </bottom>
      <diagonal/>
    </border>
    <border>
      <left style="medium">
        <color rgb="FFBFBFBF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theme="0" tint="-0.24994659260841701"/>
      </left>
      <right/>
      <top style="thin">
        <color theme="0" tint="-0.14996795556505021"/>
      </top>
      <bottom style="medium">
        <color theme="0" tint="-0.24994659260841701"/>
      </bottom>
      <diagonal/>
    </border>
    <border>
      <left/>
      <right/>
      <top style="thin">
        <color theme="0" tint="-0.1499679555650502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/>
      </top>
      <bottom style="medium">
        <color theme="0" tint="-0.24994659260841701"/>
      </bottom>
      <diagonal/>
    </border>
    <border>
      <left style="medium">
        <color theme="0" tint="-0.24994659260841701"/>
      </left>
      <right/>
      <top style="thin">
        <color auto="1"/>
      </top>
      <bottom/>
      <diagonal/>
    </border>
    <border>
      <left/>
      <right style="medium">
        <color theme="0" tint="-0.2499465926084170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theme="0" tint="-0.2499465926084170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theme="0" tint="-0.24994659260841701"/>
      </left>
      <right/>
      <top style="medium">
        <color theme="0" tint="-0.24994659260841701"/>
      </top>
      <bottom/>
      <diagonal/>
    </border>
    <border>
      <left/>
      <right style="medium">
        <color theme="0" tint="-0.24994659260841701"/>
      </right>
      <top style="medium">
        <color theme="0" tint="-0.24994659260841701"/>
      </top>
      <bottom/>
      <diagonal/>
    </border>
    <border>
      <left style="medium">
        <color theme="0" tint="-0.2499465926084170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theme="0"/>
      </right>
      <top style="thin">
        <color auto="1"/>
      </top>
      <bottom/>
      <diagonal/>
    </border>
    <border>
      <left style="thin">
        <color theme="0"/>
      </left>
      <right style="thin">
        <color theme="0"/>
      </right>
      <top style="thin">
        <color auto="1"/>
      </top>
      <bottom/>
      <diagonal/>
    </border>
    <border>
      <left style="thin">
        <color theme="0"/>
      </left>
      <right style="medium">
        <color theme="0" tint="-0.2499465926084170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theme="0"/>
      </bottom>
      <diagonal/>
    </border>
    <border>
      <left style="medium">
        <color theme="0" tint="-0.24994659260841701"/>
      </left>
      <right/>
      <top/>
      <bottom style="medium">
        <color theme="0" tint="-0.24994659260841701"/>
      </bottom>
      <diagonal/>
    </border>
    <border>
      <left/>
      <right style="thin">
        <color theme="0"/>
      </right>
      <top/>
      <bottom style="medium">
        <color theme="0" tint="-0.24994659260841701"/>
      </bottom>
      <diagonal/>
    </border>
    <border>
      <left style="thin">
        <color theme="0"/>
      </left>
      <right style="medium">
        <color theme="0" tint="-0.24994659260841701"/>
      </right>
      <top/>
      <bottom style="medium">
        <color theme="0" tint="-0.24994659260841701"/>
      </bottom>
      <diagonal/>
    </border>
    <border>
      <left style="medium">
        <color theme="0" tint="-0.24994659260841701"/>
      </left>
      <right/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medium">
        <color theme="0" tint="-0.24994659260841701"/>
      </top>
      <bottom/>
      <diagonal/>
    </border>
    <border>
      <left style="medium">
        <color theme="0" tint="-0.24994659260841701"/>
      </left>
      <right/>
      <top style="thin">
        <color theme="0"/>
      </top>
      <bottom style="medium">
        <color theme="0" tint="-0.24994659260841701"/>
      </bottom>
      <diagonal/>
    </border>
    <border>
      <left/>
      <right/>
      <top style="thin">
        <color theme="0"/>
      </top>
      <bottom style="medium">
        <color theme="0" tint="-0.24994659260841701"/>
      </bottom>
      <diagonal/>
    </border>
    <border>
      <left style="hair">
        <color theme="0" tint="-0.24994659260841701"/>
      </left>
      <right/>
      <top/>
      <bottom style="hair">
        <color theme="0" tint="-0.24994659260841701"/>
      </bottom>
      <diagonal/>
    </border>
    <border>
      <left/>
      <right/>
      <top/>
      <bottom style="hair">
        <color theme="0" tint="-0.24994659260841701"/>
      </bottom>
      <diagonal/>
    </border>
    <border>
      <left/>
      <right style="hair">
        <color theme="0" tint="-0.24994659260841701"/>
      </right>
      <top/>
      <bottom style="hair">
        <color theme="0" tint="-0.24994659260841701"/>
      </bottom>
      <diagonal/>
    </border>
    <border>
      <left style="hair">
        <color theme="0" tint="-0.24994659260841701"/>
      </left>
      <right/>
      <top style="hair">
        <color theme="0" tint="-0.24994659260841701"/>
      </top>
      <bottom/>
      <diagonal/>
    </border>
    <border>
      <left/>
      <right/>
      <top style="hair">
        <color theme="0" tint="-0.24994659260841701"/>
      </top>
      <bottom/>
      <diagonal/>
    </border>
    <border>
      <left style="thin">
        <color theme="0" tint="-0.14996795556505021"/>
      </left>
      <right/>
      <top style="thin">
        <color theme="0" tint="-0.14996795556505021"/>
      </top>
      <bottom/>
      <diagonal/>
    </border>
    <border>
      <left/>
      <right/>
      <top style="thin">
        <color theme="0" tint="-0.14996795556505021"/>
      </top>
      <bottom/>
      <diagonal/>
    </border>
    <border>
      <left/>
      <right/>
      <top style="thin">
        <color theme="0" tint="-0.14996795556505021"/>
      </top>
      <bottom style="thin">
        <color theme="0"/>
      </bottom>
      <diagonal/>
    </border>
    <border>
      <left/>
      <right style="hair">
        <color theme="0" tint="-0.24994659260841701"/>
      </right>
      <top style="thin">
        <color theme="0" tint="-0.14996795556505021"/>
      </top>
      <bottom style="thin">
        <color theme="0"/>
      </bottom>
      <diagonal/>
    </border>
    <border>
      <left style="thin">
        <color theme="0" tint="-0.14996795556505021"/>
      </left>
      <right/>
      <top/>
      <bottom/>
      <diagonal/>
    </border>
    <border>
      <left/>
      <right style="hair">
        <color theme="0" tint="-0.24994659260841701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theme="0" tint="-0.14996795556505021"/>
      </bottom>
      <diagonal/>
    </border>
    <border>
      <left/>
      <right/>
      <top style="thin">
        <color theme="0"/>
      </top>
      <bottom style="thick">
        <color theme="0"/>
      </bottom>
      <diagonal/>
    </border>
    <border>
      <left/>
      <right style="hair">
        <color theme="0" tint="-0.24994659260841701"/>
      </right>
      <top style="thin">
        <color theme="0"/>
      </top>
      <bottom style="thick">
        <color theme="0"/>
      </bottom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/>
      <right/>
      <top style="thick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 tint="-0.14996795556505021"/>
      </bottom>
      <diagonal/>
    </border>
    <border>
      <left/>
      <right/>
      <top/>
      <bottom style="mediumDashed">
        <color theme="0" tint="-0.24994659260841701"/>
      </bottom>
      <diagonal/>
    </border>
    <border>
      <left/>
      <right/>
      <top style="mediumDashed">
        <color theme="0" tint="-0.2499465926084170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hair">
        <color rgb="FFA6A6A6"/>
      </right>
      <top/>
      <bottom/>
      <diagonal/>
    </border>
    <border>
      <left/>
      <right style="medium">
        <color rgb="FFBFBFBF"/>
      </right>
      <top style="thin">
        <color theme="0"/>
      </top>
      <bottom style="medium">
        <color theme="0" tint="-0.24994659260841701"/>
      </bottom>
      <diagonal/>
    </border>
    <border>
      <left/>
      <right style="medium">
        <color rgb="FFBFBFBF"/>
      </right>
      <top style="thin">
        <color theme="0"/>
      </top>
      <bottom style="thin">
        <color theme="0"/>
      </bottom>
      <diagonal/>
    </border>
    <border>
      <left/>
      <right style="medium">
        <color rgb="FFBFBFBF"/>
      </right>
      <top style="thin">
        <color auto="1"/>
      </top>
      <bottom style="thin">
        <color theme="0"/>
      </bottom>
      <diagonal/>
    </border>
    <border>
      <left/>
      <right style="medium">
        <color rgb="FFBFBFBF"/>
      </right>
      <top/>
      <bottom style="thin">
        <color auto="1"/>
      </bottom>
      <diagonal/>
    </border>
    <border>
      <left style="medium">
        <color theme="0" tint="-0.24994659260841701"/>
      </left>
      <right style="medium">
        <color rgb="FFBFBFBF"/>
      </right>
      <top/>
      <bottom style="thin">
        <color auto="1"/>
      </bottom>
      <diagonal/>
    </border>
    <border>
      <left/>
      <right style="medium">
        <color rgb="FFBFBFBF"/>
      </right>
      <top/>
      <bottom/>
      <diagonal/>
    </border>
    <border>
      <left style="medium">
        <color theme="0" tint="-0.24994659260841701"/>
      </left>
      <right style="medium">
        <color rgb="FFBFBFBF"/>
      </right>
      <top/>
      <bottom/>
      <diagonal/>
    </border>
    <border>
      <left style="medium">
        <color rgb="FFBFBFBF"/>
      </left>
      <right/>
      <top style="thin">
        <color auto="1"/>
      </top>
      <bottom/>
      <diagonal/>
    </border>
    <border>
      <left/>
      <right style="medium">
        <color rgb="FFBFBFBF"/>
      </right>
      <top style="thin">
        <color auto="1"/>
      </top>
      <bottom/>
      <diagonal/>
    </border>
    <border>
      <left style="medium">
        <color theme="0" tint="-0.24994659260841701"/>
      </left>
      <right style="medium">
        <color rgb="FFBFBFBF"/>
      </right>
      <top style="thin">
        <color auto="1"/>
      </top>
      <bottom/>
      <diagonal/>
    </border>
    <border>
      <left/>
      <right/>
      <top style="thin">
        <color theme="0" tint="-0.14996795556505021"/>
      </top>
      <bottom style="medium">
        <color rgb="FFBFBFBF"/>
      </bottom>
      <diagonal/>
    </border>
    <border>
      <left/>
      <right/>
      <top/>
      <bottom style="medium">
        <color rgb="FFBFBFBF"/>
      </bottom>
      <diagonal/>
    </border>
    <border>
      <left style="medium">
        <color rgb="FFBFBFBF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4">
    <xf numFmtId="0" fontId="0" fillId="0" borderId="0"/>
    <xf numFmtId="0" fontId="2" fillId="0" borderId="2" applyNumberFormat="0" applyFont="0" applyProtection="0">
      <alignment wrapText="1"/>
    </xf>
    <xf numFmtId="0" fontId="2" fillId="0" borderId="0" applyNumberFormat="0" applyFill="0" applyBorder="0" applyAlignment="0" applyProtection="0"/>
    <xf numFmtId="0" fontId="2" fillId="0" borderId="0" applyNumberFormat="0" applyProtection="0">
      <alignment vertical="top" wrapText="1"/>
    </xf>
    <xf numFmtId="0" fontId="2" fillId="0" borderId="3" applyNumberFormat="0" applyProtection="0">
      <alignment vertical="top" wrapText="1"/>
    </xf>
    <xf numFmtId="0" fontId="3" fillId="0" borderId="1" applyNumberFormat="0" applyProtection="0">
      <alignment wrapText="1"/>
    </xf>
    <xf numFmtId="0" fontId="3" fillId="0" borderId="4" applyNumberFormat="0" applyProtection="0">
      <alignment horizontal="left" wrapText="1"/>
    </xf>
    <xf numFmtId="0" fontId="4" fillId="0" borderId="0" applyNumberFormat="0" applyFill="0" applyBorder="0" applyAlignment="0" applyProtection="0">
      <alignment vertical="top"/>
      <protection locked="0"/>
    </xf>
    <xf numFmtId="0" fontId="3" fillId="0" borderId="5" applyNumberFormat="0" applyProtection="0">
      <alignment wrapText="1"/>
    </xf>
    <xf numFmtId="0" fontId="2" fillId="0" borderId="6" applyNumberFormat="0" applyFont="0" applyFill="0" applyProtection="0">
      <alignment wrapText="1"/>
    </xf>
    <xf numFmtId="0" fontId="3" fillId="0" borderId="7" applyNumberFormat="0" applyFill="0" applyProtection="0">
      <alignment wrapText="1"/>
    </xf>
    <xf numFmtId="0" fontId="5" fillId="0" borderId="0" applyNumberFormat="0" applyProtection="0">
      <alignment horizontal="left"/>
    </xf>
    <xf numFmtId="0" fontId="6" fillId="0" borderId="0" applyNumberFormat="0" applyFill="0" applyBorder="0" applyAlignment="0" applyProtection="0"/>
    <xf numFmtId="9" fontId="9" fillId="0" borderId="0" applyFont="0" applyFill="0" applyBorder="0" applyAlignment="0" applyProtection="0"/>
  </cellStyleXfs>
  <cellXfs count="315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1" fillId="2" borderId="0" xfId="0" applyFont="1" applyFill="1" applyAlignment="1">
      <alignment horizontal="left"/>
    </xf>
    <xf numFmtId="0" fontId="6" fillId="0" borderId="0" xfId="12" applyAlignment="1">
      <alignment horizontal="left"/>
    </xf>
    <xf numFmtId="0" fontId="1" fillId="2" borderId="0" xfId="0" applyFont="1" applyFill="1"/>
    <xf numFmtId="8" fontId="0" fillId="0" borderId="0" xfId="0" applyNumberFormat="1"/>
    <xf numFmtId="1" fontId="0" fillId="0" borderId="0" xfId="0" applyNumberFormat="1"/>
    <xf numFmtId="0" fontId="7" fillId="0" borderId="0" xfId="0" applyFont="1" applyAlignment="1">
      <alignment horizontal="left"/>
    </xf>
    <xf numFmtId="0" fontId="1" fillId="3" borderId="0" xfId="0" applyFont="1" applyFill="1"/>
    <xf numFmtId="0" fontId="1" fillId="0" borderId="0" xfId="0" applyFont="1" applyAlignment="1">
      <alignment horizontal="right"/>
    </xf>
    <xf numFmtId="9" fontId="0" fillId="0" borderId="0" xfId="0" applyNumberFormat="1"/>
    <xf numFmtId="9" fontId="0" fillId="4" borderId="0" xfId="0" applyNumberFormat="1" applyFill="1"/>
    <xf numFmtId="0" fontId="6" fillId="0" borderId="0" xfId="12"/>
    <xf numFmtId="0" fontId="8" fillId="0" borderId="0" xfId="0" applyFont="1"/>
    <xf numFmtId="0" fontId="13" fillId="0" borderId="13" xfId="0" applyFont="1" applyBorder="1"/>
    <xf numFmtId="0" fontId="7" fillId="0" borderId="0" xfId="0" applyFont="1"/>
    <xf numFmtId="0" fontId="7" fillId="0" borderId="14" xfId="0" applyFont="1" applyBorder="1"/>
    <xf numFmtId="0" fontId="7" fillId="5" borderId="15" xfId="0" applyFont="1" applyFill="1" applyBorder="1" applyAlignment="1">
      <alignment horizontal="center"/>
    </xf>
    <xf numFmtId="0" fontId="14" fillId="0" borderId="0" xfId="0" applyFont="1"/>
    <xf numFmtId="0" fontId="7" fillId="6" borderId="16" xfId="0" applyFont="1" applyFill="1" applyBorder="1" applyAlignment="1">
      <alignment horizontal="center"/>
    </xf>
    <xf numFmtId="0" fontId="15" fillId="0" borderId="0" xfId="0" applyFont="1"/>
    <xf numFmtId="0" fontId="7" fillId="0" borderId="18" xfId="0" applyFont="1" applyBorder="1"/>
    <xf numFmtId="0" fontId="7" fillId="0" borderId="19" xfId="0" applyFont="1" applyBorder="1"/>
    <xf numFmtId="0" fontId="7" fillId="0" borderId="20" xfId="0" applyFont="1" applyBorder="1"/>
    <xf numFmtId="0" fontId="17" fillId="9" borderId="19" xfId="0" applyFont="1" applyFill="1" applyBorder="1" applyAlignment="1">
      <alignment horizontal="center"/>
    </xf>
    <xf numFmtId="0" fontId="17" fillId="9" borderId="21" xfId="0" applyFont="1" applyFill="1" applyBorder="1" applyAlignment="1">
      <alignment horizontal="center"/>
    </xf>
    <xf numFmtId="0" fontId="17" fillId="9" borderId="20" xfId="0" applyFont="1" applyFill="1" applyBorder="1" applyAlignment="1">
      <alignment horizontal="center"/>
    </xf>
    <xf numFmtId="0" fontId="7" fillId="0" borderId="17" xfId="0" applyFont="1" applyBorder="1"/>
    <xf numFmtId="0" fontId="14" fillId="6" borderId="8" xfId="0" applyFont="1" applyFill="1" applyBorder="1" applyAlignment="1">
      <alignment horizontal="left"/>
    </xf>
    <xf numFmtId="0" fontId="14" fillId="6" borderId="9" xfId="0" applyFont="1" applyFill="1" applyBorder="1" applyAlignment="1">
      <alignment horizontal="center"/>
    </xf>
    <xf numFmtId="0" fontId="14" fillId="6" borderId="10" xfId="0" applyFont="1" applyFill="1" applyBorder="1" applyAlignment="1">
      <alignment horizontal="center"/>
    </xf>
    <xf numFmtId="49" fontId="18" fillId="0" borderId="0" xfId="0" applyNumberFormat="1" applyFont="1" applyAlignment="1">
      <alignment wrapText="1"/>
    </xf>
    <xf numFmtId="49" fontId="0" fillId="0" borderId="0" xfId="0" applyNumberFormat="1" applyAlignment="1">
      <alignment wrapText="1"/>
    </xf>
    <xf numFmtId="0" fontId="14" fillId="6" borderId="8" xfId="0" applyFont="1" applyFill="1" applyBorder="1" applyAlignment="1">
      <alignment horizontal="center"/>
    </xf>
    <xf numFmtId="164" fontId="0" fillId="0" borderId="0" xfId="0" applyNumberFormat="1"/>
    <xf numFmtId="0" fontId="7" fillId="0" borderId="0" xfId="0" applyFont="1" applyAlignment="1">
      <alignment wrapText="1"/>
    </xf>
    <xf numFmtId="0" fontId="7" fillId="0" borderId="11" xfId="0" applyFont="1" applyBorder="1" applyAlignment="1">
      <alignment horizontal="left" wrapText="1"/>
    </xf>
    <xf numFmtId="0" fontId="7" fillId="0" borderId="0" xfId="0" applyFont="1" applyAlignment="1">
      <alignment horizontal="left" wrapText="1"/>
    </xf>
    <xf numFmtId="0" fontId="7" fillId="0" borderId="12" xfId="0" applyFont="1" applyBorder="1" applyAlignment="1">
      <alignment horizontal="left" wrapText="1"/>
    </xf>
    <xf numFmtId="0" fontId="7" fillId="0" borderId="25" xfId="0" applyFont="1" applyBorder="1" applyAlignment="1">
      <alignment horizontal="left" wrapText="1"/>
    </xf>
    <xf numFmtId="0" fontId="7" fillId="0" borderId="26" xfId="0" applyFont="1" applyBorder="1" applyAlignment="1">
      <alignment horizontal="left" wrapText="1"/>
    </xf>
    <xf numFmtId="0" fontId="7" fillId="0" borderId="27" xfId="0" applyFont="1" applyBorder="1" applyAlignment="1">
      <alignment horizontal="left" wrapText="1"/>
    </xf>
    <xf numFmtId="0" fontId="14" fillId="0" borderId="28" xfId="0" applyFont="1" applyBorder="1" applyAlignment="1">
      <alignment horizontal="center" wrapText="1"/>
    </xf>
    <xf numFmtId="0" fontId="14" fillId="0" borderId="29" xfId="0" applyFont="1" applyBorder="1" applyAlignment="1">
      <alignment horizontal="center" wrapText="1"/>
    </xf>
    <xf numFmtId="0" fontId="14" fillId="0" borderId="30" xfId="0" applyFont="1" applyBorder="1" applyAlignment="1">
      <alignment horizontal="center" wrapText="1"/>
    </xf>
    <xf numFmtId="0" fontId="14" fillId="0" borderId="31" xfId="0" applyFont="1" applyBorder="1" applyAlignment="1">
      <alignment horizontal="center"/>
    </xf>
    <xf numFmtId="0" fontId="14" fillId="0" borderId="32" xfId="0" applyFont="1" applyBorder="1" applyAlignment="1">
      <alignment horizontal="center"/>
    </xf>
    <xf numFmtId="0" fontId="14" fillId="0" borderId="11" xfId="0" applyFont="1" applyBorder="1" applyAlignment="1">
      <alignment horizontal="center" wrapText="1"/>
    </xf>
    <xf numFmtId="0" fontId="14" fillId="0" borderId="0" xfId="0" applyFont="1" applyAlignment="1">
      <alignment horizontal="center" wrapText="1"/>
    </xf>
    <xf numFmtId="0" fontId="14" fillId="0" borderId="33" xfId="0" applyFont="1" applyBorder="1" applyAlignment="1">
      <alignment horizontal="center" wrapText="1"/>
    </xf>
    <xf numFmtId="0" fontId="14" fillId="0" borderId="11" xfId="0" applyFont="1" applyBorder="1" applyAlignment="1">
      <alignment horizontal="left"/>
    </xf>
    <xf numFmtId="0" fontId="14" fillId="0" borderId="0" xfId="0" applyFont="1" applyAlignment="1">
      <alignment horizontal="left"/>
    </xf>
    <xf numFmtId="0" fontId="14" fillId="0" borderId="33" xfId="0" applyFont="1" applyBorder="1" applyAlignment="1">
      <alignment horizontal="left"/>
    </xf>
    <xf numFmtId="0" fontId="14" fillId="0" borderId="12" xfId="0" applyFont="1" applyBorder="1" applyAlignment="1">
      <alignment horizontal="center"/>
    </xf>
    <xf numFmtId="0" fontId="14" fillId="0" borderId="8" xfId="0" applyFont="1" applyBorder="1" applyAlignment="1">
      <alignment horizontal="left"/>
    </xf>
    <xf numFmtId="0" fontId="14" fillId="0" borderId="9" xfId="0" applyFont="1" applyBorder="1" applyAlignment="1">
      <alignment horizontal="left"/>
    </xf>
    <xf numFmtId="0" fontId="14" fillId="0" borderId="10" xfId="0" applyFont="1" applyBorder="1" applyAlignment="1">
      <alignment horizontal="left"/>
    </xf>
    <xf numFmtId="3" fontId="14" fillId="10" borderId="34" xfId="0" applyNumberFormat="1" applyFont="1" applyFill="1" applyBorder="1" applyAlignment="1">
      <alignment horizontal="center"/>
    </xf>
    <xf numFmtId="3" fontId="14" fillId="10" borderId="0" xfId="0" applyNumberFormat="1" applyFont="1" applyFill="1" applyAlignment="1">
      <alignment horizontal="center"/>
    </xf>
    <xf numFmtId="3" fontId="14" fillId="10" borderId="12" xfId="0" applyNumberFormat="1" applyFont="1" applyFill="1" applyBorder="1" applyAlignment="1">
      <alignment horizontal="center"/>
    </xf>
    <xf numFmtId="0" fontId="7" fillId="0" borderId="22" xfId="0" applyFont="1" applyBorder="1"/>
    <xf numFmtId="0" fontId="7" fillId="0" borderId="23" xfId="0" applyFont="1" applyBorder="1"/>
    <xf numFmtId="0" fontId="7" fillId="0" borderId="11" xfId="0" applyFont="1" applyBorder="1"/>
    <xf numFmtId="0" fontId="7" fillId="0" borderId="25" xfId="0" applyFont="1" applyBorder="1"/>
    <xf numFmtId="0" fontId="7" fillId="0" borderId="26" xfId="0" applyFont="1" applyBorder="1"/>
    <xf numFmtId="0" fontId="14" fillId="0" borderId="36" xfId="0" applyFont="1" applyBorder="1" applyAlignment="1">
      <alignment horizontal="center"/>
    </xf>
    <xf numFmtId="0" fontId="14" fillId="0" borderId="37" xfId="0" applyFont="1" applyBorder="1" applyAlignment="1">
      <alignment horizontal="center"/>
    </xf>
    <xf numFmtId="0" fontId="14" fillId="0" borderId="38" xfId="0" applyFont="1" applyBorder="1" applyAlignment="1">
      <alignment horizontal="center"/>
    </xf>
    <xf numFmtId="0" fontId="7" fillId="10" borderId="17" xfId="0" applyFont="1" applyFill="1" applyBorder="1"/>
    <xf numFmtId="0" fontId="7" fillId="0" borderId="39" xfId="0" applyFont="1" applyBorder="1"/>
    <xf numFmtId="0" fontId="7" fillId="0" borderId="40" xfId="0" applyFont="1" applyBorder="1"/>
    <xf numFmtId="164" fontId="7" fillId="5" borderId="41" xfId="0" applyNumberFormat="1" applyFont="1" applyFill="1" applyBorder="1"/>
    <xf numFmtId="0" fontId="7" fillId="0" borderId="42" xfId="0" applyFont="1" applyBorder="1"/>
    <xf numFmtId="0" fontId="7" fillId="0" borderId="43" xfId="0" applyFont="1" applyBorder="1"/>
    <xf numFmtId="37" fontId="7" fillId="6" borderId="44" xfId="0" applyNumberFormat="1" applyFont="1" applyFill="1" applyBorder="1" applyAlignment="1">
      <alignment horizontal="right"/>
    </xf>
    <xf numFmtId="164" fontId="7" fillId="5" borderId="44" xfId="0" applyNumberFormat="1" applyFont="1" applyFill="1" applyBorder="1"/>
    <xf numFmtId="164" fontId="7" fillId="6" borderId="44" xfId="0" applyNumberFormat="1" applyFont="1" applyFill="1" applyBorder="1"/>
    <xf numFmtId="0" fontId="7" fillId="0" borderId="0" xfId="0" applyFont="1" applyAlignment="1">
      <alignment horizontal="center"/>
    </xf>
    <xf numFmtId="165" fontId="7" fillId="6" borderId="44" xfId="0" applyNumberFormat="1" applyFont="1" applyFill="1" applyBorder="1"/>
    <xf numFmtId="0" fontId="7" fillId="10" borderId="17" xfId="0" quotePrefix="1" applyFont="1" applyFill="1" applyBorder="1"/>
    <xf numFmtId="164" fontId="7" fillId="0" borderId="0" xfId="0" applyNumberFormat="1" applyFont="1"/>
    <xf numFmtId="0" fontId="20" fillId="0" borderId="45" xfId="0" applyFont="1" applyBorder="1"/>
    <xf numFmtId="0" fontId="20" fillId="0" borderId="43" xfId="0" applyFont="1" applyBorder="1"/>
    <xf numFmtId="37" fontId="7" fillId="5" borderId="44" xfId="0" applyNumberFormat="1" applyFont="1" applyFill="1" applyBorder="1" applyAlignment="1">
      <alignment horizontal="right"/>
    </xf>
    <xf numFmtId="2" fontId="7" fillId="0" borderId="42" xfId="0" applyNumberFormat="1" applyFont="1" applyBorder="1"/>
    <xf numFmtId="2" fontId="7" fillId="0" borderId="43" xfId="0" applyNumberFormat="1" applyFont="1" applyBorder="1"/>
    <xf numFmtId="166" fontId="7" fillId="6" borderId="44" xfId="0" applyNumberFormat="1" applyFont="1" applyFill="1" applyBorder="1"/>
    <xf numFmtId="0" fontId="21" fillId="0" borderId="0" xfId="0" applyFont="1"/>
    <xf numFmtId="2" fontId="7" fillId="0" borderId="46" xfId="0" applyNumberFormat="1" applyFont="1" applyBorder="1"/>
    <xf numFmtId="2" fontId="7" fillId="0" borderId="47" xfId="0" applyNumberFormat="1" applyFont="1" applyBorder="1"/>
    <xf numFmtId="164" fontId="7" fillId="6" borderId="48" xfId="0" applyNumberFormat="1" applyFont="1" applyFill="1" applyBorder="1"/>
    <xf numFmtId="0" fontId="14" fillId="0" borderId="36" xfId="0" applyFont="1" applyBorder="1" applyAlignment="1">
      <alignment horizontal="left"/>
    </xf>
    <xf numFmtId="0" fontId="14" fillId="0" borderId="37" xfId="0" applyFont="1" applyBorder="1" applyAlignment="1">
      <alignment horizontal="left"/>
    </xf>
    <xf numFmtId="0" fontId="14" fillId="5" borderId="38" xfId="0" applyFont="1" applyFill="1" applyBorder="1" applyAlignment="1">
      <alignment horizontal="center"/>
    </xf>
    <xf numFmtId="0" fontId="7" fillId="0" borderId="49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7" fillId="0" borderId="50" xfId="0" applyFont="1" applyBorder="1" applyAlignment="1">
      <alignment horizontal="center"/>
    </xf>
    <xf numFmtId="0" fontId="7" fillId="0" borderId="52" xfId="0" applyFont="1" applyBorder="1" applyAlignment="1">
      <alignment horizontal="center"/>
    </xf>
    <xf numFmtId="0" fontId="7" fillId="0" borderId="33" xfId="0" applyFont="1" applyBorder="1" applyAlignment="1">
      <alignment horizontal="center"/>
    </xf>
    <xf numFmtId="0" fontId="7" fillId="0" borderId="33" xfId="0" applyFont="1" applyBorder="1"/>
    <xf numFmtId="0" fontId="22" fillId="0" borderId="54" xfId="0" applyFont="1" applyBorder="1" applyAlignment="1">
      <alignment horizontal="center"/>
    </xf>
    <xf numFmtId="0" fontId="7" fillId="0" borderId="23" xfId="0" applyFont="1" applyBorder="1" applyAlignment="1">
      <alignment horizontal="center"/>
    </xf>
    <xf numFmtId="0" fontId="7" fillId="0" borderId="55" xfId="0" applyFont="1" applyBorder="1" applyAlignment="1">
      <alignment horizontal="center"/>
    </xf>
    <xf numFmtId="167" fontId="7" fillId="5" borderId="58" xfId="0" applyNumberFormat="1" applyFont="1" applyFill="1" applyBorder="1"/>
    <xf numFmtId="167" fontId="7" fillId="5" borderId="59" xfId="0" applyNumberFormat="1" applyFont="1" applyFill="1" applyBorder="1"/>
    <xf numFmtId="167" fontId="7" fillId="5" borderId="60" xfId="0" applyNumberFormat="1" applyFont="1" applyFill="1" applyBorder="1"/>
    <xf numFmtId="37" fontId="7" fillId="0" borderId="49" xfId="0" applyNumberFormat="1" applyFont="1" applyBorder="1" applyAlignment="1">
      <alignment horizontal="center"/>
    </xf>
    <xf numFmtId="9" fontId="7" fillId="5" borderId="61" xfId="0" applyNumberFormat="1" applyFont="1" applyFill="1" applyBorder="1"/>
    <xf numFmtId="166" fontId="7" fillId="6" borderId="61" xfId="0" applyNumberFormat="1" applyFont="1" applyFill="1" applyBorder="1"/>
    <xf numFmtId="9" fontId="7" fillId="6" borderId="61" xfId="0" applyNumberFormat="1" applyFont="1" applyFill="1" applyBorder="1"/>
    <xf numFmtId="0" fontId="7" fillId="0" borderId="62" xfId="0" applyFont="1" applyBorder="1" applyAlignment="1">
      <alignment horizontal="center"/>
    </xf>
    <xf numFmtId="167" fontId="7" fillId="5" borderId="63" xfId="0" applyNumberFormat="1" applyFont="1" applyFill="1" applyBorder="1"/>
    <xf numFmtId="167" fontId="7" fillId="5" borderId="64" xfId="0" applyNumberFormat="1" applyFont="1" applyFill="1" applyBorder="1"/>
    <xf numFmtId="37" fontId="7" fillId="0" borderId="65" xfId="0" applyNumberFormat="1" applyFont="1" applyBorder="1" applyAlignment="1">
      <alignment horizontal="center"/>
    </xf>
    <xf numFmtId="9" fontId="7" fillId="5" borderId="66" xfId="0" applyNumberFormat="1" applyFont="1" applyFill="1" applyBorder="1"/>
    <xf numFmtId="166" fontId="7" fillId="6" borderId="66" xfId="0" applyNumberFormat="1" applyFont="1" applyFill="1" applyBorder="1"/>
    <xf numFmtId="9" fontId="7" fillId="6" borderId="66" xfId="0" applyNumberFormat="1" applyFont="1" applyFill="1" applyBorder="1"/>
    <xf numFmtId="0" fontId="7" fillId="0" borderId="54" xfId="0" applyFont="1" applyBorder="1" applyAlignment="1">
      <alignment horizontal="center" vertical="center" wrapText="1"/>
    </xf>
    <xf numFmtId="167" fontId="7" fillId="6" borderId="67" xfId="0" applyNumberFormat="1" applyFont="1" applyFill="1" applyBorder="1"/>
    <xf numFmtId="37" fontId="7" fillId="0" borderId="68" xfId="0" applyNumberFormat="1" applyFont="1" applyBorder="1" applyAlignment="1">
      <alignment horizontal="center"/>
    </xf>
    <xf numFmtId="9" fontId="7" fillId="5" borderId="69" xfId="0" applyNumberFormat="1" applyFont="1" applyFill="1" applyBorder="1"/>
    <xf numFmtId="166" fontId="7" fillId="6" borderId="69" xfId="0" applyNumberFormat="1" applyFont="1" applyFill="1" applyBorder="1"/>
    <xf numFmtId="9" fontId="7" fillId="6" borderId="69" xfId="0" applyNumberFormat="1" applyFont="1" applyFill="1" applyBorder="1"/>
    <xf numFmtId="0" fontId="7" fillId="0" borderId="62" xfId="0" applyFont="1" applyBorder="1" applyAlignment="1">
      <alignment horizontal="center" vertical="center" wrapText="1"/>
    </xf>
    <xf numFmtId="167" fontId="7" fillId="6" borderId="63" xfId="0" applyNumberFormat="1" applyFont="1" applyFill="1" applyBorder="1" applyAlignment="1">
      <alignment horizontal="center" vertical="center"/>
    </xf>
    <xf numFmtId="167" fontId="7" fillId="6" borderId="64" xfId="0" applyNumberFormat="1" applyFont="1" applyFill="1" applyBorder="1" applyAlignment="1">
      <alignment horizontal="center" vertical="center"/>
    </xf>
    <xf numFmtId="0" fontId="7" fillId="10" borderId="0" xfId="0" applyFont="1" applyFill="1"/>
    <xf numFmtId="0" fontId="14" fillId="0" borderId="0" xfId="0" applyFont="1" applyAlignment="1">
      <alignment horizontal="center" vertical="top"/>
    </xf>
    <xf numFmtId="164" fontId="14" fillId="0" borderId="0" xfId="13" applyNumberFormat="1" applyFont="1"/>
    <xf numFmtId="164" fontId="7" fillId="6" borderId="0" xfId="13" applyNumberFormat="1" applyFont="1" applyFill="1"/>
    <xf numFmtId="2" fontId="14" fillId="0" borderId="0" xfId="0" applyNumberFormat="1" applyFont="1"/>
    <xf numFmtId="0" fontId="16" fillId="12" borderId="0" xfId="0" applyFont="1" applyFill="1" applyAlignment="1">
      <alignment horizontal="center" vertical="center" wrapText="1"/>
    </xf>
    <xf numFmtId="0" fontId="7" fillId="0" borderId="70" xfId="0" applyFont="1" applyBorder="1"/>
    <xf numFmtId="0" fontId="7" fillId="0" borderId="71" xfId="0" applyFont="1" applyBorder="1"/>
    <xf numFmtId="0" fontId="7" fillId="0" borderId="72" xfId="0" applyFont="1" applyBorder="1"/>
    <xf numFmtId="0" fontId="7" fillId="0" borderId="73" xfId="0" applyFont="1" applyBorder="1"/>
    <xf numFmtId="0" fontId="7" fillId="0" borderId="74" xfId="0" applyFont="1" applyBorder="1"/>
    <xf numFmtId="0" fontId="16" fillId="7" borderId="0" xfId="0" applyFont="1" applyFill="1" applyAlignment="1">
      <alignment horizontal="center"/>
    </xf>
    <xf numFmtId="0" fontId="23" fillId="7" borderId="0" xfId="0" applyFont="1" applyFill="1" applyAlignment="1">
      <alignment horizontal="center"/>
    </xf>
    <xf numFmtId="0" fontId="14" fillId="0" borderId="76" xfId="0" applyFont="1" applyBorder="1"/>
    <xf numFmtId="164" fontId="7" fillId="5" borderId="77" xfId="0" applyNumberFormat="1" applyFont="1" applyFill="1" applyBorder="1"/>
    <xf numFmtId="164" fontId="7" fillId="5" borderId="78" xfId="0" applyNumberFormat="1" applyFont="1" applyFill="1" applyBorder="1"/>
    <xf numFmtId="164" fontId="7" fillId="5" borderId="80" xfId="0" applyNumberFormat="1" applyFont="1" applyFill="1" applyBorder="1"/>
    <xf numFmtId="0" fontId="14" fillId="0" borderId="81" xfId="0" applyFont="1" applyBorder="1"/>
    <xf numFmtId="164" fontId="7" fillId="5" borderId="82" xfId="0" applyNumberFormat="1" applyFont="1" applyFill="1" applyBorder="1"/>
    <xf numFmtId="164" fontId="7" fillId="5" borderId="83" xfId="0" applyNumberFormat="1" applyFont="1" applyFill="1" applyBorder="1"/>
    <xf numFmtId="0" fontId="16" fillId="0" borderId="0" xfId="0" applyFont="1" applyAlignment="1">
      <alignment horizontal="center" vertical="center" wrapText="1"/>
    </xf>
    <xf numFmtId="37" fontId="7" fillId="6" borderId="77" xfId="0" applyNumberFormat="1" applyFont="1" applyFill="1" applyBorder="1"/>
    <xf numFmtId="37" fontId="7" fillId="6" borderId="66" xfId="0" applyNumberFormat="1" applyFont="1" applyFill="1" applyBorder="1"/>
    <xf numFmtId="37" fontId="7" fillId="6" borderId="82" xfId="0" applyNumberFormat="1" applyFont="1" applyFill="1" applyBorder="1"/>
    <xf numFmtId="37" fontId="7" fillId="6" borderId="85" xfId="0" applyNumberFormat="1" applyFont="1" applyFill="1" applyBorder="1"/>
    <xf numFmtId="37" fontId="7" fillId="6" borderId="86" xfId="0" applyNumberFormat="1" applyFont="1" applyFill="1" applyBorder="1"/>
    <xf numFmtId="0" fontId="7" fillId="0" borderId="82" xfId="0" applyFont="1" applyBorder="1"/>
    <xf numFmtId="37" fontId="7" fillId="0" borderId="0" xfId="0" applyNumberFormat="1" applyFont="1"/>
    <xf numFmtId="0" fontId="7" fillId="0" borderId="85" xfId="0" applyFont="1" applyBorder="1"/>
    <xf numFmtId="5" fontId="7" fillId="0" borderId="82" xfId="0" applyNumberFormat="1" applyFont="1" applyBorder="1"/>
    <xf numFmtId="5" fontId="7" fillId="14" borderId="77" xfId="0" applyNumberFormat="1" applyFont="1" applyFill="1" applyBorder="1"/>
    <xf numFmtId="5" fontId="7" fillId="14" borderId="82" xfId="0" applyNumberFormat="1" applyFont="1" applyFill="1" applyBorder="1"/>
    <xf numFmtId="5" fontId="7" fillId="5" borderId="77" xfId="0" applyNumberFormat="1" applyFont="1" applyFill="1" applyBorder="1"/>
    <xf numFmtId="5" fontId="7" fillId="5" borderId="66" xfId="0" applyNumberFormat="1" applyFont="1" applyFill="1" applyBorder="1"/>
    <xf numFmtId="5" fontId="7" fillId="5" borderId="82" xfId="0" applyNumberFormat="1" applyFont="1" applyFill="1" applyBorder="1"/>
    <xf numFmtId="5" fontId="7" fillId="0" borderId="77" xfId="0" applyNumberFormat="1" applyFont="1" applyBorder="1"/>
    <xf numFmtId="7" fontId="7" fillId="0" borderId="0" xfId="0" applyNumberFormat="1" applyFont="1"/>
    <xf numFmtId="168" fontId="7" fillId="5" borderId="77" xfId="0" applyNumberFormat="1" applyFont="1" applyFill="1" applyBorder="1"/>
    <xf numFmtId="168" fontId="7" fillId="5" borderId="66" xfId="0" applyNumberFormat="1" applyFont="1" applyFill="1" applyBorder="1"/>
    <xf numFmtId="168" fontId="7" fillId="5" borderId="82" xfId="0" applyNumberFormat="1" applyFont="1" applyFill="1" applyBorder="1"/>
    <xf numFmtId="168" fontId="7" fillId="5" borderId="85" xfId="0" applyNumberFormat="1" applyFont="1" applyFill="1" applyBorder="1"/>
    <xf numFmtId="168" fontId="7" fillId="5" borderId="86" xfId="0" applyNumberFormat="1" applyFont="1" applyFill="1" applyBorder="1"/>
    <xf numFmtId="0" fontId="7" fillId="0" borderId="87" xfId="0" applyFont="1" applyBorder="1"/>
    <xf numFmtId="0" fontId="7" fillId="0" borderId="88" xfId="0" applyFont="1" applyBorder="1"/>
    <xf numFmtId="164" fontId="7" fillId="6" borderId="77" xfId="0" applyNumberFormat="1" applyFont="1" applyFill="1" applyBorder="1"/>
    <xf numFmtId="164" fontId="7" fillId="6" borderId="66" xfId="0" applyNumberFormat="1" applyFont="1" applyFill="1" applyBorder="1"/>
    <xf numFmtId="164" fontId="7" fillId="6" borderId="82" xfId="0" applyNumberFormat="1" applyFont="1" applyFill="1" applyBorder="1"/>
    <xf numFmtId="5" fontId="7" fillId="6" borderId="77" xfId="0" applyNumberFormat="1" applyFont="1" applyFill="1" applyBorder="1"/>
    <xf numFmtId="5" fontId="7" fillId="6" borderId="66" xfId="0" applyNumberFormat="1" applyFont="1" applyFill="1" applyBorder="1"/>
    <xf numFmtId="5" fontId="7" fillId="6" borderId="82" xfId="0" applyNumberFormat="1" applyFont="1" applyFill="1" applyBorder="1"/>
    <xf numFmtId="10" fontId="7" fillId="0" borderId="0" xfId="0" applyNumberFormat="1" applyFont="1" applyAlignment="1">
      <alignment horizontal="center" vertical="top"/>
    </xf>
    <xf numFmtId="169" fontId="7" fillId="0" borderId="0" xfId="0" applyNumberFormat="1" applyFont="1" applyAlignment="1">
      <alignment horizontal="center" vertical="top"/>
    </xf>
    <xf numFmtId="0" fontId="14" fillId="17" borderId="0" xfId="0" applyFont="1" applyFill="1" applyAlignment="1">
      <alignment horizontal="center" vertical="center" textRotation="90" wrapText="1"/>
    </xf>
    <xf numFmtId="0" fontId="16" fillId="16" borderId="0" xfId="0" applyFont="1" applyFill="1" applyAlignment="1">
      <alignment horizontal="center" vertical="center" wrapText="1"/>
    </xf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170" fontId="7" fillId="0" borderId="0" xfId="0" applyNumberFormat="1" applyFont="1" applyAlignment="1">
      <alignment horizontal="center" vertical="top"/>
    </xf>
    <xf numFmtId="0" fontId="16" fillId="18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6" fillId="0" borderId="94" xfId="12" applyBorder="1" applyAlignment="1">
      <alignment vertical="top"/>
    </xf>
    <xf numFmtId="0" fontId="7" fillId="0" borderId="95" xfId="0" applyFont="1" applyBorder="1" applyAlignment="1">
      <alignment vertical="top"/>
    </xf>
    <xf numFmtId="0" fontId="7" fillId="0" borderId="96" xfId="0" applyFont="1" applyBorder="1" applyAlignment="1">
      <alignment vertical="top"/>
    </xf>
    <xf numFmtId="0" fontId="6" fillId="0" borderId="94" xfId="12" applyBorder="1" applyAlignment="1">
      <alignment vertical="top" wrapText="1"/>
    </xf>
    <xf numFmtId="0" fontId="7" fillId="0" borderId="95" xfId="0" applyFont="1" applyBorder="1" applyAlignment="1">
      <alignment vertical="top" wrapText="1"/>
    </xf>
    <xf numFmtId="0" fontId="7" fillId="0" borderId="96" xfId="0" applyFont="1" applyBorder="1" applyAlignment="1">
      <alignment vertical="top" wrapText="1"/>
    </xf>
    <xf numFmtId="0" fontId="7" fillId="0" borderId="0" xfId="0" applyFont="1" applyAlignment="1">
      <alignment vertical="top"/>
    </xf>
    <xf numFmtId="0" fontId="7" fillId="0" borderId="94" xfId="0" applyFont="1" applyBorder="1" applyAlignment="1">
      <alignment vertical="top"/>
    </xf>
    <xf numFmtId="0" fontId="6" fillId="0" borderId="0" xfId="12" applyFill="1"/>
    <xf numFmtId="0" fontId="0" fillId="19" borderId="0" xfId="0" applyFill="1"/>
    <xf numFmtId="0" fontId="7" fillId="19" borderId="0" xfId="0" applyFont="1" applyFill="1"/>
    <xf numFmtId="0" fontId="7" fillId="19" borderId="18" xfId="0" applyFont="1" applyFill="1" applyBorder="1"/>
    <xf numFmtId="0" fontId="14" fillId="19" borderId="0" xfId="0" applyFont="1" applyFill="1"/>
    <xf numFmtId="37" fontId="7" fillId="19" borderId="66" xfId="0" applyNumberFormat="1" applyFont="1" applyFill="1" applyBorder="1"/>
    <xf numFmtId="171" fontId="7" fillId="6" borderId="85" xfId="0" applyNumberFormat="1" applyFont="1" applyFill="1" applyBorder="1"/>
    <xf numFmtId="0" fontId="16" fillId="16" borderId="0" xfId="0" applyFont="1" applyFill="1" applyAlignment="1">
      <alignment vertical="center" wrapText="1"/>
    </xf>
    <xf numFmtId="0" fontId="7" fillId="0" borderId="107" xfId="0" applyFont="1" applyBorder="1"/>
    <xf numFmtId="0" fontId="16" fillId="0" borderId="79" xfId="0" applyFont="1" applyBorder="1" applyAlignment="1">
      <alignment vertical="center" wrapText="1"/>
    </xf>
    <xf numFmtId="10" fontId="7" fillId="20" borderId="0" xfId="0" applyNumberFormat="1" applyFont="1" applyFill="1" applyAlignment="1">
      <alignment horizontal="center" vertical="top"/>
    </xf>
    <xf numFmtId="164" fontId="0" fillId="6" borderId="0" xfId="13" applyNumberFormat="1" applyFont="1" applyFill="1"/>
    <xf numFmtId="164" fontId="7" fillId="20" borderId="0" xfId="13" applyNumberFormat="1" applyFont="1" applyFill="1"/>
    <xf numFmtId="9" fontId="7" fillId="6" borderId="108" xfId="0" applyNumberFormat="1" applyFont="1" applyFill="1" applyBorder="1"/>
    <xf numFmtId="9" fontId="7" fillId="6" borderId="109" xfId="0" applyNumberFormat="1" applyFont="1" applyFill="1" applyBorder="1"/>
    <xf numFmtId="9" fontId="7" fillId="6" borderId="110" xfId="0" applyNumberFormat="1" applyFont="1" applyFill="1" applyBorder="1"/>
    <xf numFmtId="0" fontId="7" fillId="0" borderId="115" xfId="0" applyFont="1" applyBorder="1"/>
    <xf numFmtId="2" fontId="7" fillId="0" borderId="118" xfId="0" applyNumberFormat="1" applyFont="1" applyBorder="1"/>
    <xf numFmtId="37" fontId="7" fillId="21" borderId="0" xfId="0" applyNumberFormat="1" applyFont="1" applyFill="1"/>
    <xf numFmtId="37" fontId="7" fillId="21" borderId="0" xfId="0" applyNumberFormat="1" applyFont="1" applyFill="1" applyAlignment="1">
      <alignment horizontal="right"/>
    </xf>
    <xf numFmtId="0" fontId="14" fillId="0" borderId="119" xfId="0" applyFont="1" applyBorder="1" applyAlignment="1">
      <alignment horizontal="left"/>
    </xf>
    <xf numFmtId="0" fontId="7" fillId="0" borderId="120" xfId="0" applyFont="1" applyBorder="1"/>
    <xf numFmtId="164" fontId="14" fillId="19" borderId="0" xfId="13" applyNumberFormat="1" applyFont="1" applyFill="1"/>
    <xf numFmtId="5" fontId="7" fillId="19" borderId="66" xfId="0" applyNumberFormat="1" applyFont="1" applyFill="1" applyBorder="1"/>
    <xf numFmtId="172" fontId="0" fillId="0" borderId="0" xfId="0" applyNumberFormat="1"/>
    <xf numFmtId="0" fontId="7" fillId="0" borderId="97" xfId="0" applyFont="1" applyBorder="1"/>
    <xf numFmtId="0" fontId="7" fillId="0" borderId="98" xfId="0" applyFont="1" applyBorder="1"/>
    <xf numFmtId="0" fontId="7" fillId="0" borderId="99" xfId="0" applyFont="1" applyBorder="1" applyAlignment="1">
      <alignment vertical="top"/>
    </xf>
    <xf numFmtId="0" fontId="7" fillId="0" borderId="100" xfId="0" applyFont="1" applyBorder="1" applyAlignment="1">
      <alignment vertical="top"/>
    </xf>
    <xf numFmtId="0" fontId="7" fillId="0" borderId="101" xfId="0" applyFont="1" applyBorder="1" applyAlignment="1">
      <alignment vertical="top"/>
    </xf>
    <xf numFmtId="0" fontId="7" fillId="0" borderId="92" xfId="0" applyFont="1" applyBorder="1"/>
    <xf numFmtId="0" fontId="7" fillId="0" borderId="93" xfId="0" applyFont="1" applyBorder="1"/>
    <xf numFmtId="0" fontId="7" fillId="0" borderId="94" xfId="0" applyFont="1" applyBorder="1" applyAlignment="1">
      <alignment vertical="top"/>
    </xf>
    <xf numFmtId="0" fontId="7" fillId="0" borderId="95" xfId="0" applyFont="1" applyBorder="1" applyAlignment="1">
      <alignment vertical="top"/>
    </xf>
    <xf numFmtId="0" fontId="7" fillId="0" borderId="96" xfId="0" applyFont="1" applyBorder="1" applyAlignment="1">
      <alignment vertical="top"/>
    </xf>
    <xf numFmtId="0" fontId="7" fillId="0" borderId="0" xfId="0" applyFont="1" applyAlignment="1">
      <alignment horizontal="left" vertical="center"/>
    </xf>
    <xf numFmtId="0" fontId="14" fillId="0" borderId="89" xfId="0" applyFont="1" applyBorder="1" applyAlignment="1">
      <alignment horizontal="left" vertical="center"/>
    </xf>
    <xf numFmtId="0" fontId="14" fillId="0" borderId="90" xfId="0" applyFont="1" applyBorder="1" applyAlignment="1">
      <alignment horizontal="left" vertical="center"/>
    </xf>
    <xf numFmtId="0" fontId="7" fillId="0" borderId="102" xfId="0" applyFont="1" applyBorder="1" applyAlignment="1">
      <alignment vertical="top"/>
    </xf>
    <xf numFmtId="0" fontId="7" fillId="0" borderId="103" xfId="0" applyFont="1" applyBorder="1" applyAlignment="1">
      <alignment vertical="top"/>
    </xf>
    <xf numFmtId="0" fontId="7" fillId="0" borderId="104" xfId="0" applyFont="1" applyBorder="1" applyAlignment="1">
      <alignment vertical="top"/>
    </xf>
    <xf numFmtId="0" fontId="7" fillId="0" borderId="105" xfId="0" applyFont="1" applyBorder="1"/>
    <xf numFmtId="0" fontId="7" fillId="0" borderId="95" xfId="0" applyFont="1" applyBorder="1"/>
    <xf numFmtId="0" fontId="7" fillId="0" borderId="106" xfId="0" applyFont="1" applyBorder="1"/>
    <xf numFmtId="0" fontId="14" fillId="17" borderId="0" xfId="0" applyFont="1" applyFill="1" applyAlignment="1">
      <alignment horizontal="center" vertical="center" textRotation="90" wrapText="1"/>
    </xf>
    <xf numFmtId="0" fontId="16" fillId="12" borderId="75" xfId="0" applyFont="1" applyFill="1" applyBorder="1" applyAlignment="1">
      <alignment horizontal="center" vertical="center" wrapText="1"/>
    </xf>
    <xf numFmtId="0" fontId="16" fillId="12" borderId="79" xfId="0" applyFont="1" applyFill="1" applyBorder="1" applyAlignment="1">
      <alignment horizontal="center" vertical="center" wrapText="1"/>
    </xf>
    <xf numFmtId="0" fontId="16" fillId="16" borderId="0" xfId="0" applyFont="1" applyFill="1" applyAlignment="1">
      <alignment horizontal="center" vertical="center" wrapText="1"/>
    </xf>
    <xf numFmtId="0" fontId="16" fillId="16" borderId="71" xfId="0" applyFont="1" applyFill="1" applyBorder="1" applyAlignment="1">
      <alignment horizontal="center" vertical="center" wrapText="1"/>
    </xf>
    <xf numFmtId="0" fontId="16" fillId="7" borderId="0" xfId="0" applyFont="1" applyFill="1" applyAlignment="1">
      <alignment horizontal="center"/>
    </xf>
    <xf numFmtId="0" fontId="7" fillId="0" borderId="90" xfId="0" applyFont="1" applyBorder="1" applyAlignment="1">
      <alignment horizontal="center"/>
    </xf>
    <xf numFmtId="0" fontId="7" fillId="0" borderId="91" xfId="0" applyFont="1" applyBorder="1" applyAlignment="1">
      <alignment horizontal="center"/>
    </xf>
    <xf numFmtId="0" fontId="6" fillId="0" borderId="94" xfId="12" applyFill="1" applyBorder="1" applyAlignment="1">
      <alignment vertical="top"/>
    </xf>
    <xf numFmtId="0" fontId="6" fillId="0" borderId="95" xfId="12" applyFill="1" applyBorder="1" applyAlignment="1">
      <alignment vertical="top"/>
    </xf>
    <xf numFmtId="0" fontId="6" fillId="0" borderId="96" xfId="12" applyFill="1" applyBorder="1" applyAlignment="1">
      <alignment vertical="top"/>
    </xf>
    <xf numFmtId="0" fontId="14" fillId="11" borderId="0" xfId="0" applyFont="1" applyFill="1" applyAlignment="1">
      <alignment horizontal="center" vertical="center" textRotation="90"/>
    </xf>
    <xf numFmtId="0" fontId="16" fillId="12" borderId="84" xfId="0" applyFont="1" applyFill="1" applyBorder="1" applyAlignment="1">
      <alignment horizontal="center" vertical="center" wrapText="1"/>
    </xf>
    <xf numFmtId="0" fontId="25" fillId="15" borderId="0" xfId="0" applyFont="1" applyFill="1" applyAlignment="1">
      <alignment horizontal="center" vertical="center" textRotation="90"/>
    </xf>
    <xf numFmtId="0" fontId="14" fillId="16" borderId="0" xfId="0" applyFont="1" applyFill="1" applyAlignment="1">
      <alignment horizontal="center" vertical="center" textRotation="90"/>
    </xf>
    <xf numFmtId="0" fontId="24" fillId="13" borderId="0" xfId="0" applyFont="1" applyFill="1" applyAlignment="1">
      <alignment horizontal="center" vertical="center" textRotation="90" wrapText="1"/>
    </xf>
    <xf numFmtId="0" fontId="16" fillId="11" borderId="0" xfId="0" applyFont="1" applyFill="1" applyAlignment="1">
      <alignment horizontal="center" vertical="center" textRotation="90"/>
    </xf>
    <xf numFmtId="0" fontId="0" fillId="0" borderId="0" xfId="0" applyAlignment="1">
      <alignment horizontal="center" vertical="center" textRotation="90"/>
    </xf>
    <xf numFmtId="0" fontId="7" fillId="0" borderId="0" xfId="0" applyFont="1" applyAlignment="1">
      <alignment horizontal="center"/>
    </xf>
    <xf numFmtId="2" fontId="7" fillId="0" borderId="49" xfId="0" applyNumberFormat="1" applyFont="1" applyBorder="1" applyAlignment="1">
      <alignment horizontal="center" wrapText="1"/>
    </xf>
    <xf numFmtId="2" fontId="7" fillId="0" borderId="52" xfId="0" applyNumberFormat="1" applyFont="1" applyBorder="1" applyAlignment="1">
      <alignment horizontal="center" wrapText="1"/>
    </xf>
    <xf numFmtId="2" fontId="7" fillId="0" borderId="56" xfId="0" applyNumberFormat="1" applyFont="1" applyBorder="1" applyAlignment="1">
      <alignment horizontal="center" wrapText="1"/>
    </xf>
    <xf numFmtId="164" fontId="7" fillId="0" borderId="14" xfId="0" applyNumberFormat="1" applyFont="1" applyBorder="1" applyAlignment="1">
      <alignment horizontal="center" wrapText="1"/>
    </xf>
    <xf numFmtId="164" fontId="7" fillId="0" borderId="0" xfId="0" applyNumberFormat="1" applyFont="1" applyAlignment="1">
      <alignment horizontal="center" wrapText="1"/>
    </xf>
    <xf numFmtId="164" fontId="7" fillId="0" borderId="13" xfId="0" applyNumberFormat="1" applyFont="1" applyBorder="1" applyAlignment="1">
      <alignment horizontal="center" wrapText="1"/>
    </xf>
    <xf numFmtId="0" fontId="7" fillId="0" borderId="51" xfId="0" applyFont="1" applyBorder="1" applyAlignment="1">
      <alignment vertical="center" wrapText="1"/>
    </xf>
    <xf numFmtId="0" fontId="7" fillId="0" borderId="53" xfId="0" applyFont="1" applyBorder="1" applyAlignment="1">
      <alignment vertical="center" wrapText="1"/>
    </xf>
    <xf numFmtId="0" fontId="7" fillId="0" borderId="57" xfId="0" applyFont="1" applyBorder="1" applyAlignment="1">
      <alignment vertical="center" wrapText="1"/>
    </xf>
    <xf numFmtId="0" fontId="16" fillId="12" borderId="0" xfId="0" applyFont="1" applyFill="1" applyAlignment="1">
      <alignment horizontal="center" vertical="center" wrapText="1"/>
    </xf>
    <xf numFmtId="0" fontId="0" fillId="0" borderId="0" xfId="0"/>
    <xf numFmtId="0" fontId="0" fillId="0" borderId="17" xfId="0" applyBorder="1"/>
    <xf numFmtId="0" fontId="16" fillId="8" borderId="0" xfId="0" applyFont="1" applyFill="1" applyAlignment="1">
      <alignment horizontal="center" vertical="center" textRotation="90" wrapText="1"/>
    </xf>
    <xf numFmtId="0" fontId="10" fillId="8" borderId="0" xfId="0" applyFont="1" applyFill="1" applyAlignment="1">
      <alignment horizontal="center" vertical="center" textRotation="90" wrapText="1"/>
    </xf>
    <xf numFmtId="0" fontId="0" fillId="0" borderId="0" xfId="0" applyAlignment="1">
      <alignment horizontal="center" vertical="center" textRotation="90" wrapText="1"/>
    </xf>
    <xf numFmtId="0" fontId="7" fillId="0" borderId="22" xfId="0" applyFont="1" applyBorder="1" applyAlignment="1">
      <alignment horizontal="left" wrapText="1"/>
    </xf>
    <xf numFmtId="0" fontId="0" fillId="0" borderId="23" xfId="0" applyBorder="1" applyAlignment="1">
      <alignment horizontal="left" wrapText="1"/>
    </xf>
    <xf numFmtId="0" fontId="0" fillId="0" borderId="24" xfId="0" applyBorder="1" applyAlignment="1">
      <alignment horizontal="left" wrapText="1"/>
    </xf>
    <xf numFmtId="0" fontId="7" fillId="0" borderId="11" xfId="0" applyFont="1" applyBorder="1" applyAlignment="1">
      <alignment horizontal="left"/>
    </xf>
    <xf numFmtId="0" fontId="0" fillId="0" borderId="0" xfId="0" applyAlignment="1">
      <alignment horizontal="left"/>
    </xf>
    <xf numFmtId="0" fontId="0" fillId="0" borderId="12" xfId="0" applyBorder="1" applyAlignment="1">
      <alignment horizontal="left"/>
    </xf>
    <xf numFmtId="0" fontId="7" fillId="0" borderId="0" xfId="0" applyFont="1" applyAlignment="1">
      <alignment horizontal="left"/>
    </xf>
    <xf numFmtId="0" fontId="7" fillId="0" borderId="12" xfId="0" applyFont="1" applyBorder="1" applyAlignment="1">
      <alignment horizontal="left"/>
    </xf>
    <xf numFmtId="0" fontId="7" fillId="0" borderId="11" xfId="0" applyFont="1" applyBorder="1" applyAlignment="1">
      <alignment horizontal="left" wrapText="1"/>
    </xf>
    <xf numFmtId="0" fontId="7" fillId="0" borderId="0" xfId="0" applyFont="1" applyAlignment="1">
      <alignment horizontal="left" wrapText="1"/>
    </xf>
    <xf numFmtId="0" fontId="7" fillId="0" borderId="12" xfId="0" applyFont="1" applyBorder="1" applyAlignment="1">
      <alignment horizontal="left" wrapText="1"/>
    </xf>
    <xf numFmtId="0" fontId="19" fillId="0" borderId="28" xfId="0" applyFont="1" applyBorder="1" applyAlignment="1">
      <alignment horizontal="center" vertical="top" wrapText="1"/>
    </xf>
    <xf numFmtId="0" fontId="0" fillId="0" borderId="29" xfId="0" applyBorder="1" applyAlignment="1">
      <alignment horizontal="center" vertical="top" wrapText="1"/>
    </xf>
    <xf numFmtId="0" fontId="0" fillId="0" borderId="29" xfId="0" applyBorder="1"/>
    <xf numFmtId="0" fontId="0" fillId="0" borderId="35" xfId="0" applyBorder="1"/>
    <xf numFmtId="0" fontId="0" fillId="0" borderId="11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12" xfId="0" applyBorder="1"/>
    <xf numFmtId="0" fontId="0" fillId="0" borderId="25" xfId="0" applyBorder="1" applyAlignment="1">
      <alignment horizontal="center" vertical="top" wrapText="1"/>
    </xf>
    <xf numFmtId="0" fontId="0" fillId="0" borderId="26" xfId="0" applyBorder="1" applyAlignment="1">
      <alignment horizontal="center" vertical="top" wrapText="1"/>
    </xf>
    <xf numFmtId="0" fontId="0" fillId="0" borderId="26" xfId="0" applyBorder="1"/>
    <xf numFmtId="0" fontId="0" fillId="0" borderId="27" xfId="0" applyBorder="1"/>
    <xf numFmtId="2" fontId="7" fillId="0" borderId="117" xfId="0" applyNumberFormat="1" applyFont="1" applyBorder="1" applyAlignment="1">
      <alignment horizontal="center" wrapText="1"/>
    </xf>
    <xf numFmtId="2" fontId="7" fillId="0" borderId="114" xfId="0" applyNumberFormat="1" applyFont="1" applyBorder="1" applyAlignment="1">
      <alignment horizontal="center" wrapText="1"/>
    </xf>
    <xf numFmtId="2" fontId="7" fillId="0" borderId="112" xfId="0" applyNumberFormat="1" applyFont="1" applyBorder="1" applyAlignment="1">
      <alignment horizontal="center" wrapText="1"/>
    </xf>
    <xf numFmtId="164" fontId="7" fillId="0" borderId="116" xfId="0" applyNumberFormat="1" applyFont="1" applyBorder="1" applyAlignment="1">
      <alignment horizontal="center" wrapText="1"/>
    </xf>
    <xf numFmtId="164" fontId="7" fillId="0" borderId="113" xfId="0" applyNumberFormat="1" applyFont="1" applyBorder="1" applyAlignment="1">
      <alignment horizontal="center" wrapText="1"/>
    </xf>
    <xf numFmtId="164" fontId="7" fillId="0" borderId="111" xfId="0" applyNumberFormat="1" applyFont="1" applyBorder="1" applyAlignment="1">
      <alignment horizontal="center" wrapText="1"/>
    </xf>
    <xf numFmtId="0" fontId="7" fillId="20" borderId="122" xfId="0" applyFont="1" applyFill="1" applyBorder="1" applyAlignment="1">
      <alignment horizontal="center" wrapText="1"/>
    </xf>
    <xf numFmtId="0" fontId="7" fillId="20" borderId="121" xfId="0" applyFont="1" applyFill="1" applyBorder="1" applyAlignment="1">
      <alignment horizontal="center" wrapText="1"/>
    </xf>
    <xf numFmtId="0" fontId="7" fillId="0" borderId="19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168" fontId="7" fillId="19" borderId="66" xfId="0" applyNumberFormat="1" applyFont="1" applyFill="1" applyBorder="1"/>
    <xf numFmtId="7" fontId="7" fillId="19" borderId="0" xfId="0" applyNumberFormat="1" applyFont="1" applyFill="1"/>
    <xf numFmtId="5" fontId="7" fillId="0" borderId="0" xfId="0" applyNumberFormat="1" applyFont="1"/>
    <xf numFmtId="0" fontId="7" fillId="19" borderId="107" xfId="0" applyFont="1" applyFill="1" applyBorder="1"/>
    <xf numFmtId="0" fontId="14" fillId="19" borderId="0" xfId="0" applyFont="1" applyFill="1" applyAlignment="1">
      <alignment horizontal="center" vertical="center" textRotation="90" wrapText="1"/>
    </xf>
    <xf numFmtId="171" fontId="7" fillId="19" borderId="85" xfId="0" applyNumberFormat="1" applyFont="1" applyFill="1" applyBorder="1"/>
  </cellXfs>
  <cellStyles count="14">
    <cellStyle name="Body: normal cell" xfId="1" xr:uid="{00000000-0005-0000-0000-000000000000}"/>
    <cellStyle name="Font: Calibri, 9pt regular" xfId="2" xr:uid="{00000000-0005-0000-0000-000001000000}"/>
    <cellStyle name="Footnotes: all except top row" xfId="3" xr:uid="{00000000-0005-0000-0000-000002000000}"/>
    <cellStyle name="Footnotes: top row" xfId="4" xr:uid="{00000000-0005-0000-0000-000003000000}"/>
    <cellStyle name="Header: bottom row" xfId="5" xr:uid="{00000000-0005-0000-0000-000004000000}"/>
    <cellStyle name="Header: top rows" xfId="6" xr:uid="{00000000-0005-0000-0000-000005000000}"/>
    <cellStyle name="Hyperlink" xfId="12" builtinId="8"/>
    <cellStyle name="Hyperlink 2" xfId="7" xr:uid="{00000000-0005-0000-0000-000007000000}"/>
    <cellStyle name="Normal" xfId="0" builtinId="0"/>
    <cellStyle name="Parent row" xfId="8" xr:uid="{00000000-0005-0000-0000-000009000000}"/>
    <cellStyle name="Percent" xfId="13" builtinId="5"/>
    <cellStyle name="Section Break" xfId="9" xr:uid="{00000000-0005-0000-0000-00000A000000}"/>
    <cellStyle name="Section Break: parent row" xfId="10" xr:uid="{00000000-0005-0000-0000-00000B000000}"/>
    <cellStyle name="Table title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Radio" checked="Checked" firstButton="1" lockText="1" noThreeD="1"/>
</file>

<file path=xl/ctrlProps/ctrlProp14.xml><?xml version="1.0" encoding="utf-8"?>
<formControlPr xmlns="http://schemas.microsoft.com/office/spreadsheetml/2009/9/main" objectType="Radio" lockText="1" noThreeD="1"/>
</file>

<file path=xl/ctrlProps/ctrlProp15.xml><?xml version="1.0" encoding="utf-8"?>
<formControlPr xmlns="http://schemas.microsoft.com/office/spreadsheetml/2009/9/main" objectType="Radio" firstButton="1" lockText="1" noThreeD="1"/>
</file>

<file path=xl/ctrlProps/ctrlProp16.xml><?xml version="1.0" encoding="utf-8"?>
<formControlPr xmlns="http://schemas.microsoft.com/office/spreadsheetml/2009/9/main" objectType="Radio" checked="Checked" lockText="1" noThreeD="1"/>
</file>

<file path=xl/ctrlProps/ctrlProp17.xml><?xml version="1.0" encoding="utf-8"?>
<formControlPr xmlns="http://schemas.microsoft.com/office/spreadsheetml/2009/9/main" objectType="Radio" lockText="1" noThreeD="1"/>
</file>

<file path=xl/ctrlProps/ctrlProp18.xml><?xml version="1.0" encoding="utf-8"?>
<formControlPr xmlns="http://schemas.microsoft.com/office/spreadsheetml/2009/9/main" objectType="Radio" lockText="1" noThreeD="1"/>
</file>

<file path=xl/ctrlProps/ctrlProp19.xml><?xml version="1.0" encoding="utf-8"?>
<formControlPr xmlns="http://schemas.microsoft.com/office/spreadsheetml/2009/9/main" objectType="GBox" noThreeD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19050</xdr:colOff>
      <xdr:row>210</xdr:row>
      <xdr:rowOff>19050</xdr:rowOff>
    </xdr:from>
    <xdr:to>
      <xdr:col>9</xdr:col>
      <xdr:colOff>156210</xdr:colOff>
      <xdr:row>210</xdr:row>
      <xdr:rowOff>156210</xdr:rowOff>
    </xdr:to>
    <xdr:sp macro="[1]!OvernightCapitalCostDefinition" textlink="">
      <xdr:nvSpPr>
        <xdr:cNvPr id="2" name="Oval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2143125" y="361378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339</xdr:row>
      <xdr:rowOff>19050</xdr:rowOff>
    </xdr:from>
    <xdr:to>
      <xdr:col>9</xdr:col>
      <xdr:colOff>156210</xdr:colOff>
      <xdr:row>339</xdr:row>
      <xdr:rowOff>156210</xdr:rowOff>
    </xdr:to>
    <xdr:sp macro="[1]!InterconnectionCostDefinition" textlink="">
      <xdr:nvSpPr>
        <xdr:cNvPr id="3" name="Oval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143125" y="582549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242</xdr:row>
      <xdr:rowOff>19050</xdr:rowOff>
    </xdr:from>
    <xdr:to>
      <xdr:col>9</xdr:col>
      <xdr:colOff>156210</xdr:colOff>
      <xdr:row>242</xdr:row>
      <xdr:rowOff>156210</xdr:rowOff>
    </xdr:to>
    <xdr:sp macro="[1]!OperatingExpensesDefinition" textlink="">
      <xdr:nvSpPr>
        <xdr:cNvPr id="4" name="Oval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2143125" y="416242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114</xdr:row>
      <xdr:rowOff>19050</xdr:rowOff>
    </xdr:from>
    <xdr:to>
      <xdr:col>9</xdr:col>
      <xdr:colOff>156210</xdr:colOff>
      <xdr:row>114</xdr:row>
      <xdr:rowOff>156210</xdr:rowOff>
    </xdr:to>
    <xdr:sp macro="[1]!CapacityFactorDefinition" textlink="">
      <xdr:nvSpPr>
        <xdr:cNvPr id="5" name="Oval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143125" y="196786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146</xdr:row>
      <xdr:rowOff>19050</xdr:rowOff>
    </xdr:from>
    <xdr:to>
      <xdr:col>9</xdr:col>
      <xdr:colOff>156210</xdr:colOff>
      <xdr:row>146</xdr:row>
      <xdr:rowOff>156210</xdr:rowOff>
    </xdr:to>
    <xdr:sp macro="[1]!AnnualEnergyProductionDefinition" textlink="">
      <xdr:nvSpPr>
        <xdr:cNvPr id="6" name="Oval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143125" y="251650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307</xdr:row>
      <xdr:rowOff>19050</xdr:rowOff>
    </xdr:from>
    <xdr:to>
      <xdr:col>9</xdr:col>
      <xdr:colOff>156210</xdr:colOff>
      <xdr:row>307</xdr:row>
      <xdr:rowOff>156210</xdr:rowOff>
    </xdr:to>
    <xdr:sp macro="[1]!FixedChargeRateDefinition" textlink="">
      <xdr:nvSpPr>
        <xdr:cNvPr id="7" name="Oval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143125" y="527685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371</xdr:row>
      <xdr:rowOff>19050</xdr:rowOff>
    </xdr:from>
    <xdr:to>
      <xdr:col>9</xdr:col>
      <xdr:colOff>156210</xdr:colOff>
      <xdr:row>371</xdr:row>
      <xdr:rowOff>156210</xdr:rowOff>
    </xdr:to>
    <xdr:sp macro="[1]!LCOEDefinition" textlink="">
      <xdr:nvSpPr>
        <xdr:cNvPr id="8" name="Oval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2143125" y="637413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114</xdr:row>
      <xdr:rowOff>19050</xdr:rowOff>
    </xdr:from>
    <xdr:to>
      <xdr:col>9</xdr:col>
      <xdr:colOff>156210</xdr:colOff>
      <xdr:row>114</xdr:row>
      <xdr:rowOff>156210</xdr:rowOff>
    </xdr:to>
    <xdr:sp macro="[1]!CapacityFactorDefinition" textlink="">
      <xdr:nvSpPr>
        <xdr:cNvPr id="9" name="Oval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143125" y="196786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114</xdr:row>
      <xdr:rowOff>19050</xdr:rowOff>
    </xdr:from>
    <xdr:to>
      <xdr:col>9</xdr:col>
      <xdr:colOff>156210</xdr:colOff>
      <xdr:row>114</xdr:row>
      <xdr:rowOff>156210</xdr:rowOff>
    </xdr:to>
    <xdr:sp macro="[1]!CapacityFactorDefinition" textlink="">
      <xdr:nvSpPr>
        <xdr:cNvPr id="10" name="Oval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2143125" y="196786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146</xdr:row>
      <xdr:rowOff>19050</xdr:rowOff>
    </xdr:from>
    <xdr:to>
      <xdr:col>9</xdr:col>
      <xdr:colOff>156210</xdr:colOff>
      <xdr:row>146</xdr:row>
      <xdr:rowOff>156210</xdr:rowOff>
    </xdr:to>
    <xdr:sp macro="[1]!AnnualEnergyProductionDefinition" textlink="">
      <xdr:nvSpPr>
        <xdr:cNvPr id="11" name="Oval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2143125" y="251650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307</xdr:row>
      <xdr:rowOff>19050</xdr:rowOff>
    </xdr:from>
    <xdr:to>
      <xdr:col>9</xdr:col>
      <xdr:colOff>156210</xdr:colOff>
      <xdr:row>307</xdr:row>
      <xdr:rowOff>156210</xdr:rowOff>
    </xdr:to>
    <xdr:sp macro="[1]!FixedChargeRateDefinition" textlink="">
      <xdr:nvSpPr>
        <xdr:cNvPr id="12" name="Oval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2143125" y="527685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307</xdr:row>
      <xdr:rowOff>19050</xdr:rowOff>
    </xdr:from>
    <xdr:to>
      <xdr:col>9</xdr:col>
      <xdr:colOff>156210</xdr:colOff>
      <xdr:row>307</xdr:row>
      <xdr:rowOff>156210</xdr:rowOff>
    </xdr:to>
    <xdr:sp macro="[1]!WACCDefinition" textlink="">
      <xdr:nvSpPr>
        <xdr:cNvPr id="13" name="Oval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2143125" y="527685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178</xdr:row>
      <xdr:rowOff>19050</xdr:rowOff>
    </xdr:from>
    <xdr:to>
      <xdr:col>9</xdr:col>
      <xdr:colOff>156210</xdr:colOff>
      <xdr:row>178</xdr:row>
      <xdr:rowOff>156210</xdr:rowOff>
    </xdr:to>
    <xdr:sp macro="[1]!AnnualEnergyProductionDefinition" textlink="">
      <xdr:nvSpPr>
        <xdr:cNvPr id="14" name="Oval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>
        <a:xfrm>
          <a:off x="2143125" y="306514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178</xdr:row>
      <xdr:rowOff>19050</xdr:rowOff>
    </xdr:from>
    <xdr:to>
      <xdr:col>9</xdr:col>
      <xdr:colOff>156210</xdr:colOff>
      <xdr:row>178</xdr:row>
      <xdr:rowOff>156210</xdr:rowOff>
    </xdr:to>
    <xdr:sp macro="[1]!AnnualEnergyProductionDefinition" textlink="">
      <xdr:nvSpPr>
        <xdr:cNvPr id="15" name="Oval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2143125" y="306514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178</xdr:row>
      <xdr:rowOff>19050</xdr:rowOff>
    </xdr:from>
    <xdr:to>
      <xdr:col>9</xdr:col>
      <xdr:colOff>156210</xdr:colOff>
      <xdr:row>178</xdr:row>
      <xdr:rowOff>156210</xdr:rowOff>
    </xdr:to>
    <xdr:sp macro="[1]!ConstructionFinanceDefinition" textlink="">
      <xdr:nvSpPr>
        <xdr:cNvPr id="16" name="Oval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2143125" y="306514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178</xdr:row>
      <xdr:rowOff>19050</xdr:rowOff>
    </xdr:from>
    <xdr:to>
      <xdr:col>9</xdr:col>
      <xdr:colOff>156210</xdr:colOff>
      <xdr:row>178</xdr:row>
      <xdr:rowOff>156210</xdr:rowOff>
    </xdr:to>
    <xdr:sp macro="[1]!CapitalCostDefinition" textlink="">
      <xdr:nvSpPr>
        <xdr:cNvPr id="17" name="Oval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2143125" y="306514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178</xdr:row>
      <xdr:rowOff>19050</xdr:rowOff>
    </xdr:from>
    <xdr:to>
      <xdr:col>9</xdr:col>
      <xdr:colOff>156210</xdr:colOff>
      <xdr:row>178</xdr:row>
      <xdr:rowOff>156210</xdr:rowOff>
    </xdr:to>
    <xdr:sp macro="[1]!CapitalCostDefinition" textlink="">
      <xdr:nvSpPr>
        <xdr:cNvPr id="18" name="Oval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2143125" y="306514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274</xdr:row>
      <xdr:rowOff>19050</xdr:rowOff>
    </xdr:from>
    <xdr:to>
      <xdr:col>9</xdr:col>
      <xdr:colOff>156210</xdr:colOff>
      <xdr:row>274</xdr:row>
      <xdr:rowOff>156210</xdr:rowOff>
    </xdr:to>
    <xdr:sp macro="[1]!OperatingExpensesDefinition" textlink="">
      <xdr:nvSpPr>
        <xdr:cNvPr id="19" name="Oval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2143125" y="471106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12</xdr:col>
      <xdr:colOff>628650</xdr:colOff>
      <xdr:row>41</xdr:row>
      <xdr:rowOff>21292</xdr:rowOff>
    </xdr:from>
    <xdr:to>
      <xdr:col>12</xdr:col>
      <xdr:colOff>763569</xdr:colOff>
      <xdr:row>41</xdr:row>
      <xdr:rowOff>166296</xdr:rowOff>
    </xdr:to>
    <xdr:sp macro="[1]!WACCDefinition" textlink="">
      <xdr:nvSpPr>
        <xdr:cNvPr id="20" name="Oval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8705850" y="7107892"/>
          <a:ext cx="134919" cy="145004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800100</xdr:colOff>
          <xdr:row>2</xdr:row>
          <xdr:rowOff>114300</xdr:rowOff>
        </xdr:from>
        <xdr:to>
          <xdr:col>11</xdr:col>
          <xdr:colOff>381000</xdr:colOff>
          <xdr:row>4</xdr:row>
          <xdr:rowOff>114300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2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100" b="1" i="0" u="none" strike="noStrike" baseline="0">
                  <a:solidFill>
                    <a:srgbClr val="000000"/>
                  </a:solidFill>
                  <a:latin typeface="Calibri" pitchFamily="2" charset="0"/>
                  <a:cs typeface="Calibri" pitchFamily="2" charset="0"/>
                </a:rPr>
                <a:t>Current Costs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114300</xdr:colOff>
          <xdr:row>2</xdr:row>
          <xdr:rowOff>114300</xdr:rowOff>
        </xdr:from>
        <xdr:to>
          <xdr:col>16</xdr:col>
          <xdr:colOff>114300</xdr:colOff>
          <xdr:row>4</xdr:row>
          <xdr:rowOff>114300</xdr:rowOff>
        </xdr:to>
        <xdr:sp macro="" textlink="">
          <xdr:nvSpPr>
            <xdr:cNvPr id="1026" name="Button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2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100" b="1" i="0" u="none" strike="noStrike" baseline="0">
                  <a:solidFill>
                    <a:srgbClr val="000000"/>
                  </a:solidFill>
                  <a:latin typeface="Calibri" pitchFamily="2" charset="0"/>
                  <a:cs typeface="Calibri" pitchFamily="2" charset="0"/>
                </a:rPr>
                <a:t>Data Sources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685800</xdr:colOff>
          <xdr:row>2</xdr:row>
          <xdr:rowOff>114300</xdr:rowOff>
        </xdr:from>
        <xdr:to>
          <xdr:col>13</xdr:col>
          <xdr:colOff>762000</xdr:colOff>
          <xdr:row>4</xdr:row>
          <xdr:rowOff>114300</xdr:rowOff>
        </xdr:to>
        <xdr:sp macro="" textlink="">
          <xdr:nvSpPr>
            <xdr:cNvPr id="1027" name="Button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2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100" b="1" i="0" u="none" strike="noStrike" baseline="0">
                  <a:solidFill>
                    <a:srgbClr val="000000"/>
                  </a:solidFill>
                  <a:latin typeface="Calibri" pitchFamily="2" charset="0"/>
                  <a:cs typeface="Calibri" pitchFamily="2" charset="0"/>
                </a:rPr>
                <a:t>Future Projections</a:t>
              </a:r>
            </a:p>
          </xdr:txBody>
        </xdr:sp>
        <xdr:clientData fPrintsWithSheet="0"/>
      </xdr:twoCellAnchor>
    </mc:Choice>
    <mc:Fallback/>
  </mc:AlternateContent>
  <xdr:twoCellAnchor>
    <xdr:from>
      <xdr:col>9</xdr:col>
      <xdr:colOff>19050</xdr:colOff>
      <xdr:row>210</xdr:row>
      <xdr:rowOff>19050</xdr:rowOff>
    </xdr:from>
    <xdr:to>
      <xdr:col>9</xdr:col>
      <xdr:colOff>156210</xdr:colOff>
      <xdr:row>210</xdr:row>
      <xdr:rowOff>156210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2143125" y="361378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339</xdr:row>
      <xdr:rowOff>19050</xdr:rowOff>
    </xdr:from>
    <xdr:to>
      <xdr:col>9</xdr:col>
      <xdr:colOff>156210</xdr:colOff>
      <xdr:row>339</xdr:row>
      <xdr:rowOff>156210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2143125" y="582549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242</xdr:row>
      <xdr:rowOff>19050</xdr:rowOff>
    </xdr:from>
    <xdr:to>
      <xdr:col>9</xdr:col>
      <xdr:colOff>156210</xdr:colOff>
      <xdr:row>242</xdr:row>
      <xdr:rowOff>156210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143125" y="416242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114</xdr:row>
      <xdr:rowOff>19050</xdr:rowOff>
    </xdr:from>
    <xdr:to>
      <xdr:col>9</xdr:col>
      <xdr:colOff>156210</xdr:colOff>
      <xdr:row>114</xdr:row>
      <xdr:rowOff>156210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2143125" y="196786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146</xdr:row>
      <xdr:rowOff>19050</xdr:rowOff>
    </xdr:from>
    <xdr:to>
      <xdr:col>9</xdr:col>
      <xdr:colOff>156210</xdr:colOff>
      <xdr:row>146</xdr:row>
      <xdr:rowOff>156210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2143125" y="251650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307</xdr:row>
      <xdr:rowOff>19050</xdr:rowOff>
    </xdr:from>
    <xdr:to>
      <xdr:col>9</xdr:col>
      <xdr:colOff>156210</xdr:colOff>
      <xdr:row>307</xdr:row>
      <xdr:rowOff>156210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2143125" y="527685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371</xdr:row>
      <xdr:rowOff>19050</xdr:rowOff>
    </xdr:from>
    <xdr:to>
      <xdr:col>9</xdr:col>
      <xdr:colOff>156210</xdr:colOff>
      <xdr:row>371</xdr:row>
      <xdr:rowOff>156210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2143125" y="637413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114</xdr:row>
      <xdr:rowOff>19050</xdr:rowOff>
    </xdr:from>
    <xdr:to>
      <xdr:col>9</xdr:col>
      <xdr:colOff>156210</xdr:colOff>
      <xdr:row>114</xdr:row>
      <xdr:rowOff>156210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2143125" y="196786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114</xdr:row>
      <xdr:rowOff>19050</xdr:rowOff>
    </xdr:from>
    <xdr:to>
      <xdr:col>9</xdr:col>
      <xdr:colOff>156210</xdr:colOff>
      <xdr:row>114</xdr:row>
      <xdr:rowOff>156210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2143125" y="196786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146</xdr:row>
      <xdr:rowOff>19050</xdr:rowOff>
    </xdr:from>
    <xdr:to>
      <xdr:col>9</xdr:col>
      <xdr:colOff>156210</xdr:colOff>
      <xdr:row>146</xdr:row>
      <xdr:rowOff>156210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SpPr/>
      </xdr:nvSpPr>
      <xdr:spPr>
        <a:xfrm>
          <a:off x="2143125" y="251650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307</xdr:row>
      <xdr:rowOff>19050</xdr:rowOff>
    </xdr:from>
    <xdr:to>
      <xdr:col>9</xdr:col>
      <xdr:colOff>156210</xdr:colOff>
      <xdr:row>307</xdr:row>
      <xdr:rowOff>156210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SpPr/>
      </xdr:nvSpPr>
      <xdr:spPr>
        <a:xfrm>
          <a:off x="2143125" y="527685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307</xdr:row>
      <xdr:rowOff>19050</xdr:rowOff>
    </xdr:from>
    <xdr:to>
      <xdr:col>9</xdr:col>
      <xdr:colOff>156210</xdr:colOff>
      <xdr:row>307</xdr:row>
      <xdr:rowOff>156210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SpPr/>
      </xdr:nvSpPr>
      <xdr:spPr>
        <a:xfrm>
          <a:off x="2143125" y="527685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178</xdr:row>
      <xdr:rowOff>19050</xdr:rowOff>
    </xdr:from>
    <xdr:to>
      <xdr:col>9</xdr:col>
      <xdr:colOff>156210</xdr:colOff>
      <xdr:row>178</xdr:row>
      <xdr:rowOff>156210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SpPr/>
      </xdr:nvSpPr>
      <xdr:spPr>
        <a:xfrm>
          <a:off x="2143125" y="306514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178</xdr:row>
      <xdr:rowOff>19050</xdr:rowOff>
    </xdr:from>
    <xdr:to>
      <xdr:col>9</xdr:col>
      <xdr:colOff>156210</xdr:colOff>
      <xdr:row>178</xdr:row>
      <xdr:rowOff>156210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SpPr/>
      </xdr:nvSpPr>
      <xdr:spPr>
        <a:xfrm>
          <a:off x="2143125" y="306514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178</xdr:row>
      <xdr:rowOff>19050</xdr:rowOff>
    </xdr:from>
    <xdr:to>
      <xdr:col>9</xdr:col>
      <xdr:colOff>156210</xdr:colOff>
      <xdr:row>178</xdr:row>
      <xdr:rowOff>156210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SpPr/>
      </xdr:nvSpPr>
      <xdr:spPr>
        <a:xfrm>
          <a:off x="2143125" y="306514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178</xdr:row>
      <xdr:rowOff>19050</xdr:rowOff>
    </xdr:from>
    <xdr:to>
      <xdr:col>9</xdr:col>
      <xdr:colOff>156210</xdr:colOff>
      <xdr:row>178</xdr:row>
      <xdr:rowOff>156210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SpPr/>
      </xdr:nvSpPr>
      <xdr:spPr>
        <a:xfrm>
          <a:off x="2143125" y="306514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178</xdr:row>
      <xdr:rowOff>19050</xdr:rowOff>
    </xdr:from>
    <xdr:to>
      <xdr:col>9</xdr:col>
      <xdr:colOff>156210</xdr:colOff>
      <xdr:row>178</xdr:row>
      <xdr:rowOff>156210</xdr:rowOff>
    </xdr:to>
    <xdr:sp macro="" textlink="">
      <xdr:nvSpPr>
        <xdr:cNvPr id="40" name="Oval 39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SpPr/>
      </xdr:nvSpPr>
      <xdr:spPr>
        <a:xfrm>
          <a:off x="2143125" y="306514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274</xdr:row>
      <xdr:rowOff>19050</xdr:rowOff>
    </xdr:from>
    <xdr:to>
      <xdr:col>9</xdr:col>
      <xdr:colOff>156210</xdr:colOff>
      <xdr:row>274</xdr:row>
      <xdr:rowOff>156210</xdr:rowOff>
    </xdr:to>
    <xdr:sp macro="" textlink="">
      <xdr:nvSpPr>
        <xdr:cNvPr id="41" name="Oval 40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/>
      </xdr:nvSpPr>
      <xdr:spPr>
        <a:xfrm>
          <a:off x="2143125" y="471106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12</xdr:col>
      <xdr:colOff>628650</xdr:colOff>
      <xdr:row>41</xdr:row>
      <xdr:rowOff>21292</xdr:rowOff>
    </xdr:from>
    <xdr:to>
      <xdr:col>12</xdr:col>
      <xdr:colOff>763569</xdr:colOff>
      <xdr:row>41</xdr:row>
      <xdr:rowOff>166296</xdr:rowOff>
    </xdr:to>
    <xdr:sp macro="" textlink="">
      <xdr:nvSpPr>
        <xdr:cNvPr id="42" name="Oval 41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/>
      </xdr:nvSpPr>
      <xdr:spPr>
        <a:xfrm>
          <a:off x="8705850" y="7107892"/>
          <a:ext cx="134919" cy="145004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800100</xdr:colOff>
          <xdr:row>2</xdr:row>
          <xdr:rowOff>114300</xdr:rowOff>
        </xdr:from>
        <xdr:to>
          <xdr:col>11</xdr:col>
          <xdr:colOff>381000</xdr:colOff>
          <xdr:row>4</xdr:row>
          <xdr:rowOff>114300</xdr:rowOff>
        </xdr:to>
        <xdr:sp macro="" textlink="">
          <xdr:nvSpPr>
            <xdr:cNvPr id="1028" name="Button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2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100" b="1" i="0" u="none" strike="noStrike" baseline="0">
                  <a:solidFill>
                    <a:srgbClr val="000000"/>
                  </a:solidFill>
                  <a:latin typeface="Calibri" pitchFamily="2" charset="0"/>
                  <a:cs typeface="Calibri" pitchFamily="2" charset="0"/>
                </a:rPr>
                <a:t>Current Costs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114300</xdr:colOff>
          <xdr:row>2</xdr:row>
          <xdr:rowOff>114300</xdr:rowOff>
        </xdr:from>
        <xdr:to>
          <xdr:col>16</xdr:col>
          <xdr:colOff>114300</xdr:colOff>
          <xdr:row>4</xdr:row>
          <xdr:rowOff>114300</xdr:rowOff>
        </xdr:to>
        <xdr:sp macro="" textlink="">
          <xdr:nvSpPr>
            <xdr:cNvPr id="1029" name="Button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2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100" b="1" i="0" u="none" strike="noStrike" baseline="0">
                  <a:solidFill>
                    <a:srgbClr val="000000"/>
                  </a:solidFill>
                  <a:latin typeface="Calibri" pitchFamily="2" charset="0"/>
                  <a:cs typeface="Calibri" pitchFamily="2" charset="0"/>
                </a:rPr>
                <a:t>Data Sources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685800</xdr:colOff>
          <xdr:row>2</xdr:row>
          <xdr:rowOff>114300</xdr:rowOff>
        </xdr:from>
        <xdr:to>
          <xdr:col>13</xdr:col>
          <xdr:colOff>762000</xdr:colOff>
          <xdr:row>4</xdr:row>
          <xdr:rowOff>114300</xdr:rowOff>
        </xdr:to>
        <xdr:sp macro="" textlink="">
          <xdr:nvSpPr>
            <xdr:cNvPr id="1030" name="Button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2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100" b="1" i="0" u="none" strike="noStrike" baseline="0">
                  <a:solidFill>
                    <a:srgbClr val="000000"/>
                  </a:solidFill>
                  <a:latin typeface="Calibri" pitchFamily="2" charset="0"/>
                  <a:cs typeface="Calibri" pitchFamily="2" charset="0"/>
                </a:rPr>
                <a:t>Future Projections</a:t>
              </a:r>
            </a:p>
          </xdr:txBody>
        </xdr:sp>
        <xdr:clientData fPrintsWithSheet="0"/>
      </xdr:twoCellAnchor>
    </mc:Choice>
    <mc:Fallback/>
  </mc:AlternateContent>
  <xdr:twoCellAnchor>
    <xdr:from>
      <xdr:col>9</xdr:col>
      <xdr:colOff>19050</xdr:colOff>
      <xdr:row>210</xdr:row>
      <xdr:rowOff>19050</xdr:rowOff>
    </xdr:from>
    <xdr:to>
      <xdr:col>9</xdr:col>
      <xdr:colOff>156210</xdr:colOff>
      <xdr:row>210</xdr:row>
      <xdr:rowOff>156210</xdr:rowOff>
    </xdr:to>
    <xdr:sp macro="[1]!OvernightCapitalCostDefinition" textlink="">
      <xdr:nvSpPr>
        <xdr:cNvPr id="46" name="Oval 45">
          <a:extLst>
            <a:ext uri="{FF2B5EF4-FFF2-40B4-BE49-F238E27FC236}">
              <a16:creationId xmlns:a16="http://schemas.microsoft.com/office/drawing/2014/main" id="{00000000-0008-0000-0200-00002E000000}"/>
            </a:ext>
          </a:extLst>
        </xdr:cNvPr>
        <xdr:cNvSpPr/>
      </xdr:nvSpPr>
      <xdr:spPr>
        <a:xfrm>
          <a:off x="2143125" y="361378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339</xdr:row>
      <xdr:rowOff>19050</xdr:rowOff>
    </xdr:from>
    <xdr:to>
      <xdr:col>9</xdr:col>
      <xdr:colOff>156210</xdr:colOff>
      <xdr:row>339</xdr:row>
      <xdr:rowOff>156210</xdr:rowOff>
    </xdr:to>
    <xdr:sp macro="[1]!InterconnectionCostDefinition" textlink="">
      <xdr:nvSpPr>
        <xdr:cNvPr id="47" name="Oval 46">
          <a:extLst>
            <a:ext uri="{FF2B5EF4-FFF2-40B4-BE49-F238E27FC236}">
              <a16:creationId xmlns:a16="http://schemas.microsoft.com/office/drawing/2014/main" id="{00000000-0008-0000-0200-00002F000000}"/>
            </a:ext>
          </a:extLst>
        </xdr:cNvPr>
        <xdr:cNvSpPr/>
      </xdr:nvSpPr>
      <xdr:spPr>
        <a:xfrm>
          <a:off x="2143125" y="582549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242</xdr:row>
      <xdr:rowOff>19050</xdr:rowOff>
    </xdr:from>
    <xdr:to>
      <xdr:col>9</xdr:col>
      <xdr:colOff>156210</xdr:colOff>
      <xdr:row>242</xdr:row>
      <xdr:rowOff>156210</xdr:rowOff>
    </xdr:to>
    <xdr:sp macro="[1]!OperatingExpensesDefinition" textlink="">
      <xdr:nvSpPr>
        <xdr:cNvPr id="48" name="Oval 47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SpPr/>
      </xdr:nvSpPr>
      <xdr:spPr>
        <a:xfrm>
          <a:off x="2143125" y="416242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114</xdr:row>
      <xdr:rowOff>19050</xdr:rowOff>
    </xdr:from>
    <xdr:to>
      <xdr:col>9</xdr:col>
      <xdr:colOff>156210</xdr:colOff>
      <xdr:row>114</xdr:row>
      <xdr:rowOff>156210</xdr:rowOff>
    </xdr:to>
    <xdr:sp macro="[1]!CapacityFactorDefinition" textlink="">
      <xdr:nvSpPr>
        <xdr:cNvPr id="49" name="Oval 48">
          <a:extLst>
            <a:ext uri="{FF2B5EF4-FFF2-40B4-BE49-F238E27FC236}">
              <a16:creationId xmlns:a16="http://schemas.microsoft.com/office/drawing/2014/main" id="{00000000-0008-0000-0200-000031000000}"/>
            </a:ext>
          </a:extLst>
        </xdr:cNvPr>
        <xdr:cNvSpPr/>
      </xdr:nvSpPr>
      <xdr:spPr>
        <a:xfrm>
          <a:off x="2143125" y="196786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146</xdr:row>
      <xdr:rowOff>19050</xdr:rowOff>
    </xdr:from>
    <xdr:to>
      <xdr:col>9</xdr:col>
      <xdr:colOff>156210</xdr:colOff>
      <xdr:row>146</xdr:row>
      <xdr:rowOff>156210</xdr:rowOff>
    </xdr:to>
    <xdr:sp macro="[1]!AnnualEnergyProductionDefinition" textlink="">
      <xdr:nvSpPr>
        <xdr:cNvPr id="50" name="Oval 49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SpPr/>
      </xdr:nvSpPr>
      <xdr:spPr>
        <a:xfrm>
          <a:off x="2143125" y="251650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307</xdr:row>
      <xdr:rowOff>19050</xdr:rowOff>
    </xdr:from>
    <xdr:to>
      <xdr:col>9</xdr:col>
      <xdr:colOff>156210</xdr:colOff>
      <xdr:row>307</xdr:row>
      <xdr:rowOff>156210</xdr:rowOff>
    </xdr:to>
    <xdr:sp macro="[1]!FixedChargeRateDefinition" textlink="">
      <xdr:nvSpPr>
        <xdr:cNvPr id="51" name="Oval 50">
          <a:extLst>
            <a:ext uri="{FF2B5EF4-FFF2-40B4-BE49-F238E27FC236}">
              <a16:creationId xmlns:a16="http://schemas.microsoft.com/office/drawing/2014/main" id="{00000000-0008-0000-0200-000033000000}"/>
            </a:ext>
          </a:extLst>
        </xdr:cNvPr>
        <xdr:cNvSpPr/>
      </xdr:nvSpPr>
      <xdr:spPr>
        <a:xfrm>
          <a:off x="2143125" y="527685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371</xdr:row>
      <xdr:rowOff>19050</xdr:rowOff>
    </xdr:from>
    <xdr:to>
      <xdr:col>9</xdr:col>
      <xdr:colOff>156210</xdr:colOff>
      <xdr:row>371</xdr:row>
      <xdr:rowOff>156210</xdr:rowOff>
    </xdr:to>
    <xdr:sp macro="[1]!LCOEDefinition" textlink="">
      <xdr:nvSpPr>
        <xdr:cNvPr id="52" name="Oval 51">
          <a:extLst>
            <a:ext uri="{FF2B5EF4-FFF2-40B4-BE49-F238E27FC236}">
              <a16:creationId xmlns:a16="http://schemas.microsoft.com/office/drawing/2014/main" id="{00000000-0008-0000-0200-000034000000}"/>
            </a:ext>
          </a:extLst>
        </xdr:cNvPr>
        <xdr:cNvSpPr/>
      </xdr:nvSpPr>
      <xdr:spPr>
        <a:xfrm>
          <a:off x="2143125" y="637413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114</xdr:row>
      <xdr:rowOff>19050</xdr:rowOff>
    </xdr:from>
    <xdr:to>
      <xdr:col>9</xdr:col>
      <xdr:colOff>156210</xdr:colOff>
      <xdr:row>114</xdr:row>
      <xdr:rowOff>156210</xdr:rowOff>
    </xdr:to>
    <xdr:sp macro="[1]!CapacityFactorDefinition" textlink="">
      <xdr:nvSpPr>
        <xdr:cNvPr id="53" name="Oval 52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SpPr/>
      </xdr:nvSpPr>
      <xdr:spPr>
        <a:xfrm>
          <a:off x="2143125" y="196786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114</xdr:row>
      <xdr:rowOff>19050</xdr:rowOff>
    </xdr:from>
    <xdr:to>
      <xdr:col>9</xdr:col>
      <xdr:colOff>156210</xdr:colOff>
      <xdr:row>114</xdr:row>
      <xdr:rowOff>156210</xdr:rowOff>
    </xdr:to>
    <xdr:sp macro="[1]!CapacityFactorDefinition" textlink="">
      <xdr:nvSpPr>
        <xdr:cNvPr id="54" name="Oval 53">
          <a:extLst>
            <a:ext uri="{FF2B5EF4-FFF2-40B4-BE49-F238E27FC236}">
              <a16:creationId xmlns:a16="http://schemas.microsoft.com/office/drawing/2014/main" id="{00000000-0008-0000-0200-000036000000}"/>
            </a:ext>
          </a:extLst>
        </xdr:cNvPr>
        <xdr:cNvSpPr/>
      </xdr:nvSpPr>
      <xdr:spPr>
        <a:xfrm>
          <a:off x="2143125" y="196786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146</xdr:row>
      <xdr:rowOff>19050</xdr:rowOff>
    </xdr:from>
    <xdr:to>
      <xdr:col>9</xdr:col>
      <xdr:colOff>156210</xdr:colOff>
      <xdr:row>146</xdr:row>
      <xdr:rowOff>156210</xdr:rowOff>
    </xdr:to>
    <xdr:sp macro="[1]!AnnualEnergyProductionDefinition" textlink="">
      <xdr:nvSpPr>
        <xdr:cNvPr id="55" name="Oval 54"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SpPr/>
      </xdr:nvSpPr>
      <xdr:spPr>
        <a:xfrm>
          <a:off x="2143125" y="251650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307</xdr:row>
      <xdr:rowOff>19050</xdr:rowOff>
    </xdr:from>
    <xdr:to>
      <xdr:col>9</xdr:col>
      <xdr:colOff>156210</xdr:colOff>
      <xdr:row>307</xdr:row>
      <xdr:rowOff>156210</xdr:rowOff>
    </xdr:to>
    <xdr:sp macro="[1]!FixedChargeRateDefinition" textlink="">
      <xdr:nvSpPr>
        <xdr:cNvPr id="56" name="Oval 55">
          <a:extLst>
            <a:ext uri="{FF2B5EF4-FFF2-40B4-BE49-F238E27FC236}">
              <a16:creationId xmlns:a16="http://schemas.microsoft.com/office/drawing/2014/main" id="{00000000-0008-0000-0200-000038000000}"/>
            </a:ext>
          </a:extLst>
        </xdr:cNvPr>
        <xdr:cNvSpPr/>
      </xdr:nvSpPr>
      <xdr:spPr>
        <a:xfrm>
          <a:off x="2143125" y="527685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307</xdr:row>
      <xdr:rowOff>19050</xdr:rowOff>
    </xdr:from>
    <xdr:to>
      <xdr:col>9</xdr:col>
      <xdr:colOff>156210</xdr:colOff>
      <xdr:row>307</xdr:row>
      <xdr:rowOff>156210</xdr:rowOff>
    </xdr:to>
    <xdr:sp macro="[1]!WACCDefinition" textlink="">
      <xdr:nvSpPr>
        <xdr:cNvPr id="57" name="Oval 56">
          <a:extLst>
            <a:ext uri="{FF2B5EF4-FFF2-40B4-BE49-F238E27FC236}">
              <a16:creationId xmlns:a16="http://schemas.microsoft.com/office/drawing/2014/main" id="{00000000-0008-0000-0200-000039000000}"/>
            </a:ext>
          </a:extLst>
        </xdr:cNvPr>
        <xdr:cNvSpPr/>
      </xdr:nvSpPr>
      <xdr:spPr>
        <a:xfrm>
          <a:off x="2143125" y="527685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178</xdr:row>
      <xdr:rowOff>19050</xdr:rowOff>
    </xdr:from>
    <xdr:to>
      <xdr:col>9</xdr:col>
      <xdr:colOff>156210</xdr:colOff>
      <xdr:row>178</xdr:row>
      <xdr:rowOff>156210</xdr:rowOff>
    </xdr:to>
    <xdr:sp macro="[1]!AnnualEnergyProductionDefinition" textlink="">
      <xdr:nvSpPr>
        <xdr:cNvPr id="58" name="Oval 57">
          <a:extLst>
            <a:ext uri="{FF2B5EF4-FFF2-40B4-BE49-F238E27FC236}">
              <a16:creationId xmlns:a16="http://schemas.microsoft.com/office/drawing/2014/main" id="{00000000-0008-0000-0200-00003A000000}"/>
            </a:ext>
          </a:extLst>
        </xdr:cNvPr>
        <xdr:cNvSpPr/>
      </xdr:nvSpPr>
      <xdr:spPr>
        <a:xfrm>
          <a:off x="2143125" y="306514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178</xdr:row>
      <xdr:rowOff>19050</xdr:rowOff>
    </xdr:from>
    <xdr:to>
      <xdr:col>9</xdr:col>
      <xdr:colOff>156210</xdr:colOff>
      <xdr:row>178</xdr:row>
      <xdr:rowOff>156210</xdr:rowOff>
    </xdr:to>
    <xdr:sp macro="[1]!AnnualEnergyProductionDefinition" textlink="">
      <xdr:nvSpPr>
        <xdr:cNvPr id="59" name="Oval 58">
          <a:extLst>
            <a:ext uri="{FF2B5EF4-FFF2-40B4-BE49-F238E27FC236}">
              <a16:creationId xmlns:a16="http://schemas.microsoft.com/office/drawing/2014/main" id="{00000000-0008-0000-0200-00003B000000}"/>
            </a:ext>
          </a:extLst>
        </xdr:cNvPr>
        <xdr:cNvSpPr/>
      </xdr:nvSpPr>
      <xdr:spPr>
        <a:xfrm>
          <a:off x="2143125" y="306514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178</xdr:row>
      <xdr:rowOff>19050</xdr:rowOff>
    </xdr:from>
    <xdr:to>
      <xdr:col>9</xdr:col>
      <xdr:colOff>156210</xdr:colOff>
      <xdr:row>178</xdr:row>
      <xdr:rowOff>156210</xdr:rowOff>
    </xdr:to>
    <xdr:sp macro="[1]!ConstructionFinanceDefinition" textlink="">
      <xdr:nvSpPr>
        <xdr:cNvPr id="60" name="Oval 59">
          <a:extLst>
            <a:ext uri="{FF2B5EF4-FFF2-40B4-BE49-F238E27FC236}">
              <a16:creationId xmlns:a16="http://schemas.microsoft.com/office/drawing/2014/main" id="{00000000-0008-0000-0200-00003C000000}"/>
            </a:ext>
          </a:extLst>
        </xdr:cNvPr>
        <xdr:cNvSpPr/>
      </xdr:nvSpPr>
      <xdr:spPr>
        <a:xfrm>
          <a:off x="2143125" y="306514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178</xdr:row>
      <xdr:rowOff>19050</xdr:rowOff>
    </xdr:from>
    <xdr:to>
      <xdr:col>9</xdr:col>
      <xdr:colOff>156210</xdr:colOff>
      <xdr:row>178</xdr:row>
      <xdr:rowOff>156210</xdr:rowOff>
    </xdr:to>
    <xdr:sp macro="[1]!CapitalCostDefinition" textlink="">
      <xdr:nvSpPr>
        <xdr:cNvPr id="61" name="Oval 60">
          <a:extLst>
            <a:ext uri="{FF2B5EF4-FFF2-40B4-BE49-F238E27FC236}">
              <a16:creationId xmlns:a16="http://schemas.microsoft.com/office/drawing/2014/main" id="{00000000-0008-0000-0200-00003D000000}"/>
            </a:ext>
          </a:extLst>
        </xdr:cNvPr>
        <xdr:cNvSpPr/>
      </xdr:nvSpPr>
      <xdr:spPr>
        <a:xfrm>
          <a:off x="2143125" y="306514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178</xdr:row>
      <xdr:rowOff>19050</xdr:rowOff>
    </xdr:from>
    <xdr:to>
      <xdr:col>9</xdr:col>
      <xdr:colOff>156210</xdr:colOff>
      <xdr:row>178</xdr:row>
      <xdr:rowOff>156210</xdr:rowOff>
    </xdr:to>
    <xdr:sp macro="[1]!CapitalCostDefinition" textlink="">
      <xdr:nvSpPr>
        <xdr:cNvPr id="62" name="Oval 61">
          <a:extLst>
            <a:ext uri="{FF2B5EF4-FFF2-40B4-BE49-F238E27FC236}">
              <a16:creationId xmlns:a16="http://schemas.microsoft.com/office/drawing/2014/main" id="{00000000-0008-0000-0200-00003E000000}"/>
            </a:ext>
          </a:extLst>
        </xdr:cNvPr>
        <xdr:cNvSpPr/>
      </xdr:nvSpPr>
      <xdr:spPr>
        <a:xfrm>
          <a:off x="2143125" y="306514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274</xdr:row>
      <xdr:rowOff>19050</xdr:rowOff>
    </xdr:from>
    <xdr:to>
      <xdr:col>9</xdr:col>
      <xdr:colOff>156210</xdr:colOff>
      <xdr:row>274</xdr:row>
      <xdr:rowOff>156210</xdr:rowOff>
    </xdr:to>
    <xdr:sp macro="[1]!OperatingExpensesDefinition" textlink="">
      <xdr:nvSpPr>
        <xdr:cNvPr id="63" name="Oval 62">
          <a:extLst>
            <a:ext uri="{FF2B5EF4-FFF2-40B4-BE49-F238E27FC236}">
              <a16:creationId xmlns:a16="http://schemas.microsoft.com/office/drawing/2014/main" id="{00000000-0008-0000-0200-00003F000000}"/>
            </a:ext>
          </a:extLst>
        </xdr:cNvPr>
        <xdr:cNvSpPr/>
      </xdr:nvSpPr>
      <xdr:spPr>
        <a:xfrm>
          <a:off x="2143125" y="471106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8</xdr:col>
      <xdr:colOff>398621</xdr:colOff>
      <xdr:row>41</xdr:row>
      <xdr:rowOff>53201</xdr:rowOff>
    </xdr:from>
    <xdr:to>
      <xdr:col>8</xdr:col>
      <xdr:colOff>537350</xdr:colOff>
      <xdr:row>42</xdr:row>
      <xdr:rowOff>39137</xdr:rowOff>
    </xdr:to>
    <xdr:sp macro="[1]!WACCDefinition" textlink="">
      <xdr:nvSpPr>
        <xdr:cNvPr id="64" name="Oval 63">
          <a:extLst>
            <a:ext uri="{FF2B5EF4-FFF2-40B4-BE49-F238E27FC236}">
              <a16:creationId xmlns:a16="http://schemas.microsoft.com/office/drawing/2014/main" id="{00000000-0008-0000-0200-000040000000}"/>
            </a:ext>
          </a:extLst>
        </xdr:cNvPr>
        <xdr:cNvSpPr/>
      </xdr:nvSpPr>
      <xdr:spPr>
        <a:xfrm>
          <a:off x="1960721" y="7139801"/>
          <a:ext cx="138729" cy="157386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800100</xdr:colOff>
          <xdr:row>2</xdr:row>
          <xdr:rowOff>114300</xdr:rowOff>
        </xdr:from>
        <xdr:to>
          <xdr:col>11</xdr:col>
          <xdr:colOff>381000</xdr:colOff>
          <xdr:row>4</xdr:row>
          <xdr:rowOff>114300</xdr:rowOff>
        </xdr:to>
        <xdr:sp macro="" textlink="">
          <xdr:nvSpPr>
            <xdr:cNvPr id="1031" name="Button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2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100" b="1" i="0" u="none" strike="noStrike" baseline="0">
                  <a:solidFill>
                    <a:srgbClr val="000000"/>
                  </a:solidFill>
                  <a:latin typeface="Calibri" pitchFamily="2" charset="0"/>
                  <a:cs typeface="Calibri" pitchFamily="2" charset="0"/>
                </a:rPr>
                <a:t>Current Costs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114300</xdr:colOff>
          <xdr:row>2</xdr:row>
          <xdr:rowOff>114300</xdr:rowOff>
        </xdr:from>
        <xdr:to>
          <xdr:col>16</xdr:col>
          <xdr:colOff>114300</xdr:colOff>
          <xdr:row>4</xdr:row>
          <xdr:rowOff>114300</xdr:rowOff>
        </xdr:to>
        <xdr:sp macro="" textlink="">
          <xdr:nvSpPr>
            <xdr:cNvPr id="1032" name="Button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2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100" b="1" i="0" u="none" strike="noStrike" baseline="0">
                  <a:solidFill>
                    <a:srgbClr val="000000"/>
                  </a:solidFill>
                  <a:latin typeface="Calibri" pitchFamily="2" charset="0"/>
                  <a:cs typeface="Calibri" pitchFamily="2" charset="0"/>
                </a:rPr>
                <a:t>Data Sources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685800</xdr:colOff>
          <xdr:row>2</xdr:row>
          <xdr:rowOff>114300</xdr:rowOff>
        </xdr:from>
        <xdr:to>
          <xdr:col>13</xdr:col>
          <xdr:colOff>762000</xdr:colOff>
          <xdr:row>4</xdr:row>
          <xdr:rowOff>114300</xdr:rowOff>
        </xdr:to>
        <xdr:sp macro="" textlink="">
          <xdr:nvSpPr>
            <xdr:cNvPr id="1033" name="Button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2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100" b="1" i="0" u="none" strike="noStrike" baseline="0">
                  <a:solidFill>
                    <a:srgbClr val="000000"/>
                  </a:solidFill>
                  <a:latin typeface="Calibri" pitchFamily="2" charset="0"/>
                  <a:cs typeface="Calibri" pitchFamily="2" charset="0"/>
                </a:rPr>
                <a:t>Future Projections</a:t>
              </a:r>
            </a:p>
          </xdr:txBody>
        </xdr:sp>
        <xdr:clientData fPrintsWithSheet="0"/>
      </xdr:twoCellAnchor>
    </mc:Choice>
    <mc:Fallback/>
  </mc:AlternateContent>
  <xdr:twoCellAnchor>
    <xdr:from>
      <xdr:col>9</xdr:col>
      <xdr:colOff>19050</xdr:colOff>
      <xdr:row>210</xdr:row>
      <xdr:rowOff>19050</xdr:rowOff>
    </xdr:from>
    <xdr:to>
      <xdr:col>9</xdr:col>
      <xdr:colOff>156210</xdr:colOff>
      <xdr:row>210</xdr:row>
      <xdr:rowOff>156210</xdr:rowOff>
    </xdr:to>
    <xdr:sp macro="" textlink="">
      <xdr:nvSpPr>
        <xdr:cNvPr id="68" name="Oval 67">
          <a:extLst>
            <a:ext uri="{FF2B5EF4-FFF2-40B4-BE49-F238E27FC236}">
              <a16:creationId xmlns:a16="http://schemas.microsoft.com/office/drawing/2014/main" id="{00000000-0008-0000-0200-000044000000}"/>
            </a:ext>
          </a:extLst>
        </xdr:cNvPr>
        <xdr:cNvSpPr/>
      </xdr:nvSpPr>
      <xdr:spPr>
        <a:xfrm>
          <a:off x="2143125" y="361378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339</xdr:row>
      <xdr:rowOff>19050</xdr:rowOff>
    </xdr:from>
    <xdr:to>
      <xdr:col>9</xdr:col>
      <xdr:colOff>156210</xdr:colOff>
      <xdr:row>339</xdr:row>
      <xdr:rowOff>156210</xdr:rowOff>
    </xdr:to>
    <xdr:sp macro="" textlink="">
      <xdr:nvSpPr>
        <xdr:cNvPr id="69" name="Oval 68">
          <a:extLst>
            <a:ext uri="{FF2B5EF4-FFF2-40B4-BE49-F238E27FC236}">
              <a16:creationId xmlns:a16="http://schemas.microsoft.com/office/drawing/2014/main" id="{00000000-0008-0000-0200-000045000000}"/>
            </a:ext>
          </a:extLst>
        </xdr:cNvPr>
        <xdr:cNvSpPr/>
      </xdr:nvSpPr>
      <xdr:spPr>
        <a:xfrm>
          <a:off x="2143125" y="582549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242</xdr:row>
      <xdr:rowOff>19050</xdr:rowOff>
    </xdr:from>
    <xdr:to>
      <xdr:col>9</xdr:col>
      <xdr:colOff>156210</xdr:colOff>
      <xdr:row>242</xdr:row>
      <xdr:rowOff>156210</xdr:rowOff>
    </xdr:to>
    <xdr:sp macro="" textlink="">
      <xdr:nvSpPr>
        <xdr:cNvPr id="70" name="Oval 69">
          <a:extLst>
            <a:ext uri="{FF2B5EF4-FFF2-40B4-BE49-F238E27FC236}">
              <a16:creationId xmlns:a16="http://schemas.microsoft.com/office/drawing/2014/main" id="{00000000-0008-0000-0200-000046000000}"/>
            </a:ext>
          </a:extLst>
        </xdr:cNvPr>
        <xdr:cNvSpPr/>
      </xdr:nvSpPr>
      <xdr:spPr>
        <a:xfrm>
          <a:off x="2143125" y="416242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114</xdr:row>
      <xdr:rowOff>19050</xdr:rowOff>
    </xdr:from>
    <xdr:to>
      <xdr:col>9</xdr:col>
      <xdr:colOff>156210</xdr:colOff>
      <xdr:row>114</xdr:row>
      <xdr:rowOff>156210</xdr:rowOff>
    </xdr:to>
    <xdr:sp macro="" textlink="">
      <xdr:nvSpPr>
        <xdr:cNvPr id="71" name="Oval 70">
          <a:extLst>
            <a:ext uri="{FF2B5EF4-FFF2-40B4-BE49-F238E27FC236}">
              <a16:creationId xmlns:a16="http://schemas.microsoft.com/office/drawing/2014/main" id="{00000000-0008-0000-0200-000047000000}"/>
            </a:ext>
          </a:extLst>
        </xdr:cNvPr>
        <xdr:cNvSpPr/>
      </xdr:nvSpPr>
      <xdr:spPr>
        <a:xfrm>
          <a:off x="2143125" y="196786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146</xdr:row>
      <xdr:rowOff>19050</xdr:rowOff>
    </xdr:from>
    <xdr:to>
      <xdr:col>9</xdr:col>
      <xdr:colOff>156210</xdr:colOff>
      <xdr:row>146</xdr:row>
      <xdr:rowOff>156210</xdr:rowOff>
    </xdr:to>
    <xdr:sp macro="" textlink="">
      <xdr:nvSpPr>
        <xdr:cNvPr id="72" name="Oval 71">
          <a:extLst>
            <a:ext uri="{FF2B5EF4-FFF2-40B4-BE49-F238E27FC236}">
              <a16:creationId xmlns:a16="http://schemas.microsoft.com/office/drawing/2014/main" id="{00000000-0008-0000-0200-000048000000}"/>
            </a:ext>
          </a:extLst>
        </xdr:cNvPr>
        <xdr:cNvSpPr/>
      </xdr:nvSpPr>
      <xdr:spPr>
        <a:xfrm>
          <a:off x="2143125" y="251650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307</xdr:row>
      <xdr:rowOff>19050</xdr:rowOff>
    </xdr:from>
    <xdr:to>
      <xdr:col>9</xdr:col>
      <xdr:colOff>156210</xdr:colOff>
      <xdr:row>307</xdr:row>
      <xdr:rowOff>156210</xdr:rowOff>
    </xdr:to>
    <xdr:sp macro="" textlink="">
      <xdr:nvSpPr>
        <xdr:cNvPr id="73" name="Oval 72">
          <a:extLst>
            <a:ext uri="{FF2B5EF4-FFF2-40B4-BE49-F238E27FC236}">
              <a16:creationId xmlns:a16="http://schemas.microsoft.com/office/drawing/2014/main" id="{00000000-0008-0000-0200-000049000000}"/>
            </a:ext>
          </a:extLst>
        </xdr:cNvPr>
        <xdr:cNvSpPr/>
      </xdr:nvSpPr>
      <xdr:spPr>
        <a:xfrm>
          <a:off x="2143125" y="527685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371</xdr:row>
      <xdr:rowOff>19050</xdr:rowOff>
    </xdr:from>
    <xdr:to>
      <xdr:col>9</xdr:col>
      <xdr:colOff>156210</xdr:colOff>
      <xdr:row>371</xdr:row>
      <xdr:rowOff>156210</xdr:rowOff>
    </xdr:to>
    <xdr:sp macro="" textlink="">
      <xdr:nvSpPr>
        <xdr:cNvPr id="74" name="Oval 73">
          <a:extLst>
            <a:ext uri="{FF2B5EF4-FFF2-40B4-BE49-F238E27FC236}">
              <a16:creationId xmlns:a16="http://schemas.microsoft.com/office/drawing/2014/main" id="{00000000-0008-0000-0200-00004A000000}"/>
            </a:ext>
          </a:extLst>
        </xdr:cNvPr>
        <xdr:cNvSpPr/>
      </xdr:nvSpPr>
      <xdr:spPr>
        <a:xfrm>
          <a:off x="2143125" y="637413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114</xdr:row>
      <xdr:rowOff>19050</xdr:rowOff>
    </xdr:from>
    <xdr:to>
      <xdr:col>9</xdr:col>
      <xdr:colOff>156210</xdr:colOff>
      <xdr:row>114</xdr:row>
      <xdr:rowOff>156210</xdr:rowOff>
    </xdr:to>
    <xdr:sp macro="" textlink="">
      <xdr:nvSpPr>
        <xdr:cNvPr id="75" name="Oval 74">
          <a:extLst>
            <a:ext uri="{FF2B5EF4-FFF2-40B4-BE49-F238E27FC236}">
              <a16:creationId xmlns:a16="http://schemas.microsoft.com/office/drawing/2014/main" id="{00000000-0008-0000-0200-00004B000000}"/>
            </a:ext>
          </a:extLst>
        </xdr:cNvPr>
        <xdr:cNvSpPr/>
      </xdr:nvSpPr>
      <xdr:spPr>
        <a:xfrm>
          <a:off x="2143125" y="196786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114</xdr:row>
      <xdr:rowOff>19050</xdr:rowOff>
    </xdr:from>
    <xdr:to>
      <xdr:col>9</xdr:col>
      <xdr:colOff>156210</xdr:colOff>
      <xdr:row>114</xdr:row>
      <xdr:rowOff>156210</xdr:rowOff>
    </xdr:to>
    <xdr:sp macro="" textlink="">
      <xdr:nvSpPr>
        <xdr:cNvPr id="76" name="Oval 75">
          <a:extLst>
            <a:ext uri="{FF2B5EF4-FFF2-40B4-BE49-F238E27FC236}">
              <a16:creationId xmlns:a16="http://schemas.microsoft.com/office/drawing/2014/main" id="{00000000-0008-0000-0200-00004C000000}"/>
            </a:ext>
          </a:extLst>
        </xdr:cNvPr>
        <xdr:cNvSpPr/>
      </xdr:nvSpPr>
      <xdr:spPr>
        <a:xfrm>
          <a:off x="2143125" y="196786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146</xdr:row>
      <xdr:rowOff>19050</xdr:rowOff>
    </xdr:from>
    <xdr:to>
      <xdr:col>9</xdr:col>
      <xdr:colOff>156210</xdr:colOff>
      <xdr:row>146</xdr:row>
      <xdr:rowOff>156210</xdr:rowOff>
    </xdr:to>
    <xdr:sp macro="" textlink="">
      <xdr:nvSpPr>
        <xdr:cNvPr id="77" name="Oval 76">
          <a:extLst>
            <a:ext uri="{FF2B5EF4-FFF2-40B4-BE49-F238E27FC236}">
              <a16:creationId xmlns:a16="http://schemas.microsoft.com/office/drawing/2014/main" id="{00000000-0008-0000-0200-00004D000000}"/>
            </a:ext>
          </a:extLst>
        </xdr:cNvPr>
        <xdr:cNvSpPr/>
      </xdr:nvSpPr>
      <xdr:spPr>
        <a:xfrm>
          <a:off x="2143125" y="251650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307</xdr:row>
      <xdr:rowOff>19050</xdr:rowOff>
    </xdr:from>
    <xdr:to>
      <xdr:col>9</xdr:col>
      <xdr:colOff>156210</xdr:colOff>
      <xdr:row>307</xdr:row>
      <xdr:rowOff>156210</xdr:rowOff>
    </xdr:to>
    <xdr:sp macro="" textlink="">
      <xdr:nvSpPr>
        <xdr:cNvPr id="78" name="Oval 77">
          <a:extLst>
            <a:ext uri="{FF2B5EF4-FFF2-40B4-BE49-F238E27FC236}">
              <a16:creationId xmlns:a16="http://schemas.microsoft.com/office/drawing/2014/main" id="{00000000-0008-0000-0200-00004E000000}"/>
            </a:ext>
          </a:extLst>
        </xdr:cNvPr>
        <xdr:cNvSpPr/>
      </xdr:nvSpPr>
      <xdr:spPr>
        <a:xfrm>
          <a:off x="2143125" y="527685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307</xdr:row>
      <xdr:rowOff>19050</xdr:rowOff>
    </xdr:from>
    <xdr:to>
      <xdr:col>9</xdr:col>
      <xdr:colOff>156210</xdr:colOff>
      <xdr:row>307</xdr:row>
      <xdr:rowOff>156210</xdr:rowOff>
    </xdr:to>
    <xdr:sp macro="" textlink="">
      <xdr:nvSpPr>
        <xdr:cNvPr id="79" name="Oval 78">
          <a:extLst>
            <a:ext uri="{FF2B5EF4-FFF2-40B4-BE49-F238E27FC236}">
              <a16:creationId xmlns:a16="http://schemas.microsoft.com/office/drawing/2014/main" id="{00000000-0008-0000-0200-00004F000000}"/>
            </a:ext>
          </a:extLst>
        </xdr:cNvPr>
        <xdr:cNvSpPr/>
      </xdr:nvSpPr>
      <xdr:spPr>
        <a:xfrm>
          <a:off x="2143125" y="527685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178</xdr:row>
      <xdr:rowOff>19050</xdr:rowOff>
    </xdr:from>
    <xdr:to>
      <xdr:col>9</xdr:col>
      <xdr:colOff>156210</xdr:colOff>
      <xdr:row>178</xdr:row>
      <xdr:rowOff>156210</xdr:rowOff>
    </xdr:to>
    <xdr:sp macro="" textlink="">
      <xdr:nvSpPr>
        <xdr:cNvPr id="80" name="Oval 79">
          <a:extLst>
            <a:ext uri="{FF2B5EF4-FFF2-40B4-BE49-F238E27FC236}">
              <a16:creationId xmlns:a16="http://schemas.microsoft.com/office/drawing/2014/main" id="{00000000-0008-0000-0200-000050000000}"/>
            </a:ext>
          </a:extLst>
        </xdr:cNvPr>
        <xdr:cNvSpPr/>
      </xdr:nvSpPr>
      <xdr:spPr>
        <a:xfrm>
          <a:off x="2143125" y="306514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178</xdr:row>
      <xdr:rowOff>19050</xdr:rowOff>
    </xdr:from>
    <xdr:to>
      <xdr:col>9</xdr:col>
      <xdr:colOff>156210</xdr:colOff>
      <xdr:row>178</xdr:row>
      <xdr:rowOff>156210</xdr:rowOff>
    </xdr:to>
    <xdr:sp macro="" textlink="">
      <xdr:nvSpPr>
        <xdr:cNvPr id="81" name="Oval 80">
          <a:extLst>
            <a:ext uri="{FF2B5EF4-FFF2-40B4-BE49-F238E27FC236}">
              <a16:creationId xmlns:a16="http://schemas.microsoft.com/office/drawing/2014/main" id="{00000000-0008-0000-0200-000051000000}"/>
            </a:ext>
          </a:extLst>
        </xdr:cNvPr>
        <xdr:cNvSpPr/>
      </xdr:nvSpPr>
      <xdr:spPr>
        <a:xfrm>
          <a:off x="2143125" y="306514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178</xdr:row>
      <xdr:rowOff>19050</xdr:rowOff>
    </xdr:from>
    <xdr:to>
      <xdr:col>9</xdr:col>
      <xdr:colOff>156210</xdr:colOff>
      <xdr:row>178</xdr:row>
      <xdr:rowOff>156210</xdr:rowOff>
    </xdr:to>
    <xdr:sp macro="" textlink="">
      <xdr:nvSpPr>
        <xdr:cNvPr id="82" name="Oval 81">
          <a:extLst>
            <a:ext uri="{FF2B5EF4-FFF2-40B4-BE49-F238E27FC236}">
              <a16:creationId xmlns:a16="http://schemas.microsoft.com/office/drawing/2014/main" id="{00000000-0008-0000-0200-000052000000}"/>
            </a:ext>
          </a:extLst>
        </xdr:cNvPr>
        <xdr:cNvSpPr/>
      </xdr:nvSpPr>
      <xdr:spPr>
        <a:xfrm>
          <a:off x="2143125" y="306514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178</xdr:row>
      <xdr:rowOff>19050</xdr:rowOff>
    </xdr:from>
    <xdr:to>
      <xdr:col>9</xdr:col>
      <xdr:colOff>156210</xdr:colOff>
      <xdr:row>178</xdr:row>
      <xdr:rowOff>156210</xdr:rowOff>
    </xdr:to>
    <xdr:sp macro="" textlink="">
      <xdr:nvSpPr>
        <xdr:cNvPr id="83" name="Oval 82">
          <a:extLst>
            <a:ext uri="{FF2B5EF4-FFF2-40B4-BE49-F238E27FC236}">
              <a16:creationId xmlns:a16="http://schemas.microsoft.com/office/drawing/2014/main" id="{00000000-0008-0000-0200-000053000000}"/>
            </a:ext>
          </a:extLst>
        </xdr:cNvPr>
        <xdr:cNvSpPr/>
      </xdr:nvSpPr>
      <xdr:spPr>
        <a:xfrm>
          <a:off x="2143125" y="306514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178</xdr:row>
      <xdr:rowOff>19050</xdr:rowOff>
    </xdr:from>
    <xdr:to>
      <xdr:col>9</xdr:col>
      <xdr:colOff>156210</xdr:colOff>
      <xdr:row>178</xdr:row>
      <xdr:rowOff>156210</xdr:rowOff>
    </xdr:to>
    <xdr:sp macro="" textlink="">
      <xdr:nvSpPr>
        <xdr:cNvPr id="84" name="Oval 83">
          <a:extLst>
            <a:ext uri="{FF2B5EF4-FFF2-40B4-BE49-F238E27FC236}">
              <a16:creationId xmlns:a16="http://schemas.microsoft.com/office/drawing/2014/main" id="{00000000-0008-0000-0200-000054000000}"/>
            </a:ext>
          </a:extLst>
        </xdr:cNvPr>
        <xdr:cNvSpPr/>
      </xdr:nvSpPr>
      <xdr:spPr>
        <a:xfrm>
          <a:off x="2143125" y="306514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274</xdr:row>
      <xdr:rowOff>19050</xdr:rowOff>
    </xdr:from>
    <xdr:to>
      <xdr:col>9</xdr:col>
      <xdr:colOff>156210</xdr:colOff>
      <xdr:row>274</xdr:row>
      <xdr:rowOff>156210</xdr:rowOff>
    </xdr:to>
    <xdr:sp macro="" textlink="">
      <xdr:nvSpPr>
        <xdr:cNvPr id="85" name="Oval 84">
          <a:extLst>
            <a:ext uri="{FF2B5EF4-FFF2-40B4-BE49-F238E27FC236}">
              <a16:creationId xmlns:a16="http://schemas.microsoft.com/office/drawing/2014/main" id="{00000000-0008-0000-0200-000055000000}"/>
            </a:ext>
          </a:extLst>
        </xdr:cNvPr>
        <xdr:cNvSpPr/>
      </xdr:nvSpPr>
      <xdr:spPr>
        <a:xfrm>
          <a:off x="2143125" y="471106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12</xdr:col>
      <xdr:colOff>628650</xdr:colOff>
      <xdr:row>41</xdr:row>
      <xdr:rowOff>21292</xdr:rowOff>
    </xdr:from>
    <xdr:to>
      <xdr:col>12</xdr:col>
      <xdr:colOff>763569</xdr:colOff>
      <xdr:row>41</xdr:row>
      <xdr:rowOff>166296</xdr:rowOff>
    </xdr:to>
    <xdr:sp macro="" textlink="">
      <xdr:nvSpPr>
        <xdr:cNvPr id="86" name="Oval 85">
          <a:extLst>
            <a:ext uri="{FF2B5EF4-FFF2-40B4-BE49-F238E27FC236}">
              <a16:creationId xmlns:a16="http://schemas.microsoft.com/office/drawing/2014/main" id="{00000000-0008-0000-0200-000056000000}"/>
            </a:ext>
          </a:extLst>
        </xdr:cNvPr>
        <xdr:cNvSpPr/>
      </xdr:nvSpPr>
      <xdr:spPr>
        <a:xfrm>
          <a:off x="8705850" y="7107892"/>
          <a:ext cx="134919" cy="145004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800100</xdr:colOff>
          <xdr:row>2</xdr:row>
          <xdr:rowOff>114300</xdr:rowOff>
        </xdr:from>
        <xdr:to>
          <xdr:col>11</xdr:col>
          <xdr:colOff>381000</xdr:colOff>
          <xdr:row>4</xdr:row>
          <xdr:rowOff>114300</xdr:rowOff>
        </xdr:to>
        <xdr:sp macro="" textlink="">
          <xdr:nvSpPr>
            <xdr:cNvPr id="1034" name="Button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2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100" b="1" i="0" u="none" strike="noStrike" baseline="0">
                  <a:solidFill>
                    <a:srgbClr val="000000"/>
                  </a:solidFill>
                  <a:latin typeface="Calibri" pitchFamily="2" charset="0"/>
                  <a:cs typeface="Calibri" pitchFamily="2" charset="0"/>
                </a:rPr>
                <a:t>Assumptions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114300</xdr:colOff>
          <xdr:row>2</xdr:row>
          <xdr:rowOff>114300</xdr:rowOff>
        </xdr:from>
        <xdr:to>
          <xdr:col>16</xdr:col>
          <xdr:colOff>114300</xdr:colOff>
          <xdr:row>4</xdr:row>
          <xdr:rowOff>114300</xdr:rowOff>
        </xdr:to>
        <xdr:sp macro="" textlink="">
          <xdr:nvSpPr>
            <xdr:cNvPr id="1035" name="Button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2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100" b="1" i="0" u="none" strike="noStrike" baseline="0">
                  <a:solidFill>
                    <a:srgbClr val="000000"/>
                  </a:solidFill>
                  <a:latin typeface="Calibri" pitchFamily="2" charset="0"/>
                  <a:cs typeface="Calibri" pitchFamily="2" charset="0"/>
                </a:rPr>
                <a:t>Data Sources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685800</xdr:colOff>
          <xdr:row>2</xdr:row>
          <xdr:rowOff>114300</xdr:rowOff>
        </xdr:from>
        <xdr:to>
          <xdr:col>13</xdr:col>
          <xdr:colOff>762000</xdr:colOff>
          <xdr:row>4</xdr:row>
          <xdr:rowOff>114300</xdr:rowOff>
        </xdr:to>
        <xdr:sp macro="" textlink="">
          <xdr:nvSpPr>
            <xdr:cNvPr id="1036" name="Button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2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100" b="1" i="0" u="none" strike="noStrike" baseline="0">
                  <a:solidFill>
                    <a:srgbClr val="000000"/>
                  </a:solidFill>
                  <a:latin typeface="Calibri" pitchFamily="2" charset="0"/>
                  <a:cs typeface="Calibri" pitchFamily="2" charset="0"/>
                </a:rPr>
                <a:t>Future Projections</a:t>
              </a:r>
            </a:p>
          </xdr:txBody>
        </xdr:sp>
        <xdr:clientData fPrintsWithSheet="0"/>
      </xdr:twoCellAnchor>
    </mc:Choice>
    <mc:Fallback/>
  </mc:AlternateContent>
  <xdr:twoCellAnchor>
    <xdr:from>
      <xdr:col>14</xdr:col>
      <xdr:colOff>135707</xdr:colOff>
      <xdr:row>32</xdr:row>
      <xdr:rowOff>139224</xdr:rowOff>
    </xdr:from>
    <xdr:to>
      <xdr:col>17</xdr:col>
      <xdr:colOff>85098</xdr:colOff>
      <xdr:row>38</xdr:row>
      <xdr:rowOff>26512</xdr:rowOff>
    </xdr:to>
    <xdr:grpSp>
      <xdr:nvGrpSpPr>
        <xdr:cNvPr id="90" name="Group 89">
          <a:extLst>
            <a:ext uri="{FF2B5EF4-FFF2-40B4-BE49-F238E27FC236}">
              <a16:creationId xmlns:a16="http://schemas.microsoft.com/office/drawing/2014/main" id="{00000000-0008-0000-0200-00005A000000}"/>
            </a:ext>
          </a:extLst>
        </xdr:cNvPr>
        <xdr:cNvGrpSpPr/>
      </xdr:nvGrpSpPr>
      <xdr:grpSpPr>
        <a:xfrm>
          <a:off x="11152957" y="5774849"/>
          <a:ext cx="2806891" cy="935038"/>
          <a:chOff x="13134975" y="5422174"/>
          <a:chExt cx="2699665" cy="1597751"/>
        </a:xfrm>
      </xdr:grpSpPr>
      <xdr:grpSp>
        <xdr:nvGrpSpPr>
          <xdr:cNvPr id="91" name="Group 90">
            <a:extLst>
              <a:ext uri="{FF2B5EF4-FFF2-40B4-BE49-F238E27FC236}">
                <a16:creationId xmlns:a16="http://schemas.microsoft.com/office/drawing/2014/main" id="{00000000-0008-0000-0200-00005B000000}"/>
              </a:ext>
            </a:extLst>
          </xdr:cNvPr>
          <xdr:cNvGrpSpPr/>
        </xdr:nvGrpSpPr>
        <xdr:grpSpPr>
          <a:xfrm>
            <a:off x="13134975" y="5422174"/>
            <a:ext cx="2699665" cy="1597751"/>
            <a:chOff x="13335000" y="6497121"/>
            <a:chExt cx="2699665" cy="1765136"/>
          </a:xfrm>
        </xdr:grpSpPr>
        <xdr:grpSp>
          <xdr:nvGrpSpPr>
            <xdr:cNvPr id="93" name="Group 92">
              <a:extLst>
                <a:ext uri="{FF2B5EF4-FFF2-40B4-BE49-F238E27FC236}">
                  <a16:creationId xmlns:a16="http://schemas.microsoft.com/office/drawing/2014/main" id="{00000000-0008-0000-0200-00005D000000}"/>
                </a:ext>
              </a:extLst>
            </xdr:cNvPr>
            <xdr:cNvGrpSpPr/>
          </xdr:nvGrpSpPr>
          <xdr:grpSpPr>
            <a:xfrm>
              <a:off x="13335000" y="6945086"/>
              <a:ext cx="2699665" cy="1317171"/>
              <a:chOff x="13335000" y="6945086"/>
              <a:chExt cx="2699665" cy="1317171"/>
            </a:xfrm>
          </xdr:grpSpPr>
          <mc:AlternateContent xmlns:mc="http://schemas.openxmlformats.org/markup-compatibility/2006">
            <mc:Choice xmlns:a14="http://schemas.microsoft.com/office/drawing/2010/main" Requires="a14">
              <xdr:sp macro="" textlink="">
                <xdr:nvSpPr>
                  <xdr:cNvPr id="1037" name="RD Button" hidden="1">
                    <a:extLst>
                      <a:ext uri="{63B3BB69-23CF-44E3-9099-C40C66FF867C}">
                        <a14:compatExt spid="_x0000_s1037"/>
                      </a:ext>
                      <a:ext uri="{FF2B5EF4-FFF2-40B4-BE49-F238E27FC236}">
                        <a16:creationId xmlns:a16="http://schemas.microsoft.com/office/drawing/2014/main" id="{00000000-0008-0000-0200-00000D040000}"/>
                      </a:ext>
                    </a:extLst>
                  </xdr:cNvPr>
                  <xdr:cNvSpPr/>
                </xdr:nvSpPr>
                <xdr:spPr bwMode="auto">
                  <a:xfrm>
                    <a:off x="13367945" y="6999284"/>
                    <a:ext cx="2666720" cy="378466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  <xdr:txBody>
                  <a:bodyPr vertOverflow="clip" wrap="square" lIns="18288" tIns="18288" rIns="0" bIns="18288" anchor="ctr" upright="1"/>
                  <a:lstStyle/>
                  <a:p>
                    <a:pPr algn="l" rtl="0">
                      <a:defRPr sz="1000"/>
                    </a:pPr>
                    <a:r>
                      <a:rPr lang="en-US" sz="800" b="0" i="0" u="none" strike="noStrike" baseline="0">
                        <a:solidFill>
                          <a:srgbClr val="000000"/>
                        </a:solidFill>
                        <a:latin typeface="Segoe UI"/>
                        <a:cs typeface="Segoe UI"/>
                      </a:rPr>
                      <a:t>R&amp;D Financials</a:t>
                    </a:r>
                  </a:p>
                </xdr:txBody>
              </xdr:sp>
            </mc:Choice>
            <mc:Fallback/>
          </mc:AlternateContent>
          <xdr:sp macro="" textlink="">
            <xdr:nvSpPr>
              <xdr:cNvPr id="96" name="Rectangle 95">
                <a:extLst>
                  <a:ext uri="{FF2B5EF4-FFF2-40B4-BE49-F238E27FC236}">
                    <a16:creationId xmlns:a16="http://schemas.microsoft.com/office/drawing/2014/main" id="{00000000-0008-0000-0200-000060000000}"/>
                  </a:ext>
                </a:extLst>
              </xdr:cNvPr>
              <xdr:cNvSpPr/>
            </xdr:nvSpPr>
            <xdr:spPr>
              <a:xfrm>
                <a:off x="13335000" y="6945086"/>
                <a:ext cx="2471057" cy="1317171"/>
              </a:xfrm>
              <a:prstGeom prst="rect">
                <a:avLst/>
              </a:prstGeom>
              <a:noFill/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</xdr:grpSp>
        <xdr:sp macro="" textlink="">
          <xdr:nvSpPr>
            <xdr:cNvPr id="94" name="TextBox 93">
              <a:extLst>
                <a:ext uri="{FF2B5EF4-FFF2-40B4-BE49-F238E27FC236}">
                  <a16:creationId xmlns:a16="http://schemas.microsoft.com/office/drawing/2014/main" id="{00000000-0008-0000-0200-00005E000000}"/>
                </a:ext>
              </a:extLst>
            </xdr:cNvPr>
            <xdr:cNvSpPr txBox="1"/>
          </xdr:nvSpPr>
          <xdr:spPr>
            <a:xfrm>
              <a:off x="13350053" y="6497121"/>
              <a:ext cx="2431794" cy="4526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 algn="ctr"/>
              <a:r>
                <a:rPr lang="en-US" sz="1200" b="1"/>
                <a:t>Financial Assumption</a:t>
              </a:r>
            </a:p>
          </xdr:txBody>
        </xdr:sp>
      </xdr:grpSp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038" name="Market Button" hidden="1">
                <a:extLst>
                  <a:ext uri="{63B3BB69-23CF-44E3-9099-C40C66FF867C}">
                    <a14:compatExt spid="_x0000_s1038"/>
                  </a:ext>
                  <a:ext uri="{FF2B5EF4-FFF2-40B4-BE49-F238E27FC236}">
                    <a16:creationId xmlns:a16="http://schemas.microsoft.com/office/drawing/2014/main" id="{00000000-0008-0000-0200-00000E040000}"/>
                  </a:ext>
                </a:extLst>
              </xdr:cNvPr>
              <xdr:cNvSpPr/>
            </xdr:nvSpPr>
            <xdr:spPr bwMode="auto">
              <a:xfrm>
                <a:off x="13171169" y="6585587"/>
                <a:ext cx="2249806" cy="196218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18288" rIns="0" bIns="18288" anchor="ctr" upright="1"/>
              <a:lstStyle/>
              <a:p>
                <a:pPr algn="l" rtl="0">
                  <a:defRPr sz="1000"/>
                </a:pPr>
                <a:r>
                  <a:rPr lang="en-US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Market Factors Financials</a:t>
                </a:r>
              </a:p>
            </xdr:txBody>
          </xdr:sp>
        </mc:Choice>
        <mc:Fallback/>
      </mc:AlternateContent>
    </xdr:grpSp>
    <xdr:clientData/>
  </xdr:twoCellAnchor>
  <xdr:twoCellAnchor editAs="absolute">
    <xdr:from>
      <xdr:col>14</xdr:col>
      <xdr:colOff>57903</xdr:colOff>
      <xdr:row>39</xdr:row>
      <xdr:rowOff>165315</xdr:rowOff>
    </xdr:from>
    <xdr:to>
      <xdr:col>17</xdr:col>
      <xdr:colOff>142741</xdr:colOff>
      <xdr:row>46</xdr:row>
      <xdr:rowOff>170325</xdr:rowOff>
    </xdr:to>
    <xdr:grpSp>
      <xdr:nvGrpSpPr>
        <xdr:cNvPr id="97" name="Group 96">
          <a:extLst>
            <a:ext uri="{FF2B5EF4-FFF2-40B4-BE49-F238E27FC236}">
              <a16:creationId xmlns:a16="http://schemas.microsoft.com/office/drawing/2014/main" id="{00000000-0008-0000-0200-000061000000}"/>
            </a:ext>
          </a:extLst>
        </xdr:cNvPr>
        <xdr:cNvGrpSpPr/>
      </xdr:nvGrpSpPr>
      <xdr:grpSpPr>
        <a:xfrm>
          <a:off x="11075153" y="7023315"/>
          <a:ext cx="2942338" cy="1243260"/>
          <a:chOff x="13939878" y="8803240"/>
          <a:chExt cx="2907507" cy="1766888"/>
        </a:xfrm>
      </xdr:grpSpPr>
      <xdr:grpSp>
        <xdr:nvGrpSpPr>
          <xdr:cNvPr id="98" name="Group 97">
            <a:extLst>
              <a:ext uri="{FF2B5EF4-FFF2-40B4-BE49-F238E27FC236}">
                <a16:creationId xmlns:a16="http://schemas.microsoft.com/office/drawing/2014/main" id="{00000000-0008-0000-0200-000062000000}"/>
              </a:ext>
            </a:extLst>
          </xdr:cNvPr>
          <xdr:cNvGrpSpPr/>
        </xdr:nvGrpSpPr>
        <xdr:grpSpPr>
          <a:xfrm>
            <a:off x="13998120" y="8850657"/>
            <a:ext cx="2813767" cy="1594031"/>
            <a:chOff x="13075540" y="6520998"/>
            <a:chExt cx="2805809" cy="1664150"/>
          </a:xfrm>
        </xdr:grpSpPr>
        <xdr:sp macro="" textlink="">
          <xdr:nvSpPr>
            <xdr:cNvPr id="100" name="Rectangle 99">
              <a:extLst>
                <a:ext uri="{FF2B5EF4-FFF2-40B4-BE49-F238E27FC236}">
                  <a16:creationId xmlns:a16="http://schemas.microsoft.com/office/drawing/2014/main" id="{00000000-0008-0000-0200-000064000000}"/>
                </a:ext>
              </a:extLst>
            </xdr:cNvPr>
            <xdr:cNvSpPr/>
          </xdr:nvSpPr>
          <xdr:spPr>
            <a:xfrm>
              <a:off x="13083116" y="6986657"/>
              <a:ext cx="2798233" cy="1198491"/>
            </a:xfrm>
            <a:prstGeom prst="rect">
              <a:avLst/>
            </a:prstGeom>
            <a:noFill/>
            <a:ln>
              <a:solidFill>
                <a:schemeClr val="accent2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01" name="TextBox 100">
              <a:extLst>
                <a:ext uri="{FF2B5EF4-FFF2-40B4-BE49-F238E27FC236}">
                  <a16:creationId xmlns:a16="http://schemas.microsoft.com/office/drawing/2014/main" id="{00000000-0008-0000-0200-000065000000}"/>
                </a:ext>
              </a:extLst>
            </xdr:cNvPr>
            <xdr:cNvSpPr txBox="1"/>
          </xdr:nvSpPr>
          <xdr:spPr>
            <a:xfrm>
              <a:off x="13075540" y="6520998"/>
              <a:ext cx="2697313" cy="2770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r>
                <a:rPr lang="en-US" sz="1200" b="1"/>
                <a:t>Choose</a:t>
              </a:r>
              <a:r>
                <a:rPr lang="en-US" sz="1200" b="1" baseline="0"/>
                <a:t> a Capital Recovery Period (CRP)</a:t>
              </a:r>
              <a:endParaRPr lang="en-US" sz="1200" b="1"/>
            </a:p>
          </xdr:txBody>
        </xdr:sp>
        <mc:AlternateContent xmlns:mc="http://schemas.openxmlformats.org/markup-compatibility/2006">
          <mc:Choice xmlns:a14="http://schemas.microsoft.com/office/drawing/2010/main" Requires="a14">
            <xdr:sp macro="" textlink="">
              <xdr:nvSpPr>
                <xdr:cNvPr id="1039" name="20 year" hidden="1">
                  <a:extLst>
                    <a:ext uri="{63B3BB69-23CF-44E3-9099-C40C66FF867C}">
                      <a14:compatExt spid="_x0000_s1039"/>
                    </a:ext>
                    <a:ext uri="{FF2B5EF4-FFF2-40B4-BE49-F238E27FC236}">
                      <a16:creationId xmlns:a16="http://schemas.microsoft.com/office/drawing/2014/main" id="{00000000-0008-0000-0200-00000F040000}"/>
                    </a:ext>
                  </a:extLst>
                </xdr:cNvPr>
                <xdr:cNvSpPr/>
              </xdr:nvSpPr>
              <xdr:spPr bwMode="auto">
                <a:xfrm>
                  <a:off x="13304460" y="7107309"/>
                  <a:ext cx="1093258" cy="190345"/>
                </a:xfrm>
                <a:prstGeom prst="rect">
                  <a:avLst/>
                </a:prstGeom>
                <a:noFill/>
                <a:ln>
                  <a:noFill/>
                </a:ln>
                <a:extLst>
                  <a:ext uri="{909E8E84-426E-40DD-AFC4-6F175D3DCCD1}">
                    <a14:hiddenFill>
                      <a:solidFill>
                        <a:srgbClr val="FFFFFF"/>
                      </a:solidFill>
                    </a14:hiddenFill>
                  </a:ext>
                  <a:ext uri="{91240B29-F687-4F45-9708-019B960494DF}">
                    <a14:hiddenLine w="9525">
                      <a:solidFill>
                        <a:srgbClr val="000000"/>
                      </a:solidFill>
                      <a:miter lim="800000"/>
                      <a:headEnd/>
                      <a:tailEnd/>
                    </a14:hiddenLine>
                  </a:ext>
                </a:extLst>
              </xdr:spPr>
              <xdr:txBody>
                <a:bodyPr vertOverflow="clip" wrap="square" lIns="18288" tIns="18288" rIns="0" bIns="18288" anchor="ctr" upright="1"/>
                <a:lstStyle/>
                <a:p>
                  <a:pPr algn="l" rtl="0">
                    <a:defRPr sz="1000"/>
                  </a:pPr>
                  <a:r>
                    <a:rPr lang="en-US" sz="800" b="0" i="0" u="none" strike="noStrike" baseline="0">
                      <a:solidFill>
                        <a:srgbClr val="000000"/>
                      </a:solidFill>
                      <a:latin typeface="Segoe UI"/>
                      <a:cs typeface="Segoe UI"/>
                    </a:rPr>
                    <a:t>20 year</a:t>
                  </a:r>
                </a:p>
              </xdr:txBody>
            </xdr:sp>
          </mc:Choice>
          <mc:Fallback/>
        </mc:AlternateContent>
        <mc:AlternateContent xmlns:mc="http://schemas.openxmlformats.org/markup-compatibility/2006">
          <mc:Choice xmlns:a14="http://schemas.microsoft.com/office/drawing/2010/main" Requires="a14">
            <xdr:sp macro="" textlink="">
              <xdr:nvSpPr>
                <xdr:cNvPr id="1040" name="30 year" hidden="1">
                  <a:extLst>
                    <a:ext uri="{63B3BB69-23CF-44E3-9099-C40C66FF867C}">
                      <a14:compatExt spid="_x0000_s1040"/>
                    </a:ext>
                    <a:ext uri="{FF2B5EF4-FFF2-40B4-BE49-F238E27FC236}">
                      <a16:creationId xmlns:a16="http://schemas.microsoft.com/office/drawing/2014/main" id="{00000000-0008-0000-0200-000010040000}"/>
                    </a:ext>
                  </a:extLst>
                </xdr:cNvPr>
                <xdr:cNvSpPr/>
              </xdr:nvSpPr>
              <xdr:spPr bwMode="auto">
                <a:xfrm>
                  <a:off x="13302041" y="7355109"/>
                  <a:ext cx="1093258" cy="197914"/>
                </a:xfrm>
                <a:prstGeom prst="rect">
                  <a:avLst/>
                </a:prstGeom>
                <a:noFill/>
                <a:ln>
                  <a:noFill/>
                </a:ln>
                <a:extLst>
                  <a:ext uri="{909E8E84-426E-40DD-AFC4-6F175D3DCCD1}">
                    <a14:hiddenFill>
                      <a:solidFill>
                        <a:srgbClr val="FFFFFF"/>
                      </a:solidFill>
                    </a14:hiddenFill>
                  </a:ext>
                  <a:ext uri="{91240B29-F687-4F45-9708-019B960494DF}">
                    <a14:hiddenLine w="9525">
                      <a:solidFill>
                        <a:srgbClr val="000000"/>
                      </a:solidFill>
                      <a:miter lim="800000"/>
                      <a:headEnd/>
                      <a:tailEnd/>
                    </a14:hiddenLine>
                  </a:ext>
                </a:extLst>
              </xdr:spPr>
              <xdr:txBody>
                <a:bodyPr vertOverflow="clip" wrap="square" lIns="18288" tIns="18288" rIns="0" bIns="18288" anchor="ctr" upright="1"/>
                <a:lstStyle/>
                <a:p>
                  <a:pPr algn="l" rtl="0">
                    <a:defRPr sz="1000"/>
                  </a:pPr>
                  <a:r>
                    <a:rPr lang="en-US" sz="800" b="0" i="0" u="none" strike="noStrike" baseline="0">
                      <a:solidFill>
                        <a:srgbClr val="000000"/>
                      </a:solidFill>
                      <a:latin typeface="Segoe UI"/>
                      <a:cs typeface="Segoe UI"/>
                    </a:rPr>
                    <a:t>30 year</a:t>
                  </a:r>
                </a:p>
              </xdr:txBody>
            </xdr:sp>
          </mc:Choice>
          <mc:Fallback/>
        </mc:AlternateContent>
        <mc:AlternateContent xmlns:mc="http://schemas.openxmlformats.org/markup-compatibility/2006">
          <mc:Choice xmlns:a14="http://schemas.microsoft.com/office/drawing/2010/main" Requires="a14">
            <xdr:sp macro="" textlink="">
              <xdr:nvSpPr>
                <xdr:cNvPr id="1041" name="Tech Life" hidden="1">
                  <a:extLst>
                    <a:ext uri="{63B3BB69-23CF-44E3-9099-C40C66FF867C}">
                      <a14:compatExt spid="_x0000_s1041"/>
                    </a:ext>
                    <a:ext uri="{FF2B5EF4-FFF2-40B4-BE49-F238E27FC236}">
                      <a16:creationId xmlns:a16="http://schemas.microsoft.com/office/drawing/2014/main" id="{00000000-0008-0000-0200-000011040000}"/>
                    </a:ext>
                  </a:extLst>
                </xdr:cNvPr>
                <xdr:cNvSpPr/>
              </xdr:nvSpPr>
              <xdr:spPr bwMode="auto">
                <a:xfrm>
                  <a:off x="13303251" y="7587186"/>
                  <a:ext cx="1530047" cy="214239"/>
                </a:xfrm>
                <a:prstGeom prst="rect">
                  <a:avLst/>
                </a:prstGeom>
                <a:noFill/>
                <a:ln>
                  <a:noFill/>
                </a:ln>
                <a:extLst>
                  <a:ext uri="{909E8E84-426E-40DD-AFC4-6F175D3DCCD1}">
                    <a14:hiddenFill>
                      <a:solidFill>
                        <a:srgbClr val="FFFFFF"/>
                      </a:solidFill>
                    </a14:hiddenFill>
                  </a:ext>
                  <a:ext uri="{91240B29-F687-4F45-9708-019B960494DF}">
                    <a14:hiddenLine w="9525">
                      <a:solidFill>
                        <a:srgbClr val="000000"/>
                      </a:solidFill>
                      <a:miter lim="800000"/>
                      <a:headEnd/>
                      <a:tailEnd/>
                    </a14:hiddenLine>
                  </a:ext>
                </a:extLst>
              </xdr:spPr>
              <xdr:txBody>
                <a:bodyPr vertOverflow="clip" wrap="square" lIns="18288" tIns="18288" rIns="0" bIns="18288" anchor="ctr" upright="1"/>
                <a:lstStyle/>
                <a:p>
                  <a:pPr algn="l" rtl="0">
                    <a:defRPr sz="1000"/>
                  </a:pPr>
                  <a:r>
                    <a:rPr lang="en-US" sz="800" b="0" i="0" u="none" strike="noStrike" baseline="0">
                      <a:solidFill>
                        <a:srgbClr val="000000"/>
                      </a:solidFill>
                      <a:latin typeface="Segoe UI"/>
                      <a:cs typeface="Segoe UI"/>
                    </a:rPr>
                    <a:t>Technology Life (30 years)</a:t>
                  </a:r>
                </a:p>
              </xdr:txBody>
            </xdr:sp>
          </mc:Choice>
          <mc:Fallback/>
        </mc:AlternateContent>
        <mc:AlternateContent xmlns:mc="http://schemas.openxmlformats.org/markup-compatibility/2006">
          <mc:Choice xmlns:a14="http://schemas.microsoft.com/office/drawing/2010/main" Requires="a14">
            <xdr:sp macro="" textlink="">
              <xdr:nvSpPr>
                <xdr:cNvPr id="1042" name="Custom CRP" hidden="1">
                  <a:extLst>
                    <a:ext uri="{63B3BB69-23CF-44E3-9099-C40C66FF867C}">
                      <a14:compatExt spid="_x0000_s1042"/>
                    </a:ext>
                    <a:ext uri="{FF2B5EF4-FFF2-40B4-BE49-F238E27FC236}">
                      <a16:creationId xmlns:a16="http://schemas.microsoft.com/office/drawing/2014/main" id="{00000000-0008-0000-0200-000012040000}"/>
                    </a:ext>
                  </a:extLst>
                </xdr:cNvPr>
                <xdr:cNvSpPr/>
              </xdr:nvSpPr>
              <xdr:spPr bwMode="auto">
                <a:xfrm>
                  <a:off x="13302191" y="7846480"/>
                  <a:ext cx="1102783" cy="186262"/>
                </a:xfrm>
                <a:prstGeom prst="rect">
                  <a:avLst/>
                </a:prstGeom>
                <a:noFill/>
                <a:ln>
                  <a:noFill/>
                </a:ln>
                <a:extLst>
                  <a:ext uri="{909E8E84-426E-40DD-AFC4-6F175D3DCCD1}">
                    <a14:hiddenFill>
                      <a:solidFill>
                        <a:srgbClr val="FFFFFF"/>
                      </a:solidFill>
                    </a14:hiddenFill>
                  </a:ext>
                  <a:ext uri="{91240B29-F687-4F45-9708-019B960494DF}">
                    <a14:hiddenLine w="9525">
                      <a:solidFill>
                        <a:srgbClr val="000000"/>
                      </a:solidFill>
                      <a:miter lim="800000"/>
                      <a:headEnd/>
                      <a:tailEnd/>
                    </a14:hiddenLine>
                  </a:ext>
                </a:extLst>
              </xdr:spPr>
              <xdr:txBody>
                <a:bodyPr vertOverflow="clip" wrap="square" lIns="18288" tIns="18288" rIns="0" bIns="18288" anchor="ctr" upright="1"/>
                <a:lstStyle/>
                <a:p>
                  <a:pPr algn="l" rtl="0">
                    <a:defRPr sz="1000"/>
                  </a:pPr>
                  <a:r>
                    <a:rPr lang="en-US" sz="800" b="0" i="0" u="none" strike="noStrike" baseline="0">
                      <a:solidFill>
                        <a:srgbClr val="000000"/>
                      </a:solidFill>
                      <a:latin typeface="Segoe UI"/>
                      <a:cs typeface="Segoe UI"/>
                    </a:rPr>
                    <a:t>CustomCRP</a:t>
                  </a:r>
                </a:p>
              </xdr:txBody>
            </xdr:sp>
          </mc:Choice>
          <mc:Fallback/>
        </mc:AlternateContent>
      </xdr:grpSp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043" name="Group Box 19" hidden="1">
                <a:extLst>
                  <a:ext uri="{63B3BB69-23CF-44E3-9099-C40C66FF867C}">
                    <a14:compatExt spid="_x0000_s1043"/>
                  </a:ext>
                  <a:ext uri="{FF2B5EF4-FFF2-40B4-BE49-F238E27FC236}">
                    <a16:creationId xmlns:a16="http://schemas.microsoft.com/office/drawing/2014/main" id="{00000000-0008-0000-0200-000013040000}"/>
                  </a:ext>
                </a:extLst>
              </xdr:cNvPr>
              <xdr:cNvSpPr/>
            </xdr:nvSpPr>
            <xdr:spPr bwMode="auto">
              <a:xfrm>
                <a:off x="13939878" y="8803240"/>
                <a:ext cx="2907507" cy="1766888"/>
              </a:xfrm>
              <a:prstGeom prst="rect">
                <a:avLst/>
              </a:prstGeom>
              <a:noFill/>
              <a:ln w="9525">
                <a:miter lim="800000"/>
                <a:headEnd/>
                <a:tailEnd/>
              </a:ln>
              <a:extLst>
                <a:ext uri="{909E8E84-426E-40DD-AFC4-6F175D3DCCD1}">
                  <a14:hiddenFill>
                    <a:noFill/>
                  </a14:hiddenFill>
                </a:ext>
              </a:extLst>
            </xdr:spPr>
            <xdr:txBody>
              <a:bodyPr vertOverflow="clip" wrap="none" lIns="18288" tIns="18288" rIns="0" bIns="0" anchor="t" upright="1"/>
              <a:lstStyle/>
              <a:p>
                <a:pPr algn="l" rtl="0">
                  <a:defRPr sz="1000"/>
                </a:pPr>
                <a:r>
                  <a:rPr lang="en-US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Group Box 53</a:t>
                </a:r>
              </a:p>
            </xdr:txBody>
          </xdr:sp>
        </mc:Choice>
        <mc:Fallback/>
      </mc:AlternateContent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584200</xdr:colOff>
          <xdr:row>34</xdr:row>
          <xdr:rowOff>63500</xdr:rowOff>
        </xdr:from>
        <xdr:to>
          <xdr:col>21</xdr:col>
          <xdr:colOff>495300</xdr:colOff>
          <xdr:row>36</xdr:row>
          <xdr:rowOff>139700</xdr:rowOff>
        </xdr:to>
        <xdr:sp macro="" textlink="">
          <xdr:nvSpPr>
            <xdr:cNvPr id="1044" name="Button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2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 pitchFamily="2" charset="0"/>
                  <a:cs typeface="Calibri" pitchFamily="2" charset="0"/>
                </a:rPr>
                <a:t>Apply Finances to all Technologies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19</xdr:col>
          <xdr:colOff>101600</xdr:colOff>
          <xdr:row>40</xdr:row>
          <xdr:rowOff>25400</xdr:rowOff>
        </xdr:from>
        <xdr:to>
          <xdr:col>22</xdr:col>
          <xdr:colOff>406400</xdr:colOff>
          <xdr:row>43</xdr:row>
          <xdr:rowOff>101600</xdr:rowOff>
        </xdr:to>
        <xdr:sp macro="" textlink="">
          <xdr:nvSpPr>
            <xdr:cNvPr id="1045" name="Button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2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 pitchFamily="2" charset="0"/>
                  <a:cs typeface="Calibri" pitchFamily="2" charset="0"/>
                </a:rPr>
                <a:t>Apply CRP to all Technologies</a:t>
              </a:r>
            </a:p>
          </xdr:txBody>
        </xdr:sp>
        <xdr:clientData fPrintsWithSheet="0"/>
      </xdr:twoCellAnchor>
    </mc:Choice>
    <mc:Fallback/>
  </mc:AlternateContent>
  <xdr:twoCellAnchor>
    <xdr:from>
      <xdr:col>9</xdr:col>
      <xdr:colOff>19050</xdr:colOff>
      <xdr:row>99</xdr:row>
      <xdr:rowOff>19050</xdr:rowOff>
    </xdr:from>
    <xdr:to>
      <xdr:col>9</xdr:col>
      <xdr:colOff>156210</xdr:colOff>
      <xdr:row>99</xdr:row>
      <xdr:rowOff>156210</xdr:rowOff>
    </xdr:to>
    <xdr:sp macro="[1]!CapacityFactorDefinition" textlink="">
      <xdr:nvSpPr>
        <xdr:cNvPr id="108" name="Oval 107">
          <a:extLst>
            <a:ext uri="{FF2B5EF4-FFF2-40B4-BE49-F238E27FC236}">
              <a16:creationId xmlns:a16="http://schemas.microsoft.com/office/drawing/2014/main" id="{00000000-0008-0000-0200-00006C000000}"/>
            </a:ext>
          </a:extLst>
        </xdr:cNvPr>
        <xdr:cNvSpPr/>
      </xdr:nvSpPr>
      <xdr:spPr>
        <a:xfrm>
          <a:off x="2143125" y="171069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99</xdr:row>
      <xdr:rowOff>19050</xdr:rowOff>
    </xdr:from>
    <xdr:to>
      <xdr:col>9</xdr:col>
      <xdr:colOff>156210</xdr:colOff>
      <xdr:row>99</xdr:row>
      <xdr:rowOff>156210</xdr:rowOff>
    </xdr:to>
    <xdr:sp macro="[1]!CapacityFactorDefinition" textlink="">
      <xdr:nvSpPr>
        <xdr:cNvPr id="109" name="Oval 108">
          <a:extLst>
            <a:ext uri="{FF2B5EF4-FFF2-40B4-BE49-F238E27FC236}">
              <a16:creationId xmlns:a16="http://schemas.microsoft.com/office/drawing/2014/main" id="{00000000-0008-0000-0200-00006D000000}"/>
            </a:ext>
          </a:extLst>
        </xdr:cNvPr>
        <xdr:cNvSpPr/>
      </xdr:nvSpPr>
      <xdr:spPr>
        <a:xfrm>
          <a:off x="2143125" y="171069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99</xdr:row>
      <xdr:rowOff>19050</xdr:rowOff>
    </xdr:from>
    <xdr:to>
      <xdr:col>9</xdr:col>
      <xdr:colOff>156210</xdr:colOff>
      <xdr:row>99</xdr:row>
      <xdr:rowOff>156210</xdr:rowOff>
    </xdr:to>
    <xdr:sp macro="[1]!CapacityFactorDefinition" textlink="">
      <xdr:nvSpPr>
        <xdr:cNvPr id="110" name="Oval 109">
          <a:extLst>
            <a:ext uri="{FF2B5EF4-FFF2-40B4-BE49-F238E27FC236}">
              <a16:creationId xmlns:a16="http://schemas.microsoft.com/office/drawing/2014/main" id="{00000000-0008-0000-0200-00006E000000}"/>
            </a:ext>
          </a:extLst>
        </xdr:cNvPr>
        <xdr:cNvSpPr/>
      </xdr:nvSpPr>
      <xdr:spPr>
        <a:xfrm>
          <a:off x="2143125" y="171069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99</xdr:row>
      <xdr:rowOff>19050</xdr:rowOff>
    </xdr:from>
    <xdr:to>
      <xdr:col>9</xdr:col>
      <xdr:colOff>156210</xdr:colOff>
      <xdr:row>99</xdr:row>
      <xdr:rowOff>156210</xdr:rowOff>
    </xdr:to>
    <xdr:sp macro="" textlink="">
      <xdr:nvSpPr>
        <xdr:cNvPr id="111" name="Oval 110">
          <a:extLst>
            <a:ext uri="{FF2B5EF4-FFF2-40B4-BE49-F238E27FC236}">
              <a16:creationId xmlns:a16="http://schemas.microsoft.com/office/drawing/2014/main" id="{00000000-0008-0000-0200-00006F000000}"/>
            </a:ext>
          </a:extLst>
        </xdr:cNvPr>
        <xdr:cNvSpPr/>
      </xdr:nvSpPr>
      <xdr:spPr>
        <a:xfrm>
          <a:off x="2143125" y="171069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99</xdr:row>
      <xdr:rowOff>19050</xdr:rowOff>
    </xdr:from>
    <xdr:to>
      <xdr:col>9</xdr:col>
      <xdr:colOff>156210</xdr:colOff>
      <xdr:row>99</xdr:row>
      <xdr:rowOff>156210</xdr:rowOff>
    </xdr:to>
    <xdr:sp macro="" textlink="">
      <xdr:nvSpPr>
        <xdr:cNvPr id="112" name="Oval 111">
          <a:extLst>
            <a:ext uri="{FF2B5EF4-FFF2-40B4-BE49-F238E27FC236}">
              <a16:creationId xmlns:a16="http://schemas.microsoft.com/office/drawing/2014/main" id="{00000000-0008-0000-0200-000070000000}"/>
            </a:ext>
          </a:extLst>
        </xdr:cNvPr>
        <xdr:cNvSpPr/>
      </xdr:nvSpPr>
      <xdr:spPr>
        <a:xfrm>
          <a:off x="2143125" y="171069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99</xdr:row>
      <xdr:rowOff>19050</xdr:rowOff>
    </xdr:from>
    <xdr:to>
      <xdr:col>9</xdr:col>
      <xdr:colOff>156210</xdr:colOff>
      <xdr:row>99</xdr:row>
      <xdr:rowOff>156210</xdr:rowOff>
    </xdr:to>
    <xdr:sp macro="" textlink="">
      <xdr:nvSpPr>
        <xdr:cNvPr id="113" name="Oval 112">
          <a:extLst>
            <a:ext uri="{FF2B5EF4-FFF2-40B4-BE49-F238E27FC236}">
              <a16:creationId xmlns:a16="http://schemas.microsoft.com/office/drawing/2014/main" id="{00000000-0008-0000-0200-000071000000}"/>
            </a:ext>
          </a:extLst>
        </xdr:cNvPr>
        <xdr:cNvSpPr/>
      </xdr:nvSpPr>
      <xdr:spPr>
        <a:xfrm>
          <a:off x="2143125" y="171069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99</xdr:row>
      <xdr:rowOff>19050</xdr:rowOff>
    </xdr:from>
    <xdr:to>
      <xdr:col>9</xdr:col>
      <xdr:colOff>156210</xdr:colOff>
      <xdr:row>99</xdr:row>
      <xdr:rowOff>156210</xdr:rowOff>
    </xdr:to>
    <xdr:sp macro="[1]!CapacityFactorDefinition" textlink="">
      <xdr:nvSpPr>
        <xdr:cNvPr id="114" name="Oval 113">
          <a:extLst>
            <a:ext uri="{FF2B5EF4-FFF2-40B4-BE49-F238E27FC236}">
              <a16:creationId xmlns:a16="http://schemas.microsoft.com/office/drawing/2014/main" id="{00000000-0008-0000-0200-000072000000}"/>
            </a:ext>
          </a:extLst>
        </xdr:cNvPr>
        <xdr:cNvSpPr/>
      </xdr:nvSpPr>
      <xdr:spPr>
        <a:xfrm>
          <a:off x="2143125" y="171069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99</xdr:row>
      <xdr:rowOff>19050</xdr:rowOff>
    </xdr:from>
    <xdr:to>
      <xdr:col>9</xdr:col>
      <xdr:colOff>156210</xdr:colOff>
      <xdr:row>99</xdr:row>
      <xdr:rowOff>156210</xdr:rowOff>
    </xdr:to>
    <xdr:sp macro="[1]!CapacityFactorDefinition" textlink="">
      <xdr:nvSpPr>
        <xdr:cNvPr id="115" name="Oval 114">
          <a:extLst>
            <a:ext uri="{FF2B5EF4-FFF2-40B4-BE49-F238E27FC236}">
              <a16:creationId xmlns:a16="http://schemas.microsoft.com/office/drawing/2014/main" id="{00000000-0008-0000-0200-000073000000}"/>
            </a:ext>
          </a:extLst>
        </xdr:cNvPr>
        <xdr:cNvSpPr/>
      </xdr:nvSpPr>
      <xdr:spPr>
        <a:xfrm>
          <a:off x="2143125" y="171069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99</xdr:row>
      <xdr:rowOff>19050</xdr:rowOff>
    </xdr:from>
    <xdr:to>
      <xdr:col>9</xdr:col>
      <xdr:colOff>156210</xdr:colOff>
      <xdr:row>99</xdr:row>
      <xdr:rowOff>156210</xdr:rowOff>
    </xdr:to>
    <xdr:sp macro="[1]!CapacityFactorDefinition" textlink="">
      <xdr:nvSpPr>
        <xdr:cNvPr id="116" name="Oval 115">
          <a:extLst>
            <a:ext uri="{FF2B5EF4-FFF2-40B4-BE49-F238E27FC236}">
              <a16:creationId xmlns:a16="http://schemas.microsoft.com/office/drawing/2014/main" id="{00000000-0008-0000-0200-000074000000}"/>
            </a:ext>
          </a:extLst>
        </xdr:cNvPr>
        <xdr:cNvSpPr/>
      </xdr:nvSpPr>
      <xdr:spPr>
        <a:xfrm>
          <a:off x="2143125" y="171069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99</xdr:row>
      <xdr:rowOff>19050</xdr:rowOff>
    </xdr:from>
    <xdr:to>
      <xdr:col>9</xdr:col>
      <xdr:colOff>156210</xdr:colOff>
      <xdr:row>99</xdr:row>
      <xdr:rowOff>156210</xdr:rowOff>
    </xdr:to>
    <xdr:sp macro="" textlink="">
      <xdr:nvSpPr>
        <xdr:cNvPr id="117" name="Oval 116">
          <a:extLst>
            <a:ext uri="{FF2B5EF4-FFF2-40B4-BE49-F238E27FC236}">
              <a16:creationId xmlns:a16="http://schemas.microsoft.com/office/drawing/2014/main" id="{00000000-0008-0000-0200-000075000000}"/>
            </a:ext>
          </a:extLst>
        </xdr:cNvPr>
        <xdr:cNvSpPr/>
      </xdr:nvSpPr>
      <xdr:spPr>
        <a:xfrm>
          <a:off x="2143125" y="171069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99</xdr:row>
      <xdr:rowOff>19050</xdr:rowOff>
    </xdr:from>
    <xdr:to>
      <xdr:col>9</xdr:col>
      <xdr:colOff>156210</xdr:colOff>
      <xdr:row>99</xdr:row>
      <xdr:rowOff>156210</xdr:rowOff>
    </xdr:to>
    <xdr:sp macro="" textlink="">
      <xdr:nvSpPr>
        <xdr:cNvPr id="118" name="Oval 117">
          <a:extLst>
            <a:ext uri="{FF2B5EF4-FFF2-40B4-BE49-F238E27FC236}">
              <a16:creationId xmlns:a16="http://schemas.microsoft.com/office/drawing/2014/main" id="{00000000-0008-0000-0200-000076000000}"/>
            </a:ext>
          </a:extLst>
        </xdr:cNvPr>
        <xdr:cNvSpPr/>
      </xdr:nvSpPr>
      <xdr:spPr>
        <a:xfrm>
          <a:off x="2143125" y="171069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99</xdr:row>
      <xdr:rowOff>19050</xdr:rowOff>
    </xdr:from>
    <xdr:to>
      <xdr:col>9</xdr:col>
      <xdr:colOff>156210</xdr:colOff>
      <xdr:row>99</xdr:row>
      <xdr:rowOff>156210</xdr:rowOff>
    </xdr:to>
    <xdr:sp macro="" textlink="">
      <xdr:nvSpPr>
        <xdr:cNvPr id="119" name="Oval 118">
          <a:extLst>
            <a:ext uri="{FF2B5EF4-FFF2-40B4-BE49-F238E27FC236}">
              <a16:creationId xmlns:a16="http://schemas.microsoft.com/office/drawing/2014/main" id="{00000000-0008-0000-0200-000077000000}"/>
            </a:ext>
          </a:extLst>
        </xdr:cNvPr>
        <xdr:cNvSpPr/>
      </xdr:nvSpPr>
      <xdr:spPr>
        <a:xfrm>
          <a:off x="2143125" y="171069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99</xdr:row>
      <xdr:rowOff>19050</xdr:rowOff>
    </xdr:from>
    <xdr:to>
      <xdr:col>9</xdr:col>
      <xdr:colOff>156210</xdr:colOff>
      <xdr:row>99</xdr:row>
      <xdr:rowOff>156210</xdr:rowOff>
    </xdr:to>
    <xdr:sp macro="[1]!CapacityFactorDefinition" textlink="">
      <xdr:nvSpPr>
        <xdr:cNvPr id="120" name="Oval 119">
          <a:extLst>
            <a:ext uri="{FF2B5EF4-FFF2-40B4-BE49-F238E27FC236}">
              <a16:creationId xmlns:a16="http://schemas.microsoft.com/office/drawing/2014/main" id="{00000000-0008-0000-0200-000078000000}"/>
            </a:ext>
          </a:extLst>
        </xdr:cNvPr>
        <xdr:cNvSpPr/>
      </xdr:nvSpPr>
      <xdr:spPr>
        <a:xfrm>
          <a:off x="2143125" y="171069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99</xdr:row>
      <xdr:rowOff>19050</xdr:rowOff>
    </xdr:from>
    <xdr:to>
      <xdr:col>9</xdr:col>
      <xdr:colOff>156210</xdr:colOff>
      <xdr:row>99</xdr:row>
      <xdr:rowOff>156210</xdr:rowOff>
    </xdr:to>
    <xdr:sp macro="[1]!CapacityFactorDefinition" textlink="">
      <xdr:nvSpPr>
        <xdr:cNvPr id="121" name="Oval 120">
          <a:extLst>
            <a:ext uri="{FF2B5EF4-FFF2-40B4-BE49-F238E27FC236}">
              <a16:creationId xmlns:a16="http://schemas.microsoft.com/office/drawing/2014/main" id="{00000000-0008-0000-0200-000079000000}"/>
            </a:ext>
          </a:extLst>
        </xdr:cNvPr>
        <xdr:cNvSpPr/>
      </xdr:nvSpPr>
      <xdr:spPr>
        <a:xfrm>
          <a:off x="2143125" y="171069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99</xdr:row>
      <xdr:rowOff>19050</xdr:rowOff>
    </xdr:from>
    <xdr:to>
      <xdr:col>9</xdr:col>
      <xdr:colOff>156210</xdr:colOff>
      <xdr:row>99</xdr:row>
      <xdr:rowOff>156210</xdr:rowOff>
    </xdr:to>
    <xdr:sp macro="[1]!CapacityFactorDefinition" textlink="">
      <xdr:nvSpPr>
        <xdr:cNvPr id="122" name="Oval 121">
          <a:extLst>
            <a:ext uri="{FF2B5EF4-FFF2-40B4-BE49-F238E27FC236}">
              <a16:creationId xmlns:a16="http://schemas.microsoft.com/office/drawing/2014/main" id="{00000000-0008-0000-0200-00007A000000}"/>
            </a:ext>
          </a:extLst>
        </xdr:cNvPr>
        <xdr:cNvSpPr/>
      </xdr:nvSpPr>
      <xdr:spPr>
        <a:xfrm>
          <a:off x="2143125" y="171069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99</xdr:row>
      <xdr:rowOff>19050</xdr:rowOff>
    </xdr:from>
    <xdr:to>
      <xdr:col>9</xdr:col>
      <xdr:colOff>156210</xdr:colOff>
      <xdr:row>99</xdr:row>
      <xdr:rowOff>156210</xdr:rowOff>
    </xdr:to>
    <xdr:sp macro="" textlink="">
      <xdr:nvSpPr>
        <xdr:cNvPr id="123" name="Oval 122">
          <a:extLst>
            <a:ext uri="{FF2B5EF4-FFF2-40B4-BE49-F238E27FC236}">
              <a16:creationId xmlns:a16="http://schemas.microsoft.com/office/drawing/2014/main" id="{00000000-0008-0000-0200-00007B000000}"/>
            </a:ext>
          </a:extLst>
        </xdr:cNvPr>
        <xdr:cNvSpPr/>
      </xdr:nvSpPr>
      <xdr:spPr>
        <a:xfrm>
          <a:off x="2143125" y="171069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99</xdr:row>
      <xdr:rowOff>19050</xdr:rowOff>
    </xdr:from>
    <xdr:to>
      <xdr:col>9</xdr:col>
      <xdr:colOff>156210</xdr:colOff>
      <xdr:row>99</xdr:row>
      <xdr:rowOff>156210</xdr:rowOff>
    </xdr:to>
    <xdr:sp macro="" textlink="">
      <xdr:nvSpPr>
        <xdr:cNvPr id="124" name="Oval 123">
          <a:extLst>
            <a:ext uri="{FF2B5EF4-FFF2-40B4-BE49-F238E27FC236}">
              <a16:creationId xmlns:a16="http://schemas.microsoft.com/office/drawing/2014/main" id="{00000000-0008-0000-0200-00007C000000}"/>
            </a:ext>
          </a:extLst>
        </xdr:cNvPr>
        <xdr:cNvSpPr/>
      </xdr:nvSpPr>
      <xdr:spPr>
        <a:xfrm>
          <a:off x="2143125" y="171069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99</xdr:row>
      <xdr:rowOff>19050</xdr:rowOff>
    </xdr:from>
    <xdr:to>
      <xdr:col>9</xdr:col>
      <xdr:colOff>156210</xdr:colOff>
      <xdr:row>99</xdr:row>
      <xdr:rowOff>156210</xdr:rowOff>
    </xdr:to>
    <xdr:sp macro="" textlink="">
      <xdr:nvSpPr>
        <xdr:cNvPr id="125" name="Oval 124">
          <a:extLst>
            <a:ext uri="{FF2B5EF4-FFF2-40B4-BE49-F238E27FC236}">
              <a16:creationId xmlns:a16="http://schemas.microsoft.com/office/drawing/2014/main" id="{00000000-0008-0000-0200-00007D000000}"/>
            </a:ext>
          </a:extLst>
        </xdr:cNvPr>
        <xdr:cNvSpPr/>
      </xdr:nvSpPr>
      <xdr:spPr>
        <a:xfrm>
          <a:off x="2143125" y="171069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99</xdr:row>
      <xdr:rowOff>19050</xdr:rowOff>
    </xdr:from>
    <xdr:to>
      <xdr:col>9</xdr:col>
      <xdr:colOff>156210</xdr:colOff>
      <xdr:row>99</xdr:row>
      <xdr:rowOff>156210</xdr:rowOff>
    </xdr:to>
    <xdr:sp macro="[1]!CapacityFactorDefinition" textlink="">
      <xdr:nvSpPr>
        <xdr:cNvPr id="126" name="Oval 125">
          <a:extLst>
            <a:ext uri="{FF2B5EF4-FFF2-40B4-BE49-F238E27FC236}">
              <a16:creationId xmlns:a16="http://schemas.microsoft.com/office/drawing/2014/main" id="{00000000-0008-0000-0200-00007E000000}"/>
            </a:ext>
          </a:extLst>
        </xdr:cNvPr>
        <xdr:cNvSpPr/>
      </xdr:nvSpPr>
      <xdr:spPr>
        <a:xfrm>
          <a:off x="2143125" y="171069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99</xdr:row>
      <xdr:rowOff>19050</xdr:rowOff>
    </xdr:from>
    <xdr:to>
      <xdr:col>9</xdr:col>
      <xdr:colOff>156210</xdr:colOff>
      <xdr:row>99</xdr:row>
      <xdr:rowOff>156210</xdr:rowOff>
    </xdr:to>
    <xdr:sp macro="[1]!CapacityFactorDefinition" textlink="">
      <xdr:nvSpPr>
        <xdr:cNvPr id="127" name="Oval 126">
          <a:extLst>
            <a:ext uri="{FF2B5EF4-FFF2-40B4-BE49-F238E27FC236}">
              <a16:creationId xmlns:a16="http://schemas.microsoft.com/office/drawing/2014/main" id="{00000000-0008-0000-0200-00007F000000}"/>
            </a:ext>
          </a:extLst>
        </xdr:cNvPr>
        <xdr:cNvSpPr/>
      </xdr:nvSpPr>
      <xdr:spPr>
        <a:xfrm>
          <a:off x="2143125" y="171069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99</xdr:row>
      <xdr:rowOff>19050</xdr:rowOff>
    </xdr:from>
    <xdr:to>
      <xdr:col>9</xdr:col>
      <xdr:colOff>156210</xdr:colOff>
      <xdr:row>99</xdr:row>
      <xdr:rowOff>156210</xdr:rowOff>
    </xdr:to>
    <xdr:sp macro="[1]!CapacityFactorDefinition" textlink="">
      <xdr:nvSpPr>
        <xdr:cNvPr id="128" name="Oval 127">
          <a:extLst>
            <a:ext uri="{FF2B5EF4-FFF2-40B4-BE49-F238E27FC236}">
              <a16:creationId xmlns:a16="http://schemas.microsoft.com/office/drawing/2014/main" id="{00000000-0008-0000-0200-000080000000}"/>
            </a:ext>
          </a:extLst>
        </xdr:cNvPr>
        <xdr:cNvSpPr/>
      </xdr:nvSpPr>
      <xdr:spPr>
        <a:xfrm>
          <a:off x="2143125" y="171069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99</xdr:row>
      <xdr:rowOff>19050</xdr:rowOff>
    </xdr:from>
    <xdr:to>
      <xdr:col>9</xdr:col>
      <xdr:colOff>156210</xdr:colOff>
      <xdr:row>99</xdr:row>
      <xdr:rowOff>156210</xdr:rowOff>
    </xdr:to>
    <xdr:sp macro="" textlink="">
      <xdr:nvSpPr>
        <xdr:cNvPr id="129" name="Oval 128">
          <a:extLst>
            <a:ext uri="{FF2B5EF4-FFF2-40B4-BE49-F238E27FC236}">
              <a16:creationId xmlns:a16="http://schemas.microsoft.com/office/drawing/2014/main" id="{00000000-0008-0000-0200-000081000000}"/>
            </a:ext>
          </a:extLst>
        </xdr:cNvPr>
        <xdr:cNvSpPr/>
      </xdr:nvSpPr>
      <xdr:spPr>
        <a:xfrm>
          <a:off x="2143125" y="171069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99</xdr:row>
      <xdr:rowOff>19050</xdr:rowOff>
    </xdr:from>
    <xdr:to>
      <xdr:col>9</xdr:col>
      <xdr:colOff>156210</xdr:colOff>
      <xdr:row>99</xdr:row>
      <xdr:rowOff>156210</xdr:rowOff>
    </xdr:to>
    <xdr:sp macro="" textlink="">
      <xdr:nvSpPr>
        <xdr:cNvPr id="130" name="Oval 129">
          <a:extLst>
            <a:ext uri="{FF2B5EF4-FFF2-40B4-BE49-F238E27FC236}">
              <a16:creationId xmlns:a16="http://schemas.microsoft.com/office/drawing/2014/main" id="{00000000-0008-0000-0200-000082000000}"/>
            </a:ext>
          </a:extLst>
        </xdr:cNvPr>
        <xdr:cNvSpPr/>
      </xdr:nvSpPr>
      <xdr:spPr>
        <a:xfrm>
          <a:off x="2143125" y="171069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99</xdr:row>
      <xdr:rowOff>19050</xdr:rowOff>
    </xdr:from>
    <xdr:to>
      <xdr:col>9</xdr:col>
      <xdr:colOff>156210</xdr:colOff>
      <xdr:row>99</xdr:row>
      <xdr:rowOff>156210</xdr:rowOff>
    </xdr:to>
    <xdr:sp macro="" textlink="">
      <xdr:nvSpPr>
        <xdr:cNvPr id="131" name="Oval 130">
          <a:extLst>
            <a:ext uri="{FF2B5EF4-FFF2-40B4-BE49-F238E27FC236}">
              <a16:creationId xmlns:a16="http://schemas.microsoft.com/office/drawing/2014/main" id="{00000000-0008-0000-0200-000083000000}"/>
            </a:ext>
          </a:extLst>
        </xdr:cNvPr>
        <xdr:cNvSpPr/>
      </xdr:nvSpPr>
      <xdr:spPr>
        <a:xfrm>
          <a:off x="2143125" y="171069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131</xdr:row>
      <xdr:rowOff>19050</xdr:rowOff>
    </xdr:from>
    <xdr:to>
      <xdr:col>9</xdr:col>
      <xdr:colOff>156210</xdr:colOff>
      <xdr:row>131</xdr:row>
      <xdr:rowOff>156210</xdr:rowOff>
    </xdr:to>
    <xdr:sp macro="[1]!AnnualEnergyProductionDefinition" textlink="">
      <xdr:nvSpPr>
        <xdr:cNvPr id="132" name="Oval 131">
          <a:extLst>
            <a:ext uri="{FF2B5EF4-FFF2-40B4-BE49-F238E27FC236}">
              <a16:creationId xmlns:a16="http://schemas.microsoft.com/office/drawing/2014/main" id="{00000000-0008-0000-0200-000084000000}"/>
            </a:ext>
          </a:extLst>
        </xdr:cNvPr>
        <xdr:cNvSpPr/>
      </xdr:nvSpPr>
      <xdr:spPr>
        <a:xfrm>
          <a:off x="2143125" y="225933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131</xdr:row>
      <xdr:rowOff>19050</xdr:rowOff>
    </xdr:from>
    <xdr:to>
      <xdr:col>9</xdr:col>
      <xdr:colOff>156210</xdr:colOff>
      <xdr:row>131</xdr:row>
      <xdr:rowOff>156210</xdr:rowOff>
    </xdr:to>
    <xdr:sp macro="[1]!AnnualEnergyProductionDefinition" textlink="">
      <xdr:nvSpPr>
        <xdr:cNvPr id="133" name="Oval 132">
          <a:extLst>
            <a:ext uri="{FF2B5EF4-FFF2-40B4-BE49-F238E27FC236}">
              <a16:creationId xmlns:a16="http://schemas.microsoft.com/office/drawing/2014/main" id="{00000000-0008-0000-0200-000085000000}"/>
            </a:ext>
          </a:extLst>
        </xdr:cNvPr>
        <xdr:cNvSpPr/>
      </xdr:nvSpPr>
      <xdr:spPr>
        <a:xfrm>
          <a:off x="2143125" y="225933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131</xdr:row>
      <xdr:rowOff>19050</xdr:rowOff>
    </xdr:from>
    <xdr:to>
      <xdr:col>9</xdr:col>
      <xdr:colOff>156210</xdr:colOff>
      <xdr:row>131</xdr:row>
      <xdr:rowOff>156210</xdr:rowOff>
    </xdr:to>
    <xdr:sp macro="" textlink="">
      <xdr:nvSpPr>
        <xdr:cNvPr id="134" name="Oval 133">
          <a:extLst>
            <a:ext uri="{FF2B5EF4-FFF2-40B4-BE49-F238E27FC236}">
              <a16:creationId xmlns:a16="http://schemas.microsoft.com/office/drawing/2014/main" id="{00000000-0008-0000-0200-000086000000}"/>
            </a:ext>
          </a:extLst>
        </xdr:cNvPr>
        <xdr:cNvSpPr/>
      </xdr:nvSpPr>
      <xdr:spPr>
        <a:xfrm>
          <a:off x="2143125" y="225933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131</xdr:row>
      <xdr:rowOff>19050</xdr:rowOff>
    </xdr:from>
    <xdr:to>
      <xdr:col>9</xdr:col>
      <xdr:colOff>156210</xdr:colOff>
      <xdr:row>131</xdr:row>
      <xdr:rowOff>156210</xdr:rowOff>
    </xdr:to>
    <xdr:sp macro="" textlink="">
      <xdr:nvSpPr>
        <xdr:cNvPr id="135" name="Oval 134">
          <a:extLst>
            <a:ext uri="{FF2B5EF4-FFF2-40B4-BE49-F238E27FC236}">
              <a16:creationId xmlns:a16="http://schemas.microsoft.com/office/drawing/2014/main" id="{00000000-0008-0000-0200-000087000000}"/>
            </a:ext>
          </a:extLst>
        </xdr:cNvPr>
        <xdr:cNvSpPr/>
      </xdr:nvSpPr>
      <xdr:spPr>
        <a:xfrm>
          <a:off x="2143125" y="225933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131</xdr:row>
      <xdr:rowOff>19050</xdr:rowOff>
    </xdr:from>
    <xdr:to>
      <xdr:col>9</xdr:col>
      <xdr:colOff>156210</xdr:colOff>
      <xdr:row>131</xdr:row>
      <xdr:rowOff>156210</xdr:rowOff>
    </xdr:to>
    <xdr:sp macro="[1]!AnnualEnergyProductionDefinition" textlink="">
      <xdr:nvSpPr>
        <xdr:cNvPr id="136" name="Oval 135">
          <a:extLst>
            <a:ext uri="{FF2B5EF4-FFF2-40B4-BE49-F238E27FC236}">
              <a16:creationId xmlns:a16="http://schemas.microsoft.com/office/drawing/2014/main" id="{00000000-0008-0000-0200-000088000000}"/>
            </a:ext>
          </a:extLst>
        </xdr:cNvPr>
        <xdr:cNvSpPr/>
      </xdr:nvSpPr>
      <xdr:spPr>
        <a:xfrm>
          <a:off x="2143125" y="225933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131</xdr:row>
      <xdr:rowOff>19050</xdr:rowOff>
    </xdr:from>
    <xdr:to>
      <xdr:col>9</xdr:col>
      <xdr:colOff>156210</xdr:colOff>
      <xdr:row>131</xdr:row>
      <xdr:rowOff>156210</xdr:rowOff>
    </xdr:to>
    <xdr:sp macro="[1]!AnnualEnergyProductionDefinition" textlink="">
      <xdr:nvSpPr>
        <xdr:cNvPr id="137" name="Oval 136">
          <a:extLst>
            <a:ext uri="{FF2B5EF4-FFF2-40B4-BE49-F238E27FC236}">
              <a16:creationId xmlns:a16="http://schemas.microsoft.com/office/drawing/2014/main" id="{00000000-0008-0000-0200-000089000000}"/>
            </a:ext>
          </a:extLst>
        </xdr:cNvPr>
        <xdr:cNvSpPr/>
      </xdr:nvSpPr>
      <xdr:spPr>
        <a:xfrm>
          <a:off x="2143125" y="225933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131</xdr:row>
      <xdr:rowOff>19050</xdr:rowOff>
    </xdr:from>
    <xdr:to>
      <xdr:col>9</xdr:col>
      <xdr:colOff>156210</xdr:colOff>
      <xdr:row>131</xdr:row>
      <xdr:rowOff>156210</xdr:rowOff>
    </xdr:to>
    <xdr:sp macro="" textlink="">
      <xdr:nvSpPr>
        <xdr:cNvPr id="138" name="Oval 137">
          <a:extLst>
            <a:ext uri="{FF2B5EF4-FFF2-40B4-BE49-F238E27FC236}">
              <a16:creationId xmlns:a16="http://schemas.microsoft.com/office/drawing/2014/main" id="{00000000-0008-0000-0200-00008A000000}"/>
            </a:ext>
          </a:extLst>
        </xdr:cNvPr>
        <xdr:cNvSpPr/>
      </xdr:nvSpPr>
      <xdr:spPr>
        <a:xfrm>
          <a:off x="2143125" y="225933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131</xdr:row>
      <xdr:rowOff>19050</xdr:rowOff>
    </xdr:from>
    <xdr:to>
      <xdr:col>9</xdr:col>
      <xdr:colOff>156210</xdr:colOff>
      <xdr:row>131</xdr:row>
      <xdr:rowOff>156210</xdr:rowOff>
    </xdr:to>
    <xdr:sp macro="" textlink="">
      <xdr:nvSpPr>
        <xdr:cNvPr id="139" name="Oval 138">
          <a:extLst>
            <a:ext uri="{FF2B5EF4-FFF2-40B4-BE49-F238E27FC236}">
              <a16:creationId xmlns:a16="http://schemas.microsoft.com/office/drawing/2014/main" id="{00000000-0008-0000-0200-00008B000000}"/>
            </a:ext>
          </a:extLst>
        </xdr:cNvPr>
        <xdr:cNvSpPr/>
      </xdr:nvSpPr>
      <xdr:spPr>
        <a:xfrm>
          <a:off x="2143125" y="225933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131</xdr:row>
      <xdr:rowOff>19050</xdr:rowOff>
    </xdr:from>
    <xdr:to>
      <xdr:col>9</xdr:col>
      <xdr:colOff>156210</xdr:colOff>
      <xdr:row>131</xdr:row>
      <xdr:rowOff>156210</xdr:rowOff>
    </xdr:to>
    <xdr:sp macro="[1]!AnnualEnergyProductionDefinition" textlink="">
      <xdr:nvSpPr>
        <xdr:cNvPr id="140" name="Oval 139">
          <a:extLst>
            <a:ext uri="{FF2B5EF4-FFF2-40B4-BE49-F238E27FC236}">
              <a16:creationId xmlns:a16="http://schemas.microsoft.com/office/drawing/2014/main" id="{00000000-0008-0000-0200-00008C000000}"/>
            </a:ext>
          </a:extLst>
        </xdr:cNvPr>
        <xdr:cNvSpPr/>
      </xdr:nvSpPr>
      <xdr:spPr>
        <a:xfrm>
          <a:off x="2143125" y="225933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131</xdr:row>
      <xdr:rowOff>19050</xdr:rowOff>
    </xdr:from>
    <xdr:to>
      <xdr:col>9</xdr:col>
      <xdr:colOff>156210</xdr:colOff>
      <xdr:row>131</xdr:row>
      <xdr:rowOff>156210</xdr:rowOff>
    </xdr:to>
    <xdr:sp macro="[1]!AnnualEnergyProductionDefinition" textlink="">
      <xdr:nvSpPr>
        <xdr:cNvPr id="141" name="Oval 140">
          <a:extLst>
            <a:ext uri="{FF2B5EF4-FFF2-40B4-BE49-F238E27FC236}">
              <a16:creationId xmlns:a16="http://schemas.microsoft.com/office/drawing/2014/main" id="{00000000-0008-0000-0200-00008D000000}"/>
            </a:ext>
          </a:extLst>
        </xdr:cNvPr>
        <xdr:cNvSpPr/>
      </xdr:nvSpPr>
      <xdr:spPr>
        <a:xfrm>
          <a:off x="2143125" y="225933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131</xdr:row>
      <xdr:rowOff>19050</xdr:rowOff>
    </xdr:from>
    <xdr:to>
      <xdr:col>9</xdr:col>
      <xdr:colOff>156210</xdr:colOff>
      <xdr:row>131</xdr:row>
      <xdr:rowOff>156210</xdr:rowOff>
    </xdr:to>
    <xdr:sp macro="" textlink="">
      <xdr:nvSpPr>
        <xdr:cNvPr id="142" name="Oval 141">
          <a:extLst>
            <a:ext uri="{FF2B5EF4-FFF2-40B4-BE49-F238E27FC236}">
              <a16:creationId xmlns:a16="http://schemas.microsoft.com/office/drawing/2014/main" id="{00000000-0008-0000-0200-00008E000000}"/>
            </a:ext>
          </a:extLst>
        </xdr:cNvPr>
        <xdr:cNvSpPr/>
      </xdr:nvSpPr>
      <xdr:spPr>
        <a:xfrm>
          <a:off x="2143125" y="225933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131</xdr:row>
      <xdr:rowOff>19050</xdr:rowOff>
    </xdr:from>
    <xdr:to>
      <xdr:col>9</xdr:col>
      <xdr:colOff>156210</xdr:colOff>
      <xdr:row>131</xdr:row>
      <xdr:rowOff>156210</xdr:rowOff>
    </xdr:to>
    <xdr:sp macro="" textlink="">
      <xdr:nvSpPr>
        <xdr:cNvPr id="143" name="Oval 142">
          <a:extLst>
            <a:ext uri="{FF2B5EF4-FFF2-40B4-BE49-F238E27FC236}">
              <a16:creationId xmlns:a16="http://schemas.microsoft.com/office/drawing/2014/main" id="{00000000-0008-0000-0200-00008F000000}"/>
            </a:ext>
          </a:extLst>
        </xdr:cNvPr>
        <xdr:cNvSpPr/>
      </xdr:nvSpPr>
      <xdr:spPr>
        <a:xfrm>
          <a:off x="2143125" y="225933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131</xdr:row>
      <xdr:rowOff>19050</xdr:rowOff>
    </xdr:from>
    <xdr:to>
      <xdr:col>9</xdr:col>
      <xdr:colOff>156210</xdr:colOff>
      <xdr:row>131</xdr:row>
      <xdr:rowOff>156210</xdr:rowOff>
    </xdr:to>
    <xdr:sp macro="[1]!AnnualEnergyProductionDefinition" textlink="">
      <xdr:nvSpPr>
        <xdr:cNvPr id="144" name="Oval 143">
          <a:extLst>
            <a:ext uri="{FF2B5EF4-FFF2-40B4-BE49-F238E27FC236}">
              <a16:creationId xmlns:a16="http://schemas.microsoft.com/office/drawing/2014/main" id="{00000000-0008-0000-0200-000090000000}"/>
            </a:ext>
          </a:extLst>
        </xdr:cNvPr>
        <xdr:cNvSpPr/>
      </xdr:nvSpPr>
      <xdr:spPr>
        <a:xfrm>
          <a:off x="2143125" y="225933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131</xdr:row>
      <xdr:rowOff>19050</xdr:rowOff>
    </xdr:from>
    <xdr:to>
      <xdr:col>9</xdr:col>
      <xdr:colOff>156210</xdr:colOff>
      <xdr:row>131</xdr:row>
      <xdr:rowOff>156210</xdr:rowOff>
    </xdr:to>
    <xdr:sp macro="[1]!AnnualEnergyProductionDefinition" textlink="">
      <xdr:nvSpPr>
        <xdr:cNvPr id="145" name="Oval 144">
          <a:extLst>
            <a:ext uri="{FF2B5EF4-FFF2-40B4-BE49-F238E27FC236}">
              <a16:creationId xmlns:a16="http://schemas.microsoft.com/office/drawing/2014/main" id="{00000000-0008-0000-0200-000091000000}"/>
            </a:ext>
          </a:extLst>
        </xdr:cNvPr>
        <xdr:cNvSpPr/>
      </xdr:nvSpPr>
      <xdr:spPr>
        <a:xfrm>
          <a:off x="2143125" y="225933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131</xdr:row>
      <xdr:rowOff>19050</xdr:rowOff>
    </xdr:from>
    <xdr:to>
      <xdr:col>9</xdr:col>
      <xdr:colOff>156210</xdr:colOff>
      <xdr:row>131</xdr:row>
      <xdr:rowOff>156210</xdr:rowOff>
    </xdr:to>
    <xdr:sp macro="" textlink="">
      <xdr:nvSpPr>
        <xdr:cNvPr id="146" name="Oval 145">
          <a:extLst>
            <a:ext uri="{FF2B5EF4-FFF2-40B4-BE49-F238E27FC236}">
              <a16:creationId xmlns:a16="http://schemas.microsoft.com/office/drawing/2014/main" id="{00000000-0008-0000-0200-000092000000}"/>
            </a:ext>
          </a:extLst>
        </xdr:cNvPr>
        <xdr:cNvSpPr/>
      </xdr:nvSpPr>
      <xdr:spPr>
        <a:xfrm>
          <a:off x="2143125" y="225933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131</xdr:row>
      <xdr:rowOff>19050</xdr:rowOff>
    </xdr:from>
    <xdr:to>
      <xdr:col>9</xdr:col>
      <xdr:colOff>156210</xdr:colOff>
      <xdr:row>131</xdr:row>
      <xdr:rowOff>156210</xdr:rowOff>
    </xdr:to>
    <xdr:sp macro="" textlink="">
      <xdr:nvSpPr>
        <xdr:cNvPr id="147" name="Oval 146">
          <a:extLst>
            <a:ext uri="{FF2B5EF4-FFF2-40B4-BE49-F238E27FC236}">
              <a16:creationId xmlns:a16="http://schemas.microsoft.com/office/drawing/2014/main" id="{00000000-0008-0000-0200-000093000000}"/>
            </a:ext>
          </a:extLst>
        </xdr:cNvPr>
        <xdr:cNvSpPr/>
      </xdr:nvSpPr>
      <xdr:spPr>
        <a:xfrm>
          <a:off x="2143125" y="225933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195</xdr:row>
      <xdr:rowOff>19050</xdr:rowOff>
    </xdr:from>
    <xdr:to>
      <xdr:col>9</xdr:col>
      <xdr:colOff>156210</xdr:colOff>
      <xdr:row>195</xdr:row>
      <xdr:rowOff>156210</xdr:rowOff>
    </xdr:to>
    <xdr:sp macro="[1]!OvernightCapitalCostDefinition" textlink="">
      <xdr:nvSpPr>
        <xdr:cNvPr id="148" name="Oval 147">
          <a:extLst>
            <a:ext uri="{FF2B5EF4-FFF2-40B4-BE49-F238E27FC236}">
              <a16:creationId xmlns:a16="http://schemas.microsoft.com/office/drawing/2014/main" id="{00000000-0008-0000-0200-000094000000}"/>
            </a:ext>
          </a:extLst>
        </xdr:cNvPr>
        <xdr:cNvSpPr/>
      </xdr:nvSpPr>
      <xdr:spPr>
        <a:xfrm>
          <a:off x="2143125" y="335661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195</xdr:row>
      <xdr:rowOff>19050</xdr:rowOff>
    </xdr:from>
    <xdr:to>
      <xdr:col>9</xdr:col>
      <xdr:colOff>156210</xdr:colOff>
      <xdr:row>195</xdr:row>
      <xdr:rowOff>156210</xdr:rowOff>
    </xdr:to>
    <xdr:sp macro="" textlink="">
      <xdr:nvSpPr>
        <xdr:cNvPr id="149" name="Oval 148">
          <a:extLst>
            <a:ext uri="{FF2B5EF4-FFF2-40B4-BE49-F238E27FC236}">
              <a16:creationId xmlns:a16="http://schemas.microsoft.com/office/drawing/2014/main" id="{00000000-0008-0000-0200-000095000000}"/>
            </a:ext>
          </a:extLst>
        </xdr:cNvPr>
        <xdr:cNvSpPr/>
      </xdr:nvSpPr>
      <xdr:spPr>
        <a:xfrm>
          <a:off x="2143125" y="335661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195</xdr:row>
      <xdr:rowOff>19050</xdr:rowOff>
    </xdr:from>
    <xdr:to>
      <xdr:col>9</xdr:col>
      <xdr:colOff>156210</xdr:colOff>
      <xdr:row>195</xdr:row>
      <xdr:rowOff>156210</xdr:rowOff>
    </xdr:to>
    <xdr:sp macro="[1]!OvernightCapitalCostDefinition" textlink="">
      <xdr:nvSpPr>
        <xdr:cNvPr id="150" name="Oval 149">
          <a:extLst>
            <a:ext uri="{FF2B5EF4-FFF2-40B4-BE49-F238E27FC236}">
              <a16:creationId xmlns:a16="http://schemas.microsoft.com/office/drawing/2014/main" id="{00000000-0008-0000-0200-000096000000}"/>
            </a:ext>
          </a:extLst>
        </xdr:cNvPr>
        <xdr:cNvSpPr/>
      </xdr:nvSpPr>
      <xdr:spPr>
        <a:xfrm>
          <a:off x="2143125" y="335661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195</xdr:row>
      <xdr:rowOff>19050</xdr:rowOff>
    </xdr:from>
    <xdr:to>
      <xdr:col>9</xdr:col>
      <xdr:colOff>156210</xdr:colOff>
      <xdr:row>195</xdr:row>
      <xdr:rowOff>156210</xdr:rowOff>
    </xdr:to>
    <xdr:sp macro="" textlink="">
      <xdr:nvSpPr>
        <xdr:cNvPr id="151" name="Oval 150">
          <a:extLst>
            <a:ext uri="{FF2B5EF4-FFF2-40B4-BE49-F238E27FC236}">
              <a16:creationId xmlns:a16="http://schemas.microsoft.com/office/drawing/2014/main" id="{00000000-0008-0000-0200-000097000000}"/>
            </a:ext>
          </a:extLst>
        </xdr:cNvPr>
        <xdr:cNvSpPr/>
      </xdr:nvSpPr>
      <xdr:spPr>
        <a:xfrm>
          <a:off x="2143125" y="335661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195</xdr:row>
      <xdr:rowOff>19050</xdr:rowOff>
    </xdr:from>
    <xdr:to>
      <xdr:col>9</xdr:col>
      <xdr:colOff>156210</xdr:colOff>
      <xdr:row>195</xdr:row>
      <xdr:rowOff>156210</xdr:rowOff>
    </xdr:to>
    <xdr:sp macro="[1]!OvernightCapitalCostDefinition" textlink="">
      <xdr:nvSpPr>
        <xdr:cNvPr id="152" name="Oval 151">
          <a:extLst>
            <a:ext uri="{FF2B5EF4-FFF2-40B4-BE49-F238E27FC236}">
              <a16:creationId xmlns:a16="http://schemas.microsoft.com/office/drawing/2014/main" id="{00000000-0008-0000-0200-000098000000}"/>
            </a:ext>
          </a:extLst>
        </xdr:cNvPr>
        <xdr:cNvSpPr/>
      </xdr:nvSpPr>
      <xdr:spPr>
        <a:xfrm>
          <a:off x="2143125" y="335661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195</xdr:row>
      <xdr:rowOff>19050</xdr:rowOff>
    </xdr:from>
    <xdr:to>
      <xdr:col>9</xdr:col>
      <xdr:colOff>156210</xdr:colOff>
      <xdr:row>195</xdr:row>
      <xdr:rowOff>156210</xdr:rowOff>
    </xdr:to>
    <xdr:sp macro="" textlink="">
      <xdr:nvSpPr>
        <xdr:cNvPr id="153" name="Oval 152">
          <a:extLst>
            <a:ext uri="{FF2B5EF4-FFF2-40B4-BE49-F238E27FC236}">
              <a16:creationId xmlns:a16="http://schemas.microsoft.com/office/drawing/2014/main" id="{00000000-0008-0000-0200-000099000000}"/>
            </a:ext>
          </a:extLst>
        </xdr:cNvPr>
        <xdr:cNvSpPr/>
      </xdr:nvSpPr>
      <xdr:spPr>
        <a:xfrm>
          <a:off x="2143125" y="335661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195</xdr:row>
      <xdr:rowOff>19050</xdr:rowOff>
    </xdr:from>
    <xdr:to>
      <xdr:col>9</xdr:col>
      <xdr:colOff>156210</xdr:colOff>
      <xdr:row>195</xdr:row>
      <xdr:rowOff>156210</xdr:rowOff>
    </xdr:to>
    <xdr:sp macro="[1]!OvernightCapitalCostDefinition" textlink="">
      <xdr:nvSpPr>
        <xdr:cNvPr id="154" name="Oval 153">
          <a:extLst>
            <a:ext uri="{FF2B5EF4-FFF2-40B4-BE49-F238E27FC236}">
              <a16:creationId xmlns:a16="http://schemas.microsoft.com/office/drawing/2014/main" id="{00000000-0008-0000-0200-00009A000000}"/>
            </a:ext>
          </a:extLst>
        </xdr:cNvPr>
        <xdr:cNvSpPr/>
      </xdr:nvSpPr>
      <xdr:spPr>
        <a:xfrm>
          <a:off x="2143125" y="335661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195</xdr:row>
      <xdr:rowOff>19050</xdr:rowOff>
    </xdr:from>
    <xdr:to>
      <xdr:col>9</xdr:col>
      <xdr:colOff>156210</xdr:colOff>
      <xdr:row>195</xdr:row>
      <xdr:rowOff>156210</xdr:rowOff>
    </xdr:to>
    <xdr:sp macro="" textlink="">
      <xdr:nvSpPr>
        <xdr:cNvPr id="155" name="Oval 154">
          <a:extLst>
            <a:ext uri="{FF2B5EF4-FFF2-40B4-BE49-F238E27FC236}">
              <a16:creationId xmlns:a16="http://schemas.microsoft.com/office/drawing/2014/main" id="{00000000-0008-0000-0200-00009B000000}"/>
            </a:ext>
          </a:extLst>
        </xdr:cNvPr>
        <xdr:cNvSpPr/>
      </xdr:nvSpPr>
      <xdr:spPr>
        <a:xfrm>
          <a:off x="2143125" y="335661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163</xdr:row>
      <xdr:rowOff>19050</xdr:rowOff>
    </xdr:from>
    <xdr:to>
      <xdr:col>9</xdr:col>
      <xdr:colOff>156210</xdr:colOff>
      <xdr:row>163</xdr:row>
      <xdr:rowOff>156210</xdr:rowOff>
    </xdr:to>
    <xdr:sp macro="[1]!AnnualEnergyProductionDefinition" textlink="">
      <xdr:nvSpPr>
        <xdr:cNvPr id="156" name="Oval 155">
          <a:extLst>
            <a:ext uri="{FF2B5EF4-FFF2-40B4-BE49-F238E27FC236}">
              <a16:creationId xmlns:a16="http://schemas.microsoft.com/office/drawing/2014/main" id="{00000000-0008-0000-0200-00009C000000}"/>
            </a:ext>
          </a:extLst>
        </xdr:cNvPr>
        <xdr:cNvSpPr/>
      </xdr:nvSpPr>
      <xdr:spPr>
        <a:xfrm>
          <a:off x="2143125" y="280797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163</xdr:row>
      <xdr:rowOff>19050</xdr:rowOff>
    </xdr:from>
    <xdr:to>
      <xdr:col>9</xdr:col>
      <xdr:colOff>156210</xdr:colOff>
      <xdr:row>163</xdr:row>
      <xdr:rowOff>156210</xdr:rowOff>
    </xdr:to>
    <xdr:sp macro="[1]!AnnualEnergyProductionDefinition" textlink="">
      <xdr:nvSpPr>
        <xdr:cNvPr id="157" name="Oval 156">
          <a:extLst>
            <a:ext uri="{FF2B5EF4-FFF2-40B4-BE49-F238E27FC236}">
              <a16:creationId xmlns:a16="http://schemas.microsoft.com/office/drawing/2014/main" id="{00000000-0008-0000-0200-00009D000000}"/>
            </a:ext>
          </a:extLst>
        </xdr:cNvPr>
        <xdr:cNvSpPr/>
      </xdr:nvSpPr>
      <xdr:spPr>
        <a:xfrm>
          <a:off x="2143125" y="280797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163</xdr:row>
      <xdr:rowOff>19050</xdr:rowOff>
    </xdr:from>
    <xdr:to>
      <xdr:col>9</xdr:col>
      <xdr:colOff>156210</xdr:colOff>
      <xdr:row>163</xdr:row>
      <xdr:rowOff>156210</xdr:rowOff>
    </xdr:to>
    <xdr:sp macro="[1]!ConstructionFinanceDefinition" textlink="">
      <xdr:nvSpPr>
        <xdr:cNvPr id="158" name="Oval 157">
          <a:extLst>
            <a:ext uri="{FF2B5EF4-FFF2-40B4-BE49-F238E27FC236}">
              <a16:creationId xmlns:a16="http://schemas.microsoft.com/office/drawing/2014/main" id="{00000000-0008-0000-0200-00009E000000}"/>
            </a:ext>
          </a:extLst>
        </xdr:cNvPr>
        <xdr:cNvSpPr/>
      </xdr:nvSpPr>
      <xdr:spPr>
        <a:xfrm>
          <a:off x="2143125" y="280797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163</xdr:row>
      <xdr:rowOff>19050</xdr:rowOff>
    </xdr:from>
    <xdr:to>
      <xdr:col>9</xdr:col>
      <xdr:colOff>156210</xdr:colOff>
      <xdr:row>163</xdr:row>
      <xdr:rowOff>156210</xdr:rowOff>
    </xdr:to>
    <xdr:sp macro="[1]!CapitalCostDefinition" textlink="">
      <xdr:nvSpPr>
        <xdr:cNvPr id="159" name="Oval 158">
          <a:extLst>
            <a:ext uri="{FF2B5EF4-FFF2-40B4-BE49-F238E27FC236}">
              <a16:creationId xmlns:a16="http://schemas.microsoft.com/office/drawing/2014/main" id="{00000000-0008-0000-0200-00009F000000}"/>
            </a:ext>
          </a:extLst>
        </xdr:cNvPr>
        <xdr:cNvSpPr/>
      </xdr:nvSpPr>
      <xdr:spPr>
        <a:xfrm>
          <a:off x="2143125" y="280797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163</xdr:row>
      <xdr:rowOff>19050</xdr:rowOff>
    </xdr:from>
    <xdr:to>
      <xdr:col>9</xdr:col>
      <xdr:colOff>156210</xdr:colOff>
      <xdr:row>163</xdr:row>
      <xdr:rowOff>156210</xdr:rowOff>
    </xdr:to>
    <xdr:sp macro="[1]!CapitalCostDefinition" textlink="">
      <xdr:nvSpPr>
        <xdr:cNvPr id="160" name="Oval 159">
          <a:extLst>
            <a:ext uri="{FF2B5EF4-FFF2-40B4-BE49-F238E27FC236}">
              <a16:creationId xmlns:a16="http://schemas.microsoft.com/office/drawing/2014/main" id="{00000000-0008-0000-0200-0000A0000000}"/>
            </a:ext>
          </a:extLst>
        </xdr:cNvPr>
        <xdr:cNvSpPr/>
      </xdr:nvSpPr>
      <xdr:spPr>
        <a:xfrm>
          <a:off x="2143125" y="280797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163</xdr:row>
      <xdr:rowOff>19050</xdr:rowOff>
    </xdr:from>
    <xdr:to>
      <xdr:col>9</xdr:col>
      <xdr:colOff>156210</xdr:colOff>
      <xdr:row>163</xdr:row>
      <xdr:rowOff>156210</xdr:rowOff>
    </xdr:to>
    <xdr:sp macro="" textlink="">
      <xdr:nvSpPr>
        <xdr:cNvPr id="161" name="Oval 160">
          <a:extLst>
            <a:ext uri="{FF2B5EF4-FFF2-40B4-BE49-F238E27FC236}">
              <a16:creationId xmlns:a16="http://schemas.microsoft.com/office/drawing/2014/main" id="{00000000-0008-0000-0200-0000A1000000}"/>
            </a:ext>
          </a:extLst>
        </xdr:cNvPr>
        <xdr:cNvSpPr/>
      </xdr:nvSpPr>
      <xdr:spPr>
        <a:xfrm>
          <a:off x="2143125" y="280797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163</xdr:row>
      <xdr:rowOff>19050</xdr:rowOff>
    </xdr:from>
    <xdr:to>
      <xdr:col>9</xdr:col>
      <xdr:colOff>156210</xdr:colOff>
      <xdr:row>163</xdr:row>
      <xdr:rowOff>156210</xdr:rowOff>
    </xdr:to>
    <xdr:sp macro="" textlink="">
      <xdr:nvSpPr>
        <xdr:cNvPr id="162" name="Oval 161">
          <a:extLst>
            <a:ext uri="{FF2B5EF4-FFF2-40B4-BE49-F238E27FC236}">
              <a16:creationId xmlns:a16="http://schemas.microsoft.com/office/drawing/2014/main" id="{00000000-0008-0000-0200-0000A2000000}"/>
            </a:ext>
          </a:extLst>
        </xdr:cNvPr>
        <xdr:cNvSpPr/>
      </xdr:nvSpPr>
      <xdr:spPr>
        <a:xfrm>
          <a:off x="2143125" y="280797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163</xdr:row>
      <xdr:rowOff>19050</xdr:rowOff>
    </xdr:from>
    <xdr:to>
      <xdr:col>9</xdr:col>
      <xdr:colOff>156210</xdr:colOff>
      <xdr:row>163</xdr:row>
      <xdr:rowOff>156210</xdr:rowOff>
    </xdr:to>
    <xdr:sp macro="" textlink="">
      <xdr:nvSpPr>
        <xdr:cNvPr id="163" name="Oval 162">
          <a:extLst>
            <a:ext uri="{FF2B5EF4-FFF2-40B4-BE49-F238E27FC236}">
              <a16:creationId xmlns:a16="http://schemas.microsoft.com/office/drawing/2014/main" id="{00000000-0008-0000-0200-0000A3000000}"/>
            </a:ext>
          </a:extLst>
        </xdr:cNvPr>
        <xdr:cNvSpPr/>
      </xdr:nvSpPr>
      <xdr:spPr>
        <a:xfrm>
          <a:off x="2143125" y="280797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163</xdr:row>
      <xdr:rowOff>19050</xdr:rowOff>
    </xdr:from>
    <xdr:to>
      <xdr:col>9</xdr:col>
      <xdr:colOff>156210</xdr:colOff>
      <xdr:row>163</xdr:row>
      <xdr:rowOff>156210</xdr:rowOff>
    </xdr:to>
    <xdr:sp macro="" textlink="">
      <xdr:nvSpPr>
        <xdr:cNvPr id="164" name="Oval 163">
          <a:extLst>
            <a:ext uri="{FF2B5EF4-FFF2-40B4-BE49-F238E27FC236}">
              <a16:creationId xmlns:a16="http://schemas.microsoft.com/office/drawing/2014/main" id="{00000000-0008-0000-0200-0000A4000000}"/>
            </a:ext>
          </a:extLst>
        </xdr:cNvPr>
        <xdr:cNvSpPr/>
      </xdr:nvSpPr>
      <xdr:spPr>
        <a:xfrm>
          <a:off x="2143125" y="280797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163</xdr:row>
      <xdr:rowOff>19050</xdr:rowOff>
    </xdr:from>
    <xdr:to>
      <xdr:col>9</xdr:col>
      <xdr:colOff>156210</xdr:colOff>
      <xdr:row>163</xdr:row>
      <xdr:rowOff>156210</xdr:rowOff>
    </xdr:to>
    <xdr:sp macro="" textlink="">
      <xdr:nvSpPr>
        <xdr:cNvPr id="165" name="Oval 164">
          <a:extLst>
            <a:ext uri="{FF2B5EF4-FFF2-40B4-BE49-F238E27FC236}">
              <a16:creationId xmlns:a16="http://schemas.microsoft.com/office/drawing/2014/main" id="{00000000-0008-0000-0200-0000A5000000}"/>
            </a:ext>
          </a:extLst>
        </xdr:cNvPr>
        <xdr:cNvSpPr/>
      </xdr:nvSpPr>
      <xdr:spPr>
        <a:xfrm>
          <a:off x="2143125" y="280797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163</xdr:row>
      <xdr:rowOff>19050</xdr:rowOff>
    </xdr:from>
    <xdr:to>
      <xdr:col>9</xdr:col>
      <xdr:colOff>156210</xdr:colOff>
      <xdr:row>163</xdr:row>
      <xdr:rowOff>156210</xdr:rowOff>
    </xdr:to>
    <xdr:sp macro="[1]!AnnualEnergyProductionDefinition" textlink="">
      <xdr:nvSpPr>
        <xdr:cNvPr id="166" name="Oval 165">
          <a:extLst>
            <a:ext uri="{FF2B5EF4-FFF2-40B4-BE49-F238E27FC236}">
              <a16:creationId xmlns:a16="http://schemas.microsoft.com/office/drawing/2014/main" id="{00000000-0008-0000-0200-0000A6000000}"/>
            </a:ext>
          </a:extLst>
        </xdr:cNvPr>
        <xdr:cNvSpPr/>
      </xdr:nvSpPr>
      <xdr:spPr>
        <a:xfrm>
          <a:off x="2143125" y="280797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163</xdr:row>
      <xdr:rowOff>19050</xdr:rowOff>
    </xdr:from>
    <xdr:to>
      <xdr:col>9</xdr:col>
      <xdr:colOff>156210</xdr:colOff>
      <xdr:row>163</xdr:row>
      <xdr:rowOff>156210</xdr:rowOff>
    </xdr:to>
    <xdr:sp macro="[1]!AnnualEnergyProductionDefinition" textlink="">
      <xdr:nvSpPr>
        <xdr:cNvPr id="167" name="Oval 166">
          <a:extLst>
            <a:ext uri="{FF2B5EF4-FFF2-40B4-BE49-F238E27FC236}">
              <a16:creationId xmlns:a16="http://schemas.microsoft.com/office/drawing/2014/main" id="{00000000-0008-0000-0200-0000A7000000}"/>
            </a:ext>
          </a:extLst>
        </xdr:cNvPr>
        <xdr:cNvSpPr/>
      </xdr:nvSpPr>
      <xdr:spPr>
        <a:xfrm>
          <a:off x="2143125" y="280797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163</xdr:row>
      <xdr:rowOff>19050</xdr:rowOff>
    </xdr:from>
    <xdr:to>
      <xdr:col>9</xdr:col>
      <xdr:colOff>156210</xdr:colOff>
      <xdr:row>163</xdr:row>
      <xdr:rowOff>156210</xdr:rowOff>
    </xdr:to>
    <xdr:sp macro="[1]!ConstructionFinanceDefinition" textlink="">
      <xdr:nvSpPr>
        <xdr:cNvPr id="168" name="Oval 167">
          <a:extLst>
            <a:ext uri="{FF2B5EF4-FFF2-40B4-BE49-F238E27FC236}">
              <a16:creationId xmlns:a16="http://schemas.microsoft.com/office/drawing/2014/main" id="{00000000-0008-0000-0200-0000A8000000}"/>
            </a:ext>
          </a:extLst>
        </xdr:cNvPr>
        <xdr:cNvSpPr/>
      </xdr:nvSpPr>
      <xdr:spPr>
        <a:xfrm>
          <a:off x="2143125" y="280797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163</xdr:row>
      <xdr:rowOff>19050</xdr:rowOff>
    </xdr:from>
    <xdr:to>
      <xdr:col>9</xdr:col>
      <xdr:colOff>156210</xdr:colOff>
      <xdr:row>163</xdr:row>
      <xdr:rowOff>156210</xdr:rowOff>
    </xdr:to>
    <xdr:sp macro="[1]!CapitalCostDefinition" textlink="">
      <xdr:nvSpPr>
        <xdr:cNvPr id="169" name="Oval 168">
          <a:extLst>
            <a:ext uri="{FF2B5EF4-FFF2-40B4-BE49-F238E27FC236}">
              <a16:creationId xmlns:a16="http://schemas.microsoft.com/office/drawing/2014/main" id="{00000000-0008-0000-0200-0000A9000000}"/>
            </a:ext>
          </a:extLst>
        </xdr:cNvPr>
        <xdr:cNvSpPr/>
      </xdr:nvSpPr>
      <xdr:spPr>
        <a:xfrm>
          <a:off x="2143125" y="280797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163</xdr:row>
      <xdr:rowOff>19050</xdr:rowOff>
    </xdr:from>
    <xdr:to>
      <xdr:col>9</xdr:col>
      <xdr:colOff>156210</xdr:colOff>
      <xdr:row>163</xdr:row>
      <xdr:rowOff>156210</xdr:rowOff>
    </xdr:to>
    <xdr:sp macro="[1]!CapitalCostDefinition" textlink="">
      <xdr:nvSpPr>
        <xdr:cNvPr id="170" name="Oval 169">
          <a:extLst>
            <a:ext uri="{FF2B5EF4-FFF2-40B4-BE49-F238E27FC236}">
              <a16:creationId xmlns:a16="http://schemas.microsoft.com/office/drawing/2014/main" id="{00000000-0008-0000-0200-0000AA000000}"/>
            </a:ext>
          </a:extLst>
        </xdr:cNvPr>
        <xdr:cNvSpPr/>
      </xdr:nvSpPr>
      <xdr:spPr>
        <a:xfrm>
          <a:off x="2143125" y="280797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163</xdr:row>
      <xdr:rowOff>19050</xdr:rowOff>
    </xdr:from>
    <xdr:to>
      <xdr:col>9</xdr:col>
      <xdr:colOff>156210</xdr:colOff>
      <xdr:row>163</xdr:row>
      <xdr:rowOff>156210</xdr:rowOff>
    </xdr:to>
    <xdr:sp macro="" textlink="">
      <xdr:nvSpPr>
        <xdr:cNvPr id="171" name="Oval 170">
          <a:extLst>
            <a:ext uri="{FF2B5EF4-FFF2-40B4-BE49-F238E27FC236}">
              <a16:creationId xmlns:a16="http://schemas.microsoft.com/office/drawing/2014/main" id="{00000000-0008-0000-0200-0000AB000000}"/>
            </a:ext>
          </a:extLst>
        </xdr:cNvPr>
        <xdr:cNvSpPr/>
      </xdr:nvSpPr>
      <xdr:spPr>
        <a:xfrm>
          <a:off x="2143125" y="280797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163</xdr:row>
      <xdr:rowOff>19050</xdr:rowOff>
    </xdr:from>
    <xdr:to>
      <xdr:col>9</xdr:col>
      <xdr:colOff>156210</xdr:colOff>
      <xdr:row>163</xdr:row>
      <xdr:rowOff>156210</xdr:rowOff>
    </xdr:to>
    <xdr:sp macro="" textlink="">
      <xdr:nvSpPr>
        <xdr:cNvPr id="172" name="Oval 171">
          <a:extLst>
            <a:ext uri="{FF2B5EF4-FFF2-40B4-BE49-F238E27FC236}">
              <a16:creationId xmlns:a16="http://schemas.microsoft.com/office/drawing/2014/main" id="{00000000-0008-0000-0200-0000AC000000}"/>
            </a:ext>
          </a:extLst>
        </xdr:cNvPr>
        <xdr:cNvSpPr/>
      </xdr:nvSpPr>
      <xdr:spPr>
        <a:xfrm>
          <a:off x="2143125" y="280797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163</xdr:row>
      <xdr:rowOff>19050</xdr:rowOff>
    </xdr:from>
    <xdr:to>
      <xdr:col>9</xdr:col>
      <xdr:colOff>156210</xdr:colOff>
      <xdr:row>163</xdr:row>
      <xdr:rowOff>156210</xdr:rowOff>
    </xdr:to>
    <xdr:sp macro="" textlink="">
      <xdr:nvSpPr>
        <xdr:cNvPr id="173" name="Oval 172">
          <a:extLst>
            <a:ext uri="{FF2B5EF4-FFF2-40B4-BE49-F238E27FC236}">
              <a16:creationId xmlns:a16="http://schemas.microsoft.com/office/drawing/2014/main" id="{00000000-0008-0000-0200-0000AD000000}"/>
            </a:ext>
          </a:extLst>
        </xdr:cNvPr>
        <xdr:cNvSpPr/>
      </xdr:nvSpPr>
      <xdr:spPr>
        <a:xfrm>
          <a:off x="2143125" y="280797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163</xdr:row>
      <xdr:rowOff>19050</xdr:rowOff>
    </xdr:from>
    <xdr:to>
      <xdr:col>9</xdr:col>
      <xdr:colOff>156210</xdr:colOff>
      <xdr:row>163</xdr:row>
      <xdr:rowOff>156210</xdr:rowOff>
    </xdr:to>
    <xdr:sp macro="" textlink="">
      <xdr:nvSpPr>
        <xdr:cNvPr id="174" name="Oval 173">
          <a:extLst>
            <a:ext uri="{FF2B5EF4-FFF2-40B4-BE49-F238E27FC236}">
              <a16:creationId xmlns:a16="http://schemas.microsoft.com/office/drawing/2014/main" id="{00000000-0008-0000-0200-0000AE000000}"/>
            </a:ext>
          </a:extLst>
        </xdr:cNvPr>
        <xdr:cNvSpPr/>
      </xdr:nvSpPr>
      <xdr:spPr>
        <a:xfrm>
          <a:off x="2143125" y="280797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163</xdr:row>
      <xdr:rowOff>19050</xdr:rowOff>
    </xdr:from>
    <xdr:to>
      <xdr:col>9</xdr:col>
      <xdr:colOff>156210</xdr:colOff>
      <xdr:row>163</xdr:row>
      <xdr:rowOff>156210</xdr:rowOff>
    </xdr:to>
    <xdr:sp macro="" textlink="">
      <xdr:nvSpPr>
        <xdr:cNvPr id="175" name="Oval 174">
          <a:extLst>
            <a:ext uri="{FF2B5EF4-FFF2-40B4-BE49-F238E27FC236}">
              <a16:creationId xmlns:a16="http://schemas.microsoft.com/office/drawing/2014/main" id="{00000000-0008-0000-0200-0000AF000000}"/>
            </a:ext>
          </a:extLst>
        </xdr:cNvPr>
        <xdr:cNvSpPr/>
      </xdr:nvSpPr>
      <xdr:spPr>
        <a:xfrm>
          <a:off x="2143125" y="280797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163</xdr:row>
      <xdr:rowOff>19050</xdr:rowOff>
    </xdr:from>
    <xdr:to>
      <xdr:col>9</xdr:col>
      <xdr:colOff>156210</xdr:colOff>
      <xdr:row>163</xdr:row>
      <xdr:rowOff>156210</xdr:rowOff>
    </xdr:to>
    <xdr:sp macro="[1]!AnnualEnergyProductionDefinition" textlink="">
      <xdr:nvSpPr>
        <xdr:cNvPr id="176" name="Oval 175">
          <a:extLst>
            <a:ext uri="{FF2B5EF4-FFF2-40B4-BE49-F238E27FC236}">
              <a16:creationId xmlns:a16="http://schemas.microsoft.com/office/drawing/2014/main" id="{00000000-0008-0000-0200-0000B0000000}"/>
            </a:ext>
          </a:extLst>
        </xdr:cNvPr>
        <xdr:cNvSpPr/>
      </xdr:nvSpPr>
      <xdr:spPr>
        <a:xfrm>
          <a:off x="2143125" y="280797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163</xdr:row>
      <xdr:rowOff>19050</xdr:rowOff>
    </xdr:from>
    <xdr:to>
      <xdr:col>9</xdr:col>
      <xdr:colOff>156210</xdr:colOff>
      <xdr:row>163</xdr:row>
      <xdr:rowOff>156210</xdr:rowOff>
    </xdr:to>
    <xdr:sp macro="[1]!AnnualEnergyProductionDefinition" textlink="">
      <xdr:nvSpPr>
        <xdr:cNvPr id="177" name="Oval 176">
          <a:extLst>
            <a:ext uri="{FF2B5EF4-FFF2-40B4-BE49-F238E27FC236}">
              <a16:creationId xmlns:a16="http://schemas.microsoft.com/office/drawing/2014/main" id="{00000000-0008-0000-0200-0000B1000000}"/>
            </a:ext>
          </a:extLst>
        </xdr:cNvPr>
        <xdr:cNvSpPr/>
      </xdr:nvSpPr>
      <xdr:spPr>
        <a:xfrm>
          <a:off x="2143125" y="280797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163</xdr:row>
      <xdr:rowOff>19050</xdr:rowOff>
    </xdr:from>
    <xdr:to>
      <xdr:col>9</xdr:col>
      <xdr:colOff>156210</xdr:colOff>
      <xdr:row>163</xdr:row>
      <xdr:rowOff>156210</xdr:rowOff>
    </xdr:to>
    <xdr:sp macro="[1]!ConstructionFinanceDefinition" textlink="">
      <xdr:nvSpPr>
        <xdr:cNvPr id="178" name="Oval 177">
          <a:extLst>
            <a:ext uri="{FF2B5EF4-FFF2-40B4-BE49-F238E27FC236}">
              <a16:creationId xmlns:a16="http://schemas.microsoft.com/office/drawing/2014/main" id="{00000000-0008-0000-0200-0000B2000000}"/>
            </a:ext>
          </a:extLst>
        </xdr:cNvPr>
        <xdr:cNvSpPr/>
      </xdr:nvSpPr>
      <xdr:spPr>
        <a:xfrm>
          <a:off x="2143125" y="280797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163</xdr:row>
      <xdr:rowOff>19050</xdr:rowOff>
    </xdr:from>
    <xdr:to>
      <xdr:col>9</xdr:col>
      <xdr:colOff>156210</xdr:colOff>
      <xdr:row>163</xdr:row>
      <xdr:rowOff>156210</xdr:rowOff>
    </xdr:to>
    <xdr:sp macro="[1]!CapitalCostDefinition" textlink="">
      <xdr:nvSpPr>
        <xdr:cNvPr id="179" name="Oval 178">
          <a:extLst>
            <a:ext uri="{FF2B5EF4-FFF2-40B4-BE49-F238E27FC236}">
              <a16:creationId xmlns:a16="http://schemas.microsoft.com/office/drawing/2014/main" id="{00000000-0008-0000-0200-0000B3000000}"/>
            </a:ext>
          </a:extLst>
        </xdr:cNvPr>
        <xdr:cNvSpPr/>
      </xdr:nvSpPr>
      <xdr:spPr>
        <a:xfrm>
          <a:off x="2143125" y="280797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163</xdr:row>
      <xdr:rowOff>19050</xdr:rowOff>
    </xdr:from>
    <xdr:to>
      <xdr:col>9</xdr:col>
      <xdr:colOff>156210</xdr:colOff>
      <xdr:row>163</xdr:row>
      <xdr:rowOff>156210</xdr:rowOff>
    </xdr:to>
    <xdr:sp macro="[1]!CapitalCostDefinition" textlink="">
      <xdr:nvSpPr>
        <xdr:cNvPr id="180" name="Oval 179">
          <a:extLst>
            <a:ext uri="{FF2B5EF4-FFF2-40B4-BE49-F238E27FC236}">
              <a16:creationId xmlns:a16="http://schemas.microsoft.com/office/drawing/2014/main" id="{00000000-0008-0000-0200-0000B4000000}"/>
            </a:ext>
          </a:extLst>
        </xdr:cNvPr>
        <xdr:cNvSpPr/>
      </xdr:nvSpPr>
      <xdr:spPr>
        <a:xfrm>
          <a:off x="2143125" y="280797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163</xdr:row>
      <xdr:rowOff>19050</xdr:rowOff>
    </xdr:from>
    <xdr:to>
      <xdr:col>9</xdr:col>
      <xdr:colOff>156210</xdr:colOff>
      <xdr:row>163</xdr:row>
      <xdr:rowOff>156210</xdr:rowOff>
    </xdr:to>
    <xdr:sp macro="" textlink="">
      <xdr:nvSpPr>
        <xdr:cNvPr id="181" name="Oval 180">
          <a:extLst>
            <a:ext uri="{FF2B5EF4-FFF2-40B4-BE49-F238E27FC236}">
              <a16:creationId xmlns:a16="http://schemas.microsoft.com/office/drawing/2014/main" id="{00000000-0008-0000-0200-0000B5000000}"/>
            </a:ext>
          </a:extLst>
        </xdr:cNvPr>
        <xdr:cNvSpPr/>
      </xdr:nvSpPr>
      <xdr:spPr>
        <a:xfrm>
          <a:off x="2143125" y="280797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163</xdr:row>
      <xdr:rowOff>19050</xdr:rowOff>
    </xdr:from>
    <xdr:to>
      <xdr:col>9</xdr:col>
      <xdr:colOff>156210</xdr:colOff>
      <xdr:row>163</xdr:row>
      <xdr:rowOff>156210</xdr:rowOff>
    </xdr:to>
    <xdr:sp macro="" textlink="">
      <xdr:nvSpPr>
        <xdr:cNvPr id="182" name="Oval 181">
          <a:extLst>
            <a:ext uri="{FF2B5EF4-FFF2-40B4-BE49-F238E27FC236}">
              <a16:creationId xmlns:a16="http://schemas.microsoft.com/office/drawing/2014/main" id="{00000000-0008-0000-0200-0000B6000000}"/>
            </a:ext>
          </a:extLst>
        </xdr:cNvPr>
        <xdr:cNvSpPr/>
      </xdr:nvSpPr>
      <xdr:spPr>
        <a:xfrm>
          <a:off x="2143125" y="280797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163</xdr:row>
      <xdr:rowOff>19050</xdr:rowOff>
    </xdr:from>
    <xdr:to>
      <xdr:col>9</xdr:col>
      <xdr:colOff>156210</xdr:colOff>
      <xdr:row>163</xdr:row>
      <xdr:rowOff>156210</xdr:rowOff>
    </xdr:to>
    <xdr:sp macro="" textlink="">
      <xdr:nvSpPr>
        <xdr:cNvPr id="183" name="Oval 182">
          <a:extLst>
            <a:ext uri="{FF2B5EF4-FFF2-40B4-BE49-F238E27FC236}">
              <a16:creationId xmlns:a16="http://schemas.microsoft.com/office/drawing/2014/main" id="{00000000-0008-0000-0200-0000B7000000}"/>
            </a:ext>
          </a:extLst>
        </xdr:cNvPr>
        <xdr:cNvSpPr/>
      </xdr:nvSpPr>
      <xdr:spPr>
        <a:xfrm>
          <a:off x="2143125" y="280797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163</xdr:row>
      <xdr:rowOff>19050</xdr:rowOff>
    </xdr:from>
    <xdr:to>
      <xdr:col>9</xdr:col>
      <xdr:colOff>156210</xdr:colOff>
      <xdr:row>163</xdr:row>
      <xdr:rowOff>156210</xdr:rowOff>
    </xdr:to>
    <xdr:sp macro="" textlink="">
      <xdr:nvSpPr>
        <xdr:cNvPr id="184" name="Oval 183">
          <a:extLst>
            <a:ext uri="{FF2B5EF4-FFF2-40B4-BE49-F238E27FC236}">
              <a16:creationId xmlns:a16="http://schemas.microsoft.com/office/drawing/2014/main" id="{00000000-0008-0000-0200-0000B8000000}"/>
            </a:ext>
          </a:extLst>
        </xdr:cNvPr>
        <xdr:cNvSpPr/>
      </xdr:nvSpPr>
      <xdr:spPr>
        <a:xfrm>
          <a:off x="2143125" y="280797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163</xdr:row>
      <xdr:rowOff>19050</xdr:rowOff>
    </xdr:from>
    <xdr:to>
      <xdr:col>9</xdr:col>
      <xdr:colOff>156210</xdr:colOff>
      <xdr:row>163</xdr:row>
      <xdr:rowOff>156210</xdr:rowOff>
    </xdr:to>
    <xdr:sp macro="" textlink="">
      <xdr:nvSpPr>
        <xdr:cNvPr id="185" name="Oval 184">
          <a:extLst>
            <a:ext uri="{FF2B5EF4-FFF2-40B4-BE49-F238E27FC236}">
              <a16:creationId xmlns:a16="http://schemas.microsoft.com/office/drawing/2014/main" id="{00000000-0008-0000-0200-0000B9000000}"/>
            </a:ext>
          </a:extLst>
        </xdr:cNvPr>
        <xdr:cNvSpPr/>
      </xdr:nvSpPr>
      <xdr:spPr>
        <a:xfrm>
          <a:off x="2143125" y="280797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163</xdr:row>
      <xdr:rowOff>19050</xdr:rowOff>
    </xdr:from>
    <xdr:to>
      <xdr:col>9</xdr:col>
      <xdr:colOff>156210</xdr:colOff>
      <xdr:row>163</xdr:row>
      <xdr:rowOff>156210</xdr:rowOff>
    </xdr:to>
    <xdr:sp macro="[1]!AnnualEnergyProductionDefinition" textlink="">
      <xdr:nvSpPr>
        <xdr:cNvPr id="186" name="Oval 185">
          <a:extLst>
            <a:ext uri="{FF2B5EF4-FFF2-40B4-BE49-F238E27FC236}">
              <a16:creationId xmlns:a16="http://schemas.microsoft.com/office/drawing/2014/main" id="{00000000-0008-0000-0200-0000BA000000}"/>
            </a:ext>
          </a:extLst>
        </xdr:cNvPr>
        <xdr:cNvSpPr/>
      </xdr:nvSpPr>
      <xdr:spPr>
        <a:xfrm>
          <a:off x="2143125" y="280797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163</xdr:row>
      <xdr:rowOff>19050</xdr:rowOff>
    </xdr:from>
    <xdr:to>
      <xdr:col>9</xdr:col>
      <xdr:colOff>156210</xdr:colOff>
      <xdr:row>163</xdr:row>
      <xdr:rowOff>156210</xdr:rowOff>
    </xdr:to>
    <xdr:sp macro="[1]!AnnualEnergyProductionDefinition" textlink="">
      <xdr:nvSpPr>
        <xdr:cNvPr id="187" name="Oval 186">
          <a:extLst>
            <a:ext uri="{FF2B5EF4-FFF2-40B4-BE49-F238E27FC236}">
              <a16:creationId xmlns:a16="http://schemas.microsoft.com/office/drawing/2014/main" id="{00000000-0008-0000-0200-0000BB000000}"/>
            </a:ext>
          </a:extLst>
        </xdr:cNvPr>
        <xdr:cNvSpPr/>
      </xdr:nvSpPr>
      <xdr:spPr>
        <a:xfrm>
          <a:off x="2143125" y="280797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163</xdr:row>
      <xdr:rowOff>19050</xdr:rowOff>
    </xdr:from>
    <xdr:to>
      <xdr:col>9</xdr:col>
      <xdr:colOff>156210</xdr:colOff>
      <xdr:row>163</xdr:row>
      <xdr:rowOff>156210</xdr:rowOff>
    </xdr:to>
    <xdr:sp macro="[1]!ConstructionFinanceDefinition" textlink="">
      <xdr:nvSpPr>
        <xdr:cNvPr id="188" name="Oval 187">
          <a:extLst>
            <a:ext uri="{FF2B5EF4-FFF2-40B4-BE49-F238E27FC236}">
              <a16:creationId xmlns:a16="http://schemas.microsoft.com/office/drawing/2014/main" id="{00000000-0008-0000-0200-0000BC000000}"/>
            </a:ext>
          </a:extLst>
        </xdr:cNvPr>
        <xdr:cNvSpPr/>
      </xdr:nvSpPr>
      <xdr:spPr>
        <a:xfrm>
          <a:off x="2143125" y="280797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163</xdr:row>
      <xdr:rowOff>19050</xdr:rowOff>
    </xdr:from>
    <xdr:to>
      <xdr:col>9</xdr:col>
      <xdr:colOff>156210</xdr:colOff>
      <xdr:row>163</xdr:row>
      <xdr:rowOff>156210</xdr:rowOff>
    </xdr:to>
    <xdr:sp macro="[1]!CapitalCostDefinition" textlink="">
      <xdr:nvSpPr>
        <xdr:cNvPr id="189" name="Oval 188">
          <a:extLst>
            <a:ext uri="{FF2B5EF4-FFF2-40B4-BE49-F238E27FC236}">
              <a16:creationId xmlns:a16="http://schemas.microsoft.com/office/drawing/2014/main" id="{00000000-0008-0000-0200-0000BD000000}"/>
            </a:ext>
          </a:extLst>
        </xdr:cNvPr>
        <xdr:cNvSpPr/>
      </xdr:nvSpPr>
      <xdr:spPr>
        <a:xfrm>
          <a:off x="2143125" y="280797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163</xdr:row>
      <xdr:rowOff>19050</xdr:rowOff>
    </xdr:from>
    <xdr:to>
      <xdr:col>9</xdr:col>
      <xdr:colOff>156210</xdr:colOff>
      <xdr:row>163</xdr:row>
      <xdr:rowOff>156210</xdr:rowOff>
    </xdr:to>
    <xdr:sp macro="[1]!CapitalCostDefinition" textlink="">
      <xdr:nvSpPr>
        <xdr:cNvPr id="190" name="Oval 189">
          <a:extLst>
            <a:ext uri="{FF2B5EF4-FFF2-40B4-BE49-F238E27FC236}">
              <a16:creationId xmlns:a16="http://schemas.microsoft.com/office/drawing/2014/main" id="{00000000-0008-0000-0200-0000BE000000}"/>
            </a:ext>
          </a:extLst>
        </xdr:cNvPr>
        <xdr:cNvSpPr/>
      </xdr:nvSpPr>
      <xdr:spPr>
        <a:xfrm>
          <a:off x="2143125" y="280797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163</xdr:row>
      <xdr:rowOff>19050</xdr:rowOff>
    </xdr:from>
    <xdr:to>
      <xdr:col>9</xdr:col>
      <xdr:colOff>156210</xdr:colOff>
      <xdr:row>163</xdr:row>
      <xdr:rowOff>156210</xdr:rowOff>
    </xdr:to>
    <xdr:sp macro="" textlink="">
      <xdr:nvSpPr>
        <xdr:cNvPr id="191" name="Oval 190">
          <a:extLst>
            <a:ext uri="{FF2B5EF4-FFF2-40B4-BE49-F238E27FC236}">
              <a16:creationId xmlns:a16="http://schemas.microsoft.com/office/drawing/2014/main" id="{00000000-0008-0000-0200-0000BF000000}"/>
            </a:ext>
          </a:extLst>
        </xdr:cNvPr>
        <xdr:cNvSpPr/>
      </xdr:nvSpPr>
      <xdr:spPr>
        <a:xfrm>
          <a:off x="2143125" y="280797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163</xdr:row>
      <xdr:rowOff>19050</xdr:rowOff>
    </xdr:from>
    <xdr:to>
      <xdr:col>9</xdr:col>
      <xdr:colOff>156210</xdr:colOff>
      <xdr:row>163</xdr:row>
      <xdr:rowOff>156210</xdr:rowOff>
    </xdr:to>
    <xdr:sp macro="" textlink="">
      <xdr:nvSpPr>
        <xdr:cNvPr id="192" name="Oval 191">
          <a:extLst>
            <a:ext uri="{FF2B5EF4-FFF2-40B4-BE49-F238E27FC236}">
              <a16:creationId xmlns:a16="http://schemas.microsoft.com/office/drawing/2014/main" id="{00000000-0008-0000-0200-0000C0000000}"/>
            </a:ext>
          </a:extLst>
        </xdr:cNvPr>
        <xdr:cNvSpPr/>
      </xdr:nvSpPr>
      <xdr:spPr>
        <a:xfrm>
          <a:off x="2143125" y="280797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163</xdr:row>
      <xdr:rowOff>19050</xdr:rowOff>
    </xdr:from>
    <xdr:to>
      <xdr:col>9</xdr:col>
      <xdr:colOff>156210</xdr:colOff>
      <xdr:row>163</xdr:row>
      <xdr:rowOff>156210</xdr:rowOff>
    </xdr:to>
    <xdr:sp macro="" textlink="">
      <xdr:nvSpPr>
        <xdr:cNvPr id="193" name="Oval 192">
          <a:extLst>
            <a:ext uri="{FF2B5EF4-FFF2-40B4-BE49-F238E27FC236}">
              <a16:creationId xmlns:a16="http://schemas.microsoft.com/office/drawing/2014/main" id="{00000000-0008-0000-0200-0000C1000000}"/>
            </a:ext>
          </a:extLst>
        </xdr:cNvPr>
        <xdr:cNvSpPr/>
      </xdr:nvSpPr>
      <xdr:spPr>
        <a:xfrm>
          <a:off x="2143125" y="280797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163</xdr:row>
      <xdr:rowOff>19050</xdr:rowOff>
    </xdr:from>
    <xdr:to>
      <xdr:col>9</xdr:col>
      <xdr:colOff>156210</xdr:colOff>
      <xdr:row>163</xdr:row>
      <xdr:rowOff>156210</xdr:rowOff>
    </xdr:to>
    <xdr:sp macro="" textlink="">
      <xdr:nvSpPr>
        <xdr:cNvPr id="194" name="Oval 193">
          <a:extLst>
            <a:ext uri="{FF2B5EF4-FFF2-40B4-BE49-F238E27FC236}">
              <a16:creationId xmlns:a16="http://schemas.microsoft.com/office/drawing/2014/main" id="{00000000-0008-0000-0200-0000C2000000}"/>
            </a:ext>
          </a:extLst>
        </xdr:cNvPr>
        <xdr:cNvSpPr/>
      </xdr:nvSpPr>
      <xdr:spPr>
        <a:xfrm>
          <a:off x="2143125" y="280797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163</xdr:row>
      <xdr:rowOff>19050</xdr:rowOff>
    </xdr:from>
    <xdr:to>
      <xdr:col>9</xdr:col>
      <xdr:colOff>156210</xdr:colOff>
      <xdr:row>163</xdr:row>
      <xdr:rowOff>156210</xdr:rowOff>
    </xdr:to>
    <xdr:sp macro="" textlink="">
      <xdr:nvSpPr>
        <xdr:cNvPr id="195" name="Oval 194">
          <a:extLst>
            <a:ext uri="{FF2B5EF4-FFF2-40B4-BE49-F238E27FC236}">
              <a16:creationId xmlns:a16="http://schemas.microsoft.com/office/drawing/2014/main" id="{00000000-0008-0000-0200-0000C3000000}"/>
            </a:ext>
          </a:extLst>
        </xdr:cNvPr>
        <xdr:cNvSpPr/>
      </xdr:nvSpPr>
      <xdr:spPr>
        <a:xfrm>
          <a:off x="2143125" y="280797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227</xdr:row>
      <xdr:rowOff>19050</xdr:rowOff>
    </xdr:from>
    <xdr:to>
      <xdr:col>9</xdr:col>
      <xdr:colOff>156210</xdr:colOff>
      <xdr:row>227</xdr:row>
      <xdr:rowOff>156210</xdr:rowOff>
    </xdr:to>
    <xdr:sp macro="[1]!OperatingExpensesDefinition" textlink="">
      <xdr:nvSpPr>
        <xdr:cNvPr id="196" name="Oval 195">
          <a:extLst>
            <a:ext uri="{FF2B5EF4-FFF2-40B4-BE49-F238E27FC236}">
              <a16:creationId xmlns:a16="http://schemas.microsoft.com/office/drawing/2014/main" id="{00000000-0008-0000-0200-0000C4000000}"/>
            </a:ext>
          </a:extLst>
        </xdr:cNvPr>
        <xdr:cNvSpPr/>
      </xdr:nvSpPr>
      <xdr:spPr>
        <a:xfrm>
          <a:off x="2143125" y="390525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227</xdr:row>
      <xdr:rowOff>19050</xdr:rowOff>
    </xdr:from>
    <xdr:to>
      <xdr:col>9</xdr:col>
      <xdr:colOff>156210</xdr:colOff>
      <xdr:row>227</xdr:row>
      <xdr:rowOff>156210</xdr:rowOff>
    </xdr:to>
    <xdr:sp macro="" textlink="">
      <xdr:nvSpPr>
        <xdr:cNvPr id="197" name="Oval 196">
          <a:extLst>
            <a:ext uri="{FF2B5EF4-FFF2-40B4-BE49-F238E27FC236}">
              <a16:creationId xmlns:a16="http://schemas.microsoft.com/office/drawing/2014/main" id="{00000000-0008-0000-0200-0000C5000000}"/>
            </a:ext>
          </a:extLst>
        </xdr:cNvPr>
        <xdr:cNvSpPr/>
      </xdr:nvSpPr>
      <xdr:spPr>
        <a:xfrm>
          <a:off x="2143125" y="390525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227</xdr:row>
      <xdr:rowOff>19050</xdr:rowOff>
    </xdr:from>
    <xdr:to>
      <xdr:col>9</xdr:col>
      <xdr:colOff>156210</xdr:colOff>
      <xdr:row>227</xdr:row>
      <xdr:rowOff>156210</xdr:rowOff>
    </xdr:to>
    <xdr:sp macro="[1]!OperatingExpensesDefinition" textlink="">
      <xdr:nvSpPr>
        <xdr:cNvPr id="198" name="Oval 197">
          <a:extLst>
            <a:ext uri="{FF2B5EF4-FFF2-40B4-BE49-F238E27FC236}">
              <a16:creationId xmlns:a16="http://schemas.microsoft.com/office/drawing/2014/main" id="{00000000-0008-0000-0200-0000C6000000}"/>
            </a:ext>
          </a:extLst>
        </xdr:cNvPr>
        <xdr:cNvSpPr/>
      </xdr:nvSpPr>
      <xdr:spPr>
        <a:xfrm>
          <a:off x="2143125" y="390525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227</xdr:row>
      <xdr:rowOff>19050</xdr:rowOff>
    </xdr:from>
    <xdr:to>
      <xdr:col>9</xdr:col>
      <xdr:colOff>156210</xdr:colOff>
      <xdr:row>227</xdr:row>
      <xdr:rowOff>156210</xdr:rowOff>
    </xdr:to>
    <xdr:sp macro="" textlink="">
      <xdr:nvSpPr>
        <xdr:cNvPr id="199" name="Oval 198">
          <a:extLst>
            <a:ext uri="{FF2B5EF4-FFF2-40B4-BE49-F238E27FC236}">
              <a16:creationId xmlns:a16="http://schemas.microsoft.com/office/drawing/2014/main" id="{00000000-0008-0000-0200-0000C7000000}"/>
            </a:ext>
          </a:extLst>
        </xdr:cNvPr>
        <xdr:cNvSpPr/>
      </xdr:nvSpPr>
      <xdr:spPr>
        <a:xfrm>
          <a:off x="2143125" y="390525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227</xdr:row>
      <xdr:rowOff>19050</xdr:rowOff>
    </xdr:from>
    <xdr:to>
      <xdr:col>9</xdr:col>
      <xdr:colOff>156210</xdr:colOff>
      <xdr:row>227</xdr:row>
      <xdr:rowOff>156210</xdr:rowOff>
    </xdr:to>
    <xdr:sp macro="[1]!OperatingExpensesDefinition" textlink="">
      <xdr:nvSpPr>
        <xdr:cNvPr id="200" name="Oval 199">
          <a:extLst>
            <a:ext uri="{FF2B5EF4-FFF2-40B4-BE49-F238E27FC236}">
              <a16:creationId xmlns:a16="http://schemas.microsoft.com/office/drawing/2014/main" id="{00000000-0008-0000-0200-0000C8000000}"/>
            </a:ext>
          </a:extLst>
        </xdr:cNvPr>
        <xdr:cNvSpPr/>
      </xdr:nvSpPr>
      <xdr:spPr>
        <a:xfrm>
          <a:off x="2143125" y="390525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227</xdr:row>
      <xdr:rowOff>19050</xdr:rowOff>
    </xdr:from>
    <xdr:to>
      <xdr:col>9</xdr:col>
      <xdr:colOff>156210</xdr:colOff>
      <xdr:row>227</xdr:row>
      <xdr:rowOff>156210</xdr:rowOff>
    </xdr:to>
    <xdr:sp macro="" textlink="">
      <xdr:nvSpPr>
        <xdr:cNvPr id="201" name="Oval 200">
          <a:extLst>
            <a:ext uri="{FF2B5EF4-FFF2-40B4-BE49-F238E27FC236}">
              <a16:creationId xmlns:a16="http://schemas.microsoft.com/office/drawing/2014/main" id="{00000000-0008-0000-0200-0000C9000000}"/>
            </a:ext>
          </a:extLst>
        </xdr:cNvPr>
        <xdr:cNvSpPr/>
      </xdr:nvSpPr>
      <xdr:spPr>
        <a:xfrm>
          <a:off x="2143125" y="390525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227</xdr:row>
      <xdr:rowOff>19050</xdr:rowOff>
    </xdr:from>
    <xdr:to>
      <xdr:col>9</xdr:col>
      <xdr:colOff>156210</xdr:colOff>
      <xdr:row>227</xdr:row>
      <xdr:rowOff>156210</xdr:rowOff>
    </xdr:to>
    <xdr:sp macro="[1]!OperatingExpensesDefinition" textlink="">
      <xdr:nvSpPr>
        <xdr:cNvPr id="202" name="Oval 201">
          <a:extLst>
            <a:ext uri="{FF2B5EF4-FFF2-40B4-BE49-F238E27FC236}">
              <a16:creationId xmlns:a16="http://schemas.microsoft.com/office/drawing/2014/main" id="{00000000-0008-0000-0200-0000CA000000}"/>
            </a:ext>
          </a:extLst>
        </xdr:cNvPr>
        <xdr:cNvSpPr/>
      </xdr:nvSpPr>
      <xdr:spPr>
        <a:xfrm>
          <a:off x="2143125" y="390525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227</xdr:row>
      <xdr:rowOff>19050</xdr:rowOff>
    </xdr:from>
    <xdr:to>
      <xdr:col>9</xdr:col>
      <xdr:colOff>156210</xdr:colOff>
      <xdr:row>227</xdr:row>
      <xdr:rowOff>156210</xdr:rowOff>
    </xdr:to>
    <xdr:sp macro="" textlink="">
      <xdr:nvSpPr>
        <xdr:cNvPr id="203" name="Oval 202">
          <a:extLst>
            <a:ext uri="{FF2B5EF4-FFF2-40B4-BE49-F238E27FC236}">
              <a16:creationId xmlns:a16="http://schemas.microsoft.com/office/drawing/2014/main" id="{00000000-0008-0000-0200-0000CB000000}"/>
            </a:ext>
          </a:extLst>
        </xdr:cNvPr>
        <xdr:cNvSpPr/>
      </xdr:nvSpPr>
      <xdr:spPr>
        <a:xfrm>
          <a:off x="2143125" y="390525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259</xdr:row>
      <xdr:rowOff>19050</xdr:rowOff>
    </xdr:from>
    <xdr:to>
      <xdr:col>9</xdr:col>
      <xdr:colOff>156210</xdr:colOff>
      <xdr:row>259</xdr:row>
      <xdr:rowOff>156210</xdr:rowOff>
    </xdr:to>
    <xdr:sp macro="[1]!OperatingExpensesDefinition" textlink="">
      <xdr:nvSpPr>
        <xdr:cNvPr id="204" name="Oval 203">
          <a:extLst>
            <a:ext uri="{FF2B5EF4-FFF2-40B4-BE49-F238E27FC236}">
              <a16:creationId xmlns:a16="http://schemas.microsoft.com/office/drawing/2014/main" id="{00000000-0008-0000-0200-0000CC000000}"/>
            </a:ext>
          </a:extLst>
        </xdr:cNvPr>
        <xdr:cNvSpPr/>
      </xdr:nvSpPr>
      <xdr:spPr>
        <a:xfrm>
          <a:off x="2143125" y="445389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259</xdr:row>
      <xdr:rowOff>19050</xdr:rowOff>
    </xdr:from>
    <xdr:to>
      <xdr:col>9</xdr:col>
      <xdr:colOff>156210</xdr:colOff>
      <xdr:row>259</xdr:row>
      <xdr:rowOff>156210</xdr:rowOff>
    </xdr:to>
    <xdr:sp macro="" textlink="">
      <xdr:nvSpPr>
        <xdr:cNvPr id="205" name="Oval 204">
          <a:extLst>
            <a:ext uri="{FF2B5EF4-FFF2-40B4-BE49-F238E27FC236}">
              <a16:creationId xmlns:a16="http://schemas.microsoft.com/office/drawing/2014/main" id="{00000000-0008-0000-0200-0000CD000000}"/>
            </a:ext>
          </a:extLst>
        </xdr:cNvPr>
        <xdr:cNvSpPr/>
      </xdr:nvSpPr>
      <xdr:spPr>
        <a:xfrm>
          <a:off x="2143125" y="445389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259</xdr:row>
      <xdr:rowOff>19050</xdr:rowOff>
    </xdr:from>
    <xdr:to>
      <xdr:col>9</xdr:col>
      <xdr:colOff>156210</xdr:colOff>
      <xdr:row>259</xdr:row>
      <xdr:rowOff>156210</xdr:rowOff>
    </xdr:to>
    <xdr:sp macro="[1]!OperatingExpensesDefinition" textlink="">
      <xdr:nvSpPr>
        <xdr:cNvPr id="206" name="Oval 205">
          <a:extLst>
            <a:ext uri="{FF2B5EF4-FFF2-40B4-BE49-F238E27FC236}">
              <a16:creationId xmlns:a16="http://schemas.microsoft.com/office/drawing/2014/main" id="{00000000-0008-0000-0200-0000CE000000}"/>
            </a:ext>
          </a:extLst>
        </xdr:cNvPr>
        <xdr:cNvSpPr/>
      </xdr:nvSpPr>
      <xdr:spPr>
        <a:xfrm>
          <a:off x="2143125" y="445389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259</xdr:row>
      <xdr:rowOff>19050</xdr:rowOff>
    </xdr:from>
    <xdr:to>
      <xdr:col>9</xdr:col>
      <xdr:colOff>156210</xdr:colOff>
      <xdr:row>259</xdr:row>
      <xdr:rowOff>156210</xdr:rowOff>
    </xdr:to>
    <xdr:sp macro="" textlink="">
      <xdr:nvSpPr>
        <xdr:cNvPr id="207" name="Oval 206">
          <a:extLst>
            <a:ext uri="{FF2B5EF4-FFF2-40B4-BE49-F238E27FC236}">
              <a16:creationId xmlns:a16="http://schemas.microsoft.com/office/drawing/2014/main" id="{00000000-0008-0000-0200-0000CF000000}"/>
            </a:ext>
          </a:extLst>
        </xdr:cNvPr>
        <xdr:cNvSpPr/>
      </xdr:nvSpPr>
      <xdr:spPr>
        <a:xfrm>
          <a:off x="2143125" y="445389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259</xdr:row>
      <xdr:rowOff>19050</xdr:rowOff>
    </xdr:from>
    <xdr:to>
      <xdr:col>9</xdr:col>
      <xdr:colOff>156210</xdr:colOff>
      <xdr:row>259</xdr:row>
      <xdr:rowOff>156210</xdr:rowOff>
    </xdr:to>
    <xdr:sp macro="[1]!OperatingExpensesDefinition" textlink="">
      <xdr:nvSpPr>
        <xdr:cNvPr id="208" name="Oval 207">
          <a:extLst>
            <a:ext uri="{FF2B5EF4-FFF2-40B4-BE49-F238E27FC236}">
              <a16:creationId xmlns:a16="http://schemas.microsoft.com/office/drawing/2014/main" id="{00000000-0008-0000-0200-0000D0000000}"/>
            </a:ext>
          </a:extLst>
        </xdr:cNvPr>
        <xdr:cNvSpPr/>
      </xdr:nvSpPr>
      <xdr:spPr>
        <a:xfrm>
          <a:off x="2143125" y="445389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259</xdr:row>
      <xdr:rowOff>19050</xdr:rowOff>
    </xdr:from>
    <xdr:to>
      <xdr:col>9</xdr:col>
      <xdr:colOff>156210</xdr:colOff>
      <xdr:row>259</xdr:row>
      <xdr:rowOff>156210</xdr:rowOff>
    </xdr:to>
    <xdr:sp macro="" textlink="">
      <xdr:nvSpPr>
        <xdr:cNvPr id="209" name="Oval 208">
          <a:extLst>
            <a:ext uri="{FF2B5EF4-FFF2-40B4-BE49-F238E27FC236}">
              <a16:creationId xmlns:a16="http://schemas.microsoft.com/office/drawing/2014/main" id="{00000000-0008-0000-0200-0000D1000000}"/>
            </a:ext>
          </a:extLst>
        </xdr:cNvPr>
        <xdr:cNvSpPr/>
      </xdr:nvSpPr>
      <xdr:spPr>
        <a:xfrm>
          <a:off x="2143125" y="445389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259</xdr:row>
      <xdr:rowOff>19050</xdr:rowOff>
    </xdr:from>
    <xdr:to>
      <xdr:col>9</xdr:col>
      <xdr:colOff>156210</xdr:colOff>
      <xdr:row>259</xdr:row>
      <xdr:rowOff>156210</xdr:rowOff>
    </xdr:to>
    <xdr:sp macro="[1]!OperatingExpensesDefinition" textlink="">
      <xdr:nvSpPr>
        <xdr:cNvPr id="210" name="Oval 209">
          <a:extLst>
            <a:ext uri="{FF2B5EF4-FFF2-40B4-BE49-F238E27FC236}">
              <a16:creationId xmlns:a16="http://schemas.microsoft.com/office/drawing/2014/main" id="{00000000-0008-0000-0200-0000D2000000}"/>
            </a:ext>
          </a:extLst>
        </xdr:cNvPr>
        <xdr:cNvSpPr/>
      </xdr:nvSpPr>
      <xdr:spPr>
        <a:xfrm>
          <a:off x="2143125" y="445389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259</xdr:row>
      <xdr:rowOff>19050</xdr:rowOff>
    </xdr:from>
    <xdr:to>
      <xdr:col>9</xdr:col>
      <xdr:colOff>156210</xdr:colOff>
      <xdr:row>259</xdr:row>
      <xdr:rowOff>156210</xdr:rowOff>
    </xdr:to>
    <xdr:sp macro="" textlink="">
      <xdr:nvSpPr>
        <xdr:cNvPr id="211" name="Oval 210">
          <a:extLst>
            <a:ext uri="{FF2B5EF4-FFF2-40B4-BE49-F238E27FC236}">
              <a16:creationId xmlns:a16="http://schemas.microsoft.com/office/drawing/2014/main" id="{00000000-0008-0000-0200-0000D3000000}"/>
            </a:ext>
          </a:extLst>
        </xdr:cNvPr>
        <xdr:cNvSpPr/>
      </xdr:nvSpPr>
      <xdr:spPr>
        <a:xfrm>
          <a:off x="2143125" y="445389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292</xdr:row>
      <xdr:rowOff>19050</xdr:rowOff>
    </xdr:from>
    <xdr:to>
      <xdr:col>9</xdr:col>
      <xdr:colOff>156210</xdr:colOff>
      <xdr:row>292</xdr:row>
      <xdr:rowOff>156210</xdr:rowOff>
    </xdr:to>
    <xdr:sp macro="[1]!FixedChargeRateDefinition" textlink="">
      <xdr:nvSpPr>
        <xdr:cNvPr id="212" name="Oval 211">
          <a:extLst>
            <a:ext uri="{FF2B5EF4-FFF2-40B4-BE49-F238E27FC236}">
              <a16:creationId xmlns:a16="http://schemas.microsoft.com/office/drawing/2014/main" id="{00000000-0008-0000-0200-0000D4000000}"/>
            </a:ext>
          </a:extLst>
        </xdr:cNvPr>
        <xdr:cNvSpPr/>
      </xdr:nvSpPr>
      <xdr:spPr>
        <a:xfrm>
          <a:off x="2143125" y="501967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292</xdr:row>
      <xdr:rowOff>19050</xdr:rowOff>
    </xdr:from>
    <xdr:to>
      <xdr:col>9</xdr:col>
      <xdr:colOff>156210</xdr:colOff>
      <xdr:row>292</xdr:row>
      <xdr:rowOff>156210</xdr:rowOff>
    </xdr:to>
    <xdr:sp macro="[1]!FixedChargeRateDefinition" textlink="">
      <xdr:nvSpPr>
        <xdr:cNvPr id="213" name="Oval 212">
          <a:extLst>
            <a:ext uri="{FF2B5EF4-FFF2-40B4-BE49-F238E27FC236}">
              <a16:creationId xmlns:a16="http://schemas.microsoft.com/office/drawing/2014/main" id="{00000000-0008-0000-0200-0000D5000000}"/>
            </a:ext>
          </a:extLst>
        </xdr:cNvPr>
        <xdr:cNvSpPr/>
      </xdr:nvSpPr>
      <xdr:spPr>
        <a:xfrm>
          <a:off x="2143125" y="501967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292</xdr:row>
      <xdr:rowOff>19050</xdr:rowOff>
    </xdr:from>
    <xdr:to>
      <xdr:col>9</xdr:col>
      <xdr:colOff>156210</xdr:colOff>
      <xdr:row>292</xdr:row>
      <xdr:rowOff>156210</xdr:rowOff>
    </xdr:to>
    <xdr:sp macro="[1]!WACCDefinition" textlink="">
      <xdr:nvSpPr>
        <xdr:cNvPr id="214" name="Oval 213">
          <a:extLst>
            <a:ext uri="{FF2B5EF4-FFF2-40B4-BE49-F238E27FC236}">
              <a16:creationId xmlns:a16="http://schemas.microsoft.com/office/drawing/2014/main" id="{00000000-0008-0000-0200-0000D6000000}"/>
            </a:ext>
          </a:extLst>
        </xdr:cNvPr>
        <xdr:cNvSpPr/>
      </xdr:nvSpPr>
      <xdr:spPr>
        <a:xfrm>
          <a:off x="2143125" y="501967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292</xdr:row>
      <xdr:rowOff>19050</xdr:rowOff>
    </xdr:from>
    <xdr:to>
      <xdr:col>9</xdr:col>
      <xdr:colOff>156210</xdr:colOff>
      <xdr:row>292</xdr:row>
      <xdr:rowOff>156210</xdr:rowOff>
    </xdr:to>
    <xdr:sp macro="" textlink="">
      <xdr:nvSpPr>
        <xdr:cNvPr id="215" name="Oval 214">
          <a:extLst>
            <a:ext uri="{FF2B5EF4-FFF2-40B4-BE49-F238E27FC236}">
              <a16:creationId xmlns:a16="http://schemas.microsoft.com/office/drawing/2014/main" id="{00000000-0008-0000-0200-0000D7000000}"/>
            </a:ext>
          </a:extLst>
        </xdr:cNvPr>
        <xdr:cNvSpPr/>
      </xdr:nvSpPr>
      <xdr:spPr>
        <a:xfrm>
          <a:off x="2143125" y="501967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292</xdr:row>
      <xdr:rowOff>19050</xdr:rowOff>
    </xdr:from>
    <xdr:to>
      <xdr:col>9</xdr:col>
      <xdr:colOff>156210</xdr:colOff>
      <xdr:row>292</xdr:row>
      <xdr:rowOff>156210</xdr:rowOff>
    </xdr:to>
    <xdr:sp macro="" textlink="">
      <xdr:nvSpPr>
        <xdr:cNvPr id="216" name="Oval 215">
          <a:extLst>
            <a:ext uri="{FF2B5EF4-FFF2-40B4-BE49-F238E27FC236}">
              <a16:creationId xmlns:a16="http://schemas.microsoft.com/office/drawing/2014/main" id="{00000000-0008-0000-0200-0000D8000000}"/>
            </a:ext>
          </a:extLst>
        </xdr:cNvPr>
        <xdr:cNvSpPr/>
      </xdr:nvSpPr>
      <xdr:spPr>
        <a:xfrm>
          <a:off x="2143125" y="501967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292</xdr:row>
      <xdr:rowOff>19050</xdr:rowOff>
    </xdr:from>
    <xdr:to>
      <xdr:col>9</xdr:col>
      <xdr:colOff>156210</xdr:colOff>
      <xdr:row>292</xdr:row>
      <xdr:rowOff>156210</xdr:rowOff>
    </xdr:to>
    <xdr:sp macro="" textlink="">
      <xdr:nvSpPr>
        <xdr:cNvPr id="217" name="Oval 216">
          <a:extLst>
            <a:ext uri="{FF2B5EF4-FFF2-40B4-BE49-F238E27FC236}">
              <a16:creationId xmlns:a16="http://schemas.microsoft.com/office/drawing/2014/main" id="{00000000-0008-0000-0200-0000D9000000}"/>
            </a:ext>
          </a:extLst>
        </xdr:cNvPr>
        <xdr:cNvSpPr/>
      </xdr:nvSpPr>
      <xdr:spPr>
        <a:xfrm>
          <a:off x="2143125" y="501967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292</xdr:row>
      <xdr:rowOff>19050</xdr:rowOff>
    </xdr:from>
    <xdr:to>
      <xdr:col>9</xdr:col>
      <xdr:colOff>156210</xdr:colOff>
      <xdr:row>292</xdr:row>
      <xdr:rowOff>156210</xdr:rowOff>
    </xdr:to>
    <xdr:sp macro="[1]!FixedChargeRateDefinition" textlink="">
      <xdr:nvSpPr>
        <xdr:cNvPr id="218" name="Oval 217">
          <a:extLst>
            <a:ext uri="{FF2B5EF4-FFF2-40B4-BE49-F238E27FC236}">
              <a16:creationId xmlns:a16="http://schemas.microsoft.com/office/drawing/2014/main" id="{00000000-0008-0000-0200-0000DA000000}"/>
            </a:ext>
          </a:extLst>
        </xdr:cNvPr>
        <xdr:cNvSpPr/>
      </xdr:nvSpPr>
      <xdr:spPr>
        <a:xfrm>
          <a:off x="2143125" y="501967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292</xdr:row>
      <xdr:rowOff>19050</xdr:rowOff>
    </xdr:from>
    <xdr:to>
      <xdr:col>9</xdr:col>
      <xdr:colOff>156210</xdr:colOff>
      <xdr:row>292</xdr:row>
      <xdr:rowOff>156210</xdr:rowOff>
    </xdr:to>
    <xdr:sp macro="[1]!FixedChargeRateDefinition" textlink="">
      <xdr:nvSpPr>
        <xdr:cNvPr id="219" name="Oval 218">
          <a:extLst>
            <a:ext uri="{FF2B5EF4-FFF2-40B4-BE49-F238E27FC236}">
              <a16:creationId xmlns:a16="http://schemas.microsoft.com/office/drawing/2014/main" id="{00000000-0008-0000-0200-0000DB000000}"/>
            </a:ext>
          </a:extLst>
        </xdr:cNvPr>
        <xdr:cNvSpPr/>
      </xdr:nvSpPr>
      <xdr:spPr>
        <a:xfrm>
          <a:off x="2143125" y="501967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292</xdr:row>
      <xdr:rowOff>19050</xdr:rowOff>
    </xdr:from>
    <xdr:to>
      <xdr:col>9</xdr:col>
      <xdr:colOff>156210</xdr:colOff>
      <xdr:row>292</xdr:row>
      <xdr:rowOff>156210</xdr:rowOff>
    </xdr:to>
    <xdr:sp macro="[1]!WACCDefinition" textlink="">
      <xdr:nvSpPr>
        <xdr:cNvPr id="220" name="Oval 219">
          <a:extLst>
            <a:ext uri="{FF2B5EF4-FFF2-40B4-BE49-F238E27FC236}">
              <a16:creationId xmlns:a16="http://schemas.microsoft.com/office/drawing/2014/main" id="{00000000-0008-0000-0200-0000DC000000}"/>
            </a:ext>
          </a:extLst>
        </xdr:cNvPr>
        <xdr:cNvSpPr/>
      </xdr:nvSpPr>
      <xdr:spPr>
        <a:xfrm>
          <a:off x="2143125" y="501967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292</xdr:row>
      <xdr:rowOff>19050</xdr:rowOff>
    </xdr:from>
    <xdr:to>
      <xdr:col>9</xdr:col>
      <xdr:colOff>156210</xdr:colOff>
      <xdr:row>292</xdr:row>
      <xdr:rowOff>156210</xdr:rowOff>
    </xdr:to>
    <xdr:sp macro="" textlink="">
      <xdr:nvSpPr>
        <xdr:cNvPr id="221" name="Oval 220">
          <a:extLst>
            <a:ext uri="{FF2B5EF4-FFF2-40B4-BE49-F238E27FC236}">
              <a16:creationId xmlns:a16="http://schemas.microsoft.com/office/drawing/2014/main" id="{00000000-0008-0000-0200-0000DD000000}"/>
            </a:ext>
          </a:extLst>
        </xdr:cNvPr>
        <xdr:cNvSpPr/>
      </xdr:nvSpPr>
      <xdr:spPr>
        <a:xfrm>
          <a:off x="2143125" y="501967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292</xdr:row>
      <xdr:rowOff>19050</xdr:rowOff>
    </xdr:from>
    <xdr:to>
      <xdr:col>9</xdr:col>
      <xdr:colOff>156210</xdr:colOff>
      <xdr:row>292</xdr:row>
      <xdr:rowOff>156210</xdr:rowOff>
    </xdr:to>
    <xdr:sp macro="" textlink="">
      <xdr:nvSpPr>
        <xdr:cNvPr id="222" name="Oval 221">
          <a:extLst>
            <a:ext uri="{FF2B5EF4-FFF2-40B4-BE49-F238E27FC236}">
              <a16:creationId xmlns:a16="http://schemas.microsoft.com/office/drawing/2014/main" id="{00000000-0008-0000-0200-0000DE000000}"/>
            </a:ext>
          </a:extLst>
        </xdr:cNvPr>
        <xdr:cNvSpPr/>
      </xdr:nvSpPr>
      <xdr:spPr>
        <a:xfrm>
          <a:off x="2143125" y="501967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292</xdr:row>
      <xdr:rowOff>19050</xdr:rowOff>
    </xdr:from>
    <xdr:to>
      <xdr:col>9</xdr:col>
      <xdr:colOff>156210</xdr:colOff>
      <xdr:row>292</xdr:row>
      <xdr:rowOff>156210</xdr:rowOff>
    </xdr:to>
    <xdr:sp macro="" textlink="">
      <xdr:nvSpPr>
        <xdr:cNvPr id="223" name="Oval 222">
          <a:extLst>
            <a:ext uri="{FF2B5EF4-FFF2-40B4-BE49-F238E27FC236}">
              <a16:creationId xmlns:a16="http://schemas.microsoft.com/office/drawing/2014/main" id="{00000000-0008-0000-0200-0000DF000000}"/>
            </a:ext>
          </a:extLst>
        </xdr:cNvPr>
        <xdr:cNvSpPr/>
      </xdr:nvSpPr>
      <xdr:spPr>
        <a:xfrm>
          <a:off x="2143125" y="501967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292</xdr:row>
      <xdr:rowOff>19050</xdr:rowOff>
    </xdr:from>
    <xdr:to>
      <xdr:col>9</xdr:col>
      <xdr:colOff>156210</xdr:colOff>
      <xdr:row>292</xdr:row>
      <xdr:rowOff>156210</xdr:rowOff>
    </xdr:to>
    <xdr:sp macro="[1]!FixedChargeRateDefinition" textlink="">
      <xdr:nvSpPr>
        <xdr:cNvPr id="224" name="Oval 223">
          <a:extLst>
            <a:ext uri="{FF2B5EF4-FFF2-40B4-BE49-F238E27FC236}">
              <a16:creationId xmlns:a16="http://schemas.microsoft.com/office/drawing/2014/main" id="{00000000-0008-0000-0200-0000E0000000}"/>
            </a:ext>
          </a:extLst>
        </xdr:cNvPr>
        <xdr:cNvSpPr/>
      </xdr:nvSpPr>
      <xdr:spPr>
        <a:xfrm>
          <a:off x="2143125" y="501967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292</xdr:row>
      <xdr:rowOff>19050</xdr:rowOff>
    </xdr:from>
    <xdr:to>
      <xdr:col>9</xdr:col>
      <xdr:colOff>156210</xdr:colOff>
      <xdr:row>292</xdr:row>
      <xdr:rowOff>156210</xdr:rowOff>
    </xdr:to>
    <xdr:sp macro="[1]!FixedChargeRateDefinition" textlink="">
      <xdr:nvSpPr>
        <xdr:cNvPr id="225" name="Oval 224">
          <a:extLst>
            <a:ext uri="{FF2B5EF4-FFF2-40B4-BE49-F238E27FC236}">
              <a16:creationId xmlns:a16="http://schemas.microsoft.com/office/drawing/2014/main" id="{00000000-0008-0000-0200-0000E1000000}"/>
            </a:ext>
          </a:extLst>
        </xdr:cNvPr>
        <xdr:cNvSpPr/>
      </xdr:nvSpPr>
      <xdr:spPr>
        <a:xfrm>
          <a:off x="2143125" y="501967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292</xdr:row>
      <xdr:rowOff>19050</xdr:rowOff>
    </xdr:from>
    <xdr:to>
      <xdr:col>9</xdr:col>
      <xdr:colOff>156210</xdr:colOff>
      <xdr:row>292</xdr:row>
      <xdr:rowOff>156210</xdr:rowOff>
    </xdr:to>
    <xdr:sp macro="[1]!WACCDefinition" textlink="">
      <xdr:nvSpPr>
        <xdr:cNvPr id="226" name="Oval 225">
          <a:extLst>
            <a:ext uri="{FF2B5EF4-FFF2-40B4-BE49-F238E27FC236}">
              <a16:creationId xmlns:a16="http://schemas.microsoft.com/office/drawing/2014/main" id="{00000000-0008-0000-0200-0000E2000000}"/>
            </a:ext>
          </a:extLst>
        </xdr:cNvPr>
        <xdr:cNvSpPr/>
      </xdr:nvSpPr>
      <xdr:spPr>
        <a:xfrm>
          <a:off x="2143125" y="501967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292</xdr:row>
      <xdr:rowOff>19050</xdr:rowOff>
    </xdr:from>
    <xdr:to>
      <xdr:col>9</xdr:col>
      <xdr:colOff>156210</xdr:colOff>
      <xdr:row>292</xdr:row>
      <xdr:rowOff>156210</xdr:rowOff>
    </xdr:to>
    <xdr:sp macro="" textlink="">
      <xdr:nvSpPr>
        <xdr:cNvPr id="227" name="Oval 226">
          <a:extLst>
            <a:ext uri="{FF2B5EF4-FFF2-40B4-BE49-F238E27FC236}">
              <a16:creationId xmlns:a16="http://schemas.microsoft.com/office/drawing/2014/main" id="{00000000-0008-0000-0200-0000E3000000}"/>
            </a:ext>
          </a:extLst>
        </xdr:cNvPr>
        <xdr:cNvSpPr/>
      </xdr:nvSpPr>
      <xdr:spPr>
        <a:xfrm>
          <a:off x="2143125" y="501967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292</xdr:row>
      <xdr:rowOff>19050</xdr:rowOff>
    </xdr:from>
    <xdr:to>
      <xdr:col>9</xdr:col>
      <xdr:colOff>156210</xdr:colOff>
      <xdr:row>292</xdr:row>
      <xdr:rowOff>156210</xdr:rowOff>
    </xdr:to>
    <xdr:sp macro="" textlink="">
      <xdr:nvSpPr>
        <xdr:cNvPr id="228" name="Oval 227">
          <a:extLst>
            <a:ext uri="{FF2B5EF4-FFF2-40B4-BE49-F238E27FC236}">
              <a16:creationId xmlns:a16="http://schemas.microsoft.com/office/drawing/2014/main" id="{00000000-0008-0000-0200-0000E4000000}"/>
            </a:ext>
          </a:extLst>
        </xdr:cNvPr>
        <xdr:cNvSpPr/>
      </xdr:nvSpPr>
      <xdr:spPr>
        <a:xfrm>
          <a:off x="2143125" y="501967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292</xdr:row>
      <xdr:rowOff>19050</xdr:rowOff>
    </xdr:from>
    <xdr:to>
      <xdr:col>9</xdr:col>
      <xdr:colOff>156210</xdr:colOff>
      <xdr:row>292</xdr:row>
      <xdr:rowOff>156210</xdr:rowOff>
    </xdr:to>
    <xdr:sp macro="" textlink="">
      <xdr:nvSpPr>
        <xdr:cNvPr id="229" name="Oval 228">
          <a:extLst>
            <a:ext uri="{FF2B5EF4-FFF2-40B4-BE49-F238E27FC236}">
              <a16:creationId xmlns:a16="http://schemas.microsoft.com/office/drawing/2014/main" id="{00000000-0008-0000-0200-0000E5000000}"/>
            </a:ext>
          </a:extLst>
        </xdr:cNvPr>
        <xdr:cNvSpPr/>
      </xdr:nvSpPr>
      <xdr:spPr>
        <a:xfrm>
          <a:off x="2143125" y="501967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292</xdr:row>
      <xdr:rowOff>19050</xdr:rowOff>
    </xdr:from>
    <xdr:to>
      <xdr:col>9</xdr:col>
      <xdr:colOff>156210</xdr:colOff>
      <xdr:row>292</xdr:row>
      <xdr:rowOff>156210</xdr:rowOff>
    </xdr:to>
    <xdr:sp macro="[1]!FixedChargeRateDefinition" textlink="">
      <xdr:nvSpPr>
        <xdr:cNvPr id="230" name="Oval 229">
          <a:extLst>
            <a:ext uri="{FF2B5EF4-FFF2-40B4-BE49-F238E27FC236}">
              <a16:creationId xmlns:a16="http://schemas.microsoft.com/office/drawing/2014/main" id="{00000000-0008-0000-0200-0000E6000000}"/>
            </a:ext>
          </a:extLst>
        </xdr:cNvPr>
        <xdr:cNvSpPr/>
      </xdr:nvSpPr>
      <xdr:spPr>
        <a:xfrm>
          <a:off x="2143125" y="501967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292</xdr:row>
      <xdr:rowOff>19050</xdr:rowOff>
    </xdr:from>
    <xdr:to>
      <xdr:col>9</xdr:col>
      <xdr:colOff>156210</xdr:colOff>
      <xdr:row>292</xdr:row>
      <xdr:rowOff>156210</xdr:rowOff>
    </xdr:to>
    <xdr:sp macro="[1]!FixedChargeRateDefinition" textlink="">
      <xdr:nvSpPr>
        <xdr:cNvPr id="231" name="Oval 230">
          <a:extLst>
            <a:ext uri="{FF2B5EF4-FFF2-40B4-BE49-F238E27FC236}">
              <a16:creationId xmlns:a16="http://schemas.microsoft.com/office/drawing/2014/main" id="{00000000-0008-0000-0200-0000E7000000}"/>
            </a:ext>
          </a:extLst>
        </xdr:cNvPr>
        <xdr:cNvSpPr/>
      </xdr:nvSpPr>
      <xdr:spPr>
        <a:xfrm>
          <a:off x="2143125" y="501967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292</xdr:row>
      <xdr:rowOff>19050</xdr:rowOff>
    </xdr:from>
    <xdr:to>
      <xdr:col>9</xdr:col>
      <xdr:colOff>156210</xdr:colOff>
      <xdr:row>292</xdr:row>
      <xdr:rowOff>156210</xdr:rowOff>
    </xdr:to>
    <xdr:sp macro="[1]!WACCDefinition" textlink="">
      <xdr:nvSpPr>
        <xdr:cNvPr id="232" name="Oval 231">
          <a:extLst>
            <a:ext uri="{FF2B5EF4-FFF2-40B4-BE49-F238E27FC236}">
              <a16:creationId xmlns:a16="http://schemas.microsoft.com/office/drawing/2014/main" id="{00000000-0008-0000-0200-0000E8000000}"/>
            </a:ext>
          </a:extLst>
        </xdr:cNvPr>
        <xdr:cNvSpPr/>
      </xdr:nvSpPr>
      <xdr:spPr>
        <a:xfrm>
          <a:off x="2143125" y="501967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292</xdr:row>
      <xdr:rowOff>19050</xdr:rowOff>
    </xdr:from>
    <xdr:to>
      <xdr:col>9</xdr:col>
      <xdr:colOff>156210</xdr:colOff>
      <xdr:row>292</xdr:row>
      <xdr:rowOff>156210</xdr:rowOff>
    </xdr:to>
    <xdr:sp macro="" textlink="">
      <xdr:nvSpPr>
        <xdr:cNvPr id="233" name="Oval 232">
          <a:extLst>
            <a:ext uri="{FF2B5EF4-FFF2-40B4-BE49-F238E27FC236}">
              <a16:creationId xmlns:a16="http://schemas.microsoft.com/office/drawing/2014/main" id="{00000000-0008-0000-0200-0000E9000000}"/>
            </a:ext>
          </a:extLst>
        </xdr:cNvPr>
        <xdr:cNvSpPr/>
      </xdr:nvSpPr>
      <xdr:spPr>
        <a:xfrm>
          <a:off x="2143125" y="501967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292</xdr:row>
      <xdr:rowOff>19050</xdr:rowOff>
    </xdr:from>
    <xdr:to>
      <xdr:col>9</xdr:col>
      <xdr:colOff>156210</xdr:colOff>
      <xdr:row>292</xdr:row>
      <xdr:rowOff>156210</xdr:rowOff>
    </xdr:to>
    <xdr:sp macro="" textlink="">
      <xdr:nvSpPr>
        <xdr:cNvPr id="234" name="Oval 233">
          <a:extLst>
            <a:ext uri="{FF2B5EF4-FFF2-40B4-BE49-F238E27FC236}">
              <a16:creationId xmlns:a16="http://schemas.microsoft.com/office/drawing/2014/main" id="{00000000-0008-0000-0200-0000EA000000}"/>
            </a:ext>
          </a:extLst>
        </xdr:cNvPr>
        <xdr:cNvSpPr/>
      </xdr:nvSpPr>
      <xdr:spPr>
        <a:xfrm>
          <a:off x="2143125" y="501967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292</xdr:row>
      <xdr:rowOff>19050</xdr:rowOff>
    </xdr:from>
    <xdr:to>
      <xdr:col>9</xdr:col>
      <xdr:colOff>156210</xdr:colOff>
      <xdr:row>292</xdr:row>
      <xdr:rowOff>156210</xdr:rowOff>
    </xdr:to>
    <xdr:sp macro="" textlink="">
      <xdr:nvSpPr>
        <xdr:cNvPr id="235" name="Oval 234">
          <a:extLst>
            <a:ext uri="{FF2B5EF4-FFF2-40B4-BE49-F238E27FC236}">
              <a16:creationId xmlns:a16="http://schemas.microsoft.com/office/drawing/2014/main" id="{00000000-0008-0000-0200-0000EB000000}"/>
            </a:ext>
          </a:extLst>
        </xdr:cNvPr>
        <xdr:cNvSpPr/>
      </xdr:nvSpPr>
      <xdr:spPr>
        <a:xfrm>
          <a:off x="2143125" y="501967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324</xdr:row>
      <xdr:rowOff>19050</xdr:rowOff>
    </xdr:from>
    <xdr:to>
      <xdr:col>9</xdr:col>
      <xdr:colOff>156210</xdr:colOff>
      <xdr:row>324</xdr:row>
      <xdr:rowOff>156210</xdr:rowOff>
    </xdr:to>
    <xdr:sp macro="[1]!InterconnectionCostDefinition" textlink="">
      <xdr:nvSpPr>
        <xdr:cNvPr id="236" name="Oval 235">
          <a:extLst>
            <a:ext uri="{FF2B5EF4-FFF2-40B4-BE49-F238E27FC236}">
              <a16:creationId xmlns:a16="http://schemas.microsoft.com/office/drawing/2014/main" id="{00000000-0008-0000-0200-0000EC000000}"/>
            </a:ext>
          </a:extLst>
        </xdr:cNvPr>
        <xdr:cNvSpPr/>
      </xdr:nvSpPr>
      <xdr:spPr>
        <a:xfrm>
          <a:off x="2143125" y="556831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324</xdr:row>
      <xdr:rowOff>19050</xdr:rowOff>
    </xdr:from>
    <xdr:to>
      <xdr:col>9</xdr:col>
      <xdr:colOff>156210</xdr:colOff>
      <xdr:row>324</xdr:row>
      <xdr:rowOff>156210</xdr:rowOff>
    </xdr:to>
    <xdr:sp macro="" textlink="">
      <xdr:nvSpPr>
        <xdr:cNvPr id="237" name="Oval 236">
          <a:extLst>
            <a:ext uri="{FF2B5EF4-FFF2-40B4-BE49-F238E27FC236}">
              <a16:creationId xmlns:a16="http://schemas.microsoft.com/office/drawing/2014/main" id="{00000000-0008-0000-0200-0000ED000000}"/>
            </a:ext>
          </a:extLst>
        </xdr:cNvPr>
        <xdr:cNvSpPr/>
      </xdr:nvSpPr>
      <xdr:spPr>
        <a:xfrm>
          <a:off x="2143125" y="556831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324</xdr:row>
      <xdr:rowOff>19050</xdr:rowOff>
    </xdr:from>
    <xdr:to>
      <xdr:col>9</xdr:col>
      <xdr:colOff>156210</xdr:colOff>
      <xdr:row>324</xdr:row>
      <xdr:rowOff>156210</xdr:rowOff>
    </xdr:to>
    <xdr:sp macro="[1]!InterconnectionCostDefinition" textlink="">
      <xdr:nvSpPr>
        <xdr:cNvPr id="238" name="Oval 237">
          <a:extLst>
            <a:ext uri="{FF2B5EF4-FFF2-40B4-BE49-F238E27FC236}">
              <a16:creationId xmlns:a16="http://schemas.microsoft.com/office/drawing/2014/main" id="{00000000-0008-0000-0200-0000EE000000}"/>
            </a:ext>
          </a:extLst>
        </xdr:cNvPr>
        <xdr:cNvSpPr/>
      </xdr:nvSpPr>
      <xdr:spPr>
        <a:xfrm>
          <a:off x="2143125" y="556831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324</xdr:row>
      <xdr:rowOff>19050</xdr:rowOff>
    </xdr:from>
    <xdr:to>
      <xdr:col>9</xdr:col>
      <xdr:colOff>156210</xdr:colOff>
      <xdr:row>324</xdr:row>
      <xdr:rowOff>156210</xdr:rowOff>
    </xdr:to>
    <xdr:sp macro="" textlink="">
      <xdr:nvSpPr>
        <xdr:cNvPr id="239" name="Oval 238">
          <a:extLst>
            <a:ext uri="{FF2B5EF4-FFF2-40B4-BE49-F238E27FC236}">
              <a16:creationId xmlns:a16="http://schemas.microsoft.com/office/drawing/2014/main" id="{00000000-0008-0000-0200-0000EF000000}"/>
            </a:ext>
          </a:extLst>
        </xdr:cNvPr>
        <xdr:cNvSpPr/>
      </xdr:nvSpPr>
      <xdr:spPr>
        <a:xfrm>
          <a:off x="2143125" y="556831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324</xdr:row>
      <xdr:rowOff>19050</xdr:rowOff>
    </xdr:from>
    <xdr:to>
      <xdr:col>9</xdr:col>
      <xdr:colOff>156210</xdr:colOff>
      <xdr:row>324</xdr:row>
      <xdr:rowOff>156210</xdr:rowOff>
    </xdr:to>
    <xdr:sp macro="[1]!InterconnectionCostDefinition" textlink="">
      <xdr:nvSpPr>
        <xdr:cNvPr id="240" name="Oval 239">
          <a:extLst>
            <a:ext uri="{FF2B5EF4-FFF2-40B4-BE49-F238E27FC236}">
              <a16:creationId xmlns:a16="http://schemas.microsoft.com/office/drawing/2014/main" id="{00000000-0008-0000-0200-0000F0000000}"/>
            </a:ext>
          </a:extLst>
        </xdr:cNvPr>
        <xdr:cNvSpPr/>
      </xdr:nvSpPr>
      <xdr:spPr>
        <a:xfrm>
          <a:off x="2143125" y="556831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324</xdr:row>
      <xdr:rowOff>19050</xdr:rowOff>
    </xdr:from>
    <xdr:to>
      <xdr:col>9</xdr:col>
      <xdr:colOff>156210</xdr:colOff>
      <xdr:row>324</xdr:row>
      <xdr:rowOff>156210</xdr:rowOff>
    </xdr:to>
    <xdr:sp macro="" textlink="">
      <xdr:nvSpPr>
        <xdr:cNvPr id="241" name="Oval 240">
          <a:extLst>
            <a:ext uri="{FF2B5EF4-FFF2-40B4-BE49-F238E27FC236}">
              <a16:creationId xmlns:a16="http://schemas.microsoft.com/office/drawing/2014/main" id="{00000000-0008-0000-0200-0000F1000000}"/>
            </a:ext>
          </a:extLst>
        </xdr:cNvPr>
        <xdr:cNvSpPr/>
      </xdr:nvSpPr>
      <xdr:spPr>
        <a:xfrm>
          <a:off x="2143125" y="556831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324</xdr:row>
      <xdr:rowOff>19050</xdr:rowOff>
    </xdr:from>
    <xdr:to>
      <xdr:col>9</xdr:col>
      <xdr:colOff>156210</xdr:colOff>
      <xdr:row>324</xdr:row>
      <xdr:rowOff>156210</xdr:rowOff>
    </xdr:to>
    <xdr:sp macro="[1]!InterconnectionCostDefinition" textlink="">
      <xdr:nvSpPr>
        <xdr:cNvPr id="242" name="Oval 241">
          <a:extLst>
            <a:ext uri="{FF2B5EF4-FFF2-40B4-BE49-F238E27FC236}">
              <a16:creationId xmlns:a16="http://schemas.microsoft.com/office/drawing/2014/main" id="{00000000-0008-0000-0200-0000F2000000}"/>
            </a:ext>
          </a:extLst>
        </xdr:cNvPr>
        <xdr:cNvSpPr/>
      </xdr:nvSpPr>
      <xdr:spPr>
        <a:xfrm>
          <a:off x="2143125" y="556831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324</xdr:row>
      <xdr:rowOff>19050</xdr:rowOff>
    </xdr:from>
    <xdr:to>
      <xdr:col>9</xdr:col>
      <xdr:colOff>156210</xdr:colOff>
      <xdr:row>324</xdr:row>
      <xdr:rowOff>156210</xdr:rowOff>
    </xdr:to>
    <xdr:sp macro="" textlink="">
      <xdr:nvSpPr>
        <xdr:cNvPr id="243" name="Oval 242">
          <a:extLst>
            <a:ext uri="{FF2B5EF4-FFF2-40B4-BE49-F238E27FC236}">
              <a16:creationId xmlns:a16="http://schemas.microsoft.com/office/drawing/2014/main" id="{00000000-0008-0000-0200-0000F3000000}"/>
            </a:ext>
          </a:extLst>
        </xdr:cNvPr>
        <xdr:cNvSpPr/>
      </xdr:nvSpPr>
      <xdr:spPr>
        <a:xfrm>
          <a:off x="2143125" y="556831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356</xdr:row>
      <xdr:rowOff>19050</xdr:rowOff>
    </xdr:from>
    <xdr:to>
      <xdr:col>9</xdr:col>
      <xdr:colOff>156210</xdr:colOff>
      <xdr:row>356</xdr:row>
      <xdr:rowOff>156210</xdr:rowOff>
    </xdr:to>
    <xdr:sp macro="[1]!LCOEDefinition" textlink="">
      <xdr:nvSpPr>
        <xdr:cNvPr id="244" name="Oval 243">
          <a:extLst>
            <a:ext uri="{FF2B5EF4-FFF2-40B4-BE49-F238E27FC236}">
              <a16:creationId xmlns:a16="http://schemas.microsoft.com/office/drawing/2014/main" id="{00000000-0008-0000-0200-0000F4000000}"/>
            </a:ext>
          </a:extLst>
        </xdr:cNvPr>
        <xdr:cNvSpPr/>
      </xdr:nvSpPr>
      <xdr:spPr>
        <a:xfrm>
          <a:off x="2143125" y="611695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356</xdr:row>
      <xdr:rowOff>19050</xdr:rowOff>
    </xdr:from>
    <xdr:to>
      <xdr:col>9</xdr:col>
      <xdr:colOff>156210</xdr:colOff>
      <xdr:row>356</xdr:row>
      <xdr:rowOff>156210</xdr:rowOff>
    </xdr:to>
    <xdr:sp macro="" textlink="">
      <xdr:nvSpPr>
        <xdr:cNvPr id="245" name="Oval 244">
          <a:extLst>
            <a:ext uri="{FF2B5EF4-FFF2-40B4-BE49-F238E27FC236}">
              <a16:creationId xmlns:a16="http://schemas.microsoft.com/office/drawing/2014/main" id="{00000000-0008-0000-0200-0000F5000000}"/>
            </a:ext>
          </a:extLst>
        </xdr:cNvPr>
        <xdr:cNvSpPr/>
      </xdr:nvSpPr>
      <xdr:spPr>
        <a:xfrm>
          <a:off x="2143125" y="611695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356</xdr:row>
      <xdr:rowOff>19050</xdr:rowOff>
    </xdr:from>
    <xdr:to>
      <xdr:col>9</xdr:col>
      <xdr:colOff>156210</xdr:colOff>
      <xdr:row>356</xdr:row>
      <xdr:rowOff>156210</xdr:rowOff>
    </xdr:to>
    <xdr:sp macro="[1]!LCOEDefinition" textlink="">
      <xdr:nvSpPr>
        <xdr:cNvPr id="246" name="Oval 245">
          <a:extLst>
            <a:ext uri="{FF2B5EF4-FFF2-40B4-BE49-F238E27FC236}">
              <a16:creationId xmlns:a16="http://schemas.microsoft.com/office/drawing/2014/main" id="{00000000-0008-0000-0200-0000F6000000}"/>
            </a:ext>
          </a:extLst>
        </xdr:cNvPr>
        <xdr:cNvSpPr/>
      </xdr:nvSpPr>
      <xdr:spPr>
        <a:xfrm>
          <a:off x="2143125" y="611695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356</xdr:row>
      <xdr:rowOff>19050</xdr:rowOff>
    </xdr:from>
    <xdr:to>
      <xdr:col>9</xdr:col>
      <xdr:colOff>156210</xdr:colOff>
      <xdr:row>356</xdr:row>
      <xdr:rowOff>156210</xdr:rowOff>
    </xdr:to>
    <xdr:sp macro="" textlink="">
      <xdr:nvSpPr>
        <xdr:cNvPr id="247" name="Oval 246">
          <a:extLst>
            <a:ext uri="{FF2B5EF4-FFF2-40B4-BE49-F238E27FC236}">
              <a16:creationId xmlns:a16="http://schemas.microsoft.com/office/drawing/2014/main" id="{00000000-0008-0000-0200-0000F7000000}"/>
            </a:ext>
          </a:extLst>
        </xdr:cNvPr>
        <xdr:cNvSpPr/>
      </xdr:nvSpPr>
      <xdr:spPr>
        <a:xfrm>
          <a:off x="2143125" y="611695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356</xdr:row>
      <xdr:rowOff>19050</xdr:rowOff>
    </xdr:from>
    <xdr:to>
      <xdr:col>9</xdr:col>
      <xdr:colOff>156210</xdr:colOff>
      <xdr:row>356</xdr:row>
      <xdr:rowOff>156210</xdr:rowOff>
    </xdr:to>
    <xdr:sp macro="[1]!LCOEDefinition" textlink="">
      <xdr:nvSpPr>
        <xdr:cNvPr id="248" name="Oval 247">
          <a:extLst>
            <a:ext uri="{FF2B5EF4-FFF2-40B4-BE49-F238E27FC236}">
              <a16:creationId xmlns:a16="http://schemas.microsoft.com/office/drawing/2014/main" id="{00000000-0008-0000-0200-0000F8000000}"/>
            </a:ext>
          </a:extLst>
        </xdr:cNvPr>
        <xdr:cNvSpPr/>
      </xdr:nvSpPr>
      <xdr:spPr>
        <a:xfrm>
          <a:off x="2143125" y="611695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356</xdr:row>
      <xdr:rowOff>19050</xdr:rowOff>
    </xdr:from>
    <xdr:to>
      <xdr:col>9</xdr:col>
      <xdr:colOff>156210</xdr:colOff>
      <xdr:row>356</xdr:row>
      <xdr:rowOff>156210</xdr:rowOff>
    </xdr:to>
    <xdr:sp macro="" textlink="">
      <xdr:nvSpPr>
        <xdr:cNvPr id="249" name="Oval 248">
          <a:extLst>
            <a:ext uri="{FF2B5EF4-FFF2-40B4-BE49-F238E27FC236}">
              <a16:creationId xmlns:a16="http://schemas.microsoft.com/office/drawing/2014/main" id="{00000000-0008-0000-0200-0000F9000000}"/>
            </a:ext>
          </a:extLst>
        </xdr:cNvPr>
        <xdr:cNvSpPr/>
      </xdr:nvSpPr>
      <xdr:spPr>
        <a:xfrm>
          <a:off x="2143125" y="611695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356</xdr:row>
      <xdr:rowOff>19050</xdr:rowOff>
    </xdr:from>
    <xdr:to>
      <xdr:col>9</xdr:col>
      <xdr:colOff>156210</xdr:colOff>
      <xdr:row>356</xdr:row>
      <xdr:rowOff>156210</xdr:rowOff>
    </xdr:to>
    <xdr:sp macro="[1]!LCOEDefinition" textlink="">
      <xdr:nvSpPr>
        <xdr:cNvPr id="250" name="Oval 249">
          <a:extLst>
            <a:ext uri="{FF2B5EF4-FFF2-40B4-BE49-F238E27FC236}">
              <a16:creationId xmlns:a16="http://schemas.microsoft.com/office/drawing/2014/main" id="{00000000-0008-0000-0200-0000FA000000}"/>
            </a:ext>
          </a:extLst>
        </xdr:cNvPr>
        <xdr:cNvSpPr/>
      </xdr:nvSpPr>
      <xdr:spPr>
        <a:xfrm>
          <a:off x="2143125" y="611695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356</xdr:row>
      <xdr:rowOff>19050</xdr:rowOff>
    </xdr:from>
    <xdr:to>
      <xdr:col>9</xdr:col>
      <xdr:colOff>156210</xdr:colOff>
      <xdr:row>356</xdr:row>
      <xdr:rowOff>156210</xdr:rowOff>
    </xdr:to>
    <xdr:sp macro="" textlink="">
      <xdr:nvSpPr>
        <xdr:cNvPr id="251" name="Oval 250">
          <a:extLst>
            <a:ext uri="{FF2B5EF4-FFF2-40B4-BE49-F238E27FC236}">
              <a16:creationId xmlns:a16="http://schemas.microsoft.com/office/drawing/2014/main" id="{00000000-0008-0000-0200-0000FB000000}"/>
            </a:ext>
          </a:extLst>
        </xdr:cNvPr>
        <xdr:cNvSpPr/>
      </xdr:nvSpPr>
      <xdr:spPr>
        <a:xfrm>
          <a:off x="2143125" y="611695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olivia/Downloads/2021-ATB-Data_Master%20(1)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shelley/Dropbox%20(Energy%20Innovation)/PC%20(2)/Desktop/Ongoing%20Work/NREL%20ATB%20Updates/2022%20Data/2022%20v1%20Annual%20Technology%20Baseline%20Workbook%20Original%206-14-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face and Contents"/>
      <sheetName val="Financial Definitions"/>
      <sheetName val="Offshore Wind"/>
      <sheetName val="Land-Based Wind"/>
      <sheetName val="Solar - Utility PV"/>
      <sheetName val="Solar - PV Dist. Comm"/>
      <sheetName val="Solar - PV Dist. Res"/>
      <sheetName val="Solar - CSP"/>
      <sheetName val="Geothermal"/>
      <sheetName val="Hydropower"/>
      <sheetName val="Nuclear"/>
      <sheetName val="Biopower"/>
      <sheetName val="Utility-Scale PV-Plus-Battery"/>
      <sheetName val="Coal_FE"/>
      <sheetName val="Natural Gas_FE"/>
      <sheetName val="Utility-Scale Battery Storage"/>
      <sheetName val="Commercial Battery Storage"/>
      <sheetName val="Residential Battery Storage"/>
      <sheetName val="Pumped Storage Hydropower"/>
      <sheetName val="WACC Calc"/>
      <sheetName val="Summary"/>
      <sheetName val="Summary_CAPEX"/>
      <sheetName val="Summary_CF"/>
      <sheetName val="Summary_LCOE"/>
      <sheetName val="Summary_FOM"/>
      <sheetName val="Summary_VOM"/>
      <sheetName val="Summary_Fuel"/>
      <sheetName val="LCOE Range"/>
      <sheetName val="PV OCC"/>
      <sheetName val="Program Goals"/>
      <sheetName val="2021-ATB-Data_Master (1)"/>
    </sheetNames>
    <definedNames>
      <definedName name="AnnualEnergyProductionDefinition"/>
      <definedName name="CapacityFactorDefinition"/>
      <definedName name="CapitalCostDefinition"/>
      <definedName name="ConstructionFinanceDefinition"/>
      <definedName name="CurrentCostsJump"/>
      <definedName name="DPV_Market"/>
      <definedName name="DPV_RD"/>
      <definedName name="FixedChargeRateDefinition"/>
      <definedName name="FutureProjectionsJump"/>
      <definedName name="HistoricTrendsJump"/>
      <definedName name="InterconnectionCostDefinition"/>
      <definedName name="LCOEDefinition"/>
      <definedName name="Module4.CurrentCostsJump"/>
      <definedName name="Module4.FutureProjectionsJump"/>
      <definedName name="Module4.HistoricTrendsJump"/>
      <definedName name="OperatingExpensesDefinition"/>
      <definedName name="OvernightCapitalCostDefinition"/>
      <definedName name="ThisWorkbook.ApplyAll"/>
      <definedName name="ThisWorkbook.ApplyAllFinances"/>
      <definedName name="ThisWorkbook.CustomLifeButton_Click"/>
      <definedName name="ThisWorkbook.TechLifeButton_Click"/>
      <definedName name="ThisWorkbook.ThirtyYearButton_Click"/>
      <definedName name="ThisWorkbook.TwentyYearButton_Click"/>
      <definedName name="WACCDefinition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>
        <row r="420">
          <cell r="F420">
            <v>2.5000000000000001E-2</v>
          </cell>
          <cell r="G420">
            <v>2.5000000000000001E-2</v>
          </cell>
          <cell r="H420">
            <v>2.5000000000000001E-2</v>
          </cell>
          <cell r="I420">
            <v>2.5000000000000001E-2</v>
          </cell>
          <cell r="J420">
            <v>2.5000000000000001E-2</v>
          </cell>
          <cell r="K420">
            <v>2.5000000000000001E-2</v>
          </cell>
          <cell r="L420">
            <v>2.5000000000000001E-2</v>
          </cell>
          <cell r="M420">
            <v>2.5000000000000001E-2</v>
          </cell>
          <cell r="N420">
            <v>2.5000000000000001E-2</v>
          </cell>
          <cell r="O420">
            <v>2.5000000000000001E-2</v>
          </cell>
          <cell r="P420">
            <v>2.5000000000000001E-2</v>
          </cell>
          <cell r="Q420">
            <v>2.5000000000000001E-2</v>
          </cell>
          <cell r="R420">
            <v>2.5000000000000001E-2</v>
          </cell>
          <cell r="S420">
            <v>2.5000000000000001E-2</v>
          </cell>
          <cell r="T420">
            <v>2.5000000000000001E-2</v>
          </cell>
          <cell r="U420">
            <v>2.5000000000000001E-2</v>
          </cell>
          <cell r="V420">
            <v>2.5000000000000001E-2</v>
          </cell>
          <cell r="W420">
            <v>2.5000000000000001E-2</v>
          </cell>
          <cell r="X420">
            <v>2.5000000000000001E-2</v>
          </cell>
          <cell r="Y420">
            <v>2.5000000000000001E-2</v>
          </cell>
          <cell r="Z420">
            <v>2.5000000000000001E-2</v>
          </cell>
          <cell r="AA420">
            <v>2.5000000000000001E-2</v>
          </cell>
          <cell r="AB420">
            <v>2.5000000000000001E-2</v>
          </cell>
          <cell r="AC420">
            <v>2.5000000000000001E-2</v>
          </cell>
          <cell r="AD420">
            <v>2.5000000000000001E-2</v>
          </cell>
          <cell r="AE420">
            <v>2.5000000000000001E-2</v>
          </cell>
          <cell r="AF420">
            <v>2.5000000000000001E-2</v>
          </cell>
          <cell r="AG420">
            <v>2.5000000000000001E-2</v>
          </cell>
          <cell r="AH420">
            <v>2.5000000000000001E-2</v>
          </cell>
          <cell r="AI420">
            <v>2.5000000000000001E-2</v>
          </cell>
          <cell r="AJ420">
            <v>2.5000000000000001E-2</v>
          </cell>
          <cell r="AK420">
            <v>2.5000000000000001E-2</v>
          </cell>
        </row>
        <row r="421">
          <cell r="F421">
            <v>0.04</v>
          </cell>
          <cell r="G421">
            <v>0.04</v>
          </cell>
          <cell r="H421">
            <v>0.04</v>
          </cell>
          <cell r="I421">
            <v>0.04</v>
          </cell>
          <cell r="J421">
            <v>0.04</v>
          </cell>
          <cell r="K421">
            <v>0.04</v>
          </cell>
          <cell r="L421">
            <v>0.04</v>
          </cell>
          <cell r="M421">
            <v>0.04</v>
          </cell>
          <cell r="N421">
            <v>0.04</v>
          </cell>
          <cell r="O421">
            <v>0.04</v>
          </cell>
          <cell r="P421">
            <v>0.04</v>
          </cell>
          <cell r="Q421">
            <v>0.04</v>
          </cell>
          <cell r="R421">
            <v>0.04</v>
          </cell>
          <cell r="S421">
            <v>0.04</v>
          </cell>
          <cell r="T421">
            <v>0.04</v>
          </cell>
          <cell r="U421">
            <v>0.04</v>
          </cell>
          <cell r="V421">
            <v>0.04</v>
          </cell>
          <cell r="W421">
            <v>0.04</v>
          </cell>
          <cell r="X421">
            <v>0.04</v>
          </cell>
          <cell r="Y421">
            <v>0.04</v>
          </cell>
          <cell r="Z421">
            <v>0.04</v>
          </cell>
          <cell r="AA421">
            <v>0.04</v>
          </cell>
          <cell r="AB421">
            <v>0.04</v>
          </cell>
          <cell r="AC421">
            <v>0.04</v>
          </cell>
          <cell r="AD421">
            <v>0.04</v>
          </cell>
          <cell r="AE421">
            <v>0.04</v>
          </cell>
          <cell r="AF421">
            <v>0.04</v>
          </cell>
          <cell r="AG421">
            <v>0.04</v>
          </cell>
          <cell r="AH421">
            <v>0.04</v>
          </cell>
          <cell r="AI421">
            <v>0.04</v>
          </cell>
          <cell r="AJ421">
            <v>0.04</v>
          </cell>
          <cell r="AK421">
            <v>0.04</v>
          </cell>
        </row>
        <row r="422">
          <cell r="F422">
            <v>0.04</v>
          </cell>
          <cell r="G422">
            <v>0.04</v>
          </cell>
          <cell r="H422">
            <v>0.04</v>
          </cell>
          <cell r="I422">
            <v>0.04</v>
          </cell>
          <cell r="J422">
            <v>0.04</v>
          </cell>
          <cell r="K422">
            <v>0.04</v>
          </cell>
          <cell r="L422">
            <v>0.04</v>
          </cell>
          <cell r="M422">
            <v>0.04</v>
          </cell>
          <cell r="N422">
            <v>0.04</v>
          </cell>
          <cell r="O422">
            <v>0.04</v>
          </cell>
          <cell r="P422">
            <v>0.04</v>
          </cell>
          <cell r="Q422">
            <v>0.04</v>
          </cell>
          <cell r="R422">
            <v>0.04</v>
          </cell>
          <cell r="S422">
            <v>0.04</v>
          </cell>
          <cell r="T422">
            <v>0.04</v>
          </cell>
          <cell r="U422">
            <v>0.04</v>
          </cell>
          <cell r="V422">
            <v>0.04</v>
          </cell>
          <cell r="W422">
            <v>0.04</v>
          </cell>
          <cell r="X422">
            <v>0.04</v>
          </cell>
          <cell r="Y422">
            <v>0.04</v>
          </cell>
          <cell r="Z422">
            <v>0.04</v>
          </cell>
          <cell r="AA422">
            <v>0.04</v>
          </cell>
          <cell r="AB422">
            <v>0.04</v>
          </cell>
          <cell r="AC422">
            <v>0.04</v>
          </cell>
          <cell r="AD422">
            <v>0.04</v>
          </cell>
          <cell r="AE422">
            <v>0.04</v>
          </cell>
          <cell r="AF422">
            <v>0.04</v>
          </cell>
          <cell r="AG422">
            <v>0.04</v>
          </cell>
          <cell r="AH422">
            <v>0.04</v>
          </cell>
          <cell r="AI422">
            <v>0.04</v>
          </cell>
          <cell r="AJ422">
            <v>0.04</v>
          </cell>
          <cell r="AK422">
            <v>0.04</v>
          </cell>
        </row>
        <row r="423">
          <cell r="F423">
            <v>0.04</v>
          </cell>
          <cell r="G423">
            <v>0.04</v>
          </cell>
          <cell r="H423">
            <v>0.04</v>
          </cell>
          <cell r="I423">
            <v>0.04</v>
          </cell>
          <cell r="J423">
            <v>0.04</v>
          </cell>
          <cell r="K423">
            <v>0.04</v>
          </cell>
          <cell r="L423">
            <v>0.04</v>
          </cell>
          <cell r="M423">
            <v>0.04</v>
          </cell>
          <cell r="N423">
            <v>0.04</v>
          </cell>
          <cell r="O423">
            <v>0.04</v>
          </cell>
          <cell r="P423">
            <v>0.04</v>
          </cell>
          <cell r="Q423">
            <v>0.04</v>
          </cell>
          <cell r="R423">
            <v>0.04</v>
          </cell>
          <cell r="S423">
            <v>0.04</v>
          </cell>
          <cell r="T423">
            <v>0.04</v>
          </cell>
          <cell r="U423">
            <v>0.04</v>
          </cell>
          <cell r="V423">
            <v>0.04</v>
          </cell>
          <cell r="W423">
            <v>0.04</v>
          </cell>
          <cell r="X423">
            <v>0.04</v>
          </cell>
          <cell r="Y423">
            <v>0.04</v>
          </cell>
          <cell r="Z423">
            <v>0.04</v>
          </cell>
          <cell r="AA423">
            <v>0.04</v>
          </cell>
          <cell r="AB423">
            <v>0.04</v>
          </cell>
          <cell r="AC423">
            <v>0.04</v>
          </cell>
          <cell r="AD423">
            <v>0.04</v>
          </cell>
          <cell r="AE423">
            <v>0.04</v>
          </cell>
          <cell r="AF423">
            <v>0.04</v>
          </cell>
          <cell r="AG423">
            <v>0.04</v>
          </cell>
          <cell r="AH423">
            <v>0.04</v>
          </cell>
          <cell r="AI423">
            <v>0.04</v>
          </cell>
          <cell r="AJ423">
            <v>0.04</v>
          </cell>
          <cell r="AK423">
            <v>0.04</v>
          </cell>
        </row>
        <row r="424">
          <cell r="F424">
            <v>1.4634146341463428E-2</v>
          </cell>
          <cell r="G424">
            <v>1.4634146341463428E-2</v>
          </cell>
          <cell r="H424">
            <v>1.4634146341463428E-2</v>
          </cell>
          <cell r="I424">
            <v>1.4634146341463428E-2</v>
          </cell>
          <cell r="J424">
            <v>1.4634146341463428E-2</v>
          </cell>
          <cell r="K424">
            <v>1.4634146341463428E-2</v>
          </cell>
          <cell r="L424">
            <v>1.4634146341463428E-2</v>
          </cell>
          <cell r="M424">
            <v>1.4634146341463428E-2</v>
          </cell>
          <cell r="N424">
            <v>1.4634146341463428E-2</v>
          </cell>
          <cell r="O424">
            <v>1.4634146341463428E-2</v>
          </cell>
          <cell r="P424">
            <v>1.4634146341463428E-2</v>
          </cell>
          <cell r="Q424">
            <v>1.4634146341463428E-2</v>
          </cell>
          <cell r="R424">
            <v>1.4634146341463428E-2</v>
          </cell>
          <cell r="S424">
            <v>1.4634146341463428E-2</v>
          </cell>
          <cell r="T424">
            <v>1.4634146341463428E-2</v>
          </cell>
          <cell r="U424">
            <v>1.4634146341463428E-2</v>
          </cell>
          <cell r="V424">
            <v>1.4634146341463428E-2</v>
          </cell>
          <cell r="W424">
            <v>1.4634146341463428E-2</v>
          </cell>
          <cell r="X424">
            <v>1.4634146341463428E-2</v>
          </cell>
          <cell r="Y424">
            <v>1.4634146341463428E-2</v>
          </cell>
          <cell r="Z424">
            <v>1.4634146341463428E-2</v>
          </cell>
          <cell r="AA424">
            <v>1.4634146341463428E-2</v>
          </cell>
          <cell r="AB424">
            <v>1.4634146341463428E-2</v>
          </cell>
          <cell r="AC424">
            <v>1.4634146341463428E-2</v>
          </cell>
          <cell r="AD424">
            <v>1.4634146341463428E-2</v>
          </cell>
          <cell r="AE424">
            <v>1.4634146341463428E-2</v>
          </cell>
          <cell r="AF424">
            <v>1.4634146341463428E-2</v>
          </cell>
          <cell r="AG424">
            <v>1.4634146341463428E-2</v>
          </cell>
          <cell r="AH424">
            <v>1.4634146341463428E-2</v>
          </cell>
          <cell r="AI424">
            <v>1.4634146341463428E-2</v>
          </cell>
          <cell r="AJ424">
            <v>1.4634146341463428E-2</v>
          </cell>
          <cell r="AK424">
            <v>1.4634146341463428E-2</v>
          </cell>
        </row>
        <row r="425">
          <cell r="F425">
            <v>1.4634146341463428E-2</v>
          </cell>
          <cell r="G425">
            <v>1.4634146341463428E-2</v>
          </cell>
          <cell r="H425">
            <v>1.4634146341463428E-2</v>
          </cell>
          <cell r="I425">
            <v>1.4634146341463428E-2</v>
          </cell>
          <cell r="J425">
            <v>1.4634146341463428E-2</v>
          </cell>
          <cell r="K425">
            <v>1.4634146341463428E-2</v>
          </cell>
          <cell r="L425">
            <v>1.4634146341463428E-2</v>
          </cell>
          <cell r="M425">
            <v>1.4634146341463428E-2</v>
          </cell>
          <cell r="N425">
            <v>1.4634146341463428E-2</v>
          </cell>
          <cell r="O425">
            <v>1.4634146341463428E-2</v>
          </cell>
          <cell r="P425">
            <v>1.4634146341463428E-2</v>
          </cell>
          <cell r="Q425">
            <v>1.4634146341463428E-2</v>
          </cell>
          <cell r="R425">
            <v>1.4634146341463428E-2</v>
          </cell>
          <cell r="S425">
            <v>1.4634146341463428E-2</v>
          </cell>
          <cell r="T425">
            <v>1.4634146341463428E-2</v>
          </cell>
          <cell r="U425">
            <v>1.4634146341463428E-2</v>
          </cell>
          <cell r="V425">
            <v>1.4634146341463428E-2</v>
          </cell>
          <cell r="W425">
            <v>1.4634146341463428E-2</v>
          </cell>
          <cell r="X425">
            <v>1.4634146341463428E-2</v>
          </cell>
          <cell r="Y425">
            <v>1.4634146341463428E-2</v>
          </cell>
          <cell r="Z425">
            <v>1.4634146341463428E-2</v>
          </cell>
          <cell r="AA425">
            <v>1.4634146341463428E-2</v>
          </cell>
          <cell r="AB425">
            <v>1.4634146341463428E-2</v>
          </cell>
          <cell r="AC425">
            <v>1.4634146341463428E-2</v>
          </cell>
          <cell r="AD425">
            <v>1.4634146341463428E-2</v>
          </cell>
          <cell r="AE425">
            <v>1.4634146341463428E-2</v>
          </cell>
          <cell r="AF425">
            <v>1.4634146341463428E-2</v>
          </cell>
          <cell r="AG425">
            <v>1.4634146341463428E-2</v>
          </cell>
          <cell r="AH425">
            <v>1.4634146341463428E-2</v>
          </cell>
          <cell r="AI425">
            <v>1.4634146341463428E-2</v>
          </cell>
          <cell r="AJ425">
            <v>1.4634146341463428E-2</v>
          </cell>
          <cell r="AK425">
            <v>1.4634146341463428E-2</v>
          </cell>
        </row>
        <row r="426">
          <cell r="F426">
            <v>1.4634146341463428E-2</v>
          </cell>
          <cell r="G426">
            <v>1.4634146341463428E-2</v>
          </cell>
          <cell r="H426">
            <v>1.4634146341463428E-2</v>
          </cell>
          <cell r="I426">
            <v>1.4634146341463428E-2</v>
          </cell>
          <cell r="J426">
            <v>1.4634146341463428E-2</v>
          </cell>
          <cell r="K426">
            <v>1.4634146341463428E-2</v>
          </cell>
          <cell r="L426">
            <v>1.4634146341463428E-2</v>
          </cell>
          <cell r="M426">
            <v>1.4634146341463428E-2</v>
          </cell>
          <cell r="N426">
            <v>1.4634146341463428E-2</v>
          </cell>
          <cell r="O426">
            <v>1.4634146341463428E-2</v>
          </cell>
          <cell r="P426">
            <v>1.4634146341463428E-2</v>
          </cell>
          <cell r="Q426">
            <v>1.4634146341463428E-2</v>
          </cell>
          <cell r="R426">
            <v>1.4634146341463428E-2</v>
          </cell>
          <cell r="S426">
            <v>1.4634146341463428E-2</v>
          </cell>
          <cell r="T426">
            <v>1.4634146341463428E-2</v>
          </cell>
          <cell r="U426">
            <v>1.4634146341463428E-2</v>
          </cell>
          <cell r="V426">
            <v>1.4634146341463428E-2</v>
          </cell>
          <cell r="W426">
            <v>1.4634146341463428E-2</v>
          </cell>
          <cell r="X426">
            <v>1.4634146341463428E-2</v>
          </cell>
          <cell r="Y426">
            <v>1.4634146341463428E-2</v>
          </cell>
          <cell r="Z426">
            <v>1.4634146341463428E-2</v>
          </cell>
          <cell r="AA426">
            <v>1.4634146341463428E-2</v>
          </cell>
          <cell r="AB426">
            <v>1.4634146341463428E-2</v>
          </cell>
          <cell r="AC426">
            <v>1.4634146341463428E-2</v>
          </cell>
          <cell r="AD426">
            <v>1.4634146341463428E-2</v>
          </cell>
          <cell r="AE426">
            <v>1.4634146341463428E-2</v>
          </cell>
          <cell r="AF426">
            <v>1.4634146341463428E-2</v>
          </cell>
          <cell r="AG426">
            <v>1.4634146341463428E-2</v>
          </cell>
          <cell r="AH426">
            <v>1.4634146341463428E-2</v>
          </cell>
          <cell r="AI426">
            <v>1.4634146341463428E-2</v>
          </cell>
          <cell r="AJ426">
            <v>1.4634146341463428E-2</v>
          </cell>
          <cell r="AK426">
            <v>1.4634146341463428E-2</v>
          </cell>
        </row>
        <row r="427">
          <cell r="F427">
            <v>3.5000000000000003E-2</v>
          </cell>
          <cell r="G427">
            <v>3.5000000000000003E-2</v>
          </cell>
          <cell r="H427">
            <v>3.5000000000000003E-2</v>
          </cell>
          <cell r="I427">
            <v>3.5000000000000003E-2</v>
          </cell>
          <cell r="J427">
            <v>3.5000000000000003E-2</v>
          </cell>
          <cell r="K427">
            <v>3.5000000000000003E-2</v>
          </cell>
          <cell r="L427">
            <v>3.5000000000000003E-2</v>
          </cell>
          <cell r="M427">
            <v>3.5000000000000003E-2</v>
          </cell>
          <cell r="N427">
            <v>3.5000000000000003E-2</v>
          </cell>
          <cell r="O427">
            <v>3.5000000000000003E-2</v>
          </cell>
          <cell r="P427">
            <v>3.5000000000000003E-2</v>
          </cell>
          <cell r="Q427">
            <v>3.5000000000000003E-2</v>
          </cell>
          <cell r="R427">
            <v>3.5000000000000003E-2</v>
          </cell>
          <cell r="S427">
            <v>3.5000000000000003E-2</v>
          </cell>
          <cell r="T427">
            <v>3.5000000000000003E-2</v>
          </cell>
          <cell r="U427">
            <v>3.5000000000000003E-2</v>
          </cell>
          <cell r="V427">
            <v>3.5000000000000003E-2</v>
          </cell>
          <cell r="W427">
            <v>3.5000000000000003E-2</v>
          </cell>
          <cell r="X427">
            <v>3.5000000000000003E-2</v>
          </cell>
          <cell r="Y427">
            <v>3.5000000000000003E-2</v>
          </cell>
          <cell r="Z427">
            <v>3.5000000000000003E-2</v>
          </cell>
          <cell r="AA427">
            <v>3.5000000000000003E-2</v>
          </cell>
          <cell r="AB427">
            <v>3.5000000000000003E-2</v>
          </cell>
          <cell r="AC427">
            <v>3.5000000000000003E-2</v>
          </cell>
          <cell r="AD427">
            <v>3.5000000000000003E-2</v>
          </cell>
          <cell r="AE427">
            <v>3.5000000000000003E-2</v>
          </cell>
          <cell r="AF427">
            <v>3.5000000000000003E-2</v>
          </cell>
          <cell r="AG427">
            <v>3.5000000000000003E-2</v>
          </cell>
          <cell r="AH427">
            <v>3.5000000000000003E-2</v>
          </cell>
          <cell r="AI427">
            <v>3.5000000000000003E-2</v>
          </cell>
          <cell r="AJ427">
            <v>3.5000000000000003E-2</v>
          </cell>
          <cell r="AK427">
            <v>3.5000000000000003E-2</v>
          </cell>
        </row>
        <row r="428">
          <cell r="F428">
            <v>8.7999999999999995E-2</v>
          </cell>
          <cell r="G428">
            <v>8.7999999999999995E-2</v>
          </cell>
          <cell r="H428">
            <v>8.7999999999999995E-2</v>
          </cell>
          <cell r="I428">
            <v>8.7999999999999995E-2</v>
          </cell>
          <cell r="J428">
            <v>8.7999999999999995E-2</v>
          </cell>
          <cell r="K428">
            <v>8.7999999999999995E-2</v>
          </cell>
          <cell r="L428">
            <v>8.7999999999999995E-2</v>
          </cell>
          <cell r="M428">
            <v>8.7999999999999995E-2</v>
          </cell>
          <cell r="N428">
            <v>8.7999999999999995E-2</v>
          </cell>
          <cell r="O428">
            <v>8.7999999999999995E-2</v>
          </cell>
          <cell r="P428">
            <v>8.7999999999999995E-2</v>
          </cell>
          <cell r="Q428">
            <v>8.7999999999999995E-2</v>
          </cell>
          <cell r="R428">
            <v>8.7999999999999995E-2</v>
          </cell>
          <cell r="S428">
            <v>8.7999999999999995E-2</v>
          </cell>
          <cell r="T428">
            <v>8.7999999999999995E-2</v>
          </cell>
          <cell r="U428">
            <v>8.7999999999999995E-2</v>
          </cell>
          <cell r="V428">
            <v>8.7999999999999995E-2</v>
          </cell>
          <cell r="W428">
            <v>8.7999999999999995E-2</v>
          </cell>
          <cell r="X428">
            <v>8.7999999999999995E-2</v>
          </cell>
          <cell r="Y428">
            <v>8.7999999999999995E-2</v>
          </cell>
          <cell r="Z428">
            <v>8.7999999999999995E-2</v>
          </cell>
          <cell r="AA428">
            <v>8.7999999999999995E-2</v>
          </cell>
          <cell r="AB428">
            <v>8.7999999999999995E-2</v>
          </cell>
          <cell r="AC428">
            <v>8.7999999999999995E-2</v>
          </cell>
          <cell r="AD428">
            <v>8.7999999999999995E-2</v>
          </cell>
          <cell r="AE428">
            <v>8.7999999999999995E-2</v>
          </cell>
          <cell r="AF428">
            <v>8.7999999999999995E-2</v>
          </cell>
          <cell r="AG428">
            <v>8.7999999999999995E-2</v>
          </cell>
          <cell r="AH428">
            <v>8.7999999999999995E-2</v>
          </cell>
          <cell r="AI428">
            <v>8.7999999999999995E-2</v>
          </cell>
          <cell r="AJ428">
            <v>8.7999999999999995E-2</v>
          </cell>
          <cell r="AK428">
            <v>8.7999999999999995E-2</v>
          </cell>
        </row>
        <row r="429">
          <cell r="F429">
            <v>8.7999999999999995E-2</v>
          </cell>
          <cell r="G429">
            <v>8.7999999999999995E-2</v>
          </cell>
          <cell r="H429">
            <v>8.7999999999999995E-2</v>
          </cell>
          <cell r="I429">
            <v>8.7999999999999995E-2</v>
          </cell>
          <cell r="J429">
            <v>8.7999999999999995E-2</v>
          </cell>
          <cell r="K429">
            <v>8.7999999999999995E-2</v>
          </cell>
          <cell r="L429">
            <v>8.7999999999999995E-2</v>
          </cell>
          <cell r="M429">
            <v>8.7999999999999995E-2</v>
          </cell>
          <cell r="N429">
            <v>8.7999999999999995E-2</v>
          </cell>
          <cell r="O429">
            <v>8.7999999999999995E-2</v>
          </cell>
          <cell r="P429">
            <v>8.7999999999999995E-2</v>
          </cell>
          <cell r="Q429">
            <v>8.7999999999999995E-2</v>
          </cell>
          <cell r="R429">
            <v>8.7999999999999995E-2</v>
          </cell>
          <cell r="S429">
            <v>8.7999999999999995E-2</v>
          </cell>
          <cell r="T429">
            <v>8.7999999999999995E-2</v>
          </cell>
          <cell r="U429">
            <v>8.7999999999999995E-2</v>
          </cell>
          <cell r="V429">
            <v>8.7999999999999995E-2</v>
          </cell>
          <cell r="W429">
            <v>8.7999999999999995E-2</v>
          </cell>
          <cell r="X429">
            <v>8.7999999999999995E-2</v>
          </cell>
          <cell r="Y429">
            <v>8.7999999999999995E-2</v>
          </cell>
          <cell r="Z429">
            <v>8.7999999999999995E-2</v>
          </cell>
          <cell r="AA429">
            <v>8.7999999999999995E-2</v>
          </cell>
          <cell r="AB429">
            <v>8.7999999999999995E-2</v>
          </cell>
          <cell r="AC429">
            <v>8.7999999999999995E-2</v>
          </cell>
          <cell r="AD429">
            <v>8.7999999999999995E-2</v>
          </cell>
          <cell r="AE429">
            <v>8.7999999999999995E-2</v>
          </cell>
          <cell r="AF429">
            <v>8.7999999999999995E-2</v>
          </cell>
          <cell r="AG429">
            <v>8.7999999999999995E-2</v>
          </cell>
          <cell r="AH429">
            <v>8.7999999999999995E-2</v>
          </cell>
          <cell r="AI429">
            <v>8.7999999999999995E-2</v>
          </cell>
          <cell r="AJ429">
            <v>8.7999999999999995E-2</v>
          </cell>
          <cell r="AK429">
            <v>8.7999999999999995E-2</v>
          </cell>
        </row>
        <row r="430">
          <cell r="F430">
            <v>8.7999999999999995E-2</v>
          </cell>
          <cell r="G430">
            <v>8.7999999999999995E-2</v>
          </cell>
          <cell r="H430">
            <v>8.7999999999999995E-2</v>
          </cell>
          <cell r="I430">
            <v>8.7999999999999995E-2</v>
          </cell>
          <cell r="J430">
            <v>8.7999999999999995E-2</v>
          </cell>
          <cell r="K430">
            <v>8.7999999999999995E-2</v>
          </cell>
          <cell r="L430">
            <v>8.7999999999999995E-2</v>
          </cell>
          <cell r="M430">
            <v>8.7999999999999995E-2</v>
          </cell>
          <cell r="N430">
            <v>8.7999999999999995E-2</v>
          </cell>
          <cell r="O430">
            <v>8.7999999999999995E-2</v>
          </cell>
          <cell r="P430">
            <v>8.7999999999999995E-2</v>
          </cell>
          <cell r="Q430">
            <v>8.7999999999999995E-2</v>
          </cell>
          <cell r="R430">
            <v>8.7999999999999995E-2</v>
          </cell>
          <cell r="S430">
            <v>8.7999999999999995E-2</v>
          </cell>
          <cell r="T430">
            <v>8.7999999999999995E-2</v>
          </cell>
          <cell r="U430">
            <v>8.7999999999999995E-2</v>
          </cell>
          <cell r="V430">
            <v>8.7999999999999995E-2</v>
          </cell>
          <cell r="W430">
            <v>8.7999999999999995E-2</v>
          </cell>
          <cell r="X430">
            <v>8.7999999999999995E-2</v>
          </cell>
          <cell r="Y430">
            <v>8.7999999999999995E-2</v>
          </cell>
          <cell r="Z430">
            <v>8.7999999999999995E-2</v>
          </cell>
          <cell r="AA430">
            <v>8.7999999999999995E-2</v>
          </cell>
          <cell r="AB430">
            <v>8.7999999999999995E-2</v>
          </cell>
          <cell r="AC430">
            <v>8.7999999999999995E-2</v>
          </cell>
          <cell r="AD430">
            <v>8.7999999999999995E-2</v>
          </cell>
          <cell r="AE430">
            <v>8.7999999999999995E-2</v>
          </cell>
          <cell r="AF430">
            <v>8.7999999999999995E-2</v>
          </cell>
          <cell r="AG430">
            <v>8.7999999999999995E-2</v>
          </cell>
          <cell r="AH430">
            <v>8.7999999999999995E-2</v>
          </cell>
          <cell r="AI430">
            <v>8.7999999999999995E-2</v>
          </cell>
          <cell r="AJ430">
            <v>8.7999999999999995E-2</v>
          </cell>
          <cell r="AK430">
            <v>8.7999999999999995E-2</v>
          </cell>
        </row>
        <row r="431">
          <cell r="F431">
            <v>6.1463414634146618E-2</v>
          </cell>
          <cell r="G431">
            <v>6.1463414634146618E-2</v>
          </cell>
          <cell r="H431">
            <v>6.1463414634146618E-2</v>
          </cell>
          <cell r="I431">
            <v>6.1463414634146618E-2</v>
          </cell>
          <cell r="J431">
            <v>6.1463414634146618E-2</v>
          </cell>
          <cell r="K431">
            <v>6.1463414634146618E-2</v>
          </cell>
          <cell r="L431">
            <v>6.1463414634146618E-2</v>
          </cell>
          <cell r="M431">
            <v>6.1463414634146618E-2</v>
          </cell>
          <cell r="N431">
            <v>6.1463414634146618E-2</v>
          </cell>
          <cell r="O431">
            <v>6.1463414634146618E-2</v>
          </cell>
          <cell r="P431">
            <v>6.1463414634146618E-2</v>
          </cell>
          <cell r="Q431">
            <v>6.1463414634146618E-2</v>
          </cell>
          <cell r="R431">
            <v>6.1463414634146618E-2</v>
          </cell>
          <cell r="S431">
            <v>6.1463414634146618E-2</v>
          </cell>
          <cell r="T431">
            <v>6.1463414634146618E-2</v>
          </cell>
          <cell r="U431">
            <v>6.1463414634146618E-2</v>
          </cell>
          <cell r="V431">
            <v>6.1463414634146618E-2</v>
          </cell>
          <cell r="W431">
            <v>6.1463414634146618E-2</v>
          </cell>
          <cell r="X431">
            <v>6.1463414634146618E-2</v>
          </cell>
          <cell r="Y431">
            <v>6.1463414634146618E-2</v>
          </cell>
          <cell r="Z431">
            <v>6.1463414634146618E-2</v>
          </cell>
          <cell r="AA431">
            <v>6.1463414634146618E-2</v>
          </cell>
          <cell r="AB431">
            <v>6.1463414634146618E-2</v>
          </cell>
          <cell r="AC431">
            <v>6.1463414634146618E-2</v>
          </cell>
          <cell r="AD431">
            <v>6.1463414634146618E-2</v>
          </cell>
          <cell r="AE431">
            <v>6.1463414634146618E-2</v>
          </cell>
          <cell r="AF431">
            <v>6.1463414634146618E-2</v>
          </cell>
          <cell r="AG431">
            <v>6.1463414634146618E-2</v>
          </cell>
          <cell r="AH431">
            <v>6.1463414634146618E-2</v>
          </cell>
          <cell r="AI431">
            <v>6.1463414634146618E-2</v>
          </cell>
          <cell r="AJ431">
            <v>6.1463414634146618E-2</v>
          </cell>
          <cell r="AK431">
            <v>6.1463414634146618E-2</v>
          </cell>
        </row>
        <row r="432">
          <cell r="F432">
            <v>6.1463414634146618E-2</v>
          </cell>
          <cell r="G432">
            <v>6.1463414634146618E-2</v>
          </cell>
          <cell r="H432">
            <v>6.1463414634146618E-2</v>
          </cell>
          <cell r="I432">
            <v>6.1463414634146618E-2</v>
          </cell>
          <cell r="J432">
            <v>6.1463414634146618E-2</v>
          </cell>
          <cell r="K432">
            <v>6.1463414634146618E-2</v>
          </cell>
          <cell r="L432">
            <v>6.1463414634146618E-2</v>
          </cell>
          <cell r="M432">
            <v>6.1463414634146618E-2</v>
          </cell>
          <cell r="N432">
            <v>6.1463414634146618E-2</v>
          </cell>
          <cell r="O432">
            <v>6.1463414634146618E-2</v>
          </cell>
          <cell r="P432">
            <v>6.1463414634146618E-2</v>
          </cell>
          <cell r="Q432">
            <v>6.1463414634146618E-2</v>
          </cell>
          <cell r="R432">
            <v>6.1463414634146618E-2</v>
          </cell>
          <cell r="S432">
            <v>6.1463414634146618E-2</v>
          </cell>
          <cell r="T432">
            <v>6.1463414634146618E-2</v>
          </cell>
          <cell r="U432">
            <v>6.1463414634146618E-2</v>
          </cell>
          <cell r="V432">
            <v>6.1463414634146618E-2</v>
          </cell>
          <cell r="W432">
            <v>6.1463414634146618E-2</v>
          </cell>
          <cell r="X432">
            <v>6.1463414634146618E-2</v>
          </cell>
          <cell r="Y432">
            <v>6.1463414634146618E-2</v>
          </cell>
          <cell r="Z432">
            <v>6.1463414634146618E-2</v>
          </cell>
          <cell r="AA432">
            <v>6.1463414634146618E-2</v>
          </cell>
          <cell r="AB432">
            <v>6.1463414634146618E-2</v>
          </cell>
          <cell r="AC432">
            <v>6.1463414634146618E-2</v>
          </cell>
          <cell r="AD432">
            <v>6.1463414634146618E-2</v>
          </cell>
          <cell r="AE432">
            <v>6.1463414634146618E-2</v>
          </cell>
          <cell r="AF432">
            <v>6.1463414634146618E-2</v>
          </cell>
          <cell r="AG432">
            <v>6.1463414634146618E-2</v>
          </cell>
          <cell r="AH432">
            <v>6.1463414634146618E-2</v>
          </cell>
          <cell r="AI432">
            <v>6.1463414634146618E-2</v>
          </cell>
          <cell r="AJ432">
            <v>6.1463414634146618E-2</v>
          </cell>
          <cell r="AK432">
            <v>6.1463414634146618E-2</v>
          </cell>
        </row>
        <row r="433">
          <cell r="F433">
            <v>6.1463414634146618E-2</v>
          </cell>
          <cell r="G433">
            <v>6.1463414634146618E-2</v>
          </cell>
          <cell r="H433">
            <v>6.1463414634146618E-2</v>
          </cell>
          <cell r="I433">
            <v>6.1463414634146618E-2</v>
          </cell>
          <cell r="J433">
            <v>6.1463414634146618E-2</v>
          </cell>
          <cell r="K433">
            <v>6.1463414634146618E-2</v>
          </cell>
          <cell r="L433">
            <v>6.1463414634146618E-2</v>
          </cell>
          <cell r="M433">
            <v>6.1463414634146618E-2</v>
          </cell>
          <cell r="N433">
            <v>6.1463414634146618E-2</v>
          </cell>
          <cell r="O433">
            <v>6.1463414634146618E-2</v>
          </cell>
          <cell r="P433">
            <v>6.1463414634146618E-2</v>
          </cell>
          <cell r="Q433">
            <v>6.1463414634146618E-2</v>
          </cell>
          <cell r="R433">
            <v>6.1463414634146618E-2</v>
          </cell>
          <cell r="S433">
            <v>6.1463414634146618E-2</v>
          </cell>
          <cell r="T433">
            <v>6.1463414634146618E-2</v>
          </cell>
          <cell r="U433">
            <v>6.1463414634146618E-2</v>
          </cell>
          <cell r="V433">
            <v>6.1463414634146618E-2</v>
          </cell>
          <cell r="W433">
            <v>6.1463414634146618E-2</v>
          </cell>
          <cell r="X433">
            <v>6.1463414634146618E-2</v>
          </cell>
          <cell r="Y433">
            <v>6.1463414634146618E-2</v>
          </cell>
          <cell r="Z433">
            <v>6.1463414634146618E-2</v>
          </cell>
          <cell r="AA433">
            <v>6.1463414634146618E-2</v>
          </cell>
          <cell r="AB433">
            <v>6.1463414634146618E-2</v>
          </cell>
          <cell r="AC433">
            <v>6.1463414634146618E-2</v>
          </cell>
          <cell r="AD433">
            <v>6.1463414634146618E-2</v>
          </cell>
          <cell r="AE433">
            <v>6.1463414634146618E-2</v>
          </cell>
          <cell r="AF433">
            <v>6.1463414634146618E-2</v>
          </cell>
          <cell r="AG433">
            <v>6.1463414634146618E-2</v>
          </cell>
          <cell r="AH433">
            <v>6.1463414634146618E-2</v>
          </cell>
          <cell r="AI433">
            <v>6.1463414634146618E-2</v>
          </cell>
          <cell r="AJ433">
            <v>6.1463414634146618E-2</v>
          </cell>
          <cell r="AK433">
            <v>6.1463414634146618E-2</v>
          </cell>
        </row>
        <row r="434">
          <cell r="F434">
            <v>0.75900000000000001</v>
          </cell>
          <cell r="G434">
            <v>0.75900000000000001</v>
          </cell>
          <cell r="H434">
            <v>0.75900000000000001</v>
          </cell>
          <cell r="I434">
            <v>0.75900000000000001</v>
          </cell>
          <cell r="J434">
            <v>0.75900000000000001</v>
          </cell>
          <cell r="K434">
            <v>0.75900000000000001</v>
          </cell>
          <cell r="L434">
            <v>0.75900000000000001</v>
          </cell>
          <cell r="M434">
            <v>0.75900000000000001</v>
          </cell>
          <cell r="N434">
            <v>0.75900000000000001</v>
          </cell>
          <cell r="O434">
            <v>0.75900000000000001</v>
          </cell>
          <cell r="P434">
            <v>0.75900000000000001</v>
          </cell>
          <cell r="Q434">
            <v>0.75900000000000001</v>
          </cell>
          <cell r="R434">
            <v>0.75900000000000001</v>
          </cell>
          <cell r="S434">
            <v>0.75900000000000001</v>
          </cell>
          <cell r="T434">
            <v>0.75900000000000001</v>
          </cell>
          <cell r="U434">
            <v>0.75900000000000001</v>
          </cell>
          <cell r="V434">
            <v>0.75900000000000001</v>
          </cell>
          <cell r="W434">
            <v>0.75900000000000001</v>
          </cell>
          <cell r="X434">
            <v>0.75900000000000001</v>
          </cell>
          <cell r="Y434">
            <v>0.75900000000000001</v>
          </cell>
          <cell r="Z434">
            <v>0.75900000000000001</v>
          </cell>
          <cell r="AA434">
            <v>0.75900000000000001</v>
          </cell>
          <cell r="AB434">
            <v>0.75900000000000001</v>
          </cell>
          <cell r="AC434">
            <v>0.75900000000000001</v>
          </cell>
          <cell r="AD434">
            <v>0.75900000000000001</v>
          </cell>
          <cell r="AE434">
            <v>0.75900000000000001</v>
          </cell>
          <cell r="AF434">
            <v>0.75900000000000001</v>
          </cell>
          <cell r="AG434">
            <v>0.75900000000000001</v>
          </cell>
          <cell r="AH434">
            <v>0.75900000000000001</v>
          </cell>
          <cell r="AI434">
            <v>0.75900000000000001</v>
          </cell>
          <cell r="AJ434">
            <v>0.75900000000000001</v>
          </cell>
          <cell r="AK434">
            <v>0.75900000000000001</v>
          </cell>
        </row>
        <row r="435">
          <cell r="F435">
            <v>0.75900000000000001</v>
          </cell>
          <cell r="G435">
            <v>0.75900000000000001</v>
          </cell>
          <cell r="H435">
            <v>0.75900000000000001</v>
          </cell>
          <cell r="I435">
            <v>0.75900000000000001</v>
          </cell>
          <cell r="J435">
            <v>0.75900000000000001</v>
          </cell>
          <cell r="K435">
            <v>0.75900000000000001</v>
          </cell>
          <cell r="L435">
            <v>0.75900000000000001</v>
          </cell>
          <cell r="M435">
            <v>0.75900000000000001</v>
          </cell>
          <cell r="N435">
            <v>0.75900000000000001</v>
          </cell>
          <cell r="O435">
            <v>0.75900000000000001</v>
          </cell>
          <cell r="P435">
            <v>0.75900000000000001</v>
          </cell>
          <cell r="Q435">
            <v>0.75900000000000001</v>
          </cell>
          <cell r="R435">
            <v>0.75900000000000001</v>
          </cell>
          <cell r="S435">
            <v>0.75900000000000001</v>
          </cell>
          <cell r="T435">
            <v>0.75900000000000001</v>
          </cell>
          <cell r="U435">
            <v>0.75900000000000001</v>
          </cell>
          <cell r="V435">
            <v>0.75900000000000001</v>
          </cell>
          <cell r="W435">
            <v>0.75900000000000001</v>
          </cell>
          <cell r="X435">
            <v>0.75900000000000001</v>
          </cell>
          <cell r="Y435">
            <v>0.75900000000000001</v>
          </cell>
          <cell r="Z435">
            <v>0.75900000000000001</v>
          </cell>
          <cell r="AA435">
            <v>0.75900000000000001</v>
          </cell>
          <cell r="AB435">
            <v>0.75900000000000001</v>
          </cell>
          <cell r="AC435">
            <v>0.75900000000000001</v>
          </cell>
          <cell r="AD435">
            <v>0.75900000000000001</v>
          </cell>
          <cell r="AE435">
            <v>0.75900000000000001</v>
          </cell>
          <cell r="AF435">
            <v>0.75900000000000001</v>
          </cell>
          <cell r="AG435">
            <v>0.75900000000000001</v>
          </cell>
          <cell r="AH435">
            <v>0.75900000000000001</v>
          </cell>
          <cell r="AI435">
            <v>0.75900000000000001</v>
          </cell>
          <cell r="AJ435">
            <v>0.75900000000000001</v>
          </cell>
          <cell r="AK435">
            <v>0.75900000000000001</v>
          </cell>
        </row>
        <row r="436">
          <cell r="F436">
            <v>0.75900000000000001</v>
          </cell>
          <cell r="G436">
            <v>0.75900000000000001</v>
          </cell>
          <cell r="H436">
            <v>0.75900000000000001</v>
          </cell>
          <cell r="I436">
            <v>0.75900000000000001</v>
          </cell>
          <cell r="J436">
            <v>0.75900000000000001</v>
          </cell>
          <cell r="K436">
            <v>0.75900000000000001</v>
          </cell>
          <cell r="L436">
            <v>0.75900000000000001</v>
          </cell>
          <cell r="M436">
            <v>0.75900000000000001</v>
          </cell>
          <cell r="N436">
            <v>0.75900000000000001</v>
          </cell>
          <cell r="O436">
            <v>0.75900000000000001</v>
          </cell>
          <cell r="P436">
            <v>0.75900000000000001</v>
          </cell>
          <cell r="Q436">
            <v>0.75900000000000001</v>
          </cell>
          <cell r="R436">
            <v>0.75900000000000001</v>
          </cell>
          <cell r="S436">
            <v>0.75900000000000001</v>
          </cell>
          <cell r="T436">
            <v>0.75900000000000001</v>
          </cell>
          <cell r="U436">
            <v>0.75900000000000001</v>
          </cell>
          <cell r="V436">
            <v>0.75900000000000001</v>
          </cell>
          <cell r="W436">
            <v>0.75900000000000001</v>
          </cell>
          <cell r="X436">
            <v>0.75900000000000001</v>
          </cell>
          <cell r="Y436">
            <v>0.75900000000000001</v>
          </cell>
          <cell r="Z436">
            <v>0.75900000000000001</v>
          </cell>
          <cell r="AA436">
            <v>0.75900000000000001</v>
          </cell>
          <cell r="AB436">
            <v>0.75900000000000001</v>
          </cell>
          <cell r="AC436">
            <v>0.75900000000000001</v>
          </cell>
          <cell r="AD436">
            <v>0.75900000000000001</v>
          </cell>
          <cell r="AE436">
            <v>0.75900000000000001</v>
          </cell>
          <cell r="AF436">
            <v>0.75900000000000001</v>
          </cell>
          <cell r="AG436">
            <v>0.75900000000000001</v>
          </cell>
          <cell r="AH436">
            <v>0.75900000000000001</v>
          </cell>
          <cell r="AI436">
            <v>0.75900000000000001</v>
          </cell>
          <cell r="AJ436">
            <v>0.75900000000000001</v>
          </cell>
          <cell r="AK436">
            <v>0.75900000000000001</v>
          </cell>
        </row>
        <row r="437">
          <cell r="F437">
            <v>0.25740000000000002</v>
          </cell>
          <cell r="G437">
            <v>0.25740000000000002</v>
          </cell>
          <cell r="H437">
            <v>0.25740000000000002</v>
          </cell>
          <cell r="I437">
            <v>0.25740000000000002</v>
          </cell>
          <cell r="J437">
            <v>0.25740000000000002</v>
          </cell>
          <cell r="K437">
            <v>0.25740000000000002</v>
          </cell>
          <cell r="L437">
            <v>0.25740000000000002</v>
          </cell>
          <cell r="M437">
            <v>0.25740000000000002</v>
          </cell>
          <cell r="N437">
            <v>0.25740000000000002</v>
          </cell>
          <cell r="O437">
            <v>0.25740000000000002</v>
          </cell>
          <cell r="P437">
            <v>0.25740000000000002</v>
          </cell>
          <cell r="Q437">
            <v>0.25740000000000002</v>
          </cell>
          <cell r="R437">
            <v>0.25740000000000002</v>
          </cell>
          <cell r="S437">
            <v>0.25740000000000002</v>
          </cell>
          <cell r="T437">
            <v>0.25740000000000002</v>
          </cell>
          <cell r="U437">
            <v>0.25740000000000002</v>
          </cell>
          <cell r="V437">
            <v>0.25740000000000002</v>
          </cell>
          <cell r="W437">
            <v>0.25740000000000002</v>
          </cell>
          <cell r="X437">
            <v>0.25740000000000002</v>
          </cell>
          <cell r="Y437">
            <v>0.25740000000000002</v>
          </cell>
          <cell r="Z437">
            <v>0.25740000000000002</v>
          </cell>
          <cell r="AA437">
            <v>0.25740000000000002</v>
          </cell>
          <cell r="AB437">
            <v>0.25740000000000002</v>
          </cell>
          <cell r="AC437">
            <v>0.25740000000000002</v>
          </cell>
          <cell r="AD437">
            <v>0.25740000000000002</v>
          </cell>
          <cell r="AE437">
            <v>0.25740000000000002</v>
          </cell>
          <cell r="AF437">
            <v>0.25740000000000002</v>
          </cell>
          <cell r="AG437">
            <v>0.25740000000000002</v>
          </cell>
          <cell r="AH437">
            <v>0.25740000000000002</v>
          </cell>
          <cell r="AI437">
            <v>0.25740000000000002</v>
          </cell>
          <cell r="AJ437">
            <v>0.25740000000000002</v>
          </cell>
          <cell r="AK437">
            <v>0.25740000000000002</v>
          </cell>
        </row>
        <row r="438">
          <cell r="F438">
            <v>4.3753335999999997E-2</v>
          </cell>
          <cell r="G438">
            <v>4.3753335999999997E-2</v>
          </cell>
          <cell r="H438">
            <v>4.3753335999999997E-2</v>
          </cell>
          <cell r="I438">
            <v>4.3753335999999997E-2</v>
          </cell>
          <cell r="J438">
            <v>4.3753335999999997E-2</v>
          </cell>
          <cell r="K438">
            <v>4.3753335999999997E-2</v>
          </cell>
          <cell r="L438">
            <v>4.3753335999999997E-2</v>
          </cell>
          <cell r="M438">
            <v>4.3753335999999997E-2</v>
          </cell>
          <cell r="N438">
            <v>4.3753335999999997E-2</v>
          </cell>
          <cell r="O438">
            <v>4.3753335999999997E-2</v>
          </cell>
          <cell r="P438">
            <v>4.3753335999999997E-2</v>
          </cell>
          <cell r="Q438">
            <v>4.3753335999999997E-2</v>
          </cell>
          <cell r="R438">
            <v>4.3753335999999997E-2</v>
          </cell>
          <cell r="S438">
            <v>4.3753335999999997E-2</v>
          </cell>
          <cell r="T438">
            <v>4.3753335999999997E-2</v>
          </cell>
          <cell r="U438">
            <v>4.3753335999999997E-2</v>
          </cell>
          <cell r="V438">
            <v>4.3753335999999997E-2</v>
          </cell>
          <cell r="W438">
            <v>4.3753335999999997E-2</v>
          </cell>
          <cell r="X438">
            <v>4.3753335999999997E-2</v>
          </cell>
          <cell r="Y438">
            <v>4.3753335999999997E-2</v>
          </cell>
          <cell r="Z438">
            <v>4.3753335999999997E-2</v>
          </cell>
          <cell r="AA438">
            <v>4.3753335999999997E-2</v>
          </cell>
          <cell r="AB438">
            <v>4.3753335999999997E-2</v>
          </cell>
          <cell r="AC438">
            <v>4.3753335999999997E-2</v>
          </cell>
          <cell r="AD438">
            <v>4.3753335999999997E-2</v>
          </cell>
          <cell r="AE438">
            <v>4.3753335999999997E-2</v>
          </cell>
          <cell r="AF438">
            <v>4.3753335999999997E-2</v>
          </cell>
          <cell r="AG438">
            <v>4.3753335999999997E-2</v>
          </cell>
          <cell r="AH438">
            <v>4.3753335999999997E-2</v>
          </cell>
          <cell r="AI438">
            <v>4.3753335999999997E-2</v>
          </cell>
          <cell r="AJ438">
            <v>4.3753335999999997E-2</v>
          </cell>
          <cell r="AK438">
            <v>4.3753335999999997E-2</v>
          </cell>
        </row>
        <row r="439">
          <cell r="F439">
            <v>4.3753335999999997E-2</v>
          </cell>
          <cell r="G439">
            <v>4.3753335999999997E-2</v>
          </cell>
          <cell r="H439">
            <v>4.3753335999999997E-2</v>
          </cell>
          <cell r="I439">
            <v>4.3753335999999997E-2</v>
          </cell>
          <cell r="J439">
            <v>4.3753335999999997E-2</v>
          </cell>
          <cell r="K439">
            <v>4.3753335999999997E-2</v>
          </cell>
          <cell r="L439">
            <v>4.3753335999999997E-2</v>
          </cell>
          <cell r="M439">
            <v>4.3753335999999997E-2</v>
          </cell>
          <cell r="N439">
            <v>4.3753335999999997E-2</v>
          </cell>
          <cell r="O439">
            <v>4.3753335999999997E-2</v>
          </cell>
          <cell r="P439">
            <v>4.3753335999999997E-2</v>
          </cell>
          <cell r="Q439">
            <v>4.3753335999999997E-2</v>
          </cell>
          <cell r="R439">
            <v>4.3753335999999997E-2</v>
          </cell>
          <cell r="S439">
            <v>4.3753335999999997E-2</v>
          </cell>
          <cell r="T439">
            <v>4.3753335999999997E-2</v>
          </cell>
          <cell r="U439">
            <v>4.3753335999999997E-2</v>
          </cell>
          <cell r="V439">
            <v>4.3753335999999997E-2</v>
          </cell>
          <cell r="W439">
            <v>4.3753335999999997E-2</v>
          </cell>
          <cell r="X439">
            <v>4.3753335999999997E-2</v>
          </cell>
          <cell r="Y439">
            <v>4.3753335999999997E-2</v>
          </cell>
          <cell r="Z439">
            <v>4.3753335999999997E-2</v>
          </cell>
          <cell r="AA439">
            <v>4.3753335999999997E-2</v>
          </cell>
          <cell r="AB439">
            <v>4.3753335999999997E-2</v>
          </cell>
          <cell r="AC439">
            <v>4.3753335999999997E-2</v>
          </cell>
          <cell r="AD439">
            <v>4.3753335999999997E-2</v>
          </cell>
          <cell r="AE439">
            <v>4.3753335999999997E-2</v>
          </cell>
          <cell r="AF439">
            <v>4.3753335999999997E-2</v>
          </cell>
          <cell r="AG439">
            <v>4.3753335999999997E-2</v>
          </cell>
          <cell r="AH439">
            <v>4.3753335999999997E-2</v>
          </cell>
          <cell r="AI439">
            <v>4.3753335999999997E-2</v>
          </cell>
          <cell r="AJ439">
            <v>4.3753335999999997E-2</v>
          </cell>
          <cell r="AK439">
            <v>4.3753335999999997E-2</v>
          </cell>
        </row>
        <row r="440">
          <cell r="F440">
            <v>4.3753335999999997E-2</v>
          </cell>
          <cell r="G440">
            <v>4.3753335999999997E-2</v>
          </cell>
          <cell r="H440">
            <v>4.3753335999999997E-2</v>
          </cell>
          <cell r="I440">
            <v>4.3753335999999997E-2</v>
          </cell>
          <cell r="J440">
            <v>4.3753335999999997E-2</v>
          </cell>
          <cell r="K440">
            <v>4.3753335999999997E-2</v>
          </cell>
          <cell r="L440">
            <v>4.3753335999999997E-2</v>
          </cell>
          <cell r="M440">
            <v>4.3753335999999997E-2</v>
          </cell>
          <cell r="N440">
            <v>4.3753335999999997E-2</v>
          </cell>
          <cell r="O440">
            <v>4.3753335999999997E-2</v>
          </cell>
          <cell r="P440">
            <v>4.3753335999999997E-2</v>
          </cell>
          <cell r="Q440">
            <v>4.3753335999999997E-2</v>
          </cell>
          <cell r="R440">
            <v>4.3753335999999997E-2</v>
          </cell>
          <cell r="S440">
            <v>4.3753335999999997E-2</v>
          </cell>
          <cell r="T440">
            <v>4.3753335999999997E-2</v>
          </cell>
          <cell r="U440">
            <v>4.3753335999999997E-2</v>
          </cell>
          <cell r="V440">
            <v>4.3753335999999997E-2</v>
          </cell>
          <cell r="W440">
            <v>4.3753335999999997E-2</v>
          </cell>
          <cell r="X440">
            <v>4.3753335999999997E-2</v>
          </cell>
          <cell r="Y440">
            <v>4.3753335999999997E-2</v>
          </cell>
          <cell r="Z440">
            <v>4.3753335999999997E-2</v>
          </cell>
          <cell r="AA440">
            <v>4.3753335999999997E-2</v>
          </cell>
          <cell r="AB440">
            <v>4.3753335999999997E-2</v>
          </cell>
          <cell r="AC440">
            <v>4.3753335999999997E-2</v>
          </cell>
          <cell r="AD440">
            <v>4.3753335999999997E-2</v>
          </cell>
          <cell r="AE440">
            <v>4.3753335999999997E-2</v>
          </cell>
          <cell r="AF440">
            <v>4.3753335999999997E-2</v>
          </cell>
          <cell r="AG440">
            <v>4.3753335999999997E-2</v>
          </cell>
          <cell r="AH440">
            <v>4.3753335999999997E-2</v>
          </cell>
          <cell r="AI440">
            <v>4.3753335999999997E-2</v>
          </cell>
          <cell r="AJ440">
            <v>4.3753335999999997E-2</v>
          </cell>
          <cell r="AK440">
            <v>4.3753335999999997E-2</v>
          </cell>
        </row>
        <row r="441">
          <cell r="F441">
            <v>1.8295937560975695E-2</v>
          </cell>
          <cell r="G441">
            <v>1.8295937560975695E-2</v>
          </cell>
          <cell r="H441">
            <v>1.8295937560975695E-2</v>
          </cell>
          <cell r="I441">
            <v>1.8295937560975695E-2</v>
          </cell>
          <cell r="J441">
            <v>1.8295937560975695E-2</v>
          </cell>
          <cell r="K441">
            <v>1.8295937560975695E-2</v>
          </cell>
          <cell r="L441">
            <v>1.8295937560975695E-2</v>
          </cell>
          <cell r="M441">
            <v>1.8295937560975695E-2</v>
          </cell>
          <cell r="N441">
            <v>1.8295937560975695E-2</v>
          </cell>
          <cell r="O441">
            <v>1.8295937560975695E-2</v>
          </cell>
          <cell r="P441">
            <v>1.8295937560975695E-2</v>
          </cell>
          <cell r="Q441">
            <v>1.8295937560975695E-2</v>
          </cell>
          <cell r="R441">
            <v>1.8295937560975695E-2</v>
          </cell>
          <cell r="S441">
            <v>1.8295937560975695E-2</v>
          </cell>
          <cell r="T441">
            <v>1.8295937560975695E-2</v>
          </cell>
          <cell r="U441">
            <v>1.8295937560975695E-2</v>
          </cell>
          <cell r="V441">
            <v>1.8295937560975695E-2</v>
          </cell>
          <cell r="W441">
            <v>1.8295937560975695E-2</v>
          </cell>
          <cell r="X441">
            <v>1.8295937560975695E-2</v>
          </cell>
          <cell r="Y441">
            <v>1.8295937560975695E-2</v>
          </cell>
          <cell r="Z441">
            <v>1.8295937560975695E-2</v>
          </cell>
          <cell r="AA441">
            <v>1.8295937560975695E-2</v>
          </cell>
          <cell r="AB441">
            <v>1.8295937560975695E-2</v>
          </cell>
          <cell r="AC441">
            <v>1.8295937560975695E-2</v>
          </cell>
          <cell r="AD441">
            <v>1.8295937560975695E-2</v>
          </cell>
          <cell r="AE441">
            <v>1.8295937560975695E-2</v>
          </cell>
          <cell r="AF441">
            <v>1.8295937560975695E-2</v>
          </cell>
          <cell r="AG441">
            <v>1.8295937560975695E-2</v>
          </cell>
          <cell r="AH441">
            <v>1.8295937560975695E-2</v>
          </cell>
          <cell r="AI441">
            <v>1.8295937560975695E-2</v>
          </cell>
          <cell r="AJ441">
            <v>1.8295937560975695E-2</v>
          </cell>
          <cell r="AK441">
            <v>1.8295937560975695E-2</v>
          </cell>
        </row>
        <row r="442">
          <cell r="F442">
            <v>1.8295937560975695E-2</v>
          </cell>
          <cell r="G442">
            <v>1.8295937560975695E-2</v>
          </cell>
          <cell r="H442">
            <v>1.8295937560975695E-2</v>
          </cell>
          <cell r="I442">
            <v>1.8295937560975695E-2</v>
          </cell>
          <cell r="J442">
            <v>1.8295937560975695E-2</v>
          </cell>
          <cell r="K442">
            <v>1.8295937560975695E-2</v>
          </cell>
          <cell r="L442">
            <v>1.8295937560975695E-2</v>
          </cell>
          <cell r="M442">
            <v>1.8295937560975695E-2</v>
          </cell>
          <cell r="N442">
            <v>1.8295937560975695E-2</v>
          </cell>
          <cell r="O442">
            <v>1.8295937560975695E-2</v>
          </cell>
          <cell r="P442">
            <v>1.8295937560975695E-2</v>
          </cell>
          <cell r="Q442">
            <v>1.8295937560975695E-2</v>
          </cell>
          <cell r="R442">
            <v>1.8295937560975695E-2</v>
          </cell>
          <cell r="S442">
            <v>1.8295937560975695E-2</v>
          </cell>
          <cell r="T442">
            <v>1.8295937560975695E-2</v>
          </cell>
          <cell r="U442">
            <v>1.8295937560975695E-2</v>
          </cell>
          <cell r="V442">
            <v>1.8295937560975695E-2</v>
          </cell>
          <cell r="W442">
            <v>1.8295937560975695E-2</v>
          </cell>
          <cell r="X442">
            <v>1.8295937560975695E-2</v>
          </cell>
          <cell r="Y442">
            <v>1.8295937560975695E-2</v>
          </cell>
          <cell r="Z442">
            <v>1.8295937560975695E-2</v>
          </cell>
          <cell r="AA442">
            <v>1.8295937560975695E-2</v>
          </cell>
          <cell r="AB442">
            <v>1.8295937560975695E-2</v>
          </cell>
          <cell r="AC442">
            <v>1.8295937560975695E-2</v>
          </cell>
          <cell r="AD442">
            <v>1.8295937560975695E-2</v>
          </cell>
          <cell r="AE442">
            <v>1.8295937560975695E-2</v>
          </cell>
          <cell r="AF442">
            <v>1.8295937560975695E-2</v>
          </cell>
          <cell r="AG442">
            <v>1.8295937560975695E-2</v>
          </cell>
          <cell r="AH442">
            <v>1.8295937560975695E-2</v>
          </cell>
          <cell r="AI442">
            <v>1.8295937560975695E-2</v>
          </cell>
          <cell r="AJ442">
            <v>1.8295937560975695E-2</v>
          </cell>
          <cell r="AK442">
            <v>1.8295937560975695E-2</v>
          </cell>
        </row>
        <row r="443">
          <cell r="F443">
            <v>1.8295937560975695E-2</v>
          </cell>
          <cell r="G443">
            <v>1.8295937560975695E-2</v>
          </cell>
          <cell r="H443">
            <v>1.8295937560975695E-2</v>
          </cell>
          <cell r="I443">
            <v>1.8295937560975695E-2</v>
          </cell>
          <cell r="J443">
            <v>1.8295937560975695E-2</v>
          </cell>
          <cell r="K443">
            <v>1.8295937560975695E-2</v>
          </cell>
          <cell r="L443">
            <v>1.8295937560975695E-2</v>
          </cell>
          <cell r="M443">
            <v>1.8295937560975695E-2</v>
          </cell>
          <cell r="N443">
            <v>1.8295937560975695E-2</v>
          </cell>
          <cell r="O443">
            <v>1.8295937560975695E-2</v>
          </cell>
          <cell r="P443">
            <v>1.8295937560975695E-2</v>
          </cell>
          <cell r="Q443">
            <v>1.8295937560975695E-2</v>
          </cell>
          <cell r="R443">
            <v>1.8295937560975695E-2</v>
          </cell>
          <cell r="S443">
            <v>1.8295937560975695E-2</v>
          </cell>
          <cell r="T443">
            <v>1.8295937560975695E-2</v>
          </cell>
          <cell r="U443">
            <v>1.8295937560975695E-2</v>
          </cell>
          <cell r="V443">
            <v>1.8295937560975695E-2</v>
          </cell>
          <cell r="W443">
            <v>1.8295937560975695E-2</v>
          </cell>
          <cell r="X443">
            <v>1.8295937560975695E-2</v>
          </cell>
          <cell r="Y443">
            <v>1.8295937560975695E-2</v>
          </cell>
          <cell r="Z443">
            <v>1.8295937560975695E-2</v>
          </cell>
          <cell r="AA443">
            <v>1.8295937560975695E-2</v>
          </cell>
          <cell r="AB443">
            <v>1.8295937560975695E-2</v>
          </cell>
          <cell r="AC443">
            <v>1.8295937560975695E-2</v>
          </cell>
          <cell r="AD443">
            <v>1.8295937560975695E-2</v>
          </cell>
          <cell r="AE443">
            <v>1.8295937560975695E-2</v>
          </cell>
          <cell r="AF443">
            <v>1.8295937560975695E-2</v>
          </cell>
          <cell r="AG443">
            <v>1.8295937560975695E-2</v>
          </cell>
          <cell r="AH443">
            <v>1.8295937560975695E-2</v>
          </cell>
          <cell r="AI443">
            <v>1.8295937560975695E-2</v>
          </cell>
          <cell r="AJ443">
            <v>1.8295937560975695E-2</v>
          </cell>
          <cell r="AK443">
            <v>1.8295937560975695E-2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face and Contents"/>
      <sheetName val="Financial Definitions"/>
      <sheetName val="Financial and CRP Inputs"/>
      <sheetName val="Offshore Wind"/>
      <sheetName val="Land-Based Wind"/>
      <sheetName val="Distributed Wind"/>
      <sheetName val="Solar - Utility PV"/>
      <sheetName val="Solar - PV Dist. Comm"/>
      <sheetName val="Solar - PV Dist. Res"/>
      <sheetName val="Solar - CSP"/>
      <sheetName val="Geothermal"/>
      <sheetName val="Hydropower"/>
      <sheetName val="Nuclear"/>
      <sheetName val="Biopower"/>
      <sheetName val="Utility-Scale PV-Plus-Battery"/>
      <sheetName val="Coal_FE"/>
      <sheetName val="Natural Gas_FE"/>
      <sheetName val="Utility-Scale Battery Storage"/>
      <sheetName val="Commercial Battery Storage"/>
      <sheetName val="Residential Battery Storage"/>
      <sheetName val="Pumped Storage Hydropower"/>
      <sheetName val="WACC Calc"/>
      <sheetName val="Tax Credits"/>
      <sheetName val="Summary"/>
      <sheetName val="Summary_CAPEX"/>
      <sheetName val="Summary_CF"/>
      <sheetName val="Summary_FCR"/>
      <sheetName val="Summary_LCOE"/>
      <sheetName val="Summary_FOM"/>
      <sheetName val="Summary_VOM"/>
      <sheetName val="Summary_Fuel"/>
      <sheetName val="LCOE Range"/>
      <sheetName val="PV OCC"/>
      <sheetName val="Program Goals"/>
    </sheetNames>
    <sheetDataSet>
      <sheetData sheetId="0"/>
      <sheetData sheetId="1"/>
      <sheetData sheetId="2">
        <row r="5">
          <cell r="B5" t="str">
            <v>Market</v>
          </cell>
          <cell r="E5">
            <v>30</v>
          </cell>
        </row>
        <row r="9">
          <cell r="I9">
            <v>30</v>
          </cell>
          <cell r="J9">
            <v>30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159">
          <cell r="F159">
            <v>2.5000000000000001E-2</v>
          </cell>
          <cell r="G159">
            <v>2.5000000000000001E-2</v>
          </cell>
          <cell r="H159">
            <v>2.5000000000000001E-2</v>
          </cell>
          <cell r="I159">
            <v>2.5000000000000001E-2</v>
          </cell>
          <cell r="J159">
            <v>2.5000000000000001E-2</v>
          </cell>
          <cell r="K159">
            <v>2.5000000000000001E-2</v>
          </cell>
          <cell r="L159">
            <v>2.5000000000000001E-2</v>
          </cell>
          <cell r="M159">
            <v>2.5000000000000001E-2</v>
          </cell>
          <cell r="N159">
            <v>2.5000000000000001E-2</v>
          </cell>
          <cell r="O159">
            <v>2.5000000000000001E-2</v>
          </cell>
          <cell r="P159">
            <v>2.5000000000000001E-2</v>
          </cell>
          <cell r="Q159">
            <v>2.5000000000000001E-2</v>
          </cell>
          <cell r="R159">
            <v>2.5000000000000001E-2</v>
          </cell>
          <cell r="S159">
            <v>2.5000000000000001E-2</v>
          </cell>
          <cell r="T159">
            <v>2.5000000000000001E-2</v>
          </cell>
          <cell r="U159">
            <v>2.5000000000000001E-2</v>
          </cell>
          <cell r="V159">
            <v>2.5000000000000001E-2</v>
          </cell>
          <cell r="W159">
            <v>2.5000000000000001E-2</v>
          </cell>
          <cell r="X159">
            <v>2.5000000000000001E-2</v>
          </cell>
          <cell r="Y159">
            <v>2.5000000000000001E-2</v>
          </cell>
          <cell r="Z159">
            <v>2.5000000000000001E-2</v>
          </cell>
          <cell r="AA159">
            <v>2.5000000000000001E-2</v>
          </cell>
          <cell r="AB159">
            <v>2.5000000000000001E-2</v>
          </cell>
          <cell r="AC159">
            <v>2.5000000000000001E-2</v>
          </cell>
          <cell r="AD159">
            <v>2.5000000000000001E-2</v>
          </cell>
          <cell r="AE159">
            <v>2.5000000000000001E-2</v>
          </cell>
          <cell r="AF159">
            <v>2.5000000000000001E-2</v>
          </cell>
          <cell r="AG159">
            <v>2.5000000000000001E-2</v>
          </cell>
          <cell r="AH159">
            <v>2.5000000000000001E-2</v>
          </cell>
          <cell r="AI159">
            <v>2.5000000000000001E-2</v>
          </cell>
          <cell r="AJ159">
            <v>2.5000000000000001E-2</v>
          </cell>
        </row>
        <row r="160">
          <cell r="F160">
            <v>0.04</v>
          </cell>
          <cell r="G160">
            <v>0.04</v>
          </cell>
          <cell r="H160">
            <v>0.04</v>
          </cell>
          <cell r="I160">
            <v>0.04</v>
          </cell>
          <cell r="J160">
            <v>0.04</v>
          </cell>
          <cell r="K160">
            <v>0.04</v>
          </cell>
          <cell r="L160">
            <v>4.2000000000000003E-2</v>
          </cell>
          <cell r="M160">
            <v>4.4000000000000004E-2</v>
          </cell>
          <cell r="N160">
            <v>4.6000000000000006E-2</v>
          </cell>
          <cell r="O160">
            <v>4.8000000000000008E-2</v>
          </cell>
          <cell r="P160">
            <v>0.05</v>
          </cell>
          <cell r="Q160">
            <v>0.05</v>
          </cell>
          <cell r="R160">
            <v>0.05</v>
          </cell>
          <cell r="S160">
            <v>0.05</v>
          </cell>
          <cell r="T160">
            <v>0.05</v>
          </cell>
          <cell r="U160">
            <v>0.05</v>
          </cell>
          <cell r="V160">
            <v>0.05</v>
          </cell>
          <cell r="W160">
            <v>0.05</v>
          </cell>
          <cell r="X160">
            <v>0.05</v>
          </cell>
          <cell r="Y160">
            <v>0.05</v>
          </cell>
          <cell r="Z160">
            <v>0.05</v>
          </cell>
          <cell r="AA160">
            <v>0.05</v>
          </cell>
          <cell r="AB160">
            <v>0.05</v>
          </cell>
          <cell r="AC160">
            <v>0.05</v>
          </cell>
          <cell r="AD160">
            <v>0.05</v>
          </cell>
          <cell r="AE160">
            <v>0.05</v>
          </cell>
          <cell r="AF160">
            <v>0.05</v>
          </cell>
          <cell r="AG160">
            <v>0.05</v>
          </cell>
          <cell r="AH160">
            <v>0.05</v>
          </cell>
          <cell r="AI160">
            <v>0.05</v>
          </cell>
          <cell r="AJ160">
            <v>0.05</v>
          </cell>
        </row>
        <row r="161">
          <cell r="F161">
            <v>0.04</v>
          </cell>
          <cell r="G161">
            <v>0.04</v>
          </cell>
          <cell r="H161">
            <v>0.04</v>
          </cell>
          <cell r="I161">
            <v>0.04</v>
          </cell>
          <cell r="J161">
            <v>0.04</v>
          </cell>
          <cell r="K161">
            <v>0.04</v>
          </cell>
          <cell r="L161">
            <v>4.2000000000000003E-2</v>
          </cell>
          <cell r="M161">
            <v>4.4000000000000004E-2</v>
          </cell>
          <cell r="N161">
            <v>4.6000000000000006E-2</v>
          </cell>
          <cell r="O161">
            <v>4.8000000000000008E-2</v>
          </cell>
          <cell r="P161">
            <v>0.05</v>
          </cell>
          <cell r="Q161">
            <v>0.05</v>
          </cell>
          <cell r="R161">
            <v>0.05</v>
          </cell>
          <cell r="S161">
            <v>0.05</v>
          </cell>
          <cell r="T161">
            <v>0.05</v>
          </cell>
          <cell r="U161">
            <v>0.05</v>
          </cell>
          <cell r="V161">
            <v>0.05</v>
          </cell>
          <cell r="W161">
            <v>0.05</v>
          </cell>
          <cell r="X161">
            <v>0.05</v>
          </cell>
          <cell r="Y161">
            <v>0.05</v>
          </cell>
          <cell r="Z161">
            <v>0.05</v>
          </cell>
          <cell r="AA161">
            <v>0.05</v>
          </cell>
          <cell r="AB161">
            <v>0.05</v>
          </cell>
          <cell r="AC161">
            <v>0.05</v>
          </cell>
          <cell r="AD161">
            <v>0.05</v>
          </cell>
          <cell r="AE161">
            <v>0.05</v>
          </cell>
          <cell r="AF161">
            <v>0.05</v>
          </cell>
          <cell r="AG161">
            <v>0.05</v>
          </cell>
          <cell r="AH161">
            <v>0.05</v>
          </cell>
          <cell r="AI161">
            <v>0.05</v>
          </cell>
          <cell r="AJ161">
            <v>0.05</v>
          </cell>
        </row>
        <row r="162">
          <cell r="F162">
            <v>0.04</v>
          </cell>
          <cell r="G162">
            <v>0.04</v>
          </cell>
          <cell r="H162">
            <v>0.04</v>
          </cell>
          <cell r="I162">
            <v>0.04</v>
          </cell>
          <cell r="J162">
            <v>0.04</v>
          </cell>
          <cell r="K162">
            <v>0.04</v>
          </cell>
          <cell r="L162">
            <v>4.2000000000000003E-2</v>
          </cell>
          <cell r="M162">
            <v>4.4000000000000004E-2</v>
          </cell>
          <cell r="N162">
            <v>4.6000000000000006E-2</v>
          </cell>
          <cell r="O162">
            <v>4.8000000000000008E-2</v>
          </cell>
          <cell r="P162">
            <v>0.05</v>
          </cell>
          <cell r="Q162">
            <v>0.05</v>
          </cell>
          <cell r="R162">
            <v>0.05</v>
          </cell>
          <cell r="S162">
            <v>0.05</v>
          </cell>
          <cell r="T162">
            <v>0.05</v>
          </cell>
          <cell r="U162">
            <v>0.05</v>
          </cell>
          <cell r="V162">
            <v>0.05</v>
          </cell>
          <cell r="W162">
            <v>0.05</v>
          </cell>
          <cell r="X162">
            <v>0.05</v>
          </cell>
          <cell r="Y162">
            <v>0.05</v>
          </cell>
          <cell r="Z162">
            <v>0.05</v>
          </cell>
          <cell r="AA162">
            <v>0.05</v>
          </cell>
          <cell r="AB162">
            <v>0.05</v>
          </cell>
          <cell r="AC162">
            <v>0.05</v>
          </cell>
          <cell r="AD162">
            <v>0.05</v>
          </cell>
          <cell r="AE162">
            <v>0.05</v>
          </cell>
          <cell r="AF162">
            <v>0.05</v>
          </cell>
          <cell r="AG162">
            <v>0.05</v>
          </cell>
          <cell r="AH162">
            <v>0.05</v>
          </cell>
          <cell r="AI162">
            <v>0.05</v>
          </cell>
          <cell r="AJ162">
            <v>0.05</v>
          </cell>
        </row>
        <row r="166">
          <cell r="F166">
            <v>3.5000000000000003E-2</v>
          </cell>
          <cell r="G166">
            <v>3.5000000000000003E-2</v>
          </cell>
          <cell r="H166">
            <v>3.5000000000000003E-2</v>
          </cell>
          <cell r="I166">
            <v>3.5000000000000003E-2</v>
          </cell>
          <cell r="J166">
            <v>3.5000000000000003E-2</v>
          </cell>
          <cell r="K166">
            <v>3.5000000000000003E-2</v>
          </cell>
          <cell r="L166">
            <v>3.7000000000000005E-2</v>
          </cell>
          <cell r="M166">
            <v>3.9000000000000007E-2</v>
          </cell>
          <cell r="N166">
            <v>4.1000000000000009E-2</v>
          </cell>
          <cell r="O166">
            <v>4.300000000000001E-2</v>
          </cell>
          <cell r="P166">
            <v>4.4999999999999998E-2</v>
          </cell>
          <cell r="Q166">
            <v>4.4999999999999998E-2</v>
          </cell>
          <cell r="R166">
            <v>4.4999999999999998E-2</v>
          </cell>
          <cell r="S166">
            <v>4.4999999999999998E-2</v>
          </cell>
          <cell r="T166">
            <v>4.4999999999999998E-2</v>
          </cell>
          <cell r="U166">
            <v>4.4999999999999998E-2</v>
          </cell>
          <cell r="V166">
            <v>4.4999999999999998E-2</v>
          </cell>
          <cell r="W166">
            <v>4.4999999999999998E-2</v>
          </cell>
          <cell r="X166">
            <v>4.4999999999999998E-2</v>
          </cell>
          <cell r="Y166">
            <v>4.4999999999999998E-2</v>
          </cell>
          <cell r="Z166">
            <v>4.4999999999999998E-2</v>
          </cell>
          <cell r="AA166">
            <v>4.4999999999999998E-2</v>
          </cell>
          <cell r="AB166">
            <v>4.4999999999999998E-2</v>
          </cell>
          <cell r="AC166">
            <v>4.4999999999999998E-2</v>
          </cell>
          <cell r="AD166">
            <v>4.4999999999999998E-2</v>
          </cell>
          <cell r="AE166">
            <v>4.4999999999999998E-2</v>
          </cell>
          <cell r="AF166">
            <v>4.4999999999999998E-2</v>
          </cell>
          <cell r="AG166">
            <v>4.4999999999999998E-2</v>
          </cell>
          <cell r="AH166">
            <v>4.4999999999999998E-2</v>
          </cell>
          <cell r="AI166">
            <v>4.4999999999999998E-2</v>
          </cell>
          <cell r="AJ166">
            <v>4.4999999999999998E-2</v>
          </cell>
        </row>
        <row r="167">
          <cell r="F167">
            <v>8.7499999999999994E-2</v>
          </cell>
          <cell r="G167">
            <v>8.7499999999999994E-2</v>
          </cell>
          <cell r="H167">
            <v>8.7499999999999994E-2</v>
          </cell>
          <cell r="I167">
            <v>8.7499999999999994E-2</v>
          </cell>
          <cell r="J167">
            <v>8.7499999999999994E-2</v>
          </cell>
          <cell r="K167">
            <v>8.7499999999999994E-2</v>
          </cell>
          <cell r="L167">
            <v>8.7499999999999994E-2</v>
          </cell>
          <cell r="M167">
            <v>8.7499999999999994E-2</v>
          </cell>
          <cell r="N167">
            <v>8.7499999999999994E-2</v>
          </cell>
          <cell r="O167">
            <v>8.7499999999999994E-2</v>
          </cell>
          <cell r="P167">
            <v>8.7499999999999994E-2</v>
          </cell>
          <cell r="Q167">
            <v>8.7499999999999994E-2</v>
          </cell>
          <cell r="R167">
            <v>8.7499999999999994E-2</v>
          </cell>
          <cell r="S167">
            <v>8.7499999999999994E-2</v>
          </cell>
          <cell r="T167">
            <v>8.7499999999999994E-2</v>
          </cell>
          <cell r="U167">
            <v>8.7499999999999994E-2</v>
          </cell>
          <cell r="V167">
            <v>8.7499999999999994E-2</v>
          </cell>
          <cell r="W167">
            <v>8.7499999999999994E-2</v>
          </cell>
          <cell r="X167">
            <v>8.7499999999999994E-2</v>
          </cell>
          <cell r="Y167">
            <v>8.7499999999999994E-2</v>
          </cell>
          <cell r="Z167">
            <v>8.7499999999999994E-2</v>
          </cell>
          <cell r="AA167">
            <v>8.7499999999999994E-2</v>
          </cell>
          <cell r="AB167">
            <v>8.7499999999999994E-2</v>
          </cell>
          <cell r="AC167">
            <v>8.7499999999999994E-2</v>
          </cell>
          <cell r="AD167">
            <v>8.7499999999999994E-2</v>
          </cell>
          <cell r="AE167">
            <v>8.7499999999999994E-2</v>
          </cell>
          <cell r="AF167">
            <v>8.7499999999999994E-2</v>
          </cell>
          <cell r="AG167">
            <v>8.7499999999999994E-2</v>
          </cell>
          <cell r="AH167">
            <v>8.7499999999999994E-2</v>
          </cell>
          <cell r="AI167">
            <v>8.7499999999999994E-2</v>
          </cell>
          <cell r="AJ167">
            <v>8.7499999999999994E-2</v>
          </cell>
        </row>
        <row r="168">
          <cell r="F168">
            <v>8.7499999999999994E-2</v>
          </cell>
          <cell r="G168">
            <v>8.7499999999999994E-2</v>
          </cell>
          <cell r="H168">
            <v>8.7499999999999994E-2</v>
          </cell>
          <cell r="I168">
            <v>8.7499999999999994E-2</v>
          </cell>
          <cell r="J168">
            <v>8.7499999999999994E-2</v>
          </cell>
          <cell r="K168">
            <v>8.7499999999999994E-2</v>
          </cell>
          <cell r="L168">
            <v>8.7499999999999994E-2</v>
          </cell>
          <cell r="M168">
            <v>8.7499999999999994E-2</v>
          </cell>
          <cell r="N168">
            <v>8.7499999999999994E-2</v>
          </cell>
          <cell r="O168">
            <v>8.7499999999999994E-2</v>
          </cell>
          <cell r="P168">
            <v>8.7499999999999994E-2</v>
          </cell>
          <cell r="Q168">
            <v>8.7499999999999994E-2</v>
          </cell>
          <cell r="R168">
            <v>8.7499999999999994E-2</v>
          </cell>
          <cell r="S168">
            <v>8.7499999999999994E-2</v>
          </cell>
          <cell r="T168">
            <v>8.7499999999999994E-2</v>
          </cell>
          <cell r="U168">
            <v>8.7499999999999994E-2</v>
          </cell>
          <cell r="V168">
            <v>8.7499999999999994E-2</v>
          </cell>
          <cell r="W168">
            <v>8.7499999999999994E-2</v>
          </cell>
          <cell r="X168">
            <v>8.7499999999999994E-2</v>
          </cell>
          <cell r="Y168">
            <v>8.7499999999999994E-2</v>
          </cell>
          <cell r="Z168">
            <v>8.7499999999999994E-2</v>
          </cell>
          <cell r="AA168">
            <v>8.7499999999999994E-2</v>
          </cell>
          <cell r="AB168">
            <v>8.7499999999999994E-2</v>
          </cell>
          <cell r="AC168">
            <v>8.7499999999999994E-2</v>
          </cell>
          <cell r="AD168">
            <v>8.7499999999999994E-2</v>
          </cell>
          <cell r="AE168">
            <v>8.7499999999999994E-2</v>
          </cell>
          <cell r="AF168">
            <v>8.7499999999999994E-2</v>
          </cell>
          <cell r="AG168">
            <v>8.7499999999999994E-2</v>
          </cell>
          <cell r="AH168">
            <v>8.7499999999999994E-2</v>
          </cell>
          <cell r="AI168">
            <v>8.7499999999999994E-2</v>
          </cell>
          <cell r="AJ168">
            <v>8.7499999999999994E-2</v>
          </cell>
        </row>
        <row r="169">
          <cell r="F169">
            <v>8.7499999999999994E-2</v>
          </cell>
          <cell r="G169">
            <v>8.7499999999999994E-2</v>
          </cell>
          <cell r="H169">
            <v>8.7499999999999994E-2</v>
          </cell>
          <cell r="I169">
            <v>8.7499999999999994E-2</v>
          </cell>
          <cell r="J169">
            <v>8.7499999999999994E-2</v>
          </cell>
          <cell r="K169">
            <v>8.7499999999999994E-2</v>
          </cell>
          <cell r="L169">
            <v>8.7499999999999994E-2</v>
          </cell>
          <cell r="M169">
            <v>8.7499999999999994E-2</v>
          </cell>
          <cell r="N169">
            <v>8.7499999999999994E-2</v>
          </cell>
          <cell r="O169">
            <v>8.7499999999999994E-2</v>
          </cell>
          <cell r="P169">
            <v>8.7499999999999994E-2</v>
          </cell>
          <cell r="Q169">
            <v>8.7499999999999994E-2</v>
          </cell>
          <cell r="R169">
            <v>8.7499999999999994E-2</v>
          </cell>
          <cell r="S169">
            <v>8.7499999999999994E-2</v>
          </cell>
          <cell r="T169">
            <v>8.7499999999999994E-2</v>
          </cell>
          <cell r="U169">
            <v>8.7499999999999994E-2</v>
          </cell>
          <cell r="V169">
            <v>8.7499999999999994E-2</v>
          </cell>
          <cell r="W169">
            <v>8.7499999999999994E-2</v>
          </cell>
          <cell r="X169">
            <v>8.7499999999999994E-2</v>
          </cell>
          <cell r="Y169">
            <v>8.7499999999999994E-2</v>
          </cell>
          <cell r="Z169">
            <v>8.7499999999999994E-2</v>
          </cell>
          <cell r="AA169">
            <v>8.7499999999999994E-2</v>
          </cell>
          <cell r="AB169">
            <v>8.7499999999999994E-2</v>
          </cell>
          <cell r="AC169">
            <v>8.7499999999999994E-2</v>
          </cell>
          <cell r="AD169">
            <v>8.7499999999999994E-2</v>
          </cell>
          <cell r="AE169">
            <v>8.7499999999999994E-2</v>
          </cell>
          <cell r="AF169">
            <v>8.7499999999999994E-2</v>
          </cell>
          <cell r="AG169">
            <v>8.7499999999999994E-2</v>
          </cell>
          <cell r="AH169">
            <v>8.7499999999999994E-2</v>
          </cell>
          <cell r="AI169">
            <v>8.7499999999999994E-2</v>
          </cell>
          <cell r="AJ169">
            <v>8.7499999999999994E-2</v>
          </cell>
        </row>
        <row r="173">
          <cell r="F173">
            <v>0.53788825591742551</v>
          </cell>
          <cell r="G173">
            <v>0.53788825591742551</v>
          </cell>
          <cell r="H173">
            <v>0.53788825591742551</v>
          </cell>
          <cell r="I173">
            <v>0.53788825591742551</v>
          </cell>
          <cell r="J173">
            <v>0.56721612450973258</v>
          </cell>
          <cell r="K173">
            <v>0.56721612450973258</v>
          </cell>
          <cell r="L173">
            <v>0.68452759887896109</v>
          </cell>
          <cell r="M173">
            <v>0.68086539406096958</v>
          </cell>
          <cell r="N173">
            <v>0.67720318924297807</v>
          </cell>
          <cell r="O173">
            <v>0.67354098442498656</v>
          </cell>
          <cell r="P173">
            <v>0.66987877960699493</v>
          </cell>
          <cell r="Q173">
            <v>0.66987877960699493</v>
          </cell>
          <cell r="R173">
            <v>0.66987877960699493</v>
          </cell>
          <cell r="S173">
            <v>0.66987877960699493</v>
          </cell>
          <cell r="T173">
            <v>0.66987877960699493</v>
          </cell>
          <cell r="U173">
            <v>0.66987877960699493</v>
          </cell>
          <cell r="V173">
            <v>0.66987877960699493</v>
          </cell>
          <cell r="W173">
            <v>0.66987877960699493</v>
          </cell>
          <cell r="X173">
            <v>0.66987877960699493</v>
          </cell>
          <cell r="Y173">
            <v>0.66987877960699493</v>
          </cell>
          <cell r="Z173">
            <v>0.66987877960699493</v>
          </cell>
          <cell r="AA173">
            <v>0.66987877960699493</v>
          </cell>
          <cell r="AB173">
            <v>0.66987877960699493</v>
          </cell>
          <cell r="AC173">
            <v>0.66987877960699493</v>
          </cell>
          <cell r="AD173">
            <v>0.66987877960699493</v>
          </cell>
          <cell r="AE173">
            <v>0.66987877960699493</v>
          </cell>
          <cell r="AF173">
            <v>0.66987877960699493</v>
          </cell>
          <cell r="AG173">
            <v>0.66987877960699493</v>
          </cell>
          <cell r="AH173">
            <v>0.66987877960699493</v>
          </cell>
          <cell r="AI173">
            <v>0.66987877960699493</v>
          </cell>
          <cell r="AJ173">
            <v>0.66987877960699493</v>
          </cell>
        </row>
        <row r="174">
          <cell r="F174">
            <v>0.53788825591742551</v>
          </cell>
          <cell r="G174">
            <v>0.53788825591742551</v>
          </cell>
          <cell r="H174">
            <v>0.53788825591742551</v>
          </cell>
          <cell r="I174">
            <v>0.53788825591742551</v>
          </cell>
          <cell r="J174">
            <v>0.56721612450973258</v>
          </cell>
          <cell r="K174">
            <v>0.56721612450973258</v>
          </cell>
          <cell r="L174">
            <v>0.68452759887896109</v>
          </cell>
          <cell r="M174">
            <v>0.68086539406096958</v>
          </cell>
          <cell r="N174">
            <v>0.67720318924297807</v>
          </cell>
          <cell r="O174">
            <v>0.67354098442498656</v>
          </cell>
          <cell r="P174">
            <v>0.66987877960699493</v>
          </cell>
          <cell r="Q174">
            <v>0.66987877960699493</v>
          </cell>
          <cell r="R174">
            <v>0.66987877960699493</v>
          </cell>
          <cell r="S174">
            <v>0.66987877960699493</v>
          </cell>
          <cell r="T174">
            <v>0.66987877960699493</v>
          </cell>
          <cell r="U174">
            <v>0.66987877960699493</v>
          </cell>
          <cell r="V174">
            <v>0.66987877960699493</v>
          </cell>
          <cell r="W174">
            <v>0.66987877960699493</v>
          </cell>
          <cell r="X174">
            <v>0.66987877960699493</v>
          </cell>
          <cell r="Y174">
            <v>0.66987877960699493</v>
          </cell>
          <cell r="Z174">
            <v>0.66987877960699493</v>
          </cell>
          <cell r="AA174">
            <v>0.66987877960699493</v>
          </cell>
          <cell r="AB174">
            <v>0.66987877960699493</v>
          </cell>
          <cell r="AC174">
            <v>0.66987877960699493</v>
          </cell>
          <cell r="AD174">
            <v>0.66987877960699493</v>
          </cell>
          <cell r="AE174">
            <v>0.66987877960699493</v>
          </cell>
          <cell r="AF174">
            <v>0.66987877960699493</v>
          </cell>
          <cell r="AG174">
            <v>0.66987877960699493</v>
          </cell>
          <cell r="AH174">
            <v>0.66987877960699493</v>
          </cell>
          <cell r="AI174">
            <v>0.66987877960699493</v>
          </cell>
          <cell r="AJ174">
            <v>0.66987877960699493</v>
          </cell>
        </row>
        <row r="175">
          <cell r="F175">
            <v>0.53788825591742551</v>
          </cell>
          <cell r="G175">
            <v>0.53788825591742551</v>
          </cell>
          <cell r="H175">
            <v>0.53788825591742551</v>
          </cell>
          <cell r="I175">
            <v>0.53788825591742551</v>
          </cell>
          <cell r="J175">
            <v>0.56721612450973258</v>
          </cell>
          <cell r="K175">
            <v>0.56721612450973258</v>
          </cell>
          <cell r="L175">
            <v>0.68452759887896109</v>
          </cell>
          <cell r="M175">
            <v>0.68086539406096958</v>
          </cell>
          <cell r="N175">
            <v>0.67720318924297807</v>
          </cell>
          <cell r="O175">
            <v>0.67354098442498656</v>
          </cell>
          <cell r="P175">
            <v>0.66987877960699493</v>
          </cell>
          <cell r="Q175">
            <v>0.66987877960699493</v>
          </cell>
          <cell r="R175">
            <v>0.66987877960699493</v>
          </cell>
          <cell r="S175">
            <v>0.66987877960699493</v>
          </cell>
          <cell r="T175">
            <v>0.66987877960699493</v>
          </cell>
          <cell r="U175">
            <v>0.66987877960699493</v>
          </cell>
          <cell r="V175">
            <v>0.66987877960699493</v>
          </cell>
          <cell r="W175">
            <v>0.66987877960699493</v>
          </cell>
          <cell r="X175">
            <v>0.66987877960699493</v>
          </cell>
          <cell r="Y175">
            <v>0.66987877960699493</v>
          </cell>
          <cell r="Z175">
            <v>0.66987877960699493</v>
          </cell>
          <cell r="AA175">
            <v>0.66987877960699493</v>
          </cell>
          <cell r="AB175">
            <v>0.66987877960699493</v>
          </cell>
          <cell r="AC175">
            <v>0.66987877960699493</v>
          </cell>
          <cell r="AD175">
            <v>0.66987877960699493</v>
          </cell>
          <cell r="AE175">
            <v>0.66987877960699493</v>
          </cell>
          <cell r="AF175">
            <v>0.66987877960699493</v>
          </cell>
          <cell r="AG175">
            <v>0.66987877960699493</v>
          </cell>
          <cell r="AH175">
            <v>0.66987877960699493</v>
          </cell>
          <cell r="AI175">
            <v>0.66987877960699493</v>
          </cell>
          <cell r="AJ175">
            <v>0.66987877960699493</v>
          </cell>
        </row>
        <row r="176">
          <cell r="F176">
            <v>0.25739999999999996</v>
          </cell>
          <cell r="G176">
            <v>0.25739999999999996</v>
          </cell>
          <cell r="H176">
            <v>0.25739999999999996</v>
          </cell>
          <cell r="I176">
            <v>0.25739999999999996</v>
          </cell>
          <cell r="J176">
            <v>0.25739999999999996</v>
          </cell>
          <cell r="K176">
            <v>0.25739999999999996</v>
          </cell>
          <cell r="L176">
            <v>0.25739999999999996</v>
          </cell>
          <cell r="M176">
            <v>0.25739999999999996</v>
          </cell>
          <cell r="N176">
            <v>0.25739999999999996</v>
          </cell>
          <cell r="O176">
            <v>0.25739999999999996</v>
          </cell>
          <cell r="P176">
            <v>0.25739999999999996</v>
          </cell>
          <cell r="Q176">
            <v>0.25739999999999996</v>
          </cell>
          <cell r="R176">
            <v>0.25739999999999996</v>
          </cell>
          <cell r="S176">
            <v>0.25739999999999996</v>
          </cell>
          <cell r="T176">
            <v>0.25739999999999996</v>
          </cell>
          <cell r="U176">
            <v>0.25739999999999996</v>
          </cell>
          <cell r="V176">
            <v>0.25739999999999996</v>
          </cell>
          <cell r="W176">
            <v>0.25739999999999996</v>
          </cell>
          <cell r="X176">
            <v>0.25739999999999996</v>
          </cell>
          <cell r="Y176">
            <v>0.25739999999999996</v>
          </cell>
          <cell r="Z176">
            <v>0.25739999999999996</v>
          </cell>
          <cell r="AA176">
            <v>0.25739999999999996</v>
          </cell>
          <cell r="AB176">
            <v>0.25739999999999996</v>
          </cell>
          <cell r="AC176">
            <v>0.25739999999999996</v>
          </cell>
          <cell r="AD176">
            <v>0.25739999999999996</v>
          </cell>
          <cell r="AE176">
            <v>0.25739999999999996</v>
          </cell>
          <cell r="AF176">
            <v>0.25739999999999996</v>
          </cell>
          <cell r="AG176">
            <v>0.25739999999999996</v>
          </cell>
          <cell r="AH176">
            <v>0.25739999999999996</v>
          </cell>
          <cell r="AI176">
            <v>0.25739999999999996</v>
          </cell>
          <cell r="AJ176">
            <v>0.25739999999999996</v>
          </cell>
        </row>
        <row r="524">
          <cell r="F524">
            <v>2.5000000000000001E-2</v>
          </cell>
          <cell r="G524">
            <v>2.5000000000000001E-2</v>
          </cell>
          <cell r="H524">
            <v>2.5000000000000001E-2</v>
          </cell>
          <cell r="I524">
            <v>2.5000000000000001E-2</v>
          </cell>
          <cell r="J524">
            <v>2.5000000000000001E-2</v>
          </cell>
          <cell r="K524">
            <v>2.5000000000000001E-2</v>
          </cell>
          <cell r="L524">
            <v>2.5000000000000001E-2</v>
          </cell>
          <cell r="M524">
            <v>2.5000000000000001E-2</v>
          </cell>
          <cell r="N524">
            <v>2.5000000000000001E-2</v>
          </cell>
          <cell r="O524">
            <v>2.5000000000000001E-2</v>
          </cell>
          <cell r="P524">
            <v>2.5000000000000001E-2</v>
          </cell>
          <cell r="Q524">
            <v>2.5000000000000001E-2</v>
          </cell>
          <cell r="R524">
            <v>2.5000000000000001E-2</v>
          </cell>
          <cell r="S524">
            <v>2.5000000000000001E-2</v>
          </cell>
          <cell r="T524">
            <v>2.5000000000000001E-2</v>
          </cell>
          <cell r="U524">
            <v>2.5000000000000001E-2</v>
          </cell>
          <cell r="V524">
            <v>2.5000000000000001E-2</v>
          </cell>
          <cell r="W524">
            <v>2.5000000000000001E-2</v>
          </cell>
          <cell r="X524">
            <v>2.5000000000000001E-2</v>
          </cell>
          <cell r="Y524">
            <v>2.5000000000000001E-2</v>
          </cell>
          <cell r="Z524">
            <v>2.5000000000000001E-2</v>
          </cell>
          <cell r="AA524">
            <v>2.5000000000000001E-2</v>
          </cell>
          <cell r="AB524">
            <v>2.5000000000000001E-2</v>
          </cell>
          <cell r="AC524">
            <v>2.5000000000000001E-2</v>
          </cell>
          <cell r="AD524">
            <v>2.5000000000000001E-2</v>
          </cell>
          <cell r="AE524">
            <v>2.5000000000000001E-2</v>
          </cell>
          <cell r="AF524">
            <v>2.5000000000000001E-2</v>
          </cell>
          <cell r="AG524">
            <v>2.5000000000000001E-2</v>
          </cell>
          <cell r="AH524">
            <v>2.5000000000000001E-2</v>
          </cell>
          <cell r="AI524">
            <v>2.5000000000000001E-2</v>
          </cell>
          <cell r="AJ524">
            <v>2.5000000000000001E-2</v>
          </cell>
        </row>
        <row r="525">
          <cell r="F525">
            <v>0.04</v>
          </cell>
          <cell r="G525">
            <v>0.04</v>
          </cell>
          <cell r="H525">
            <v>0.04</v>
          </cell>
          <cell r="I525">
            <v>0.04</v>
          </cell>
          <cell r="J525">
            <v>0.04</v>
          </cell>
          <cell r="K525">
            <v>0.04</v>
          </cell>
          <cell r="L525">
            <v>0.04</v>
          </cell>
          <cell r="M525">
            <v>0.04</v>
          </cell>
          <cell r="N525">
            <v>0.04</v>
          </cell>
          <cell r="O525">
            <v>0.04</v>
          </cell>
          <cell r="P525">
            <v>0.04</v>
          </cell>
          <cell r="Q525">
            <v>0.04</v>
          </cell>
          <cell r="R525">
            <v>0.04</v>
          </cell>
          <cell r="S525">
            <v>0.04</v>
          </cell>
          <cell r="T525">
            <v>0.04</v>
          </cell>
          <cell r="U525">
            <v>0.04</v>
          </cell>
          <cell r="V525">
            <v>0.04</v>
          </cell>
          <cell r="W525">
            <v>0.04</v>
          </cell>
          <cell r="X525">
            <v>0.04</v>
          </cell>
          <cell r="Y525">
            <v>0.04</v>
          </cell>
          <cell r="Z525">
            <v>0.04</v>
          </cell>
          <cell r="AA525">
            <v>0.04</v>
          </cell>
          <cell r="AB525">
            <v>0.04</v>
          </cell>
          <cell r="AC525">
            <v>0.04</v>
          </cell>
          <cell r="AD525">
            <v>0.04</v>
          </cell>
          <cell r="AE525">
            <v>0.04</v>
          </cell>
          <cell r="AF525">
            <v>0.04</v>
          </cell>
          <cell r="AG525">
            <v>0.04</v>
          </cell>
          <cell r="AH525">
            <v>0.04</v>
          </cell>
          <cell r="AI525">
            <v>0.04</v>
          </cell>
          <cell r="AJ525">
            <v>0.04</v>
          </cell>
        </row>
        <row r="526">
          <cell r="F526">
            <v>0.04</v>
          </cell>
          <cell r="G526">
            <v>0.04</v>
          </cell>
          <cell r="H526">
            <v>0.04</v>
          </cell>
          <cell r="I526">
            <v>0.04</v>
          </cell>
          <cell r="J526">
            <v>0.04</v>
          </cell>
          <cell r="K526">
            <v>0.04</v>
          </cell>
          <cell r="L526">
            <v>0.04</v>
          </cell>
          <cell r="M526">
            <v>0.04</v>
          </cell>
          <cell r="N526">
            <v>0.04</v>
          </cell>
          <cell r="O526">
            <v>0.04</v>
          </cell>
          <cell r="P526">
            <v>0.04</v>
          </cell>
          <cell r="Q526">
            <v>0.04</v>
          </cell>
          <cell r="R526">
            <v>0.04</v>
          </cell>
          <cell r="S526">
            <v>0.04</v>
          </cell>
          <cell r="T526">
            <v>0.04</v>
          </cell>
          <cell r="U526">
            <v>0.04</v>
          </cell>
          <cell r="V526">
            <v>0.04</v>
          </cell>
          <cell r="W526">
            <v>0.04</v>
          </cell>
          <cell r="X526">
            <v>0.04</v>
          </cell>
          <cell r="Y526">
            <v>0.04</v>
          </cell>
          <cell r="Z526">
            <v>0.04</v>
          </cell>
          <cell r="AA526">
            <v>0.04</v>
          </cell>
          <cell r="AB526">
            <v>0.04</v>
          </cell>
          <cell r="AC526">
            <v>0.04</v>
          </cell>
          <cell r="AD526">
            <v>0.04</v>
          </cell>
          <cell r="AE526">
            <v>0.04</v>
          </cell>
          <cell r="AF526">
            <v>0.04</v>
          </cell>
          <cell r="AG526">
            <v>0.04</v>
          </cell>
          <cell r="AH526">
            <v>0.04</v>
          </cell>
          <cell r="AI526">
            <v>0.04</v>
          </cell>
          <cell r="AJ526">
            <v>0.04</v>
          </cell>
        </row>
        <row r="527">
          <cell r="F527">
            <v>0.04</v>
          </cell>
          <cell r="G527">
            <v>0.04</v>
          </cell>
          <cell r="H527">
            <v>0.04</v>
          </cell>
          <cell r="I527">
            <v>0.04</v>
          </cell>
          <cell r="J527">
            <v>0.04</v>
          </cell>
          <cell r="K527">
            <v>0.04</v>
          </cell>
          <cell r="L527">
            <v>0.04</v>
          </cell>
          <cell r="M527">
            <v>0.04</v>
          </cell>
          <cell r="N527">
            <v>0.04</v>
          </cell>
          <cell r="O527">
            <v>0.04</v>
          </cell>
          <cell r="P527">
            <v>0.04</v>
          </cell>
          <cell r="Q527">
            <v>0.04</v>
          </cell>
          <cell r="R527">
            <v>0.04</v>
          </cell>
          <cell r="S527">
            <v>0.04</v>
          </cell>
          <cell r="T527">
            <v>0.04</v>
          </cell>
          <cell r="U527">
            <v>0.04</v>
          </cell>
          <cell r="V527">
            <v>0.04</v>
          </cell>
          <cell r="W527">
            <v>0.04</v>
          </cell>
          <cell r="X527">
            <v>0.04</v>
          </cell>
          <cell r="Y527">
            <v>0.04</v>
          </cell>
          <cell r="Z527">
            <v>0.04</v>
          </cell>
          <cell r="AA527">
            <v>0.04</v>
          </cell>
          <cell r="AB527">
            <v>0.04</v>
          </cell>
          <cell r="AC527">
            <v>0.04</v>
          </cell>
          <cell r="AD527">
            <v>0.04</v>
          </cell>
          <cell r="AE527">
            <v>0.04</v>
          </cell>
          <cell r="AF527">
            <v>0.04</v>
          </cell>
          <cell r="AG527">
            <v>0.04</v>
          </cell>
          <cell r="AH527">
            <v>0.04</v>
          </cell>
          <cell r="AI527">
            <v>0.04</v>
          </cell>
          <cell r="AJ527">
            <v>0.04</v>
          </cell>
        </row>
        <row r="531">
          <cell r="F531">
            <v>3.5000000000000003E-2</v>
          </cell>
          <cell r="G531">
            <v>3.5000000000000003E-2</v>
          </cell>
          <cell r="H531">
            <v>3.5000000000000003E-2</v>
          </cell>
          <cell r="I531">
            <v>3.5000000000000003E-2</v>
          </cell>
          <cell r="J531">
            <v>3.5000000000000003E-2</v>
          </cell>
          <cell r="K531">
            <v>3.5000000000000003E-2</v>
          </cell>
          <cell r="L531">
            <v>3.5000000000000003E-2</v>
          </cell>
          <cell r="M531">
            <v>3.5000000000000003E-2</v>
          </cell>
          <cell r="N531">
            <v>3.5000000000000003E-2</v>
          </cell>
          <cell r="O531">
            <v>3.5000000000000003E-2</v>
          </cell>
          <cell r="P531">
            <v>3.5000000000000003E-2</v>
          </cell>
          <cell r="Q531">
            <v>3.5000000000000003E-2</v>
          </cell>
          <cell r="R531">
            <v>3.5000000000000003E-2</v>
          </cell>
          <cell r="S531">
            <v>3.5000000000000003E-2</v>
          </cell>
          <cell r="T531">
            <v>3.5000000000000003E-2</v>
          </cell>
          <cell r="U531">
            <v>3.5000000000000003E-2</v>
          </cell>
          <cell r="V531">
            <v>3.5000000000000003E-2</v>
          </cell>
          <cell r="W531">
            <v>3.5000000000000003E-2</v>
          </cell>
          <cell r="X531">
            <v>3.5000000000000003E-2</v>
          </cell>
          <cell r="Y531">
            <v>3.5000000000000003E-2</v>
          </cell>
          <cell r="Z531">
            <v>3.5000000000000003E-2</v>
          </cell>
          <cell r="AA531">
            <v>3.5000000000000003E-2</v>
          </cell>
          <cell r="AB531">
            <v>3.5000000000000003E-2</v>
          </cell>
          <cell r="AC531">
            <v>3.5000000000000003E-2</v>
          </cell>
          <cell r="AD531">
            <v>3.5000000000000003E-2</v>
          </cell>
          <cell r="AE531">
            <v>3.5000000000000003E-2</v>
          </cell>
          <cell r="AF531">
            <v>3.5000000000000003E-2</v>
          </cell>
          <cell r="AG531">
            <v>3.5000000000000003E-2</v>
          </cell>
          <cell r="AH531">
            <v>3.5000000000000003E-2</v>
          </cell>
          <cell r="AI531">
            <v>3.5000000000000003E-2</v>
          </cell>
          <cell r="AJ531">
            <v>3.5000000000000003E-2</v>
          </cell>
        </row>
        <row r="532">
          <cell r="F532">
            <v>8.7999999999999995E-2</v>
          </cell>
          <cell r="G532">
            <v>8.7999999999999995E-2</v>
          </cell>
          <cell r="H532">
            <v>8.7999999999999995E-2</v>
          </cell>
          <cell r="I532">
            <v>8.7999999999999995E-2</v>
          </cell>
          <cell r="J532">
            <v>8.7999999999999995E-2</v>
          </cell>
          <cell r="K532">
            <v>8.7999999999999995E-2</v>
          </cell>
          <cell r="L532">
            <v>8.7999999999999995E-2</v>
          </cell>
          <cell r="M532">
            <v>8.7999999999999995E-2</v>
          </cell>
          <cell r="N532">
            <v>8.7999999999999995E-2</v>
          </cell>
          <cell r="O532">
            <v>8.7999999999999995E-2</v>
          </cell>
          <cell r="P532">
            <v>8.7999999999999995E-2</v>
          </cell>
          <cell r="Q532">
            <v>8.7999999999999995E-2</v>
          </cell>
          <cell r="R532">
            <v>8.7999999999999995E-2</v>
          </cell>
          <cell r="S532">
            <v>8.7999999999999995E-2</v>
          </cell>
          <cell r="T532">
            <v>8.7999999999999995E-2</v>
          </cell>
          <cell r="U532">
            <v>8.7999999999999995E-2</v>
          </cell>
          <cell r="V532">
            <v>8.7999999999999995E-2</v>
          </cell>
          <cell r="W532">
            <v>8.7999999999999995E-2</v>
          </cell>
          <cell r="X532">
            <v>8.7999999999999995E-2</v>
          </cell>
          <cell r="Y532">
            <v>8.7999999999999995E-2</v>
          </cell>
          <cell r="Z532">
            <v>8.7999999999999995E-2</v>
          </cell>
          <cell r="AA532">
            <v>8.7999999999999995E-2</v>
          </cell>
          <cell r="AB532">
            <v>8.7999999999999995E-2</v>
          </cell>
          <cell r="AC532">
            <v>8.7999999999999995E-2</v>
          </cell>
          <cell r="AD532">
            <v>8.7999999999999995E-2</v>
          </cell>
          <cell r="AE532">
            <v>8.7999999999999995E-2</v>
          </cell>
          <cell r="AF532">
            <v>8.7999999999999995E-2</v>
          </cell>
          <cell r="AG532">
            <v>8.7999999999999995E-2</v>
          </cell>
          <cell r="AH532">
            <v>8.7999999999999995E-2</v>
          </cell>
          <cell r="AI532">
            <v>8.7999999999999995E-2</v>
          </cell>
          <cell r="AJ532">
            <v>8.7999999999999995E-2</v>
          </cell>
        </row>
        <row r="533">
          <cell r="F533">
            <v>8.7999999999999995E-2</v>
          </cell>
          <cell r="G533">
            <v>8.7999999999999995E-2</v>
          </cell>
          <cell r="H533">
            <v>8.7999999999999995E-2</v>
          </cell>
          <cell r="I533">
            <v>8.7999999999999995E-2</v>
          </cell>
          <cell r="J533">
            <v>8.7999999999999995E-2</v>
          </cell>
          <cell r="K533">
            <v>8.7999999999999995E-2</v>
          </cell>
          <cell r="L533">
            <v>8.7999999999999995E-2</v>
          </cell>
          <cell r="M533">
            <v>8.7999999999999995E-2</v>
          </cell>
          <cell r="N533">
            <v>8.7999999999999995E-2</v>
          </cell>
          <cell r="O533">
            <v>8.7999999999999995E-2</v>
          </cell>
          <cell r="P533">
            <v>8.7999999999999995E-2</v>
          </cell>
          <cell r="Q533">
            <v>8.7999999999999995E-2</v>
          </cell>
          <cell r="R533">
            <v>8.7999999999999995E-2</v>
          </cell>
          <cell r="S533">
            <v>8.7999999999999995E-2</v>
          </cell>
          <cell r="T533">
            <v>8.7999999999999995E-2</v>
          </cell>
          <cell r="U533">
            <v>8.7999999999999995E-2</v>
          </cell>
          <cell r="V533">
            <v>8.7999999999999995E-2</v>
          </cell>
          <cell r="W533">
            <v>8.7999999999999995E-2</v>
          </cell>
          <cell r="X533">
            <v>8.7999999999999995E-2</v>
          </cell>
          <cell r="Y533">
            <v>8.7999999999999995E-2</v>
          </cell>
          <cell r="Z533">
            <v>8.7999999999999995E-2</v>
          </cell>
          <cell r="AA533">
            <v>8.7999999999999995E-2</v>
          </cell>
          <cell r="AB533">
            <v>8.7999999999999995E-2</v>
          </cell>
          <cell r="AC533">
            <v>8.7999999999999995E-2</v>
          </cell>
          <cell r="AD533">
            <v>8.7999999999999995E-2</v>
          </cell>
          <cell r="AE533">
            <v>8.7999999999999995E-2</v>
          </cell>
          <cell r="AF533">
            <v>8.7999999999999995E-2</v>
          </cell>
          <cell r="AG533">
            <v>8.7999999999999995E-2</v>
          </cell>
          <cell r="AH533">
            <v>8.7999999999999995E-2</v>
          </cell>
          <cell r="AI533">
            <v>8.7999999999999995E-2</v>
          </cell>
          <cell r="AJ533">
            <v>8.7999999999999995E-2</v>
          </cell>
        </row>
        <row r="534">
          <cell r="F534">
            <v>8.7999999999999995E-2</v>
          </cell>
          <cell r="G534">
            <v>8.7999999999999995E-2</v>
          </cell>
          <cell r="H534">
            <v>8.7999999999999995E-2</v>
          </cell>
          <cell r="I534">
            <v>8.7999999999999995E-2</v>
          </cell>
          <cell r="J534">
            <v>8.7999999999999995E-2</v>
          </cell>
          <cell r="K534">
            <v>8.7999999999999995E-2</v>
          </cell>
          <cell r="L534">
            <v>8.7999999999999995E-2</v>
          </cell>
          <cell r="M534">
            <v>8.7999999999999995E-2</v>
          </cell>
          <cell r="N534">
            <v>8.7999999999999995E-2</v>
          </cell>
          <cell r="O534">
            <v>8.7999999999999995E-2</v>
          </cell>
          <cell r="P534">
            <v>8.7999999999999995E-2</v>
          </cell>
          <cell r="Q534">
            <v>8.7999999999999995E-2</v>
          </cell>
          <cell r="R534">
            <v>8.7999999999999995E-2</v>
          </cell>
          <cell r="S534">
            <v>8.7999999999999995E-2</v>
          </cell>
          <cell r="T534">
            <v>8.7999999999999995E-2</v>
          </cell>
          <cell r="U534">
            <v>8.7999999999999995E-2</v>
          </cell>
          <cell r="V534">
            <v>8.7999999999999995E-2</v>
          </cell>
          <cell r="W534">
            <v>8.7999999999999995E-2</v>
          </cell>
          <cell r="X534">
            <v>8.7999999999999995E-2</v>
          </cell>
          <cell r="Y534">
            <v>8.7999999999999995E-2</v>
          </cell>
          <cell r="Z534">
            <v>8.7999999999999995E-2</v>
          </cell>
          <cell r="AA534">
            <v>8.7999999999999995E-2</v>
          </cell>
          <cell r="AB534">
            <v>8.7999999999999995E-2</v>
          </cell>
          <cell r="AC534">
            <v>8.7999999999999995E-2</v>
          </cell>
          <cell r="AD534">
            <v>8.7999999999999995E-2</v>
          </cell>
          <cell r="AE534">
            <v>8.7999999999999995E-2</v>
          </cell>
          <cell r="AF534">
            <v>8.7999999999999995E-2</v>
          </cell>
          <cell r="AG534">
            <v>8.7999999999999995E-2</v>
          </cell>
          <cell r="AH534">
            <v>8.7999999999999995E-2</v>
          </cell>
          <cell r="AI534">
            <v>8.7999999999999995E-2</v>
          </cell>
          <cell r="AJ534">
            <v>8.7999999999999995E-2</v>
          </cell>
        </row>
        <row r="538">
          <cell r="F538">
            <v>0.75900000000000001</v>
          </cell>
          <cell r="G538">
            <v>0.75900000000000001</v>
          </cell>
          <cell r="H538">
            <v>0.75900000000000001</v>
          </cell>
          <cell r="I538">
            <v>0.75900000000000001</v>
          </cell>
          <cell r="J538">
            <v>0.75900000000000001</v>
          </cell>
          <cell r="K538">
            <v>0.75900000000000001</v>
          </cell>
          <cell r="L538">
            <v>0.75900000000000001</v>
          </cell>
          <cell r="M538">
            <v>0.75900000000000001</v>
          </cell>
          <cell r="N538">
            <v>0.75900000000000001</v>
          </cell>
          <cell r="O538">
            <v>0.75900000000000001</v>
          </cell>
          <cell r="P538">
            <v>0.75900000000000001</v>
          </cell>
          <cell r="Q538">
            <v>0.75900000000000001</v>
          </cell>
          <cell r="R538">
            <v>0.75900000000000001</v>
          </cell>
          <cell r="S538">
            <v>0.75900000000000001</v>
          </cell>
          <cell r="T538">
            <v>0.75900000000000001</v>
          </cell>
          <cell r="U538">
            <v>0.75900000000000001</v>
          </cell>
          <cell r="V538">
            <v>0.75900000000000001</v>
          </cell>
          <cell r="W538">
            <v>0.75900000000000001</v>
          </cell>
          <cell r="X538">
            <v>0.75900000000000001</v>
          </cell>
          <cell r="Y538">
            <v>0.75900000000000001</v>
          </cell>
          <cell r="Z538">
            <v>0.75900000000000001</v>
          </cell>
          <cell r="AA538">
            <v>0.75900000000000001</v>
          </cell>
          <cell r="AB538">
            <v>0.75900000000000001</v>
          </cell>
          <cell r="AC538">
            <v>0.75900000000000001</v>
          </cell>
          <cell r="AD538">
            <v>0.75900000000000001</v>
          </cell>
          <cell r="AE538">
            <v>0.75900000000000001</v>
          </cell>
          <cell r="AF538">
            <v>0.75900000000000001</v>
          </cell>
          <cell r="AG538">
            <v>0.75900000000000001</v>
          </cell>
          <cell r="AH538">
            <v>0.75900000000000001</v>
          </cell>
          <cell r="AI538">
            <v>0.75900000000000001</v>
          </cell>
          <cell r="AJ538">
            <v>0.75900000000000001</v>
          </cell>
        </row>
        <row r="539">
          <cell r="F539">
            <v>0.75900000000000001</v>
          </cell>
          <cell r="G539">
            <v>0.75900000000000001</v>
          </cell>
          <cell r="H539">
            <v>0.75900000000000001</v>
          </cell>
          <cell r="I539">
            <v>0.75900000000000001</v>
          </cell>
          <cell r="J539">
            <v>0.75900000000000001</v>
          </cell>
          <cell r="K539">
            <v>0.75900000000000001</v>
          </cell>
          <cell r="L539">
            <v>0.75900000000000001</v>
          </cell>
          <cell r="M539">
            <v>0.75900000000000001</v>
          </cell>
          <cell r="N539">
            <v>0.75900000000000001</v>
          </cell>
          <cell r="O539">
            <v>0.75900000000000001</v>
          </cell>
          <cell r="P539">
            <v>0.75900000000000001</v>
          </cell>
          <cell r="Q539">
            <v>0.75900000000000001</v>
          </cell>
          <cell r="R539">
            <v>0.75900000000000001</v>
          </cell>
          <cell r="S539">
            <v>0.75900000000000001</v>
          </cell>
          <cell r="T539">
            <v>0.75900000000000001</v>
          </cell>
          <cell r="U539">
            <v>0.75900000000000001</v>
          </cell>
          <cell r="V539">
            <v>0.75900000000000001</v>
          </cell>
          <cell r="W539">
            <v>0.75900000000000001</v>
          </cell>
          <cell r="X539">
            <v>0.75900000000000001</v>
          </cell>
          <cell r="Y539">
            <v>0.75900000000000001</v>
          </cell>
          <cell r="Z539">
            <v>0.75900000000000001</v>
          </cell>
          <cell r="AA539">
            <v>0.75900000000000001</v>
          </cell>
          <cell r="AB539">
            <v>0.75900000000000001</v>
          </cell>
          <cell r="AC539">
            <v>0.75900000000000001</v>
          </cell>
          <cell r="AD539">
            <v>0.75900000000000001</v>
          </cell>
          <cell r="AE539">
            <v>0.75900000000000001</v>
          </cell>
          <cell r="AF539">
            <v>0.75900000000000001</v>
          </cell>
          <cell r="AG539">
            <v>0.75900000000000001</v>
          </cell>
          <cell r="AH539">
            <v>0.75900000000000001</v>
          </cell>
          <cell r="AI539">
            <v>0.75900000000000001</v>
          </cell>
          <cell r="AJ539">
            <v>0.75900000000000001</v>
          </cell>
        </row>
        <row r="540">
          <cell r="F540">
            <v>0.75900000000000001</v>
          </cell>
          <cell r="G540">
            <v>0.75900000000000001</v>
          </cell>
          <cell r="H540">
            <v>0.75900000000000001</v>
          </cell>
          <cell r="I540">
            <v>0.75900000000000001</v>
          </cell>
          <cell r="J540">
            <v>0.75900000000000001</v>
          </cell>
          <cell r="K540">
            <v>0.75900000000000001</v>
          </cell>
          <cell r="L540">
            <v>0.75900000000000001</v>
          </cell>
          <cell r="M540">
            <v>0.75900000000000001</v>
          </cell>
          <cell r="N540">
            <v>0.75900000000000001</v>
          </cell>
          <cell r="O540">
            <v>0.75900000000000001</v>
          </cell>
          <cell r="P540">
            <v>0.75900000000000001</v>
          </cell>
          <cell r="Q540">
            <v>0.75900000000000001</v>
          </cell>
          <cell r="R540">
            <v>0.75900000000000001</v>
          </cell>
          <cell r="S540">
            <v>0.75900000000000001</v>
          </cell>
          <cell r="T540">
            <v>0.75900000000000001</v>
          </cell>
          <cell r="U540">
            <v>0.75900000000000001</v>
          </cell>
          <cell r="V540">
            <v>0.75900000000000001</v>
          </cell>
          <cell r="W540">
            <v>0.75900000000000001</v>
          </cell>
          <cell r="X540">
            <v>0.75900000000000001</v>
          </cell>
          <cell r="Y540">
            <v>0.75900000000000001</v>
          </cell>
          <cell r="Z540">
            <v>0.75900000000000001</v>
          </cell>
          <cell r="AA540">
            <v>0.75900000000000001</v>
          </cell>
          <cell r="AB540">
            <v>0.75900000000000001</v>
          </cell>
          <cell r="AC540">
            <v>0.75900000000000001</v>
          </cell>
          <cell r="AD540">
            <v>0.75900000000000001</v>
          </cell>
          <cell r="AE540">
            <v>0.75900000000000001</v>
          </cell>
          <cell r="AF540">
            <v>0.75900000000000001</v>
          </cell>
          <cell r="AG540">
            <v>0.75900000000000001</v>
          </cell>
          <cell r="AH540">
            <v>0.75900000000000001</v>
          </cell>
          <cell r="AI540">
            <v>0.75900000000000001</v>
          </cell>
          <cell r="AJ540">
            <v>0.75900000000000001</v>
          </cell>
        </row>
        <row r="541">
          <cell r="F541">
            <v>0.25740000000000002</v>
          </cell>
          <cell r="G541">
            <v>0.25740000000000002</v>
          </cell>
          <cell r="H541">
            <v>0.25740000000000002</v>
          </cell>
          <cell r="I541">
            <v>0.25740000000000002</v>
          </cell>
          <cell r="J541">
            <v>0.25740000000000002</v>
          </cell>
          <cell r="K541">
            <v>0.25740000000000002</v>
          </cell>
          <cell r="L541">
            <v>0.25740000000000002</v>
          </cell>
          <cell r="M541">
            <v>0.25740000000000002</v>
          </cell>
          <cell r="N541">
            <v>0.25740000000000002</v>
          </cell>
          <cell r="O541">
            <v>0.25740000000000002</v>
          </cell>
          <cell r="P541">
            <v>0.25740000000000002</v>
          </cell>
          <cell r="Q541">
            <v>0.25740000000000002</v>
          </cell>
          <cell r="R541">
            <v>0.25740000000000002</v>
          </cell>
          <cell r="S541">
            <v>0.25740000000000002</v>
          </cell>
          <cell r="T541">
            <v>0.25740000000000002</v>
          </cell>
          <cell r="U541">
            <v>0.25740000000000002</v>
          </cell>
          <cell r="V541">
            <v>0.25740000000000002</v>
          </cell>
          <cell r="W541">
            <v>0.25740000000000002</v>
          </cell>
          <cell r="X541">
            <v>0.25740000000000002</v>
          </cell>
          <cell r="Y541">
            <v>0.25740000000000002</v>
          </cell>
          <cell r="Z541">
            <v>0.25740000000000002</v>
          </cell>
          <cell r="AA541">
            <v>0.25740000000000002</v>
          </cell>
          <cell r="AB541">
            <v>0.25740000000000002</v>
          </cell>
          <cell r="AC541">
            <v>0.25740000000000002</v>
          </cell>
          <cell r="AD541">
            <v>0.25740000000000002</v>
          </cell>
          <cell r="AE541">
            <v>0.25740000000000002</v>
          </cell>
          <cell r="AF541">
            <v>0.25740000000000002</v>
          </cell>
          <cell r="AG541">
            <v>0.25740000000000002</v>
          </cell>
          <cell r="AH541">
            <v>0.25740000000000002</v>
          </cell>
          <cell r="AI541">
            <v>0.25740000000000002</v>
          </cell>
          <cell r="AJ541">
            <v>0.25740000000000002</v>
          </cell>
        </row>
      </sheetData>
      <sheetData sheetId="22">
        <row r="3"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  <cell r="AB3">
            <v>0</v>
          </cell>
          <cell r="AC3">
            <v>0</v>
          </cell>
          <cell r="AD3">
            <v>0</v>
          </cell>
          <cell r="AE3">
            <v>0</v>
          </cell>
          <cell r="AF3">
            <v>0</v>
          </cell>
          <cell r="AG3">
            <v>0</v>
          </cell>
        </row>
        <row r="14">
          <cell r="C14">
            <v>0.30000001192092896</v>
          </cell>
          <cell r="D14">
            <v>0.30000001192092896</v>
          </cell>
          <cell r="E14">
            <v>0.30000001192092896</v>
          </cell>
          <cell r="F14">
            <v>0.30000001192092896</v>
          </cell>
          <cell r="G14">
            <v>0.26</v>
          </cell>
          <cell r="H14">
            <v>0.26</v>
          </cell>
          <cell r="I14">
            <v>0.1</v>
          </cell>
          <cell r="J14">
            <v>0.1</v>
          </cell>
          <cell r="K14">
            <v>0.1</v>
          </cell>
          <cell r="L14">
            <v>0.1</v>
          </cell>
          <cell r="M14">
            <v>0.1</v>
          </cell>
          <cell r="N14">
            <v>0.1</v>
          </cell>
          <cell r="O14">
            <v>0.1</v>
          </cell>
          <cell r="P14">
            <v>0.1</v>
          </cell>
          <cell r="Q14">
            <v>0.1</v>
          </cell>
          <cell r="R14">
            <v>0.1</v>
          </cell>
          <cell r="S14">
            <v>0.1</v>
          </cell>
          <cell r="T14">
            <v>0.1</v>
          </cell>
          <cell r="U14">
            <v>0.1</v>
          </cell>
          <cell r="V14">
            <v>0.1</v>
          </cell>
          <cell r="W14">
            <v>0.1</v>
          </cell>
          <cell r="X14">
            <v>0.1</v>
          </cell>
          <cell r="Y14">
            <v>0.1</v>
          </cell>
          <cell r="Z14">
            <v>0.1</v>
          </cell>
          <cell r="AA14">
            <v>0.1</v>
          </cell>
          <cell r="AB14">
            <v>0.1</v>
          </cell>
          <cell r="AC14">
            <v>0.1</v>
          </cell>
          <cell r="AD14">
            <v>0.1</v>
          </cell>
          <cell r="AE14">
            <v>0.1</v>
          </cell>
          <cell r="AF14">
            <v>0.1</v>
          </cell>
          <cell r="AG14">
            <v>0.1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nrel.gov/docs/fy17osti/68925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13" Type="http://schemas.openxmlformats.org/officeDocument/2006/relationships/ctrlProp" Target="../ctrlProps/ctrlProp4.xml"/><Relationship Id="rId18" Type="http://schemas.openxmlformats.org/officeDocument/2006/relationships/ctrlProp" Target="../ctrlProps/ctrlProp9.xml"/><Relationship Id="rId26" Type="http://schemas.openxmlformats.org/officeDocument/2006/relationships/ctrlProp" Target="../ctrlProps/ctrlProp17.xml"/><Relationship Id="rId3" Type="http://schemas.openxmlformats.org/officeDocument/2006/relationships/hyperlink" Target="https://atb-stage.nrel.gov/electricity/2021/commercial_pv" TargetMode="External"/><Relationship Id="rId21" Type="http://schemas.openxmlformats.org/officeDocument/2006/relationships/ctrlProp" Target="../ctrlProps/ctrlProp12.xml"/><Relationship Id="rId7" Type="http://schemas.openxmlformats.org/officeDocument/2006/relationships/printerSettings" Target="../printerSettings/printerSettings3.bin"/><Relationship Id="rId12" Type="http://schemas.openxmlformats.org/officeDocument/2006/relationships/ctrlProp" Target="../ctrlProps/ctrlProp3.xml"/><Relationship Id="rId17" Type="http://schemas.openxmlformats.org/officeDocument/2006/relationships/ctrlProp" Target="../ctrlProps/ctrlProp8.xml"/><Relationship Id="rId25" Type="http://schemas.openxmlformats.org/officeDocument/2006/relationships/ctrlProp" Target="../ctrlProps/ctrlProp16.xml"/><Relationship Id="rId2" Type="http://schemas.openxmlformats.org/officeDocument/2006/relationships/hyperlink" Target="https://atb-stage.nrel.gov/electricity/2021/commercial_pv" TargetMode="External"/><Relationship Id="rId16" Type="http://schemas.openxmlformats.org/officeDocument/2006/relationships/ctrlProp" Target="../ctrlProps/ctrlProp7.xml"/><Relationship Id="rId20" Type="http://schemas.openxmlformats.org/officeDocument/2006/relationships/ctrlProp" Target="../ctrlProps/ctrlProp11.xml"/><Relationship Id="rId29" Type="http://schemas.openxmlformats.org/officeDocument/2006/relationships/ctrlProp" Target="../ctrlProps/ctrlProp20.xml"/><Relationship Id="rId1" Type="http://schemas.openxmlformats.org/officeDocument/2006/relationships/hyperlink" Target="https://atb.nrel.gov/electricity/2021/commercial_pv" TargetMode="External"/><Relationship Id="rId6" Type="http://schemas.openxmlformats.org/officeDocument/2006/relationships/hyperlink" Target="https://atb-stage.nrel.gov/electricity/2021/commercial_pv" TargetMode="External"/><Relationship Id="rId11" Type="http://schemas.openxmlformats.org/officeDocument/2006/relationships/ctrlProp" Target="../ctrlProps/ctrlProp2.xml"/><Relationship Id="rId24" Type="http://schemas.openxmlformats.org/officeDocument/2006/relationships/ctrlProp" Target="../ctrlProps/ctrlProp15.xml"/><Relationship Id="rId5" Type="http://schemas.openxmlformats.org/officeDocument/2006/relationships/hyperlink" Target="https://pvwatts.nrel.gov/pvwatts.php" TargetMode="External"/><Relationship Id="rId15" Type="http://schemas.openxmlformats.org/officeDocument/2006/relationships/ctrlProp" Target="../ctrlProps/ctrlProp6.xml"/><Relationship Id="rId23" Type="http://schemas.openxmlformats.org/officeDocument/2006/relationships/ctrlProp" Target="../ctrlProps/ctrlProp14.xml"/><Relationship Id="rId28" Type="http://schemas.openxmlformats.org/officeDocument/2006/relationships/ctrlProp" Target="../ctrlProps/ctrlProp19.xml"/><Relationship Id="rId10" Type="http://schemas.openxmlformats.org/officeDocument/2006/relationships/ctrlProp" Target="../ctrlProps/ctrlProp1.xml"/><Relationship Id="rId19" Type="http://schemas.openxmlformats.org/officeDocument/2006/relationships/ctrlProp" Target="../ctrlProps/ctrlProp10.xml"/><Relationship Id="rId4" Type="http://schemas.openxmlformats.org/officeDocument/2006/relationships/hyperlink" Target="https://atb-stage.nrel.gov/electricity/2021/commercial_pv" TargetMode="External"/><Relationship Id="rId9" Type="http://schemas.openxmlformats.org/officeDocument/2006/relationships/vmlDrawing" Target="../drawings/vmlDrawing1.vml"/><Relationship Id="rId14" Type="http://schemas.openxmlformats.org/officeDocument/2006/relationships/ctrlProp" Target="../ctrlProps/ctrlProp5.xml"/><Relationship Id="rId22" Type="http://schemas.openxmlformats.org/officeDocument/2006/relationships/ctrlProp" Target="../ctrlProps/ctrlProp13.xml"/><Relationship Id="rId27" Type="http://schemas.openxmlformats.org/officeDocument/2006/relationships/ctrlProp" Target="../ctrlProps/ctrlProp18.xml"/><Relationship Id="rId30" Type="http://schemas.openxmlformats.org/officeDocument/2006/relationships/ctrlProp" Target="../ctrlProps/ctrlProp2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pvwatts.nrel.gov/pvwatts.php" TargetMode="External"/><Relationship Id="rId2" Type="http://schemas.openxmlformats.org/officeDocument/2006/relationships/hyperlink" Target="https://atb-stage.nrel.gov/electricity/2021/commercial_pv" TargetMode="External"/><Relationship Id="rId1" Type="http://schemas.openxmlformats.org/officeDocument/2006/relationships/hyperlink" Target="https://atb.nrel.gov/electricity/2022/commercial_pv" TargetMode="External"/><Relationship Id="rId6" Type="http://schemas.openxmlformats.org/officeDocument/2006/relationships/printerSettings" Target="../printerSettings/printerSettings4.bin"/><Relationship Id="rId5" Type="http://schemas.openxmlformats.org/officeDocument/2006/relationships/hyperlink" Target="https://www.nrel.gov/docs/fy22osti/80694.pdf" TargetMode="External"/><Relationship Id="rId4" Type="http://schemas.openxmlformats.org/officeDocument/2006/relationships/hyperlink" Target="https://www.nrel.gov/docs/fy22osti/80694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33"/>
  <sheetViews>
    <sheetView workbookViewId="0">
      <selection activeCell="N28" sqref="N28"/>
    </sheetView>
  </sheetViews>
  <sheetFormatPr baseColWidth="10" defaultColWidth="8.83203125" defaultRowHeight="15" x14ac:dyDescent="0.2"/>
  <cols>
    <col min="2" max="2" width="50.1640625" customWidth="1"/>
  </cols>
  <sheetData>
    <row r="1" spans="1:3" x14ac:dyDescent="0.2">
      <c r="A1" s="1" t="s">
        <v>0</v>
      </c>
    </row>
    <row r="3" spans="1:3" x14ac:dyDescent="0.2">
      <c r="A3" s="1" t="s">
        <v>1</v>
      </c>
      <c r="B3" s="5" t="s">
        <v>13</v>
      </c>
    </row>
    <row r="4" spans="1:3" x14ac:dyDescent="0.2">
      <c r="B4" t="s">
        <v>14</v>
      </c>
    </row>
    <row r="5" spans="1:3" x14ac:dyDescent="0.2">
      <c r="B5" s="2" t="s">
        <v>257</v>
      </c>
    </row>
    <row r="6" spans="1:3" x14ac:dyDescent="0.2">
      <c r="B6" t="s">
        <v>258</v>
      </c>
    </row>
    <row r="7" spans="1:3" x14ac:dyDescent="0.2">
      <c r="B7" t="s">
        <v>15</v>
      </c>
    </row>
    <row r="8" spans="1:3" x14ac:dyDescent="0.2">
      <c r="B8" t="s">
        <v>16</v>
      </c>
    </row>
    <row r="9" spans="1:3" x14ac:dyDescent="0.2">
      <c r="B9" t="s">
        <v>259</v>
      </c>
    </row>
    <row r="11" spans="1:3" x14ac:dyDescent="0.2">
      <c r="B11" s="3" t="s">
        <v>2</v>
      </c>
      <c r="C11" s="2"/>
    </row>
    <row r="12" spans="1:3" x14ac:dyDescent="0.2">
      <c r="B12" s="2" t="s">
        <v>8</v>
      </c>
      <c r="C12" s="2"/>
    </row>
    <row r="13" spans="1:3" x14ac:dyDescent="0.2">
      <c r="B13" s="2">
        <v>2015</v>
      </c>
      <c r="C13" s="2"/>
    </row>
    <row r="14" spans="1:3" x14ac:dyDescent="0.2">
      <c r="B14" s="2" t="s">
        <v>7</v>
      </c>
      <c r="C14" s="2"/>
    </row>
    <row r="15" spans="1:3" x14ac:dyDescent="0.2">
      <c r="B15" s="4" t="s">
        <v>6</v>
      </c>
      <c r="C15" s="2"/>
    </row>
    <row r="16" spans="1:3" x14ac:dyDescent="0.2">
      <c r="B16" s="2" t="s">
        <v>9</v>
      </c>
    </row>
    <row r="18" spans="1:2" x14ac:dyDescent="0.2">
      <c r="B18" s="3" t="s">
        <v>43</v>
      </c>
    </row>
    <row r="19" spans="1:2" x14ac:dyDescent="0.2">
      <c r="B19" t="s">
        <v>14</v>
      </c>
    </row>
    <row r="20" spans="1:2" x14ac:dyDescent="0.2">
      <c r="B20" s="2">
        <v>2018</v>
      </c>
    </row>
    <row r="21" spans="1:2" x14ac:dyDescent="0.2">
      <c r="B21" t="s">
        <v>44</v>
      </c>
    </row>
    <row r="22" spans="1:2" x14ac:dyDescent="0.2">
      <c r="B22" s="13" t="s">
        <v>45</v>
      </c>
    </row>
    <row r="23" spans="1:2" x14ac:dyDescent="0.2">
      <c r="B23" t="s">
        <v>46</v>
      </c>
    </row>
    <row r="25" spans="1:2" x14ac:dyDescent="0.2">
      <c r="A25" s="1" t="s">
        <v>35</v>
      </c>
    </row>
    <row r="26" spans="1:2" x14ac:dyDescent="0.2">
      <c r="A26" t="s">
        <v>36</v>
      </c>
    </row>
    <row r="28" spans="1:2" x14ac:dyDescent="0.2">
      <c r="A28" t="s">
        <v>47</v>
      </c>
    </row>
    <row r="29" spans="1:2" x14ac:dyDescent="0.2">
      <c r="A29" t="s">
        <v>48</v>
      </c>
    </row>
    <row r="30" spans="1:2" x14ac:dyDescent="0.2">
      <c r="A30" t="s">
        <v>49</v>
      </c>
    </row>
    <row r="32" spans="1:2" x14ac:dyDescent="0.2">
      <c r="A32" t="s">
        <v>211</v>
      </c>
      <c r="B32">
        <v>0.89805481563188172</v>
      </c>
    </row>
    <row r="33" spans="1:2" x14ac:dyDescent="0.2">
      <c r="A33" t="s">
        <v>260</v>
      </c>
      <c r="B33" s="219">
        <v>0.88711067149387013</v>
      </c>
    </row>
  </sheetData>
  <hyperlinks>
    <hyperlink ref="B22" r:id="rId1" xr:uid="{1CA9C921-186B-4B9E-A32E-9A5AEB5517FB}"/>
  </hyperlink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9"/>
  <sheetViews>
    <sheetView workbookViewId="0">
      <selection activeCell="A3" sqref="A3"/>
    </sheetView>
  </sheetViews>
  <sheetFormatPr baseColWidth="10" defaultColWidth="8.83203125" defaultRowHeight="15" x14ac:dyDescent="0.2"/>
  <sheetData>
    <row r="1" spans="1:2" x14ac:dyDescent="0.2">
      <c r="A1" t="s">
        <v>3</v>
      </c>
    </row>
    <row r="2" spans="1:2" x14ac:dyDescent="0.2">
      <c r="A2" t="s">
        <v>4</v>
      </c>
    </row>
    <row r="3" spans="1:2" x14ac:dyDescent="0.2">
      <c r="A3">
        <v>0.85899999999999999</v>
      </c>
      <c r="B3" t="s">
        <v>5</v>
      </c>
    </row>
    <row r="8" spans="1:2" x14ac:dyDescent="0.2">
      <c r="A8" s="1"/>
    </row>
    <row r="9" spans="1:2" x14ac:dyDescent="0.2">
      <c r="A9" s="6"/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BAF63-4354-474E-91F7-1DB1B413E488}">
  <sheetPr codeName="Sheet28">
    <tabColor rgb="FFF6A01A"/>
  </sheetPr>
  <dimension ref="A1:DD493"/>
  <sheetViews>
    <sheetView showGridLines="0" zoomScale="80" zoomScaleNormal="80" workbookViewId="0">
      <pane xSplit="5" ySplit="5" topLeftCell="AK107" activePane="bottomRight" state="frozen"/>
      <selection activeCell="F6" sqref="F6"/>
      <selection pane="topRight" activeCell="F6" sqref="F6"/>
      <selection pane="bottomLeft" activeCell="F6" sqref="F6"/>
      <selection pane="bottomRight" activeCell="BK1" sqref="BK1:BK1048576"/>
    </sheetView>
  </sheetViews>
  <sheetFormatPr baseColWidth="10" defaultColWidth="9.5" defaultRowHeight="14.25" customHeight="1" x14ac:dyDescent="0.15"/>
  <cols>
    <col min="1" max="1" width="9.5" style="16"/>
    <col min="2" max="7" width="1.5" style="16" customWidth="1"/>
    <col min="8" max="8" width="5.5" style="16" customWidth="1"/>
    <col min="9" max="9" width="8.5" style="16" customWidth="1"/>
    <col min="10" max="10" width="20.5" style="16" customWidth="1"/>
    <col min="11" max="11" width="57.5" style="16" bestFit="1" customWidth="1"/>
    <col min="12" max="14" width="11.5" style="16" customWidth="1"/>
    <col min="15" max="15" width="13.5" style="16" customWidth="1"/>
    <col min="16" max="16" width="12.5" style="16" customWidth="1"/>
    <col min="17" max="19" width="11.5" style="16" customWidth="1"/>
    <col min="20" max="20" width="18.5" style="16" customWidth="1"/>
    <col min="21" max="23" width="11.5" style="16" customWidth="1"/>
    <col min="24" max="24" width="13" style="16" bestFit="1" customWidth="1"/>
    <col min="25" max="45" width="11.5" style="16" customWidth="1"/>
    <col min="46" max="16384" width="9.5" style="16"/>
  </cols>
  <sheetData>
    <row r="1" spans="1:108" ht="18" x14ac:dyDescent="0.2">
      <c r="A1" s="15" t="s">
        <v>56</v>
      </c>
      <c r="B1" s="15"/>
      <c r="C1" s="15"/>
      <c r="D1" s="15"/>
      <c r="E1" s="15"/>
      <c r="F1" s="15"/>
      <c r="G1" s="15"/>
      <c r="H1" s="15"/>
      <c r="I1" s="15"/>
      <c r="J1" s="15"/>
      <c r="L1" s="13" t="s">
        <v>57</v>
      </c>
    </row>
    <row r="2" spans="1:108" ht="14.25" customHeight="1" x14ac:dyDescent="0.2">
      <c r="A2"/>
      <c r="B2"/>
      <c r="C2"/>
      <c r="D2"/>
      <c r="E2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</row>
    <row r="3" spans="1:108" ht="14.25" customHeight="1" x14ac:dyDescent="0.2">
      <c r="A3"/>
      <c r="B3"/>
      <c r="C3"/>
      <c r="D3"/>
      <c r="E3"/>
      <c r="T3" s="18" t="s">
        <v>58</v>
      </c>
    </row>
    <row r="4" spans="1:108" ht="14.25" customHeight="1" x14ac:dyDescent="0.15">
      <c r="J4" s="19" t="s">
        <v>59</v>
      </c>
      <c r="T4" s="20" t="s">
        <v>60</v>
      </c>
    </row>
    <row r="7" spans="1:108" ht="14.25" customHeight="1" x14ac:dyDescent="0.2">
      <c r="B7" s="21" t="s">
        <v>61</v>
      </c>
      <c r="G7" s="244" t="s">
        <v>62</v>
      </c>
      <c r="H7" s="268"/>
      <c r="I7" s="268"/>
      <c r="J7" s="268"/>
      <c r="K7" s="268"/>
      <c r="L7" s="268"/>
      <c r="M7" s="268"/>
      <c r="N7" s="268"/>
      <c r="O7" s="268"/>
      <c r="P7" s="268"/>
      <c r="Q7" s="268"/>
      <c r="R7" s="268"/>
      <c r="S7" s="268"/>
      <c r="T7" s="268"/>
      <c r="U7" s="268"/>
      <c r="V7" s="268"/>
      <c r="W7" s="268"/>
      <c r="X7" s="269"/>
    </row>
    <row r="8" spans="1:108" ht="14.25" customHeight="1" thickBot="1" x14ac:dyDescent="0.2">
      <c r="G8" s="22"/>
    </row>
    <row r="9" spans="1:108" ht="14.25" customHeight="1" thickBot="1" x14ac:dyDescent="0.25">
      <c r="A9"/>
      <c r="G9" s="22"/>
      <c r="H9" s="270" t="s">
        <v>63</v>
      </c>
      <c r="J9" s="23" t="s">
        <v>64</v>
      </c>
      <c r="K9" s="24"/>
      <c r="L9" s="25">
        <v>2019</v>
      </c>
      <c r="M9" s="26"/>
      <c r="N9" s="26"/>
      <c r="O9" s="27"/>
    </row>
    <row r="10" spans="1:108" ht="14.25" customHeight="1" thickBot="1" x14ac:dyDescent="0.2">
      <c r="G10" s="22"/>
      <c r="H10" s="271"/>
      <c r="J10" s="23" t="s">
        <v>65</v>
      </c>
      <c r="O10" s="28"/>
    </row>
    <row r="11" spans="1:108" ht="14.25" customHeight="1" thickBot="1" x14ac:dyDescent="0.25">
      <c r="G11" s="22"/>
      <c r="H11" s="271"/>
      <c r="J11" s="29" t="s">
        <v>66</v>
      </c>
      <c r="K11" s="30"/>
      <c r="L11" s="30"/>
      <c r="M11" s="30"/>
      <c r="N11" s="30"/>
      <c r="O11" s="31"/>
      <c r="V11" s="32"/>
      <c r="W11" s="33"/>
      <c r="X11" s="33"/>
      <c r="Y11" s="33"/>
      <c r="Z11" s="33"/>
    </row>
    <row r="12" spans="1:108" s="35" customFormat="1" ht="14.25" customHeight="1" thickBot="1" x14ac:dyDescent="0.25">
      <c r="A12"/>
      <c r="B12"/>
      <c r="C12"/>
      <c r="D12"/>
      <c r="E12"/>
      <c r="F12"/>
      <c r="G12"/>
      <c r="H12" s="271"/>
      <c r="I12"/>
      <c r="J12" s="34"/>
      <c r="K12" s="30"/>
      <c r="L12" s="30"/>
      <c r="M12" s="30"/>
      <c r="N12" s="30"/>
      <c r="O12" s="31"/>
      <c r="U12"/>
      <c r="V12" s="32"/>
      <c r="W12" s="33"/>
      <c r="X12" s="33"/>
      <c r="Y12" s="33"/>
      <c r="Z12" s="33"/>
    </row>
    <row r="13" spans="1:108" s="35" customFormat="1" ht="14.25" customHeight="1" thickBot="1" x14ac:dyDescent="0.25">
      <c r="A13"/>
      <c r="B13"/>
      <c r="C13"/>
      <c r="D13"/>
      <c r="E13"/>
      <c r="F13"/>
      <c r="G13"/>
      <c r="H13" s="271"/>
      <c r="I13"/>
      <c r="J13" s="34"/>
      <c r="K13" s="30"/>
      <c r="L13" s="30"/>
      <c r="M13" s="30"/>
      <c r="N13" s="30"/>
      <c r="O13" s="31"/>
      <c r="U13"/>
      <c r="V13" s="32"/>
      <c r="W13" s="33"/>
      <c r="X13" s="33"/>
      <c r="Y13" s="33"/>
      <c r="Z13" s="33"/>
    </row>
    <row r="14" spans="1:108" ht="14.25" customHeight="1" x14ac:dyDescent="0.2">
      <c r="G14" s="22"/>
      <c r="H14" s="271"/>
      <c r="J14" s="273" t="s">
        <v>67</v>
      </c>
      <c r="K14" s="274"/>
      <c r="L14" s="274"/>
      <c r="M14" s="274"/>
      <c r="N14" s="274"/>
      <c r="O14" s="275"/>
      <c r="V14" s="33"/>
      <c r="W14" s="33"/>
      <c r="X14" s="33"/>
      <c r="Y14" s="33"/>
      <c r="Z14" s="33"/>
    </row>
    <row r="15" spans="1:108" ht="14.25" customHeight="1" x14ac:dyDescent="0.2">
      <c r="G15" s="22"/>
      <c r="H15" s="271"/>
      <c r="J15" s="276" t="s">
        <v>17</v>
      </c>
      <c r="K15" s="277"/>
      <c r="L15" s="277"/>
      <c r="M15" s="277"/>
      <c r="N15" s="277"/>
      <c r="O15" s="278"/>
      <c r="V15" s="33"/>
      <c r="W15" s="33"/>
      <c r="X15" s="33"/>
      <c r="Y15" s="33"/>
      <c r="Z15" s="33"/>
    </row>
    <row r="16" spans="1:108" ht="14.25" customHeight="1" x14ac:dyDescent="0.2">
      <c r="G16" s="22"/>
      <c r="H16" s="271"/>
      <c r="J16" s="276" t="s">
        <v>18</v>
      </c>
      <c r="K16" s="279"/>
      <c r="L16" s="279"/>
      <c r="M16" s="279"/>
      <c r="N16" s="279"/>
      <c r="O16" s="280"/>
      <c r="V16" s="33"/>
      <c r="W16" s="33"/>
      <c r="X16" s="33"/>
      <c r="Y16" s="33"/>
      <c r="Z16" s="33"/>
    </row>
    <row r="17" spans="7:26" ht="14.25" customHeight="1" x14ac:dyDescent="0.2">
      <c r="G17" s="22"/>
      <c r="H17" s="271"/>
      <c r="J17" s="281" t="s">
        <v>68</v>
      </c>
      <c r="K17" s="282"/>
      <c r="L17" s="282"/>
      <c r="M17" s="282"/>
      <c r="N17" s="282"/>
      <c r="O17" s="283"/>
      <c r="U17" s="36"/>
      <c r="V17" s="33"/>
      <c r="W17" s="33"/>
      <c r="X17" s="33"/>
      <c r="Y17" s="33"/>
      <c r="Z17" s="33"/>
    </row>
    <row r="18" spans="7:26" ht="14.25" customHeight="1" x14ac:dyDescent="0.2">
      <c r="G18" s="22"/>
      <c r="H18" s="271"/>
      <c r="J18" s="37"/>
      <c r="K18" s="38"/>
      <c r="L18" s="38"/>
      <c r="M18" s="38"/>
      <c r="N18" s="38"/>
      <c r="O18" s="39"/>
      <c r="U18" s="38"/>
      <c r="V18" s="33"/>
      <c r="W18" s="33"/>
      <c r="X18" s="33"/>
      <c r="Y18" s="33"/>
      <c r="Z18" s="33"/>
    </row>
    <row r="19" spans="7:26" ht="14.25" customHeight="1" thickBot="1" x14ac:dyDescent="0.25">
      <c r="G19" s="22"/>
      <c r="H19" s="271"/>
      <c r="J19" s="40"/>
      <c r="K19" s="41"/>
      <c r="L19" s="41"/>
      <c r="M19" s="41"/>
      <c r="N19" s="41"/>
      <c r="O19" s="42"/>
      <c r="U19" s="38"/>
      <c r="V19" s="33"/>
      <c r="W19" s="33"/>
      <c r="X19" s="33"/>
      <c r="Y19" s="33"/>
      <c r="Z19" s="33"/>
    </row>
    <row r="20" spans="7:26" ht="14.25" customHeight="1" x14ac:dyDescent="0.2">
      <c r="G20" s="22"/>
      <c r="H20" s="271"/>
      <c r="J20" s="43"/>
      <c r="K20" s="44"/>
      <c r="L20" s="44"/>
      <c r="M20" s="45"/>
      <c r="N20" s="46" t="s">
        <v>69</v>
      </c>
      <c r="O20" s="47" t="s">
        <v>69</v>
      </c>
      <c r="V20" s="33"/>
      <c r="W20" s="33"/>
      <c r="X20" s="33"/>
      <c r="Y20" s="33"/>
      <c r="Z20" s="33"/>
    </row>
    <row r="21" spans="7:26" ht="14.25" customHeight="1" x14ac:dyDescent="0.2">
      <c r="G21" s="22"/>
      <c r="H21" s="271"/>
      <c r="J21" s="48"/>
      <c r="K21" s="49"/>
      <c r="L21" s="49"/>
      <c r="M21" s="50"/>
      <c r="N21" s="46" t="s">
        <v>70</v>
      </c>
      <c r="O21" s="47" t="s">
        <v>71</v>
      </c>
      <c r="V21" s="33"/>
      <c r="W21" s="33"/>
      <c r="X21" s="33"/>
      <c r="Y21" s="33"/>
      <c r="Z21" s="33"/>
    </row>
    <row r="22" spans="7:26" ht="14.25" customHeight="1" thickBot="1" x14ac:dyDescent="0.25">
      <c r="G22" s="22"/>
      <c r="H22" s="271"/>
      <c r="J22" s="51"/>
      <c r="K22" s="52"/>
      <c r="L22" s="52"/>
      <c r="M22" s="53"/>
      <c r="N22" s="46" t="s">
        <v>72</v>
      </c>
      <c r="O22" s="54" t="s">
        <v>73</v>
      </c>
      <c r="V22" s="33"/>
      <c r="W22" s="33"/>
      <c r="X22" s="33"/>
      <c r="Y22" s="33"/>
      <c r="Z22" s="33"/>
    </row>
    <row r="23" spans="7:26" ht="14.25" customHeight="1" thickBot="1" x14ac:dyDescent="0.25">
      <c r="G23" s="22"/>
      <c r="H23" s="271"/>
      <c r="J23" s="55"/>
      <c r="K23" s="56"/>
      <c r="L23" s="56"/>
      <c r="M23" s="57"/>
      <c r="N23" s="58">
        <v>386</v>
      </c>
      <c r="O23" s="58">
        <v>506000</v>
      </c>
      <c r="V23" s="33"/>
      <c r="W23" s="33"/>
      <c r="X23" s="33"/>
      <c r="Y23" s="33"/>
      <c r="Z23" s="33"/>
    </row>
    <row r="24" spans="7:26" ht="14.25" customHeight="1" x14ac:dyDescent="0.2">
      <c r="G24" s="22"/>
      <c r="H24" s="271"/>
      <c r="J24" s="51"/>
      <c r="K24" s="52"/>
      <c r="L24" s="52"/>
      <c r="M24" s="52"/>
      <c r="N24" s="59"/>
      <c r="O24" s="60"/>
      <c r="V24" s="33"/>
      <c r="W24" s="33"/>
      <c r="X24" s="33"/>
      <c r="Y24" s="33"/>
      <c r="Z24" s="33"/>
    </row>
    <row r="25" spans="7:26" ht="14.25" customHeight="1" thickBot="1" x14ac:dyDescent="0.25">
      <c r="G25" s="22"/>
      <c r="H25" s="272"/>
      <c r="J25" s="51"/>
      <c r="K25" s="52"/>
      <c r="L25" s="52"/>
      <c r="M25" s="52"/>
      <c r="N25" s="59"/>
      <c r="O25" s="60"/>
      <c r="V25" s="33"/>
      <c r="W25" s="33"/>
      <c r="X25" s="33"/>
      <c r="Y25" s="33"/>
      <c r="Z25" s="33"/>
    </row>
    <row r="26" spans="7:26" ht="14.25" customHeight="1" x14ac:dyDescent="0.2">
      <c r="G26" s="22"/>
      <c r="H26" s="272"/>
      <c r="J26" s="61"/>
      <c r="K26" s="62"/>
      <c r="L26" s="284" t="s">
        <v>74</v>
      </c>
      <c r="M26" s="285"/>
      <c r="N26" s="285"/>
      <c r="O26" s="285"/>
      <c r="P26" s="286"/>
      <c r="Q26" s="287"/>
      <c r="V26" s="33"/>
      <c r="W26" s="33"/>
      <c r="X26" s="33"/>
      <c r="Y26" s="33"/>
      <c r="Z26" s="33"/>
    </row>
    <row r="27" spans="7:26" ht="14.25" customHeight="1" x14ac:dyDescent="0.2">
      <c r="G27" s="22"/>
      <c r="H27" s="272"/>
      <c r="J27" s="63"/>
      <c r="L27" s="288"/>
      <c r="M27" s="289"/>
      <c r="N27" s="289"/>
      <c r="O27" s="289"/>
      <c r="P27" s="268"/>
      <c r="Q27" s="290"/>
      <c r="V27" s="33"/>
      <c r="W27" s="33"/>
      <c r="X27" s="33"/>
      <c r="Y27" s="33"/>
      <c r="Z27" s="33"/>
    </row>
    <row r="28" spans="7:26" ht="14.25" customHeight="1" x14ac:dyDescent="0.2">
      <c r="G28" s="22"/>
      <c r="H28" s="272"/>
      <c r="J28" s="63"/>
      <c r="L28" s="288"/>
      <c r="M28" s="289"/>
      <c r="N28" s="289"/>
      <c r="O28" s="289"/>
      <c r="P28" s="268"/>
      <c r="Q28" s="290"/>
      <c r="V28" s="33"/>
      <c r="W28" s="33"/>
      <c r="X28" s="33"/>
      <c r="Y28" s="33"/>
      <c r="Z28" s="33"/>
    </row>
    <row r="29" spans="7:26" ht="14.25" customHeight="1" x14ac:dyDescent="0.2">
      <c r="G29" s="22"/>
      <c r="H29" s="272"/>
      <c r="J29" s="63"/>
      <c r="L29" s="288"/>
      <c r="M29" s="289"/>
      <c r="N29" s="289"/>
      <c r="O29" s="289"/>
      <c r="P29" s="268"/>
      <c r="Q29" s="290"/>
      <c r="V29" s="33"/>
      <c r="W29" s="33"/>
      <c r="X29" s="33"/>
      <c r="Y29" s="33"/>
      <c r="Z29" s="33"/>
    </row>
    <row r="30" spans="7:26" ht="14.25" customHeight="1" thickBot="1" x14ac:dyDescent="0.25">
      <c r="G30" s="22"/>
      <c r="H30" s="272"/>
      <c r="J30" s="64"/>
      <c r="K30" s="65"/>
      <c r="L30" s="291"/>
      <c r="M30" s="292"/>
      <c r="N30" s="292"/>
      <c r="O30" s="292"/>
      <c r="P30" s="293"/>
      <c r="Q30" s="294"/>
      <c r="V30" s="33"/>
      <c r="W30" s="33"/>
      <c r="X30" s="33"/>
      <c r="Y30" s="33"/>
      <c r="Z30" s="33"/>
    </row>
    <row r="31" spans="7:26" ht="14.25" customHeight="1" thickBot="1" x14ac:dyDescent="0.25">
      <c r="G31" s="22"/>
      <c r="O31" s="28"/>
      <c r="V31" s="33"/>
      <c r="W31" s="33"/>
      <c r="X31" s="33"/>
      <c r="Y31" s="33"/>
      <c r="Z31" s="33"/>
    </row>
    <row r="32" spans="7:26" ht="14.25" customHeight="1" x14ac:dyDescent="0.2">
      <c r="G32" s="22"/>
      <c r="H32" s="255" t="s">
        <v>75</v>
      </c>
      <c r="J32" s="66" t="s">
        <v>76</v>
      </c>
      <c r="K32" s="67"/>
      <c r="L32" s="67"/>
      <c r="M32" s="67"/>
      <c r="N32" s="68"/>
      <c r="O32" s="69"/>
      <c r="V32" s="33"/>
      <c r="W32" s="33"/>
      <c r="X32" s="33"/>
      <c r="Y32" s="33"/>
      <c r="Z32" s="33"/>
    </row>
    <row r="33" spans="7:27" ht="14.25" customHeight="1" x14ac:dyDescent="0.15">
      <c r="G33" s="22"/>
      <c r="H33" s="256"/>
      <c r="J33" s="70" t="s">
        <v>77</v>
      </c>
      <c r="K33" s="71"/>
      <c r="L33" s="71"/>
      <c r="M33" s="71"/>
      <c r="N33" s="72">
        <f>L63</f>
        <v>2.5000000000000001E-2</v>
      </c>
      <c r="O33" s="69"/>
    </row>
    <row r="34" spans="7:27" ht="14.25" customHeight="1" x14ac:dyDescent="0.15">
      <c r="G34" s="22"/>
      <c r="H34" s="256"/>
      <c r="J34" s="73" t="s">
        <v>78</v>
      </c>
      <c r="K34" s="74"/>
      <c r="L34" s="74"/>
      <c r="M34" s="74"/>
      <c r="N34" s="75">
        <f>S34</f>
        <v>30</v>
      </c>
      <c r="O34" s="69"/>
      <c r="S34" s="16">
        <v>30</v>
      </c>
    </row>
    <row r="35" spans="7:27" ht="14.25" customHeight="1" x14ac:dyDescent="0.15">
      <c r="G35" s="22"/>
      <c r="H35" s="256"/>
      <c r="J35" s="73" t="s">
        <v>79</v>
      </c>
      <c r="K35" s="74"/>
      <c r="L35" s="74"/>
      <c r="M35" s="74"/>
      <c r="N35" s="76">
        <f>L65</f>
        <v>0.04</v>
      </c>
      <c r="O35" s="69"/>
    </row>
    <row r="36" spans="7:27" ht="14.25" customHeight="1" x14ac:dyDescent="0.15">
      <c r="G36" s="22"/>
      <c r="H36" s="256"/>
      <c r="J36" s="73" t="s">
        <v>80</v>
      </c>
      <c r="K36" s="74"/>
      <c r="L36" s="74"/>
      <c r="M36" s="74"/>
      <c r="N36" s="77">
        <f>L68</f>
        <v>1.4634146341463428E-2</v>
      </c>
      <c r="O36" s="69"/>
    </row>
    <row r="37" spans="7:27" ht="14.25" customHeight="1" x14ac:dyDescent="0.15">
      <c r="G37" s="22"/>
      <c r="H37" s="256"/>
      <c r="J37" s="73" t="s">
        <v>81</v>
      </c>
      <c r="K37" s="74"/>
      <c r="L37" s="74"/>
      <c r="M37" s="74"/>
      <c r="N37" s="76">
        <f>L70</f>
        <v>3.5000000000000003E-2</v>
      </c>
      <c r="O37" s="69"/>
    </row>
    <row r="38" spans="7:27" ht="14.25" customHeight="1" x14ac:dyDescent="0.15">
      <c r="G38" s="22"/>
      <c r="H38" s="256"/>
      <c r="J38" s="73" t="s">
        <v>82</v>
      </c>
      <c r="K38" s="74"/>
      <c r="L38" s="74"/>
      <c r="M38" s="74"/>
      <c r="N38" s="76">
        <f>L72</f>
        <v>8.7999999999999995E-2</v>
      </c>
      <c r="O38" s="69"/>
      <c r="W38" s="16" t="s">
        <v>83</v>
      </c>
    </row>
    <row r="39" spans="7:27" ht="14.25" customHeight="1" x14ac:dyDescent="0.15">
      <c r="G39" s="22"/>
      <c r="H39" s="256"/>
      <c r="J39" s="73" t="s">
        <v>84</v>
      </c>
      <c r="K39" s="74"/>
      <c r="L39" s="74"/>
      <c r="M39" s="74"/>
      <c r="N39" s="77">
        <f>L75</f>
        <v>6.1463414634146618E-2</v>
      </c>
      <c r="O39" s="69"/>
      <c r="Y39" s="257"/>
      <c r="Z39" s="257"/>
      <c r="AA39" s="257"/>
    </row>
    <row r="40" spans="7:27" ht="14.25" customHeight="1" x14ac:dyDescent="0.15">
      <c r="G40" s="22"/>
      <c r="H40" s="256"/>
      <c r="J40" s="73" t="s">
        <v>85</v>
      </c>
      <c r="K40" s="74"/>
      <c r="L40" s="74"/>
      <c r="M40" s="74"/>
      <c r="N40" s="76">
        <f>L78</f>
        <v>0.75900000000000001</v>
      </c>
      <c r="O40" s="28"/>
      <c r="Z40" s="78"/>
    </row>
    <row r="41" spans="7:27" ht="14.25" customHeight="1" x14ac:dyDescent="0.15">
      <c r="G41" s="22"/>
      <c r="H41" s="256"/>
      <c r="J41" s="73" t="s">
        <v>86</v>
      </c>
      <c r="K41" s="74"/>
      <c r="L41" s="74"/>
      <c r="M41" s="74"/>
      <c r="N41" s="76">
        <f>L80</f>
        <v>0.25740000000000002</v>
      </c>
      <c r="O41" s="69"/>
    </row>
    <row r="42" spans="7:27" ht="14.25" customHeight="1" x14ac:dyDescent="0.15">
      <c r="G42" s="22"/>
      <c r="H42" s="256"/>
      <c r="J42" s="73" t="s">
        <v>87</v>
      </c>
      <c r="K42" s="74"/>
      <c r="L42" s="74"/>
      <c r="M42" s="74"/>
      <c r="N42" s="79">
        <f>L82</f>
        <v>4.3753335999999997E-2</v>
      </c>
      <c r="O42" s="80"/>
      <c r="Y42" s="257"/>
      <c r="Z42" s="257"/>
      <c r="AA42" s="257"/>
    </row>
    <row r="43" spans="7:27" ht="14.25" customHeight="1" x14ac:dyDescent="0.15">
      <c r="G43" s="22"/>
      <c r="H43" s="256"/>
      <c r="J43" s="73" t="s">
        <v>88</v>
      </c>
      <c r="K43" s="74"/>
      <c r="L43" s="74"/>
      <c r="M43" s="74"/>
      <c r="N43" s="77">
        <f>L85</f>
        <v>1.8295937560975695E-2</v>
      </c>
      <c r="O43" s="69"/>
      <c r="U43" s="81"/>
      <c r="V43" s="81"/>
      <c r="W43" s="81"/>
      <c r="X43" s="81"/>
      <c r="Y43" s="81"/>
      <c r="Z43" s="81"/>
      <c r="AA43" s="81"/>
    </row>
    <row r="44" spans="7:27" ht="14.25" customHeight="1" x14ac:dyDescent="0.15">
      <c r="G44" s="22"/>
      <c r="H44" s="256"/>
      <c r="J44" s="82" t="s">
        <v>89</v>
      </c>
      <c r="K44" s="83"/>
      <c r="L44" s="83"/>
      <c r="M44" s="83"/>
      <c r="N44" s="84">
        <v>5</v>
      </c>
      <c r="O44" s="69"/>
    </row>
    <row r="45" spans="7:27" ht="14.25" customHeight="1" x14ac:dyDescent="0.15">
      <c r="G45" s="22"/>
      <c r="H45" s="256"/>
      <c r="J45" s="85" t="s">
        <v>90</v>
      </c>
      <c r="K45" s="86"/>
      <c r="L45" s="86"/>
      <c r="M45" s="86"/>
      <c r="N45" s="87">
        <f>SUMPRODUCT(K57:K59,L57:L59,M57:M59)+SUMPRODUCT(K57:K59,O57:O59,N57:N59)</f>
        <v>1.0244027558460844</v>
      </c>
      <c r="O45" s="69"/>
    </row>
    <row r="46" spans="7:27" ht="15" customHeight="1" x14ac:dyDescent="0.15">
      <c r="G46" s="22"/>
      <c r="H46" s="256"/>
      <c r="J46" s="85" t="s">
        <v>91</v>
      </c>
      <c r="K46" s="86"/>
      <c r="L46" s="86"/>
      <c r="M46" s="86"/>
      <c r="N46" s="87">
        <f>SUMPRODUCT(R56:W56,R58:W58)</f>
        <v>0.88881178975855901</v>
      </c>
      <c r="O46" s="69"/>
      <c r="U46" s="88"/>
    </row>
    <row r="47" spans="7:27" ht="15" customHeight="1" x14ac:dyDescent="0.15">
      <c r="G47" s="22"/>
      <c r="H47" s="256"/>
      <c r="J47" s="85" t="s">
        <v>92</v>
      </c>
      <c r="K47" s="86"/>
      <c r="L47" s="86"/>
      <c r="M47" s="86"/>
      <c r="N47" s="87">
        <f xml:space="preserve"> (1 - N41 * N46) / (1 - N41)</f>
        <v>1.0385400556371494</v>
      </c>
      <c r="O47" s="69"/>
    </row>
    <row r="48" spans="7:27" ht="15" customHeight="1" x14ac:dyDescent="0.15">
      <c r="G48" s="22"/>
      <c r="H48" s="256"/>
      <c r="J48" s="85" t="s">
        <v>93</v>
      </c>
      <c r="K48" s="86"/>
      <c r="L48" s="86"/>
      <c r="M48" s="86"/>
      <c r="N48" s="77">
        <f>L88</f>
        <v>6.0494177216606923E-2</v>
      </c>
      <c r="O48" s="69"/>
    </row>
    <row r="49" spans="7:43" ht="14.25" customHeight="1" x14ac:dyDescent="0.15">
      <c r="G49" s="22"/>
      <c r="H49" s="256"/>
      <c r="J49" s="85" t="s">
        <v>94</v>
      </c>
      <c r="K49" s="86"/>
      <c r="L49" s="86"/>
      <c r="M49" s="86"/>
      <c r="N49" s="77">
        <f>L91</f>
        <v>4.3610542466031188E-2</v>
      </c>
      <c r="O49" s="69"/>
    </row>
    <row r="50" spans="7:43" ht="14.25" customHeight="1" x14ac:dyDescent="0.15">
      <c r="G50" s="22"/>
      <c r="H50" s="256"/>
      <c r="J50" s="85" t="s">
        <v>95</v>
      </c>
      <c r="K50" s="86"/>
      <c r="L50" s="86"/>
      <c r="M50" s="86"/>
      <c r="N50" s="76">
        <v>0.02</v>
      </c>
      <c r="O50" s="69"/>
    </row>
    <row r="51" spans="7:43" ht="14.25" customHeight="1" thickBot="1" x14ac:dyDescent="0.2">
      <c r="G51" s="22"/>
      <c r="H51" s="256"/>
      <c r="J51" s="89" t="s">
        <v>96</v>
      </c>
      <c r="K51" s="90"/>
      <c r="L51" s="90"/>
      <c r="M51" s="90"/>
      <c r="N51" s="91">
        <f>N38+N50</f>
        <v>0.108</v>
      </c>
      <c r="O51" s="69"/>
      <c r="U51" s="88"/>
    </row>
    <row r="52" spans="7:43" ht="14.25" customHeight="1" x14ac:dyDescent="0.15">
      <c r="G52" s="22"/>
      <c r="H52" s="256"/>
      <c r="J52" s="92" t="s">
        <v>97</v>
      </c>
      <c r="K52" s="93"/>
      <c r="L52" s="94">
        <v>1</v>
      </c>
      <c r="O52" s="69"/>
      <c r="U52" s="88"/>
    </row>
    <row r="53" spans="7:43" ht="14.25" customHeight="1" x14ac:dyDescent="0.15">
      <c r="G53" s="22"/>
      <c r="H53" s="256"/>
      <c r="J53" s="95" t="s">
        <v>98</v>
      </c>
      <c r="K53" s="96" t="s">
        <v>99</v>
      </c>
      <c r="L53" s="97" t="s">
        <v>100</v>
      </c>
      <c r="M53" s="258" t="s">
        <v>101</v>
      </c>
      <c r="N53" s="261" t="s">
        <v>102</v>
      </c>
      <c r="O53" s="264" t="s">
        <v>103</v>
      </c>
      <c r="U53" s="88"/>
    </row>
    <row r="54" spans="7:43" ht="14.25" customHeight="1" thickBot="1" x14ac:dyDescent="0.2">
      <c r="G54" s="22"/>
      <c r="H54" s="256"/>
      <c r="J54" s="98" t="s">
        <v>104</v>
      </c>
      <c r="K54" s="78" t="s">
        <v>105</v>
      </c>
      <c r="L54" s="99" t="s">
        <v>106</v>
      </c>
      <c r="M54" s="259"/>
      <c r="N54" s="262"/>
      <c r="O54" s="265"/>
      <c r="U54" s="88"/>
    </row>
    <row r="55" spans="7:43" ht="14.25" customHeight="1" x14ac:dyDescent="0.15">
      <c r="G55" s="22"/>
      <c r="H55" s="256"/>
      <c r="J55" s="98"/>
      <c r="K55" s="78"/>
      <c r="L55" s="100"/>
      <c r="M55" s="259"/>
      <c r="N55" s="262"/>
      <c r="O55" s="265"/>
      <c r="Q55" s="101" t="s">
        <v>107</v>
      </c>
      <c r="R55" s="102">
        <v>1</v>
      </c>
      <c r="S55" s="102">
        <v>2</v>
      </c>
      <c r="T55" s="102">
        <v>3</v>
      </c>
      <c r="U55" s="102">
        <v>4</v>
      </c>
      <c r="V55" s="102">
        <v>5</v>
      </c>
      <c r="W55" s="103">
        <v>6</v>
      </c>
    </row>
    <row r="56" spans="7:43" ht="14.25" customHeight="1" x14ac:dyDescent="0.15">
      <c r="G56" s="22"/>
      <c r="H56" s="256"/>
      <c r="J56" s="98"/>
      <c r="K56" s="78"/>
      <c r="L56" s="100"/>
      <c r="M56" s="260"/>
      <c r="N56" s="263"/>
      <c r="O56" s="266"/>
      <c r="Q56" s="95" t="s">
        <v>108</v>
      </c>
      <c r="R56" s="104">
        <v>0.2</v>
      </c>
      <c r="S56" s="105">
        <v>0.32</v>
      </c>
      <c r="T56" s="105">
        <v>0.192</v>
      </c>
      <c r="U56" s="105">
        <v>0.1152</v>
      </c>
      <c r="V56" s="105">
        <v>0.1152</v>
      </c>
      <c r="W56" s="106">
        <v>5.7599999999999998E-2</v>
      </c>
    </row>
    <row r="57" spans="7:43" ht="14.25" customHeight="1" thickBot="1" x14ac:dyDescent="0.2">
      <c r="G57" s="22"/>
      <c r="H57" s="256"/>
      <c r="J57" s="107">
        <v>0</v>
      </c>
      <c r="K57" s="108">
        <v>1</v>
      </c>
      <c r="L57" s="109">
        <f>1+((1+N37)^(J57+0.5)-1)</f>
        <v>1.0173494974687902</v>
      </c>
      <c r="M57" s="108">
        <v>0.8</v>
      </c>
      <c r="N57" s="110">
        <f>1-M57</f>
        <v>0.19999999999999996</v>
      </c>
      <c r="O57" s="109">
        <f>1+((1+$N$51)^(J57+0.5)-1)</f>
        <v>1.0526157893552615</v>
      </c>
      <c r="Q57" s="111" t="s">
        <v>105</v>
      </c>
      <c r="R57" s="112"/>
      <c r="S57" s="112"/>
      <c r="T57" s="112"/>
      <c r="U57" s="112"/>
      <c r="V57" s="112"/>
      <c r="W57" s="113"/>
    </row>
    <row r="58" spans="7:43" ht="14.25" customHeight="1" x14ac:dyDescent="0.15">
      <c r="G58" s="22"/>
      <c r="H58" s="256"/>
      <c r="J58" s="114">
        <v>1</v>
      </c>
      <c r="K58" s="115">
        <v>0</v>
      </c>
      <c r="L58" s="116">
        <f>1+((1+N37)^(J58+0.5)-1)</f>
        <v>1.0529567298801978</v>
      </c>
      <c r="M58" s="115">
        <v>0.8</v>
      </c>
      <c r="N58" s="117">
        <f>1-M58</f>
        <v>0.19999999999999996</v>
      </c>
      <c r="O58" s="116">
        <f>1+((1+$N$51)^(J58+0.5)-1)</f>
        <v>1.1662982946056297</v>
      </c>
      <c r="Q58" s="118" t="s">
        <v>108</v>
      </c>
      <c r="R58" s="119">
        <f t="shared" ref="R58:W58" si="0">1/((1+$N$43)*(1+$N$33))^R55</f>
        <v>0.95808077014855164</v>
      </c>
      <c r="S58" s="119">
        <f t="shared" si="0"/>
        <v>0.91791876212844192</v>
      </c>
      <c r="T58" s="119">
        <f t="shared" si="0"/>
        <v>0.87944031455382288</v>
      </c>
      <c r="U58" s="119">
        <f t="shared" si="0"/>
        <v>0.84257485386741116</v>
      </c>
      <c r="V58" s="119">
        <f t="shared" si="0"/>
        <v>0.80725476490109271</v>
      </c>
      <c r="W58" s="119">
        <f t="shared" si="0"/>
        <v>0.77341526686252693</v>
      </c>
    </row>
    <row r="59" spans="7:43" ht="14.25" customHeight="1" thickBot="1" x14ac:dyDescent="0.2">
      <c r="G59" s="22"/>
      <c r="H59" s="256"/>
      <c r="J59" s="120">
        <v>2</v>
      </c>
      <c r="K59" s="121">
        <v>0</v>
      </c>
      <c r="L59" s="122">
        <f>1+((1+N37)^(J59+0.5)-1)</f>
        <v>1.0898102154260045</v>
      </c>
      <c r="M59" s="121">
        <v>0.8</v>
      </c>
      <c r="N59" s="123">
        <f>1-M59</f>
        <v>0.19999999999999996</v>
      </c>
      <c r="O59" s="122">
        <f>1+((1+$N$51)^(J59+0.5)-1)</f>
        <v>1.292258510423038</v>
      </c>
      <c r="Q59" s="124" t="s">
        <v>109</v>
      </c>
      <c r="R59" s="125"/>
      <c r="S59" s="125"/>
      <c r="T59" s="125"/>
      <c r="U59" s="125"/>
      <c r="V59" s="125"/>
      <c r="W59" s="126"/>
    </row>
    <row r="60" spans="7:43" ht="14.25" customHeight="1" x14ac:dyDescent="0.15">
      <c r="G60" s="22"/>
      <c r="H60" s="256"/>
      <c r="T60" s="69"/>
      <c r="U60" s="88"/>
    </row>
    <row r="61" spans="7:43" ht="14.25" customHeight="1" x14ac:dyDescent="0.15">
      <c r="G61" s="22"/>
      <c r="H61" s="256"/>
      <c r="L61" s="16" t="s">
        <v>110</v>
      </c>
      <c r="T61" s="127"/>
      <c r="U61" s="88"/>
    </row>
    <row r="62" spans="7:43" ht="14.25" customHeight="1" x14ac:dyDescent="0.15">
      <c r="G62" s="22"/>
      <c r="H62" s="256"/>
      <c r="L62" s="128">
        <v>2019</v>
      </c>
      <c r="M62" s="128">
        <v>2020</v>
      </c>
      <c r="N62" s="128">
        <v>2021</v>
      </c>
      <c r="O62" s="128">
        <v>2022</v>
      </c>
      <c r="P62" s="128">
        <v>2023</v>
      </c>
      <c r="Q62" s="128">
        <v>2024</v>
      </c>
      <c r="R62" s="128">
        <v>2025</v>
      </c>
      <c r="S62" s="128">
        <v>2026</v>
      </c>
      <c r="T62" s="128">
        <v>2027</v>
      </c>
      <c r="U62" s="128">
        <v>2028</v>
      </c>
      <c r="V62" s="128">
        <v>2029</v>
      </c>
      <c r="W62" s="128">
        <v>2030</v>
      </c>
      <c r="X62" s="128">
        <v>2031</v>
      </c>
      <c r="Y62" s="128">
        <v>2032</v>
      </c>
      <c r="Z62" s="128">
        <v>2033</v>
      </c>
      <c r="AA62" s="128">
        <v>2034</v>
      </c>
      <c r="AB62" s="128">
        <v>2035</v>
      </c>
      <c r="AC62" s="128">
        <v>2036</v>
      </c>
      <c r="AD62" s="128">
        <v>2037</v>
      </c>
      <c r="AE62" s="128">
        <v>2038</v>
      </c>
      <c r="AF62" s="128">
        <v>2039</v>
      </c>
      <c r="AG62" s="128">
        <v>2040</v>
      </c>
      <c r="AH62" s="128">
        <v>2041</v>
      </c>
      <c r="AI62" s="128">
        <v>2042</v>
      </c>
      <c r="AJ62" s="128">
        <v>2043</v>
      </c>
      <c r="AK62" s="128">
        <v>2044</v>
      </c>
      <c r="AL62" s="128">
        <v>2045</v>
      </c>
      <c r="AM62" s="128">
        <v>2046</v>
      </c>
      <c r="AN62" s="128">
        <v>2047</v>
      </c>
      <c r="AO62" s="128">
        <v>2048</v>
      </c>
      <c r="AP62" s="128">
        <v>2049</v>
      </c>
      <c r="AQ62" s="128">
        <v>2050</v>
      </c>
    </row>
    <row r="63" spans="7:43" ht="14.25" customHeight="1" x14ac:dyDescent="0.15">
      <c r="G63" s="22"/>
      <c r="H63" s="256"/>
      <c r="J63" s="267" t="s">
        <v>62</v>
      </c>
      <c r="K63" s="129" t="s">
        <v>77</v>
      </c>
      <c r="L63" s="130">
        <f>'[1]WACC Calc'!F420</f>
        <v>2.5000000000000001E-2</v>
      </c>
      <c r="M63" s="130">
        <f>'[1]WACC Calc'!G420</f>
        <v>2.5000000000000001E-2</v>
      </c>
      <c r="N63" s="130">
        <f>'[1]WACC Calc'!H420</f>
        <v>2.5000000000000001E-2</v>
      </c>
      <c r="O63" s="130">
        <f>'[1]WACC Calc'!I420</f>
        <v>2.5000000000000001E-2</v>
      </c>
      <c r="P63" s="130">
        <f>'[1]WACC Calc'!J420</f>
        <v>2.5000000000000001E-2</v>
      </c>
      <c r="Q63" s="130">
        <f>'[1]WACC Calc'!K420</f>
        <v>2.5000000000000001E-2</v>
      </c>
      <c r="R63" s="130">
        <f>'[1]WACC Calc'!L420</f>
        <v>2.5000000000000001E-2</v>
      </c>
      <c r="S63" s="130">
        <f>'[1]WACC Calc'!M420</f>
        <v>2.5000000000000001E-2</v>
      </c>
      <c r="T63" s="130">
        <f>'[1]WACC Calc'!N420</f>
        <v>2.5000000000000001E-2</v>
      </c>
      <c r="U63" s="130">
        <f>'[1]WACC Calc'!O420</f>
        <v>2.5000000000000001E-2</v>
      </c>
      <c r="V63" s="130">
        <f>'[1]WACC Calc'!P420</f>
        <v>2.5000000000000001E-2</v>
      </c>
      <c r="W63" s="130">
        <f>'[1]WACC Calc'!Q420</f>
        <v>2.5000000000000001E-2</v>
      </c>
      <c r="X63" s="130">
        <f>'[1]WACC Calc'!R420</f>
        <v>2.5000000000000001E-2</v>
      </c>
      <c r="Y63" s="130">
        <f>'[1]WACC Calc'!S420</f>
        <v>2.5000000000000001E-2</v>
      </c>
      <c r="Z63" s="130">
        <f>'[1]WACC Calc'!T420</f>
        <v>2.5000000000000001E-2</v>
      </c>
      <c r="AA63" s="130">
        <f>'[1]WACC Calc'!U420</f>
        <v>2.5000000000000001E-2</v>
      </c>
      <c r="AB63" s="130">
        <f>'[1]WACC Calc'!V420</f>
        <v>2.5000000000000001E-2</v>
      </c>
      <c r="AC63" s="130">
        <f>'[1]WACC Calc'!W420</f>
        <v>2.5000000000000001E-2</v>
      </c>
      <c r="AD63" s="130">
        <f>'[1]WACC Calc'!X420</f>
        <v>2.5000000000000001E-2</v>
      </c>
      <c r="AE63" s="130">
        <f>'[1]WACC Calc'!Y420</f>
        <v>2.5000000000000001E-2</v>
      </c>
      <c r="AF63" s="130">
        <f>'[1]WACC Calc'!Z420</f>
        <v>2.5000000000000001E-2</v>
      </c>
      <c r="AG63" s="130">
        <f>'[1]WACC Calc'!AA420</f>
        <v>2.5000000000000001E-2</v>
      </c>
      <c r="AH63" s="130">
        <f>'[1]WACC Calc'!AB420</f>
        <v>2.5000000000000001E-2</v>
      </c>
      <c r="AI63" s="130">
        <f>'[1]WACC Calc'!AC420</f>
        <v>2.5000000000000001E-2</v>
      </c>
      <c r="AJ63" s="130">
        <f>'[1]WACC Calc'!AD420</f>
        <v>2.5000000000000001E-2</v>
      </c>
      <c r="AK63" s="130">
        <f>'[1]WACC Calc'!AE420</f>
        <v>2.5000000000000001E-2</v>
      </c>
      <c r="AL63" s="130">
        <f>'[1]WACC Calc'!AF420</f>
        <v>2.5000000000000001E-2</v>
      </c>
      <c r="AM63" s="130">
        <f>'[1]WACC Calc'!AG420</f>
        <v>2.5000000000000001E-2</v>
      </c>
      <c r="AN63" s="130">
        <f>'[1]WACC Calc'!AH420</f>
        <v>2.5000000000000001E-2</v>
      </c>
      <c r="AO63" s="130">
        <f>'[1]WACC Calc'!AI420</f>
        <v>2.5000000000000001E-2</v>
      </c>
      <c r="AP63" s="130">
        <f>'[1]WACC Calc'!AJ420</f>
        <v>2.5000000000000001E-2</v>
      </c>
      <c r="AQ63" s="130">
        <f>'[1]WACC Calc'!AK420</f>
        <v>2.5000000000000001E-2</v>
      </c>
    </row>
    <row r="64" spans="7:43" ht="14.25" customHeight="1" x14ac:dyDescent="0.15">
      <c r="G64" s="22"/>
      <c r="H64" s="256"/>
      <c r="J64" s="267"/>
      <c r="K64" s="129" t="s">
        <v>111</v>
      </c>
      <c r="L64" s="130">
        <f>'[1]WACC Calc'!F421</f>
        <v>0.04</v>
      </c>
      <c r="M64" s="130">
        <f>'[1]WACC Calc'!G421</f>
        <v>0.04</v>
      </c>
      <c r="N64" s="130">
        <f>'[1]WACC Calc'!H421</f>
        <v>0.04</v>
      </c>
      <c r="O64" s="130">
        <f>'[1]WACC Calc'!I421</f>
        <v>0.04</v>
      </c>
      <c r="P64" s="130">
        <f>'[1]WACC Calc'!J421</f>
        <v>0.04</v>
      </c>
      <c r="Q64" s="130">
        <f>'[1]WACC Calc'!K421</f>
        <v>0.04</v>
      </c>
      <c r="R64" s="130">
        <f>'[1]WACC Calc'!L421</f>
        <v>0.04</v>
      </c>
      <c r="S64" s="130">
        <f>'[1]WACC Calc'!M421</f>
        <v>0.04</v>
      </c>
      <c r="T64" s="130">
        <f>'[1]WACC Calc'!N421</f>
        <v>0.04</v>
      </c>
      <c r="U64" s="130">
        <f>'[1]WACC Calc'!O421</f>
        <v>0.04</v>
      </c>
      <c r="V64" s="130">
        <f>'[1]WACC Calc'!P421</f>
        <v>0.04</v>
      </c>
      <c r="W64" s="130">
        <f>'[1]WACC Calc'!Q421</f>
        <v>0.04</v>
      </c>
      <c r="X64" s="130">
        <f>'[1]WACC Calc'!R421</f>
        <v>0.04</v>
      </c>
      <c r="Y64" s="130">
        <f>'[1]WACC Calc'!S421</f>
        <v>0.04</v>
      </c>
      <c r="Z64" s="130">
        <f>'[1]WACC Calc'!T421</f>
        <v>0.04</v>
      </c>
      <c r="AA64" s="130">
        <f>'[1]WACC Calc'!U421</f>
        <v>0.04</v>
      </c>
      <c r="AB64" s="130">
        <f>'[1]WACC Calc'!V421</f>
        <v>0.04</v>
      </c>
      <c r="AC64" s="130">
        <f>'[1]WACC Calc'!W421</f>
        <v>0.04</v>
      </c>
      <c r="AD64" s="130">
        <f>'[1]WACC Calc'!X421</f>
        <v>0.04</v>
      </c>
      <c r="AE64" s="130">
        <f>'[1]WACC Calc'!Y421</f>
        <v>0.04</v>
      </c>
      <c r="AF64" s="130">
        <f>'[1]WACC Calc'!Z421</f>
        <v>0.04</v>
      </c>
      <c r="AG64" s="130">
        <f>'[1]WACC Calc'!AA421</f>
        <v>0.04</v>
      </c>
      <c r="AH64" s="130">
        <f>'[1]WACC Calc'!AB421</f>
        <v>0.04</v>
      </c>
      <c r="AI64" s="130">
        <f>'[1]WACC Calc'!AC421</f>
        <v>0.04</v>
      </c>
      <c r="AJ64" s="130">
        <f>'[1]WACC Calc'!AD421</f>
        <v>0.04</v>
      </c>
      <c r="AK64" s="130">
        <f>'[1]WACC Calc'!AE421</f>
        <v>0.04</v>
      </c>
      <c r="AL64" s="130">
        <f>'[1]WACC Calc'!AF421</f>
        <v>0.04</v>
      </c>
      <c r="AM64" s="130">
        <f>'[1]WACC Calc'!AG421</f>
        <v>0.04</v>
      </c>
      <c r="AN64" s="130">
        <f>'[1]WACC Calc'!AH421</f>
        <v>0.04</v>
      </c>
      <c r="AO64" s="130">
        <f>'[1]WACC Calc'!AI421</f>
        <v>0.04</v>
      </c>
      <c r="AP64" s="130">
        <f>'[1]WACC Calc'!AJ421</f>
        <v>0.04</v>
      </c>
      <c r="AQ64" s="130">
        <f>'[1]WACC Calc'!AK421</f>
        <v>0.04</v>
      </c>
    </row>
    <row r="65" spans="7:43" ht="14.25" customHeight="1" x14ac:dyDescent="0.15">
      <c r="G65" s="22"/>
      <c r="H65" s="256"/>
      <c r="J65" s="267"/>
      <c r="K65" s="129" t="s">
        <v>79</v>
      </c>
      <c r="L65" s="130">
        <f>'[1]WACC Calc'!F422</f>
        <v>0.04</v>
      </c>
      <c r="M65" s="130">
        <f>'[1]WACC Calc'!G422</f>
        <v>0.04</v>
      </c>
      <c r="N65" s="130">
        <f>'[1]WACC Calc'!H422</f>
        <v>0.04</v>
      </c>
      <c r="O65" s="130">
        <f>'[1]WACC Calc'!I422</f>
        <v>0.04</v>
      </c>
      <c r="P65" s="130">
        <f>'[1]WACC Calc'!J422</f>
        <v>0.04</v>
      </c>
      <c r="Q65" s="130">
        <f>'[1]WACC Calc'!K422</f>
        <v>0.04</v>
      </c>
      <c r="R65" s="130">
        <f>'[1]WACC Calc'!L422</f>
        <v>0.04</v>
      </c>
      <c r="S65" s="130">
        <f>'[1]WACC Calc'!M422</f>
        <v>0.04</v>
      </c>
      <c r="T65" s="130">
        <f>'[1]WACC Calc'!N422</f>
        <v>0.04</v>
      </c>
      <c r="U65" s="130">
        <f>'[1]WACC Calc'!O422</f>
        <v>0.04</v>
      </c>
      <c r="V65" s="130">
        <f>'[1]WACC Calc'!P422</f>
        <v>0.04</v>
      </c>
      <c r="W65" s="130">
        <f>'[1]WACC Calc'!Q422</f>
        <v>0.04</v>
      </c>
      <c r="X65" s="130">
        <f>'[1]WACC Calc'!R422</f>
        <v>0.04</v>
      </c>
      <c r="Y65" s="130">
        <f>'[1]WACC Calc'!S422</f>
        <v>0.04</v>
      </c>
      <c r="Z65" s="130">
        <f>'[1]WACC Calc'!T422</f>
        <v>0.04</v>
      </c>
      <c r="AA65" s="130">
        <f>'[1]WACC Calc'!U422</f>
        <v>0.04</v>
      </c>
      <c r="AB65" s="130">
        <f>'[1]WACC Calc'!V422</f>
        <v>0.04</v>
      </c>
      <c r="AC65" s="130">
        <f>'[1]WACC Calc'!W422</f>
        <v>0.04</v>
      </c>
      <c r="AD65" s="130">
        <f>'[1]WACC Calc'!X422</f>
        <v>0.04</v>
      </c>
      <c r="AE65" s="130">
        <f>'[1]WACC Calc'!Y422</f>
        <v>0.04</v>
      </c>
      <c r="AF65" s="130">
        <f>'[1]WACC Calc'!Z422</f>
        <v>0.04</v>
      </c>
      <c r="AG65" s="130">
        <f>'[1]WACC Calc'!AA422</f>
        <v>0.04</v>
      </c>
      <c r="AH65" s="130">
        <f>'[1]WACC Calc'!AB422</f>
        <v>0.04</v>
      </c>
      <c r="AI65" s="130">
        <f>'[1]WACC Calc'!AC422</f>
        <v>0.04</v>
      </c>
      <c r="AJ65" s="130">
        <f>'[1]WACC Calc'!AD422</f>
        <v>0.04</v>
      </c>
      <c r="AK65" s="130">
        <f>'[1]WACC Calc'!AE422</f>
        <v>0.04</v>
      </c>
      <c r="AL65" s="130">
        <f>'[1]WACC Calc'!AF422</f>
        <v>0.04</v>
      </c>
      <c r="AM65" s="130">
        <f>'[1]WACC Calc'!AG422</f>
        <v>0.04</v>
      </c>
      <c r="AN65" s="130">
        <f>'[1]WACC Calc'!AH422</f>
        <v>0.04</v>
      </c>
      <c r="AO65" s="130">
        <f>'[1]WACC Calc'!AI422</f>
        <v>0.04</v>
      </c>
      <c r="AP65" s="130">
        <f>'[1]WACC Calc'!AJ422</f>
        <v>0.04</v>
      </c>
      <c r="AQ65" s="130">
        <f>'[1]WACC Calc'!AK422</f>
        <v>0.04</v>
      </c>
    </row>
    <row r="66" spans="7:43" ht="14.25" customHeight="1" x14ac:dyDescent="0.15">
      <c r="G66" s="22"/>
      <c r="H66" s="256"/>
      <c r="J66" s="267"/>
      <c r="K66" s="129" t="s">
        <v>112</v>
      </c>
      <c r="L66" s="130">
        <f>'[1]WACC Calc'!F423</f>
        <v>0.04</v>
      </c>
      <c r="M66" s="130">
        <f>'[1]WACC Calc'!G423</f>
        <v>0.04</v>
      </c>
      <c r="N66" s="130">
        <f>'[1]WACC Calc'!H423</f>
        <v>0.04</v>
      </c>
      <c r="O66" s="130">
        <f>'[1]WACC Calc'!I423</f>
        <v>0.04</v>
      </c>
      <c r="P66" s="130">
        <f>'[1]WACC Calc'!J423</f>
        <v>0.04</v>
      </c>
      <c r="Q66" s="130">
        <f>'[1]WACC Calc'!K423</f>
        <v>0.04</v>
      </c>
      <c r="R66" s="130">
        <f>'[1]WACC Calc'!L423</f>
        <v>0.04</v>
      </c>
      <c r="S66" s="130">
        <f>'[1]WACC Calc'!M423</f>
        <v>0.04</v>
      </c>
      <c r="T66" s="130">
        <f>'[1]WACC Calc'!N423</f>
        <v>0.04</v>
      </c>
      <c r="U66" s="130">
        <f>'[1]WACC Calc'!O423</f>
        <v>0.04</v>
      </c>
      <c r="V66" s="130">
        <f>'[1]WACC Calc'!P423</f>
        <v>0.04</v>
      </c>
      <c r="W66" s="130">
        <f>'[1]WACC Calc'!Q423</f>
        <v>0.04</v>
      </c>
      <c r="X66" s="130">
        <f>'[1]WACC Calc'!R423</f>
        <v>0.04</v>
      </c>
      <c r="Y66" s="130">
        <f>'[1]WACC Calc'!S423</f>
        <v>0.04</v>
      </c>
      <c r="Z66" s="130">
        <f>'[1]WACC Calc'!T423</f>
        <v>0.04</v>
      </c>
      <c r="AA66" s="130">
        <f>'[1]WACC Calc'!U423</f>
        <v>0.04</v>
      </c>
      <c r="AB66" s="130">
        <f>'[1]WACC Calc'!V423</f>
        <v>0.04</v>
      </c>
      <c r="AC66" s="130">
        <f>'[1]WACC Calc'!W423</f>
        <v>0.04</v>
      </c>
      <c r="AD66" s="130">
        <f>'[1]WACC Calc'!X423</f>
        <v>0.04</v>
      </c>
      <c r="AE66" s="130">
        <f>'[1]WACC Calc'!Y423</f>
        <v>0.04</v>
      </c>
      <c r="AF66" s="130">
        <f>'[1]WACC Calc'!Z423</f>
        <v>0.04</v>
      </c>
      <c r="AG66" s="130">
        <f>'[1]WACC Calc'!AA423</f>
        <v>0.04</v>
      </c>
      <c r="AH66" s="130">
        <f>'[1]WACC Calc'!AB423</f>
        <v>0.04</v>
      </c>
      <c r="AI66" s="130">
        <f>'[1]WACC Calc'!AC423</f>
        <v>0.04</v>
      </c>
      <c r="AJ66" s="130">
        <f>'[1]WACC Calc'!AD423</f>
        <v>0.04</v>
      </c>
      <c r="AK66" s="130">
        <f>'[1]WACC Calc'!AE423</f>
        <v>0.04</v>
      </c>
      <c r="AL66" s="130">
        <f>'[1]WACC Calc'!AF423</f>
        <v>0.04</v>
      </c>
      <c r="AM66" s="130">
        <f>'[1]WACC Calc'!AG423</f>
        <v>0.04</v>
      </c>
      <c r="AN66" s="130">
        <f>'[1]WACC Calc'!AH423</f>
        <v>0.04</v>
      </c>
      <c r="AO66" s="130">
        <f>'[1]WACC Calc'!AI423</f>
        <v>0.04</v>
      </c>
      <c r="AP66" s="130">
        <f>'[1]WACC Calc'!AJ423</f>
        <v>0.04</v>
      </c>
      <c r="AQ66" s="130">
        <f>'[1]WACC Calc'!AK423</f>
        <v>0.04</v>
      </c>
    </row>
    <row r="67" spans="7:43" ht="14.25" customHeight="1" x14ac:dyDescent="0.15">
      <c r="G67" s="22"/>
      <c r="H67" s="256"/>
      <c r="J67" s="267"/>
      <c r="K67" s="129" t="s">
        <v>113</v>
      </c>
      <c r="L67" s="130">
        <f>'[1]WACC Calc'!F424</f>
        <v>1.4634146341463428E-2</v>
      </c>
      <c r="M67" s="130">
        <f>'[1]WACC Calc'!G424</f>
        <v>1.4634146341463428E-2</v>
      </c>
      <c r="N67" s="130">
        <f>'[1]WACC Calc'!H424</f>
        <v>1.4634146341463428E-2</v>
      </c>
      <c r="O67" s="130">
        <f>'[1]WACC Calc'!I424</f>
        <v>1.4634146341463428E-2</v>
      </c>
      <c r="P67" s="130">
        <f>'[1]WACC Calc'!J424</f>
        <v>1.4634146341463428E-2</v>
      </c>
      <c r="Q67" s="130">
        <f>'[1]WACC Calc'!K424</f>
        <v>1.4634146341463428E-2</v>
      </c>
      <c r="R67" s="130">
        <f>'[1]WACC Calc'!L424</f>
        <v>1.4634146341463428E-2</v>
      </c>
      <c r="S67" s="130">
        <f>'[1]WACC Calc'!M424</f>
        <v>1.4634146341463428E-2</v>
      </c>
      <c r="T67" s="130">
        <f>'[1]WACC Calc'!N424</f>
        <v>1.4634146341463428E-2</v>
      </c>
      <c r="U67" s="130">
        <f>'[1]WACC Calc'!O424</f>
        <v>1.4634146341463428E-2</v>
      </c>
      <c r="V67" s="130">
        <f>'[1]WACC Calc'!P424</f>
        <v>1.4634146341463428E-2</v>
      </c>
      <c r="W67" s="130">
        <f>'[1]WACC Calc'!Q424</f>
        <v>1.4634146341463428E-2</v>
      </c>
      <c r="X67" s="130">
        <f>'[1]WACC Calc'!R424</f>
        <v>1.4634146341463428E-2</v>
      </c>
      <c r="Y67" s="130">
        <f>'[1]WACC Calc'!S424</f>
        <v>1.4634146341463428E-2</v>
      </c>
      <c r="Z67" s="130">
        <f>'[1]WACC Calc'!T424</f>
        <v>1.4634146341463428E-2</v>
      </c>
      <c r="AA67" s="130">
        <f>'[1]WACC Calc'!U424</f>
        <v>1.4634146341463428E-2</v>
      </c>
      <c r="AB67" s="130">
        <f>'[1]WACC Calc'!V424</f>
        <v>1.4634146341463428E-2</v>
      </c>
      <c r="AC67" s="130">
        <f>'[1]WACC Calc'!W424</f>
        <v>1.4634146341463428E-2</v>
      </c>
      <c r="AD67" s="130">
        <f>'[1]WACC Calc'!X424</f>
        <v>1.4634146341463428E-2</v>
      </c>
      <c r="AE67" s="130">
        <f>'[1]WACC Calc'!Y424</f>
        <v>1.4634146341463428E-2</v>
      </c>
      <c r="AF67" s="130">
        <f>'[1]WACC Calc'!Z424</f>
        <v>1.4634146341463428E-2</v>
      </c>
      <c r="AG67" s="130">
        <f>'[1]WACC Calc'!AA424</f>
        <v>1.4634146341463428E-2</v>
      </c>
      <c r="AH67" s="130">
        <f>'[1]WACC Calc'!AB424</f>
        <v>1.4634146341463428E-2</v>
      </c>
      <c r="AI67" s="130">
        <f>'[1]WACC Calc'!AC424</f>
        <v>1.4634146341463428E-2</v>
      </c>
      <c r="AJ67" s="130">
        <f>'[1]WACC Calc'!AD424</f>
        <v>1.4634146341463428E-2</v>
      </c>
      <c r="AK67" s="130">
        <f>'[1]WACC Calc'!AE424</f>
        <v>1.4634146341463428E-2</v>
      </c>
      <c r="AL67" s="130">
        <f>'[1]WACC Calc'!AF424</f>
        <v>1.4634146341463428E-2</v>
      </c>
      <c r="AM67" s="130">
        <f>'[1]WACC Calc'!AG424</f>
        <v>1.4634146341463428E-2</v>
      </c>
      <c r="AN67" s="130">
        <f>'[1]WACC Calc'!AH424</f>
        <v>1.4634146341463428E-2</v>
      </c>
      <c r="AO67" s="130">
        <f>'[1]WACC Calc'!AI424</f>
        <v>1.4634146341463428E-2</v>
      </c>
      <c r="AP67" s="130">
        <f>'[1]WACC Calc'!AJ424</f>
        <v>1.4634146341463428E-2</v>
      </c>
      <c r="AQ67" s="130">
        <f>'[1]WACC Calc'!AK424</f>
        <v>1.4634146341463428E-2</v>
      </c>
    </row>
    <row r="68" spans="7:43" ht="14.25" customHeight="1" x14ac:dyDescent="0.15">
      <c r="G68" s="22"/>
      <c r="H68" s="256"/>
      <c r="J68" s="267"/>
      <c r="K68" s="129" t="s">
        <v>80</v>
      </c>
      <c r="L68" s="130">
        <f>'[1]WACC Calc'!F425</f>
        <v>1.4634146341463428E-2</v>
      </c>
      <c r="M68" s="130">
        <f>'[1]WACC Calc'!G425</f>
        <v>1.4634146341463428E-2</v>
      </c>
      <c r="N68" s="130">
        <f>'[1]WACC Calc'!H425</f>
        <v>1.4634146341463428E-2</v>
      </c>
      <c r="O68" s="130">
        <f>'[1]WACC Calc'!I425</f>
        <v>1.4634146341463428E-2</v>
      </c>
      <c r="P68" s="130">
        <f>'[1]WACC Calc'!J425</f>
        <v>1.4634146341463428E-2</v>
      </c>
      <c r="Q68" s="130">
        <f>'[1]WACC Calc'!K425</f>
        <v>1.4634146341463428E-2</v>
      </c>
      <c r="R68" s="130">
        <f>'[1]WACC Calc'!L425</f>
        <v>1.4634146341463428E-2</v>
      </c>
      <c r="S68" s="130">
        <f>'[1]WACC Calc'!M425</f>
        <v>1.4634146341463428E-2</v>
      </c>
      <c r="T68" s="130">
        <f>'[1]WACC Calc'!N425</f>
        <v>1.4634146341463428E-2</v>
      </c>
      <c r="U68" s="130">
        <f>'[1]WACC Calc'!O425</f>
        <v>1.4634146341463428E-2</v>
      </c>
      <c r="V68" s="130">
        <f>'[1]WACC Calc'!P425</f>
        <v>1.4634146341463428E-2</v>
      </c>
      <c r="W68" s="130">
        <f>'[1]WACC Calc'!Q425</f>
        <v>1.4634146341463428E-2</v>
      </c>
      <c r="X68" s="130">
        <f>'[1]WACC Calc'!R425</f>
        <v>1.4634146341463428E-2</v>
      </c>
      <c r="Y68" s="130">
        <f>'[1]WACC Calc'!S425</f>
        <v>1.4634146341463428E-2</v>
      </c>
      <c r="Z68" s="130">
        <f>'[1]WACC Calc'!T425</f>
        <v>1.4634146341463428E-2</v>
      </c>
      <c r="AA68" s="130">
        <f>'[1]WACC Calc'!U425</f>
        <v>1.4634146341463428E-2</v>
      </c>
      <c r="AB68" s="130">
        <f>'[1]WACC Calc'!V425</f>
        <v>1.4634146341463428E-2</v>
      </c>
      <c r="AC68" s="130">
        <f>'[1]WACC Calc'!W425</f>
        <v>1.4634146341463428E-2</v>
      </c>
      <c r="AD68" s="130">
        <f>'[1]WACC Calc'!X425</f>
        <v>1.4634146341463428E-2</v>
      </c>
      <c r="AE68" s="130">
        <f>'[1]WACC Calc'!Y425</f>
        <v>1.4634146341463428E-2</v>
      </c>
      <c r="AF68" s="130">
        <f>'[1]WACC Calc'!Z425</f>
        <v>1.4634146341463428E-2</v>
      </c>
      <c r="AG68" s="130">
        <f>'[1]WACC Calc'!AA425</f>
        <v>1.4634146341463428E-2</v>
      </c>
      <c r="AH68" s="130">
        <f>'[1]WACC Calc'!AB425</f>
        <v>1.4634146341463428E-2</v>
      </c>
      <c r="AI68" s="130">
        <f>'[1]WACC Calc'!AC425</f>
        <v>1.4634146341463428E-2</v>
      </c>
      <c r="AJ68" s="130">
        <f>'[1]WACC Calc'!AD425</f>
        <v>1.4634146341463428E-2</v>
      </c>
      <c r="AK68" s="130">
        <f>'[1]WACC Calc'!AE425</f>
        <v>1.4634146341463428E-2</v>
      </c>
      <c r="AL68" s="130">
        <f>'[1]WACC Calc'!AF425</f>
        <v>1.4634146341463428E-2</v>
      </c>
      <c r="AM68" s="130">
        <f>'[1]WACC Calc'!AG425</f>
        <v>1.4634146341463428E-2</v>
      </c>
      <c r="AN68" s="130">
        <f>'[1]WACC Calc'!AH425</f>
        <v>1.4634146341463428E-2</v>
      </c>
      <c r="AO68" s="130">
        <f>'[1]WACC Calc'!AI425</f>
        <v>1.4634146341463428E-2</v>
      </c>
      <c r="AP68" s="130">
        <f>'[1]WACC Calc'!AJ425</f>
        <v>1.4634146341463428E-2</v>
      </c>
      <c r="AQ68" s="130">
        <f>'[1]WACC Calc'!AK425</f>
        <v>1.4634146341463428E-2</v>
      </c>
    </row>
    <row r="69" spans="7:43" ht="14.25" customHeight="1" x14ac:dyDescent="0.15">
      <c r="G69" s="22"/>
      <c r="H69" s="256"/>
      <c r="J69" s="267"/>
      <c r="K69" s="129" t="s">
        <v>114</v>
      </c>
      <c r="L69" s="130">
        <f>'[1]WACC Calc'!F426</f>
        <v>1.4634146341463428E-2</v>
      </c>
      <c r="M69" s="130">
        <f>'[1]WACC Calc'!G426</f>
        <v>1.4634146341463428E-2</v>
      </c>
      <c r="N69" s="130">
        <f>'[1]WACC Calc'!H426</f>
        <v>1.4634146341463428E-2</v>
      </c>
      <c r="O69" s="130">
        <f>'[1]WACC Calc'!I426</f>
        <v>1.4634146341463428E-2</v>
      </c>
      <c r="P69" s="130">
        <f>'[1]WACC Calc'!J426</f>
        <v>1.4634146341463428E-2</v>
      </c>
      <c r="Q69" s="130">
        <f>'[1]WACC Calc'!K426</f>
        <v>1.4634146341463428E-2</v>
      </c>
      <c r="R69" s="130">
        <f>'[1]WACC Calc'!L426</f>
        <v>1.4634146341463428E-2</v>
      </c>
      <c r="S69" s="130">
        <f>'[1]WACC Calc'!M426</f>
        <v>1.4634146341463428E-2</v>
      </c>
      <c r="T69" s="130">
        <f>'[1]WACC Calc'!N426</f>
        <v>1.4634146341463428E-2</v>
      </c>
      <c r="U69" s="130">
        <f>'[1]WACC Calc'!O426</f>
        <v>1.4634146341463428E-2</v>
      </c>
      <c r="V69" s="130">
        <f>'[1]WACC Calc'!P426</f>
        <v>1.4634146341463428E-2</v>
      </c>
      <c r="W69" s="130">
        <f>'[1]WACC Calc'!Q426</f>
        <v>1.4634146341463428E-2</v>
      </c>
      <c r="X69" s="130">
        <f>'[1]WACC Calc'!R426</f>
        <v>1.4634146341463428E-2</v>
      </c>
      <c r="Y69" s="130">
        <f>'[1]WACC Calc'!S426</f>
        <v>1.4634146341463428E-2</v>
      </c>
      <c r="Z69" s="130">
        <f>'[1]WACC Calc'!T426</f>
        <v>1.4634146341463428E-2</v>
      </c>
      <c r="AA69" s="130">
        <f>'[1]WACC Calc'!U426</f>
        <v>1.4634146341463428E-2</v>
      </c>
      <c r="AB69" s="130">
        <f>'[1]WACC Calc'!V426</f>
        <v>1.4634146341463428E-2</v>
      </c>
      <c r="AC69" s="130">
        <f>'[1]WACC Calc'!W426</f>
        <v>1.4634146341463428E-2</v>
      </c>
      <c r="AD69" s="130">
        <f>'[1]WACC Calc'!X426</f>
        <v>1.4634146341463428E-2</v>
      </c>
      <c r="AE69" s="130">
        <f>'[1]WACC Calc'!Y426</f>
        <v>1.4634146341463428E-2</v>
      </c>
      <c r="AF69" s="130">
        <f>'[1]WACC Calc'!Z426</f>
        <v>1.4634146341463428E-2</v>
      </c>
      <c r="AG69" s="130">
        <f>'[1]WACC Calc'!AA426</f>
        <v>1.4634146341463428E-2</v>
      </c>
      <c r="AH69" s="130">
        <f>'[1]WACC Calc'!AB426</f>
        <v>1.4634146341463428E-2</v>
      </c>
      <c r="AI69" s="130">
        <f>'[1]WACC Calc'!AC426</f>
        <v>1.4634146341463428E-2</v>
      </c>
      <c r="AJ69" s="130">
        <f>'[1]WACC Calc'!AD426</f>
        <v>1.4634146341463428E-2</v>
      </c>
      <c r="AK69" s="130">
        <f>'[1]WACC Calc'!AE426</f>
        <v>1.4634146341463428E-2</v>
      </c>
      <c r="AL69" s="130">
        <f>'[1]WACC Calc'!AF426</f>
        <v>1.4634146341463428E-2</v>
      </c>
      <c r="AM69" s="130">
        <f>'[1]WACC Calc'!AG426</f>
        <v>1.4634146341463428E-2</v>
      </c>
      <c r="AN69" s="130">
        <f>'[1]WACC Calc'!AH426</f>
        <v>1.4634146341463428E-2</v>
      </c>
      <c r="AO69" s="130">
        <f>'[1]WACC Calc'!AI426</f>
        <v>1.4634146341463428E-2</v>
      </c>
      <c r="AP69" s="130">
        <f>'[1]WACC Calc'!AJ426</f>
        <v>1.4634146341463428E-2</v>
      </c>
      <c r="AQ69" s="130">
        <f>'[1]WACC Calc'!AK426</f>
        <v>1.4634146341463428E-2</v>
      </c>
    </row>
    <row r="70" spans="7:43" ht="14.25" customHeight="1" x14ac:dyDescent="0.15">
      <c r="G70" s="22"/>
      <c r="H70" s="256"/>
      <c r="J70" s="267"/>
      <c r="K70" s="129" t="s">
        <v>81</v>
      </c>
      <c r="L70" s="130">
        <f>'[1]WACC Calc'!F427</f>
        <v>3.5000000000000003E-2</v>
      </c>
      <c r="M70" s="130">
        <f>'[1]WACC Calc'!G427</f>
        <v>3.5000000000000003E-2</v>
      </c>
      <c r="N70" s="130">
        <f>'[1]WACC Calc'!H427</f>
        <v>3.5000000000000003E-2</v>
      </c>
      <c r="O70" s="130">
        <f>'[1]WACC Calc'!I427</f>
        <v>3.5000000000000003E-2</v>
      </c>
      <c r="P70" s="130">
        <f>'[1]WACC Calc'!J427</f>
        <v>3.5000000000000003E-2</v>
      </c>
      <c r="Q70" s="130">
        <f>'[1]WACC Calc'!K427</f>
        <v>3.5000000000000003E-2</v>
      </c>
      <c r="R70" s="130">
        <f>'[1]WACC Calc'!L427</f>
        <v>3.5000000000000003E-2</v>
      </c>
      <c r="S70" s="130">
        <f>'[1]WACC Calc'!M427</f>
        <v>3.5000000000000003E-2</v>
      </c>
      <c r="T70" s="130">
        <f>'[1]WACC Calc'!N427</f>
        <v>3.5000000000000003E-2</v>
      </c>
      <c r="U70" s="130">
        <f>'[1]WACC Calc'!O427</f>
        <v>3.5000000000000003E-2</v>
      </c>
      <c r="V70" s="130">
        <f>'[1]WACC Calc'!P427</f>
        <v>3.5000000000000003E-2</v>
      </c>
      <c r="W70" s="130">
        <f>'[1]WACC Calc'!Q427</f>
        <v>3.5000000000000003E-2</v>
      </c>
      <c r="X70" s="130">
        <f>'[1]WACC Calc'!R427</f>
        <v>3.5000000000000003E-2</v>
      </c>
      <c r="Y70" s="130">
        <f>'[1]WACC Calc'!S427</f>
        <v>3.5000000000000003E-2</v>
      </c>
      <c r="Z70" s="130">
        <f>'[1]WACC Calc'!T427</f>
        <v>3.5000000000000003E-2</v>
      </c>
      <c r="AA70" s="130">
        <f>'[1]WACC Calc'!U427</f>
        <v>3.5000000000000003E-2</v>
      </c>
      <c r="AB70" s="130">
        <f>'[1]WACC Calc'!V427</f>
        <v>3.5000000000000003E-2</v>
      </c>
      <c r="AC70" s="130">
        <f>'[1]WACC Calc'!W427</f>
        <v>3.5000000000000003E-2</v>
      </c>
      <c r="AD70" s="130">
        <f>'[1]WACC Calc'!X427</f>
        <v>3.5000000000000003E-2</v>
      </c>
      <c r="AE70" s="130">
        <f>'[1]WACC Calc'!Y427</f>
        <v>3.5000000000000003E-2</v>
      </c>
      <c r="AF70" s="130">
        <f>'[1]WACC Calc'!Z427</f>
        <v>3.5000000000000003E-2</v>
      </c>
      <c r="AG70" s="130">
        <f>'[1]WACC Calc'!AA427</f>
        <v>3.5000000000000003E-2</v>
      </c>
      <c r="AH70" s="130">
        <f>'[1]WACC Calc'!AB427</f>
        <v>3.5000000000000003E-2</v>
      </c>
      <c r="AI70" s="130">
        <f>'[1]WACC Calc'!AC427</f>
        <v>3.5000000000000003E-2</v>
      </c>
      <c r="AJ70" s="130">
        <f>'[1]WACC Calc'!AD427</f>
        <v>3.5000000000000003E-2</v>
      </c>
      <c r="AK70" s="130">
        <f>'[1]WACC Calc'!AE427</f>
        <v>3.5000000000000003E-2</v>
      </c>
      <c r="AL70" s="130">
        <f>'[1]WACC Calc'!AF427</f>
        <v>3.5000000000000003E-2</v>
      </c>
      <c r="AM70" s="130">
        <f>'[1]WACC Calc'!AG427</f>
        <v>3.5000000000000003E-2</v>
      </c>
      <c r="AN70" s="130">
        <f>'[1]WACC Calc'!AH427</f>
        <v>3.5000000000000003E-2</v>
      </c>
      <c r="AO70" s="130">
        <f>'[1]WACC Calc'!AI427</f>
        <v>3.5000000000000003E-2</v>
      </c>
      <c r="AP70" s="130">
        <f>'[1]WACC Calc'!AJ427</f>
        <v>3.5000000000000003E-2</v>
      </c>
      <c r="AQ70" s="130">
        <f>'[1]WACC Calc'!AK427</f>
        <v>3.5000000000000003E-2</v>
      </c>
    </row>
    <row r="71" spans="7:43" ht="14.25" customHeight="1" x14ac:dyDescent="0.15">
      <c r="G71" s="22"/>
      <c r="H71" s="256"/>
      <c r="J71" s="267"/>
      <c r="K71" s="129" t="s">
        <v>115</v>
      </c>
      <c r="L71" s="130">
        <f>'[1]WACC Calc'!F428</f>
        <v>8.7999999999999995E-2</v>
      </c>
      <c r="M71" s="130">
        <f>'[1]WACC Calc'!G428</f>
        <v>8.7999999999999995E-2</v>
      </c>
      <c r="N71" s="130">
        <f>'[1]WACC Calc'!H428</f>
        <v>8.7999999999999995E-2</v>
      </c>
      <c r="O71" s="130">
        <f>'[1]WACC Calc'!I428</f>
        <v>8.7999999999999995E-2</v>
      </c>
      <c r="P71" s="130">
        <f>'[1]WACC Calc'!J428</f>
        <v>8.7999999999999995E-2</v>
      </c>
      <c r="Q71" s="130">
        <f>'[1]WACC Calc'!K428</f>
        <v>8.7999999999999995E-2</v>
      </c>
      <c r="R71" s="130">
        <f>'[1]WACC Calc'!L428</f>
        <v>8.7999999999999995E-2</v>
      </c>
      <c r="S71" s="130">
        <f>'[1]WACC Calc'!M428</f>
        <v>8.7999999999999995E-2</v>
      </c>
      <c r="T71" s="130">
        <f>'[1]WACC Calc'!N428</f>
        <v>8.7999999999999995E-2</v>
      </c>
      <c r="U71" s="130">
        <f>'[1]WACC Calc'!O428</f>
        <v>8.7999999999999995E-2</v>
      </c>
      <c r="V71" s="130">
        <f>'[1]WACC Calc'!P428</f>
        <v>8.7999999999999995E-2</v>
      </c>
      <c r="W71" s="130">
        <f>'[1]WACC Calc'!Q428</f>
        <v>8.7999999999999995E-2</v>
      </c>
      <c r="X71" s="130">
        <f>'[1]WACC Calc'!R428</f>
        <v>8.7999999999999995E-2</v>
      </c>
      <c r="Y71" s="130">
        <f>'[1]WACC Calc'!S428</f>
        <v>8.7999999999999995E-2</v>
      </c>
      <c r="Z71" s="130">
        <f>'[1]WACC Calc'!T428</f>
        <v>8.7999999999999995E-2</v>
      </c>
      <c r="AA71" s="130">
        <f>'[1]WACC Calc'!U428</f>
        <v>8.7999999999999995E-2</v>
      </c>
      <c r="AB71" s="130">
        <f>'[1]WACC Calc'!V428</f>
        <v>8.7999999999999995E-2</v>
      </c>
      <c r="AC71" s="130">
        <f>'[1]WACC Calc'!W428</f>
        <v>8.7999999999999995E-2</v>
      </c>
      <c r="AD71" s="130">
        <f>'[1]WACC Calc'!X428</f>
        <v>8.7999999999999995E-2</v>
      </c>
      <c r="AE71" s="130">
        <f>'[1]WACC Calc'!Y428</f>
        <v>8.7999999999999995E-2</v>
      </c>
      <c r="AF71" s="130">
        <f>'[1]WACC Calc'!Z428</f>
        <v>8.7999999999999995E-2</v>
      </c>
      <c r="AG71" s="130">
        <f>'[1]WACC Calc'!AA428</f>
        <v>8.7999999999999995E-2</v>
      </c>
      <c r="AH71" s="130">
        <f>'[1]WACC Calc'!AB428</f>
        <v>8.7999999999999995E-2</v>
      </c>
      <c r="AI71" s="130">
        <f>'[1]WACC Calc'!AC428</f>
        <v>8.7999999999999995E-2</v>
      </c>
      <c r="AJ71" s="130">
        <f>'[1]WACC Calc'!AD428</f>
        <v>8.7999999999999995E-2</v>
      </c>
      <c r="AK71" s="130">
        <f>'[1]WACC Calc'!AE428</f>
        <v>8.7999999999999995E-2</v>
      </c>
      <c r="AL71" s="130">
        <f>'[1]WACC Calc'!AF428</f>
        <v>8.7999999999999995E-2</v>
      </c>
      <c r="AM71" s="130">
        <f>'[1]WACC Calc'!AG428</f>
        <v>8.7999999999999995E-2</v>
      </c>
      <c r="AN71" s="130">
        <f>'[1]WACC Calc'!AH428</f>
        <v>8.7999999999999995E-2</v>
      </c>
      <c r="AO71" s="130">
        <f>'[1]WACC Calc'!AI428</f>
        <v>8.7999999999999995E-2</v>
      </c>
      <c r="AP71" s="130">
        <f>'[1]WACC Calc'!AJ428</f>
        <v>8.7999999999999995E-2</v>
      </c>
      <c r="AQ71" s="130">
        <f>'[1]WACC Calc'!AK428</f>
        <v>8.7999999999999995E-2</v>
      </c>
    </row>
    <row r="72" spans="7:43" ht="14.25" customHeight="1" x14ac:dyDescent="0.15">
      <c r="G72" s="22"/>
      <c r="H72" s="256"/>
      <c r="J72" s="267"/>
      <c r="K72" s="129" t="s">
        <v>82</v>
      </c>
      <c r="L72" s="130">
        <f>'[1]WACC Calc'!F429</f>
        <v>8.7999999999999995E-2</v>
      </c>
      <c r="M72" s="130">
        <f>'[1]WACC Calc'!G429</f>
        <v>8.7999999999999995E-2</v>
      </c>
      <c r="N72" s="130">
        <f>'[1]WACC Calc'!H429</f>
        <v>8.7999999999999995E-2</v>
      </c>
      <c r="O72" s="130">
        <f>'[1]WACC Calc'!I429</f>
        <v>8.7999999999999995E-2</v>
      </c>
      <c r="P72" s="130">
        <f>'[1]WACC Calc'!J429</f>
        <v>8.7999999999999995E-2</v>
      </c>
      <c r="Q72" s="130">
        <f>'[1]WACC Calc'!K429</f>
        <v>8.7999999999999995E-2</v>
      </c>
      <c r="R72" s="130">
        <f>'[1]WACC Calc'!L429</f>
        <v>8.7999999999999995E-2</v>
      </c>
      <c r="S72" s="130">
        <f>'[1]WACC Calc'!M429</f>
        <v>8.7999999999999995E-2</v>
      </c>
      <c r="T72" s="130">
        <f>'[1]WACC Calc'!N429</f>
        <v>8.7999999999999995E-2</v>
      </c>
      <c r="U72" s="130">
        <f>'[1]WACC Calc'!O429</f>
        <v>8.7999999999999995E-2</v>
      </c>
      <c r="V72" s="130">
        <f>'[1]WACC Calc'!P429</f>
        <v>8.7999999999999995E-2</v>
      </c>
      <c r="W72" s="130">
        <f>'[1]WACC Calc'!Q429</f>
        <v>8.7999999999999995E-2</v>
      </c>
      <c r="X72" s="130">
        <f>'[1]WACC Calc'!R429</f>
        <v>8.7999999999999995E-2</v>
      </c>
      <c r="Y72" s="130">
        <f>'[1]WACC Calc'!S429</f>
        <v>8.7999999999999995E-2</v>
      </c>
      <c r="Z72" s="130">
        <f>'[1]WACC Calc'!T429</f>
        <v>8.7999999999999995E-2</v>
      </c>
      <c r="AA72" s="130">
        <f>'[1]WACC Calc'!U429</f>
        <v>8.7999999999999995E-2</v>
      </c>
      <c r="AB72" s="130">
        <f>'[1]WACC Calc'!V429</f>
        <v>8.7999999999999995E-2</v>
      </c>
      <c r="AC72" s="130">
        <f>'[1]WACC Calc'!W429</f>
        <v>8.7999999999999995E-2</v>
      </c>
      <c r="AD72" s="130">
        <f>'[1]WACC Calc'!X429</f>
        <v>8.7999999999999995E-2</v>
      </c>
      <c r="AE72" s="130">
        <f>'[1]WACC Calc'!Y429</f>
        <v>8.7999999999999995E-2</v>
      </c>
      <c r="AF72" s="130">
        <f>'[1]WACC Calc'!Z429</f>
        <v>8.7999999999999995E-2</v>
      </c>
      <c r="AG72" s="130">
        <f>'[1]WACC Calc'!AA429</f>
        <v>8.7999999999999995E-2</v>
      </c>
      <c r="AH72" s="130">
        <f>'[1]WACC Calc'!AB429</f>
        <v>8.7999999999999995E-2</v>
      </c>
      <c r="AI72" s="130">
        <f>'[1]WACC Calc'!AC429</f>
        <v>8.7999999999999995E-2</v>
      </c>
      <c r="AJ72" s="130">
        <f>'[1]WACC Calc'!AD429</f>
        <v>8.7999999999999995E-2</v>
      </c>
      <c r="AK72" s="130">
        <f>'[1]WACC Calc'!AE429</f>
        <v>8.7999999999999995E-2</v>
      </c>
      <c r="AL72" s="130">
        <f>'[1]WACC Calc'!AF429</f>
        <v>8.7999999999999995E-2</v>
      </c>
      <c r="AM72" s="130">
        <f>'[1]WACC Calc'!AG429</f>
        <v>8.7999999999999995E-2</v>
      </c>
      <c r="AN72" s="130">
        <f>'[1]WACC Calc'!AH429</f>
        <v>8.7999999999999995E-2</v>
      </c>
      <c r="AO72" s="130">
        <f>'[1]WACC Calc'!AI429</f>
        <v>8.7999999999999995E-2</v>
      </c>
      <c r="AP72" s="130">
        <f>'[1]WACC Calc'!AJ429</f>
        <v>8.7999999999999995E-2</v>
      </c>
      <c r="AQ72" s="130">
        <f>'[1]WACC Calc'!AK429</f>
        <v>8.7999999999999995E-2</v>
      </c>
    </row>
    <row r="73" spans="7:43" ht="14.25" customHeight="1" x14ac:dyDescent="0.15">
      <c r="G73" s="22"/>
      <c r="H73" s="256"/>
      <c r="J73" s="267"/>
      <c r="K73" s="129" t="s">
        <v>116</v>
      </c>
      <c r="L73" s="130">
        <f>'[1]WACC Calc'!F430</f>
        <v>8.7999999999999995E-2</v>
      </c>
      <c r="M73" s="130">
        <f>'[1]WACC Calc'!G430</f>
        <v>8.7999999999999995E-2</v>
      </c>
      <c r="N73" s="130">
        <f>'[1]WACC Calc'!H430</f>
        <v>8.7999999999999995E-2</v>
      </c>
      <c r="O73" s="130">
        <f>'[1]WACC Calc'!I430</f>
        <v>8.7999999999999995E-2</v>
      </c>
      <c r="P73" s="130">
        <f>'[1]WACC Calc'!J430</f>
        <v>8.7999999999999995E-2</v>
      </c>
      <c r="Q73" s="130">
        <f>'[1]WACC Calc'!K430</f>
        <v>8.7999999999999995E-2</v>
      </c>
      <c r="R73" s="130">
        <f>'[1]WACC Calc'!L430</f>
        <v>8.7999999999999995E-2</v>
      </c>
      <c r="S73" s="130">
        <f>'[1]WACC Calc'!M430</f>
        <v>8.7999999999999995E-2</v>
      </c>
      <c r="T73" s="130">
        <f>'[1]WACC Calc'!N430</f>
        <v>8.7999999999999995E-2</v>
      </c>
      <c r="U73" s="130">
        <f>'[1]WACC Calc'!O430</f>
        <v>8.7999999999999995E-2</v>
      </c>
      <c r="V73" s="130">
        <f>'[1]WACC Calc'!P430</f>
        <v>8.7999999999999995E-2</v>
      </c>
      <c r="W73" s="130">
        <f>'[1]WACC Calc'!Q430</f>
        <v>8.7999999999999995E-2</v>
      </c>
      <c r="X73" s="130">
        <f>'[1]WACC Calc'!R430</f>
        <v>8.7999999999999995E-2</v>
      </c>
      <c r="Y73" s="130">
        <f>'[1]WACC Calc'!S430</f>
        <v>8.7999999999999995E-2</v>
      </c>
      <c r="Z73" s="130">
        <f>'[1]WACC Calc'!T430</f>
        <v>8.7999999999999995E-2</v>
      </c>
      <c r="AA73" s="130">
        <f>'[1]WACC Calc'!U430</f>
        <v>8.7999999999999995E-2</v>
      </c>
      <c r="AB73" s="130">
        <f>'[1]WACC Calc'!V430</f>
        <v>8.7999999999999995E-2</v>
      </c>
      <c r="AC73" s="130">
        <f>'[1]WACC Calc'!W430</f>
        <v>8.7999999999999995E-2</v>
      </c>
      <c r="AD73" s="130">
        <f>'[1]WACC Calc'!X430</f>
        <v>8.7999999999999995E-2</v>
      </c>
      <c r="AE73" s="130">
        <f>'[1]WACC Calc'!Y430</f>
        <v>8.7999999999999995E-2</v>
      </c>
      <c r="AF73" s="130">
        <f>'[1]WACC Calc'!Z430</f>
        <v>8.7999999999999995E-2</v>
      </c>
      <c r="AG73" s="130">
        <f>'[1]WACC Calc'!AA430</f>
        <v>8.7999999999999995E-2</v>
      </c>
      <c r="AH73" s="130">
        <f>'[1]WACC Calc'!AB430</f>
        <v>8.7999999999999995E-2</v>
      </c>
      <c r="AI73" s="130">
        <f>'[1]WACC Calc'!AC430</f>
        <v>8.7999999999999995E-2</v>
      </c>
      <c r="AJ73" s="130">
        <f>'[1]WACC Calc'!AD430</f>
        <v>8.7999999999999995E-2</v>
      </c>
      <c r="AK73" s="130">
        <f>'[1]WACC Calc'!AE430</f>
        <v>8.7999999999999995E-2</v>
      </c>
      <c r="AL73" s="130">
        <f>'[1]WACC Calc'!AF430</f>
        <v>8.7999999999999995E-2</v>
      </c>
      <c r="AM73" s="130">
        <f>'[1]WACC Calc'!AG430</f>
        <v>8.7999999999999995E-2</v>
      </c>
      <c r="AN73" s="130">
        <f>'[1]WACC Calc'!AH430</f>
        <v>8.7999999999999995E-2</v>
      </c>
      <c r="AO73" s="130">
        <f>'[1]WACC Calc'!AI430</f>
        <v>8.7999999999999995E-2</v>
      </c>
      <c r="AP73" s="130">
        <f>'[1]WACC Calc'!AJ430</f>
        <v>8.7999999999999995E-2</v>
      </c>
      <c r="AQ73" s="130">
        <f>'[1]WACC Calc'!AK430</f>
        <v>8.7999999999999995E-2</v>
      </c>
    </row>
    <row r="74" spans="7:43" ht="14.25" customHeight="1" x14ac:dyDescent="0.15">
      <c r="G74" s="22"/>
      <c r="H74" s="256"/>
      <c r="J74" s="267"/>
      <c r="K74" s="129" t="s">
        <v>117</v>
      </c>
      <c r="L74" s="130">
        <f>'[1]WACC Calc'!F431</f>
        <v>6.1463414634146618E-2</v>
      </c>
      <c r="M74" s="130">
        <f>'[1]WACC Calc'!G431</f>
        <v>6.1463414634146618E-2</v>
      </c>
      <c r="N74" s="130">
        <f>'[1]WACC Calc'!H431</f>
        <v>6.1463414634146618E-2</v>
      </c>
      <c r="O74" s="130">
        <f>'[1]WACC Calc'!I431</f>
        <v>6.1463414634146618E-2</v>
      </c>
      <c r="P74" s="130">
        <f>'[1]WACC Calc'!J431</f>
        <v>6.1463414634146618E-2</v>
      </c>
      <c r="Q74" s="130">
        <f>'[1]WACC Calc'!K431</f>
        <v>6.1463414634146618E-2</v>
      </c>
      <c r="R74" s="130">
        <f>'[1]WACC Calc'!L431</f>
        <v>6.1463414634146618E-2</v>
      </c>
      <c r="S74" s="130">
        <f>'[1]WACC Calc'!M431</f>
        <v>6.1463414634146618E-2</v>
      </c>
      <c r="T74" s="130">
        <f>'[1]WACC Calc'!N431</f>
        <v>6.1463414634146618E-2</v>
      </c>
      <c r="U74" s="130">
        <f>'[1]WACC Calc'!O431</f>
        <v>6.1463414634146618E-2</v>
      </c>
      <c r="V74" s="130">
        <f>'[1]WACC Calc'!P431</f>
        <v>6.1463414634146618E-2</v>
      </c>
      <c r="W74" s="130">
        <f>'[1]WACC Calc'!Q431</f>
        <v>6.1463414634146618E-2</v>
      </c>
      <c r="X74" s="130">
        <f>'[1]WACC Calc'!R431</f>
        <v>6.1463414634146618E-2</v>
      </c>
      <c r="Y74" s="130">
        <f>'[1]WACC Calc'!S431</f>
        <v>6.1463414634146618E-2</v>
      </c>
      <c r="Z74" s="130">
        <f>'[1]WACC Calc'!T431</f>
        <v>6.1463414634146618E-2</v>
      </c>
      <c r="AA74" s="130">
        <f>'[1]WACC Calc'!U431</f>
        <v>6.1463414634146618E-2</v>
      </c>
      <c r="AB74" s="130">
        <f>'[1]WACC Calc'!V431</f>
        <v>6.1463414634146618E-2</v>
      </c>
      <c r="AC74" s="130">
        <f>'[1]WACC Calc'!W431</f>
        <v>6.1463414634146618E-2</v>
      </c>
      <c r="AD74" s="130">
        <f>'[1]WACC Calc'!X431</f>
        <v>6.1463414634146618E-2</v>
      </c>
      <c r="AE74" s="130">
        <f>'[1]WACC Calc'!Y431</f>
        <v>6.1463414634146618E-2</v>
      </c>
      <c r="AF74" s="130">
        <f>'[1]WACC Calc'!Z431</f>
        <v>6.1463414634146618E-2</v>
      </c>
      <c r="AG74" s="130">
        <f>'[1]WACC Calc'!AA431</f>
        <v>6.1463414634146618E-2</v>
      </c>
      <c r="AH74" s="130">
        <f>'[1]WACC Calc'!AB431</f>
        <v>6.1463414634146618E-2</v>
      </c>
      <c r="AI74" s="130">
        <f>'[1]WACC Calc'!AC431</f>
        <v>6.1463414634146618E-2</v>
      </c>
      <c r="AJ74" s="130">
        <f>'[1]WACC Calc'!AD431</f>
        <v>6.1463414634146618E-2</v>
      </c>
      <c r="AK74" s="130">
        <f>'[1]WACC Calc'!AE431</f>
        <v>6.1463414634146618E-2</v>
      </c>
      <c r="AL74" s="130">
        <f>'[1]WACC Calc'!AF431</f>
        <v>6.1463414634146618E-2</v>
      </c>
      <c r="AM74" s="130">
        <f>'[1]WACC Calc'!AG431</f>
        <v>6.1463414634146618E-2</v>
      </c>
      <c r="AN74" s="130">
        <f>'[1]WACC Calc'!AH431</f>
        <v>6.1463414634146618E-2</v>
      </c>
      <c r="AO74" s="130">
        <f>'[1]WACC Calc'!AI431</f>
        <v>6.1463414634146618E-2</v>
      </c>
      <c r="AP74" s="130">
        <f>'[1]WACC Calc'!AJ431</f>
        <v>6.1463414634146618E-2</v>
      </c>
      <c r="AQ74" s="130">
        <f>'[1]WACC Calc'!AK431</f>
        <v>6.1463414634146618E-2</v>
      </c>
    </row>
    <row r="75" spans="7:43" ht="14.25" customHeight="1" x14ac:dyDescent="0.15">
      <c r="G75" s="22"/>
      <c r="H75" s="256"/>
      <c r="J75" s="267"/>
      <c r="K75" s="129" t="s">
        <v>84</v>
      </c>
      <c r="L75" s="130">
        <f>'[1]WACC Calc'!F432</f>
        <v>6.1463414634146618E-2</v>
      </c>
      <c r="M75" s="130">
        <f>'[1]WACC Calc'!G432</f>
        <v>6.1463414634146618E-2</v>
      </c>
      <c r="N75" s="130">
        <f>'[1]WACC Calc'!H432</f>
        <v>6.1463414634146618E-2</v>
      </c>
      <c r="O75" s="130">
        <f>'[1]WACC Calc'!I432</f>
        <v>6.1463414634146618E-2</v>
      </c>
      <c r="P75" s="130">
        <f>'[1]WACC Calc'!J432</f>
        <v>6.1463414634146618E-2</v>
      </c>
      <c r="Q75" s="130">
        <f>'[1]WACC Calc'!K432</f>
        <v>6.1463414634146618E-2</v>
      </c>
      <c r="R75" s="130">
        <f>'[1]WACC Calc'!L432</f>
        <v>6.1463414634146618E-2</v>
      </c>
      <c r="S75" s="130">
        <f>'[1]WACC Calc'!M432</f>
        <v>6.1463414634146618E-2</v>
      </c>
      <c r="T75" s="130">
        <f>'[1]WACC Calc'!N432</f>
        <v>6.1463414634146618E-2</v>
      </c>
      <c r="U75" s="130">
        <f>'[1]WACC Calc'!O432</f>
        <v>6.1463414634146618E-2</v>
      </c>
      <c r="V75" s="130">
        <f>'[1]WACC Calc'!P432</f>
        <v>6.1463414634146618E-2</v>
      </c>
      <c r="W75" s="130">
        <f>'[1]WACC Calc'!Q432</f>
        <v>6.1463414634146618E-2</v>
      </c>
      <c r="X75" s="130">
        <f>'[1]WACC Calc'!R432</f>
        <v>6.1463414634146618E-2</v>
      </c>
      <c r="Y75" s="130">
        <f>'[1]WACC Calc'!S432</f>
        <v>6.1463414634146618E-2</v>
      </c>
      <c r="Z75" s="130">
        <f>'[1]WACC Calc'!T432</f>
        <v>6.1463414634146618E-2</v>
      </c>
      <c r="AA75" s="130">
        <f>'[1]WACC Calc'!U432</f>
        <v>6.1463414634146618E-2</v>
      </c>
      <c r="AB75" s="130">
        <f>'[1]WACC Calc'!V432</f>
        <v>6.1463414634146618E-2</v>
      </c>
      <c r="AC75" s="130">
        <f>'[1]WACC Calc'!W432</f>
        <v>6.1463414634146618E-2</v>
      </c>
      <c r="AD75" s="130">
        <f>'[1]WACC Calc'!X432</f>
        <v>6.1463414634146618E-2</v>
      </c>
      <c r="AE75" s="130">
        <f>'[1]WACC Calc'!Y432</f>
        <v>6.1463414634146618E-2</v>
      </c>
      <c r="AF75" s="130">
        <f>'[1]WACC Calc'!Z432</f>
        <v>6.1463414634146618E-2</v>
      </c>
      <c r="AG75" s="130">
        <f>'[1]WACC Calc'!AA432</f>
        <v>6.1463414634146618E-2</v>
      </c>
      <c r="AH75" s="130">
        <f>'[1]WACC Calc'!AB432</f>
        <v>6.1463414634146618E-2</v>
      </c>
      <c r="AI75" s="130">
        <f>'[1]WACC Calc'!AC432</f>
        <v>6.1463414634146618E-2</v>
      </c>
      <c r="AJ75" s="130">
        <f>'[1]WACC Calc'!AD432</f>
        <v>6.1463414634146618E-2</v>
      </c>
      <c r="AK75" s="130">
        <f>'[1]WACC Calc'!AE432</f>
        <v>6.1463414634146618E-2</v>
      </c>
      <c r="AL75" s="130">
        <f>'[1]WACC Calc'!AF432</f>
        <v>6.1463414634146618E-2</v>
      </c>
      <c r="AM75" s="130">
        <f>'[1]WACC Calc'!AG432</f>
        <v>6.1463414634146618E-2</v>
      </c>
      <c r="AN75" s="130">
        <f>'[1]WACC Calc'!AH432</f>
        <v>6.1463414634146618E-2</v>
      </c>
      <c r="AO75" s="130">
        <f>'[1]WACC Calc'!AI432</f>
        <v>6.1463414634146618E-2</v>
      </c>
      <c r="AP75" s="130">
        <f>'[1]WACC Calc'!AJ432</f>
        <v>6.1463414634146618E-2</v>
      </c>
      <c r="AQ75" s="130">
        <f>'[1]WACC Calc'!AK432</f>
        <v>6.1463414634146618E-2</v>
      </c>
    </row>
    <row r="76" spans="7:43" ht="14.25" customHeight="1" x14ac:dyDescent="0.15">
      <c r="G76" s="22"/>
      <c r="H76" s="256"/>
      <c r="J76" s="267"/>
      <c r="K76" s="129" t="s">
        <v>118</v>
      </c>
      <c r="L76" s="130">
        <f>'[1]WACC Calc'!F433</f>
        <v>6.1463414634146618E-2</v>
      </c>
      <c r="M76" s="130">
        <f>'[1]WACC Calc'!G433</f>
        <v>6.1463414634146618E-2</v>
      </c>
      <c r="N76" s="130">
        <f>'[1]WACC Calc'!H433</f>
        <v>6.1463414634146618E-2</v>
      </c>
      <c r="O76" s="130">
        <f>'[1]WACC Calc'!I433</f>
        <v>6.1463414634146618E-2</v>
      </c>
      <c r="P76" s="130">
        <f>'[1]WACC Calc'!J433</f>
        <v>6.1463414634146618E-2</v>
      </c>
      <c r="Q76" s="130">
        <f>'[1]WACC Calc'!K433</f>
        <v>6.1463414634146618E-2</v>
      </c>
      <c r="R76" s="130">
        <f>'[1]WACC Calc'!L433</f>
        <v>6.1463414634146618E-2</v>
      </c>
      <c r="S76" s="130">
        <f>'[1]WACC Calc'!M433</f>
        <v>6.1463414634146618E-2</v>
      </c>
      <c r="T76" s="130">
        <f>'[1]WACC Calc'!N433</f>
        <v>6.1463414634146618E-2</v>
      </c>
      <c r="U76" s="130">
        <f>'[1]WACC Calc'!O433</f>
        <v>6.1463414634146618E-2</v>
      </c>
      <c r="V76" s="130">
        <f>'[1]WACC Calc'!P433</f>
        <v>6.1463414634146618E-2</v>
      </c>
      <c r="W76" s="130">
        <f>'[1]WACC Calc'!Q433</f>
        <v>6.1463414634146618E-2</v>
      </c>
      <c r="X76" s="130">
        <f>'[1]WACC Calc'!R433</f>
        <v>6.1463414634146618E-2</v>
      </c>
      <c r="Y76" s="130">
        <f>'[1]WACC Calc'!S433</f>
        <v>6.1463414634146618E-2</v>
      </c>
      <c r="Z76" s="130">
        <f>'[1]WACC Calc'!T433</f>
        <v>6.1463414634146618E-2</v>
      </c>
      <c r="AA76" s="130">
        <f>'[1]WACC Calc'!U433</f>
        <v>6.1463414634146618E-2</v>
      </c>
      <c r="AB76" s="130">
        <f>'[1]WACC Calc'!V433</f>
        <v>6.1463414634146618E-2</v>
      </c>
      <c r="AC76" s="130">
        <f>'[1]WACC Calc'!W433</f>
        <v>6.1463414634146618E-2</v>
      </c>
      <c r="AD76" s="130">
        <f>'[1]WACC Calc'!X433</f>
        <v>6.1463414634146618E-2</v>
      </c>
      <c r="AE76" s="130">
        <f>'[1]WACC Calc'!Y433</f>
        <v>6.1463414634146618E-2</v>
      </c>
      <c r="AF76" s="130">
        <f>'[1]WACC Calc'!Z433</f>
        <v>6.1463414634146618E-2</v>
      </c>
      <c r="AG76" s="130">
        <f>'[1]WACC Calc'!AA433</f>
        <v>6.1463414634146618E-2</v>
      </c>
      <c r="AH76" s="130">
        <f>'[1]WACC Calc'!AB433</f>
        <v>6.1463414634146618E-2</v>
      </c>
      <c r="AI76" s="130">
        <f>'[1]WACC Calc'!AC433</f>
        <v>6.1463414634146618E-2</v>
      </c>
      <c r="AJ76" s="130">
        <f>'[1]WACC Calc'!AD433</f>
        <v>6.1463414634146618E-2</v>
      </c>
      <c r="AK76" s="130">
        <f>'[1]WACC Calc'!AE433</f>
        <v>6.1463414634146618E-2</v>
      </c>
      <c r="AL76" s="130">
        <f>'[1]WACC Calc'!AF433</f>
        <v>6.1463414634146618E-2</v>
      </c>
      <c r="AM76" s="130">
        <f>'[1]WACC Calc'!AG433</f>
        <v>6.1463414634146618E-2</v>
      </c>
      <c r="AN76" s="130">
        <f>'[1]WACC Calc'!AH433</f>
        <v>6.1463414634146618E-2</v>
      </c>
      <c r="AO76" s="130">
        <f>'[1]WACC Calc'!AI433</f>
        <v>6.1463414634146618E-2</v>
      </c>
      <c r="AP76" s="130">
        <f>'[1]WACC Calc'!AJ433</f>
        <v>6.1463414634146618E-2</v>
      </c>
      <c r="AQ76" s="130">
        <f>'[1]WACC Calc'!AK433</f>
        <v>6.1463414634146618E-2</v>
      </c>
    </row>
    <row r="77" spans="7:43" ht="14.25" customHeight="1" x14ac:dyDescent="0.15">
      <c r="G77" s="22"/>
      <c r="H77" s="256"/>
      <c r="J77" s="267"/>
      <c r="K77" s="129" t="s">
        <v>119</v>
      </c>
      <c r="L77" s="130">
        <f>'[1]WACC Calc'!F434</f>
        <v>0.75900000000000001</v>
      </c>
      <c r="M77" s="130">
        <f>'[1]WACC Calc'!G434</f>
        <v>0.75900000000000001</v>
      </c>
      <c r="N77" s="130">
        <f>'[1]WACC Calc'!H434</f>
        <v>0.75900000000000001</v>
      </c>
      <c r="O77" s="130">
        <f>'[1]WACC Calc'!I434</f>
        <v>0.75900000000000001</v>
      </c>
      <c r="P77" s="130">
        <f>'[1]WACC Calc'!J434</f>
        <v>0.75900000000000001</v>
      </c>
      <c r="Q77" s="130">
        <f>'[1]WACC Calc'!K434</f>
        <v>0.75900000000000001</v>
      </c>
      <c r="R77" s="130">
        <f>'[1]WACC Calc'!L434</f>
        <v>0.75900000000000001</v>
      </c>
      <c r="S77" s="130">
        <f>'[1]WACC Calc'!M434</f>
        <v>0.75900000000000001</v>
      </c>
      <c r="T77" s="130">
        <f>'[1]WACC Calc'!N434</f>
        <v>0.75900000000000001</v>
      </c>
      <c r="U77" s="130">
        <f>'[1]WACC Calc'!O434</f>
        <v>0.75900000000000001</v>
      </c>
      <c r="V77" s="130">
        <f>'[1]WACC Calc'!P434</f>
        <v>0.75900000000000001</v>
      </c>
      <c r="W77" s="130">
        <f>'[1]WACC Calc'!Q434</f>
        <v>0.75900000000000001</v>
      </c>
      <c r="X77" s="130">
        <f>'[1]WACC Calc'!R434</f>
        <v>0.75900000000000001</v>
      </c>
      <c r="Y77" s="130">
        <f>'[1]WACC Calc'!S434</f>
        <v>0.75900000000000001</v>
      </c>
      <c r="Z77" s="130">
        <f>'[1]WACC Calc'!T434</f>
        <v>0.75900000000000001</v>
      </c>
      <c r="AA77" s="130">
        <f>'[1]WACC Calc'!U434</f>
        <v>0.75900000000000001</v>
      </c>
      <c r="AB77" s="130">
        <f>'[1]WACC Calc'!V434</f>
        <v>0.75900000000000001</v>
      </c>
      <c r="AC77" s="130">
        <f>'[1]WACC Calc'!W434</f>
        <v>0.75900000000000001</v>
      </c>
      <c r="AD77" s="130">
        <f>'[1]WACC Calc'!X434</f>
        <v>0.75900000000000001</v>
      </c>
      <c r="AE77" s="130">
        <f>'[1]WACC Calc'!Y434</f>
        <v>0.75900000000000001</v>
      </c>
      <c r="AF77" s="130">
        <f>'[1]WACC Calc'!Z434</f>
        <v>0.75900000000000001</v>
      </c>
      <c r="AG77" s="130">
        <f>'[1]WACC Calc'!AA434</f>
        <v>0.75900000000000001</v>
      </c>
      <c r="AH77" s="130">
        <f>'[1]WACC Calc'!AB434</f>
        <v>0.75900000000000001</v>
      </c>
      <c r="AI77" s="130">
        <f>'[1]WACC Calc'!AC434</f>
        <v>0.75900000000000001</v>
      </c>
      <c r="AJ77" s="130">
        <f>'[1]WACC Calc'!AD434</f>
        <v>0.75900000000000001</v>
      </c>
      <c r="AK77" s="130">
        <f>'[1]WACC Calc'!AE434</f>
        <v>0.75900000000000001</v>
      </c>
      <c r="AL77" s="130">
        <f>'[1]WACC Calc'!AF434</f>
        <v>0.75900000000000001</v>
      </c>
      <c r="AM77" s="130">
        <f>'[1]WACC Calc'!AG434</f>
        <v>0.75900000000000001</v>
      </c>
      <c r="AN77" s="130">
        <f>'[1]WACC Calc'!AH434</f>
        <v>0.75900000000000001</v>
      </c>
      <c r="AO77" s="130">
        <f>'[1]WACC Calc'!AI434</f>
        <v>0.75900000000000001</v>
      </c>
      <c r="AP77" s="130">
        <f>'[1]WACC Calc'!AJ434</f>
        <v>0.75900000000000001</v>
      </c>
      <c r="AQ77" s="130">
        <f>'[1]WACC Calc'!AK434</f>
        <v>0.75900000000000001</v>
      </c>
    </row>
    <row r="78" spans="7:43" ht="14.25" customHeight="1" x14ac:dyDescent="0.15">
      <c r="G78" s="22"/>
      <c r="H78" s="256"/>
      <c r="J78" s="267"/>
      <c r="K78" s="129" t="s">
        <v>85</v>
      </c>
      <c r="L78" s="130">
        <f>'[1]WACC Calc'!F435</f>
        <v>0.75900000000000001</v>
      </c>
      <c r="M78" s="130">
        <f>'[1]WACC Calc'!G435</f>
        <v>0.75900000000000001</v>
      </c>
      <c r="N78" s="130">
        <f>'[1]WACC Calc'!H435</f>
        <v>0.75900000000000001</v>
      </c>
      <c r="O78" s="130">
        <f>'[1]WACC Calc'!I435</f>
        <v>0.75900000000000001</v>
      </c>
      <c r="P78" s="130">
        <f>'[1]WACC Calc'!J435</f>
        <v>0.75900000000000001</v>
      </c>
      <c r="Q78" s="130">
        <f>'[1]WACC Calc'!K435</f>
        <v>0.75900000000000001</v>
      </c>
      <c r="R78" s="130">
        <f>'[1]WACC Calc'!L435</f>
        <v>0.75900000000000001</v>
      </c>
      <c r="S78" s="130">
        <f>'[1]WACC Calc'!M435</f>
        <v>0.75900000000000001</v>
      </c>
      <c r="T78" s="130">
        <f>'[1]WACC Calc'!N435</f>
        <v>0.75900000000000001</v>
      </c>
      <c r="U78" s="130">
        <f>'[1]WACC Calc'!O435</f>
        <v>0.75900000000000001</v>
      </c>
      <c r="V78" s="130">
        <f>'[1]WACC Calc'!P435</f>
        <v>0.75900000000000001</v>
      </c>
      <c r="W78" s="130">
        <f>'[1]WACC Calc'!Q435</f>
        <v>0.75900000000000001</v>
      </c>
      <c r="X78" s="130">
        <f>'[1]WACC Calc'!R435</f>
        <v>0.75900000000000001</v>
      </c>
      <c r="Y78" s="130">
        <f>'[1]WACC Calc'!S435</f>
        <v>0.75900000000000001</v>
      </c>
      <c r="Z78" s="130">
        <f>'[1]WACC Calc'!T435</f>
        <v>0.75900000000000001</v>
      </c>
      <c r="AA78" s="130">
        <f>'[1]WACC Calc'!U435</f>
        <v>0.75900000000000001</v>
      </c>
      <c r="AB78" s="130">
        <f>'[1]WACC Calc'!V435</f>
        <v>0.75900000000000001</v>
      </c>
      <c r="AC78" s="130">
        <f>'[1]WACC Calc'!W435</f>
        <v>0.75900000000000001</v>
      </c>
      <c r="AD78" s="130">
        <f>'[1]WACC Calc'!X435</f>
        <v>0.75900000000000001</v>
      </c>
      <c r="AE78" s="130">
        <f>'[1]WACC Calc'!Y435</f>
        <v>0.75900000000000001</v>
      </c>
      <c r="AF78" s="130">
        <f>'[1]WACC Calc'!Z435</f>
        <v>0.75900000000000001</v>
      </c>
      <c r="AG78" s="130">
        <f>'[1]WACC Calc'!AA435</f>
        <v>0.75900000000000001</v>
      </c>
      <c r="AH78" s="130">
        <f>'[1]WACC Calc'!AB435</f>
        <v>0.75900000000000001</v>
      </c>
      <c r="AI78" s="130">
        <f>'[1]WACC Calc'!AC435</f>
        <v>0.75900000000000001</v>
      </c>
      <c r="AJ78" s="130">
        <f>'[1]WACC Calc'!AD435</f>
        <v>0.75900000000000001</v>
      </c>
      <c r="AK78" s="130">
        <f>'[1]WACC Calc'!AE435</f>
        <v>0.75900000000000001</v>
      </c>
      <c r="AL78" s="130">
        <f>'[1]WACC Calc'!AF435</f>
        <v>0.75900000000000001</v>
      </c>
      <c r="AM78" s="130">
        <f>'[1]WACC Calc'!AG435</f>
        <v>0.75900000000000001</v>
      </c>
      <c r="AN78" s="130">
        <f>'[1]WACC Calc'!AH435</f>
        <v>0.75900000000000001</v>
      </c>
      <c r="AO78" s="130">
        <f>'[1]WACC Calc'!AI435</f>
        <v>0.75900000000000001</v>
      </c>
      <c r="AP78" s="130">
        <f>'[1]WACC Calc'!AJ435</f>
        <v>0.75900000000000001</v>
      </c>
      <c r="AQ78" s="130">
        <f>'[1]WACC Calc'!AK435</f>
        <v>0.75900000000000001</v>
      </c>
    </row>
    <row r="79" spans="7:43" ht="14.25" customHeight="1" x14ac:dyDescent="0.15">
      <c r="G79" s="22"/>
      <c r="H79" s="256"/>
      <c r="J79" s="267"/>
      <c r="K79" s="129" t="s">
        <v>120</v>
      </c>
      <c r="L79" s="130">
        <f>'[1]WACC Calc'!F436</f>
        <v>0.75900000000000001</v>
      </c>
      <c r="M79" s="130">
        <f>'[1]WACC Calc'!G436</f>
        <v>0.75900000000000001</v>
      </c>
      <c r="N79" s="130">
        <f>'[1]WACC Calc'!H436</f>
        <v>0.75900000000000001</v>
      </c>
      <c r="O79" s="130">
        <f>'[1]WACC Calc'!I436</f>
        <v>0.75900000000000001</v>
      </c>
      <c r="P79" s="130">
        <f>'[1]WACC Calc'!J436</f>
        <v>0.75900000000000001</v>
      </c>
      <c r="Q79" s="130">
        <f>'[1]WACC Calc'!K436</f>
        <v>0.75900000000000001</v>
      </c>
      <c r="R79" s="130">
        <f>'[1]WACC Calc'!L436</f>
        <v>0.75900000000000001</v>
      </c>
      <c r="S79" s="130">
        <f>'[1]WACC Calc'!M436</f>
        <v>0.75900000000000001</v>
      </c>
      <c r="T79" s="130">
        <f>'[1]WACC Calc'!N436</f>
        <v>0.75900000000000001</v>
      </c>
      <c r="U79" s="130">
        <f>'[1]WACC Calc'!O436</f>
        <v>0.75900000000000001</v>
      </c>
      <c r="V79" s="130">
        <f>'[1]WACC Calc'!P436</f>
        <v>0.75900000000000001</v>
      </c>
      <c r="W79" s="130">
        <f>'[1]WACC Calc'!Q436</f>
        <v>0.75900000000000001</v>
      </c>
      <c r="X79" s="130">
        <f>'[1]WACC Calc'!R436</f>
        <v>0.75900000000000001</v>
      </c>
      <c r="Y79" s="130">
        <f>'[1]WACC Calc'!S436</f>
        <v>0.75900000000000001</v>
      </c>
      <c r="Z79" s="130">
        <f>'[1]WACC Calc'!T436</f>
        <v>0.75900000000000001</v>
      </c>
      <c r="AA79" s="130">
        <f>'[1]WACC Calc'!U436</f>
        <v>0.75900000000000001</v>
      </c>
      <c r="AB79" s="130">
        <f>'[1]WACC Calc'!V436</f>
        <v>0.75900000000000001</v>
      </c>
      <c r="AC79" s="130">
        <f>'[1]WACC Calc'!W436</f>
        <v>0.75900000000000001</v>
      </c>
      <c r="AD79" s="130">
        <f>'[1]WACC Calc'!X436</f>
        <v>0.75900000000000001</v>
      </c>
      <c r="AE79" s="130">
        <f>'[1]WACC Calc'!Y436</f>
        <v>0.75900000000000001</v>
      </c>
      <c r="AF79" s="130">
        <f>'[1]WACC Calc'!Z436</f>
        <v>0.75900000000000001</v>
      </c>
      <c r="AG79" s="130">
        <f>'[1]WACC Calc'!AA436</f>
        <v>0.75900000000000001</v>
      </c>
      <c r="AH79" s="130">
        <f>'[1]WACC Calc'!AB436</f>
        <v>0.75900000000000001</v>
      </c>
      <c r="AI79" s="130">
        <f>'[1]WACC Calc'!AC436</f>
        <v>0.75900000000000001</v>
      </c>
      <c r="AJ79" s="130">
        <f>'[1]WACC Calc'!AD436</f>
        <v>0.75900000000000001</v>
      </c>
      <c r="AK79" s="130">
        <f>'[1]WACC Calc'!AE436</f>
        <v>0.75900000000000001</v>
      </c>
      <c r="AL79" s="130">
        <f>'[1]WACC Calc'!AF436</f>
        <v>0.75900000000000001</v>
      </c>
      <c r="AM79" s="130">
        <f>'[1]WACC Calc'!AG436</f>
        <v>0.75900000000000001</v>
      </c>
      <c r="AN79" s="130">
        <f>'[1]WACC Calc'!AH436</f>
        <v>0.75900000000000001</v>
      </c>
      <c r="AO79" s="130">
        <f>'[1]WACC Calc'!AI436</f>
        <v>0.75900000000000001</v>
      </c>
      <c r="AP79" s="130">
        <f>'[1]WACC Calc'!AJ436</f>
        <v>0.75900000000000001</v>
      </c>
      <c r="AQ79" s="130">
        <f>'[1]WACC Calc'!AK436</f>
        <v>0.75900000000000001</v>
      </c>
    </row>
    <row r="80" spans="7:43" ht="14.25" customHeight="1" x14ac:dyDescent="0.15">
      <c r="G80" s="22"/>
      <c r="H80" s="256"/>
      <c r="J80" s="267"/>
      <c r="K80" s="129" t="s">
        <v>86</v>
      </c>
      <c r="L80" s="130">
        <f>'[1]WACC Calc'!F437</f>
        <v>0.25740000000000002</v>
      </c>
      <c r="M80" s="130">
        <f>'[1]WACC Calc'!G437</f>
        <v>0.25740000000000002</v>
      </c>
      <c r="N80" s="130">
        <f>'[1]WACC Calc'!H437</f>
        <v>0.25740000000000002</v>
      </c>
      <c r="O80" s="130">
        <f>'[1]WACC Calc'!I437</f>
        <v>0.25740000000000002</v>
      </c>
      <c r="P80" s="130">
        <f>'[1]WACC Calc'!J437</f>
        <v>0.25740000000000002</v>
      </c>
      <c r="Q80" s="130">
        <f>'[1]WACC Calc'!K437</f>
        <v>0.25740000000000002</v>
      </c>
      <c r="R80" s="130">
        <f>'[1]WACC Calc'!L437</f>
        <v>0.25740000000000002</v>
      </c>
      <c r="S80" s="130">
        <f>'[1]WACC Calc'!M437</f>
        <v>0.25740000000000002</v>
      </c>
      <c r="T80" s="130">
        <f>'[1]WACC Calc'!N437</f>
        <v>0.25740000000000002</v>
      </c>
      <c r="U80" s="130">
        <f>'[1]WACC Calc'!O437</f>
        <v>0.25740000000000002</v>
      </c>
      <c r="V80" s="130">
        <f>'[1]WACC Calc'!P437</f>
        <v>0.25740000000000002</v>
      </c>
      <c r="W80" s="130">
        <f>'[1]WACC Calc'!Q437</f>
        <v>0.25740000000000002</v>
      </c>
      <c r="X80" s="130">
        <f>'[1]WACC Calc'!R437</f>
        <v>0.25740000000000002</v>
      </c>
      <c r="Y80" s="130">
        <f>'[1]WACC Calc'!S437</f>
        <v>0.25740000000000002</v>
      </c>
      <c r="Z80" s="130">
        <f>'[1]WACC Calc'!T437</f>
        <v>0.25740000000000002</v>
      </c>
      <c r="AA80" s="130">
        <f>'[1]WACC Calc'!U437</f>
        <v>0.25740000000000002</v>
      </c>
      <c r="AB80" s="130">
        <f>'[1]WACC Calc'!V437</f>
        <v>0.25740000000000002</v>
      </c>
      <c r="AC80" s="130">
        <f>'[1]WACC Calc'!W437</f>
        <v>0.25740000000000002</v>
      </c>
      <c r="AD80" s="130">
        <f>'[1]WACC Calc'!X437</f>
        <v>0.25740000000000002</v>
      </c>
      <c r="AE80" s="130">
        <f>'[1]WACC Calc'!Y437</f>
        <v>0.25740000000000002</v>
      </c>
      <c r="AF80" s="130">
        <f>'[1]WACC Calc'!Z437</f>
        <v>0.25740000000000002</v>
      </c>
      <c r="AG80" s="130">
        <f>'[1]WACC Calc'!AA437</f>
        <v>0.25740000000000002</v>
      </c>
      <c r="AH80" s="130">
        <f>'[1]WACC Calc'!AB437</f>
        <v>0.25740000000000002</v>
      </c>
      <c r="AI80" s="130">
        <f>'[1]WACC Calc'!AC437</f>
        <v>0.25740000000000002</v>
      </c>
      <c r="AJ80" s="130">
        <f>'[1]WACC Calc'!AD437</f>
        <v>0.25740000000000002</v>
      </c>
      <c r="AK80" s="130">
        <f>'[1]WACC Calc'!AE437</f>
        <v>0.25740000000000002</v>
      </c>
      <c r="AL80" s="130">
        <f>'[1]WACC Calc'!AF437</f>
        <v>0.25740000000000002</v>
      </c>
      <c r="AM80" s="130">
        <f>'[1]WACC Calc'!AG437</f>
        <v>0.25740000000000002</v>
      </c>
      <c r="AN80" s="130">
        <f>'[1]WACC Calc'!AH437</f>
        <v>0.25740000000000002</v>
      </c>
      <c r="AO80" s="130">
        <f>'[1]WACC Calc'!AI437</f>
        <v>0.25740000000000002</v>
      </c>
      <c r="AP80" s="130">
        <f>'[1]WACC Calc'!AJ437</f>
        <v>0.25740000000000002</v>
      </c>
      <c r="AQ80" s="130">
        <f>'[1]WACC Calc'!AK437</f>
        <v>0.25740000000000002</v>
      </c>
    </row>
    <row r="81" spans="7:43" ht="14.25" customHeight="1" x14ac:dyDescent="0.15">
      <c r="G81" s="22"/>
      <c r="H81" s="256"/>
      <c r="J81" s="267"/>
      <c r="K81" s="129" t="s">
        <v>121</v>
      </c>
      <c r="L81" s="130">
        <f>'[1]WACC Calc'!F438</f>
        <v>4.3753335999999997E-2</v>
      </c>
      <c r="M81" s="130">
        <f>'[1]WACC Calc'!G438</f>
        <v>4.3753335999999997E-2</v>
      </c>
      <c r="N81" s="130">
        <f>'[1]WACC Calc'!H438</f>
        <v>4.3753335999999997E-2</v>
      </c>
      <c r="O81" s="130">
        <f>'[1]WACC Calc'!I438</f>
        <v>4.3753335999999997E-2</v>
      </c>
      <c r="P81" s="130">
        <f>'[1]WACC Calc'!J438</f>
        <v>4.3753335999999997E-2</v>
      </c>
      <c r="Q81" s="130">
        <f>'[1]WACC Calc'!K438</f>
        <v>4.3753335999999997E-2</v>
      </c>
      <c r="R81" s="130">
        <f>'[1]WACC Calc'!L438</f>
        <v>4.3753335999999997E-2</v>
      </c>
      <c r="S81" s="130">
        <f>'[1]WACC Calc'!M438</f>
        <v>4.3753335999999997E-2</v>
      </c>
      <c r="T81" s="130">
        <f>'[1]WACC Calc'!N438</f>
        <v>4.3753335999999997E-2</v>
      </c>
      <c r="U81" s="130">
        <f>'[1]WACC Calc'!O438</f>
        <v>4.3753335999999997E-2</v>
      </c>
      <c r="V81" s="130">
        <f>'[1]WACC Calc'!P438</f>
        <v>4.3753335999999997E-2</v>
      </c>
      <c r="W81" s="130">
        <f>'[1]WACC Calc'!Q438</f>
        <v>4.3753335999999997E-2</v>
      </c>
      <c r="X81" s="130">
        <f>'[1]WACC Calc'!R438</f>
        <v>4.3753335999999997E-2</v>
      </c>
      <c r="Y81" s="130">
        <f>'[1]WACC Calc'!S438</f>
        <v>4.3753335999999997E-2</v>
      </c>
      <c r="Z81" s="130">
        <f>'[1]WACC Calc'!T438</f>
        <v>4.3753335999999997E-2</v>
      </c>
      <c r="AA81" s="130">
        <f>'[1]WACC Calc'!U438</f>
        <v>4.3753335999999997E-2</v>
      </c>
      <c r="AB81" s="130">
        <f>'[1]WACC Calc'!V438</f>
        <v>4.3753335999999997E-2</v>
      </c>
      <c r="AC81" s="130">
        <f>'[1]WACC Calc'!W438</f>
        <v>4.3753335999999997E-2</v>
      </c>
      <c r="AD81" s="130">
        <f>'[1]WACC Calc'!X438</f>
        <v>4.3753335999999997E-2</v>
      </c>
      <c r="AE81" s="130">
        <f>'[1]WACC Calc'!Y438</f>
        <v>4.3753335999999997E-2</v>
      </c>
      <c r="AF81" s="130">
        <f>'[1]WACC Calc'!Z438</f>
        <v>4.3753335999999997E-2</v>
      </c>
      <c r="AG81" s="130">
        <f>'[1]WACC Calc'!AA438</f>
        <v>4.3753335999999997E-2</v>
      </c>
      <c r="AH81" s="130">
        <f>'[1]WACC Calc'!AB438</f>
        <v>4.3753335999999997E-2</v>
      </c>
      <c r="AI81" s="130">
        <f>'[1]WACC Calc'!AC438</f>
        <v>4.3753335999999997E-2</v>
      </c>
      <c r="AJ81" s="130">
        <f>'[1]WACC Calc'!AD438</f>
        <v>4.3753335999999997E-2</v>
      </c>
      <c r="AK81" s="130">
        <f>'[1]WACC Calc'!AE438</f>
        <v>4.3753335999999997E-2</v>
      </c>
      <c r="AL81" s="130">
        <f>'[1]WACC Calc'!AF438</f>
        <v>4.3753335999999997E-2</v>
      </c>
      <c r="AM81" s="130">
        <f>'[1]WACC Calc'!AG438</f>
        <v>4.3753335999999997E-2</v>
      </c>
      <c r="AN81" s="130">
        <f>'[1]WACC Calc'!AH438</f>
        <v>4.3753335999999997E-2</v>
      </c>
      <c r="AO81" s="130">
        <f>'[1]WACC Calc'!AI438</f>
        <v>4.3753335999999997E-2</v>
      </c>
      <c r="AP81" s="130">
        <f>'[1]WACC Calc'!AJ438</f>
        <v>4.3753335999999997E-2</v>
      </c>
      <c r="AQ81" s="130">
        <f>'[1]WACC Calc'!AK438</f>
        <v>4.3753335999999997E-2</v>
      </c>
    </row>
    <row r="82" spans="7:43" ht="14.25" customHeight="1" x14ac:dyDescent="0.15">
      <c r="G82" s="22"/>
      <c r="H82" s="256"/>
      <c r="J82" s="267"/>
      <c r="K82" s="129" t="s">
        <v>87</v>
      </c>
      <c r="L82" s="130">
        <f>'[1]WACC Calc'!F439</f>
        <v>4.3753335999999997E-2</v>
      </c>
      <c r="M82" s="130">
        <f>'[1]WACC Calc'!G439</f>
        <v>4.3753335999999997E-2</v>
      </c>
      <c r="N82" s="130">
        <f>'[1]WACC Calc'!H439</f>
        <v>4.3753335999999997E-2</v>
      </c>
      <c r="O82" s="130">
        <f>'[1]WACC Calc'!I439</f>
        <v>4.3753335999999997E-2</v>
      </c>
      <c r="P82" s="130">
        <f>'[1]WACC Calc'!J439</f>
        <v>4.3753335999999997E-2</v>
      </c>
      <c r="Q82" s="130">
        <f>'[1]WACC Calc'!K439</f>
        <v>4.3753335999999997E-2</v>
      </c>
      <c r="R82" s="130">
        <f>'[1]WACC Calc'!L439</f>
        <v>4.3753335999999997E-2</v>
      </c>
      <c r="S82" s="130">
        <f>'[1]WACC Calc'!M439</f>
        <v>4.3753335999999997E-2</v>
      </c>
      <c r="T82" s="130">
        <f>'[1]WACC Calc'!N439</f>
        <v>4.3753335999999997E-2</v>
      </c>
      <c r="U82" s="130">
        <f>'[1]WACC Calc'!O439</f>
        <v>4.3753335999999997E-2</v>
      </c>
      <c r="V82" s="130">
        <f>'[1]WACC Calc'!P439</f>
        <v>4.3753335999999997E-2</v>
      </c>
      <c r="W82" s="130">
        <f>'[1]WACC Calc'!Q439</f>
        <v>4.3753335999999997E-2</v>
      </c>
      <c r="X82" s="130">
        <f>'[1]WACC Calc'!R439</f>
        <v>4.3753335999999997E-2</v>
      </c>
      <c r="Y82" s="130">
        <f>'[1]WACC Calc'!S439</f>
        <v>4.3753335999999997E-2</v>
      </c>
      <c r="Z82" s="130">
        <f>'[1]WACC Calc'!T439</f>
        <v>4.3753335999999997E-2</v>
      </c>
      <c r="AA82" s="130">
        <f>'[1]WACC Calc'!U439</f>
        <v>4.3753335999999997E-2</v>
      </c>
      <c r="AB82" s="130">
        <f>'[1]WACC Calc'!V439</f>
        <v>4.3753335999999997E-2</v>
      </c>
      <c r="AC82" s="130">
        <f>'[1]WACC Calc'!W439</f>
        <v>4.3753335999999997E-2</v>
      </c>
      <c r="AD82" s="130">
        <f>'[1]WACC Calc'!X439</f>
        <v>4.3753335999999997E-2</v>
      </c>
      <c r="AE82" s="130">
        <f>'[1]WACC Calc'!Y439</f>
        <v>4.3753335999999997E-2</v>
      </c>
      <c r="AF82" s="130">
        <f>'[1]WACC Calc'!Z439</f>
        <v>4.3753335999999997E-2</v>
      </c>
      <c r="AG82" s="130">
        <f>'[1]WACC Calc'!AA439</f>
        <v>4.3753335999999997E-2</v>
      </c>
      <c r="AH82" s="130">
        <f>'[1]WACC Calc'!AB439</f>
        <v>4.3753335999999997E-2</v>
      </c>
      <c r="AI82" s="130">
        <f>'[1]WACC Calc'!AC439</f>
        <v>4.3753335999999997E-2</v>
      </c>
      <c r="AJ82" s="130">
        <f>'[1]WACC Calc'!AD439</f>
        <v>4.3753335999999997E-2</v>
      </c>
      <c r="AK82" s="130">
        <f>'[1]WACC Calc'!AE439</f>
        <v>4.3753335999999997E-2</v>
      </c>
      <c r="AL82" s="130">
        <f>'[1]WACC Calc'!AF439</f>
        <v>4.3753335999999997E-2</v>
      </c>
      <c r="AM82" s="130">
        <f>'[1]WACC Calc'!AG439</f>
        <v>4.3753335999999997E-2</v>
      </c>
      <c r="AN82" s="130">
        <f>'[1]WACC Calc'!AH439</f>
        <v>4.3753335999999997E-2</v>
      </c>
      <c r="AO82" s="130">
        <f>'[1]WACC Calc'!AI439</f>
        <v>4.3753335999999997E-2</v>
      </c>
      <c r="AP82" s="130">
        <f>'[1]WACC Calc'!AJ439</f>
        <v>4.3753335999999997E-2</v>
      </c>
      <c r="AQ82" s="130">
        <f>'[1]WACC Calc'!AK439</f>
        <v>4.3753335999999997E-2</v>
      </c>
    </row>
    <row r="83" spans="7:43" ht="14.25" customHeight="1" x14ac:dyDescent="0.15">
      <c r="G83" s="22"/>
      <c r="H83" s="256"/>
      <c r="J83" s="267"/>
      <c r="K83" s="129" t="s">
        <v>122</v>
      </c>
      <c r="L83" s="130">
        <f>'[1]WACC Calc'!F440</f>
        <v>4.3753335999999997E-2</v>
      </c>
      <c r="M83" s="130">
        <f>'[1]WACC Calc'!G440</f>
        <v>4.3753335999999997E-2</v>
      </c>
      <c r="N83" s="130">
        <f>'[1]WACC Calc'!H440</f>
        <v>4.3753335999999997E-2</v>
      </c>
      <c r="O83" s="130">
        <f>'[1]WACC Calc'!I440</f>
        <v>4.3753335999999997E-2</v>
      </c>
      <c r="P83" s="130">
        <f>'[1]WACC Calc'!J440</f>
        <v>4.3753335999999997E-2</v>
      </c>
      <c r="Q83" s="130">
        <f>'[1]WACC Calc'!K440</f>
        <v>4.3753335999999997E-2</v>
      </c>
      <c r="R83" s="130">
        <f>'[1]WACC Calc'!L440</f>
        <v>4.3753335999999997E-2</v>
      </c>
      <c r="S83" s="130">
        <f>'[1]WACC Calc'!M440</f>
        <v>4.3753335999999997E-2</v>
      </c>
      <c r="T83" s="130">
        <f>'[1]WACC Calc'!N440</f>
        <v>4.3753335999999997E-2</v>
      </c>
      <c r="U83" s="130">
        <f>'[1]WACC Calc'!O440</f>
        <v>4.3753335999999997E-2</v>
      </c>
      <c r="V83" s="130">
        <f>'[1]WACC Calc'!P440</f>
        <v>4.3753335999999997E-2</v>
      </c>
      <c r="W83" s="130">
        <f>'[1]WACC Calc'!Q440</f>
        <v>4.3753335999999997E-2</v>
      </c>
      <c r="X83" s="130">
        <f>'[1]WACC Calc'!R440</f>
        <v>4.3753335999999997E-2</v>
      </c>
      <c r="Y83" s="130">
        <f>'[1]WACC Calc'!S440</f>
        <v>4.3753335999999997E-2</v>
      </c>
      <c r="Z83" s="130">
        <f>'[1]WACC Calc'!T440</f>
        <v>4.3753335999999997E-2</v>
      </c>
      <c r="AA83" s="130">
        <f>'[1]WACC Calc'!U440</f>
        <v>4.3753335999999997E-2</v>
      </c>
      <c r="AB83" s="130">
        <f>'[1]WACC Calc'!V440</f>
        <v>4.3753335999999997E-2</v>
      </c>
      <c r="AC83" s="130">
        <f>'[1]WACC Calc'!W440</f>
        <v>4.3753335999999997E-2</v>
      </c>
      <c r="AD83" s="130">
        <f>'[1]WACC Calc'!X440</f>
        <v>4.3753335999999997E-2</v>
      </c>
      <c r="AE83" s="130">
        <f>'[1]WACC Calc'!Y440</f>
        <v>4.3753335999999997E-2</v>
      </c>
      <c r="AF83" s="130">
        <f>'[1]WACC Calc'!Z440</f>
        <v>4.3753335999999997E-2</v>
      </c>
      <c r="AG83" s="130">
        <f>'[1]WACC Calc'!AA440</f>
        <v>4.3753335999999997E-2</v>
      </c>
      <c r="AH83" s="130">
        <f>'[1]WACC Calc'!AB440</f>
        <v>4.3753335999999997E-2</v>
      </c>
      <c r="AI83" s="130">
        <f>'[1]WACC Calc'!AC440</f>
        <v>4.3753335999999997E-2</v>
      </c>
      <c r="AJ83" s="130">
        <f>'[1]WACC Calc'!AD440</f>
        <v>4.3753335999999997E-2</v>
      </c>
      <c r="AK83" s="130">
        <f>'[1]WACC Calc'!AE440</f>
        <v>4.3753335999999997E-2</v>
      </c>
      <c r="AL83" s="130">
        <f>'[1]WACC Calc'!AF440</f>
        <v>4.3753335999999997E-2</v>
      </c>
      <c r="AM83" s="130">
        <f>'[1]WACC Calc'!AG440</f>
        <v>4.3753335999999997E-2</v>
      </c>
      <c r="AN83" s="130">
        <f>'[1]WACC Calc'!AH440</f>
        <v>4.3753335999999997E-2</v>
      </c>
      <c r="AO83" s="130">
        <f>'[1]WACC Calc'!AI440</f>
        <v>4.3753335999999997E-2</v>
      </c>
      <c r="AP83" s="130">
        <f>'[1]WACC Calc'!AJ440</f>
        <v>4.3753335999999997E-2</v>
      </c>
      <c r="AQ83" s="130">
        <f>'[1]WACC Calc'!AK440</f>
        <v>4.3753335999999997E-2</v>
      </c>
    </row>
    <row r="84" spans="7:43" ht="14.25" customHeight="1" x14ac:dyDescent="0.15">
      <c r="G84" s="22"/>
      <c r="H84" s="256"/>
      <c r="J84" s="267"/>
      <c r="K84" s="129" t="s">
        <v>123</v>
      </c>
      <c r="L84" s="130">
        <f>'[1]WACC Calc'!F441</f>
        <v>1.8295937560975695E-2</v>
      </c>
      <c r="M84" s="130">
        <f>'[1]WACC Calc'!G441</f>
        <v>1.8295937560975695E-2</v>
      </c>
      <c r="N84" s="130">
        <f>'[1]WACC Calc'!H441</f>
        <v>1.8295937560975695E-2</v>
      </c>
      <c r="O84" s="130">
        <f>'[1]WACC Calc'!I441</f>
        <v>1.8295937560975695E-2</v>
      </c>
      <c r="P84" s="130">
        <f>'[1]WACC Calc'!J441</f>
        <v>1.8295937560975695E-2</v>
      </c>
      <c r="Q84" s="130">
        <f>'[1]WACC Calc'!K441</f>
        <v>1.8295937560975695E-2</v>
      </c>
      <c r="R84" s="130">
        <f>'[1]WACC Calc'!L441</f>
        <v>1.8295937560975695E-2</v>
      </c>
      <c r="S84" s="130">
        <f>'[1]WACC Calc'!M441</f>
        <v>1.8295937560975695E-2</v>
      </c>
      <c r="T84" s="130">
        <f>'[1]WACC Calc'!N441</f>
        <v>1.8295937560975695E-2</v>
      </c>
      <c r="U84" s="130">
        <f>'[1]WACC Calc'!O441</f>
        <v>1.8295937560975695E-2</v>
      </c>
      <c r="V84" s="130">
        <f>'[1]WACC Calc'!P441</f>
        <v>1.8295937560975695E-2</v>
      </c>
      <c r="W84" s="130">
        <f>'[1]WACC Calc'!Q441</f>
        <v>1.8295937560975695E-2</v>
      </c>
      <c r="X84" s="130">
        <f>'[1]WACC Calc'!R441</f>
        <v>1.8295937560975695E-2</v>
      </c>
      <c r="Y84" s="130">
        <f>'[1]WACC Calc'!S441</f>
        <v>1.8295937560975695E-2</v>
      </c>
      <c r="Z84" s="130">
        <f>'[1]WACC Calc'!T441</f>
        <v>1.8295937560975695E-2</v>
      </c>
      <c r="AA84" s="130">
        <f>'[1]WACC Calc'!U441</f>
        <v>1.8295937560975695E-2</v>
      </c>
      <c r="AB84" s="130">
        <f>'[1]WACC Calc'!V441</f>
        <v>1.8295937560975695E-2</v>
      </c>
      <c r="AC84" s="130">
        <f>'[1]WACC Calc'!W441</f>
        <v>1.8295937560975695E-2</v>
      </c>
      <c r="AD84" s="130">
        <f>'[1]WACC Calc'!X441</f>
        <v>1.8295937560975695E-2</v>
      </c>
      <c r="AE84" s="130">
        <f>'[1]WACC Calc'!Y441</f>
        <v>1.8295937560975695E-2</v>
      </c>
      <c r="AF84" s="130">
        <f>'[1]WACC Calc'!Z441</f>
        <v>1.8295937560975695E-2</v>
      </c>
      <c r="AG84" s="130">
        <f>'[1]WACC Calc'!AA441</f>
        <v>1.8295937560975695E-2</v>
      </c>
      <c r="AH84" s="130">
        <f>'[1]WACC Calc'!AB441</f>
        <v>1.8295937560975695E-2</v>
      </c>
      <c r="AI84" s="130">
        <f>'[1]WACC Calc'!AC441</f>
        <v>1.8295937560975695E-2</v>
      </c>
      <c r="AJ84" s="130">
        <f>'[1]WACC Calc'!AD441</f>
        <v>1.8295937560975695E-2</v>
      </c>
      <c r="AK84" s="130">
        <f>'[1]WACC Calc'!AE441</f>
        <v>1.8295937560975695E-2</v>
      </c>
      <c r="AL84" s="130">
        <f>'[1]WACC Calc'!AF441</f>
        <v>1.8295937560975695E-2</v>
      </c>
      <c r="AM84" s="130">
        <f>'[1]WACC Calc'!AG441</f>
        <v>1.8295937560975695E-2</v>
      </c>
      <c r="AN84" s="130">
        <f>'[1]WACC Calc'!AH441</f>
        <v>1.8295937560975695E-2</v>
      </c>
      <c r="AO84" s="130">
        <f>'[1]WACC Calc'!AI441</f>
        <v>1.8295937560975695E-2</v>
      </c>
      <c r="AP84" s="130">
        <f>'[1]WACC Calc'!AJ441</f>
        <v>1.8295937560975695E-2</v>
      </c>
      <c r="AQ84" s="130">
        <f>'[1]WACC Calc'!AK441</f>
        <v>1.8295937560975695E-2</v>
      </c>
    </row>
    <row r="85" spans="7:43" ht="14.25" customHeight="1" x14ac:dyDescent="0.15">
      <c r="G85" s="22"/>
      <c r="H85" s="256"/>
      <c r="J85" s="267"/>
      <c r="K85" s="129" t="s">
        <v>88</v>
      </c>
      <c r="L85" s="130">
        <f>'[1]WACC Calc'!F442</f>
        <v>1.8295937560975695E-2</v>
      </c>
      <c r="M85" s="130">
        <f>'[1]WACC Calc'!G442</f>
        <v>1.8295937560975695E-2</v>
      </c>
      <c r="N85" s="130">
        <f>'[1]WACC Calc'!H442</f>
        <v>1.8295937560975695E-2</v>
      </c>
      <c r="O85" s="130">
        <f>'[1]WACC Calc'!I442</f>
        <v>1.8295937560975695E-2</v>
      </c>
      <c r="P85" s="130">
        <f>'[1]WACC Calc'!J442</f>
        <v>1.8295937560975695E-2</v>
      </c>
      <c r="Q85" s="130">
        <f>'[1]WACC Calc'!K442</f>
        <v>1.8295937560975695E-2</v>
      </c>
      <c r="R85" s="130">
        <f>'[1]WACC Calc'!L442</f>
        <v>1.8295937560975695E-2</v>
      </c>
      <c r="S85" s="130">
        <f>'[1]WACC Calc'!M442</f>
        <v>1.8295937560975695E-2</v>
      </c>
      <c r="T85" s="130">
        <f>'[1]WACC Calc'!N442</f>
        <v>1.8295937560975695E-2</v>
      </c>
      <c r="U85" s="130">
        <f>'[1]WACC Calc'!O442</f>
        <v>1.8295937560975695E-2</v>
      </c>
      <c r="V85" s="130">
        <f>'[1]WACC Calc'!P442</f>
        <v>1.8295937560975695E-2</v>
      </c>
      <c r="W85" s="130">
        <f>'[1]WACC Calc'!Q442</f>
        <v>1.8295937560975695E-2</v>
      </c>
      <c r="X85" s="130">
        <f>'[1]WACC Calc'!R442</f>
        <v>1.8295937560975695E-2</v>
      </c>
      <c r="Y85" s="130">
        <f>'[1]WACC Calc'!S442</f>
        <v>1.8295937560975695E-2</v>
      </c>
      <c r="Z85" s="130">
        <f>'[1]WACC Calc'!T442</f>
        <v>1.8295937560975695E-2</v>
      </c>
      <c r="AA85" s="130">
        <f>'[1]WACC Calc'!U442</f>
        <v>1.8295937560975695E-2</v>
      </c>
      <c r="AB85" s="130">
        <f>'[1]WACC Calc'!V442</f>
        <v>1.8295937560975695E-2</v>
      </c>
      <c r="AC85" s="130">
        <f>'[1]WACC Calc'!W442</f>
        <v>1.8295937560975695E-2</v>
      </c>
      <c r="AD85" s="130">
        <f>'[1]WACC Calc'!X442</f>
        <v>1.8295937560975695E-2</v>
      </c>
      <c r="AE85" s="130">
        <f>'[1]WACC Calc'!Y442</f>
        <v>1.8295937560975695E-2</v>
      </c>
      <c r="AF85" s="130">
        <f>'[1]WACC Calc'!Z442</f>
        <v>1.8295937560975695E-2</v>
      </c>
      <c r="AG85" s="130">
        <f>'[1]WACC Calc'!AA442</f>
        <v>1.8295937560975695E-2</v>
      </c>
      <c r="AH85" s="130">
        <f>'[1]WACC Calc'!AB442</f>
        <v>1.8295937560975695E-2</v>
      </c>
      <c r="AI85" s="130">
        <f>'[1]WACC Calc'!AC442</f>
        <v>1.8295937560975695E-2</v>
      </c>
      <c r="AJ85" s="130">
        <f>'[1]WACC Calc'!AD442</f>
        <v>1.8295937560975695E-2</v>
      </c>
      <c r="AK85" s="130">
        <f>'[1]WACC Calc'!AE442</f>
        <v>1.8295937560975695E-2</v>
      </c>
      <c r="AL85" s="130">
        <f>'[1]WACC Calc'!AF442</f>
        <v>1.8295937560975695E-2</v>
      </c>
      <c r="AM85" s="130">
        <f>'[1]WACC Calc'!AG442</f>
        <v>1.8295937560975695E-2</v>
      </c>
      <c r="AN85" s="130">
        <f>'[1]WACC Calc'!AH442</f>
        <v>1.8295937560975695E-2</v>
      </c>
      <c r="AO85" s="130">
        <f>'[1]WACC Calc'!AI442</f>
        <v>1.8295937560975695E-2</v>
      </c>
      <c r="AP85" s="130">
        <f>'[1]WACC Calc'!AJ442</f>
        <v>1.8295937560975695E-2</v>
      </c>
      <c r="AQ85" s="130">
        <f>'[1]WACC Calc'!AK442</f>
        <v>1.8295937560975695E-2</v>
      </c>
    </row>
    <row r="86" spans="7:43" ht="14.25" customHeight="1" x14ac:dyDescent="0.15">
      <c r="G86" s="22"/>
      <c r="H86" s="256"/>
      <c r="J86" s="267"/>
      <c r="K86" s="129" t="s">
        <v>124</v>
      </c>
      <c r="L86" s="130">
        <f>'[1]WACC Calc'!F443</f>
        <v>1.8295937560975695E-2</v>
      </c>
      <c r="M86" s="130">
        <f>'[1]WACC Calc'!G443</f>
        <v>1.8295937560975695E-2</v>
      </c>
      <c r="N86" s="130">
        <f>'[1]WACC Calc'!H443</f>
        <v>1.8295937560975695E-2</v>
      </c>
      <c r="O86" s="130">
        <f>'[1]WACC Calc'!I443</f>
        <v>1.8295937560975695E-2</v>
      </c>
      <c r="P86" s="130">
        <f>'[1]WACC Calc'!J443</f>
        <v>1.8295937560975695E-2</v>
      </c>
      <c r="Q86" s="130">
        <f>'[1]WACC Calc'!K443</f>
        <v>1.8295937560975695E-2</v>
      </c>
      <c r="R86" s="130">
        <f>'[1]WACC Calc'!L443</f>
        <v>1.8295937560975695E-2</v>
      </c>
      <c r="S86" s="130">
        <f>'[1]WACC Calc'!M443</f>
        <v>1.8295937560975695E-2</v>
      </c>
      <c r="T86" s="130">
        <f>'[1]WACC Calc'!N443</f>
        <v>1.8295937560975695E-2</v>
      </c>
      <c r="U86" s="130">
        <f>'[1]WACC Calc'!O443</f>
        <v>1.8295937560975695E-2</v>
      </c>
      <c r="V86" s="130">
        <f>'[1]WACC Calc'!P443</f>
        <v>1.8295937560975695E-2</v>
      </c>
      <c r="W86" s="130">
        <f>'[1]WACC Calc'!Q443</f>
        <v>1.8295937560975695E-2</v>
      </c>
      <c r="X86" s="130">
        <f>'[1]WACC Calc'!R443</f>
        <v>1.8295937560975695E-2</v>
      </c>
      <c r="Y86" s="130">
        <f>'[1]WACC Calc'!S443</f>
        <v>1.8295937560975695E-2</v>
      </c>
      <c r="Z86" s="130">
        <f>'[1]WACC Calc'!T443</f>
        <v>1.8295937560975695E-2</v>
      </c>
      <c r="AA86" s="130">
        <f>'[1]WACC Calc'!U443</f>
        <v>1.8295937560975695E-2</v>
      </c>
      <c r="AB86" s="130">
        <f>'[1]WACC Calc'!V443</f>
        <v>1.8295937560975695E-2</v>
      </c>
      <c r="AC86" s="130">
        <f>'[1]WACC Calc'!W443</f>
        <v>1.8295937560975695E-2</v>
      </c>
      <c r="AD86" s="130">
        <f>'[1]WACC Calc'!X443</f>
        <v>1.8295937560975695E-2</v>
      </c>
      <c r="AE86" s="130">
        <f>'[1]WACC Calc'!Y443</f>
        <v>1.8295937560975695E-2</v>
      </c>
      <c r="AF86" s="130">
        <f>'[1]WACC Calc'!Z443</f>
        <v>1.8295937560975695E-2</v>
      </c>
      <c r="AG86" s="130">
        <f>'[1]WACC Calc'!AA443</f>
        <v>1.8295937560975695E-2</v>
      </c>
      <c r="AH86" s="130">
        <f>'[1]WACC Calc'!AB443</f>
        <v>1.8295937560975695E-2</v>
      </c>
      <c r="AI86" s="130">
        <f>'[1]WACC Calc'!AC443</f>
        <v>1.8295937560975695E-2</v>
      </c>
      <c r="AJ86" s="130">
        <f>'[1]WACC Calc'!AD443</f>
        <v>1.8295937560975695E-2</v>
      </c>
      <c r="AK86" s="130">
        <f>'[1]WACC Calc'!AE443</f>
        <v>1.8295937560975695E-2</v>
      </c>
      <c r="AL86" s="130">
        <f>'[1]WACC Calc'!AF443</f>
        <v>1.8295937560975695E-2</v>
      </c>
      <c r="AM86" s="130">
        <f>'[1]WACC Calc'!AG443</f>
        <v>1.8295937560975695E-2</v>
      </c>
      <c r="AN86" s="130">
        <f>'[1]WACC Calc'!AH443</f>
        <v>1.8295937560975695E-2</v>
      </c>
      <c r="AO86" s="130">
        <f>'[1]WACC Calc'!AI443</f>
        <v>1.8295937560975695E-2</v>
      </c>
      <c r="AP86" s="130">
        <f>'[1]WACC Calc'!AJ443</f>
        <v>1.8295937560975695E-2</v>
      </c>
      <c r="AQ86" s="130">
        <f>'[1]WACC Calc'!AK443</f>
        <v>1.8295937560975695E-2</v>
      </c>
    </row>
    <row r="87" spans="7:43" ht="14.25" customHeight="1" x14ac:dyDescent="0.15">
      <c r="G87" s="22"/>
      <c r="H87" s="256"/>
      <c r="J87" s="267"/>
      <c r="K87" s="131" t="s">
        <v>125</v>
      </c>
      <c r="L87" s="130">
        <f t="shared" ref="L87:AQ92" si="1" xml:space="preserve"> L81 / (1 - (1 / (1 + L81)^$N$34))</f>
        <v>6.0494177216606923E-2</v>
      </c>
      <c r="M87" s="130">
        <f t="shared" si="1"/>
        <v>6.0494177216606923E-2</v>
      </c>
      <c r="N87" s="130">
        <f t="shared" si="1"/>
        <v>6.0494177216606923E-2</v>
      </c>
      <c r="O87" s="130">
        <f t="shared" si="1"/>
        <v>6.0494177216606923E-2</v>
      </c>
      <c r="P87" s="130">
        <f t="shared" si="1"/>
        <v>6.0494177216606923E-2</v>
      </c>
      <c r="Q87" s="130">
        <f t="shared" si="1"/>
        <v>6.0494177216606923E-2</v>
      </c>
      <c r="R87" s="130">
        <f t="shared" si="1"/>
        <v>6.0494177216606923E-2</v>
      </c>
      <c r="S87" s="130">
        <f t="shared" si="1"/>
        <v>6.0494177216606923E-2</v>
      </c>
      <c r="T87" s="130">
        <f t="shared" si="1"/>
        <v>6.0494177216606923E-2</v>
      </c>
      <c r="U87" s="130">
        <f t="shared" si="1"/>
        <v>6.0494177216606923E-2</v>
      </c>
      <c r="V87" s="130">
        <f t="shared" si="1"/>
        <v>6.0494177216606923E-2</v>
      </c>
      <c r="W87" s="130">
        <f t="shared" si="1"/>
        <v>6.0494177216606923E-2</v>
      </c>
      <c r="X87" s="130">
        <f t="shared" si="1"/>
        <v>6.0494177216606923E-2</v>
      </c>
      <c r="Y87" s="130">
        <f t="shared" si="1"/>
        <v>6.0494177216606923E-2</v>
      </c>
      <c r="Z87" s="130">
        <f t="shared" si="1"/>
        <v>6.0494177216606923E-2</v>
      </c>
      <c r="AA87" s="130">
        <f t="shared" si="1"/>
        <v>6.0494177216606923E-2</v>
      </c>
      <c r="AB87" s="130">
        <f t="shared" si="1"/>
        <v>6.0494177216606923E-2</v>
      </c>
      <c r="AC87" s="130">
        <f t="shared" si="1"/>
        <v>6.0494177216606923E-2</v>
      </c>
      <c r="AD87" s="130">
        <f t="shared" si="1"/>
        <v>6.0494177216606923E-2</v>
      </c>
      <c r="AE87" s="130">
        <f t="shared" si="1"/>
        <v>6.0494177216606923E-2</v>
      </c>
      <c r="AF87" s="130">
        <f t="shared" si="1"/>
        <v>6.0494177216606923E-2</v>
      </c>
      <c r="AG87" s="130">
        <f t="shared" si="1"/>
        <v>6.0494177216606923E-2</v>
      </c>
      <c r="AH87" s="130">
        <f t="shared" si="1"/>
        <v>6.0494177216606923E-2</v>
      </c>
      <c r="AI87" s="130">
        <f t="shared" si="1"/>
        <v>6.0494177216606923E-2</v>
      </c>
      <c r="AJ87" s="130">
        <f t="shared" si="1"/>
        <v>6.0494177216606923E-2</v>
      </c>
      <c r="AK87" s="130">
        <f t="shared" si="1"/>
        <v>6.0494177216606923E-2</v>
      </c>
      <c r="AL87" s="130">
        <f t="shared" si="1"/>
        <v>6.0494177216606923E-2</v>
      </c>
      <c r="AM87" s="130">
        <f t="shared" si="1"/>
        <v>6.0494177216606923E-2</v>
      </c>
      <c r="AN87" s="130">
        <f t="shared" si="1"/>
        <v>6.0494177216606923E-2</v>
      </c>
      <c r="AO87" s="130">
        <f t="shared" si="1"/>
        <v>6.0494177216606923E-2</v>
      </c>
      <c r="AP87" s="130">
        <f t="shared" si="1"/>
        <v>6.0494177216606923E-2</v>
      </c>
      <c r="AQ87" s="130">
        <f t="shared" si="1"/>
        <v>6.0494177216606923E-2</v>
      </c>
    </row>
    <row r="88" spans="7:43" ht="14.25" customHeight="1" x14ac:dyDescent="0.15">
      <c r="G88" s="22"/>
      <c r="H88" s="256"/>
      <c r="J88" s="267"/>
      <c r="K88" s="131" t="s">
        <v>93</v>
      </c>
      <c r="L88" s="130">
        <f t="shared" si="1"/>
        <v>6.0494177216606923E-2</v>
      </c>
      <c r="M88" s="130">
        <f t="shared" si="1"/>
        <v>6.0494177216606923E-2</v>
      </c>
      <c r="N88" s="130">
        <f t="shared" si="1"/>
        <v>6.0494177216606923E-2</v>
      </c>
      <c r="O88" s="130">
        <f t="shared" si="1"/>
        <v>6.0494177216606923E-2</v>
      </c>
      <c r="P88" s="130">
        <f t="shared" si="1"/>
        <v>6.0494177216606923E-2</v>
      </c>
      <c r="Q88" s="130">
        <f t="shared" si="1"/>
        <v>6.0494177216606923E-2</v>
      </c>
      <c r="R88" s="130">
        <f t="shared" si="1"/>
        <v>6.0494177216606923E-2</v>
      </c>
      <c r="S88" s="130">
        <f t="shared" si="1"/>
        <v>6.0494177216606923E-2</v>
      </c>
      <c r="T88" s="130">
        <f t="shared" si="1"/>
        <v>6.0494177216606923E-2</v>
      </c>
      <c r="U88" s="130">
        <f t="shared" si="1"/>
        <v>6.0494177216606923E-2</v>
      </c>
      <c r="V88" s="130">
        <f t="shared" si="1"/>
        <v>6.0494177216606923E-2</v>
      </c>
      <c r="W88" s="130">
        <f t="shared" si="1"/>
        <v>6.0494177216606923E-2</v>
      </c>
      <c r="X88" s="130">
        <f t="shared" si="1"/>
        <v>6.0494177216606923E-2</v>
      </c>
      <c r="Y88" s="130">
        <f t="shared" si="1"/>
        <v>6.0494177216606923E-2</v>
      </c>
      <c r="Z88" s="130">
        <f t="shared" si="1"/>
        <v>6.0494177216606923E-2</v>
      </c>
      <c r="AA88" s="130">
        <f t="shared" si="1"/>
        <v>6.0494177216606923E-2</v>
      </c>
      <c r="AB88" s="130">
        <f t="shared" si="1"/>
        <v>6.0494177216606923E-2</v>
      </c>
      <c r="AC88" s="130">
        <f t="shared" si="1"/>
        <v>6.0494177216606923E-2</v>
      </c>
      <c r="AD88" s="130">
        <f t="shared" si="1"/>
        <v>6.0494177216606923E-2</v>
      </c>
      <c r="AE88" s="130">
        <f t="shared" si="1"/>
        <v>6.0494177216606923E-2</v>
      </c>
      <c r="AF88" s="130">
        <f t="shared" si="1"/>
        <v>6.0494177216606923E-2</v>
      </c>
      <c r="AG88" s="130">
        <f t="shared" si="1"/>
        <v>6.0494177216606923E-2</v>
      </c>
      <c r="AH88" s="130">
        <f t="shared" si="1"/>
        <v>6.0494177216606923E-2</v>
      </c>
      <c r="AI88" s="130">
        <f t="shared" si="1"/>
        <v>6.0494177216606923E-2</v>
      </c>
      <c r="AJ88" s="130">
        <f t="shared" si="1"/>
        <v>6.0494177216606923E-2</v>
      </c>
      <c r="AK88" s="130">
        <f t="shared" si="1"/>
        <v>6.0494177216606923E-2</v>
      </c>
      <c r="AL88" s="130">
        <f t="shared" si="1"/>
        <v>6.0494177216606923E-2</v>
      </c>
      <c r="AM88" s="130">
        <f t="shared" si="1"/>
        <v>6.0494177216606923E-2</v>
      </c>
      <c r="AN88" s="130">
        <f t="shared" si="1"/>
        <v>6.0494177216606923E-2</v>
      </c>
      <c r="AO88" s="130">
        <f t="shared" si="1"/>
        <v>6.0494177216606923E-2</v>
      </c>
      <c r="AP88" s="130">
        <f t="shared" si="1"/>
        <v>6.0494177216606923E-2</v>
      </c>
      <c r="AQ88" s="130">
        <f t="shared" si="1"/>
        <v>6.0494177216606923E-2</v>
      </c>
    </row>
    <row r="89" spans="7:43" ht="14.25" customHeight="1" x14ac:dyDescent="0.15">
      <c r="G89" s="22"/>
      <c r="H89" s="256"/>
      <c r="J89" s="267"/>
      <c r="K89" s="131" t="s">
        <v>126</v>
      </c>
      <c r="L89" s="130">
        <f t="shared" si="1"/>
        <v>6.0494177216606923E-2</v>
      </c>
      <c r="M89" s="130">
        <f t="shared" si="1"/>
        <v>6.0494177216606923E-2</v>
      </c>
      <c r="N89" s="130">
        <f t="shared" si="1"/>
        <v>6.0494177216606923E-2</v>
      </c>
      <c r="O89" s="130">
        <f t="shared" si="1"/>
        <v>6.0494177216606923E-2</v>
      </c>
      <c r="P89" s="130">
        <f t="shared" si="1"/>
        <v>6.0494177216606923E-2</v>
      </c>
      <c r="Q89" s="130">
        <f t="shared" si="1"/>
        <v>6.0494177216606923E-2</v>
      </c>
      <c r="R89" s="130">
        <f t="shared" si="1"/>
        <v>6.0494177216606923E-2</v>
      </c>
      <c r="S89" s="130">
        <f t="shared" si="1"/>
        <v>6.0494177216606923E-2</v>
      </c>
      <c r="T89" s="130">
        <f t="shared" si="1"/>
        <v>6.0494177216606923E-2</v>
      </c>
      <c r="U89" s="130">
        <f t="shared" si="1"/>
        <v>6.0494177216606923E-2</v>
      </c>
      <c r="V89" s="130">
        <f t="shared" si="1"/>
        <v>6.0494177216606923E-2</v>
      </c>
      <c r="W89" s="130">
        <f t="shared" si="1"/>
        <v>6.0494177216606923E-2</v>
      </c>
      <c r="X89" s="130">
        <f t="shared" si="1"/>
        <v>6.0494177216606923E-2</v>
      </c>
      <c r="Y89" s="130">
        <f t="shared" si="1"/>
        <v>6.0494177216606923E-2</v>
      </c>
      <c r="Z89" s="130">
        <f t="shared" si="1"/>
        <v>6.0494177216606923E-2</v>
      </c>
      <c r="AA89" s="130">
        <f t="shared" si="1"/>
        <v>6.0494177216606923E-2</v>
      </c>
      <c r="AB89" s="130">
        <f t="shared" si="1"/>
        <v>6.0494177216606923E-2</v>
      </c>
      <c r="AC89" s="130">
        <f t="shared" si="1"/>
        <v>6.0494177216606923E-2</v>
      </c>
      <c r="AD89" s="130">
        <f t="shared" si="1"/>
        <v>6.0494177216606923E-2</v>
      </c>
      <c r="AE89" s="130">
        <f t="shared" si="1"/>
        <v>6.0494177216606923E-2</v>
      </c>
      <c r="AF89" s="130">
        <f t="shared" si="1"/>
        <v>6.0494177216606923E-2</v>
      </c>
      <c r="AG89" s="130">
        <f t="shared" si="1"/>
        <v>6.0494177216606923E-2</v>
      </c>
      <c r="AH89" s="130">
        <f t="shared" si="1"/>
        <v>6.0494177216606923E-2</v>
      </c>
      <c r="AI89" s="130">
        <f t="shared" si="1"/>
        <v>6.0494177216606923E-2</v>
      </c>
      <c r="AJ89" s="130">
        <f t="shared" si="1"/>
        <v>6.0494177216606923E-2</v>
      </c>
      <c r="AK89" s="130">
        <f t="shared" si="1"/>
        <v>6.0494177216606923E-2</v>
      </c>
      <c r="AL89" s="130">
        <f t="shared" si="1"/>
        <v>6.0494177216606923E-2</v>
      </c>
      <c r="AM89" s="130">
        <f t="shared" si="1"/>
        <v>6.0494177216606923E-2</v>
      </c>
      <c r="AN89" s="130">
        <f t="shared" si="1"/>
        <v>6.0494177216606923E-2</v>
      </c>
      <c r="AO89" s="130">
        <f t="shared" si="1"/>
        <v>6.0494177216606923E-2</v>
      </c>
      <c r="AP89" s="130">
        <f t="shared" si="1"/>
        <v>6.0494177216606923E-2</v>
      </c>
      <c r="AQ89" s="130">
        <f t="shared" si="1"/>
        <v>6.0494177216606923E-2</v>
      </c>
    </row>
    <row r="90" spans="7:43" ht="14.25" customHeight="1" x14ac:dyDescent="0.15">
      <c r="G90" s="22"/>
      <c r="H90" s="256"/>
      <c r="J90" s="267"/>
      <c r="K90" s="131" t="s">
        <v>127</v>
      </c>
      <c r="L90" s="130">
        <f t="shared" si="1"/>
        <v>4.3610542466031188E-2</v>
      </c>
      <c r="M90" s="130">
        <f t="shared" si="1"/>
        <v>4.3610542466031188E-2</v>
      </c>
      <c r="N90" s="130">
        <f t="shared" si="1"/>
        <v>4.3610542466031188E-2</v>
      </c>
      <c r="O90" s="130">
        <f t="shared" si="1"/>
        <v>4.3610542466031188E-2</v>
      </c>
      <c r="P90" s="130">
        <f t="shared" si="1"/>
        <v>4.3610542466031188E-2</v>
      </c>
      <c r="Q90" s="130">
        <f t="shared" si="1"/>
        <v>4.3610542466031188E-2</v>
      </c>
      <c r="R90" s="130">
        <f t="shared" si="1"/>
        <v>4.3610542466031188E-2</v>
      </c>
      <c r="S90" s="130">
        <f t="shared" si="1"/>
        <v>4.3610542466031188E-2</v>
      </c>
      <c r="T90" s="130">
        <f t="shared" si="1"/>
        <v>4.3610542466031188E-2</v>
      </c>
      <c r="U90" s="130">
        <f t="shared" si="1"/>
        <v>4.3610542466031188E-2</v>
      </c>
      <c r="V90" s="130">
        <f t="shared" si="1"/>
        <v>4.3610542466031188E-2</v>
      </c>
      <c r="W90" s="130">
        <f t="shared" si="1"/>
        <v>4.3610542466031188E-2</v>
      </c>
      <c r="X90" s="130">
        <f t="shared" si="1"/>
        <v>4.3610542466031188E-2</v>
      </c>
      <c r="Y90" s="130">
        <f t="shared" si="1"/>
        <v>4.3610542466031188E-2</v>
      </c>
      <c r="Z90" s="130">
        <f t="shared" si="1"/>
        <v>4.3610542466031188E-2</v>
      </c>
      <c r="AA90" s="130">
        <f t="shared" si="1"/>
        <v>4.3610542466031188E-2</v>
      </c>
      <c r="AB90" s="130">
        <f t="shared" si="1"/>
        <v>4.3610542466031188E-2</v>
      </c>
      <c r="AC90" s="130">
        <f t="shared" si="1"/>
        <v>4.3610542466031188E-2</v>
      </c>
      <c r="AD90" s="130">
        <f t="shared" si="1"/>
        <v>4.3610542466031188E-2</v>
      </c>
      <c r="AE90" s="130">
        <f t="shared" si="1"/>
        <v>4.3610542466031188E-2</v>
      </c>
      <c r="AF90" s="130">
        <f t="shared" si="1"/>
        <v>4.3610542466031188E-2</v>
      </c>
      <c r="AG90" s="130">
        <f t="shared" si="1"/>
        <v>4.3610542466031188E-2</v>
      </c>
      <c r="AH90" s="130">
        <f t="shared" si="1"/>
        <v>4.3610542466031188E-2</v>
      </c>
      <c r="AI90" s="130">
        <f t="shared" si="1"/>
        <v>4.3610542466031188E-2</v>
      </c>
      <c r="AJ90" s="130">
        <f t="shared" si="1"/>
        <v>4.3610542466031188E-2</v>
      </c>
      <c r="AK90" s="130">
        <f t="shared" si="1"/>
        <v>4.3610542466031188E-2</v>
      </c>
      <c r="AL90" s="130">
        <f t="shared" si="1"/>
        <v>4.3610542466031188E-2</v>
      </c>
      <c r="AM90" s="130">
        <f t="shared" si="1"/>
        <v>4.3610542466031188E-2</v>
      </c>
      <c r="AN90" s="130">
        <f t="shared" si="1"/>
        <v>4.3610542466031188E-2</v>
      </c>
      <c r="AO90" s="130">
        <f t="shared" si="1"/>
        <v>4.3610542466031188E-2</v>
      </c>
      <c r="AP90" s="130">
        <f t="shared" si="1"/>
        <v>4.3610542466031188E-2</v>
      </c>
      <c r="AQ90" s="130">
        <f t="shared" si="1"/>
        <v>4.3610542466031188E-2</v>
      </c>
    </row>
    <row r="91" spans="7:43" ht="14.25" customHeight="1" x14ac:dyDescent="0.15">
      <c r="G91" s="22"/>
      <c r="H91" s="256"/>
      <c r="J91" s="132"/>
      <c r="K91" s="131" t="s">
        <v>94</v>
      </c>
      <c r="L91" s="130">
        <f t="shared" si="1"/>
        <v>4.3610542466031188E-2</v>
      </c>
      <c r="M91" s="130">
        <f t="shared" si="1"/>
        <v>4.3610542466031188E-2</v>
      </c>
      <c r="N91" s="130">
        <f t="shared" si="1"/>
        <v>4.3610542466031188E-2</v>
      </c>
      <c r="O91" s="130">
        <f t="shared" si="1"/>
        <v>4.3610542466031188E-2</v>
      </c>
      <c r="P91" s="130">
        <f t="shared" si="1"/>
        <v>4.3610542466031188E-2</v>
      </c>
      <c r="Q91" s="130">
        <f t="shared" si="1"/>
        <v>4.3610542466031188E-2</v>
      </c>
      <c r="R91" s="130">
        <f t="shared" si="1"/>
        <v>4.3610542466031188E-2</v>
      </c>
      <c r="S91" s="130">
        <f t="shared" si="1"/>
        <v>4.3610542466031188E-2</v>
      </c>
      <c r="T91" s="130">
        <f t="shared" si="1"/>
        <v>4.3610542466031188E-2</v>
      </c>
      <c r="U91" s="130">
        <f t="shared" si="1"/>
        <v>4.3610542466031188E-2</v>
      </c>
      <c r="V91" s="130">
        <f t="shared" si="1"/>
        <v>4.3610542466031188E-2</v>
      </c>
      <c r="W91" s="130">
        <f t="shared" si="1"/>
        <v>4.3610542466031188E-2</v>
      </c>
      <c r="X91" s="130">
        <f t="shared" si="1"/>
        <v>4.3610542466031188E-2</v>
      </c>
      <c r="Y91" s="130">
        <f t="shared" si="1"/>
        <v>4.3610542466031188E-2</v>
      </c>
      <c r="Z91" s="130">
        <f t="shared" si="1"/>
        <v>4.3610542466031188E-2</v>
      </c>
      <c r="AA91" s="130">
        <f t="shared" si="1"/>
        <v>4.3610542466031188E-2</v>
      </c>
      <c r="AB91" s="130">
        <f t="shared" si="1"/>
        <v>4.3610542466031188E-2</v>
      </c>
      <c r="AC91" s="130">
        <f t="shared" si="1"/>
        <v>4.3610542466031188E-2</v>
      </c>
      <c r="AD91" s="130">
        <f t="shared" si="1"/>
        <v>4.3610542466031188E-2</v>
      </c>
      <c r="AE91" s="130">
        <f t="shared" si="1"/>
        <v>4.3610542466031188E-2</v>
      </c>
      <c r="AF91" s="130">
        <f t="shared" si="1"/>
        <v>4.3610542466031188E-2</v>
      </c>
      <c r="AG91" s="130">
        <f t="shared" si="1"/>
        <v>4.3610542466031188E-2</v>
      </c>
      <c r="AH91" s="130">
        <f t="shared" si="1"/>
        <v>4.3610542466031188E-2</v>
      </c>
      <c r="AI91" s="130">
        <f t="shared" si="1"/>
        <v>4.3610542466031188E-2</v>
      </c>
      <c r="AJ91" s="130">
        <f t="shared" si="1"/>
        <v>4.3610542466031188E-2</v>
      </c>
      <c r="AK91" s="130">
        <f t="shared" si="1"/>
        <v>4.3610542466031188E-2</v>
      </c>
      <c r="AL91" s="130">
        <f t="shared" si="1"/>
        <v>4.3610542466031188E-2</v>
      </c>
      <c r="AM91" s="130">
        <f t="shared" si="1"/>
        <v>4.3610542466031188E-2</v>
      </c>
      <c r="AN91" s="130">
        <f t="shared" si="1"/>
        <v>4.3610542466031188E-2</v>
      </c>
      <c r="AO91" s="130">
        <f t="shared" si="1"/>
        <v>4.3610542466031188E-2</v>
      </c>
      <c r="AP91" s="130">
        <f t="shared" si="1"/>
        <v>4.3610542466031188E-2</v>
      </c>
      <c r="AQ91" s="130">
        <f t="shared" si="1"/>
        <v>4.3610542466031188E-2</v>
      </c>
    </row>
    <row r="92" spans="7:43" ht="14.25" customHeight="1" x14ac:dyDescent="0.15">
      <c r="G92" s="22"/>
      <c r="H92" s="256"/>
      <c r="J92" s="132"/>
      <c r="K92" s="131" t="s">
        <v>128</v>
      </c>
      <c r="L92" s="130">
        <f t="shared" si="1"/>
        <v>4.3610542466031188E-2</v>
      </c>
      <c r="M92" s="130">
        <f t="shared" si="1"/>
        <v>4.3610542466031188E-2</v>
      </c>
      <c r="N92" s="130">
        <f t="shared" si="1"/>
        <v>4.3610542466031188E-2</v>
      </c>
      <c r="O92" s="130">
        <f t="shared" si="1"/>
        <v>4.3610542466031188E-2</v>
      </c>
      <c r="P92" s="130">
        <f t="shared" si="1"/>
        <v>4.3610542466031188E-2</v>
      </c>
      <c r="Q92" s="130">
        <f t="shared" si="1"/>
        <v>4.3610542466031188E-2</v>
      </c>
      <c r="R92" s="130">
        <f t="shared" si="1"/>
        <v>4.3610542466031188E-2</v>
      </c>
      <c r="S92" s="130">
        <f t="shared" si="1"/>
        <v>4.3610542466031188E-2</v>
      </c>
      <c r="T92" s="130">
        <f t="shared" si="1"/>
        <v>4.3610542466031188E-2</v>
      </c>
      <c r="U92" s="130">
        <f t="shared" si="1"/>
        <v>4.3610542466031188E-2</v>
      </c>
      <c r="V92" s="130">
        <f t="shared" si="1"/>
        <v>4.3610542466031188E-2</v>
      </c>
      <c r="W92" s="130">
        <f t="shared" si="1"/>
        <v>4.3610542466031188E-2</v>
      </c>
      <c r="X92" s="130">
        <f t="shared" si="1"/>
        <v>4.3610542466031188E-2</v>
      </c>
      <c r="Y92" s="130">
        <f t="shared" si="1"/>
        <v>4.3610542466031188E-2</v>
      </c>
      <c r="Z92" s="130">
        <f t="shared" si="1"/>
        <v>4.3610542466031188E-2</v>
      </c>
      <c r="AA92" s="130">
        <f t="shared" si="1"/>
        <v>4.3610542466031188E-2</v>
      </c>
      <c r="AB92" s="130">
        <f t="shared" si="1"/>
        <v>4.3610542466031188E-2</v>
      </c>
      <c r="AC92" s="130">
        <f t="shared" si="1"/>
        <v>4.3610542466031188E-2</v>
      </c>
      <c r="AD92" s="130">
        <f t="shared" si="1"/>
        <v>4.3610542466031188E-2</v>
      </c>
      <c r="AE92" s="130">
        <f t="shared" si="1"/>
        <v>4.3610542466031188E-2</v>
      </c>
      <c r="AF92" s="130">
        <f t="shared" si="1"/>
        <v>4.3610542466031188E-2</v>
      </c>
      <c r="AG92" s="130">
        <f t="shared" si="1"/>
        <v>4.3610542466031188E-2</v>
      </c>
      <c r="AH92" s="130">
        <f t="shared" si="1"/>
        <v>4.3610542466031188E-2</v>
      </c>
      <c r="AI92" s="130">
        <f t="shared" si="1"/>
        <v>4.3610542466031188E-2</v>
      </c>
      <c r="AJ92" s="130">
        <f t="shared" si="1"/>
        <v>4.3610542466031188E-2</v>
      </c>
      <c r="AK92" s="130">
        <f t="shared" si="1"/>
        <v>4.3610542466031188E-2</v>
      </c>
      <c r="AL92" s="130">
        <f t="shared" si="1"/>
        <v>4.3610542466031188E-2</v>
      </c>
      <c r="AM92" s="130">
        <f t="shared" si="1"/>
        <v>4.3610542466031188E-2</v>
      </c>
      <c r="AN92" s="130">
        <f t="shared" si="1"/>
        <v>4.3610542466031188E-2</v>
      </c>
      <c r="AO92" s="130">
        <f t="shared" si="1"/>
        <v>4.3610542466031188E-2</v>
      </c>
      <c r="AP92" s="130">
        <f t="shared" si="1"/>
        <v>4.3610542466031188E-2</v>
      </c>
      <c r="AQ92" s="130">
        <f t="shared" si="1"/>
        <v>4.3610542466031188E-2</v>
      </c>
    </row>
    <row r="93" spans="7:43" ht="14.25" customHeight="1" x14ac:dyDescent="0.15">
      <c r="G93" s="133"/>
      <c r="H93" s="134"/>
      <c r="I93" s="134"/>
      <c r="J93" s="134"/>
      <c r="K93" s="134"/>
      <c r="L93" s="134"/>
      <c r="M93" s="134"/>
      <c r="N93" s="134"/>
      <c r="O93" s="134"/>
      <c r="P93" s="134"/>
      <c r="Q93" s="134"/>
      <c r="R93" s="134"/>
      <c r="S93" s="134"/>
      <c r="T93" s="135"/>
    </row>
    <row r="96" spans="7:43" ht="14.25" customHeight="1" x14ac:dyDescent="0.15">
      <c r="G96" s="136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  <c r="Z96" s="137"/>
      <c r="AA96" s="137"/>
      <c r="AB96" s="137"/>
      <c r="AC96" s="137"/>
      <c r="AD96" s="137"/>
      <c r="AE96" s="137"/>
      <c r="AF96" s="137"/>
      <c r="AG96" s="137"/>
      <c r="AH96" s="137"/>
      <c r="AI96" s="137"/>
      <c r="AJ96" s="137"/>
      <c r="AK96" s="137"/>
      <c r="AL96" s="137"/>
      <c r="AM96" s="137"/>
      <c r="AN96" s="137"/>
      <c r="AO96" s="137"/>
      <c r="AP96" s="137"/>
      <c r="AQ96" s="137"/>
    </row>
    <row r="97" spans="4:43" ht="14.25" customHeight="1" x14ac:dyDescent="0.15">
      <c r="D97" s="21" t="s">
        <v>61</v>
      </c>
      <c r="G97" s="244" t="s">
        <v>129</v>
      </c>
      <c r="H97" s="244"/>
      <c r="I97" s="244"/>
      <c r="J97" s="244"/>
      <c r="K97" s="244"/>
      <c r="L97" s="244"/>
      <c r="M97" s="244"/>
      <c r="N97" s="244"/>
      <c r="O97" s="244"/>
      <c r="P97" s="244"/>
      <c r="Q97" s="244"/>
      <c r="R97" s="244"/>
      <c r="S97" s="244"/>
      <c r="T97" s="244"/>
      <c r="U97" s="138"/>
      <c r="V97" s="138"/>
      <c r="W97" s="138"/>
      <c r="X97" s="138"/>
      <c r="Y97" s="139"/>
      <c r="Z97" s="139"/>
      <c r="AA97" s="139"/>
      <c r="AB97" s="139"/>
      <c r="AC97" s="139"/>
      <c r="AD97" s="139"/>
      <c r="AE97" s="139"/>
      <c r="AF97" s="139"/>
      <c r="AG97" s="139"/>
      <c r="AH97" s="139"/>
      <c r="AI97" s="139"/>
      <c r="AJ97" s="139"/>
      <c r="AK97" s="139"/>
      <c r="AL97" s="139"/>
      <c r="AM97" s="139"/>
      <c r="AN97" s="139"/>
      <c r="AO97" s="139"/>
      <c r="AP97" s="139"/>
      <c r="AQ97" s="139"/>
    </row>
    <row r="98" spans="4:43" ht="14.25" customHeight="1" x14ac:dyDescent="0.15">
      <c r="G98" s="22"/>
      <c r="L98" s="16" t="s">
        <v>130</v>
      </c>
    </row>
    <row r="99" spans="4:43" ht="14.25" customHeight="1" x14ac:dyDescent="0.15">
      <c r="G99" s="22"/>
      <c r="L99" s="128">
        <v>2019</v>
      </c>
      <c r="M99" s="128">
        <v>2020</v>
      </c>
      <c r="N99" s="128">
        <v>2021</v>
      </c>
      <c r="O99" s="128">
        <v>2022</v>
      </c>
      <c r="P99" s="128">
        <v>2023</v>
      </c>
      <c r="Q99" s="128">
        <v>2024</v>
      </c>
      <c r="R99" s="128">
        <v>2025</v>
      </c>
      <c r="S99" s="128">
        <v>2026</v>
      </c>
      <c r="T99" s="128">
        <v>2027</v>
      </c>
      <c r="U99" s="128">
        <v>2028</v>
      </c>
      <c r="V99" s="128">
        <v>2029</v>
      </c>
      <c r="W99" s="128">
        <v>2030</v>
      </c>
      <c r="X99" s="128">
        <v>2031</v>
      </c>
      <c r="Y99" s="128">
        <v>2032</v>
      </c>
      <c r="Z99" s="128">
        <v>2033</v>
      </c>
      <c r="AA99" s="128">
        <v>2034</v>
      </c>
      <c r="AB99" s="128">
        <v>2035</v>
      </c>
      <c r="AC99" s="128">
        <v>2036</v>
      </c>
      <c r="AD99" s="128">
        <v>2037</v>
      </c>
      <c r="AE99" s="128">
        <v>2038</v>
      </c>
      <c r="AF99" s="128">
        <v>2039</v>
      </c>
      <c r="AG99" s="128">
        <v>2040</v>
      </c>
      <c r="AH99" s="128">
        <v>2041</v>
      </c>
      <c r="AI99" s="128">
        <v>2042</v>
      </c>
      <c r="AJ99" s="128">
        <v>2043</v>
      </c>
      <c r="AK99" s="128">
        <v>2044</v>
      </c>
      <c r="AL99" s="128">
        <v>2045</v>
      </c>
      <c r="AM99" s="128">
        <v>2046</v>
      </c>
      <c r="AN99" s="128">
        <v>2047</v>
      </c>
      <c r="AO99" s="128">
        <v>2048</v>
      </c>
      <c r="AP99" s="128">
        <v>2049</v>
      </c>
      <c r="AQ99" s="128">
        <v>2050</v>
      </c>
    </row>
    <row r="100" spans="4:43" ht="14.25" customHeight="1" x14ac:dyDescent="0.15">
      <c r="G100" s="22"/>
      <c r="H100" s="254" t="s">
        <v>131</v>
      </c>
      <c r="J100" s="240" t="s">
        <v>132</v>
      </c>
      <c r="K100" s="140" t="s">
        <v>133</v>
      </c>
      <c r="L100" s="141">
        <v>0.11974504956396949</v>
      </c>
      <c r="M100" s="141">
        <v>0.12191978029569846</v>
      </c>
      <c r="N100" s="141">
        <v>0.12409451102742743</v>
      </c>
      <c r="O100" s="141">
        <v>0.12626924175915641</v>
      </c>
      <c r="P100" s="141">
        <v>0.12844397249088538</v>
      </c>
      <c r="Q100" s="141">
        <v>0.13061870322261435</v>
      </c>
      <c r="R100" s="141">
        <v>0.13279343395434332</v>
      </c>
      <c r="S100" s="141">
        <v>0.13496816468607228</v>
      </c>
      <c r="T100" s="141">
        <v>0.13714289541780125</v>
      </c>
      <c r="U100" s="141">
        <v>0.13931762614953022</v>
      </c>
      <c r="V100" s="141">
        <v>0.14149235688125919</v>
      </c>
      <c r="W100" s="141">
        <v>0.14366708761298816</v>
      </c>
      <c r="X100" s="141">
        <v>0.14397940736866857</v>
      </c>
      <c r="Y100" s="141">
        <v>0.14429172712434898</v>
      </c>
      <c r="Z100" s="141">
        <v>0.1446040468800294</v>
      </c>
      <c r="AA100" s="141">
        <v>0.14491636663570981</v>
      </c>
      <c r="AB100" s="141">
        <v>0.14522868639139022</v>
      </c>
      <c r="AC100" s="141">
        <v>0.14554100614707063</v>
      </c>
      <c r="AD100" s="141">
        <v>0.14585332590275105</v>
      </c>
      <c r="AE100" s="141">
        <v>0.14616564565843146</v>
      </c>
      <c r="AF100" s="141">
        <v>0.14647796541411187</v>
      </c>
      <c r="AG100" s="141">
        <v>0.14679028516979228</v>
      </c>
      <c r="AH100" s="141">
        <v>0.1471026049254727</v>
      </c>
      <c r="AI100" s="141">
        <v>0.14741492468115311</v>
      </c>
      <c r="AJ100" s="141">
        <v>0.14772724443683352</v>
      </c>
      <c r="AK100" s="141">
        <v>0.14803956419251393</v>
      </c>
      <c r="AL100" s="141">
        <v>0.14835188394819435</v>
      </c>
      <c r="AM100" s="141">
        <v>0.14866420370387476</v>
      </c>
      <c r="AN100" s="141">
        <v>0.14897652345955517</v>
      </c>
      <c r="AO100" s="141">
        <v>0.14928884321523558</v>
      </c>
      <c r="AP100" s="141">
        <v>0.149601162970916</v>
      </c>
      <c r="AQ100" s="142">
        <v>0.14991348272659633</v>
      </c>
    </row>
    <row r="101" spans="4:43" ht="14.25" customHeight="1" x14ac:dyDescent="0.15">
      <c r="G101" s="22"/>
      <c r="H101" s="254"/>
      <c r="J101" s="241"/>
      <c r="K101" s="19" t="s">
        <v>134</v>
      </c>
      <c r="L101" s="141">
        <v>0.11974504956396949</v>
      </c>
      <c r="M101" s="141">
        <v>0.12103743361693858</v>
      </c>
      <c r="N101" s="141">
        <v>0.12232981766990768</v>
      </c>
      <c r="O101" s="141">
        <v>0.12362220172287677</v>
      </c>
      <c r="P101" s="141">
        <v>0.12491458577584587</v>
      </c>
      <c r="Q101" s="141">
        <v>0.12620696982881496</v>
      </c>
      <c r="R101" s="141">
        <v>0.12749935388178404</v>
      </c>
      <c r="S101" s="141">
        <v>0.12879173793475313</v>
      </c>
      <c r="T101" s="141">
        <v>0.13008412198772221</v>
      </c>
      <c r="U101" s="141">
        <v>0.13137650604069129</v>
      </c>
      <c r="V101" s="141">
        <v>0.13266889009366037</v>
      </c>
      <c r="W101" s="141">
        <v>0.13396127414662951</v>
      </c>
      <c r="X101" s="141">
        <v>0.13444656481994743</v>
      </c>
      <c r="Y101" s="141">
        <v>0.13493185549326536</v>
      </c>
      <c r="Z101" s="141">
        <v>0.13541714616658329</v>
      </c>
      <c r="AA101" s="141">
        <v>0.13590243683990122</v>
      </c>
      <c r="AB101" s="141">
        <v>0.13638772751321915</v>
      </c>
      <c r="AC101" s="141">
        <v>0.13687301818653708</v>
      </c>
      <c r="AD101" s="141">
        <v>0.13735830885985501</v>
      </c>
      <c r="AE101" s="141">
        <v>0.13784359953317293</v>
      </c>
      <c r="AF101" s="141">
        <v>0.13832889020649086</v>
      </c>
      <c r="AG101" s="141">
        <v>0.13881418087980879</v>
      </c>
      <c r="AH101" s="141">
        <v>0.13929947155312672</v>
      </c>
      <c r="AI101" s="141">
        <v>0.13978476222644465</v>
      </c>
      <c r="AJ101" s="141">
        <v>0.14027005289976258</v>
      </c>
      <c r="AK101" s="141">
        <v>0.1407553435730805</v>
      </c>
      <c r="AL101" s="141">
        <v>0.14124063424639843</v>
      </c>
      <c r="AM101" s="141">
        <v>0.14172592491971636</v>
      </c>
      <c r="AN101" s="141">
        <v>0.14221121559303429</v>
      </c>
      <c r="AO101" s="141">
        <v>0.14269650626635222</v>
      </c>
      <c r="AP101" s="141">
        <v>0.14318179693967015</v>
      </c>
      <c r="AQ101" s="143">
        <v>0.14366708761298816</v>
      </c>
    </row>
    <row r="102" spans="4:43" ht="14.25" customHeight="1" thickBot="1" x14ac:dyDescent="0.2">
      <c r="G102" s="22"/>
      <c r="H102" s="254"/>
      <c r="J102" s="241"/>
      <c r="K102" s="144" t="s">
        <v>135</v>
      </c>
      <c r="L102" s="145">
        <v>0.11974504956396949</v>
      </c>
      <c r="M102" s="145">
        <v>0.11974504956396949</v>
      </c>
      <c r="N102" s="145">
        <v>0.11974504956396949</v>
      </c>
      <c r="O102" s="145">
        <v>0.11974504956396949</v>
      </c>
      <c r="P102" s="145">
        <v>0.11974504956396949</v>
      </c>
      <c r="Q102" s="145">
        <v>0.11974504956396949</v>
      </c>
      <c r="R102" s="145">
        <v>0.11974504956396949</v>
      </c>
      <c r="S102" s="145">
        <v>0.11974504956396949</v>
      </c>
      <c r="T102" s="145">
        <v>0.11974504956396949</v>
      </c>
      <c r="U102" s="145">
        <v>0.11974504956396949</v>
      </c>
      <c r="V102" s="145">
        <v>0.11974504956396949</v>
      </c>
      <c r="W102" s="141">
        <v>0.11974504956396949</v>
      </c>
      <c r="X102" s="145">
        <v>0.12045586079310248</v>
      </c>
      <c r="Y102" s="145">
        <v>0.12116667202223548</v>
      </c>
      <c r="Z102" s="145">
        <v>0.12187748325136848</v>
      </c>
      <c r="AA102" s="145">
        <v>0.12258829448050147</v>
      </c>
      <c r="AB102" s="145">
        <v>0.12329910570963447</v>
      </c>
      <c r="AC102" s="145">
        <v>0.12400991693876746</v>
      </c>
      <c r="AD102" s="145">
        <v>0.12472072816790046</v>
      </c>
      <c r="AE102" s="145">
        <v>0.12543153939703347</v>
      </c>
      <c r="AF102" s="145">
        <v>0.12614235062616647</v>
      </c>
      <c r="AG102" s="145">
        <v>0.12685316185529946</v>
      </c>
      <c r="AH102" s="145">
        <v>0.12756397308443246</v>
      </c>
      <c r="AI102" s="145">
        <v>0.12827478431356545</v>
      </c>
      <c r="AJ102" s="145">
        <v>0.12898559554269845</v>
      </c>
      <c r="AK102" s="145">
        <v>0.12969640677183145</v>
      </c>
      <c r="AL102" s="145">
        <v>0.13040721800096444</v>
      </c>
      <c r="AM102" s="145">
        <v>0.13111802923009744</v>
      </c>
      <c r="AN102" s="145">
        <v>0.13182884045923043</v>
      </c>
      <c r="AO102" s="145">
        <v>0.13253965168836343</v>
      </c>
      <c r="AP102" s="145">
        <v>0.13325046291749643</v>
      </c>
      <c r="AQ102" s="146">
        <v>0.13396127414662951</v>
      </c>
    </row>
    <row r="103" spans="4:43" ht="14.25" customHeight="1" thickTop="1" x14ac:dyDescent="0.15">
      <c r="G103" s="22"/>
      <c r="H103" s="254"/>
      <c r="J103" s="241"/>
      <c r="K103" s="140" t="s">
        <v>136</v>
      </c>
      <c r="L103" s="141">
        <v>0.13163862104961069</v>
      </c>
      <c r="M103" s="141">
        <v>0.13402935499411567</v>
      </c>
      <c r="N103" s="141">
        <v>0.13642008893862065</v>
      </c>
      <c r="O103" s="141">
        <v>0.13881082288312563</v>
      </c>
      <c r="P103" s="141">
        <v>0.14120155682763061</v>
      </c>
      <c r="Q103" s="141">
        <v>0.14359229077213559</v>
      </c>
      <c r="R103" s="141">
        <v>0.14598302471664057</v>
      </c>
      <c r="S103" s="141">
        <v>0.14837375866114555</v>
      </c>
      <c r="T103" s="141">
        <v>0.15076449260565053</v>
      </c>
      <c r="U103" s="141">
        <v>0.15315522655015551</v>
      </c>
      <c r="V103" s="141">
        <v>0.15554596049466049</v>
      </c>
      <c r="W103" s="141">
        <v>0.15793669443916541</v>
      </c>
      <c r="X103" s="141">
        <v>0.15828003507925056</v>
      </c>
      <c r="Y103" s="141">
        <v>0.15862337571933571</v>
      </c>
      <c r="Z103" s="141">
        <v>0.15896671635942086</v>
      </c>
      <c r="AA103" s="141">
        <v>0.15931005699950601</v>
      </c>
      <c r="AB103" s="141">
        <v>0.15965339763959116</v>
      </c>
      <c r="AC103" s="141">
        <v>0.15999673827967631</v>
      </c>
      <c r="AD103" s="141">
        <v>0.16034007891976146</v>
      </c>
      <c r="AE103" s="141">
        <v>0.16068341955984661</v>
      </c>
      <c r="AF103" s="141">
        <v>0.16102676019993176</v>
      </c>
      <c r="AG103" s="141">
        <v>0.16137010084001691</v>
      </c>
      <c r="AH103" s="141">
        <v>0.16171344148010205</v>
      </c>
      <c r="AI103" s="141">
        <v>0.1620567821201872</v>
      </c>
      <c r="AJ103" s="141">
        <v>0.16240012276027235</v>
      </c>
      <c r="AK103" s="141">
        <v>0.1627434634003575</v>
      </c>
      <c r="AL103" s="141">
        <v>0.16308680404044265</v>
      </c>
      <c r="AM103" s="141">
        <v>0.1634301446805278</v>
      </c>
      <c r="AN103" s="141">
        <v>0.16377348532061295</v>
      </c>
      <c r="AO103" s="141">
        <v>0.1641168259606981</v>
      </c>
      <c r="AP103" s="141">
        <v>0.16446016660078325</v>
      </c>
      <c r="AQ103" s="142">
        <v>0.16480350724086826</v>
      </c>
    </row>
    <row r="104" spans="4:43" ht="14.25" customHeight="1" x14ac:dyDescent="0.15">
      <c r="G104" s="22"/>
      <c r="H104" s="254"/>
      <c r="J104" s="241"/>
      <c r="K104" s="19" t="s">
        <v>137</v>
      </c>
      <c r="L104" s="141">
        <v>0.13163862104961069</v>
      </c>
      <c r="M104" s="141">
        <v>0.13305937000932844</v>
      </c>
      <c r="N104" s="141">
        <v>0.13448011896904619</v>
      </c>
      <c r="O104" s="141">
        <v>0.13590086792876394</v>
      </c>
      <c r="P104" s="141">
        <v>0.13732161688848168</v>
      </c>
      <c r="Q104" s="141">
        <v>0.13874236584819943</v>
      </c>
      <c r="R104" s="141">
        <v>0.14016311480791718</v>
      </c>
      <c r="S104" s="141">
        <v>0.14158386376763493</v>
      </c>
      <c r="T104" s="141">
        <v>0.14300461272735268</v>
      </c>
      <c r="U104" s="141">
        <v>0.14442536168707043</v>
      </c>
      <c r="V104" s="141">
        <v>0.14584611064678818</v>
      </c>
      <c r="W104" s="141">
        <v>0.14726685960650579</v>
      </c>
      <c r="X104" s="141">
        <v>0.14780035134813876</v>
      </c>
      <c r="Y104" s="141">
        <v>0.14833384308977174</v>
      </c>
      <c r="Z104" s="141">
        <v>0.14886733483140471</v>
      </c>
      <c r="AA104" s="141">
        <v>0.14940082657303769</v>
      </c>
      <c r="AB104" s="141">
        <v>0.14993431831467066</v>
      </c>
      <c r="AC104" s="141">
        <v>0.15046781005630364</v>
      </c>
      <c r="AD104" s="141">
        <v>0.15100130179793661</v>
      </c>
      <c r="AE104" s="141">
        <v>0.15153479353956958</v>
      </c>
      <c r="AF104" s="141">
        <v>0.15206828528120256</v>
      </c>
      <c r="AG104" s="141">
        <v>0.15260177702283553</v>
      </c>
      <c r="AH104" s="141">
        <v>0.15313526876446851</v>
      </c>
      <c r="AI104" s="141">
        <v>0.15366876050610148</v>
      </c>
      <c r="AJ104" s="141">
        <v>0.15420225224773446</v>
      </c>
      <c r="AK104" s="141">
        <v>0.15473574398936743</v>
      </c>
      <c r="AL104" s="141">
        <v>0.1552692357310004</v>
      </c>
      <c r="AM104" s="141">
        <v>0.15580272747263338</v>
      </c>
      <c r="AN104" s="141">
        <v>0.15633621921426635</v>
      </c>
      <c r="AO104" s="141">
        <v>0.15686971095589933</v>
      </c>
      <c r="AP104" s="141">
        <v>0.1574032026975323</v>
      </c>
      <c r="AQ104" s="143">
        <v>0.15793669443916541</v>
      </c>
    </row>
    <row r="105" spans="4:43" ht="14.25" customHeight="1" thickBot="1" x14ac:dyDescent="0.2">
      <c r="G105" s="22"/>
      <c r="H105" s="254"/>
      <c r="J105" s="241"/>
      <c r="K105" s="144" t="s">
        <v>138</v>
      </c>
      <c r="L105" s="145">
        <v>0.13163862104961069</v>
      </c>
      <c r="M105" s="145">
        <v>0.13163862104961069</v>
      </c>
      <c r="N105" s="145">
        <v>0.13163862104961069</v>
      </c>
      <c r="O105" s="145">
        <v>0.13163862104961069</v>
      </c>
      <c r="P105" s="145">
        <v>0.13163862104961069</v>
      </c>
      <c r="Q105" s="145">
        <v>0.13163862104961069</v>
      </c>
      <c r="R105" s="145">
        <v>0.13163862104961069</v>
      </c>
      <c r="S105" s="145">
        <v>0.13163862104961069</v>
      </c>
      <c r="T105" s="145">
        <v>0.13163862104961069</v>
      </c>
      <c r="U105" s="145">
        <v>0.13163862104961069</v>
      </c>
      <c r="V105" s="145">
        <v>0.13163862104961069</v>
      </c>
      <c r="W105" s="145">
        <v>0.13163862104961069</v>
      </c>
      <c r="X105" s="145">
        <v>0.13242003297745544</v>
      </c>
      <c r="Y105" s="145">
        <v>0.1332014449053002</v>
      </c>
      <c r="Z105" s="145">
        <v>0.13398285683314495</v>
      </c>
      <c r="AA105" s="145">
        <v>0.13476426876098971</v>
      </c>
      <c r="AB105" s="145">
        <v>0.13554568068883446</v>
      </c>
      <c r="AC105" s="145">
        <v>0.13632709261667922</v>
      </c>
      <c r="AD105" s="145">
        <v>0.13710850454452397</v>
      </c>
      <c r="AE105" s="145">
        <v>0.13788991647236873</v>
      </c>
      <c r="AF105" s="145">
        <v>0.13867132840021348</v>
      </c>
      <c r="AG105" s="145">
        <v>0.13945274032805824</v>
      </c>
      <c r="AH105" s="145">
        <v>0.14023415225590299</v>
      </c>
      <c r="AI105" s="145">
        <v>0.14101556418374775</v>
      </c>
      <c r="AJ105" s="145">
        <v>0.1417969761115925</v>
      </c>
      <c r="AK105" s="145">
        <v>0.14257838803943726</v>
      </c>
      <c r="AL105" s="145">
        <v>0.14335979996728201</v>
      </c>
      <c r="AM105" s="145">
        <v>0.14414121189512677</v>
      </c>
      <c r="AN105" s="145">
        <v>0.14492262382297152</v>
      </c>
      <c r="AO105" s="145">
        <v>0.14570403575081628</v>
      </c>
      <c r="AP105" s="145">
        <v>0.14648544767866103</v>
      </c>
      <c r="AQ105" s="146">
        <v>0.14726685960650579</v>
      </c>
    </row>
    <row r="106" spans="4:43" ht="14.25" customHeight="1" thickTop="1" x14ac:dyDescent="0.15">
      <c r="G106" s="22"/>
      <c r="H106" s="254"/>
      <c r="J106" s="241"/>
      <c r="K106" s="140" t="s">
        <v>139</v>
      </c>
      <c r="L106" s="141">
        <v>0.13713922269135043</v>
      </c>
      <c r="M106" s="141">
        <v>0.13962985494043542</v>
      </c>
      <c r="N106" s="141">
        <v>0.14212048718952042</v>
      </c>
      <c r="O106" s="141">
        <v>0.14461111943860541</v>
      </c>
      <c r="P106" s="141">
        <v>0.14710175168769041</v>
      </c>
      <c r="Q106" s="141">
        <v>0.1495923839367754</v>
      </c>
      <c r="R106" s="141">
        <v>0.1520830161858604</v>
      </c>
      <c r="S106" s="141">
        <v>0.15457364843494539</v>
      </c>
      <c r="T106" s="141">
        <v>0.15706428068403039</v>
      </c>
      <c r="U106" s="141">
        <v>0.15955491293311538</v>
      </c>
      <c r="V106" s="141">
        <v>0.16204554518220038</v>
      </c>
      <c r="W106" s="141">
        <v>0.16453617743128526</v>
      </c>
      <c r="X106" s="141">
        <v>0.16489386477352719</v>
      </c>
      <c r="Y106" s="141">
        <v>0.16525155211576911</v>
      </c>
      <c r="Z106" s="141">
        <v>0.16560923945801104</v>
      </c>
      <c r="AA106" s="141">
        <v>0.16596692680025296</v>
      </c>
      <c r="AB106" s="141">
        <v>0.16632461414249489</v>
      </c>
      <c r="AC106" s="141">
        <v>0.16668230148473681</v>
      </c>
      <c r="AD106" s="141">
        <v>0.16703998882697874</v>
      </c>
      <c r="AE106" s="141">
        <v>0.16739767616922066</v>
      </c>
      <c r="AF106" s="141">
        <v>0.16775536351146259</v>
      </c>
      <c r="AG106" s="141">
        <v>0.16811305085370451</v>
      </c>
      <c r="AH106" s="141">
        <v>0.16847073819594643</v>
      </c>
      <c r="AI106" s="141">
        <v>0.16882842553818836</v>
      </c>
      <c r="AJ106" s="141">
        <v>0.16918611288043028</v>
      </c>
      <c r="AK106" s="141">
        <v>0.16954380022267221</v>
      </c>
      <c r="AL106" s="141">
        <v>0.16990148756491413</v>
      </c>
      <c r="AM106" s="141">
        <v>0.17025917490715606</v>
      </c>
      <c r="AN106" s="141">
        <v>0.17061686224939798</v>
      </c>
      <c r="AO106" s="141">
        <v>0.17097454959163991</v>
      </c>
      <c r="AP106" s="141">
        <v>0.17133223693388183</v>
      </c>
      <c r="AQ106" s="142">
        <v>0.17168992427612376</v>
      </c>
    </row>
    <row r="107" spans="4:43" ht="14.25" customHeight="1" x14ac:dyDescent="0.15">
      <c r="G107" s="22"/>
      <c r="H107" s="254"/>
      <c r="J107" s="241"/>
      <c r="K107" s="19" t="s">
        <v>140</v>
      </c>
      <c r="L107" s="141">
        <v>0.13713922269135043</v>
      </c>
      <c r="M107" s="141">
        <v>0.13861933852986111</v>
      </c>
      <c r="N107" s="141">
        <v>0.14009945436837179</v>
      </c>
      <c r="O107" s="141">
        <v>0.14157957020688247</v>
      </c>
      <c r="P107" s="141">
        <v>0.14305968604539315</v>
      </c>
      <c r="Q107" s="141">
        <v>0.14453980188390383</v>
      </c>
      <c r="R107" s="141">
        <v>0.14601991772241452</v>
      </c>
      <c r="S107" s="141">
        <v>0.1475000335609252</v>
      </c>
      <c r="T107" s="141">
        <v>0.14898014939943588</v>
      </c>
      <c r="U107" s="141">
        <v>0.15046026523794656</v>
      </c>
      <c r="V107" s="141">
        <v>0.15194038107645724</v>
      </c>
      <c r="W107" s="141">
        <v>0.15342049691496795</v>
      </c>
      <c r="X107" s="141">
        <v>0.15397628094078381</v>
      </c>
      <c r="Y107" s="141">
        <v>0.15453206496659966</v>
      </c>
      <c r="Z107" s="141">
        <v>0.15508784899241551</v>
      </c>
      <c r="AA107" s="141">
        <v>0.15564363301823136</v>
      </c>
      <c r="AB107" s="141">
        <v>0.15619941704404722</v>
      </c>
      <c r="AC107" s="141">
        <v>0.15675520106986307</v>
      </c>
      <c r="AD107" s="141">
        <v>0.15731098509567892</v>
      </c>
      <c r="AE107" s="141">
        <v>0.15786676912149478</v>
      </c>
      <c r="AF107" s="141">
        <v>0.15842255314731063</v>
      </c>
      <c r="AG107" s="141">
        <v>0.15897833717312648</v>
      </c>
      <c r="AH107" s="141">
        <v>0.15953412119894234</v>
      </c>
      <c r="AI107" s="141">
        <v>0.16008990522475819</v>
      </c>
      <c r="AJ107" s="141">
        <v>0.16064568925057404</v>
      </c>
      <c r="AK107" s="141">
        <v>0.16120147327638989</v>
      </c>
      <c r="AL107" s="141">
        <v>0.16175725730220575</v>
      </c>
      <c r="AM107" s="141">
        <v>0.1623130413280216</v>
      </c>
      <c r="AN107" s="141">
        <v>0.16286882535383745</v>
      </c>
      <c r="AO107" s="141">
        <v>0.16342460937965331</v>
      </c>
      <c r="AP107" s="141">
        <v>0.16398039340546916</v>
      </c>
      <c r="AQ107" s="143">
        <v>0.16453617743128526</v>
      </c>
    </row>
    <row r="108" spans="4:43" ht="14.25" customHeight="1" thickBot="1" x14ac:dyDescent="0.2">
      <c r="G108" s="22"/>
      <c r="H108" s="254"/>
      <c r="J108" s="241"/>
      <c r="K108" s="144" t="s">
        <v>141</v>
      </c>
      <c r="L108" s="145">
        <v>0.13713922269135043</v>
      </c>
      <c r="M108" s="145">
        <v>0.13713922269135043</v>
      </c>
      <c r="N108" s="145">
        <v>0.13713922269135043</v>
      </c>
      <c r="O108" s="145">
        <v>0.13713922269135043</v>
      </c>
      <c r="P108" s="145">
        <v>0.13713922269135043</v>
      </c>
      <c r="Q108" s="145">
        <v>0.13713922269135043</v>
      </c>
      <c r="R108" s="145">
        <v>0.13713922269135043</v>
      </c>
      <c r="S108" s="145">
        <v>0.13713922269135043</v>
      </c>
      <c r="T108" s="145">
        <v>0.13713922269135043</v>
      </c>
      <c r="U108" s="145">
        <v>0.13713922269135043</v>
      </c>
      <c r="V108" s="145">
        <v>0.13713922269135043</v>
      </c>
      <c r="W108" s="145">
        <v>0.13713922269135043</v>
      </c>
      <c r="X108" s="145">
        <v>0.13795328640253129</v>
      </c>
      <c r="Y108" s="145">
        <v>0.13876735011371216</v>
      </c>
      <c r="Z108" s="145">
        <v>0.13958141382489303</v>
      </c>
      <c r="AA108" s="145">
        <v>0.1403954775360739</v>
      </c>
      <c r="AB108" s="145">
        <v>0.14120954124725477</v>
      </c>
      <c r="AC108" s="145">
        <v>0.14202360495843563</v>
      </c>
      <c r="AD108" s="145">
        <v>0.1428376686696165</v>
      </c>
      <c r="AE108" s="145">
        <v>0.14365173238079737</v>
      </c>
      <c r="AF108" s="145">
        <v>0.14446579609197824</v>
      </c>
      <c r="AG108" s="145">
        <v>0.14527985980315911</v>
      </c>
      <c r="AH108" s="145">
        <v>0.14609392351433997</v>
      </c>
      <c r="AI108" s="145">
        <v>0.14690798722552084</v>
      </c>
      <c r="AJ108" s="145">
        <v>0.14772205093670171</v>
      </c>
      <c r="AK108" s="145">
        <v>0.14853611464788258</v>
      </c>
      <c r="AL108" s="145">
        <v>0.14935017835906345</v>
      </c>
      <c r="AM108" s="145">
        <v>0.15016424207024431</v>
      </c>
      <c r="AN108" s="145">
        <v>0.15097830578142518</v>
      </c>
      <c r="AO108" s="145">
        <v>0.15179236949260605</v>
      </c>
      <c r="AP108" s="145">
        <v>0.15260643320378692</v>
      </c>
      <c r="AQ108" s="146">
        <v>0.15342049691496795</v>
      </c>
    </row>
    <row r="109" spans="4:43" ht="14.25" customHeight="1" thickTop="1" x14ac:dyDescent="0.15">
      <c r="G109" s="22"/>
      <c r="H109" s="254"/>
      <c r="J109" s="241"/>
      <c r="K109" s="140" t="s">
        <v>142</v>
      </c>
      <c r="L109" s="141">
        <v>0.14439782807134519</v>
      </c>
      <c r="M109" s="141">
        <v>0.14702028633116587</v>
      </c>
      <c r="N109" s="141">
        <v>0.14964274459098656</v>
      </c>
      <c r="O109" s="141">
        <v>0.15226520285080725</v>
      </c>
      <c r="P109" s="141">
        <v>0.15488766111062793</v>
      </c>
      <c r="Q109" s="141">
        <v>0.15751011937044862</v>
      </c>
      <c r="R109" s="141">
        <v>0.16013257763026931</v>
      </c>
      <c r="S109" s="141">
        <v>0.16275503589008999</v>
      </c>
      <c r="T109" s="141">
        <v>0.16537749414991068</v>
      </c>
      <c r="U109" s="141">
        <v>0.16799995240973137</v>
      </c>
      <c r="V109" s="141">
        <v>0.17062241066955205</v>
      </c>
      <c r="W109" s="141">
        <v>0.17324486892937285</v>
      </c>
      <c r="X109" s="141">
        <v>0.17362148820965409</v>
      </c>
      <c r="Y109" s="141">
        <v>0.17399810748993533</v>
      </c>
      <c r="Z109" s="141">
        <v>0.17437472677021656</v>
      </c>
      <c r="AA109" s="141">
        <v>0.1747513460504978</v>
      </c>
      <c r="AB109" s="141">
        <v>0.17512796533077904</v>
      </c>
      <c r="AC109" s="141">
        <v>0.17550458461106028</v>
      </c>
      <c r="AD109" s="141">
        <v>0.17588120389134151</v>
      </c>
      <c r="AE109" s="141">
        <v>0.17625782317162275</v>
      </c>
      <c r="AF109" s="141">
        <v>0.17663444245190399</v>
      </c>
      <c r="AG109" s="141">
        <v>0.17701106173218523</v>
      </c>
      <c r="AH109" s="141">
        <v>0.17738768101246646</v>
      </c>
      <c r="AI109" s="141">
        <v>0.1777643002927477</v>
      </c>
      <c r="AJ109" s="141">
        <v>0.17814091957302894</v>
      </c>
      <c r="AK109" s="141">
        <v>0.17851753885331018</v>
      </c>
      <c r="AL109" s="141">
        <v>0.17889415813359141</v>
      </c>
      <c r="AM109" s="141">
        <v>0.17927077741387265</v>
      </c>
      <c r="AN109" s="141">
        <v>0.17964739669415389</v>
      </c>
      <c r="AO109" s="141">
        <v>0.18002401597443513</v>
      </c>
      <c r="AP109" s="141">
        <v>0.18040063525471636</v>
      </c>
      <c r="AQ109" s="142">
        <v>0.18077725453499777</v>
      </c>
    </row>
    <row r="110" spans="4:43" ht="14.25" customHeight="1" x14ac:dyDescent="0.15">
      <c r="G110" s="22"/>
      <c r="H110" s="254"/>
      <c r="J110" s="241"/>
      <c r="K110" s="19" t="s">
        <v>143</v>
      </c>
      <c r="L110" s="141">
        <v>0.14439782807134519</v>
      </c>
      <c r="M110" s="141">
        <v>0.14595628456672696</v>
      </c>
      <c r="N110" s="141">
        <v>0.14751474106210874</v>
      </c>
      <c r="O110" s="141">
        <v>0.14907319755749052</v>
      </c>
      <c r="P110" s="141">
        <v>0.15063165405287229</v>
      </c>
      <c r="Q110" s="141">
        <v>0.15219011054825407</v>
      </c>
      <c r="R110" s="141">
        <v>0.15374856704363585</v>
      </c>
      <c r="S110" s="141">
        <v>0.15530702353901762</v>
      </c>
      <c r="T110" s="141">
        <v>0.1568654800343994</v>
      </c>
      <c r="U110" s="141">
        <v>0.15842393652978118</v>
      </c>
      <c r="V110" s="141">
        <v>0.15998239302516296</v>
      </c>
      <c r="W110" s="141">
        <v>0.16154084952054459</v>
      </c>
      <c r="X110" s="141">
        <v>0.162126050490986</v>
      </c>
      <c r="Y110" s="141">
        <v>0.1627112514614274</v>
      </c>
      <c r="Z110" s="141">
        <v>0.1632964524318688</v>
      </c>
      <c r="AA110" s="141">
        <v>0.1638816534023102</v>
      </c>
      <c r="AB110" s="141">
        <v>0.1644668543727516</v>
      </c>
      <c r="AC110" s="141">
        <v>0.165052055343193</v>
      </c>
      <c r="AD110" s="141">
        <v>0.16563725631363441</v>
      </c>
      <c r="AE110" s="141">
        <v>0.16622245728407581</v>
      </c>
      <c r="AF110" s="141">
        <v>0.16680765825451721</v>
      </c>
      <c r="AG110" s="141">
        <v>0.16739285922495861</v>
      </c>
      <c r="AH110" s="141">
        <v>0.16797806019540001</v>
      </c>
      <c r="AI110" s="141">
        <v>0.16856326116584142</v>
      </c>
      <c r="AJ110" s="141">
        <v>0.16914846213628282</v>
      </c>
      <c r="AK110" s="141">
        <v>0.16973366310672422</v>
      </c>
      <c r="AL110" s="141">
        <v>0.17031886407716562</v>
      </c>
      <c r="AM110" s="141">
        <v>0.17090406504760702</v>
      </c>
      <c r="AN110" s="141">
        <v>0.17148926601804843</v>
      </c>
      <c r="AO110" s="141">
        <v>0.17207446698848983</v>
      </c>
      <c r="AP110" s="141">
        <v>0.17265966795893123</v>
      </c>
      <c r="AQ110" s="143">
        <v>0.17324486892937285</v>
      </c>
    </row>
    <row r="111" spans="4:43" ht="14.25" customHeight="1" thickBot="1" x14ac:dyDescent="0.2">
      <c r="G111" s="22"/>
      <c r="H111" s="254"/>
      <c r="J111" s="241"/>
      <c r="K111" s="144" t="s">
        <v>144</v>
      </c>
      <c r="L111" s="145">
        <v>0.14439782807134519</v>
      </c>
      <c r="M111" s="145">
        <v>0.14439782807134519</v>
      </c>
      <c r="N111" s="145">
        <v>0.14439782807134519</v>
      </c>
      <c r="O111" s="145">
        <v>0.14439782807134519</v>
      </c>
      <c r="P111" s="145">
        <v>0.14439782807134519</v>
      </c>
      <c r="Q111" s="145">
        <v>0.14439782807134519</v>
      </c>
      <c r="R111" s="145">
        <v>0.14439782807134519</v>
      </c>
      <c r="S111" s="145">
        <v>0.14439782807134519</v>
      </c>
      <c r="T111" s="145">
        <v>0.14439782807134519</v>
      </c>
      <c r="U111" s="145">
        <v>0.14439782807134519</v>
      </c>
      <c r="V111" s="145">
        <v>0.14439782807134519</v>
      </c>
      <c r="W111" s="145">
        <v>0.14439782807134519</v>
      </c>
      <c r="X111" s="145">
        <v>0.14525497914380517</v>
      </c>
      <c r="Y111" s="145">
        <v>0.14611213021626515</v>
      </c>
      <c r="Z111" s="145">
        <v>0.14696928128872513</v>
      </c>
      <c r="AA111" s="145">
        <v>0.14782643236118512</v>
      </c>
      <c r="AB111" s="145">
        <v>0.1486835834336451</v>
      </c>
      <c r="AC111" s="145">
        <v>0.14954073450610508</v>
      </c>
      <c r="AD111" s="145">
        <v>0.15039788557856507</v>
      </c>
      <c r="AE111" s="145">
        <v>0.15125503665102505</v>
      </c>
      <c r="AF111" s="145">
        <v>0.15211218772348503</v>
      </c>
      <c r="AG111" s="145">
        <v>0.15296933879594501</v>
      </c>
      <c r="AH111" s="145">
        <v>0.153826489868405</v>
      </c>
      <c r="AI111" s="145">
        <v>0.15468364094086498</v>
      </c>
      <c r="AJ111" s="145">
        <v>0.15554079201332496</v>
      </c>
      <c r="AK111" s="145">
        <v>0.15639794308578495</v>
      </c>
      <c r="AL111" s="145">
        <v>0.15725509415824493</v>
      </c>
      <c r="AM111" s="145">
        <v>0.15811224523070491</v>
      </c>
      <c r="AN111" s="145">
        <v>0.15896939630316489</v>
      </c>
      <c r="AO111" s="145">
        <v>0.15982654737562488</v>
      </c>
      <c r="AP111" s="145">
        <v>0.16068369844808486</v>
      </c>
      <c r="AQ111" s="146">
        <v>0.16154084952054459</v>
      </c>
    </row>
    <row r="112" spans="4:43" ht="14.25" customHeight="1" thickTop="1" x14ac:dyDescent="0.15">
      <c r="G112" s="22"/>
      <c r="H112" s="254"/>
      <c r="J112" s="241"/>
      <c r="K112" s="140" t="s">
        <v>145</v>
      </c>
      <c r="L112" s="141">
        <v>0.15155102652611524</v>
      </c>
      <c r="M112" s="141">
        <v>0.15430339646551175</v>
      </c>
      <c r="N112" s="141">
        <v>0.15705576640490826</v>
      </c>
      <c r="O112" s="141">
        <v>0.15980813634430477</v>
      </c>
      <c r="P112" s="141">
        <v>0.16256050628370128</v>
      </c>
      <c r="Q112" s="141">
        <v>0.16531287622309779</v>
      </c>
      <c r="R112" s="141">
        <v>0.1680652461624943</v>
      </c>
      <c r="S112" s="141">
        <v>0.17081761610189081</v>
      </c>
      <c r="T112" s="141">
        <v>0.17356998604128732</v>
      </c>
      <c r="U112" s="141">
        <v>0.17632235598068383</v>
      </c>
      <c r="V112" s="141">
        <v>0.17907472592008034</v>
      </c>
      <c r="W112" s="141">
        <v>0.18182709585947687</v>
      </c>
      <c r="X112" s="141">
        <v>0.18222237215482356</v>
      </c>
      <c r="Y112" s="141">
        <v>0.18261764845017026</v>
      </c>
      <c r="Z112" s="141">
        <v>0.18301292474551695</v>
      </c>
      <c r="AA112" s="141">
        <v>0.18340820104086364</v>
      </c>
      <c r="AB112" s="141">
        <v>0.18380347733621033</v>
      </c>
      <c r="AC112" s="141">
        <v>0.18419875363155702</v>
      </c>
      <c r="AD112" s="141">
        <v>0.18459402992690371</v>
      </c>
      <c r="AE112" s="141">
        <v>0.1849893062222504</v>
      </c>
      <c r="AF112" s="141">
        <v>0.1853845825175971</v>
      </c>
      <c r="AG112" s="141">
        <v>0.18577985881294379</v>
      </c>
      <c r="AH112" s="141">
        <v>0.18617513510829048</v>
      </c>
      <c r="AI112" s="141">
        <v>0.18657041140363717</v>
      </c>
      <c r="AJ112" s="141">
        <v>0.18696568769898386</v>
      </c>
      <c r="AK112" s="141">
        <v>0.18736096399433055</v>
      </c>
      <c r="AL112" s="141">
        <v>0.18775624028967725</v>
      </c>
      <c r="AM112" s="141">
        <v>0.18815151658502394</v>
      </c>
      <c r="AN112" s="141">
        <v>0.18854679288037063</v>
      </c>
      <c r="AO112" s="141">
        <v>0.18894206917571732</v>
      </c>
      <c r="AP112" s="141">
        <v>0.18933734547106401</v>
      </c>
      <c r="AQ112" s="142">
        <v>0.18973262176641065</v>
      </c>
    </row>
    <row r="113" spans="7:43" ht="14.25" customHeight="1" x14ac:dyDescent="0.15">
      <c r="G113" s="22"/>
      <c r="H113" s="254"/>
      <c r="J113" s="241"/>
      <c r="K113" s="19" t="s">
        <v>146</v>
      </c>
      <c r="L113" s="141">
        <v>0.15155102652611524</v>
      </c>
      <c r="M113" s="141">
        <v>0.1531866860427854</v>
      </c>
      <c r="N113" s="141">
        <v>0.15482234555945557</v>
      </c>
      <c r="O113" s="141">
        <v>0.15645800507612573</v>
      </c>
      <c r="P113" s="141">
        <v>0.15809366459279589</v>
      </c>
      <c r="Q113" s="141">
        <v>0.15972932410946605</v>
      </c>
      <c r="R113" s="141">
        <v>0.16136498362613622</v>
      </c>
      <c r="S113" s="141">
        <v>0.16300064314280638</v>
      </c>
      <c r="T113" s="141">
        <v>0.16463630265947654</v>
      </c>
      <c r="U113" s="141">
        <v>0.1662719621761467</v>
      </c>
      <c r="V113" s="141">
        <v>0.16790762169281687</v>
      </c>
      <c r="W113" s="141">
        <v>0.16954328120948706</v>
      </c>
      <c r="X113" s="141">
        <v>0.17015747194198655</v>
      </c>
      <c r="Y113" s="141">
        <v>0.17077166267448604</v>
      </c>
      <c r="Z113" s="141">
        <v>0.17138585340698553</v>
      </c>
      <c r="AA113" s="141">
        <v>0.17200004413948503</v>
      </c>
      <c r="AB113" s="141">
        <v>0.17261423487198452</v>
      </c>
      <c r="AC113" s="141">
        <v>0.17322842560448401</v>
      </c>
      <c r="AD113" s="141">
        <v>0.1738426163369835</v>
      </c>
      <c r="AE113" s="141">
        <v>0.17445680706948299</v>
      </c>
      <c r="AF113" s="141">
        <v>0.17507099780198249</v>
      </c>
      <c r="AG113" s="141">
        <v>0.17568518853448198</v>
      </c>
      <c r="AH113" s="141">
        <v>0.17629937926698147</v>
      </c>
      <c r="AI113" s="141">
        <v>0.17691356999948096</v>
      </c>
      <c r="AJ113" s="141">
        <v>0.17752776073198046</v>
      </c>
      <c r="AK113" s="141">
        <v>0.17814195146447995</v>
      </c>
      <c r="AL113" s="141">
        <v>0.17875614219697944</v>
      </c>
      <c r="AM113" s="141">
        <v>0.17937033292947893</v>
      </c>
      <c r="AN113" s="141">
        <v>0.17998452366197842</v>
      </c>
      <c r="AO113" s="141">
        <v>0.18059871439447792</v>
      </c>
      <c r="AP113" s="141">
        <v>0.18121290512697741</v>
      </c>
      <c r="AQ113" s="143">
        <v>0.18182709585947687</v>
      </c>
    </row>
    <row r="114" spans="7:43" ht="14.25" customHeight="1" thickBot="1" x14ac:dyDescent="0.2">
      <c r="G114" s="22"/>
      <c r="H114" s="254"/>
      <c r="J114" s="241"/>
      <c r="K114" s="144" t="s">
        <v>147</v>
      </c>
      <c r="L114" s="145">
        <v>0.15155102652611524</v>
      </c>
      <c r="M114" s="145">
        <v>0.15155102652611524</v>
      </c>
      <c r="N114" s="145">
        <v>0.15155102652611524</v>
      </c>
      <c r="O114" s="145">
        <v>0.15155102652611524</v>
      </c>
      <c r="P114" s="145">
        <v>0.15155102652611524</v>
      </c>
      <c r="Q114" s="145">
        <v>0.15155102652611524</v>
      </c>
      <c r="R114" s="145">
        <v>0.15155102652611524</v>
      </c>
      <c r="S114" s="145">
        <v>0.15155102652611524</v>
      </c>
      <c r="T114" s="145">
        <v>0.15155102652611524</v>
      </c>
      <c r="U114" s="145">
        <v>0.15155102652611524</v>
      </c>
      <c r="V114" s="145">
        <v>0.15155102652611524</v>
      </c>
      <c r="W114" s="145">
        <v>0.15155102652611524</v>
      </c>
      <c r="X114" s="145">
        <v>0.15245063926028382</v>
      </c>
      <c r="Y114" s="145">
        <v>0.1533502519944524</v>
      </c>
      <c r="Z114" s="145">
        <v>0.15424986472862098</v>
      </c>
      <c r="AA114" s="145">
        <v>0.15514947746278956</v>
      </c>
      <c r="AB114" s="145">
        <v>0.15604909019695815</v>
      </c>
      <c r="AC114" s="145">
        <v>0.15694870293112673</v>
      </c>
      <c r="AD114" s="145">
        <v>0.15784831566529531</v>
      </c>
      <c r="AE114" s="145">
        <v>0.15874792839946389</v>
      </c>
      <c r="AF114" s="145">
        <v>0.15964754113363247</v>
      </c>
      <c r="AG114" s="145">
        <v>0.16054715386780105</v>
      </c>
      <c r="AH114" s="145">
        <v>0.16144676660196963</v>
      </c>
      <c r="AI114" s="145">
        <v>0.16234637933613821</v>
      </c>
      <c r="AJ114" s="145">
        <v>0.16324599207030679</v>
      </c>
      <c r="AK114" s="145">
        <v>0.16414560480447538</v>
      </c>
      <c r="AL114" s="145">
        <v>0.16504521753864396</v>
      </c>
      <c r="AM114" s="145">
        <v>0.16594483027281254</v>
      </c>
      <c r="AN114" s="145">
        <v>0.16684444300698112</v>
      </c>
      <c r="AO114" s="145">
        <v>0.1677440557411497</v>
      </c>
      <c r="AP114" s="145">
        <v>0.16864366847531828</v>
      </c>
      <c r="AQ114" s="146">
        <v>0.16954328120948706</v>
      </c>
    </row>
    <row r="115" spans="7:43" ht="14.25" customHeight="1" thickTop="1" x14ac:dyDescent="0.15">
      <c r="G115" s="22"/>
      <c r="H115" s="254"/>
      <c r="J115" s="241"/>
      <c r="K115" s="140" t="s">
        <v>148</v>
      </c>
      <c r="L115" s="141">
        <v>0.15358769721554841</v>
      </c>
      <c r="M115" s="141">
        <v>0.15637705582675099</v>
      </c>
      <c r="N115" s="141">
        <v>0.15916641443795357</v>
      </c>
      <c r="O115" s="141">
        <v>0.16195577304915615</v>
      </c>
      <c r="P115" s="141">
        <v>0.16474513166035873</v>
      </c>
      <c r="Q115" s="141">
        <v>0.16753449027156131</v>
      </c>
      <c r="R115" s="141">
        <v>0.17032384888276389</v>
      </c>
      <c r="S115" s="141">
        <v>0.17311320749396647</v>
      </c>
      <c r="T115" s="141">
        <v>0.17590256610516905</v>
      </c>
      <c r="U115" s="141">
        <v>0.17869192471637163</v>
      </c>
      <c r="V115" s="141">
        <v>0.18148128332757421</v>
      </c>
      <c r="W115" s="141">
        <v>0.18427064193877668</v>
      </c>
      <c r="X115" s="141">
        <v>0.1846712302908175</v>
      </c>
      <c r="Y115" s="141">
        <v>0.18507181864285832</v>
      </c>
      <c r="Z115" s="141">
        <v>0.18547240699489914</v>
      </c>
      <c r="AA115" s="141">
        <v>0.18587299534693996</v>
      </c>
      <c r="AB115" s="141">
        <v>0.18627358369898078</v>
      </c>
      <c r="AC115" s="141">
        <v>0.1866741720510216</v>
      </c>
      <c r="AD115" s="141">
        <v>0.18707476040306242</v>
      </c>
      <c r="AE115" s="141">
        <v>0.18747534875510324</v>
      </c>
      <c r="AF115" s="141">
        <v>0.18787593710714406</v>
      </c>
      <c r="AG115" s="141">
        <v>0.18827652545918488</v>
      </c>
      <c r="AH115" s="141">
        <v>0.18867711381122571</v>
      </c>
      <c r="AI115" s="141">
        <v>0.18907770216326653</v>
      </c>
      <c r="AJ115" s="141">
        <v>0.18947829051530735</v>
      </c>
      <c r="AK115" s="141">
        <v>0.18987887886734817</v>
      </c>
      <c r="AL115" s="141">
        <v>0.19027946721938899</v>
      </c>
      <c r="AM115" s="141">
        <v>0.19068005557142981</v>
      </c>
      <c r="AN115" s="141">
        <v>0.19108064392347063</v>
      </c>
      <c r="AO115" s="141">
        <v>0.19148123227551145</v>
      </c>
      <c r="AP115" s="141">
        <v>0.19188182062755227</v>
      </c>
      <c r="AQ115" s="142">
        <v>0.19228240897959306</v>
      </c>
    </row>
    <row r="116" spans="7:43" ht="14.25" customHeight="1" x14ac:dyDescent="0.15">
      <c r="G116" s="22"/>
      <c r="H116" s="254"/>
      <c r="J116" s="241"/>
      <c r="K116" s="19" t="s">
        <v>149</v>
      </c>
      <c r="L116" s="141">
        <v>0.15358769721554841</v>
      </c>
      <c r="M116" s="141">
        <v>0.15524533810622743</v>
      </c>
      <c r="N116" s="141">
        <v>0.15690297899690644</v>
      </c>
      <c r="O116" s="141">
        <v>0.15856061988758546</v>
      </c>
      <c r="P116" s="141">
        <v>0.16021826077826448</v>
      </c>
      <c r="Q116" s="141">
        <v>0.1618759016689435</v>
      </c>
      <c r="R116" s="141">
        <v>0.16353354255962252</v>
      </c>
      <c r="S116" s="141">
        <v>0.16519118345030154</v>
      </c>
      <c r="T116" s="141">
        <v>0.16684882434098056</v>
      </c>
      <c r="U116" s="141">
        <v>0.16850646523165957</v>
      </c>
      <c r="V116" s="141">
        <v>0.17016410612233859</v>
      </c>
      <c r="W116" s="141">
        <v>0.1718217470130175</v>
      </c>
      <c r="X116" s="141">
        <v>0.17244419175930545</v>
      </c>
      <c r="Y116" s="141">
        <v>0.1730666365055934</v>
      </c>
      <c r="Z116" s="141">
        <v>0.17368908125188134</v>
      </c>
      <c r="AA116" s="141">
        <v>0.17431152599816929</v>
      </c>
      <c r="AB116" s="141">
        <v>0.17493397074445724</v>
      </c>
      <c r="AC116" s="141">
        <v>0.17555641549074519</v>
      </c>
      <c r="AD116" s="141">
        <v>0.17617886023703314</v>
      </c>
      <c r="AE116" s="141">
        <v>0.17680130498332108</v>
      </c>
      <c r="AF116" s="141">
        <v>0.17742374972960903</v>
      </c>
      <c r="AG116" s="141">
        <v>0.17804619447589698</v>
      </c>
      <c r="AH116" s="141">
        <v>0.17866863922218493</v>
      </c>
      <c r="AI116" s="141">
        <v>0.17929108396847288</v>
      </c>
      <c r="AJ116" s="141">
        <v>0.17991352871476082</v>
      </c>
      <c r="AK116" s="141">
        <v>0.18053597346104877</v>
      </c>
      <c r="AL116" s="141">
        <v>0.18115841820733672</v>
      </c>
      <c r="AM116" s="141">
        <v>0.18178086295362467</v>
      </c>
      <c r="AN116" s="141">
        <v>0.18240330769991261</v>
      </c>
      <c r="AO116" s="141">
        <v>0.18302575244620056</v>
      </c>
      <c r="AP116" s="141">
        <v>0.18364819719248851</v>
      </c>
      <c r="AQ116" s="143">
        <v>0.18427064193877668</v>
      </c>
    </row>
    <row r="117" spans="7:43" ht="14.25" customHeight="1" thickBot="1" x14ac:dyDescent="0.2">
      <c r="G117" s="22"/>
      <c r="H117" s="254"/>
      <c r="J117" s="241"/>
      <c r="K117" s="144" t="s">
        <v>150</v>
      </c>
      <c r="L117" s="145">
        <v>0.15358769721554841</v>
      </c>
      <c r="M117" s="145">
        <v>0.15358769721554841</v>
      </c>
      <c r="N117" s="145">
        <v>0.15358769721554841</v>
      </c>
      <c r="O117" s="145">
        <v>0.15358769721554841</v>
      </c>
      <c r="P117" s="145">
        <v>0.15358769721554841</v>
      </c>
      <c r="Q117" s="145">
        <v>0.15358769721554841</v>
      </c>
      <c r="R117" s="145">
        <v>0.15358769721554841</v>
      </c>
      <c r="S117" s="145">
        <v>0.15358769721554841</v>
      </c>
      <c r="T117" s="145">
        <v>0.15358769721554841</v>
      </c>
      <c r="U117" s="145">
        <v>0.15358769721554841</v>
      </c>
      <c r="V117" s="145">
        <v>0.15358769721554841</v>
      </c>
      <c r="W117" s="145">
        <v>0.15358769721554841</v>
      </c>
      <c r="X117" s="145">
        <v>0.15449939970542187</v>
      </c>
      <c r="Y117" s="145">
        <v>0.15541110219529533</v>
      </c>
      <c r="Z117" s="145">
        <v>0.15632280468516879</v>
      </c>
      <c r="AA117" s="145">
        <v>0.15723450717504225</v>
      </c>
      <c r="AB117" s="145">
        <v>0.15814620966491572</v>
      </c>
      <c r="AC117" s="145">
        <v>0.15905791215478918</v>
      </c>
      <c r="AD117" s="145">
        <v>0.15996961464466264</v>
      </c>
      <c r="AE117" s="145">
        <v>0.1608813171345361</v>
      </c>
      <c r="AF117" s="145">
        <v>0.16179301962440956</v>
      </c>
      <c r="AG117" s="145">
        <v>0.16270472211428302</v>
      </c>
      <c r="AH117" s="145">
        <v>0.16361642460415649</v>
      </c>
      <c r="AI117" s="145">
        <v>0.16452812709402995</v>
      </c>
      <c r="AJ117" s="145">
        <v>0.16543982958390341</v>
      </c>
      <c r="AK117" s="145">
        <v>0.16635153207377687</v>
      </c>
      <c r="AL117" s="145">
        <v>0.16726323456365033</v>
      </c>
      <c r="AM117" s="145">
        <v>0.16817493705352379</v>
      </c>
      <c r="AN117" s="145">
        <v>0.16908663954339725</v>
      </c>
      <c r="AO117" s="145">
        <v>0.16999834203327072</v>
      </c>
      <c r="AP117" s="145">
        <v>0.17091004452314418</v>
      </c>
      <c r="AQ117" s="146">
        <v>0.1718217470130175</v>
      </c>
    </row>
    <row r="118" spans="7:43" ht="14.25" customHeight="1" thickTop="1" x14ac:dyDescent="0.15">
      <c r="G118" s="22"/>
      <c r="H118" s="254"/>
      <c r="J118" s="241"/>
      <c r="K118" s="140" t="s">
        <v>151</v>
      </c>
      <c r="L118" s="141">
        <v>0.160946048317963</v>
      </c>
      <c r="M118" s="141">
        <v>0.16386904445602404</v>
      </c>
      <c r="N118" s="141">
        <v>0.16679204059408509</v>
      </c>
      <c r="O118" s="141">
        <v>0.16971503673214614</v>
      </c>
      <c r="P118" s="141">
        <v>0.17263803287020718</v>
      </c>
      <c r="Q118" s="141">
        <v>0.17556102900826823</v>
      </c>
      <c r="R118" s="141">
        <v>0.17848402514632927</v>
      </c>
      <c r="S118" s="141">
        <v>0.18140702128439032</v>
      </c>
      <c r="T118" s="141">
        <v>0.18433001742245136</v>
      </c>
      <c r="U118" s="141">
        <v>0.18725301356051241</v>
      </c>
      <c r="V118" s="141">
        <v>0.19017600969857346</v>
      </c>
      <c r="W118" s="141">
        <v>0.19309900583663436</v>
      </c>
      <c r="X118" s="141">
        <v>0.19351878628410529</v>
      </c>
      <c r="Y118" s="141">
        <v>0.19393856673157622</v>
      </c>
      <c r="Z118" s="141">
        <v>0.19435834717904715</v>
      </c>
      <c r="AA118" s="141">
        <v>0.19477812762651808</v>
      </c>
      <c r="AB118" s="141">
        <v>0.19519790807398901</v>
      </c>
      <c r="AC118" s="141">
        <v>0.19561768852145994</v>
      </c>
      <c r="AD118" s="141">
        <v>0.19603746896893087</v>
      </c>
      <c r="AE118" s="141">
        <v>0.1964572494164018</v>
      </c>
      <c r="AF118" s="141">
        <v>0.19687702986387273</v>
      </c>
      <c r="AG118" s="141">
        <v>0.19729681031134366</v>
      </c>
      <c r="AH118" s="141">
        <v>0.19771659075881459</v>
      </c>
      <c r="AI118" s="141">
        <v>0.19813637120628552</v>
      </c>
      <c r="AJ118" s="141">
        <v>0.19855615165375645</v>
      </c>
      <c r="AK118" s="141">
        <v>0.19897593210122738</v>
      </c>
      <c r="AL118" s="141">
        <v>0.19939571254869831</v>
      </c>
      <c r="AM118" s="141">
        <v>0.19981549299616924</v>
      </c>
      <c r="AN118" s="141">
        <v>0.20023527344364017</v>
      </c>
      <c r="AO118" s="141">
        <v>0.2006550538911111</v>
      </c>
      <c r="AP118" s="141">
        <v>0.20107483433858203</v>
      </c>
      <c r="AQ118" s="142">
        <v>0.20149461478605324</v>
      </c>
    </row>
    <row r="119" spans="7:43" ht="14.25" customHeight="1" x14ac:dyDescent="0.15">
      <c r="G119" s="22"/>
      <c r="H119" s="254"/>
      <c r="J119" s="241"/>
      <c r="K119" s="19" t="s">
        <v>152</v>
      </c>
      <c r="L119" s="141">
        <v>0.160946048317963</v>
      </c>
      <c r="M119" s="141">
        <v>0.16268310640088116</v>
      </c>
      <c r="N119" s="141">
        <v>0.16442016448379931</v>
      </c>
      <c r="O119" s="141">
        <v>0.16615722256671747</v>
      </c>
      <c r="P119" s="141">
        <v>0.16789428064963563</v>
      </c>
      <c r="Q119" s="141">
        <v>0.16963133873255379</v>
      </c>
      <c r="R119" s="141">
        <v>0.17136839681547195</v>
      </c>
      <c r="S119" s="141">
        <v>0.1731054548983901</v>
      </c>
      <c r="T119" s="141">
        <v>0.17484251298130826</v>
      </c>
      <c r="U119" s="141">
        <v>0.17657957106422642</v>
      </c>
      <c r="V119" s="141">
        <v>0.17831662914714458</v>
      </c>
      <c r="W119" s="141">
        <v>0.18005368723006271</v>
      </c>
      <c r="X119" s="141">
        <v>0.18070595316039129</v>
      </c>
      <c r="Y119" s="141">
        <v>0.18135821909071986</v>
      </c>
      <c r="Z119" s="141">
        <v>0.18201048502104844</v>
      </c>
      <c r="AA119" s="141">
        <v>0.18266275095137702</v>
      </c>
      <c r="AB119" s="141">
        <v>0.18331501688170559</v>
      </c>
      <c r="AC119" s="141">
        <v>0.18396728281203417</v>
      </c>
      <c r="AD119" s="141">
        <v>0.18461954874236275</v>
      </c>
      <c r="AE119" s="141">
        <v>0.18527181467269133</v>
      </c>
      <c r="AF119" s="141">
        <v>0.1859240806030199</v>
      </c>
      <c r="AG119" s="141">
        <v>0.18657634653334848</v>
      </c>
      <c r="AH119" s="141">
        <v>0.18722861246367706</v>
      </c>
      <c r="AI119" s="141">
        <v>0.18788087839400563</v>
      </c>
      <c r="AJ119" s="141">
        <v>0.18853314432433421</v>
      </c>
      <c r="AK119" s="141">
        <v>0.18918541025466279</v>
      </c>
      <c r="AL119" s="141">
        <v>0.18983767618499137</v>
      </c>
      <c r="AM119" s="141">
        <v>0.19048994211531994</v>
      </c>
      <c r="AN119" s="141">
        <v>0.19114220804564852</v>
      </c>
      <c r="AO119" s="141">
        <v>0.1917944739759771</v>
      </c>
      <c r="AP119" s="141">
        <v>0.19244673990630567</v>
      </c>
      <c r="AQ119" s="143">
        <v>0.19309900583663436</v>
      </c>
    </row>
    <row r="120" spans="7:43" ht="14.25" customHeight="1" thickBot="1" x14ac:dyDescent="0.2">
      <c r="G120" s="22"/>
      <c r="H120" s="254"/>
      <c r="J120" s="241"/>
      <c r="K120" s="144" t="s">
        <v>153</v>
      </c>
      <c r="L120" s="145">
        <v>0.160946048317963</v>
      </c>
      <c r="M120" s="145">
        <v>0.160946048317963</v>
      </c>
      <c r="N120" s="145">
        <v>0.160946048317963</v>
      </c>
      <c r="O120" s="145">
        <v>0.160946048317963</v>
      </c>
      <c r="P120" s="145">
        <v>0.160946048317963</v>
      </c>
      <c r="Q120" s="145">
        <v>0.160946048317963</v>
      </c>
      <c r="R120" s="145">
        <v>0.160946048317963</v>
      </c>
      <c r="S120" s="145">
        <v>0.160946048317963</v>
      </c>
      <c r="T120" s="145">
        <v>0.160946048317963</v>
      </c>
      <c r="U120" s="145">
        <v>0.160946048317963</v>
      </c>
      <c r="V120" s="145">
        <v>0.160946048317963</v>
      </c>
      <c r="W120" s="145">
        <v>0.160946048317963</v>
      </c>
      <c r="X120" s="145">
        <v>0.16190143026356799</v>
      </c>
      <c r="Y120" s="145">
        <v>0.16285681220917297</v>
      </c>
      <c r="Z120" s="145">
        <v>0.16381219415477796</v>
      </c>
      <c r="AA120" s="145">
        <v>0.16476757610038295</v>
      </c>
      <c r="AB120" s="145">
        <v>0.16572295804598794</v>
      </c>
      <c r="AC120" s="145">
        <v>0.16667833999159293</v>
      </c>
      <c r="AD120" s="145">
        <v>0.16763372193719792</v>
      </c>
      <c r="AE120" s="145">
        <v>0.1685891038828029</v>
      </c>
      <c r="AF120" s="145">
        <v>0.16954448582840789</v>
      </c>
      <c r="AG120" s="145">
        <v>0.17049986777401288</v>
      </c>
      <c r="AH120" s="145">
        <v>0.17145524971961787</v>
      </c>
      <c r="AI120" s="145">
        <v>0.17241063166522286</v>
      </c>
      <c r="AJ120" s="145">
        <v>0.17336601361082785</v>
      </c>
      <c r="AK120" s="145">
        <v>0.17432139555643283</v>
      </c>
      <c r="AL120" s="145">
        <v>0.17527677750203782</v>
      </c>
      <c r="AM120" s="145">
        <v>0.17623215944764281</v>
      </c>
      <c r="AN120" s="145">
        <v>0.1771875413932478</v>
      </c>
      <c r="AO120" s="145">
        <v>0.17814292333885279</v>
      </c>
      <c r="AP120" s="145">
        <v>0.17909830528445778</v>
      </c>
      <c r="AQ120" s="146">
        <v>0.18005368723006271</v>
      </c>
    </row>
    <row r="121" spans="7:43" ht="14.25" customHeight="1" thickTop="1" x14ac:dyDescent="0.15">
      <c r="G121" s="22"/>
      <c r="H121" s="254"/>
      <c r="J121" s="241"/>
      <c r="K121" s="140" t="s">
        <v>154</v>
      </c>
      <c r="L121" s="141">
        <v>0.16992492231411765</v>
      </c>
      <c r="M121" s="141">
        <v>0.17301098684863317</v>
      </c>
      <c r="N121" s="141">
        <v>0.17609705138314868</v>
      </c>
      <c r="O121" s="141">
        <v>0.1791831159176642</v>
      </c>
      <c r="P121" s="141">
        <v>0.18226918045217971</v>
      </c>
      <c r="Q121" s="141">
        <v>0.18535524498669523</v>
      </c>
      <c r="R121" s="141">
        <v>0.18844130952121074</v>
      </c>
      <c r="S121" s="141">
        <v>0.19152737405572626</v>
      </c>
      <c r="T121" s="141">
        <v>0.19461343859024177</v>
      </c>
      <c r="U121" s="141">
        <v>0.19769950312475729</v>
      </c>
      <c r="V121" s="141">
        <v>0.2007855676592728</v>
      </c>
      <c r="W121" s="141">
        <v>0.20387163219378834</v>
      </c>
      <c r="X121" s="141">
        <v>0.20431483139420961</v>
      </c>
      <c r="Y121" s="141">
        <v>0.20475803059463088</v>
      </c>
      <c r="Z121" s="141">
        <v>0.20520122979505215</v>
      </c>
      <c r="AA121" s="141">
        <v>0.20564442899547342</v>
      </c>
      <c r="AB121" s="141">
        <v>0.20608762819589468</v>
      </c>
      <c r="AC121" s="141">
        <v>0.20653082739631595</v>
      </c>
      <c r="AD121" s="141">
        <v>0.20697402659673722</v>
      </c>
      <c r="AE121" s="141">
        <v>0.20741722579715849</v>
      </c>
      <c r="AF121" s="141">
        <v>0.20786042499757976</v>
      </c>
      <c r="AG121" s="141">
        <v>0.20830362419800103</v>
      </c>
      <c r="AH121" s="141">
        <v>0.20874682339842229</v>
      </c>
      <c r="AI121" s="141">
        <v>0.20919002259884356</v>
      </c>
      <c r="AJ121" s="141">
        <v>0.20963322179926483</v>
      </c>
      <c r="AK121" s="141">
        <v>0.2100764209996861</v>
      </c>
      <c r="AL121" s="141">
        <v>0.21051962020010737</v>
      </c>
      <c r="AM121" s="141">
        <v>0.21096281940052863</v>
      </c>
      <c r="AN121" s="141">
        <v>0.2114060186009499</v>
      </c>
      <c r="AO121" s="141">
        <v>0.21184921780137117</v>
      </c>
      <c r="AP121" s="141">
        <v>0.21229241700179244</v>
      </c>
      <c r="AQ121" s="142">
        <v>0.21273561620221393</v>
      </c>
    </row>
    <row r="122" spans="7:43" ht="14.25" customHeight="1" x14ac:dyDescent="0.15">
      <c r="G122" s="22"/>
      <c r="H122" s="254"/>
      <c r="J122" s="241"/>
      <c r="K122" s="19" t="s">
        <v>155</v>
      </c>
      <c r="L122" s="141">
        <v>0.16992492231411765</v>
      </c>
      <c r="M122" s="141">
        <v>0.17175888756445945</v>
      </c>
      <c r="N122" s="141">
        <v>0.17359285281480125</v>
      </c>
      <c r="O122" s="141">
        <v>0.17542681806514304</v>
      </c>
      <c r="P122" s="141">
        <v>0.17726078331548484</v>
      </c>
      <c r="Q122" s="141">
        <v>0.17909474856582663</v>
      </c>
      <c r="R122" s="141">
        <v>0.18092871381616843</v>
      </c>
      <c r="S122" s="141">
        <v>0.18276267906651023</v>
      </c>
      <c r="T122" s="141">
        <v>0.18459664431685202</v>
      </c>
      <c r="U122" s="141">
        <v>0.18643060956719382</v>
      </c>
      <c r="V122" s="141">
        <v>0.18826457481753561</v>
      </c>
      <c r="W122" s="141">
        <v>0.19009854006787755</v>
      </c>
      <c r="X122" s="141">
        <v>0.1907871946741731</v>
      </c>
      <c r="Y122" s="141">
        <v>0.19147584928046865</v>
      </c>
      <c r="Z122" s="141">
        <v>0.1921645038867642</v>
      </c>
      <c r="AA122" s="141">
        <v>0.19285315849305976</v>
      </c>
      <c r="AB122" s="141">
        <v>0.19354181309935531</v>
      </c>
      <c r="AC122" s="141">
        <v>0.19423046770565086</v>
      </c>
      <c r="AD122" s="141">
        <v>0.19491912231194641</v>
      </c>
      <c r="AE122" s="141">
        <v>0.19560777691824197</v>
      </c>
      <c r="AF122" s="141">
        <v>0.19629643152453752</v>
      </c>
      <c r="AG122" s="141">
        <v>0.19698508613083307</v>
      </c>
      <c r="AH122" s="141">
        <v>0.19767374073712862</v>
      </c>
      <c r="AI122" s="141">
        <v>0.19836239534342417</v>
      </c>
      <c r="AJ122" s="141">
        <v>0.19905104994971973</v>
      </c>
      <c r="AK122" s="141">
        <v>0.19973970455601528</v>
      </c>
      <c r="AL122" s="141">
        <v>0.20042835916231083</v>
      </c>
      <c r="AM122" s="141">
        <v>0.20111701376860638</v>
      </c>
      <c r="AN122" s="141">
        <v>0.20180566837490194</v>
      </c>
      <c r="AO122" s="141">
        <v>0.20249432298119749</v>
      </c>
      <c r="AP122" s="141">
        <v>0.20318297758749304</v>
      </c>
      <c r="AQ122" s="143">
        <v>0.20387163219378834</v>
      </c>
    </row>
    <row r="123" spans="7:43" ht="14.25" customHeight="1" thickBot="1" x14ac:dyDescent="0.2">
      <c r="G123" s="22"/>
      <c r="H123" s="254"/>
      <c r="J123" s="241"/>
      <c r="K123" s="144" t="s">
        <v>156</v>
      </c>
      <c r="L123" s="145">
        <v>0.16992492231411765</v>
      </c>
      <c r="M123" s="145">
        <v>0.16992492231411765</v>
      </c>
      <c r="N123" s="145">
        <v>0.16992492231411765</v>
      </c>
      <c r="O123" s="145">
        <v>0.16992492231411765</v>
      </c>
      <c r="P123" s="145">
        <v>0.16992492231411765</v>
      </c>
      <c r="Q123" s="145">
        <v>0.16992492231411765</v>
      </c>
      <c r="R123" s="145">
        <v>0.16992492231411765</v>
      </c>
      <c r="S123" s="145">
        <v>0.16992492231411765</v>
      </c>
      <c r="T123" s="145">
        <v>0.16992492231411765</v>
      </c>
      <c r="U123" s="145">
        <v>0.16992492231411765</v>
      </c>
      <c r="V123" s="145">
        <v>0.16992492231411765</v>
      </c>
      <c r="W123" s="145">
        <v>0.16992492231411765</v>
      </c>
      <c r="X123" s="145">
        <v>0.17093360320180565</v>
      </c>
      <c r="Y123" s="145">
        <v>0.17194228408949364</v>
      </c>
      <c r="Z123" s="145">
        <v>0.17295096497718163</v>
      </c>
      <c r="AA123" s="145">
        <v>0.17395964586486962</v>
      </c>
      <c r="AB123" s="145">
        <v>0.17496832675255761</v>
      </c>
      <c r="AC123" s="145">
        <v>0.1759770076402456</v>
      </c>
      <c r="AD123" s="145">
        <v>0.17698568852793359</v>
      </c>
      <c r="AE123" s="145">
        <v>0.17799436941562158</v>
      </c>
      <c r="AF123" s="145">
        <v>0.17900305030330957</v>
      </c>
      <c r="AG123" s="145">
        <v>0.18001173119099756</v>
      </c>
      <c r="AH123" s="145">
        <v>0.18102041207868555</v>
      </c>
      <c r="AI123" s="145">
        <v>0.18202909296637354</v>
      </c>
      <c r="AJ123" s="145">
        <v>0.18303777385406153</v>
      </c>
      <c r="AK123" s="145">
        <v>0.18404645474174952</v>
      </c>
      <c r="AL123" s="145">
        <v>0.18505513562943751</v>
      </c>
      <c r="AM123" s="145">
        <v>0.1860638165171255</v>
      </c>
      <c r="AN123" s="145">
        <v>0.18707249740481349</v>
      </c>
      <c r="AO123" s="145">
        <v>0.18808117829250148</v>
      </c>
      <c r="AP123" s="145">
        <v>0.18908985918018947</v>
      </c>
      <c r="AQ123" s="146">
        <v>0.19009854006787755</v>
      </c>
    </row>
    <row r="124" spans="7:43" ht="14.25" customHeight="1" thickTop="1" x14ac:dyDescent="0.15">
      <c r="G124" s="22"/>
      <c r="H124" s="254"/>
      <c r="J124" s="241"/>
      <c r="K124" s="140" t="s">
        <v>157</v>
      </c>
      <c r="L124" s="141">
        <v>0.17950748203127412</v>
      </c>
      <c r="M124" s="141">
        <v>0.18276757870474997</v>
      </c>
      <c r="N124" s="141">
        <v>0.18602767537822582</v>
      </c>
      <c r="O124" s="141">
        <v>0.18928777205170166</v>
      </c>
      <c r="P124" s="141">
        <v>0.19254786872517751</v>
      </c>
      <c r="Q124" s="141">
        <v>0.19580796539865336</v>
      </c>
      <c r="R124" s="141">
        <v>0.19906806207212921</v>
      </c>
      <c r="S124" s="141">
        <v>0.20232815874560506</v>
      </c>
      <c r="T124" s="141">
        <v>0.20558825541908091</v>
      </c>
      <c r="U124" s="141">
        <v>0.20884835209255675</v>
      </c>
      <c r="V124" s="141">
        <v>0.2121084487660326</v>
      </c>
      <c r="W124" s="141">
        <v>0.21536854543950842</v>
      </c>
      <c r="X124" s="141">
        <v>0.21583673792959432</v>
      </c>
      <c r="Y124" s="141">
        <v>0.21630493041968021</v>
      </c>
      <c r="Z124" s="141">
        <v>0.21677312290976611</v>
      </c>
      <c r="AA124" s="141">
        <v>0.217241315399852</v>
      </c>
      <c r="AB124" s="141">
        <v>0.2177095078899379</v>
      </c>
      <c r="AC124" s="141">
        <v>0.21817770038002379</v>
      </c>
      <c r="AD124" s="141">
        <v>0.21864589287010969</v>
      </c>
      <c r="AE124" s="141">
        <v>0.21911408536019558</v>
      </c>
      <c r="AF124" s="141">
        <v>0.21958227785028148</v>
      </c>
      <c r="AG124" s="141">
        <v>0.22005047034036737</v>
      </c>
      <c r="AH124" s="141">
        <v>0.22051866283045327</v>
      </c>
      <c r="AI124" s="141">
        <v>0.22098685532053916</v>
      </c>
      <c r="AJ124" s="141">
        <v>0.22145504781062506</v>
      </c>
      <c r="AK124" s="141">
        <v>0.22192324030071095</v>
      </c>
      <c r="AL124" s="141">
        <v>0.22239143279079684</v>
      </c>
      <c r="AM124" s="141">
        <v>0.22285962528088274</v>
      </c>
      <c r="AN124" s="141">
        <v>0.22332781777096863</v>
      </c>
      <c r="AO124" s="141">
        <v>0.22379601026105453</v>
      </c>
      <c r="AP124" s="141">
        <v>0.22426420275114042</v>
      </c>
      <c r="AQ124" s="142">
        <v>0.22473239524122618</v>
      </c>
    </row>
    <row r="125" spans="7:43" ht="14.25" customHeight="1" x14ac:dyDescent="0.15">
      <c r="G125" s="22"/>
      <c r="H125" s="254"/>
      <c r="J125" s="241"/>
      <c r="K125" s="19" t="s">
        <v>158</v>
      </c>
      <c r="L125" s="141">
        <v>0.17950748203127412</v>
      </c>
      <c r="M125" s="141">
        <v>0.18144486990668621</v>
      </c>
      <c r="N125" s="141">
        <v>0.1833822577820983</v>
      </c>
      <c r="O125" s="141">
        <v>0.18531964565751038</v>
      </c>
      <c r="P125" s="141">
        <v>0.18725703353292247</v>
      </c>
      <c r="Q125" s="141">
        <v>0.18919442140833456</v>
      </c>
      <c r="R125" s="141">
        <v>0.19113180928374665</v>
      </c>
      <c r="S125" s="141">
        <v>0.19306919715915874</v>
      </c>
      <c r="T125" s="141">
        <v>0.19500658503457083</v>
      </c>
      <c r="U125" s="141">
        <v>0.19694397290998292</v>
      </c>
      <c r="V125" s="141">
        <v>0.19888136078539501</v>
      </c>
      <c r="W125" s="141">
        <v>0.20081874866080715</v>
      </c>
      <c r="X125" s="141">
        <v>0.20154623849974221</v>
      </c>
      <c r="Y125" s="141">
        <v>0.20227372833867727</v>
      </c>
      <c r="Z125" s="141">
        <v>0.20300121817761232</v>
      </c>
      <c r="AA125" s="141">
        <v>0.20372870801654738</v>
      </c>
      <c r="AB125" s="141">
        <v>0.20445619785548244</v>
      </c>
      <c r="AC125" s="141">
        <v>0.2051836876944175</v>
      </c>
      <c r="AD125" s="141">
        <v>0.20591117753335256</v>
      </c>
      <c r="AE125" s="141">
        <v>0.20663866737228762</v>
      </c>
      <c r="AF125" s="141">
        <v>0.20736615721122267</v>
      </c>
      <c r="AG125" s="141">
        <v>0.20809364705015773</v>
      </c>
      <c r="AH125" s="141">
        <v>0.20882113688909279</v>
      </c>
      <c r="AI125" s="141">
        <v>0.20954862672802785</v>
      </c>
      <c r="AJ125" s="141">
        <v>0.21027611656696291</v>
      </c>
      <c r="AK125" s="141">
        <v>0.21100360640589796</v>
      </c>
      <c r="AL125" s="141">
        <v>0.21173109624483302</v>
      </c>
      <c r="AM125" s="141">
        <v>0.21245858608376808</v>
      </c>
      <c r="AN125" s="141">
        <v>0.21318607592270314</v>
      </c>
      <c r="AO125" s="141">
        <v>0.2139135657616382</v>
      </c>
      <c r="AP125" s="141">
        <v>0.21464105560057326</v>
      </c>
      <c r="AQ125" s="143">
        <v>0.21536854543950842</v>
      </c>
    </row>
    <row r="126" spans="7:43" ht="14.25" customHeight="1" thickBot="1" x14ac:dyDescent="0.2">
      <c r="G126" s="22"/>
      <c r="H126" s="254"/>
      <c r="J126" s="241"/>
      <c r="K126" s="144" t="s">
        <v>159</v>
      </c>
      <c r="L126" s="145">
        <v>0.17950748203127412</v>
      </c>
      <c r="M126" s="145">
        <v>0.17950748203127412</v>
      </c>
      <c r="N126" s="145">
        <v>0.17950748203127412</v>
      </c>
      <c r="O126" s="145">
        <v>0.17950748203127412</v>
      </c>
      <c r="P126" s="145">
        <v>0.17950748203127412</v>
      </c>
      <c r="Q126" s="145">
        <v>0.17950748203127412</v>
      </c>
      <c r="R126" s="145">
        <v>0.17950748203127412</v>
      </c>
      <c r="S126" s="145">
        <v>0.17950748203127412</v>
      </c>
      <c r="T126" s="145">
        <v>0.17950748203127412</v>
      </c>
      <c r="U126" s="145">
        <v>0.17950748203127412</v>
      </c>
      <c r="V126" s="145">
        <v>0.17950748203127412</v>
      </c>
      <c r="W126" s="145">
        <v>0.17950748203127412</v>
      </c>
      <c r="X126" s="145">
        <v>0.18057304536275076</v>
      </c>
      <c r="Y126" s="145">
        <v>0.1816386086942274</v>
      </c>
      <c r="Z126" s="145">
        <v>0.18270417202570405</v>
      </c>
      <c r="AA126" s="145">
        <v>0.18376973535718069</v>
      </c>
      <c r="AB126" s="145">
        <v>0.18483529868865733</v>
      </c>
      <c r="AC126" s="145">
        <v>0.18590086202013398</v>
      </c>
      <c r="AD126" s="145">
        <v>0.18696642535161062</v>
      </c>
      <c r="AE126" s="145">
        <v>0.18803198868308726</v>
      </c>
      <c r="AF126" s="145">
        <v>0.18909755201456391</v>
      </c>
      <c r="AG126" s="145">
        <v>0.19016311534604055</v>
      </c>
      <c r="AH126" s="145">
        <v>0.19122867867751719</v>
      </c>
      <c r="AI126" s="145">
        <v>0.19229424200899384</v>
      </c>
      <c r="AJ126" s="145">
        <v>0.19335980534047048</v>
      </c>
      <c r="AK126" s="145">
        <v>0.19442536867194712</v>
      </c>
      <c r="AL126" s="145">
        <v>0.19549093200342377</v>
      </c>
      <c r="AM126" s="145">
        <v>0.19655649533490041</v>
      </c>
      <c r="AN126" s="145">
        <v>0.19762205866637705</v>
      </c>
      <c r="AO126" s="145">
        <v>0.1986876219978537</v>
      </c>
      <c r="AP126" s="145">
        <v>0.19975318532933034</v>
      </c>
      <c r="AQ126" s="146">
        <v>0.20081874866080715</v>
      </c>
    </row>
    <row r="127" spans="7:43" ht="14.25" customHeight="1" thickTop="1" x14ac:dyDescent="0.15">
      <c r="G127" s="22"/>
      <c r="H127" s="254"/>
      <c r="J127" s="241"/>
      <c r="K127" s="140" t="s">
        <v>160</v>
      </c>
      <c r="L127" s="141">
        <v>0.18626187442464867</v>
      </c>
      <c r="M127" s="141">
        <v>0.18964463992464817</v>
      </c>
      <c r="N127" s="141">
        <v>0.19302740542464766</v>
      </c>
      <c r="O127" s="141">
        <v>0.19641017092464716</v>
      </c>
      <c r="P127" s="141">
        <v>0.19979293642464666</v>
      </c>
      <c r="Q127" s="141">
        <v>0.20317570192464615</v>
      </c>
      <c r="R127" s="141">
        <v>0.20655846742464565</v>
      </c>
      <c r="S127" s="141">
        <v>0.20994123292464514</v>
      </c>
      <c r="T127" s="141">
        <v>0.21332399842464464</v>
      </c>
      <c r="U127" s="141">
        <v>0.21670676392464414</v>
      </c>
      <c r="V127" s="141">
        <v>0.22008952942464363</v>
      </c>
      <c r="W127" s="141">
        <v>0.2234722949246431</v>
      </c>
      <c r="X127" s="141">
        <v>0.22395810426143581</v>
      </c>
      <c r="Y127" s="141">
        <v>0.22444391359822852</v>
      </c>
      <c r="Z127" s="141">
        <v>0.22492972293502123</v>
      </c>
      <c r="AA127" s="141">
        <v>0.22541553227181393</v>
      </c>
      <c r="AB127" s="141">
        <v>0.22590134160860664</v>
      </c>
      <c r="AC127" s="141">
        <v>0.22638715094539935</v>
      </c>
      <c r="AD127" s="141">
        <v>0.22687296028219206</v>
      </c>
      <c r="AE127" s="141">
        <v>0.22735876961898477</v>
      </c>
      <c r="AF127" s="141">
        <v>0.22784457895577748</v>
      </c>
      <c r="AG127" s="141">
        <v>0.22833038829257019</v>
      </c>
      <c r="AH127" s="141">
        <v>0.22881619762936289</v>
      </c>
      <c r="AI127" s="141">
        <v>0.2293020069661556</v>
      </c>
      <c r="AJ127" s="141">
        <v>0.22978781630294831</v>
      </c>
      <c r="AK127" s="141">
        <v>0.23027362563974102</v>
      </c>
      <c r="AL127" s="141">
        <v>0.23075943497653373</v>
      </c>
      <c r="AM127" s="141">
        <v>0.23124524431332644</v>
      </c>
      <c r="AN127" s="141">
        <v>0.23173105365011915</v>
      </c>
      <c r="AO127" s="141">
        <v>0.23221686298691185</v>
      </c>
      <c r="AP127" s="141">
        <v>0.23270267232370456</v>
      </c>
      <c r="AQ127" s="142">
        <v>0.23318848166049716</v>
      </c>
    </row>
    <row r="128" spans="7:43" ht="14.25" customHeight="1" x14ac:dyDescent="0.15">
      <c r="G128" s="22"/>
      <c r="H128" s="254"/>
      <c r="J128" s="241"/>
      <c r="K128" s="19" t="s">
        <v>161</v>
      </c>
      <c r="L128" s="141">
        <v>0.18626187442464867</v>
      </c>
      <c r="M128" s="141">
        <v>0.18827216108834871</v>
      </c>
      <c r="N128" s="141">
        <v>0.19028244775204875</v>
      </c>
      <c r="O128" s="141">
        <v>0.19229273441574879</v>
      </c>
      <c r="P128" s="141">
        <v>0.19430302107944883</v>
      </c>
      <c r="Q128" s="141">
        <v>0.19631330774314887</v>
      </c>
      <c r="R128" s="141">
        <v>0.19832359440684891</v>
      </c>
      <c r="S128" s="141">
        <v>0.20033388107054895</v>
      </c>
      <c r="T128" s="141">
        <v>0.20234416773424899</v>
      </c>
      <c r="U128" s="141">
        <v>0.20435445439794903</v>
      </c>
      <c r="V128" s="141">
        <v>0.20636474106164907</v>
      </c>
      <c r="W128" s="141">
        <v>0.20837502772534908</v>
      </c>
      <c r="X128" s="141">
        <v>0.20912989108531377</v>
      </c>
      <c r="Y128" s="141">
        <v>0.20988475444527846</v>
      </c>
      <c r="Z128" s="141">
        <v>0.21063961780524315</v>
      </c>
      <c r="AA128" s="141">
        <v>0.21139448116520784</v>
      </c>
      <c r="AB128" s="141">
        <v>0.21214934452517253</v>
      </c>
      <c r="AC128" s="141">
        <v>0.21290420788513723</v>
      </c>
      <c r="AD128" s="141">
        <v>0.21365907124510192</v>
      </c>
      <c r="AE128" s="141">
        <v>0.21441393460506661</v>
      </c>
      <c r="AF128" s="141">
        <v>0.2151687979650313</v>
      </c>
      <c r="AG128" s="141">
        <v>0.21592366132499599</v>
      </c>
      <c r="AH128" s="141">
        <v>0.21667852468496068</v>
      </c>
      <c r="AI128" s="141">
        <v>0.21743338804492537</v>
      </c>
      <c r="AJ128" s="141">
        <v>0.21818825140489007</v>
      </c>
      <c r="AK128" s="141">
        <v>0.21894311476485476</v>
      </c>
      <c r="AL128" s="141">
        <v>0.21969797812481945</v>
      </c>
      <c r="AM128" s="141">
        <v>0.22045284148478414</v>
      </c>
      <c r="AN128" s="141">
        <v>0.22120770484474883</v>
      </c>
      <c r="AO128" s="141">
        <v>0.22196256820471352</v>
      </c>
      <c r="AP128" s="141">
        <v>0.22271743156467821</v>
      </c>
      <c r="AQ128" s="143">
        <v>0.2234722949246431</v>
      </c>
    </row>
    <row r="129" spans="7:45" ht="14.25" customHeight="1" thickBot="1" x14ac:dyDescent="0.2">
      <c r="G129" s="22"/>
      <c r="H129" s="254"/>
      <c r="J129" s="251"/>
      <c r="K129" s="144" t="s">
        <v>162</v>
      </c>
      <c r="L129" s="145">
        <v>0.18626187442464867</v>
      </c>
      <c r="M129" s="145">
        <v>0.18626187442464867</v>
      </c>
      <c r="N129" s="145">
        <v>0.18626187442464867</v>
      </c>
      <c r="O129" s="145">
        <v>0.18626187442464867</v>
      </c>
      <c r="P129" s="145">
        <v>0.18626187442464867</v>
      </c>
      <c r="Q129" s="145">
        <v>0.18626187442464867</v>
      </c>
      <c r="R129" s="145">
        <v>0.18626187442464867</v>
      </c>
      <c r="S129" s="145">
        <v>0.18626187442464867</v>
      </c>
      <c r="T129" s="145">
        <v>0.18626187442464867</v>
      </c>
      <c r="U129" s="145">
        <v>0.18626187442464867</v>
      </c>
      <c r="V129" s="145">
        <v>0.18626187442464867</v>
      </c>
      <c r="W129" s="145">
        <v>0.18626187442464867</v>
      </c>
      <c r="X129" s="145">
        <v>0.18736753208968368</v>
      </c>
      <c r="Y129" s="145">
        <v>0.18847318975471869</v>
      </c>
      <c r="Z129" s="145">
        <v>0.1895788474197537</v>
      </c>
      <c r="AA129" s="145">
        <v>0.19068450508478871</v>
      </c>
      <c r="AB129" s="145">
        <v>0.19179016274982372</v>
      </c>
      <c r="AC129" s="145">
        <v>0.19289582041485873</v>
      </c>
      <c r="AD129" s="145">
        <v>0.19400147807989374</v>
      </c>
      <c r="AE129" s="145">
        <v>0.19510713574492874</v>
      </c>
      <c r="AF129" s="145">
        <v>0.19621279340996375</v>
      </c>
      <c r="AG129" s="145">
        <v>0.19731845107499876</v>
      </c>
      <c r="AH129" s="145">
        <v>0.19842410874003377</v>
      </c>
      <c r="AI129" s="145">
        <v>0.19952976640506878</v>
      </c>
      <c r="AJ129" s="145">
        <v>0.20063542407010379</v>
      </c>
      <c r="AK129" s="145">
        <v>0.2017410817351388</v>
      </c>
      <c r="AL129" s="145">
        <v>0.20284673940017381</v>
      </c>
      <c r="AM129" s="145">
        <v>0.20395239706520882</v>
      </c>
      <c r="AN129" s="145">
        <v>0.20505805473024383</v>
      </c>
      <c r="AO129" s="145">
        <v>0.20616371239527884</v>
      </c>
      <c r="AP129" s="145">
        <v>0.20726937006031385</v>
      </c>
      <c r="AQ129" s="146">
        <v>0.20837502772534908</v>
      </c>
    </row>
    <row r="130" spans="7:45" ht="14.25" customHeight="1" thickTop="1" x14ac:dyDescent="0.15">
      <c r="G130" s="22"/>
      <c r="H130" s="254"/>
      <c r="J130" s="147"/>
      <c r="K130" s="19"/>
      <c r="L130" s="81"/>
      <c r="M130" s="81"/>
      <c r="N130" s="81"/>
      <c r="O130" s="81"/>
      <c r="P130" s="81"/>
      <c r="Q130" s="81"/>
      <c r="R130" s="81"/>
      <c r="S130" s="81"/>
      <c r="T130" s="81"/>
      <c r="U130" s="81"/>
      <c r="V130" s="81"/>
      <c r="W130" s="81"/>
      <c r="X130" s="81"/>
      <c r="Y130" s="81"/>
      <c r="Z130" s="81"/>
      <c r="AA130" s="81"/>
      <c r="AB130" s="81"/>
      <c r="AC130" s="81"/>
      <c r="AD130" s="81"/>
      <c r="AE130" s="81"/>
      <c r="AF130" s="81"/>
      <c r="AG130" s="81"/>
      <c r="AH130" s="81"/>
      <c r="AI130" s="81"/>
      <c r="AJ130" s="81"/>
      <c r="AK130" s="81"/>
      <c r="AL130" s="81"/>
      <c r="AM130" s="81"/>
      <c r="AN130" s="81"/>
      <c r="AO130" s="81"/>
      <c r="AP130" s="81"/>
      <c r="AQ130" s="81"/>
    </row>
    <row r="131" spans="7:45" ht="14.25" customHeight="1" x14ac:dyDescent="0.15">
      <c r="G131" s="22"/>
      <c r="H131" s="254"/>
      <c r="J131" s="78"/>
      <c r="L131" s="128">
        <v>2019</v>
      </c>
      <c r="M131" s="128">
        <v>2020</v>
      </c>
      <c r="N131" s="128">
        <v>2021</v>
      </c>
      <c r="O131" s="128">
        <v>2022</v>
      </c>
      <c r="P131" s="128">
        <v>2023</v>
      </c>
      <c r="Q131" s="128">
        <v>2024</v>
      </c>
      <c r="R131" s="128">
        <v>2025</v>
      </c>
      <c r="S131" s="128">
        <v>2026</v>
      </c>
      <c r="T131" s="128">
        <v>2027</v>
      </c>
      <c r="U131" s="128">
        <v>2028</v>
      </c>
      <c r="V131" s="128">
        <v>2029</v>
      </c>
      <c r="W131" s="128">
        <v>2030</v>
      </c>
      <c r="X131" s="128">
        <v>2031</v>
      </c>
      <c r="Y131" s="128">
        <v>2032</v>
      </c>
      <c r="Z131" s="128">
        <v>2033</v>
      </c>
      <c r="AA131" s="128">
        <v>2034</v>
      </c>
      <c r="AB131" s="128">
        <v>2035</v>
      </c>
      <c r="AC131" s="128">
        <v>2036</v>
      </c>
      <c r="AD131" s="128">
        <v>2037</v>
      </c>
      <c r="AE131" s="128">
        <v>2038</v>
      </c>
      <c r="AF131" s="128">
        <v>2039</v>
      </c>
      <c r="AG131" s="128">
        <v>2040</v>
      </c>
      <c r="AH131" s="128">
        <v>2041</v>
      </c>
      <c r="AI131" s="128">
        <v>2042</v>
      </c>
      <c r="AJ131" s="128">
        <v>2043</v>
      </c>
      <c r="AK131" s="128">
        <v>2044</v>
      </c>
      <c r="AL131" s="128">
        <v>2045</v>
      </c>
      <c r="AM131" s="128">
        <v>2046</v>
      </c>
      <c r="AN131" s="128">
        <v>2047</v>
      </c>
      <c r="AO131" s="128">
        <v>2048</v>
      </c>
      <c r="AP131" s="128">
        <v>2049</v>
      </c>
      <c r="AQ131" s="128">
        <v>2050</v>
      </c>
    </row>
    <row r="132" spans="7:45" ht="14.25" customHeight="1" x14ac:dyDescent="0.15">
      <c r="G132" s="22"/>
      <c r="H132" s="254"/>
      <c r="J132" s="240" t="s">
        <v>163</v>
      </c>
      <c r="K132" s="140" t="s">
        <v>133</v>
      </c>
      <c r="L132" s="148">
        <f t="shared" ref="L132:AQ139" si="2">L100*8760</f>
        <v>1048.9666341803727</v>
      </c>
      <c r="M132" s="148">
        <f t="shared" si="2"/>
        <v>1068.0172753903184</v>
      </c>
      <c r="N132" s="148">
        <f t="shared" si="2"/>
        <v>1087.0679166002642</v>
      </c>
      <c r="O132" s="148">
        <f t="shared" si="2"/>
        <v>1106.1185578102102</v>
      </c>
      <c r="P132" s="148">
        <f t="shared" si="2"/>
        <v>1125.1691990201559</v>
      </c>
      <c r="Q132" s="148">
        <f t="shared" si="2"/>
        <v>1144.2198402301017</v>
      </c>
      <c r="R132" s="148">
        <f t="shared" si="2"/>
        <v>1163.2704814400474</v>
      </c>
      <c r="S132" s="148">
        <f t="shared" si="2"/>
        <v>1182.3211226499932</v>
      </c>
      <c r="T132" s="148">
        <f t="shared" si="2"/>
        <v>1201.3717638599389</v>
      </c>
      <c r="U132" s="148">
        <f t="shared" si="2"/>
        <v>1220.4224050698847</v>
      </c>
      <c r="V132" s="148">
        <f t="shared" si="2"/>
        <v>1239.4730462798304</v>
      </c>
      <c r="W132" s="148">
        <f t="shared" si="2"/>
        <v>1258.5236874897762</v>
      </c>
      <c r="X132" s="148">
        <f t="shared" si="2"/>
        <v>1261.2596085495368</v>
      </c>
      <c r="Y132" s="148">
        <f t="shared" si="2"/>
        <v>1263.9955296092971</v>
      </c>
      <c r="Z132" s="148">
        <f t="shared" si="2"/>
        <v>1266.7314506690575</v>
      </c>
      <c r="AA132" s="148">
        <f t="shared" si="2"/>
        <v>1269.4673717288179</v>
      </c>
      <c r="AB132" s="148">
        <f t="shared" si="2"/>
        <v>1272.2032927885784</v>
      </c>
      <c r="AC132" s="148">
        <f t="shared" si="2"/>
        <v>1274.9392138483388</v>
      </c>
      <c r="AD132" s="148">
        <f t="shared" si="2"/>
        <v>1277.6751349080992</v>
      </c>
      <c r="AE132" s="148">
        <f t="shared" si="2"/>
        <v>1280.4110559678595</v>
      </c>
      <c r="AF132" s="148">
        <f t="shared" si="2"/>
        <v>1283.1469770276201</v>
      </c>
      <c r="AG132" s="148">
        <f t="shared" si="2"/>
        <v>1285.8828980873805</v>
      </c>
      <c r="AH132" s="148">
        <f t="shared" si="2"/>
        <v>1288.6188191471408</v>
      </c>
      <c r="AI132" s="148">
        <f t="shared" si="2"/>
        <v>1291.3547402069012</v>
      </c>
      <c r="AJ132" s="148">
        <f t="shared" si="2"/>
        <v>1294.0906612666618</v>
      </c>
      <c r="AK132" s="148">
        <f t="shared" si="2"/>
        <v>1296.8265823264221</v>
      </c>
      <c r="AL132" s="148">
        <f t="shared" si="2"/>
        <v>1299.5625033861825</v>
      </c>
      <c r="AM132" s="148">
        <f t="shared" si="2"/>
        <v>1302.2984244459428</v>
      </c>
      <c r="AN132" s="148">
        <f t="shared" si="2"/>
        <v>1305.0343455057034</v>
      </c>
      <c r="AO132" s="148">
        <f t="shared" si="2"/>
        <v>1307.7702665654638</v>
      </c>
      <c r="AP132" s="148">
        <f t="shared" si="2"/>
        <v>1310.5061876252241</v>
      </c>
      <c r="AQ132" s="148">
        <f t="shared" si="2"/>
        <v>1313.2421086849838</v>
      </c>
    </row>
    <row r="133" spans="7:45" ht="14.25" customHeight="1" x14ac:dyDescent="0.15">
      <c r="G133" s="22"/>
      <c r="H133" s="254"/>
      <c r="J133" s="241"/>
      <c r="K133" s="19" t="s">
        <v>134</v>
      </c>
      <c r="L133" s="149">
        <f t="shared" si="2"/>
        <v>1048.9666341803727</v>
      </c>
      <c r="M133" s="149">
        <f t="shared" si="2"/>
        <v>1060.2879184843821</v>
      </c>
      <c r="N133" s="149">
        <f t="shared" si="2"/>
        <v>1071.6092027883913</v>
      </c>
      <c r="O133" s="149">
        <f t="shared" si="2"/>
        <v>1082.9304870924004</v>
      </c>
      <c r="P133" s="149">
        <f t="shared" si="2"/>
        <v>1094.2517713964098</v>
      </c>
      <c r="Q133" s="149">
        <f t="shared" si="2"/>
        <v>1105.573055700419</v>
      </c>
      <c r="R133" s="149">
        <f t="shared" si="2"/>
        <v>1116.8943400044282</v>
      </c>
      <c r="S133" s="149">
        <f t="shared" si="2"/>
        <v>1128.2156243084373</v>
      </c>
      <c r="T133" s="149">
        <f t="shared" si="2"/>
        <v>1139.5369086124465</v>
      </c>
      <c r="U133" s="149">
        <f t="shared" si="2"/>
        <v>1150.8581929164557</v>
      </c>
      <c r="V133" s="149">
        <f t="shared" si="2"/>
        <v>1162.1794772204648</v>
      </c>
      <c r="W133" s="149">
        <f t="shared" si="2"/>
        <v>1173.5007615244745</v>
      </c>
      <c r="X133" s="149">
        <f t="shared" si="2"/>
        <v>1177.7519078227394</v>
      </c>
      <c r="Y133" s="149">
        <f t="shared" si="2"/>
        <v>1182.0030541210047</v>
      </c>
      <c r="Z133" s="149">
        <f t="shared" si="2"/>
        <v>1186.2542004192696</v>
      </c>
      <c r="AA133" s="149">
        <f t="shared" si="2"/>
        <v>1190.5053467175346</v>
      </c>
      <c r="AB133" s="149">
        <f t="shared" si="2"/>
        <v>1194.7564930157998</v>
      </c>
      <c r="AC133" s="149">
        <f t="shared" si="2"/>
        <v>1199.0076393140648</v>
      </c>
      <c r="AD133" s="149">
        <f t="shared" si="2"/>
        <v>1203.2587856123298</v>
      </c>
      <c r="AE133" s="149">
        <f t="shared" si="2"/>
        <v>1207.5099319105948</v>
      </c>
      <c r="AF133" s="149">
        <f t="shared" si="2"/>
        <v>1211.76107820886</v>
      </c>
      <c r="AG133" s="149">
        <f t="shared" si="2"/>
        <v>1216.012224507125</v>
      </c>
      <c r="AH133" s="149">
        <f t="shared" si="2"/>
        <v>1220.26337080539</v>
      </c>
      <c r="AI133" s="149">
        <f t="shared" si="2"/>
        <v>1224.5145171036552</v>
      </c>
      <c r="AJ133" s="149">
        <f t="shared" si="2"/>
        <v>1228.7656634019202</v>
      </c>
      <c r="AK133" s="149">
        <f t="shared" si="2"/>
        <v>1233.0168097001851</v>
      </c>
      <c r="AL133" s="149">
        <f t="shared" si="2"/>
        <v>1237.2679559984504</v>
      </c>
      <c r="AM133" s="149">
        <f t="shared" si="2"/>
        <v>1241.5191022967153</v>
      </c>
      <c r="AN133" s="149">
        <f t="shared" si="2"/>
        <v>1245.7702485949803</v>
      </c>
      <c r="AO133" s="149">
        <f t="shared" si="2"/>
        <v>1250.0213948932455</v>
      </c>
      <c r="AP133" s="149">
        <f t="shared" si="2"/>
        <v>1254.2725411915105</v>
      </c>
      <c r="AQ133" s="149">
        <f t="shared" si="2"/>
        <v>1258.5236874897762</v>
      </c>
    </row>
    <row r="134" spans="7:45" ht="14.25" customHeight="1" thickBot="1" x14ac:dyDescent="0.2">
      <c r="G134" s="22"/>
      <c r="H134" s="254"/>
      <c r="J134" s="241"/>
      <c r="K134" s="144" t="s">
        <v>135</v>
      </c>
      <c r="L134" s="150">
        <f t="shared" si="2"/>
        <v>1048.9666341803727</v>
      </c>
      <c r="M134" s="150">
        <f t="shared" si="2"/>
        <v>1048.9666341803727</v>
      </c>
      <c r="N134" s="150">
        <f t="shared" si="2"/>
        <v>1048.9666341803727</v>
      </c>
      <c r="O134" s="150">
        <f t="shared" si="2"/>
        <v>1048.9666341803727</v>
      </c>
      <c r="P134" s="150">
        <f t="shared" si="2"/>
        <v>1048.9666341803727</v>
      </c>
      <c r="Q134" s="150">
        <f t="shared" si="2"/>
        <v>1048.9666341803727</v>
      </c>
      <c r="R134" s="150">
        <f t="shared" si="2"/>
        <v>1048.9666341803727</v>
      </c>
      <c r="S134" s="150">
        <f t="shared" si="2"/>
        <v>1048.9666341803727</v>
      </c>
      <c r="T134" s="150">
        <f t="shared" si="2"/>
        <v>1048.9666341803727</v>
      </c>
      <c r="U134" s="150">
        <f t="shared" si="2"/>
        <v>1048.9666341803727</v>
      </c>
      <c r="V134" s="150">
        <f t="shared" si="2"/>
        <v>1048.9666341803727</v>
      </c>
      <c r="W134" s="150">
        <f t="shared" si="2"/>
        <v>1048.9666341803727</v>
      </c>
      <c r="X134" s="150">
        <f t="shared" si="2"/>
        <v>1055.1933405475777</v>
      </c>
      <c r="Y134" s="150">
        <f t="shared" si="2"/>
        <v>1061.4200469147829</v>
      </c>
      <c r="Z134" s="150">
        <f t="shared" si="2"/>
        <v>1067.6467532819879</v>
      </c>
      <c r="AA134" s="150">
        <f t="shared" si="2"/>
        <v>1073.8734596491929</v>
      </c>
      <c r="AB134" s="150">
        <f t="shared" si="2"/>
        <v>1080.1001660163979</v>
      </c>
      <c r="AC134" s="150">
        <f t="shared" si="2"/>
        <v>1086.3268723836029</v>
      </c>
      <c r="AD134" s="150">
        <f t="shared" si="2"/>
        <v>1092.5535787508081</v>
      </c>
      <c r="AE134" s="150">
        <f t="shared" si="2"/>
        <v>1098.7802851180131</v>
      </c>
      <c r="AF134" s="150">
        <f t="shared" si="2"/>
        <v>1105.0069914852184</v>
      </c>
      <c r="AG134" s="150">
        <f t="shared" si="2"/>
        <v>1111.2336978524233</v>
      </c>
      <c r="AH134" s="150">
        <f t="shared" si="2"/>
        <v>1117.4604042196283</v>
      </c>
      <c r="AI134" s="150">
        <f t="shared" si="2"/>
        <v>1123.6871105868333</v>
      </c>
      <c r="AJ134" s="150">
        <f t="shared" si="2"/>
        <v>1129.9138169540383</v>
      </c>
      <c r="AK134" s="150">
        <f t="shared" si="2"/>
        <v>1136.1405233212436</v>
      </c>
      <c r="AL134" s="150">
        <f t="shared" si="2"/>
        <v>1142.3672296884486</v>
      </c>
      <c r="AM134" s="150">
        <f t="shared" si="2"/>
        <v>1148.5939360556536</v>
      </c>
      <c r="AN134" s="150">
        <f t="shared" si="2"/>
        <v>1154.8206424228586</v>
      </c>
      <c r="AO134" s="150">
        <f t="shared" si="2"/>
        <v>1161.0473487900636</v>
      </c>
      <c r="AP134" s="150">
        <f t="shared" si="2"/>
        <v>1167.2740551572688</v>
      </c>
      <c r="AQ134" s="150">
        <f t="shared" si="2"/>
        <v>1173.5007615244745</v>
      </c>
    </row>
    <row r="135" spans="7:45" ht="14.25" customHeight="1" thickTop="1" x14ac:dyDescent="0.15">
      <c r="G135" s="22"/>
      <c r="H135" s="254"/>
      <c r="J135" s="241"/>
      <c r="K135" s="140" t="s">
        <v>136</v>
      </c>
      <c r="L135" s="151">
        <f t="shared" si="2"/>
        <v>1153.1543203945896</v>
      </c>
      <c r="M135" s="151">
        <f t="shared" si="2"/>
        <v>1174.0971497484531</v>
      </c>
      <c r="N135" s="151">
        <f t="shared" si="2"/>
        <v>1195.0399791023169</v>
      </c>
      <c r="O135" s="151">
        <f t="shared" si="2"/>
        <v>1215.9828084561805</v>
      </c>
      <c r="P135" s="151">
        <f t="shared" si="2"/>
        <v>1236.9256378100442</v>
      </c>
      <c r="Q135" s="151">
        <f t="shared" si="2"/>
        <v>1257.8684671639078</v>
      </c>
      <c r="R135" s="151">
        <f t="shared" si="2"/>
        <v>1278.8112965177713</v>
      </c>
      <c r="S135" s="151">
        <f t="shared" si="2"/>
        <v>1299.7541258716351</v>
      </c>
      <c r="T135" s="151">
        <f t="shared" si="2"/>
        <v>1320.6969552254986</v>
      </c>
      <c r="U135" s="151">
        <f t="shared" si="2"/>
        <v>1341.6397845793622</v>
      </c>
      <c r="V135" s="151">
        <f t="shared" si="2"/>
        <v>1362.582613933226</v>
      </c>
      <c r="W135" s="151">
        <f t="shared" si="2"/>
        <v>1383.525443287089</v>
      </c>
      <c r="X135" s="151">
        <f t="shared" si="2"/>
        <v>1386.5331072942349</v>
      </c>
      <c r="Y135" s="151">
        <f t="shared" si="2"/>
        <v>1389.5407713013808</v>
      </c>
      <c r="Z135" s="151">
        <f t="shared" si="2"/>
        <v>1392.5484353085267</v>
      </c>
      <c r="AA135" s="151">
        <f t="shared" si="2"/>
        <v>1395.5560993156726</v>
      </c>
      <c r="AB135" s="151">
        <f t="shared" si="2"/>
        <v>1398.5637633228187</v>
      </c>
      <c r="AC135" s="151">
        <f t="shared" si="2"/>
        <v>1401.5714273299645</v>
      </c>
      <c r="AD135" s="151">
        <f t="shared" si="2"/>
        <v>1404.5790913371104</v>
      </c>
      <c r="AE135" s="151">
        <f t="shared" si="2"/>
        <v>1407.5867553442563</v>
      </c>
      <c r="AF135" s="151">
        <f t="shared" si="2"/>
        <v>1410.5944193514022</v>
      </c>
      <c r="AG135" s="151">
        <f t="shared" si="2"/>
        <v>1413.602083358548</v>
      </c>
      <c r="AH135" s="151">
        <f t="shared" si="2"/>
        <v>1416.6097473656939</v>
      </c>
      <c r="AI135" s="151">
        <f t="shared" si="2"/>
        <v>1419.6174113728398</v>
      </c>
      <c r="AJ135" s="151">
        <f t="shared" si="2"/>
        <v>1422.6250753799859</v>
      </c>
      <c r="AK135" s="151">
        <f t="shared" si="2"/>
        <v>1425.6327393871318</v>
      </c>
      <c r="AL135" s="151">
        <f t="shared" si="2"/>
        <v>1428.6404033942777</v>
      </c>
      <c r="AM135" s="151">
        <f t="shared" si="2"/>
        <v>1431.6480674014235</v>
      </c>
      <c r="AN135" s="151">
        <f t="shared" si="2"/>
        <v>1434.6557314085694</v>
      </c>
      <c r="AO135" s="151">
        <f t="shared" si="2"/>
        <v>1437.6633954157153</v>
      </c>
      <c r="AP135" s="151">
        <f t="shared" si="2"/>
        <v>1440.6710594228612</v>
      </c>
      <c r="AQ135" s="151">
        <f t="shared" si="2"/>
        <v>1443.6787234300059</v>
      </c>
    </row>
    <row r="136" spans="7:45" ht="14.25" customHeight="1" x14ac:dyDescent="0.15">
      <c r="G136" s="22"/>
      <c r="H136" s="254"/>
      <c r="J136" s="241"/>
      <c r="K136" s="19" t="s">
        <v>137</v>
      </c>
      <c r="L136" s="149">
        <f t="shared" si="2"/>
        <v>1153.1543203945896</v>
      </c>
      <c r="M136" s="149">
        <f t="shared" si="2"/>
        <v>1165.6000812817172</v>
      </c>
      <c r="N136" s="149">
        <f t="shared" si="2"/>
        <v>1178.0458421688445</v>
      </c>
      <c r="O136" s="149">
        <f t="shared" si="2"/>
        <v>1190.4916030559721</v>
      </c>
      <c r="P136" s="149">
        <f t="shared" si="2"/>
        <v>1202.9373639430996</v>
      </c>
      <c r="Q136" s="149">
        <f t="shared" si="2"/>
        <v>1215.383124830227</v>
      </c>
      <c r="R136" s="149">
        <f t="shared" si="2"/>
        <v>1227.8288857173545</v>
      </c>
      <c r="S136" s="149">
        <f t="shared" si="2"/>
        <v>1240.2746466044821</v>
      </c>
      <c r="T136" s="149">
        <f t="shared" si="2"/>
        <v>1252.7204074916094</v>
      </c>
      <c r="U136" s="149">
        <f t="shared" si="2"/>
        <v>1265.166168378737</v>
      </c>
      <c r="V136" s="149">
        <f t="shared" si="2"/>
        <v>1277.6119292658645</v>
      </c>
      <c r="W136" s="149">
        <f t="shared" si="2"/>
        <v>1290.0576901529907</v>
      </c>
      <c r="X136" s="149">
        <f t="shared" si="2"/>
        <v>1294.7310778096955</v>
      </c>
      <c r="Y136" s="149">
        <f t="shared" si="2"/>
        <v>1299.4044654664003</v>
      </c>
      <c r="Z136" s="149">
        <f t="shared" si="2"/>
        <v>1304.0778531231053</v>
      </c>
      <c r="AA136" s="149">
        <f t="shared" si="2"/>
        <v>1308.7512407798101</v>
      </c>
      <c r="AB136" s="149">
        <f t="shared" si="2"/>
        <v>1313.4246284365149</v>
      </c>
      <c r="AC136" s="149">
        <f t="shared" si="2"/>
        <v>1318.0980160932199</v>
      </c>
      <c r="AD136" s="149">
        <f t="shared" si="2"/>
        <v>1322.7714037499247</v>
      </c>
      <c r="AE136" s="149">
        <f t="shared" si="2"/>
        <v>1327.4447914066295</v>
      </c>
      <c r="AF136" s="149">
        <f t="shared" si="2"/>
        <v>1332.1181790633343</v>
      </c>
      <c r="AG136" s="149">
        <f t="shared" si="2"/>
        <v>1336.7915667200393</v>
      </c>
      <c r="AH136" s="149">
        <f t="shared" si="2"/>
        <v>1341.4649543767441</v>
      </c>
      <c r="AI136" s="149">
        <f t="shared" si="2"/>
        <v>1346.1383420334489</v>
      </c>
      <c r="AJ136" s="149">
        <f t="shared" si="2"/>
        <v>1350.8117296901539</v>
      </c>
      <c r="AK136" s="149">
        <f t="shared" si="2"/>
        <v>1355.4851173468587</v>
      </c>
      <c r="AL136" s="149">
        <f t="shared" si="2"/>
        <v>1360.1585050035635</v>
      </c>
      <c r="AM136" s="149">
        <f t="shared" si="2"/>
        <v>1364.8318926602683</v>
      </c>
      <c r="AN136" s="149">
        <f t="shared" si="2"/>
        <v>1369.5052803169733</v>
      </c>
      <c r="AO136" s="149">
        <f t="shared" si="2"/>
        <v>1374.1786679736781</v>
      </c>
      <c r="AP136" s="149">
        <f t="shared" si="2"/>
        <v>1378.8520556303829</v>
      </c>
      <c r="AQ136" s="149">
        <f t="shared" si="2"/>
        <v>1383.525443287089</v>
      </c>
    </row>
    <row r="137" spans="7:45" ht="14.25" customHeight="1" thickBot="1" x14ac:dyDescent="0.2">
      <c r="G137" s="22"/>
      <c r="H137" s="254"/>
      <c r="J137" s="241"/>
      <c r="K137" s="144" t="s">
        <v>138</v>
      </c>
      <c r="L137" s="150">
        <f t="shared" si="2"/>
        <v>1153.1543203945896</v>
      </c>
      <c r="M137" s="150">
        <f t="shared" si="2"/>
        <v>1153.1543203945896</v>
      </c>
      <c r="N137" s="150">
        <f t="shared" si="2"/>
        <v>1153.1543203945896</v>
      </c>
      <c r="O137" s="150">
        <f t="shared" si="2"/>
        <v>1153.1543203945896</v>
      </c>
      <c r="P137" s="150">
        <f t="shared" si="2"/>
        <v>1153.1543203945896</v>
      </c>
      <c r="Q137" s="150">
        <f t="shared" si="2"/>
        <v>1153.1543203945896</v>
      </c>
      <c r="R137" s="150">
        <f t="shared" si="2"/>
        <v>1153.1543203945896</v>
      </c>
      <c r="S137" s="150">
        <f t="shared" si="2"/>
        <v>1153.1543203945896</v>
      </c>
      <c r="T137" s="150">
        <f t="shared" si="2"/>
        <v>1153.1543203945896</v>
      </c>
      <c r="U137" s="150">
        <f t="shared" si="2"/>
        <v>1153.1543203945896</v>
      </c>
      <c r="V137" s="150">
        <f t="shared" si="2"/>
        <v>1153.1543203945896</v>
      </c>
      <c r="W137" s="150">
        <f t="shared" si="2"/>
        <v>1153.1543203945896</v>
      </c>
      <c r="X137" s="150">
        <f t="shared" si="2"/>
        <v>1159.9994888825097</v>
      </c>
      <c r="Y137" s="150">
        <f t="shared" si="2"/>
        <v>1166.8446573704298</v>
      </c>
      <c r="Z137" s="150">
        <f t="shared" si="2"/>
        <v>1173.6898258583499</v>
      </c>
      <c r="AA137" s="150">
        <f t="shared" si="2"/>
        <v>1180.5349943462697</v>
      </c>
      <c r="AB137" s="150">
        <f t="shared" si="2"/>
        <v>1187.3801628341898</v>
      </c>
      <c r="AC137" s="150">
        <f t="shared" si="2"/>
        <v>1194.2253313221099</v>
      </c>
      <c r="AD137" s="150">
        <f t="shared" si="2"/>
        <v>1201.07049981003</v>
      </c>
      <c r="AE137" s="150">
        <f t="shared" si="2"/>
        <v>1207.9156682979501</v>
      </c>
      <c r="AF137" s="150">
        <f t="shared" si="2"/>
        <v>1214.7608367858702</v>
      </c>
      <c r="AG137" s="150">
        <f t="shared" si="2"/>
        <v>1221.6060052737901</v>
      </c>
      <c r="AH137" s="150">
        <f t="shared" si="2"/>
        <v>1228.4511737617102</v>
      </c>
      <c r="AI137" s="150">
        <f t="shared" si="2"/>
        <v>1235.2963422496302</v>
      </c>
      <c r="AJ137" s="150">
        <f t="shared" si="2"/>
        <v>1242.1415107375503</v>
      </c>
      <c r="AK137" s="150">
        <f t="shared" si="2"/>
        <v>1248.9866792254704</v>
      </c>
      <c r="AL137" s="150">
        <f t="shared" si="2"/>
        <v>1255.8318477133905</v>
      </c>
      <c r="AM137" s="150">
        <f t="shared" si="2"/>
        <v>1262.6770162013106</v>
      </c>
      <c r="AN137" s="150">
        <f t="shared" si="2"/>
        <v>1269.5221846892305</v>
      </c>
      <c r="AO137" s="150">
        <f t="shared" si="2"/>
        <v>1276.3673531771506</v>
      </c>
      <c r="AP137" s="150">
        <f t="shared" si="2"/>
        <v>1283.2125216650707</v>
      </c>
      <c r="AQ137" s="150">
        <f t="shared" si="2"/>
        <v>1290.0576901529907</v>
      </c>
    </row>
    <row r="138" spans="7:45" ht="14.25" customHeight="1" thickTop="1" x14ac:dyDescent="0.15">
      <c r="G138" s="22"/>
      <c r="H138" s="254"/>
      <c r="J138" s="241"/>
      <c r="K138" s="140" t="s">
        <v>139</v>
      </c>
      <c r="L138" s="151">
        <f t="shared" si="2"/>
        <v>1201.3395907762297</v>
      </c>
      <c r="M138" s="151">
        <f t="shared" si="2"/>
        <v>1223.1575292782143</v>
      </c>
      <c r="N138" s="151">
        <f t="shared" si="2"/>
        <v>1244.9754677801989</v>
      </c>
      <c r="O138" s="151">
        <f t="shared" si="2"/>
        <v>1266.7934062821835</v>
      </c>
      <c r="P138" s="151">
        <f t="shared" si="2"/>
        <v>1288.6113447841681</v>
      </c>
      <c r="Q138" s="151">
        <f t="shared" si="2"/>
        <v>1310.4292832861524</v>
      </c>
      <c r="R138" s="151">
        <f t="shared" si="2"/>
        <v>1332.247221788137</v>
      </c>
      <c r="S138" s="151">
        <f t="shared" si="2"/>
        <v>1354.0651602901216</v>
      </c>
      <c r="T138" s="151">
        <f t="shared" si="2"/>
        <v>1375.8830987921062</v>
      </c>
      <c r="U138" s="151">
        <f t="shared" si="2"/>
        <v>1397.7010372940908</v>
      </c>
      <c r="V138" s="151">
        <f t="shared" si="2"/>
        <v>1419.5189757960752</v>
      </c>
      <c r="W138" s="151">
        <f t="shared" si="2"/>
        <v>1441.3369142980589</v>
      </c>
      <c r="X138" s="151">
        <f t="shared" si="2"/>
        <v>1444.4702554160981</v>
      </c>
      <c r="Y138" s="151">
        <f t="shared" si="2"/>
        <v>1447.6035965341375</v>
      </c>
      <c r="Z138" s="151">
        <f t="shared" si="2"/>
        <v>1450.7369376521767</v>
      </c>
      <c r="AA138" s="151">
        <f t="shared" si="2"/>
        <v>1453.8702787702159</v>
      </c>
      <c r="AB138" s="151">
        <f t="shared" si="2"/>
        <v>1457.0036198882551</v>
      </c>
      <c r="AC138" s="151">
        <f t="shared" si="2"/>
        <v>1460.1369610062945</v>
      </c>
      <c r="AD138" s="151">
        <f t="shared" si="2"/>
        <v>1463.2703021243337</v>
      </c>
      <c r="AE138" s="151">
        <f t="shared" si="2"/>
        <v>1466.4036432423729</v>
      </c>
      <c r="AF138" s="151">
        <f t="shared" si="2"/>
        <v>1469.5369843604121</v>
      </c>
      <c r="AG138" s="151">
        <f t="shared" si="2"/>
        <v>1472.6703254784516</v>
      </c>
      <c r="AH138" s="151">
        <f t="shared" si="2"/>
        <v>1475.8036665964908</v>
      </c>
      <c r="AI138" s="151">
        <f t="shared" si="2"/>
        <v>1478.93700771453</v>
      </c>
      <c r="AJ138" s="151">
        <f t="shared" si="2"/>
        <v>1482.0703488325694</v>
      </c>
      <c r="AK138" s="151">
        <f t="shared" si="2"/>
        <v>1485.2036899506086</v>
      </c>
      <c r="AL138" s="151">
        <f t="shared" si="2"/>
        <v>1488.3370310686478</v>
      </c>
      <c r="AM138" s="151">
        <f t="shared" si="2"/>
        <v>1491.470372186687</v>
      </c>
      <c r="AN138" s="151">
        <f t="shared" si="2"/>
        <v>1494.6037133047264</v>
      </c>
      <c r="AO138" s="151">
        <f t="shared" si="2"/>
        <v>1497.7370544227656</v>
      </c>
      <c r="AP138" s="151">
        <f t="shared" si="2"/>
        <v>1500.8703955408048</v>
      </c>
      <c r="AQ138" s="151">
        <f t="shared" si="2"/>
        <v>1504.0037366588442</v>
      </c>
    </row>
    <row r="139" spans="7:45" ht="14.25" customHeight="1" x14ac:dyDescent="0.15">
      <c r="G139" s="22"/>
      <c r="H139" s="254"/>
      <c r="J139" s="241"/>
      <c r="K139" s="19" t="s">
        <v>140</v>
      </c>
      <c r="L139" s="149">
        <f t="shared" si="2"/>
        <v>1201.3395907762297</v>
      </c>
      <c r="M139" s="149">
        <f t="shared" si="2"/>
        <v>1214.3054055215832</v>
      </c>
      <c r="N139" s="149">
        <f t="shared" si="2"/>
        <v>1227.2712202669368</v>
      </c>
      <c r="O139" s="149">
        <f t="shared" si="2"/>
        <v>1240.2370350122906</v>
      </c>
      <c r="P139" s="149">
        <f t="shared" si="2"/>
        <v>1253.2028497576441</v>
      </c>
      <c r="Q139" s="149">
        <f t="shared" si="2"/>
        <v>1266.1686645029977</v>
      </c>
      <c r="R139" s="149">
        <f t="shared" si="2"/>
        <v>1279.1344792483512</v>
      </c>
      <c r="S139" s="149">
        <f t="shared" si="2"/>
        <v>1292.1002939937048</v>
      </c>
      <c r="T139" s="149">
        <f t="shared" si="2"/>
        <v>1305.0661087390583</v>
      </c>
      <c r="U139" s="149">
        <f t="shared" si="2"/>
        <v>1318.0319234844119</v>
      </c>
      <c r="V139" s="149">
        <f t="shared" si="2"/>
        <v>1330.9977382297654</v>
      </c>
      <c r="W139" s="149">
        <f t="shared" si="2"/>
        <v>1343.9635529751192</v>
      </c>
      <c r="X139" s="149">
        <f t="shared" si="2"/>
        <v>1348.8322210412662</v>
      </c>
      <c r="Y139" s="149">
        <f t="shared" si="2"/>
        <v>1353.7008891074131</v>
      </c>
      <c r="Z139" s="149">
        <f t="shared" si="2"/>
        <v>1358.5695571735598</v>
      </c>
      <c r="AA139" s="149">
        <f t="shared" si="2"/>
        <v>1363.4382252397068</v>
      </c>
      <c r="AB139" s="149">
        <f t="shared" si="2"/>
        <v>1368.3068933058537</v>
      </c>
      <c r="AC139" s="149">
        <f t="shared" si="2"/>
        <v>1373.1755613720004</v>
      </c>
      <c r="AD139" s="149">
        <f t="shared" si="2"/>
        <v>1378.0442294381473</v>
      </c>
      <c r="AE139" s="149">
        <f t="shared" si="2"/>
        <v>1382.9128975042943</v>
      </c>
      <c r="AF139" s="149">
        <f t="shared" si="2"/>
        <v>1387.7815655704412</v>
      </c>
      <c r="AG139" s="149">
        <f t="shared" si="2"/>
        <v>1392.6502336365879</v>
      </c>
      <c r="AH139" s="149">
        <f t="shared" si="2"/>
        <v>1397.5189017027349</v>
      </c>
      <c r="AI139" s="149">
        <f t="shared" si="2"/>
        <v>1402.3875697688818</v>
      </c>
      <c r="AJ139" s="149">
        <f t="shared" si="2"/>
        <v>1407.2562378350285</v>
      </c>
      <c r="AK139" s="149">
        <f t="shared" si="2"/>
        <v>1412.1249059011755</v>
      </c>
      <c r="AL139" s="149">
        <f t="shared" si="2"/>
        <v>1416.9935739673224</v>
      </c>
      <c r="AM139" s="149">
        <f t="shared" si="2"/>
        <v>1421.8622420334693</v>
      </c>
      <c r="AN139" s="149">
        <f t="shared" si="2"/>
        <v>1426.730910099616</v>
      </c>
      <c r="AO139" s="149">
        <f t="shared" si="2"/>
        <v>1431.599578165763</v>
      </c>
      <c r="AP139" s="149">
        <f t="shared" si="2"/>
        <v>1436.4682462319099</v>
      </c>
      <c r="AQ139" s="149">
        <f t="shared" ref="AQ139" si="3">AQ107*8760</f>
        <v>1441.3369142980589</v>
      </c>
    </row>
    <row r="140" spans="7:45" ht="14.25" customHeight="1" thickBot="1" x14ac:dyDescent="0.2">
      <c r="G140" s="22"/>
      <c r="H140" s="254"/>
      <c r="J140" s="241"/>
      <c r="K140" s="144" t="s">
        <v>141</v>
      </c>
      <c r="L140" s="152">
        <f t="shared" ref="L140:AQ147" si="4">L108*8760</f>
        <v>1201.3395907762297</v>
      </c>
      <c r="M140" s="152">
        <f t="shared" si="4"/>
        <v>1201.3395907762297</v>
      </c>
      <c r="N140" s="152">
        <f t="shared" si="4"/>
        <v>1201.3395907762297</v>
      </c>
      <c r="O140" s="152">
        <f t="shared" si="4"/>
        <v>1201.3395907762297</v>
      </c>
      <c r="P140" s="152">
        <f t="shared" si="4"/>
        <v>1201.3395907762297</v>
      </c>
      <c r="Q140" s="152">
        <f t="shared" si="4"/>
        <v>1201.3395907762297</v>
      </c>
      <c r="R140" s="152">
        <f t="shared" si="4"/>
        <v>1201.3395907762297</v>
      </c>
      <c r="S140" s="152">
        <f t="shared" si="4"/>
        <v>1201.3395907762297</v>
      </c>
      <c r="T140" s="152">
        <f t="shared" si="4"/>
        <v>1201.3395907762297</v>
      </c>
      <c r="U140" s="152">
        <f t="shared" si="4"/>
        <v>1201.3395907762297</v>
      </c>
      <c r="V140" s="152">
        <f t="shared" si="4"/>
        <v>1201.3395907762297</v>
      </c>
      <c r="W140" s="152">
        <f t="shared" si="4"/>
        <v>1201.3395907762297</v>
      </c>
      <c r="X140" s="152">
        <f t="shared" si="4"/>
        <v>1208.4707888861742</v>
      </c>
      <c r="Y140" s="152">
        <f t="shared" si="4"/>
        <v>1215.6019869961185</v>
      </c>
      <c r="Z140" s="152">
        <f t="shared" si="4"/>
        <v>1222.733185106063</v>
      </c>
      <c r="AA140" s="152">
        <f t="shared" si="4"/>
        <v>1229.8643832160074</v>
      </c>
      <c r="AB140" s="152">
        <f t="shared" si="4"/>
        <v>1236.9955813259517</v>
      </c>
      <c r="AC140" s="152">
        <f t="shared" si="4"/>
        <v>1244.1267794358962</v>
      </c>
      <c r="AD140" s="152">
        <f t="shared" si="4"/>
        <v>1251.2579775458405</v>
      </c>
      <c r="AE140" s="152">
        <f t="shared" si="4"/>
        <v>1258.389175655785</v>
      </c>
      <c r="AF140" s="152">
        <f t="shared" si="4"/>
        <v>1265.5203737657293</v>
      </c>
      <c r="AG140" s="152">
        <f t="shared" si="4"/>
        <v>1272.6515718756739</v>
      </c>
      <c r="AH140" s="152">
        <f t="shared" si="4"/>
        <v>1279.7827699856182</v>
      </c>
      <c r="AI140" s="152">
        <f t="shared" si="4"/>
        <v>1286.9139680955625</v>
      </c>
      <c r="AJ140" s="152">
        <f t="shared" si="4"/>
        <v>1294.045166205507</v>
      </c>
      <c r="AK140" s="152">
        <f t="shared" si="4"/>
        <v>1301.1763643154513</v>
      </c>
      <c r="AL140" s="152">
        <f t="shared" si="4"/>
        <v>1308.3075624253959</v>
      </c>
      <c r="AM140" s="152">
        <f t="shared" si="4"/>
        <v>1315.4387605353402</v>
      </c>
      <c r="AN140" s="152">
        <f t="shared" si="4"/>
        <v>1322.5699586452845</v>
      </c>
      <c r="AO140" s="152">
        <f t="shared" si="4"/>
        <v>1329.701156755229</v>
      </c>
      <c r="AP140" s="152">
        <f t="shared" si="4"/>
        <v>1336.8323548651733</v>
      </c>
      <c r="AQ140" s="152">
        <f t="shared" si="4"/>
        <v>1343.9635529751192</v>
      </c>
      <c r="AR140" s="153"/>
      <c r="AS140" s="153"/>
    </row>
    <row r="141" spans="7:45" ht="14.25" customHeight="1" thickTop="1" x14ac:dyDescent="0.15">
      <c r="G141" s="22"/>
      <c r="H141" s="254"/>
      <c r="J141" s="241"/>
      <c r="K141" s="140" t="s">
        <v>142</v>
      </c>
      <c r="L141" s="151">
        <f t="shared" si="4"/>
        <v>1264.9249739049837</v>
      </c>
      <c r="M141" s="151">
        <f t="shared" si="4"/>
        <v>1287.8977082610131</v>
      </c>
      <c r="N141" s="151">
        <f t="shared" si="4"/>
        <v>1310.8704426170423</v>
      </c>
      <c r="O141" s="151">
        <f t="shared" si="4"/>
        <v>1333.8431769730714</v>
      </c>
      <c r="P141" s="151">
        <f t="shared" si="4"/>
        <v>1356.8159113291008</v>
      </c>
      <c r="Q141" s="151">
        <f t="shared" si="4"/>
        <v>1379.7886456851299</v>
      </c>
      <c r="R141" s="151">
        <f t="shared" si="4"/>
        <v>1402.7613800411591</v>
      </c>
      <c r="S141" s="151">
        <f t="shared" si="4"/>
        <v>1425.7341143971883</v>
      </c>
      <c r="T141" s="151">
        <f t="shared" si="4"/>
        <v>1448.7068487532176</v>
      </c>
      <c r="U141" s="151">
        <f t="shared" si="4"/>
        <v>1471.6795831092468</v>
      </c>
      <c r="V141" s="151">
        <f t="shared" si="4"/>
        <v>1494.6523174652759</v>
      </c>
      <c r="W141" s="151">
        <f t="shared" si="4"/>
        <v>1517.6250518213062</v>
      </c>
      <c r="X141" s="151">
        <f t="shared" si="4"/>
        <v>1520.9242367165698</v>
      </c>
      <c r="Y141" s="151">
        <f t="shared" si="4"/>
        <v>1524.2234216118334</v>
      </c>
      <c r="Z141" s="151">
        <f t="shared" si="4"/>
        <v>1527.5226065070972</v>
      </c>
      <c r="AA141" s="151">
        <f t="shared" si="4"/>
        <v>1530.8217914023608</v>
      </c>
      <c r="AB141" s="151">
        <f t="shared" si="4"/>
        <v>1534.1209762976243</v>
      </c>
      <c r="AC141" s="151">
        <f t="shared" si="4"/>
        <v>1537.4201611928879</v>
      </c>
      <c r="AD141" s="151">
        <f t="shared" si="4"/>
        <v>1540.7193460881517</v>
      </c>
      <c r="AE141" s="151">
        <f t="shared" si="4"/>
        <v>1544.0185309834153</v>
      </c>
      <c r="AF141" s="151">
        <f t="shared" si="4"/>
        <v>1547.3177158786789</v>
      </c>
      <c r="AG141" s="151">
        <f t="shared" si="4"/>
        <v>1550.6169007739427</v>
      </c>
      <c r="AH141" s="151">
        <f t="shared" si="4"/>
        <v>1553.9160856692063</v>
      </c>
      <c r="AI141" s="151">
        <f t="shared" si="4"/>
        <v>1557.2152705644698</v>
      </c>
      <c r="AJ141" s="151">
        <f t="shared" si="4"/>
        <v>1560.5144554597334</v>
      </c>
      <c r="AK141" s="151">
        <f t="shared" si="4"/>
        <v>1563.8136403549972</v>
      </c>
      <c r="AL141" s="151">
        <f t="shared" si="4"/>
        <v>1567.1128252502608</v>
      </c>
      <c r="AM141" s="151">
        <f t="shared" si="4"/>
        <v>1570.4120101455244</v>
      </c>
      <c r="AN141" s="151">
        <f t="shared" si="4"/>
        <v>1573.711195040788</v>
      </c>
      <c r="AO141" s="151">
        <f t="shared" si="4"/>
        <v>1577.0103799360518</v>
      </c>
      <c r="AP141" s="151">
        <f t="shared" si="4"/>
        <v>1580.3095648313154</v>
      </c>
      <c r="AQ141" s="151">
        <f t="shared" si="4"/>
        <v>1583.6087497265805</v>
      </c>
    </row>
    <row r="142" spans="7:45" ht="14.25" customHeight="1" x14ac:dyDescent="0.15">
      <c r="G142" s="22"/>
      <c r="H142" s="254"/>
      <c r="J142" s="241"/>
      <c r="K142" s="19" t="s">
        <v>143</v>
      </c>
      <c r="L142" s="149">
        <f t="shared" si="4"/>
        <v>1264.9249739049837</v>
      </c>
      <c r="M142" s="149">
        <f t="shared" si="4"/>
        <v>1278.5770528045282</v>
      </c>
      <c r="N142" s="149">
        <f t="shared" si="4"/>
        <v>1292.2291317040726</v>
      </c>
      <c r="O142" s="149">
        <f t="shared" si="4"/>
        <v>1305.8812106036169</v>
      </c>
      <c r="P142" s="149">
        <f t="shared" si="4"/>
        <v>1319.5332895031613</v>
      </c>
      <c r="Q142" s="149">
        <f t="shared" si="4"/>
        <v>1333.1853684027058</v>
      </c>
      <c r="R142" s="149">
        <f t="shared" si="4"/>
        <v>1346.83744730225</v>
      </c>
      <c r="S142" s="149">
        <f t="shared" si="4"/>
        <v>1360.4895262017944</v>
      </c>
      <c r="T142" s="149">
        <f t="shared" si="4"/>
        <v>1374.1416051013387</v>
      </c>
      <c r="U142" s="149">
        <f t="shared" si="4"/>
        <v>1387.7936840008831</v>
      </c>
      <c r="V142" s="149">
        <f t="shared" si="4"/>
        <v>1401.4457629004276</v>
      </c>
      <c r="W142" s="149">
        <f t="shared" si="4"/>
        <v>1415.0978417999706</v>
      </c>
      <c r="X142" s="149">
        <f t="shared" si="4"/>
        <v>1420.2242023010374</v>
      </c>
      <c r="Y142" s="149">
        <f t="shared" si="4"/>
        <v>1425.3505628021039</v>
      </c>
      <c r="Z142" s="149">
        <f t="shared" si="4"/>
        <v>1430.4769233031707</v>
      </c>
      <c r="AA142" s="149">
        <f t="shared" si="4"/>
        <v>1435.6032838042374</v>
      </c>
      <c r="AB142" s="149">
        <f t="shared" si="4"/>
        <v>1440.729644305304</v>
      </c>
      <c r="AC142" s="149">
        <f t="shared" si="4"/>
        <v>1445.8560048063707</v>
      </c>
      <c r="AD142" s="149">
        <f t="shared" si="4"/>
        <v>1450.9823653074375</v>
      </c>
      <c r="AE142" s="149">
        <f t="shared" si="4"/>
        <v>1456.108725808504</v>
      </c>
      <c r="AF142" s="149">
        <f t="shared" si="4"/>
        <v>1461.2350863095708</v>
      </c>
      <c r="AG142" s="149">
        <f t="shared" si="4"/>
        <v>1466.3614468106375</v>
      </c>
      <c r="AH142" s="149">
        <f t="shared" si="4"/>
        <v>1471.487807311704</v>
      </c>
      <c r="AI142" s="149">
        <f t="shared" si="4"/>
        <v>1476.6141678127708</v>
      </c>
      <c r="AJ142" s="149">
        <f t="shared" si="4"/>
        <v>1481.7405283138376</v>
      </c>
      <c r="AK142" s="149">
        <f t="shared" si="4"/>
        <v>1486.8668888149041</v>
      </c>
      <c r="AL142" s="149">
        <f t="shared" si="4"/>
        <v>1491.9932493159708</v>
      </c>
      <c r="AM142" s="149">
        <f t="shared" si="4"/>
        <v>1497.1196098170376</v>
      </c>
      <c r="AN142" s="149">
        <f t="shared" si="4"/>
        <v>1502.2459703181041</v>
      </c>
      <c r="AO142" s="149">
        <f t="shared" si="4"/>
        <v>1507.3723308191709</v>
      </c>
      <c r="AP142" s="149">
        <f t="shared" si="4"/>
        <v>1512.4986913202376</v>
      </c>
      <c r="AQ142" s="149">
        <f t="shared" si="4"/>
        <v>1517.6250518213062</v>
      </c>
    </row>
    <row r="143" spans="7:45" ht="14.25" customHeight="1" thickBot="1" x14ac:dyDescent="0.2">
      <c r="G143" s="22"/>
      <c r="H143" s="254"/>
      <c r="J143" s="241"/>
      <c r="K143" s="144" t="s">
        <v>144</v>
      </c>
      <c r="L143" s="152">
        <f t="shared" si="4"/>
        <v>1264.9249739049837</v>
      </c>
      <c r="M143" s="152">
        <f t="shared" si="4"/>
        <v>1264.9249739049837</v>
      </c>
      <c r="N143" s="152">
        <f t="shared" si="4"/>
        <v>1264.9249739049837</v>
      </c>
      <c r="O143" s="152">
        <f t="shared" si="4"/>
        <v>1264.9249739049837</v>
      </c>
      <c r="P143" s="152">
        <f t="shared" si="4"/>
        <v>1264.9249739049837</v>
      </c>
      <c r="Q143" s="152">
        <f t="shared" si="4"/>
        <v>1264.9249739049837</v>
      </c>
      <c r="R143" s="152">
        <f t="shared" si="4"/>
        <v>1264.9249739049837</v>
      </c>
      <c r="S143" s="152">
        <f t="shared" si="4"/>
        <v>1264.9249739049837</v>
      </c>
      <c r="T143" s="152">
        <f t="shared" si="4"/>
        <v>1264.9249739049837</v>
      </c>
      <c r="U143" s="152">
        <f t="shared" si="4"/>
        <v>1264.9249739049837</v>
      </c>
      <c r="V143" s="152">
        <f t="shared" si="4"/>
        <v>1264.9249739049837</v>
      </c>
      <c r="W143" s="152">
        <f t="shared" si="4"/>
        <v>1264.9249739049837</v>
      </c>
      <c r="X143" s="152">
        <f t="shared" si="4"/>
        <v>1272.4336172997332</v>
      </c>
      <c r="Y143" s="152">
        <f t="shared" si="4"/>
        <v>1279.9422606944827</v>
      </c>
      <c r="Z143" s="152">
        <f t="shared" si="4"/>
        <v>1287.4509040892322</v>
      </c>
      <c r="AA143" s="152">
        <f t="shared" si="4"/>
        <v>1294.9595474839816</v>
      </c>
      <c r="AB143" s="152">
        <f t="shared" si="4"/>
        <v>1302.4681908787311</v>
      </c>
      <c r="AC143" s="152">
        <f t="shared" si="4"/>
        <v>1309.9768342734806</v>
      </c>
      <c r="AD143" s="152">
        <f t="shared" si="4"/>
        <v>1317.48547766823</v>
      </c>
      <c r="AE143" s="152">
        <f t="shared" si="4"/>
        <v>1324.9941210629795</v>
      </c>
      <c r="AF143" s="152">
        <f t="shared" si="4"/>
        <v>1332.502764457729</v>
      </c>
      <c r="AG143" s="152">
        <f t="shared" si="4"/>
        <v>1340.0114078524782</v>
      </c>
      <c r="AH143" s="152">
        <f t="shared" si="4"/>
        <v>1347.5200512472277</v>
      </c>
      <c r="AI143" s="152">
        <f t="shared" si="4"/>
        <v>1355.0286946419772</v>
      </c>
      <c r="AJ143" s="152">
        <f t="shared" si="4"/>
        <v>1362.5373380367266</v>
      </c>
      <c r="AK143" s="152">
        <f t="shared" si="4"/>
        <v>1370.0459814314761</v>
      </c>
      <c r="AL143" s="152">
        <f t="shared" si="4"/>
        <v>1377.5546248262256</v>
      </c>
      <c r="AM143" s="152">
        <f t="shared" si="4"/>
        <v>1385.063268220975</v>
      </c>
      <c r="AN143" s="152">
        <f t="shared" si="4"/>
        <v>1392.5719116157245</v>
      </c>
      <c r="AO143" s="152">
        <f t="shared" si="4"/>
        <v>1400.080555010474</v>
      </c>
      <c r="AP143" s="152">
        <f t="shared" si="4"/>
        <v>1407.5891984052234</v>
      </c>
      <c r="AQ143" s="152">
        <f t="shared" si="4"/>
        <v>1415.0978417999706</v>
      </c>
      <c r="AR143" s="153"/>
      <c r="AS143" s="153"/>
    </row>
    <row r="144" spans="7:45" ht="14.25" customHeight="1" thickTop="1" x14ac:dyDescent="0.15">
      <c r="G144" s="22"/>
      <c r="H144" s="254"/>
      <c r="J144" s="241"/>
      <c r="K144" s="140" t="s">
        <v>145</v>
      </c>
      <c r="L144" s="151">
        <f t="shared" si="4"/>
        <v>1327.5869923687694</v>
      </c>
      <c r="M144" s="151">
        <f t="shared" si="4"/>
        <v>1351.6977530378829</v>
      </c>
      <c r="N144" s="151">
        <f t="shared" si="4"/>
        <v>1375.8085137069963</v>
      </c>
      <c r="O144" s="151">
        <f t="shared" si="4"/>
        <v>1399.9192743761098</v>
      </c>
      <c r="P144" s="151">
        <f t="shared" si="4"/>
        <v>1424.0300350452233</v>
      </c>
      <c r="Q144" s="151">
        <f t="shared" si="4"/>
        <v>1448.1407957143367</v>
      </c>
      <c r="R144" s="151">
        <f t="shared" si="4"/>
        <v>1472.25155638345</v>
      </c>
      <c r="S144" s="151">
        <f t="shared" si="4"/>
        <v>1496.3623170525634</v>
      </c>
      <c r="T144" s="151">
        <f t="shared" si="4"/>
        <v>1520.4730777216769</v>
      </c>
      <c r="U144" s="151">
        <f t="shared" si="4"/>
        <v>1544.5838383907903</v>
      </c>
      <c r="V144" s="151">
        <f t="shared" si="4"/>
        <v>1568.6945990599038</v>
      </c>
      <c r="W144" s="151">
        <f t="shared" si="4"/>
        <v>1592.8053597290175</v>
      </c>
      <c r="X144" s="151">
        <f t="shared" si="4"/>
        <v>1596.2679800762544</v>
      </c>
      <c r="Y144" s="151">
        <f t="shared" si="4"/>
        <v>1599.7306004234915</v>
      </c>
      <c r="Z144" s="151">
        <f t="shared" si="4"/>
        <v>1603.1932207707284</v>
      </c>
      <c r="AA144" s="151">
        <f t="shared" si="4"/>
        <v>1606.6558411179656</v>
      </c>
      <c r="AB144" s="151">
        <f t="shared" si="4"/>
        <v>1610.1184614652025</v>
      </c>
      <c r="AC144" s="151">
        <f t="shared" si="4"/>
        <v>1613.5810818124396</v>
      </c>
      <c r="AD144" s="151">
        <f t="shared" si="4"/>
        <v>1617.0437021596765</v>
      </c>
      <c r="AE144" s="151">
        <f t="shared" si="4"/>
        <v>1620.5063225069136</v>
      </c>
      <c r="AF144" s="151">
        <f t="shared" si="4"/>
        <v>1623.9689428541506</v>
      </c>
      <c r="AG144" s="151">
        <f t="shared" si="4"/>
        <v>1627.4315632013877</v>
      </c>
      <c r="AH144" s="151">
        <f t="shared" si="4"/>
        <v>1630.8941835486246</v>
      </c>
      <c r="AI144" s="151">
        <f t="shared" si="4"/>
        <v>1634.3568038958615</v>
      </c>
      <c r="AJ144" s="151">
        <f t="shared" si="4"/>
        <v>1637.8194242430986</v>
      </c>
      <c r="AK144" s="151">
        <f t="shared" si="4"/>
        <v>1641.2820445903355</v>
      </c>
      <c r="AL144" s="151">
        <f t="shared" si="4"/>
        <v>1644.7446649375727</v>
      </c>
      <c r="AM144" s="151">
        <f t="shared" si="4"/>
        <v>1648.2072852848096</v>
      </c>
      <c r="AN144" s="151">
        <f t="shared" si="4"/>
        <v>1651.6699056320467</v>
      </c>
      <c r="AO144" s="151">
        <f t="shared" si="4"/>
        <v>1655.1325259792836</v>
      </c>
      <c r="AP144" s="151">
        <f t="shared" si="4"/>
        <v>1658.5951463265208</v>
      </c>
      <c r="AQ144" s="151">
        <f t="shared" si="4"/>
        <v>1662.0577666737572</v>
      </c>
    </row>
    <row r="145" spans="7:45" ht="14.25" customHeight="1" x14ac:dyDescent="0.15">
      <c r="G145" s="22"/>
      <c r="H145" s="254"/>
      <c r="J145" s="241"/>
      <c r="K145" s="19" t="s">
        <v>146</v>
      </c>
      <c r="L145" s="149">
        <f t="shared" si="4"/>
        <v>1327.5869923687694</v>
      </c>
      <c r="M145" s="149">
        <f t="shared" si="4"/>
        <v>1341.9153697348002</v>
      </c>
      <c r="N145" s="149">
        <f t="shared" si="4"/>
        <v>1356.2437471008307</v>
      </c>
      <c r="O145" s="149">
        <f t="shared" si="4"/>
        <v>1370.5721244668614</v>
      </c>
      <c r="P145" s="149">
        <f t="shared" si="4"/>
        <v>1384.9005018328919</v>
      </c>
      <c r="Q145" s="149">
        <f t="shared" si="4"/>
        <v>1399.2288791989226</v>
      </c>
      <c r="R145" s="149">
        <f t="shared" si="4"/>
        <v>1413.5572565649531</v>
      </c>
      <c r="S145" s="149">
        <f t="shared" si="4"/>
        <v>1427.8856339309839</v>
      </c>
      <c r="T145" s="149">
        <f t="shared" si="4"/>
        <v>1442.2140112970144</v>
      </c>
      <c r="U145" s="149">
        <f t="shared" si="4"/>
        <v>1456.5423886630451</v>
      </c>
      <c r="V145" s="149">
        <f t="shared" si="4"/>
        <v>1470.8707660290756</v>
      </c>
      <c r="W145" s="149">
        <f t="shared" si="4"/>
        <v>1485.1991433951066</v>
      </c>
      <c r="X145" s="149">
        <f t="shared" si="4"/>
        <v>1490.5794542118022</v>
      </c>
      <c r="Y145" s="149">
        <f t="shared" si="4"/>
        <v>1495.9597650284977</v>
      </c>
      <c r="Z145" s="149">
        <f t="shared" si="4"/>
        <v>1501.3400758451933</v>
      </c>
      <c r="AA145" s="149">
        <f t="shared" si="4"/>
        <v>1506.7203866618888</v>
      </c>
      <c r="AB145" s="149">
        <f t="shared" si="4"/>
        <v>1512.1006974785844</v>
      </c>
      <c r="AC145" s="149">
        <f t="shared" si="4"/>
        <v>1517.4810082952799</v>
      </c>
      <c r="AD145" s="149">
        <f t="shared" si="4"/>
        <v>1522.8613191119755</v>
      </c>
      <c r="AE145" s="149">
        <f t="shared" si="4"/>
        <v>1528.241629928671</v>
      </c>
      <c r="AF145" s="149">
        <f t="shared" si="4"/>
        <v>1533.6219407453666</v>
      </c>
      <c r="AG145" s="149">
        <f t="shared" si="4"/>
        <v>1539.0022515620622</v>
      </c>
      <c r="AH145" s="149">
        <f t="shared" si="4"/>
        <v>1544.3825623787577</v>
      </c>
      <c r="AI145" s="149">
        <f t="shared" si="4"/>
        <v>1549.7628731954533</v>
      </c>
      <c r="AJ145" s="149">
        <f t="shared" si="4"/>
        <v>1555.1431840121488</v>
      </c>
      <c r="AK145" s="149">
        <f t="shared" si="4"/>
        <v>1560.5234948288444</v>
      </c>
      <c r="AL145" s="149">
        <f t="shared" si="4"/>
        <v>1565.9038056455399</v>
      </c>
      <c r="AM145" s="149">
        <f t="shared" si="4"/>
        <v>1571.2841164622355</v>
      </c>
      <c r="AN145" s="149">
        <f t="shared" si="4"/>
        <v>1576.664427278931</v>
      </c>
      <c r="AO145" s="149">
        <f t="shared" si="4"/>
        <v>1582.0447380956266</v>
      </c>
      <c r="AP145" s="149">
        <f t="shared" si="4"/>
        <v>1587.4250489123222</v>
      </c>
      <c r="AQ145" s="149">
        <f t="shared" si="4"/>
        <v>1592.8053597290175</v>
      </c>
    </row>
    <row r="146" spans="7:45" ht="14.25" customHeight="1" thickBot="1" x14ac:dyDescent="0.2">
      <c r="G146" s="22"/>
      <c r="H146" s="254"/>
      <c r="J146" s="241"/>
      <c r="K146" s="144" t="s">
        <v>147</v>
      </c>
      <c r="L146" s="152">
        <f t="shared" si="4"/>
        <v>1327.5869923687694</v>
      </c>
      <c r="M146" s="152">
        <f t="shared" si="4"/>
        <v>1327.5869923687694</v>
      </c>
      <c r="N146" s="152">
        <f t="shared" si="4"/>
        <v>1327.5869923687694</v>
      </c>
      <c r="O146" s="152">
        <f t="shared" si="4"/>
        <v>1327.5869923687694</v>
      </c>
      <c r="P146" s="152">
        <f t="shared" si="4"/>
        <v>1327.5869923687694</v>
      </c>
      <c r="Q146" s="152">
        <f t="shared" si="4"/>
        <v>1327.5869923687694</v>
      </c>
      <c r="R146" s="152">
        <f t="shared" si="4"/>
        <v>1327.5869923687694</v>
      </c>
      <c r="S146" s="152">
        <f t="shared" si="4"/>
        <v>1327.5869923687694</v>
      </c>
      <c r="T146" s="152">
        <f t="shared" si="4"/>
        <v>1327.5869923687694</v>
      </c>
      <c r="U146" s="152">
        <f t="shared" si="4"/>
        <v>1327.5869923687694</v>
      </c>
      <c r="V146" s="152">
        <f t="shared" si="4"/>
        <v>1327.5869923687694</v>
      </c>
      <c r="W146" s="152">
        <f t="shared" si="4"/>
        <v>1327.5869923687694</v>
      </c>
      <c r="X146" s="152">
        <f t="shared" si="4"/>
        <v>1335.4675999200863</v>
      </c>
      <c r="Y146" s="152">
        <f t="shared" si="4"/>
        <v>1343.3482074714032</v>
      </c>
      <c r="Z146" s="152">
        <f t="shared" si="4"/>
        <v>1351.2288150227198</v>
      </c>
      <c r="AA146" s="152">
        <f t="shared" si="4"/>
        <v>1359.1094225740367</v>
      </c>
      <c r="AB146" s="152">
        <f t="shared" si="4"/>
        <v>1366.9900301253533</v>
      </c>
      <c r="AC146" s="152">
        <f t="shared" si="4"/>
        <v>1374.8706376766702</v>
      </c>
      <c r="AD146" s="152">
        <f t="shared" si="4"/>
        <v>1382.7512452279868</v>
      </c>
      <c r="AE146" s="152">
        <f t="shared" si="4"/>
        <v>1390.6318527793037</v>
      </c>
      <c r="AF146" s="152">
        <f t="shared" si="4"/>
        <v>1398.5124603306203</v>
      </c>
      <c r="AG146" s="152">
        <f t="shared" si="4"/>
        <v>1406.3930678819372</v>
      </c>
      <c r="AH146" s="152">
        <f t="shared" si="4"/>
        <v>1414.2736754332541</v>
      </c>
      <c r="AI146" s="152">
        <f t="shared" si="4"/>
        <v>1422.1542829845707</v>
      </c>
      <c r="AJ146" s="152">
        <f t="shared" si="4"/>
        <v>1430.0348905358876</v>
      </c>
      <c r="AK146" s="152">
        <f t="shared" si="4"/>
        <v>1437.9154980872042</v>
      </c>
      <c r="AL146" s="152">
        <f t="shared" si="4"/>
        <v>1445.7961056385211</v>
      </c>
      <c r="AM146" s="152">
        <f t="shared" si="4"/>
        <v>1453.6767131898378</v>
      </c>
      <c r="AN146" s="152">
        <f t="shared" si="4"/>
        <v>1461.5573207411546</v>
      </c>
      <c r="AO146" s="152">
        <f t="shared" si="4"/>
        <v>1469.4379282924713</v>
      </c>
      <c r="AP146" s="152">
        <f t="shared" si="4"/>
        <v>1477.3185358437881</v>
      </c>
      <c r="AQ146" s="152">
        <f t="shared" si="4"/>
        <v>1485.1991433951066</v>
      </c>
      <c r="AR146" s="153"/>
      <c r="AS146" s="153"/>
    </row>
    <row r="147" spans="7:45" ht="14.25" customHeight="1" thickTop="1" x14ac:dyDescent="0.15">
      <c r="G147" s="22"/>
      <c r="H147" s="254"/>
      <c r="J147" s="241"/>
      <c r="K147" s="140" t="s">
        <v>148</v>
      </c>
      <c r="L147" s="148">
        <f t="shared" si="4"/>
        <v>1345.428227608204</v>
      </c>
      <c r="M147" s="148">
        <f t="shared" si="4"/>
        <v>1369.8630090423387</v>
      </c>
      <c r="N147" s="148">
        <f t="shared" si="4"/>
        <v>1394.2977904764732</v>
      </c>
      <c r="O147" s="148">
        <f t="shared" si="4"/>
        <v>1418.7325719106079</v>
      </c>
      <c r="P147" s="148">
        <f t="shared" si="4"/>
        <v>1443.1673533447424</v>
      </c>
      <c r="Q147" s="148">
        <f t="shared" si="4"/>
        <v>1467.6021347788771</v>
      </c>
      <c r="R147" s="148">
        <f t="shared" si="4"/>
        <v>1492.0369162130116</v>
      </c>
      <c r="S147" s="148">
        <f t="shared" si="4"/>
        <v>1516.4716976471464</v>
      </c>
      <c r="T147" s="148">
        <f t="shared" si="4"/>
        <v>1540.9064790812808</v>
      </c>
      <c r="U147" s="148">
        <f t="shared" si="4"/>
        <v>1565.3412605154156</v>
      </c>
      <c r="V147" s="148">
        <f t="shared" si="4"/>
        <v>1589.7760419495501</v>
      </c>
      <c r="W147" s="148">
        <f t="shared" si="4"/>
        <v>1614.2108233836836</v>
      </c>
      <c r="X147" s="148">
        <f t="shared" si="4"/>
        <v>1617.7199773475613</v>
      </c>
      <c r="Y147" s="148">
        <f t="shared" si="4"/>
        <v>1621.229131311439</v>
      </c>
      <c r="Z147" s="148">
        <f t="shared" si="4"/>
        <v>1624.7382852753165</v>
      </c>
      <c r="AA147" s="148">
        <f t="shared" si="4"/>
        <v>1628.2474392391941</v>
      </c>
      <c r="AB147" s="148">
        <f t="shared" si="4"/>
        <v>1631.7565932030716</v>
      </c>
      <c r="AC147" s="148">
        <f t="shared" si="4"/>
        <v>1635.2657471669493</v>
      </c>
      <c r="AD147" s="148">
        <f t="shared" si="4"/>
        <v>1638.7749011308267</v>
      </c>
      <c r="AE147" s="148">
        <f t="shared" si="4"/>
        <v>1642.2840550947044</v>
      </c>
      <c r="AF147" s="148">
        <f t="shared" si="4"/>
        <v>1645.7932090585821</v>
      </c>
      <c r="AG147" s="148">
        <f t="shared" si="4"/>
        <v>1649.3023630224595</v>
      </c>
      <c r="AH147" s="148">
        <f t="shared" si="4"/>
        <v>1652.8115169863372</v>
      </c>
      <c r="AI147" s="148">
        <f t="shared" si="4"/>
        <v>1656.3206709502147</v>
      </c>
      <c r="AJ147" s="148">
        <f t="shared" si="4"/>
        <v>1659.8298249140923</v>
      </c>
      <c r="AK147" s="148">
        <f t="shared" si="4"/>
        <v>1663.33897887797</v>
      </c>
      <c r="AL147" s="148">
        <f t="shared" si="4"/>
        <v>1666.8481328418475</v>
      </c>
      <c r="AM147" s="148">
        <f t="shared" si="4"/>
        <v>1670.3572868057252</v>
      </c>
      <c r="AN147" s="148">
        <f t="shared" si="4"/>
        <v>1673.8664407696026</v>
      </c>
      <c r="AO147" s="148">
        <f t="shared" si="4"/>
        <v>1677.3755947334803</v>
      </c>
      <c r="AP147" s="148">
        <f t="shared" si="4"/>
        <v>1680.884748697358</v>
      </c>
      <c r="AQ147" s="148">
        <f t="shared" ref="AQ147" si="5">AQ115*8760</f>
        <v>1684.3939026612352</v>
      </c>
    </row>
    <row r="148" spans="7:45" ht="14.25" customHeight="1" x14ac:dyDescent="0.15">
      <c r="G148" s="22"/>
      <c r="H148" s="254"/>
      <c r="J148" s="241"/>
      <c r="K148" s="19" t="s">
        <v>149</v>
      </c>
      <c r="L148" s="149">
        <f t="shared" ref="L148:AQ155" si="6">L116*8760</f>
        <v>1345.428227608204</v>
      </c>
      <c r="M148" s="149">
        <f t="shared" si="6"/>
        <v>1359.9491618105521</v>
      </c>
      <c r="N148" s="149">
        <f t="shared" si="6"/>
        <v>1374.4700960129005</v>
      </c>
      <c r="O148" s="149">
        <f t="shared" si="6"/>
        <v>1388.9910302152487</v>
      </c>
      <c r="P148" s="149">
        <f t="shared" si="6"/>
        <v>1403.5119644175968</v>
      </c>
      <c r="Q148" s="149">
        <f t="shared" si="6"/>
        <v>1418.0328986199452</v>
      </c>
      <c r="R148" s="149">
        <f t="shared" si="6"/>
        <v>1432.5538328222933</v>
      </c>
      <c r="S148" s="149">
        <f t="shared" si="6"/>
        <v>1447.0747670246415</v>
      </c>
      <c r="T148" s="149">
        <f t="shared" si="6"/>
        <v>1461.5957012269896</v>
      </c>
      <c r="U148" s="149">
        <f t="shared" si="6"/>
        <v>1476.116635429338</v>
      </c>
      <c r="V148" s="149">
        <f t="shared" si="6"/>
        <v>1490.6375696316861</v>
      </c>
      <c r="W148" s="149">
        <f t="shared" si="6"/>
        <v>1505.1585038340334</v>
      </c>
      <c r="X148" s="149">
        <f t="shared" si="6"/>
        <v>1510.6111198115157</v>
      </c>
      <c r="Y148" s="149">
        <f t="shared" si="6"/>
        <v>1516.0637357889982</v>
      </c>
      <c r="Z148" s="149">
        <f t="shared" si="6"/>
        <v>1521.5163517664805</v>
      </c>
      <c r="AA148" s="149">
        <f t="shared" si="6"/>
        <v>1526.968967743963</v>
      </c>
      <c r="AB148" s="149">
        <f t="shared" si="6"/>
        <v>1532.4215837214454</v>
      </c>
      <c r="AC148" s="149">
        <f t="shared" si="6"/>
        <v>1537.8741996989279</v>
      </c>
      <c r="AD148" s="149">
        <f t="shared" si="6"/>
        <v>1543.3268156764102</v>
      </c>
      <c r="AE148" s="149">
        <f t="shared" si="6"/>
        <v>1548.7794316538927</v>
      </c>
      <c r="AF148" s="149">
        <f t="shared" si="6"/>
        <v>1554.2320476313751</v>
      </c>
      <c r="AG148" s="149">
        <f t="shared" si="6"/>
        <v>1559.6846636088576</v>
      </c>
      <c r="AH148" s="149">
        <f t="shared" si="6"/>
        <v>1565.1372795863399</v>
      </c>
      <c r="AI148" s="149">
        <f t="shared" si="6"/>
        <v>1570.5898955638224</v>
      </c>
      <c r="AJ148" s="149">
        <f t="shared" si="6"/>
        <v>1576.0425115413047</v>
      </c>
      <c r="AK148" s="149">
        <f t="shared" si="6"/>
        <v>1581.4951275187873</v>
      </c>
      <c r="AL148" s="149">
        <f t="shared" si="6"/>
        <v>1586.9477434962696</v>
      </c>
      <c r="AM148" s="149">
        <f t="shared" si="6"/>
        <v>1592.4003594737521</v>
      </c>
      <c r="AN148" s="149">
        <f t="shared" si="6"/>
        <v>1597.8529754512344</v>
      </c>
      <c r="AO148" s="149">
        <f t="shared" si="6"/>
        <v>1603.305591428717</v>
      </c>
      <c r="AP148" s="149">
        <f t="shared" si="6"/>
        <v>1608.7582074061993</v>
      </c>
      <c r="AQ148" s="149">
        <f t="shared" si="6"/>
        <v>1614.2108233836836</v>
      </c>
    </row>
    <row r="149" spans="7:45" ht="14.25" customHeight="1" thickBot="1" x14ac:dyDescent="0.2">
      <c r="G149" s="22"/>
      <c r="H149" s="254"/>
      <c r="J149" s="241"/>
      <c r="K149" s="144" t="s">
        <v>150</v>
      </c>
      <c r="L149" s="150">
        <f t="shared" si="6"/>
        <v>1345.428227608204</v>
      </c>
      <c r="M149" s="150">
        <f t="shared" si="6"/>
        <v>1345.428227608204</v>
      </c>
      <c r="N149" s="150">
        <f t="shared" si="6"/>
        <v>1345.428227608204</v>
      </c>
      <c r="O149" s="150">
        <f t="shared" si="6"/>
        <v>1345.428227608204</v>
      </c>
      <c r="P149" s="150">
        <f t="shared" si="6"/>
        <v>1345.428227608204</v>
      </c>
      <c r="Q149" s="150">
        <f t="shared" si="6"/>
        <v>1345.428227608204</v>
      </c>
      <c r="R149" s="150">
        <f t="shared" si="6"/>
        <v>1345.428227608204</v>
      </c>
      <c r="S149" s="150">
        <f t="shared" si="6"/>
        <v>1345.428227608204</v>
      </c>
      <c r="T149" s="150">
        <f t="shared" si="6"/>
        <v>1345.428227608204</v>
      </c>
      <c r="U149" s="150">
        <f t="shared" si="6"/>
        <v>1345.428227608204</v>
      </c>
      <c r="V149" s="150">
        <f t="shared" si="6"/>
        <v>1345.428227608204</v>
      </c>
      <c r="W149" s="150">
        <f t="shared" si="6"/>
        <v>1345.428227608204</v>
      </c>
      <c r="X149" s="150">
        <f t="shared" si="6"/>
        <v>1353.4147414194956</v>
      </c>
      <c r="Y149" s="150">
        <f t="shared" si="6"/>
        <v>1361.401255230787</v>
      </c>
      <c r="Z149" s="150">
        <f t="shared" si="6"/>
        <v>1369.3877690420786</v>
      </c>
      <c r="AA149" s="150">
        <f t="shared" si="6"/>
        <v>1377.3742828533702</v>
      </c>
      <c r="AB149" s="150">
        <f t="shared" si="6"/>
        <v>1385.3607966646616</v>
      </c>
      <c r="AC149" s="150">
        <f t="shared" si="6"/>
        <v>1393.3473104759532</v>
      </c>
      <c r="AD149" s="150">
        <f t="shared" si="6"/>
        <v>1401.3338242872446</v>
      </c>
      <c r="AE149" s="150">
        <f t="shared" si="6"/>
        <v>1409.3203380985362</v>
      </c>
      <c r="AF149" s="150">
        <f t="shared" si="6"/>
        <v>1417.3068519098279</v>
      </c>
      <c r="AG149" s="150">
        <f t="shared" si="6"/>
        <v>1425.2933657211192</v>
      </c>
      <c r="AH149" s="150">
        <f t="shared" si="6"/>
        <v>1433.2798795324109</v>
      </c>
      <c r="AI149" s="150">
        <f t="shared" si="6"/>
        <v>1441.2663933437022</v>
      </c>
      <c r="AJ149" s="150">
        <f t="shared" si="6"/>
        <v>1449.2529071549939</v>
      </c>
      <c r="AK149" s="150">
        <f t="shared" si="6"/>
        <v>1457.2394209662855</v>
      </c>
      <c r="AL149" s="150">
        <f t="shared" si="6"/>
        <v>1465.2259347775769</v>
      </c>
      <c r="AM149" s="150">
        <f t="shared" si="6"/>
        <v>1473.2124485888685</v>
      </c>
      <c r="AN149" s="150">
        <f t="shared" si="6"/>
        <v>1481.1989624001599</v>
      </c>
      <c r="AO149" s="150">
        <f t="shared" si="6"/>
        <v>1489.1854762114515</v>
      </c>
      <c r="AP149" s="150">
        <f t="shared" si="6"/>
        <v>1497.1719900227431</v>
      </c>
      <c r="AQ149" s="150">
        <f t="shared" si="6"/>
        <v>1505.1585038340334</v>
      </c>
    </row>
    <row r="150" spans="7:45" ht="14.25" customHeight="1" thickTop="1" x14ac:dyDescent="0.15">
      <c r="G150" s="22"/>
      <c r="H150" s="254"/>
      <c r="J150" s="241"/>
      <c r="K150" s="140" t="s">
        <v>151</v>
      </c>
      <c r="L150" s="151">
        <f t="shared" si="6"/>
        <v>1409.8873832653558</v>
      </c>
      <c r="M150" s="151">
        <f t="shared" si="6"/>
        <v>1435.4928294347706</v>
      </c>
      <c r="N150" s="151">
        <f t="shared" si="6"/>
        <v>1461.0982756041853</v>
      </c>
      <c r="O150" s="151">
        <f t="shared" si="6"/>
        <v>1486.7037217736001</v>
      </c>
      <c r="P150" s="151">
        <f t="shared" si="6"/>
        <v>1512.3091679430149</v>
      </c>
      <c r="Q150" s="151">
        <f t="shared" si="6"/>
        <v>1537.9146141124297</v>
      </c>
      <c r="R150" s="151">
        <f t="shared" si="6"/>
        <v>1563.5200602818445</v>
      </c>
      <c r="S150" s="151">
        <f t="shared" si="6"/>
        <v>1589.1255064512593</v>
      </c>
      <c r="T150" s="151">
        <f t="shared" si="6"/>
        <v>1614.7309526206739</v>
      </c>
      <c r="U150" s="151">
        <f t="shared" si="6"/>
        <v>1640.3363987900887</v>
      </c>
      <c r="V150" s="151">
        <f t="shared" si="6"/>
        <v>1665.9418449595034</v>
      </c>
      <c r="W150" s="151">
        <f t="shared" si="6"/>
        <v>1691.5472911289171</v>
      </c>
      <c r="X150" s="151">
        <f t="shared" si="6"/>
        <v>1695.2245678487623</v>
      </c>
      <c r="Y150" s="151">
        <f t="shared" si="6"/>
        <v>1698.9018445686077</v>
      </c>
      <c r="Z150" s="151">
        <f t="shared" si="6"/>
        <v>1702.5791212884531</v>
      </c>
      <c r="AA150" s="151">
        <f t="shared" si="6"/>
        <v>1706.2563980082984</v>
      </c>
      <c r="AB150" s="151">
        <f t="shared" si="6"/>
        <v>1709.9336747281438</v>
      </c>
      <c r="AC150" s="151">
        <f t="shared" si="6"/>
        <v>1713.610951447989</v>
      </c>
      <c r="AD150" s="151">
        <f t="shared" si="6"/>
        <v>1717.2882281678344</v>
      </c>
      <c r="AE150" s="151">
        <f t="shared" si="6"/>
        <v>1720.9655048876798</v>
      </c>
      <c r="AF150" s="151">
        <f t="shared" si="6"/>
        <v>1724.6427816075252</v>
      </c>
      <c r="AG150" s="151">
        <f t="shared" si="6"/>
        <v>1728.3200583273706</v>
      </c>
      <c r="AH150" s="151">
        <f t="shared" si="6"/>
        <v>1731.9973350472158</v>
      </c>
      <c r="AI150" s="151">
        <f t="shared" si="6"/>
        <v>1735.6746117670612</v>
      </c>
      <c r="AJ150" s="151">
        <f t="shared" si="6"/>
        <v>1739.3518884869065</v>
      </c>
      <c r="AK150" s="151">
        <f t="shared" si="6"/>
        <v>1743.0291652067519</v>
      </c>
      <c r="AL150" s="151">
        <f t="shared" si="6"/>
        <v>1746.7064419265971</v>
      </c>
      <c r="AM150" s="151">
        <f t="shared" si="6"/>
        <v>1750.3837186464425</v>
      </c>
      <c r="AN150" s="151">
        <f t="shared" si="6"/>
        <v>1754.0609953662879</v>
      </c>
      <c r="AO150" s="151">
        <f t="shared" si="6"/>
        <v>1757.7382720861333</v>
      </c>
      <c r="AP150" s="151">
        <f t="shared" si="6"/>
        <v>1761.4155488059787</v>
      </c>
      <c r="AQ150" s="151">
        <f t="shared" si="6"/>
        <v>1765.0928255258264</v>
      </c>
    </row>
    <row r="151" spans="7:45" ht="14.25" customHeight="1" x14ac:dyDescent="0.15">
      <c r="G151" s="22"/>
      <c r="H151" s="254"/>
      <c r="J151" s="241"/>
      <c r="K151" s="19" t="s">
        <v>152</v>
      </c>
      <c r="L151" s="149">
        <f t="shared" si="6"/>
        <v>1409.8873832653558</v>
      </c>
      <c r="M151" s="149">
        <f t="shared" si="6"/>
        <v>1425.1040120717189</v>
      </c>
      <c r="N151" s="149">
        <f t="shared" si="6"/>
        <v>1440.320640878082</v>
      </c>
      <c r="O151" s="149">
        <f t="shared" si="6"/>
        <v>1455.5372696844452</v>
      </c>
      <c r="P151" s="149">
        <f t="shared" si="6"/>
        <v>1470.7538984908081</v>
      </c>
      <c r="Q151" s="149">
        <f t="shared" si="6"/>
        <v>1485.9705272971712</v>
      </c>
      <c r="R151" s="149">
        <f t="shared" si="6"/>
        <v>1501.1871561035343</v>
      </c>
      <c r="S151" s="149">
        <f t="shared" si="6"/>
        <v>1516.4037849098972</v>
      </c>
      <c r="T151" s="149">
        <f t="shared" si="6"/>
        <v>1531.6204137162604</v>
      </c>
      <c r="U151" s="149">
        <f t="shared" si="6"/>
        <v>1546.8370425226235</v>
      </c>
      <c r="V151" s="149">
        <f t="shared" si="6"/>
        <v>1562.0536713289864</v>
      </c>
      <c r="W151" s="149">
        <f t="shared" si="6"/>
        <v>1577.2703001353493</v>
      </c>
      <c r="X151" s="149">
        <f t="shared" si="6"/>
        <v>1582.9841496850277</v>
      </c>
      <c r="Y151" s="149">
        <f t="shared" si="6"/>
        <v>1588.697999234706</v>
      </c>
      <c r="Z151" s="149">
        <f t="shared" si="6"/>
        <v>1594.4118487843843</v>
      </c>
      <c r="AA151" s="149">
        <f t="shared" si="6"/>
        <v>1600.1256983340627</v>
      </c>
      <c r="AB151" s="149">
        <f t="shared" si="6"/>
        <v>1605.839547883741</v>
      </c>
      <c r="AC151" s="149">
        <f t="shared" si="6"/>
        <v>1611.5533974334194</v>
      </c>
      <c r="AD151" s="149">
        <f t="shared" si="6"/>
        <v>1617.2672469830977</v>
      </c>
      <c r="AE151" s="149">
        <f t="shared" si="6"/>
        <v>1622.9810965327761</v>
      </c>
      <c r="AF151" s="149">
        <f t="shared" si="6"/>
        <v>1628.6949460824544</v>
      </c>
      <c r="AG151" s="149">
        <f t="shared" si="6"/>
        <v>1634.4087956321328</v>
      </c>
      <c r="AH151" s="149">
        <f t="shared" si="6"/>
        <v>1640.1226451818111</v>
      </c>
      <c r="AI151" s="149">
        <f t="shared" si="6"/>
        <v>1645.8364947314894</v>
      </c>
      <c r="AJ151" s="149">
        <f t="shared" si="6"/>
        <v>1651.5503442811678</v>
      </c>
      <c r="AK151" s="149">
        <f t="shared" si="6"/>
        <v>1657.2641938308461</v>
      </c>
      <c r="AL151" s="149">
        <f t="shared" si="6"/>
        <v>1662.9780433805245</v>
      </c>
      <c r="AM151" s="149">
        <f t="shared" si="6"/>
        <v>1668.6918929302028</v>
      </c>
      <c r="AN151" s="149">
        <f t="shared" si="6"/>
        <v>1674.4057424798809</v>
      </c>
      <c r="AO151" s="149">
        <f t="shared" si="6"/>
        <v>1680.1195920295593</v>
      </c>
      <c r="AP151" s="149">
        <f t="shared" si="6"/>
        <v>1685.8334415792376</v>
      </c>
      <c r="AQ151" s="149">
        <f t="shared" si="6"/>
        <v>1691.5472911289171</v>
      </c>
    </row>
    <row r="152" spans="7:45" ht="14.25" customHeight="1" thickBot="1" x14ac:dyDescent="0.2">
      <c r="G152" s="22"/>
      <c r="H152" s="254"/>
      <c r="J152" s="241"/>
      <c r="K152" s="144" t="s">
        <v>153</v>
      </c>
      <c r="L152" s="150">
        <f t="shared" si="6"/>
        <v>1409.8873832653558</v>
      </c>
      <c r="M152" s="150">
        <f t="shared" si="6"/>
        <v>1409.8873832653558</v>
      </c>
      <c r="N152" s="150">
        <f t="shared" si="6"/>
        <v>1409.8873832653558</v>
      </c>
      <c r="O152" s="150">
        <f t="shared" si="6"/>
        <v>1409.8873832653558</v>
      </c>
      <c r="P152" s="150">
        <f t="shared" si="6"/>
        <v>1409.8873832653558</v>
      </c>
      <c r="Q152" s="150">
        <f t="shared" si="6"/>
        <v>1409.8873832653558</v>
      </c>
      <c r="R152" s="150">
        <f t="shared" si="6"/>
        <v>1409.8873832653558</v>
      </c>
      <c r="S152" s="150">
        <f t="shared" si="6"/>
        <v>1409.8873832653558</v>
      </c>
      <c r="T152" s="150">
        <f t="shared" si="6"/>
        <v>1409.8873832653558</v>
      </c>
      <c r="U152" s="150">
        <f t="shared" si="6"/>
        <v>1409.8873832653558</v>
      </c>
      <c r="V152" s="150">
        <f t="shared" si="6"/>
        <v>1409.8873832653558</v>
      </c>
      <c r="W152" s="150">
        <f t="shared" si="6"/>
        <v>1409.8873832653558</v>
      </c>
      <c r="X152" s="150">
        <f t="shared" si="6"/>
        <v>1418.2565291088556</v>
      </c>
      <c r="Y152" s="150">
        <f t="shared" si="6"/>
        <v>1426.6256749523552</v>
      </c>
      <c r="Z152" s="150">
        <f t="shared" si="6"/>
        <v>1434.994820795855</v>
      </c>
      <c r="AA152" s="150">
        <f t="shared" si="6"/>
        <v>1443.3639666393547</v>
      </c>
      <c r="AB152" s="150">
        <f t="shared" si="6"/>
        <v>1451.7331124828543</v>
      </c>
      <c r="AC152" s="150">
        <f t="shared" si="6"/>
        <v>1460.1022583263541</v>
      </c>
      <c r="AD152" s="150">
        <f t="shared" si="6"/>
        <v>1468.4714041698537</v>
      </c>
      <c r="AE152" s="150">
        <f t="shared" si="6"/>
        <v>1476.8405500133535</v>
      </c>
      <c r="AF152" s="150">
        <f t="shared" si="6"/>
        <v>1485.2096958568532</v>
      </c>
      <c r="AG152" s="150">
        <f t="shared" si="6"/>
        <v>1493.5788417003528</v>
      </c>
      <c r="AH152" s="150">
        <f t="shared" si="6"/>
        <v>1501.9479875438526</v>
      </c>
      <c r="AI152" s="150">
        <f t="shared" si="6"/>
        <v>1510.3171333873522</v>
      </c>
      <c r="AJ152" s="150">
        <f t="shared" si="6"/>
        <v>1518.6862792308518</v>
      </c>
      <c r="AK152" s="150">
        <f t="shared" si="6"/>
        <v>1527.0554250743517</v>
      </c>
      <c r="AL152" s="150">
        <f t="shared" si="6"/>
        <v>1535.4245709178513</v>
      </c>
      <c r="AM152" s="150">
        <f t="shared" si="6"/>
        <v>1543.7937167613511</v>
      </c>
      <c r="AN152" s="150">
        <f t="shared" si="6"/>
        <v>1552.1628626048507</v>
      </c>
      <c r="AO152" s="150">
        <f t="shared" si="6"/>
        <v>1560.5320084483503</v>
      </c>
      <c r="AP152" s="150">
        <f t="shared" si="6"/>
        <v>1568.9011542918502</v>
      </c>
      <c r="AQ152" s="150">
        <f t="shared" si="6"/>
        <v>1577.2703001353493</v>
      </c>
    </row>
    <row r="153" spans="7:45" ht="14.25" customHeight="1" thickTop="1" x14ac:dyDescent="0.15">
      <c r="G153" s="22"/>
      <c r="H153" s="254"/>
      <c r="J153" s="241"/>
      <c r="K153" s="140" t="s">
        <v>154</v>
      </c>
      <c r="L153" s="151">
        <f t="shared" si="6"/>
        <v>1488.5423194716707</v>
      </c>
      <c r="M153" s="151">
        <f t="shared" si="6"/>
        <v>1515.5762447940265</v>
      </c>
      <c r="N153" s="151">
        <f t="shared" si="6"/>
        <v>1542.6101701163825</v>
      </c>
      <c r="O153" s="151">
        <f t="shared" si="6"/>
        <v>1569.6440954387383</v>
      </c>
      <c r="P153" s="151">
        <f t="shared" si="6"/>
        <v>1596.6780207610943</v>
      </c>
      <c r="Q153" s="151">
        <f t="shared" si="6"/>
        <v>1623.7119460834501</v>
      </c>
      <c r="R153" s="151">
        <f t="shared" si="6"/>
        <v>1650.7458714058062</v>
      </c>
      <c r="S153" s="151">
        <f t="shared" si="6"/>
        <v>1677.779796728162</v>
      </c>
      <c r="T153" s="151">
        <f t="shared" si="6"/>
        <v>1704.813722050518</v>
      </c>
      <c r="U153" s="151">
        <f t="shared" si="6"/>
        <v>1731.8476473728738</v>
      </c>
      <c r="V153" s="151">
        <f t="shared" si="6"/>
        <v>1758.8815726952298</v>
      </c>
      <c r="W153" s="151">
        <f t="shared" si="6"/>
        <v>1785.9154980175858</v>
      </c>
      <c r="X153" s="151">
        <f t="shared" si="6"/>
        <v>1789.7979230132762</v>
      </c>
      <c r="Y153" s="151">
        <f t="shared" si="6"/>
        <v>1793.6803480089666</v>
      </c>
      <c r="Z153" s="151">
        <f t="shared" si="6"/>
        <v>1797.5627730046567</v>
      </c>
      <c r="AA153" s="151">
        <f t="shared" si="6"/>
        <v>1801.4451980003471</v>
      </c>
      <c r="AB153" s="151">
        <f t="shared" si="6"/>
        <v>1805.3276229960375</v>
      </c>
      <c r="AC153" s="151">
        <f t="shared" si="6"/>
        <v>1809.2100479917278</v>
      </c>
      <c r="AD153" s="151">
        <f t="shared" si="6"/>
        <v>1813.092472987418</v>
      </c>
      <c r="AE153" s="151">
        <f t="shared" si="6"/>
        <v>1816.9748979831083</v>
      </c>
      <c r="AF153" s="151">
        <f t="shared" si="6"/>
        <v>1820.8573229787987</v>
      </c>
      <c r="AG153" s="151">
        <f t="shared" si="6"/>
        <v>1824.7397479744891</v>
      </c>
      <c r="AH153" s="151">
        <f t="shared" si="6"/>
        <v>1828.6221729701792</v>
      </c>
      <c r="AI153" s="151">
        <f t="shared" si="6"/>
        <v>1832.5045979658696</v>
      </c>
      <c r="AJ153" s="151">
        <f t="shared" si="6"/>
        <v>1836.38702296156</v>
      </c>
      <c r="AK153" s="151">
        <f t="shared" si="6"/>
        <v>1840.2694479572501</v>
      </c>
      <c r="AL153" s="151">
        <f t="shared" si="6"/>
        <v>1844.1518729529405</v>
      </c>
      <c r="AM153" s="151">
        <f t="shared" si="6"/>
        <v>1848.0342979486309</v>
      </c>
      <c r="AN153" s="151">
        <f t="shared" si="6"/>
        <v>1851.9167229443212</v>
      </c>
      <c r="AO153" s="151">
        <f t="shared" si="6"/>
        <v>1855.7991479400114</v>
      </c>
      <c r="AP153" s="151">
        <f t="shared" si="6"/>
        <v>1859.6815729357018</v>
      </c>
      <c r="AQ153" s="151">
        <f t="shared" si="6"/>
        <v>1863.5639979313939</v>
      </c>
    </row>
    <row r="154" spans="7:45" ht="14.25" customHeight="1" x14ac:dyDescent="0.15">
      <c r="G154" s="22"/>
      <c r="H154" s="254"/>
      <c r="J154" s="241"/>
      <c r="K154" s="19" t="s">
        <v>155</v>
      </c>
      <c r="L154" s="149">
        <f t="shared" si="6"/>
        <v>1488.5423194716707</v>
      </c>
      <c r="M154" s="149">
        <f t="shared" si="6"/>
        <v>1504.6078550646648</v>
      </c>
      <c r="N154" s="149">
        <f t="shared" si="6"/>
        <v>1520.673390657659</v>
      </c>
      <c r="O154" s="149">
        <f t="shared" si="6"/>
        <v>1536.7389262506531</v>
      </c>
      <c r="P154" s="149">
        <f t="shared" si="6"/>
        <v>1552.8044618436472</v>
      </c>
      <c r="Q154" s="149">
        <f t="shared" si="6"/>
        <v>1568.8699974366414</v>
      </c>
      <c r="R154" s="149">
        <f t="shared" si="6"/>
        <v>1584.9355330296355</v>
      </c>
      <c r="S154" s="149">
        <f t="shared" si="6"/>
        <v>1601.0010686226296</v>
      </c>
      <c r="T154" s="149">
        <f t="shared" si="6"/>
        <v>1617.0666042156238</v>
      </c>
      <c r="U154" s="149">
        <f t="shared" si="6"/>
        <v>1633.1321398086179</v>
      </c>
      <c r="V154" s="149">
        <f t="shared" si="6"/>
        <v>1649.1976754016121</v>
      </c>
      <c r="W154" s="149">
        <f t="shared" si="6"/>
        <v>1665.2632109946073</v>
      </c>
      <c r="X154" s="149">
        <f t="shared" si="6"/>
        <v>1671.2958253457564</v>
      </c>
      <c r="Y154" s="149">
        <f t="shared" si="6"/>
        <v>1677.3284396969054</v>
      </c>
      <c r="Z154" s="149">
        <f t="shared" si="6"/>
        <v>1683.3610540480545</v>
      </c>
      <c r="AA154" s="149">
        <f t="shared" si="6"/>
        <v>1689.3936683992035</v>
      </c>
      <c r="AB154" s="149">
        <f t="shared" si="6"/>
        <v>1695.4262827503526</v>
      </c>
      <c r="AC154" s="149">
        <f t="shared" si="6"/>
        <v>1701.4588971015016</v>
      </c>
      <c r="AD154" s="149">
        <f t="shared" si="6"/>
        <v>1707.4915114526507</v>
      </c>
      <c r="AE154" s="149">
        <f t="shared" si="6"/>
        <v>1713.5241258037995</v>
      </c>
      <c r="AF154" s="149">
        <f t="shared" si="6"/>
        <v>1719.5567401549486</v>
      </c>
      <c r="AG154" s="149">
        <f t="shared" si="6"/>
        <v>1725.5893545060976</v>
      </c>
      <c r="AH154" s="149">
        <f t="shared" si="6"/>
        <v>1731.6219688572467</v>
      </c>
      <c r="AI154" s="149">
        <f t="shared" si="6"/>
        <v>1737.6545832083957</v>
      </c>
      <c r="AJ154" s="149">
        <f t="shared" si="6"/>
        <v>1743.6871975595448</v>
      </c>
      <c r="AK154" s="149">
        <f t="shared" si="6"/>
        <v>1749.7198119106938</v>
      </c>
      <c r="AL154" s="149">
        <f t="shared" si="6"/>
        <v>1755.7524262618429</v>
      </c>
      <c r="AM154" s="149">
        <f t="shared" si="6"/>
        <v>1761.7850406129919</v>
      </c>
      <c r="AN154" s="149">
        <f t="shared" si="6"/>
        <v>1767.817654964141</v>
      </c>
      <c r="AO154" s="149">
        <f t="shared" si="6"/>
        <v>1773.85026931529</v>
      </c>
      <c r="AP154" s="149">
        <f t="shared" si="6"/>
        <v>1779.8828836664391</v>
      </c>
      <c r="AQ154" s="149">
        <f t="shared" si="6"/>
        <v>1785.9154980175858</v>
      </c>
    </row>
    <row r="155" spans="7:45" ht="14.25" customHeight="1" thickBot="1" x14ac:dyDescent="0.2">
      <c r="G155" s="22"/>
      <c r="H155" s="254"/>
      <c r="J155" s="241"/>
      <c r="K155" s="144" t="s">
        <v>156</v>
      </c>
      <c r="L155" s="152">
        <f t="shared" si="6"/>
        <v>1488.5423194716707</v>
      </c>
      <c r="M155" s="152">
        <f t="shared" si="6"/>
        <v>1488.5423194716707</v>
      </c>
      <c r="N155" s="152">
        <f t="shared" si="6"/>
        <v>1488.5423194716707</v>
      </c>
      <c r="O155" s="152">
        <f t="shared" si="6"/>
        <v>1488.5423194716707</v>
      </c>
      <c r="P155" s="152">
        <f t="shared" si="6"/>
        <v>1488.5423194716707</v>
      </c>
      <c r="Q155" s="152">
        <f t="shared" si="6"/>
        <v>1488.5423194716707</v>
      </c>
      <c r="R155" s="152">
        <f t="shared" si="6"/>
        <v>1488.5423194716707</v>
      </c>
      <c r="S155" s="152">
        <f t="shared" si="6"/>
        <v>1488.5423194716707</v>
      </c>
      <c r="T155" s="152">
        <f t="shared" si="6"/>
        <v>1488.5423194716707</v>
      </c>
      <c r="U155" s="152">
        <f t="shared" si="6"/>
        <v>1488.5423194716707</v>
      </c>
      <c r="V155" s="152">
        <f t="shared" si="6"/>
        <v>1488.5423194716707</v>
      </c>
      <c r="W155" s="152">
        <f t="shared" si="6"/>
        <v>1488.5423194716707</v>
      </c>
      <c r="X155" s="152">
        <f t="shared" si="6"/>
        <v>1497.3783640478175</v>
      </c>
      <c r="Y155" s="152">
        <f t="shared" si="6"/>
        <v>1506.2144086239643</v>
      </c>
      <c r="Z155" s="152">
        <f t="shared" si="6"/>
        <v>1515.050453200111</v>
      </c>
      <c r="AA155" s="152">
        <f t="shared" si="6"/>
        <v>1523.8864977762578</v>
      </c>
      <c r="AB155" s="152">
        <f t="shared" si="6"/>
        <v>1532.7225423524046</v>
      </c>
      <c r="AC155" s="152">
        <f t="shared" si="6"/>
        <v>1541.5585869285514</v>
      </c>
      <c r="AD155" s="152">
        <f t="shared" si="6"/>
        <v>1550.3946315046983</v>
      </c>
      <c r="AE155" s="152">
        <f t="shared" si="6"/>
        <v>1559.2306760808451</v>
      </c>
      <c r="AF155" s="152">
        <f t="shared" si="6"/>
        <v>1568.0667206569917</v>
      </c>
      <c r="AG155" s="152">
        <f t="shared" si="6"/>
        <v>1576.9027652331386</v>
      </c>
      <c r="AH155" s="152">
        <f t="shared" si="6"/>
        <v>1585.7388098092854</v>
      </c>
      <c r="AI155" s="152">
        <f t="shared" si="6"/>
        <v>1594.5748543854322</v>
      </c>
      <c r="AJ155" s="152">
        <f t="shared" si="6"/>
        <v>1603.4108989615791</v>
      </c>
      <c r="AK155" s="152">
        <f t="shared" si="6"/>
        <v>1612.2469435377259</v>
      </c>
      <c r="AL155" s="152">
        <f t="shared" si="6"/>
        <v>1621.0829881138725</v>
      </c>
      <c r="AM155" s="152">
        <f t="shared" si="6"/>
        <v>1629.9190326900193</v>
      </c>
      <c r="AN155" s="152">
        <f t="shared" si="6"/>
        <v>1638.7550772661662</v>
      </c>
      <c r="AO155" s="152">
        <f t="shared" si="6"/>
        <v>1647.591121842313</v>
      </c>
      <c r="AP155" s="152">
        <f t="shared" si="6"/>
        <v>1656.4271664184598</v>
      </c>
      <c r="AQ155" s="152">
        <f t="shared" ref="AQ155" si="7">AQ123*8760</f>
        <v>1665.2632109946073</v>
      </c>
      <c r="AR155" s="153"/>
      <c r="AS155" s="153"/>
    </row>
    <row r="156" spans="7:45" ht="14.25" customHeight="1" thickTop="1" x14ac:dyDescent="0.15">
      <c r="G156" s="22"/>
      <c r="H156" s="254"/>
      <c r="J156" s="241"/>
      <c r="K156" s="140" t="s">
        <v>157</v>
      </c>
      <c r="L156" s="151">
        <f t="shared" ref="L156:AQ161" si="8">L124*8760</f>
        <v>1572.4855425939613</v>
      </c>
      <c r="M156" s="151">
        <f t="shared" si="8"/>
        <v>1601.0439894536098</v>
      </c>
      <c r="N156" s="151">
        <f t="shared" si="8"/>
        <v>1629.6024363132581</v>
      </c>
      <c r="O156" s="151">
        <f t="shared" si="8"/>
        <v>1658.1608831729066</v>
      </c>
      <c r="P156" s="151">
        <f t="shared" si="8"/>
        <v>1686.719330032555</v>
      </c>
      <c r="Q156" s="151">
        <f t="shared" si="8"/>
        <v>1715.2777768922035</v>
      </c>
      <c r="R156" s="151">
        <f t="shared" si="8"/>
        <v>1743.8362237518518</v>
      </c>
      <c r="S156" s="151">
        <f t="shared" si="8"/>
        <v>1772.3946706115003</v>
      </c>
      <c r="T156" s="151">
        <f t="shared" si="8"/>
        <v>1800.9531174711487</v>
      </c>
      <c r="U156" s="151">
        <f t="shared" si="8"/>
        <v>1829.5115643307972</v>
      </c>
      <c r="V156" s="151">
        <f t="shared" si="8"/>
        <v>1858.0700111904457</v>
      </c>
      <c r="W156" s="151">
        <f t="shared" si="8"/>
        <v>1886.6284580500937</v>
      </c>
      <c r="X156" s="151">
        <f t="shared" si="8"/>
        <v>1890.7298242632462</v>
      </c>
      <c r="Y156" s="151">
        <f t="shared" si="8"/>
        <v>1894.8311904763987</v>
      </c>
      <c r="Z156" s="151">
        <f t="shared" si="8"/>
        <v>1898.9325566895511</v>
      </c>
      <c r="AA156" s="151">
        <f t="shared" si="8"/>
        <v>1903.0339229027036</v>
      </c>
      <c r="AB156" s="151">
        <f t="shared" si="8"/>
        <v>1907.135289115856</v>
      </c>
      <c r="AC156" s="151">
        <f t="shared" si="8"/>
        <v>1911.2366553290085</v>
      </c>
      <c r="AD156" s="151">
        <f t="shared" si="8"/>
        <v>1915.338021542161</v>
      </c>
      <c r="AE156" s="151">
        <f t="shared" si="8"/>
        <v>1919.4393877553132</v>
      </c>
      <c r="AF156" s="151">
        <f t="shared" si="8"/>
        <v>1923.5407539684657</v>
      </c>
      <c r="AG156" s="151">
        <f t="shared" si="8"/>
        <v>1927.6421201816181</v>
      </c>
      <c r="AH156" s="151">
        <f t="shared" si="8"/>
        <v>1931.7434863947706</v>
      </c>
      <c r="AI156" s="151">
        <f t="shared" si="8"/>
        <v>1935.844852607923</v>
      </c>
      <c r="AJ156" s="151">
        <f t="shared" si="8"/>
        <v>1939.9462188210755</v>
      </c>
      <c r="AK156" s="151">
        <f t="shared" si="8"/>
        <v>1944.047585034228</v>
      </c>
      <c r="AL156" s="151">
        <f t="shared" si="8"/>
        <v>1948.1489512473804</v>
      </c>
      <c r="AM156" s="151">
        <f t="shared" si="8"/>
        <v>1952.2503174605329</v>
      </c>
      <c r="AN156" s="151">
        <f t="shared" si="8"/>
        <v>1956.3516836736853</v>
      </c>
      <c r="AO156" s="151">
        <f t="shared" si="8"/>
        <v>1960.4530498868376</v>
      </c>
      <c r="AP156" s="151">
        <f t="shared" si="8"/>
        <v>1964.55441609999</v>
      </c>
      <c r="AQ156" s="151">
        <f t="shared" si="8"/>
        <v>1968.6557823131413</v>
      </c>
    </row>
    <row r="157" spans="7:45" ht="14.25" customHeight="1" x14ac:dyDescent="0.15">
      <c r="G157" s="22"/>
      <c r="H157" s="254"/>
      <c r="J157" s="241"/>
      <c r="K157" s="19" t="s">
        <v>158</v>
      </c>
      <c r="L157" s="149">
        <f t="shared" si="8"/>
        <v>1572.4855425939613</v>
      </c>
      <c r="M157" s="149">
        <f t="shared" si="8"/>
        <v>1589.4570603825712</v>
      </c>
      <c r="N157" s="149">
        <f t="shared" si="8"/>
        <v>1606.428578171181</v>
      </c>
      <c r="O157" s="149">
        <f t="shared" si="8"/>
        <v>1623.4000959597909</v>
      </c>
      <c r="P157" s="149">
        <f t="shared" si="8"/>
        <v>1640.3716137484009</v>
      </c>
      <c r="Q157" s="149">
        <f t="shared" si="8"/>
        <v>1657.3431315370108</v>
      </c>
      <c r="R157" s="149">
        <f t="shared" si="8"/>
        <v>1674.3146493256206</v>
      </c>
      <c r="S157" s="149">
        <f t="shared" si="8"/>
        <v>1691.2861671142305</v>
      </c>
      <c r="T157" s="149">
        <f t="shared" si="8"/>
        <v>1708.2576849028405</v>
      </c>
      <c r="U157" s="149">
        <f t="shared" si="8"/>
        <v>1725.2292026914504</v>
      </c>
      <c r="V157" s="149">
        <f t="shared" si="8"/>
        <v>1742.2007204800602</v>
      </c>
      <c r="W157" s="149">
        <f t="shared" si="8"/>
        <v>1759.1722382686705</v>
      </c>
      <c r="X157" s="149">
        <f t="shared" si="8"/>
        <v>1765.5450492577418</v>
      </c>
      <c r="Y157" s="149">
        <f t="shared" si="8"/>
        <v>1771.9178602468128</v>
      </c>
      <c r="Z157" s="149">
        <f t="shared" si="8"/>
        <v>1778.290671235884</v>
      </c>
      <c r="AA157" s="149">
        <f t="shared" si="8"/>
        <v>1784.663482224955</v>
      </c>
      <c r="AB157" s="149">
        <f t="shared" si="8"/>
        <v>1791.0362932140263</v>
      </c>
      <c r="AC157" s="149">
        <f t="shared" si="8"/>
        <v>1797.4091042030973</v>
      </c>
      <c r="AD157" s="149">
        <f t="shared" si="8"/>
        <v>1803.7819151921683</v>
      </c>
      <c r="AE157" s="149">
        <f t="shared" si="8"/>
        <v>1810.1547261812395</v>
      </c>
      <c r="AF157" s="149">
        <f t="shared" si="8"/>
        <v>1816.5275371703106</v>
      </c>
      <c r="AG157" s="149">
        <f t="shared" si="8"/>
        <v>1822.9003481593818</v>
      </c>
      <c r="AH157" s="149">
        <f t="shared" si="8"/>
        <v>1829.2731591484528</v>
      </c>
      <c r="AI157" s="149">
        <f t="shared" si="8"/>
        <v>1835.645970137524</v>
      </c>
      <c r="AJ157" s="149">
        <f t="shared" si="8"/>
        <v>1842.0187811265951</v>
      </c>
      <c r="AK157" s="149">
        <f t="shared" si="8"/>
        <v>1848.3915921156661</v>
      </c>
      <c r="AL157" s="149">
        <f t="shared" si="8"/>
        <v>1854.7644031047373</v>
      </c>
      <c r="AM157" s="149">
        <f t="shared" si="8"/>
        <v>1861.1372140938083</v>
      </c>
      <c r="AN157" s="149">
        <f t="shared" si="8"/>
        <v>1867.5100250828796</v>
      </c>
      <c r="AO157" s="149">
        <f t="shared" si="8"/>
        <v>1873.8828360719506</v>
      </c>
      <c r="AP157" s="149">
        <f t="shared" si="8"/>
        <v>1880.2556470610218</v>
      </c>
      <c r="AQ157" s="149">
        <f t="shared" si="8"/>
        <v>1886.6284580500937</v>
      </c>
    </row>
    <row r="158" spans="7:45" ht="14.25" customHeight="1" thickBot="1" x14ac:dyDescent="0.2">
      <c r="G158" s="22"/>
      <c r="H158" s="254"/>
      <c r="J158" s="241"/>
      <c r="K158" s="144" t="s">
        <v>159</v>
      </c>
      <c r="L158" s="152">
        <f t="shared" si="8"/>
        <v>1572.4855425939613</v>
      </c>
      <c r="M158" s="152">
        <f t="shared" si="8"/>
        <v>1572.4855425939613</v>
      </c>
      <c r="N158" s="152">
        <f t="shared" si="8"/>
        <v>1572.4855425939613</v>
      </c>
      <c r="O158" s="152">
        <f t="shared" si="8"/>
        <v>1572.4855425939613</v>
      </c>
      <c r="P158" s="152">
        <f t="shared" si="8"/>
        <v>1572.4855425939613</v>
      </c>
      <c r="Q158" s="152">
        <f t="shared" si="8"/>
        <v>1572.4855425939613</v>
      </c>
      <c r="R158" s="152">
        <f t="shared" si="8"/>
        <v>1572.4855425939613</v>
      </c>
      <c r="S158" s="152">
        <f t="shared" si="8"/>
        <v>1572.4855425939613</v>
      </c>
      <c r="T158" s="152">
        <f t="shared" si="8"/>
        <v>1572.4855425939613</v>
      </c>
      <c r="U158" s="152">
        <f t="shared" si="8"/>
        <v>1572.4855425939613</v>
      </c>
      <c r="V158" s="152">
        <f t="shared" si="8"/>
        <v>1572.4855425939613</v>
      </c>
      <c r="W158" s="152">
        <f t="shared" si="8"/>
        <v>1572.4855425939613</v>
      </c>
      <c r="X158" s="152">
        <f t="shared" si="8"/>
        <v>1581.8198773776967</v>
      </c>
      <c r="Y158" s="152">
        <f t="shared" si="8"/>
        <v>1591.154212161432</v>
      </c>
      <c r="Z158" s="152">
        <f t="shared" si="8"/>
        <v>1600.4885469451674</v>
      </c>
      <c r="AA158" s="152">
        <f t="shared" si="8"/>
        <v>1609.8228817289028</v>
      </c>
      <c r="AB158" s="152">
        <f t="shared" si="8"/>
        <v>1619.1572165126383</v>
      </c>
      <c r="AC158" s="152">
        <f t="shared" si="8"/>
        <v>1628.4915512963737</v>
      </c>
      <c r="AD158" s="152">
        <f t="shared" si="8"/>
        <v>1637.8258860801091</v>
      </c>
      <c r="AE158" s="152">
        <f t="shared" si="8"/>
        <v>1647.1602208638444</v>
      </c>
      <c r="AF158" s="152">
        <f t="shared" si="8"/>
        <v>1656.4945556475798</v>
      </c>
      <c r="AG158" s="152">
        <f t="shared" si="8"/>
        <v>1665.8288904313151</v>
      </c>
      <c r="AH158" s="152">
        <f t="shared" si="8"/>
        <v>1675.1632252150507</v>
      </c>
      <c r="AI158" s="152">
        <f t="shared" si="8"/>
        <v>1684.4975599987861</v>
      </c>
      <c r="AJ158" s="152">
        <f t="shared" si="8"/>
        <v>1693.8318947825214</v>
      </c>
      <c r="AK158" s="152">
        <f t="shared" si="8"/>
        <v>1703.1662295662568</v>
      </c>
      <c r="AL158" s="152">
        <f t="shared" si="8"/>
        <v>1712.5005643499921</v>
      </c>
      <c r="AM158" s="152">
        <f t="shared" si="8"/>
        <v>1721.8348991337275</v>
      </c>
      <c r="AN158" s="152">
        <f t="shared" si="8"/>
        <v>1731.1692339174631</v>
      </c>
      <c r="AO158" s="152">
        <f t="shared" si="8"/>
        <v>1740.5035687011984</v>
      </c>
      <c r="AP158" s="152">
        <f t="shared" si="8"/>
        <v>1749.8379034849338</v>
      </c>
      <c r="AQ158" s="152">
        <f t="shared" si="8"/>
        <v>1759.1722382686705</v>
      </c>
      <c r="AR158" s="153"/>
      <c r="AS158" s="153"/>
    </row>
    <row r="159" spans="7:45" ht="14.25" customHeight="1" thickTop="1" x14ac:dyDescent="0.15">
      <c r="G159" s="22"/>
      <c r="H159" s="254"/>
      <c r="J159" s="241"/>
      <c r="K159" s="140" t="s">
        <v>160</v>
      </c>
      <c r="L159" s="151">
        <f t="shared" si="8"/>
        <v>1631.6540199599224</v>
      </c>
      <c r="M159" s="151">
        <f t="shared" si="8"/>
        <v>1661.2870457399179</v>
      </c>
      <c r="N159" s="151">
        <f t="shared" si="8"/>
        <v>1690.9200715199136</v>
      </c>
      <c r="O159" s="151">
        <f t="shared" si="8"/>
        <v>1720.553097299909</v>
      </c>
      <c r="P159" s="151">
        <f t="shared" si="8"/>
        <v>1750.1861230799047</v>
      </c>
      <c r="Q159" s="151">
        <f t="shared" si="8"/>
        <v>1779.8191488599002</v>
      </c>
      <c r="R159" s="151">
        <f t="shared" si="8"/>
        <v>1809.4521746398959</v>
      </c>
      <c r="S159" s="151">
        <f t="shared" si="8"/>
        <v>1839.0852004198914</v>
      </c>
      <c r="T159" s="151">
        <f t="shared" si="8"/>
        <v>1868.7182261998871</v>
      </c>
      <c r="U159" s="151">
        <f t="shared" si="8"/>
        <v>1898.3512519798826</v>
      </c>
      <c r="V159" s="151">
        <f t="shared" si="8"/>
        <v>1927.9842777598783</v>
      </c>
      <c r="W159" s="151">
        <f t="shared" si="8"/>
        <v>1957.6173035398735</v>
      </c>
      <c r="X159" s="151">
        <f t="shared" si="8"/>
        <v>1961.8729933301777</v>
      </c>
      <c r="Y159" s="151">
        <f t="shared" si="8"/>
        <v>1966.1286831204818</v>
      </c>
      <c r="Z159" s="151">
        <f t="shared" si="8"/>
        <v>1970.3843729107859</v>
      </c>
      <c r="AA159" s="151">
        <f t="shared" si="8"/>
        <v>1974.6400627010901</v>
      </c>
      <c r="AB159" s="151">
        <f t="shared" si="8"/>
        <v>1978.8957524913942</v>
      </c>
      <c r="AC159" s="151">
        <f t="shared" si="8"/>
        <v>1983.1514422816983</v>
      </c>
      <c r="AD159" s="151">
        <f t="shared" si="8"/>
        <v>1987.4071320720025</v>
      </c>
      <c r="AE159" s="151">
        <f t="shared" si="8"/>
        <v>1991.6628218623066</v>
      </c>
      <c r="AF159" s="151">
        <f t="shared" si="8"/>
        <v>1995.9185116526107</v>
      </c>
      <c r="AG159" s="151">
        <f t="shared" si="8"/>
        <v>2000.1742014429149</v>
      </c>
      <c r="AH159" s="151">
        <f t="shared" si="8"/>
        <v>2004.429891233219</v>
      </c>
      <c r="AI159" s="151">
        <f t="shared" si="8"/>
        <v>2008.6855810235231</v>
      </c>
      <c r="AJ159" s="151">
        <f t="shared" si="8"/>
        <v>2012.9412708138273</v>
      </c>
      <c r="AK159" s="151">
        <f t="shared" si="8"/>
        <v>2017.1969606041314</v>
      </c>
      <c r="AL159" s="151">
        <f t="shared" si="8"/>
        <v>2021.4526503944355</v>
      </c>
      <c r="AM159" s="151">
        <f t="shared" si="8"/>
        <v>2025.7083401847397</v>
      </c>
      <c r="AN159" s="151">
        <f t="shared" si="8"/>
        <v>2029.9640299750438</v>
      </c>
      <c r="AO159" s="151">
        <f t="shared" si="8"/>
        <v>2034.2197197653479</v>
      </c>
      <c r="AP159" s="151">
        <f t="shared" si="8"/>
        <v>2038.475409555652</v>
      </c>
      <c r="AQ159" s="151">
        <f t="shared" si="8"/>
        <v>2042.731099345955</v>
      </c>
    </row>
    <row r="160" spans="7:45" ht="14.25" customHeight="1" x14ac:dyDescent="0.15">
      <c r="G160" s="22"/>
      <c r="H160" s="254"/>
      <c r="J160" s="241"/>
      <c r="K160" s="19" t="s">
        <v>161</v>
      </c>
      <c r="L160" s="149">
        <f t="shared" si="8"/>
        <v>1631.6540199599224</v>
      </c>
      <c r="M160" s="149">
        <f t="shared" si="8"/>
        <v>1649.2641311339346</v>
      </c>
      <c r="N160" s="149">
        <f t="shared" si="8"/>
        <v>1666.874242307947</v>
      </c>
      <c r="O160" s="149">
        <f t="shared" si="8"/>
        <v>1684.4843534819595</v>
      </c>
      <c r="P160" s="149">
        <f t="shared" si="8"/>
        <v>1702.0944646559717</v>
      </c>
      <c r="Q160" s="149">
        <f t="shared" si="8"/>
        <v>1719.7045758299842</v>
      </c>
      <c r="R160" s="149">
        <f t="shared" si="8"/>
        <v>1737.3146870039964</v>
      </c>
      <c r="S160" s="149">
        <f t="shared" si="8"/>
        <v>1754.9247981780088</v>
      </c>
      <c r="T160" s="149">
        <f t="shared" si="8"/>
        <v>1772.534909352021</v>
      </c>
      <c r="U160" s="149">
        <f t="shared" si="8"/>
        <v>1790.1450205260335</v>
      </c>
      <c r="V160" s="149">
        <f t="shared" si="8"/>
        <v>1807.7551317000459</v>
      </c>
      <c r="W160" s="149">
        <f t="shared" si="8"/>
        <v>1825.3652428740579</v>
      </c>
      <c r="X160" s="149">
        <f t="shared" si="8"/>
        <v>1831.9778459073486</v>
      </c>
      <c r="Y160" s="149">
        <f t="shared" si="8"/>
        <v>1838.5904489406394</v>
      </c>
      <c r="Z160" s="149">
        <f t="shared" si="8"/>
        <v>1845.2030519739301</v>
      </c>
      <c r="AA160" s="149">
        <f t="shared" si="8"/>
        <v>1851.8156550072208</v>
      </c>
      <c r="AB160" s="149">
        <f t="shared" si="8"/>
        <v>1858.4282580405113</v>
      </c>
      <c r="AC160" s="149">
        <f t="shared" si="8"/>
        <v>1865.040861073802</v>
      </c>
      <c r="AD160" s="149">
        <f t="shared" si="8"/>
        <v>1871.6534641070928</v>
      </c>
      <c r="AE160" s="149">
        <f t="shared" si="8"/>
        <v>1878.2660671403835</v>
      </c>
      <c r="AF160" s="149">
        <f t="shared" si="8"/>
        <v>1884.8786701736742</v>
      </c>
      <c r="AG160" s="149">
        <f t="shared" si="8"/>
        <v>1891.4912732069649</v>
      </c>
      <c r="AH160" s="149">
        <f t="shared" si="8"/>
        <v>1898.1038762402557</v>
      </c>
      <c r="AI160" s="149">
        <f t="shared" si="8"/>
        <v>1904.7164792735464</v>
      </c>
      <c r="AJ160" s="149">
        <f t="shared" si="8"/>
        <v>1911.3290823068369</v>
      </c>
      <c r="AK160" s="149">
        <f t="shared" si="8"/>
        <v>1917.9416853401276</v>
      </c>
      <c r="AL160" s="149">
        <f t="shared" si="8"/>
        <v>1924.5542883734183</v>
      </c>
      <c r="AM160" s="149">
        <f t="shared" si="8"/>
        <v>1931.1668914067091</v>
      </c>
      <c r="AN160" s="149">
        <f t="shared" si="8"/>
        <v>1937.7794944399998</v>
      </c>
      <c r="AO160" s="149">
        <f t="shared" si="8"/>
        <v>1944.3920974732905</v>
      </c>
      <c r="AP160" s="149">
        <f t="shared" si="8"/>
        <v>1951.0047005065812</v>
      </c>
      <c r="AQ160" s="149">
        <f t="shared" si="8"/>
        <v>1957.6173035398735</v>
      </c>
    </row>
    <row r="161" spans="1:91" ht="14.25" customHeight="1" thickBot="1" x14ac:dyDescent="0.2">
      <c r="G161" s="22"/>
      <c r="H161" s="254"/>
      <c r="J161" s="251"/>
      <c r="K161" s="144" t="s">
        <v>162</v>
      </c>
      <c r="L161" s="152">
        <f t="shared" si="8"/>
        <v>1631.6540199599224</v>
      </c>
      <c r="M161" s="152">
        <f t="shared" si="8"/>
        <v>1631.6540199599224</v>
      </c>
      <c r="N161" s="152">
        <f t="shared" si="8"/>
        <v>1631.6540199599224</v>
      </c>
      <c r="O161" s="152">
        <f t="shared" si="8"/>
        <v>1631.6540199599224</v>
      </c>
      <c r="P161" s="152">
        <f t="shared" si="8"/>
        <v>1631.6540199599224</v>
      </c>
      <c r="Q161" s="152">
        <f t="shared" si="8"/>
        <v>1631.6540199599224</v>
      </c>
      <c r="R161" s="152">
        <f t="shared" si="8"/>
        <v>1631.6540199599224</v>
      </c>
      <c r="S161" s="152">
        <f t="shared" si="8"/>
        <v>1631.6540199599224</v>
      </c>
      <c r="T161" s="152">
        <f t="shared" si="8"/>
        <v>1631.6540199599224</v>
      </c>
      <c r="U161" s="152">
        <f t="shared" si="8"/>
        <v>1631.6540199599224</v>
      </c>
      <c r="V161" s="152">
        <f t="shared" si="8"/>
        <v>1631.6540199599224</v>
      </c>
      <c r="W161" s="152">
        <f t="shared" si="8"/>
        <v>1631.6540199599224</v>
      </c>
      <c r="X161" s="152">
        <f t="shared" si="8"/>
        <v>1641.3395811056291</v>
      </c>
      <c r="Y161" s="152">
        <f t="shared" si="8"/>
        <v>1651.0251422513356</v>
      </c>
      <c r="Z161" s="152">
        <f t="shared" si="8"/>
        <v>1660.7107033970424</v>
      </c>
      <c r="AA161" s="152">
        <f t="shared" si="8"/>
        <v>1670.3962645427491</v>
      </c>
      <c r="AB161" s="152">
        <f t="shared" si="8"/>
        <v>1680.0818256884559</v>
      </c>
      <c r="AC161" s="152">
        <f t="shared" si="8"/>
        <v>1689.7673868341624</v>
      </c>
      <c r="AD161" s="152">
        <f t="shared" si="8"/>
        <v>1699.4529479798691</v>
      </c>
      <c r="AE161" s="152">
        <f t="shared" si="8"/>
        <v>1709.1385091255759</v>
      </c>
      <c r="AF161" s="152">
        <f t="shared" si="8"/>
        <v>1718.8240702712824</v>
      </c>
      <c r="AG161" s="152">
        <f t="shared" si="8"/>
        <v>1728.5096314169891</v>
      </c>
      <c r="AH161" s="152">
        <f t="shared" si="8"/>
        <v>1738.1951925626959</v>
      </c>
      <c r="AI161" s="152">
        <f t="shared" si="8"/>
        <v>1747.8807537084026</v>
      </c>
      <c r="AJ161" s="152">
        <f t="shared" si="8"/>
        <v>1757.5663148541091</v>
      </c>
      <c r="AK161" s="152">
        <f t="shared" si="8"/>
        <v>1767.2518759998159</v>
      </c>
      <c r="AL161" s="152">
        <f t="shared" si="8"/>
        <v>1776.9374371455226</v>
      </c>
      <c r="AM161" s="152">
        <f t="shared" si="8"/>
        <v>1786.6229982912294</v>
      </c>
      <c r="AN161" s="152">
        <f t="shared" si="8"/>
        <v>1796.3085594369359</v>
      </c>
      <c r="AO161" s="152">
        <f t="shared" si="8"/>
        <v>1805.9941205826426</v>
      </c>
      <c r="AP161" s="152">
        <f t="shared" si="8"/>
        <v>1815.6796817283494</v>
      </c>
      <c r="AQ161" s="152">
        <f t="shared" si="8"/>
        <v>1825.3652428740579</v>
      </c>
      <c r="AR161" s="153"/>
      <c r="AS161" s="153"/>
    </row>
    <row r="162" spans="1:91" ht="14.25" customHeight="1" thickTop="1" x14ac:dyDescent="0.15">
      <c r="G162" s="22"/>
      <c r="H162" s="254"/>
      <c r="J162" s="147"/>
      <c r="K162" s="19"/>
      <c r="L162" s="154"/>
      <c r="M162" s="154"/>
      <c r="N162" s="154"/>
      <c r="O162" s="154"/>
      <c r="P162" s="154"/>
      <c r="Q162" s="154"/>
      <c r="R162" s="154"/>
      <c r="S162" s="154"/>
      <c r="T162" s="154"/>
      <c r="U162" s="154"/>
      <c r="V162" s="154"/>
      <c r="W162" s="154"/>
      <c r="X162" s="154"/>
      <c r="Y162" s="154"/>
      <c r="Z162" s="154"/>
      <c r="AA162" s="154"/>
      <c r="AB162" s="154"/>
      <c r="AC162" s="154"/>
      <c r="AD162" s="154"/>
      <c r="AE162" s="154"/>
      <c r="AF162" s="154"/>
      <c r="AG162" s="154"/>
      <c r="AH162" s="154"/>
      <c r="AI162" s="154"/>
      <c r="AJ162" s="154"/>
      <c r="AK162" s="154"/>
      <c r="AL162" s="154"/>
      <c r="AM162" s="154"/>
      <c r="AN162" s="154"/>
      <c r="AO162" s="154"/>
      <c r="AP162" s="154"/>
      <c r="AQ162" s="154"/>
    </row>
    <row r="163" spans="1:91" ht="14.25" customHeight="1" x14ac:dyDescent="0.15">
      <c r="G163" s="22"/>
      <c r="H163" s="254"/>
      <c r="J163" s="78"/>
      <c r="L163" s="128">
        <v>2019</v>
      </c>
      <c r="M163" s="128">
        <v>2020</v>
      </c>
      <c r="N163" s="128">
        <v>2021</v>
      </c>
      <c r="O163" s="128">
        <v>2022</v>
      </c>
      <c r="P163" s="128">
        <v>2023</v>
      </c>
      <c r="Q163" s="128">
        <v>2024</v>
      </c>
      <c r="R163" s="128">
        <v>2025</v>
      </c>
      <c r="S163" s="128">
        <v>2026</v>
      </c>
      <c r="T163" s="128">
        <v>2027</v>
      </c>
      <c r="U163" s="128">
        <v>2028</v>
      </c>
      <c r="V163" s="128">
        <v>2029</v>
      </c>
      <c r="W163" s="128">
        <v>2030</v>
      </c>
      <c r="X163" s="128">
        <v>2031</v>
      </c>
      <c r="Y163" s="128">
        <v>2032</v>
      </c>
      <c r="Z163" s="128">
        <v>2033</v>
      </c>
      <c r="AA163" s="128">
        <v>2034</v>
      </c>
      <c r="AB163" s="128">
        <v>2035</v>
      </c>
      <c r="AC163" s="128">
        <v>2036</v>
      </c>
      <c r="AD163" s="128">
        <v>2037</v>
      </c>
      <c r="AE163" s="128">
        <v>2038</v>
      </c>
      <c r="AF163" s="128">
        <v>2039</v>
      </c>
      <c r="AG163" s="128">
        <v>2040</v>
      </c>
      <c r="AH163" s="128">
        <v>2041</v>
      </c>
      <c r="AI163" s="128">
        <v>2042</v>
      </c>
      <c r="AJ163" s="128">
        <v>2043</v>
      </c>
      <c r="AK163" s="128">
        <v>2044</v>
      </c>
      <c r="AL163" s="128">
        <v>2045</v>
      </c>
      <c r="AM163" s="128">
        <v>2046</v>
      </c>
      <c r="AN163" s="128">
        <v>2047</v>
      </c>
      <c r="AO163" s="128">
        <v>2048</v>
      </c>
      <c r="AP163" s="128">
        <v>2049</v>
      </c>
      <c r="AQ163" s="128">
        <v>2050</v>
      </c>
      <c r="AR163" s="16">
        <f>AQ163+1</f>
        <v>2051</v>
      </c>
      <c r="AS163" s="16">
        <f t="shared" ref="AS163:BK163" si="9">AR163+1</f>
        <v>2052</v>
      </c>
      <c r="AT163" s="16">
        <f t="shared" si="9"/>
        <v>2053</v>
      </c>
      <c r="AU163" s="16">
        <f t="shared" si="9"/>
        <v>2054</v>
      </c>
      <c r="AV163" s="16">
        <f t="shared" si="9"/>
        <v>2055</v>
      </c>
      <c r="AW163" s="16">
        <f t="shared" si="9"/>
        <v>2056</v>
      </c>
      <c r="AX163" s="16">
        <f t="shared" si="9"/>
        <v>2057</v>
      </c>
      <c r="AY163" s="16">
        <f t="shared" si="9"/>
        <v>2058</v>
      </c>
      <c r="AZ163" s="16">
        <f t="shared" si="9"/>
        <v>2059</v>
      </c>
      <c r="BA163" s="16">
        <f t="shared" si="9"/>
        <v>2060</v>
      </c>
      <c r="BB163" s="16">
        <f t="shared" si="9"/>
        <v>2061</v>
      </c>
      <c r="BC163" s="16">
        <f t="shared" si="9"/>
        <v>2062</v>
      </c>
      <c r="BD163" s="16">
        <f t="shared" si="9"/>
        <v>2063</v>
      </c>
      <c r="BE163" s="16">
        <f t="shared" si="9"/>
        <v>2064</v>
      </c>
      <c r="BF163" s="16">
        <f>BE163+1</f>
        <v>2065</v>
      </c>
      <c r="BG163" s="16">
        <f t="shared" si="9"/>
        <v>2066</v>
      </c>
      <c r="BH163" s="16">
        <f t="shared" si="9"/>
        <v>2067</v>
      </c>
      <c r="BI163" s="16">
        <f t="shared" si="9"/>
        <v>2068</v>
      </c>
      <c r="BJ163" s="16">
        <f>BI163+1</f>
        <v>2069</v>
      </c>
      <c r="BK163" s="16">
        <f t="shared" si="9"/>
        <v>2070</v>
      </c>
    </row>
    <row r="164" spans="1:91" ht="14.25" customHeight="1" x14ac:dyDescent="0.15">
      <c r="G164" s="22"/>
      <c r="H164" s="254"/>
      <c r="J164" s="240" t="s">
        <v>164</v>
      </c>
      <c r="K164" s="140" t="s">
        <v>133</v>
      </c>
      <c r="L164" s="148">
        <f t="shared" ref="L164:AQ171" si="10" xml:space="preserve"> $N$45*(L196+L325)</f>
        <v>1806.462617457503</v>
      </c>
      <c r="M164" s="148">
        <f t="shared" si="10"/>
        <v>1762.4295834724421</v>
      </c>
      <c r="N164" s="148">
        <f t="shared" si="10"/>
        <v>1656.2193106005366</v>
      </c>
      <c r="O164" s="148">
        <f t="shared" si="10"/>
        <v>1550.009037728631</v>
      </c>
      <c r="P164" s="148">
        <f t="shared" si="10"/>
        <v>1443.7987648567257</v>
      </c>
      <c r="Q164" s="148">
        <f t="shared" si="10"/>
        <v>1337.5884919848202</v>
      </c>
      <c r="R164" s="148">
        <f t="shared" si="10"/>
        <v>1231.3782191129148</v>
      </c>
      <c r="S164" s="148">
        <f t="shared" si="10"/>
        <v>1125.1679462410093</v>
      </c>
      <c r="T164" s="148">
        <f t="shared" si="10"/>
        <v>1018.9576733691038</v>
      </c>
      <c r="U164" s="148">
        <f t="shared" si="10"/>
        <v>912.74740049719821</v>
      </c>
      <c r="V164" s="148">
        <f t="shared" si="10"/>
        <v>806.53712762529267</v>
      </c>
      <c r="W164" s="148">
        <f t="shared" si="10"/>
        <v>700.32685475338667</v>
      </c>
      <c r="X164" s="148">
        <f t="shared" si="10"/>
        <v>691.30060058709171</v>
      </c>
      <c r="Y164" s="148">
        <f t="shared" si="10"/>
        <v>682.27434642079697</v>
      </c>
      <c r="Z164" s="148">
        <f t="shared" si="10"/>
        <v>673.24809225450224</v>
      </c>
      <c r="AA164" s="148">
        <f t="shared" si="10"/>
        <v>664.22183808820739</v>
      </c>
      <c r="AB164" s="148">
        <f t="shared" si="10"/>
        <v>655.19558392191266</v>
      </c>
      <c r="AC164" s="148">
        <f t="shared" si="10"/>
        <v>646.16932975561781</v>
      </c>
      <c r="AD164" s="148">
        <f t="shared" si="10"/>
        <v>637.14307558932308</v>
      </c>
      <c r="AE164" s="148">
        <f t="shared" si="10"/>
        <v>628.11682142302834</v>
      </c>
      <c r="AF164" s="148">
        <f t="shared" si="10"/>
        <v>619.09056725673338</v>
      </c>
      <c r="AG164" s="148">
        <f t="shared" si="10"/>
        <v>610.06431309043865</v>
      </c>
      <c r="AH164" s="148">
        <f t="shared" si="10"/>
        <v>601.03805892414391</v>
      </c>
      <c r="AI164" s="148">
        <f t="shared" si="10"/>
        <v>592.01180475784906</v>
      </c>
      <c r="AJ164" s="148">
        <f t="shared" si="10"/>
        <v>582.98555059155433</v>
      </c>
      <c r="AK164" s="148">
        <f t="shared" si="10"/>
        <v>573.95929642525959</v>
      </c>
      <c r="AL164" s="148">
        <f t="shared" si="10"/>
        <v>564.93304225896475</v>
      </c>
      <c r="AM164" s="148">
        <f t="shared" si="10"/>
        <v>555.90678809267001</v>
      </c>
      <c r="AN164" s="148">
        <f t="shared" si="10"/>
        <v>546.88053392637516</v>
      </c>
      <c r="AO164" s="148">
        <f t="shared" si="10"/>
        <v>537.85427976008032</v>
      </c>
      <c r="AP164" s="148">
        <f t="shared" si="10"/>
        <v>528.82802559378558</v>
      </c>
      <c r="AQ164" s="148">
        <f t="shared" si="10"/>
        <v>519.80177142749028</v>
      </c>
    </row>
    <row r="165" spans="1:91" s="197" customFormat="1" ht="14.25" customHeight="1" x14ac:dyDescent="0.15">
      <c r="G165" s="198"/>
      <c r="H165" s="254"/>
      <c r="J165" s="241"/>
      <c r="K165" s="199" t="s">
        <v>134</v>
      </c>
      <c r="L165" s="200">
        <f t="shared" si="10"/>
        <v>1806.462617457503</v>
      </c>
      <c r="M165" s="200">
        <f t="shared" si="10"/>
        <v>1762.4295834724421</v>
      </c>
      <c r="N165" s="200">
        <f t="shared" si="10"/>
        <v>1677.4111728866005</v>
      </c>
      <c r="O165" s="200">
        <f t="shared" si="10"/>
        <v>1592.3927623007592</v>
      </c>
      <c r="P165" s="200">
        <f t="shared" si="10"/>
        <v>1507.3743517149178</v>
      </c>
      <c r="Q165" s="200">
        <f t="shared" si="10"/>
        <v>1422.3559411290762</v>
      </c>
      <c r="R165" s="200">
        <f t="shared" si="10"/>
        <v>1337.3375305432346</v>
      </c>
      <c r="S165" s="200">
        <f t="shared" si="10"/>
        <v>1252.3191199573932</v>
      </c>
      <c r="T165" s="200">
        <f t="shared" si="10"/>
        <v>1167.3007093715519</v>
      </c>
      <c r="U165" s="200">
        <f t="shared" si="10"/>
        <v>1082.2822987857103</v>
      </c>
      <c r="V165" s="200">
        <f t="shared" si="10"/>
        <v>997.26388819986892</v>
      </c>
      <c r="W165" s="200">
        <f t="shared" si="10"/>
        <v>912.24547761402732</v>
      </c>
      <c r="X165" s="200">
        <f t="shared" si="10"/>
        <v>901.64954647099535</v>
      </c>
      <c r="Y165" s="200">
        <f t="shared" si="10"/>
        <v>891.05361532796337</v>
      </c>
      <c r="Z165" s="200">
        <f t="shared" si="10"/>
        <v>880.4576841849314</v>
      </c>
      <c r="AA165" s="200">
        <f t="shared" si="10"/>
        <v>869.86175304189942</v>
      </c>
      <c r="AB165" s="200">
        <f t="shared" si="10"/>
        <v>859.26582189886733</v>
      </c>
      <c r="AC165" s="200">
        <f t="shared" si="10"/>
        <v>848.66989075583547</v>
      </c>
      <c r="AD165" s="200">
        <f t="shared" si="10"/>
        <v>838.07395961280338</v>
      </c>
      <c r="AE165" s="200">
        <f t="shared" si="10"/>
        <v>827.4780284697714</v>
      </c>
      <c r="AF165" s="200">
        <f t="shared" si="10"/>
        <v>816.88209732673943</v>
      </c>
      <c r="AG165" s="200">
        <f t="shared" si="10"/>
        <v>806.28616618370745</v>
      </c>
      <c r="AH165" s="200">
        <f t="shared" si="10"/>
        <v>795.69023504067536</v>
      </c>
      <c r="AI165" s="200">
        <f t="shared" si="10"/>
        <v>785.09430389764339</v>
      </c>
      <c r="AJ165" s="200">
        <f t="shared" si="10"/>
        <v>774.49837275461141</v>
      </c>
      <c r="AK165" s="200">
        <f t="shared" si="10"/>
        <v>763.90244161157943</v>
      </c>
      <c r="AL165" s="200">
        <f t="shared" si="10"/>
        <v>753.30651046854746</v>
      </c>
      <c r="AM165" s="200">
        <f t="shared" si="10"/>
        <v>742.71057932551548</v>
      </c>
      <c r="AN165" s="200">
        <f t="shared" si="10"/>
        <v>732.11464818248351</v>
      </c>
      <c r="AO165" s="200">
        <f t="shared" si="10"/>
        <v>721.51871703945142</v>
      </c>
      <c r="AP165" s="200">
        <f t="shared" si="10"/>
        <v>710.92278589641955</v>
      </c>
      <c r="AQ165" s="200">
        <f t="shared" si="10"/>
        <v>700.32685475338667</v>
      </c>
      <c r="AR165" s="200">
        <f t="shared" ref="AR165:BK165" si="11" xml:space="preserve"> $N$45*(AR197+AR326)</f>
        <v>710.76485910181498</v>
      </c>
      <c r="AS165" s="200">
        <f t="shared" si="11"/>
        <v>721.35843642882958</v>
      </c>
      <c r="AT165" s="200">
        <f t="shared" si="11"/>
        <v>732.10990546805567</v>
      </c>
      <c r="AU165" s="200">
        <f t="shared" si="11"/>
        <v>743.02161951262713</v>
      </c>
      <c r="AV165" s="200">
        <f t="shared" si="11"/>
        <v>754.09596693027709</v>
      </c>
      <c r="AW165" s="200">
        <f t="shared" si="11"/>
        <v>765.3353716861069</v>
      </c>
      <c r="AX165" s="200">
        <f t="shared" si="11"/>
        <v>776.74229387314597</v>
      </c>
      <c r="AY165" s="200">
        <f t="shared" si="11"/>
        <v>788.31923025081937</v>
      </c>
      <c r="AZ165" s="200">
        <f t="shared" si="11"/>
        <v>800.06871479144206</v>
      </c>
      <c r="BA165" s="200">
        <f t="shared" si="11"/>
        <v>811.99331923485636</v>
      </c>
      <c r="BB165" s="200">
        <f t="shared" si="11"/>
        <v>824.09565365133801</v>
      </c>
      <c r="BC165" s="200">
        <f t="shared" si="11"/>
        <v>836.37836701289064</v>
      </c>
      <c r="BD165" s="200">
        <f t="shared" si="11"/>
        <v>848.84414777305631</v>
      </c>
      <c r="BE165" s="200">
        <f t="shared" si="11"/>
        <v>861.49572445536592</v>
      </c>
      <c r="BF165" s="200">
        <f t="shared" si="11"/>
        <v>874.33586625056262</v>
      </c>
      <c r="BG165" s="200">
        <f t="shared" si="11"/>
        <v>887.36738362272456</v>
      </c>
      <c r="BH165" s="200">
        <f t="shared" si="11"/>
        <v>900.59312892442256</v>
      </c>
      <c r="BI165" s="200">
        <f t="shared" si="11"/>
        <v>914.01599702104591</v>
      </c>
      <c r="BJ165" s="200">
        <f t="shared" si="11"/>
        <v>927.63892592443403</v>
      </c>
      <c r="BK165" s="200">
        <f t="shared" si="11"/>
        <v>941.46489743595112</v>
      </c>
    </row>
    <row r="166" spans="1:91" ht="14.25" customHeight="1" thickBot="1" x14ac:dyDescent="0.2">
      <c r="G166" s="22"/>
      <c r="H166" s="254"/>
      <c r="J166" s="241"/>
      <c r="K166" s="144" t="s">
        <v>135</v>
      </c>
      <c r="L166" s="150">
        <f t="shared" si="10"/>
        <v>1806.462617457503</v>
      </c>
      <c r="M166" s="150">
        <f t="shared" si="10"/>
        <v>1762.4295834724421</v>
      </c>
      <c r="N166" s="150">
        <f t="shared" si="10"/>
        <v>1733.2139450293894</v>
      </c>
      <c r="O166" s="150">
        <f t="shared" si="10"/>
        <v>1703.9983065863364</v>
      </c>
      <c r="P166" s="150">
        <f t="shared" si="10"/>
        <v>1674.7826681432834</v>
      </c>
      <c r="Q166" s="150">
        <f t="shared" si="10"/>
        <v>1645.5670297002305</v>
      </c>
      <c r="R166" s="150">
        <f t="shared" si="10"/>
        <v>1616.3513912571775</v>
      </c>
      <c r="S166" s="150">
        <f t="shared" si="10"/>
        <v>1587.1357528141248</v>
      </c>
      <c r="T166" s="150">
        <f t="shared" si="10"/>
        <v>1557.9201143710718</v>
      </c>
      <c r="U166" s="150">
        <f t="shared" si="10"/>
        <v>1528.7044759280191</v>
      </c>
      <c r="V166" s="150">
        <f t="shared" si="10"/>
        <v>1499.4888374849661</v>
      </c>
      <c r="W166" s="150">
        <f t="shared" si="10"/>
        <v>1470.2731990419134</v>
      </c>
      <c r="X166" s="150">
        <f t="shared" si="10"/>
        <v>1442.3718129705192</v>
      </c>
      <c r="Y166" s="150">
        <f t="shared" si="10"/>
        <v>1414.470426899125</v>
      </c>
      <c r="Z166" s="150">
        <f t="shared" si="10"/>
        <v>1386.5690408277308</v>
      </c>
      <c r="AA166" s="150">
        <f t="shared" si="10"/>
        <v>1358.6676547563363</v>
      </c>
      <c r="AB166" s="150">
        <f t="shared" si="10"/>
        <v>1330.7662686849419</v>
      </c>
      <c r="AC166" s="150">
        <f t="shared" si="10"/>
        <v>1302.8648826135477</v>
      </c>
      <c r="AD166" s="150">
        <f t="shared" si="10"/>
        <v>1274.9634965421533</v>
      </c>
      <c r="AE166" s="150">
        <f t="shared" si="10"/>
        <v>1247.0621104707593</v>
      </c>
      <c r="AF166" s="150">
        <f t="shared" si="10"/>
        <v>1219.1607243993649</v>
      </c>
      <c r="AG166" s="150">
        <f t="shared" si="10"/>
        <v>1191.2593383279705</v>
      </c>
      <c r="AH166" s="150">
        <f t="shared" si="10"/>
        <v>1163.3579522565763</v>
      </c>
      <c r="AI166" s="150">
        <f t="shared" si="10"/>
        <v>1135.4565661851818</v>
      </c>
      <c r="AJ166" s="150">
        <f t="shared" si="10"/>
        <v>1107.5551801137876</v>
      </c>
      <c r="AK166" s="150">
        <f t="shared" si="10"/>
        <v>1079.6537940423934</v>
      </c>
      <c r="AL166" s="150">
        <f t="shared" si="10"/>
        <v>1051.752407970999</v>
      </c>
      <c r="AM166" s="150">
        <f t="shared" si="10"/>
        <v>1023.8510218996048</v>
      </c>
      <c r="AN166" s="150">
        <f t="shared" si="10"/>
        <v>995.94963582821049</v>
      </c>
      <c r="AO166" s="150">
        <f t="shared" si="10"/>
        <v>968.04824975681618</v>
      </c>
      <c r="AP166" s="150">
        <f t="shared" si="10"/>
        <v>940.14686368542186</v>
      </c>
      <c r="AQ166" s="150">
        <f t="shared" si="10"/>
        <v>912.24547761402732</v>
      </c>
    </row>
    <row r="167" spans="1:91" ht="14.25" customHeight="1" thickTop="1" x14ac:dyDescent="0.15">
      <c r="G167" s="22"/>
      <c r="H167" s="254"/>
      <c r="J167" s="241"/>
      <c r="K167" s="140" t="s">
        <v>136</v>
      </c>
      <c r="L167" s="151">
        <f t="shared" si="10"/>
        <v>1806.462617457503</v>
      </c>
      <c r="M167" s="151">
        <f t="shared" si="10"/>
        <v>1762.4295834724421</v>
      </c>
      <c r="N167" s="151">
        <f t="shared" si="10"/>
        <v>1656.2193106005366</v>
      </c>
      <c r="O167" s="151">
        <f t="shared" si="10"/>
        <v>1550.009037728631</v>
      </c>
      <c r="P167" s="151">
        <f t="shared" si="10"/>
        <v>1443.7987648567257</v>
      </c>
      <c r="Q167" s="151">
        <f t="shared" si="10"/>
        <v>1337.5884919848202</v>
      </c>
      <c r="R167" s="151">
        <f t="shared" si="10"/>
        <v>1231.3782191129148</v>
      </c>
      <c r="S167" s="151">
        <f t="shared" si="10"/>
        <v>1125.1679462410093</v>
      </c>
      <c r="T167" s="151">
        <f t="shared" si="10"/>
        <v>1018.9576733691038</v>
      </c>
      <c r="U167" s="151">
        <f t="shared" si="10"/>
        <v>912.74740049719821</v>
      </c>
      <c r="V167" s="151">
        <f t="shared" si="10"/>
        <v>806.53712762529267</v>
      </c>
      <c r="W167" s="151">
        <f t="shared" si="10"/>
        <v>700.32685475338667</v>
      </c>
      <c r="X167" s="151">
        <f t="shared" si="10"/>
        <v>691.30060058709171</v>
      </c>
      <c r="Y167" s="151">
        <f t="shared" si="10"/>
        <v>682.27434642079697</v>
      </c>
      <c r="Z167" s="151">
        <f t="shared" si="10"/>
        <v>673.24809225450224</v>
      </c>
      <c r="AA167" s="151">
        <f t="shared" si="10"/>
        <v>664.22183808820739</v>
      </c>
      <c r="AB167" s="151">
        <f t="shared" si="10"/>
        <v>655.19558392191266</v>
      </c>
      <c r="AC167" s="151">
        <f t="shared" si="10"/>
        <v>646.16932975561781</v>
      </c>
      <c r="AD167" s="151">
        <f t="shared" si="10"/>
        <v>637.14307558932308</v>
      </c>
      <c r="AE167" s="151">
        <f t="shared" si="10"/>
        <v>628.11682142302834</v>
      </c>
      <c r="AF167" s="151">
        <f t="shared" si="10"/>
        <v>619.09056725673338</v>
      </c>
      <c r="AG167" s="151">
        <f t="shared" si="10"/>
        <v>610.06431309043865</v>
      </c>
      <c r="AH167" s="151">
        <f t="shared" si="10"/>
        <v>601.03805892414391</v>
      </c>
      <c r="AI167" s="151">
        <f t="shared" si="10"/>
        <v>592.01180475784906</v>
      </c>
      <c r="AJ167" s="151">
        <f t="shared" si="10"/>
        <v>582.98555059155433</v>
      </c>
      <c r="AK167" s="151">
        <f t="shared" si="10"/>
        <v>573.95929642525959</v>
      </c>
      <c r="AL167" s="151">
        <f t="shared" si="10"/>
        <v>564.93304225896475</v>
      </c>
      <c r="AM167" s="151">
        <f t="shared" si="10"/>
        <v>555.90678809267001</v>
      </c>
      <c r="AN167" s="151">
        <f t="shared" si="10"/>
        <v>546.88053392637516</v>
      </c>
      <c r="AO167" s="151">
        <f t="shared" si="10"/>
        <v>537.85427976008032</v>
      </c>
      <c r="AP167" s="151">
        <f t="shared" si="10"/>
        <v>528.82802559378558</v>
      </c>
      <c r="AQ167" s="151">
        <f t="shared" si="10"/>
        <v>519.80177142749028</v>
      </c>
    </row>
    <row r="168" spans="1:91" ht="14.25" customHeight="1" x14ac:dyDescent="0.15">
      <c r="G168" s="22"/>
      <c r="H168" s="254"/>
      <c r="J168" s="241"/>
      <c r="K168" s="19" t="s">
        <v>137</v>
      </c>
      <c r="L168" s="149">
        <f t="shared" si="10"/>
        <v>1806.462617457503</v>
      </c>
      <c r="M168" s="149">
        <f t="shared" si="10"/>
        <v>1762.4295834724421</v>
      </c>
      <c r="N168" s="149">
        <f t="shared" si="10"/>
        <v>1677.4111728866005</v>
      </c>
      <c r="O168" s="149">
        <f t="shared" si="10"/>
        <v>1592.3927623007592</v>
      </c>
      <c r="P168" s="149">
        <f t="shared" si="10"/>
        <v>1507.3743517149178</v>
      </c>
      <c r="Q168" s="149">
        <f t="shared" si="10"/>
        <v>1422.3559411290762</v>
      </c>
      <c r="R168" s="149">
        <f t="shared" si="10"/>
        <v>1337.3375305432346</v>
      </c>
      <c r="S168" s="149">
        <f t="shared" si="10"/>
        <v>1252.3191199573932</v>
      </c>
      <c r="T168" s="149">
        <f t="shared" si="10"/>
        <v>1167.3007093715519</v>
      </c>
      <c r="U168" s="149">
        <f t="shared" si="10"/>
        <v>1082.2822987857103</v>
      </c>
      <c r="V168" s="149">
        <f t="shared" si="10"/>
        <v>997.26388819986892</v>
      </c>
      <c r="W168" s="149">
        <f t="shared" si="10"/>
        <v>912.24547761402732</v>
      </c>
      <c r="X168" s="149">
        <f t="shared" si="10"/>
        <v>901.64954647099535</v>
      </c>
      <c r="Y168" s="149">
        <f t="shared" si="10"/>
        <v>891.05361532796337</v>
      </c>
      <c r="Z168" s="149">
        <f t="shared" si="10"/>
        <v>880.4576841849314</v>
      </c>
      <c r="AA168" s="149">
        <f t="shared" si="10"/>
        <v>869.86175304189942</v>
      </c>
      <c r="AB168" s="149">
        <f t="shared" si="10"/>
        <v>859.26582189886733</v>
      </c>
      <c r="AC168" s="149">
        <f t="shared" si="10"/>
        <v>848.66989075583547</v>
      </c>
      <c r="AD168" s="149">
        <f t="shared" si="10"/>
        <v>838.07395961280338</v>
      </c>
      <c r="AE168" s="149">
        <f t="shared" si="10"/>
        <v>827.4780284697714</v>
      </c>
      <c r="AF168" s="149">
        <f t="shared" si="10"/>
        <v>816.88209732673943</v>
      </c>
      <c r="AG168" s="149">
        <f t="shared" si="10"/>
        <v>806.28616618370745</v>
      </c>
      <c r="AH168" s="149">
        <f t="shared" si="10"/>
        <v>795.69023504067536</v>
      </c>
      <c r="AI168" s="149">
        <f t="shared" si="10"/>
        <v>785.09430389764339</v>
      </c>
      <c r="AJ168" s="149">
        <f t="shared" si="10"/>
        <v>774.49837275461141</v>
      </c>
      <c r="AK168" s="149">
        <f t="shared" si="10"/>
        <v>763.90244161157943</v>
      </c>
      <c r="AL168" s="149">
        <f t="shared" si="10"/>
        <v>753.30651046854746</v>
      </c>
      <c r="AM168" s="149">
        <f t="shared" si="10"/>
        <v>742.71057932551548</v>
      </c>
      <c r="AN168" s="149">
        <f t="shared" si="10"/>
        <v>732.11464818248351</v>
      </c>
      <c r="AO168" s="149">
        <f t="shared" si="10"/>
        <v>721.51871703945142</v>
      </c>
      <c r="AP168" s="149">
        <f t="shared" si="10"/>
        <v>710.92278589641955</v>
      </c>
      <c r="AQ168" s="149">
        <f t="shared" si="10"/>
        <v>700.32685475338667</v>
      </c>
    </row>
    <row r="169" spans="1:91" ht="14.25" customHeight="1" thickBot="1" x14ac:dyDescent="0.2">
      <c r="G169" s="22"/>
      <c r="H169" s="254"/>
      <c r="J169" s="241"/>
      <c r="K169" s="144" t="s">
        <v>138</v>
      </c>
      <c r="L169" s="150">
        <f t="shared" si="10"/>
        <v>1806.462617457503</v>
      </c>
      <c r="M169" s="150">
        <f t="shared" si="10"/>
        <v>1762.4295834724421</v>
      </c>
      <c r="N169" s="150">
        <f t="shared" si="10"/>
        <v>1733.2139450293894</v>
      </c>
      <c r="O169" s="150">
        <f t="shared" si="10"/>
        <v>1703.9983065863364</v>
      </c>
      <c r="P169" s="150">
        <f t="shared" si="10"/>
        <v>1674.7826681432834</v>
      </c>
      <c r="Q169" s="150">
        <f t="shared" si="10"/>
        <v>1645.5670297002305</v>
      </c>
      <c r="R169" s="150">
        <f t="shared" si="10"/>
        <v>1616.3513912571775</v>
      </c>
      <c r="S169" s="150">
        <f t="shared" si="10"/>
        <v>1587.1357528141248</v>
      </c>
      <c r="T169" s="150">
        <f t="shared" si="10"/>
        <v>1557.9201143710718</v>
      </c>
      <c r="U169" s="150">
        <f t="shared" si="10"/>
        <v>1528.7044759280191</v>
      </c>
      <c r="V169" s="150">
        <f t="shared" si="10"/>
        <v>1499.4888374849661</v>
      </c>
      <c r="W169" s="150">
        <f t="shared" si="10"/>
        <v>1470.2731990419134</v>
      </c>
      <c r="X169" s="150">
        <f t="shared" si="10"/>
        <v>1442.3718129705192</v>
      </c>
      <c r="Y169" s="150">
        <f t="shared" si="10"/>
        <v>1414.470426899125</v>
      </c>
      <c r="Z169" s="150">
        <f t="shared" si="10"/>
        <v>1386.5690408277308</v>
      </c>
      <c r="AA169" s="150">
        <f t="shared" si="10"/>
        <v>1358.6676547563363</v>
      </c>
      <c r="AB169" s="150">
        <f t="shared" si="10"/>
        <v>1330.7662686849419</v>
      </c>
      <c r="AC169" s="150">
        <f t="shared" si="10"/>
        <v>1302.8648826135477</v>
      </c>
      <c r="AD169" s="150">
        <f t="shared" si="10"/>
        <v>1274.9634965421533</v>
      </c>
      <c r="AE169" s="150">
        <f t="shared" si="10"/>
        <v>1247.0621104707593</v>
      </c>
      <c r="AF169" s="150">
        <f t="shared" si="10"/>
        <v>1219.1607243993649</v>
      </c>
      <c r="AG169" s="150">
        <f t="shared" si="10"/>
        <v>1191.2593383279705</v>
      </c>
      <c r="AH169" s="150">
        <f t="shared" si="10"/>
        <v>1163.3579522565763</v>
      </c>
      <c r="AI169" s="150">
        <f t="shared" si="10"/>
        <v>1135.4565661851818</v>
      </c>
      <c r="AJ169" s="150">
        <f t="shared" si="10"/>
        <v>1107.5551801137876</v>
      </c>
      <c r="AK169" s="150">
        <f t="shared" si="10"/>
        <v>1079.6537940423934</v>
      </c>
      <c r="AL169" s="150">
        <f t="shared" si="10"/>
        <v>1051.752407970999</v>
      </c>
      <c r="AM169" s="150">
        <f t="shared" si="10"/>
        <v>1023.8510218996048</v>
      </c>
      <c r="AN169" s="150">
        <f t="shared" si="10"/>
        <v>995.94963582821049</v>
      </c>
      <c r="AO169" s="150">
        <f t="shared" si="10"/>
        <v>968.04824975681618</v>
      </c>
      <c r="AP169" s="150">
        <f t="shared" si="10"/>
        <v>940.14686368542186</v>
      </c>
      <c r="AQ169" s="150">
        <f t="shared" si="10"/>
        <v>912.24547761402732</v>
      </c>
      <c r="AT169" s="153"/>
      <c r="AU169" s="153"/>
    </row>
    <row r="170" spans="1:91" ht="14.25" customHeight="1" thickTop="1" thickBot="1" x14ac:dyDescent="0.2">
      <c r="G170" s="22"/>
      <c r="H170" s="254"/>
      <c r="J170" s="241"/>
      <c r="K170" s="140" t="s">
        <v>139</v>
      </c>
      <c r="L170" s="151">
        <f t="shared" si="10"/>
        <v>1806.462617457503</v>
      </c>
      <c r="M170" s="151">
        <f t="shared" si="10"/>
        <v>1762.4295834724421</v>
      </c>
      <c r="N170" s="151">
        <f t="shared" si="10"/>
        <v>1656.2193106005366</v>
      </c>
      <c r="O170" s="151">
        <f t="shared" si="10"/>
        <v>1550.009037728631</v>
      </c>
      <c r="P170" s="151">
        <f t="shared" si="10"/>
        <v>1443.7987648567257</v>
      </c>
      <c r="Q170" s="151">
        <f t="shared" si="10"/>
        <v>1337.5884919848202</v>
      </c>
      <c r="R170" s="151">
        <f t="shared" si="10"/>
        <v>1231.3782191129148</v>
      </c>
      <c r="S170" s="151">
        <f t="shared" si="10"/>
        <v>1125.1679462410093</v>
      </c>
      <c r="T170" s="151">
        <f t="shared" si="10"/>
        <v>1018.9576733691038</v>
      </c>
      <c r="U170" s="151">
        <f t="shared" si="10"/>
        <v>912.74740049719821</v>
      </c>
      <c r="V170" s="151">
        <f t="shared" si="10"/>
        <v>806.53712762529267</v>
      </c>
      <c r="W170" s="151">
        <f t="shared" si="10"/>
        <v>700.32685475338667</v>
      </c>
      <c r="X170" s="151">
        <f t="shared" si="10"/>
        <v>691.30060058709171</v>
      </c>
      <c r="Y170" s="151">
        <f t="shared" si="10"/>
        <v>682.27434642079697</v>
      </c>
      <c r="Z170" s="151">
        <f t="shared" si="10"/>
        <v>673.24809225450224</v>
      </c>
      <c r="AA170" s="151">
        <f t="shared" si="10"/>
        <v>664.22183808820739</v>
      </c>
      <c r="AB170" s="151">
        <f t="shared" si="10"/>
        <v>655.19558392191266</v>
      </c>
      <c r="AC170" s="151">
        <f t="shared" si="10"/>
        <v>646.16932975561781</v>
      </c>
      <c r="AD170" s="151">
        <f t="shared" si="10"/>
        <v>637.14307558932308</v>
      </c>
      <c r="AE170" s="151">
        <f t="shared" si="10"/>
        <v>628.11682142302834</v>
      </c>
      <c r="AF170" s="151">
        <f t="shared" si="10"/>
        <v>619.09056725673338</v>
      </c>
      <c r="AG170" s="151">
        <f t="shared" si="10"/>
        <v>610.06431309043865</v>
      </c>
      <c r="AH170" s="151">
        <f t="shared" si="10"/>
        <v>601.03805892414391</v>
      </c>
      <c r="AI170" s="151">
        <f t="shared" si="10"/>
        <v>592.01180475784906</v>
      </c>
      <c r="AJ170" s="151">
        <f t="shared" si="10"/>
        <v>582.98555059155433</v>
      </c>
      <c r="AK170" s="151">
        <f t="shared" si="10"/>
        <v>573.95929642525959</v>
      </c>
      <c r="AL170" s="151">
        <f t="shared" si="10"/>
        <v>564.93304225896475</v>
      </c>
      <c r="AM170" s="151">
        <f t="shared" si="10"/>
        <v>555.90678809267001</v>
      </c>
      <c r="AN170" s="151">
        <f t="shared" si="10"/>
        <v>546.88053392637516</v>
      </c>
      <c r="AO170" s="151">
        <f t="shared" si="10"/>
        <v>537.85427976008032</v>
      </c>
      <c r="AP170" s="151">
        <f t="shared" si="10"/>
        <v>528.82802559378558</v>
      </c>
      <c r="AQ170" s="151">
        <f t="shared" si="10"/>
        <v>519.80177142749028</v>
      </c>
      <c r="AV170" s="153"/>
      <c r="AW170" s="153"/>
      <c r="AX170" s="153"/>
      <c r="AY170" s="153"/>
      <c r="BB170" s="153"/>
    </row>
    <row r="171" spans="1:91" s="153" customFormat="1" ht="14.25" customHeight="1" thickTop="1" thickBot="1" x14ac:dyDescent="0.2">
      <c r="A171" s="16"/>
      <c r="B171" s="16"/>
      <c r="C171" s="16"/>
      <c r="D171" s="16"/>
      <c r="E171" s="16"/>
      <c r="F171" s="16"/>
      <c r="G171" s="22"/>
      <c r="H171" s="254"/>
      <c r="I171" s="16"/>
      <c r="J171" s="241"/>
      <c r="K171" s="19" t="s">
        <v>140</v>
      </c>
      <c r="L171" s="149">
        <f t="shared" si="10"/>
        <v>1806.462617457503</v>
      </c>
      <c r="M171" s="149">
        <f t="shared" si="10"/>
        <v>1762.4295834724421</v>
      </c>
      <c r="N171" s="149">
        <f t="shared" si="10"/>
        <v>1677.4111728866005</v>
      </c>
      <c r="O171" s="149">
        <f t="shared" si="10"/>
        <v>1592.3927623007592</v>
      </c>
      <c r="P171" s="149">
        <f t="shared" si="10"/>
        <v>1507.3743517149178</v>
      </c>
      <c r="Q171" s="149">
        <f t="shared" si="10"/>
        <v>1422.3559411290762</v>
      </c>
      <c r="R171" s="149">
        <f t="shared" si="10"/>
        <v>1337.3375305432346</v>
      </c>
      <c r="S171" s="149">
        <f t="shared" si="10"/>
        <v>1252.3191199573932</v>
      </c>
      <c r="T171" s="149">
        <f t="shared" si="10"/>
        <v>1167.3007093715519</v>
      </c>
      <c r="U171" s="149">
        <f t="shared" si="10"/>
        <v>1082.2822987857103</v>
      </c>
      <c r="V171" s="149">
        <f t="shared" si="10"/>
        <v>997.26388819986892</v>
      </c>
      <c r="W171" s="149">
        <f t="shared" si="10"/>
        <v>912.24547761402732</v>
      </c>
      <c r="X171" s="149">
        <f t="shared" si="10"/>
        <v>901.64954647099535</v>
      </c>
      <c r="Y171" s="149">
        <f t="shared" si="10"/>
        <v>891.05361532796337</v>
      </c>
      <c r="Z171" s="149">
        <f t="shared" si="10"/>
        <v>880.4576841849314</v>
      </c>
      <c r="AA171" s="149">
        <f t="shared" si="10"/>
        <v>869.86175304189942</v>
      </c>
      <c r="AB171" s="149">
        <f t="shared" si="10"/>
        <v>859.26582189886733</v>
      </c>
      <c r="AC171" s="149">
        <f t="shared" si="10"/>
        <v>848.66989075583547</v>
      </c>
      <c r="AD171" s="149">
        <f t="shared" si="10"/>
        <v>838.07395961280338</v>
      </c>
      <c r="AE171" s="149">
        <f t="shared" si="10"/>
        <v>827.4780284697714</v>
      </c>
      <c r="AF171" s="149">
        <f t="shared" si="10"/>
        <v>816.88209732673943</v>
      </c>
      <c r="AG171" s="149">
        <f t="shared" si="10"/>
        <v>806.28616618370745</v>
      </c>
      <c r="AH171" s="149">
        <f t="shared" si="10"/>
        <v>795.69023504067536</v>
      </c>
      <c r="AI171" s="149">
        <f t="shared" si="10"/>
        <v>785.09430389764339</v>
      </c>
      <c r="AJ171" s="149">
        <f t="shared" si="10"/>
        <v>774.49837275461141</v>
      </c>
      <c r="AK171" s="149">
        <f t="shared" si="10"/>
        <v>763.90244161157943</v>
      </c>
      <c r="AL171" s="149">
        <f t="shared" si="10"/>
        <v>753.30651046854746</v>
      </c>
      <c r="AM171" s="149">
        <f t="shared" si="10"/>
        <v>742.71057932551548</v>
      </c>
      <c r="AN171" s="149">
        <f t="shared" si="10"/>
        <v>732.11464818248351</v>
      </c>
      <c r="AO171" s="149">
        <f t="shared" si="10"/>
        <v>721.51871703945142</v>
      </c>
      <c r="AP171" s="149">
        <f t="shared" si="10"/>
        <v>710.92278589641955</v>
      </c>
      <c r="AQ171" s="149">
        <f t="shared" ref="AQ171" si="12" xml:space="preserve"> $N$45*(AQ203+AQ332)</f>
        <v>700.32685475338667</v>
      </c>
      <c r="AR171" s="16"/>
      <c r="AS171" s="16"/>
      <c r="AT171" s="16"/>
      <c r="AU171" s="16"/>
      <c r="AV171" s="155"/>
      <c r="AW171" s="155"/>
      <c r="AX171" s="155"/>
      <c r="AY171" s="155"/>
      <c r="BB171" s="155"/>
      <c r="BC171" s="16"/>
      <c r="BD171" s="16"/>
      <c r="BE171" s="16"/>
      <c r="BF171" s="16"/>
      <c r="BG171" s="16"/>
      <c r="BH171" s="16"/>
      <c r="BI171" s="16"/>
      <c r="BJ171" s="16"/>
      <c r="BK171" s="16"/>
      <c r="BL171" s="16"/>
      <c r="BM171" s="16"/>
      <c r="BN171" s="16"/>
      <c r="BO171" s="16"/>
      <c r="BP171" s="16"/>
      <c r="BQ171" s="16"/>
      <c r="BR171" s="16"/>
      <c r="BS171" s="16"/>
      <c r="BT171" s="16"/>
      <c r="BU171" s="16"/>
      <c r="BV171" s="16"/>
      <c r="BW171" s="16"/>
      <c r="BX171" s="16"/>
      <c r="BY171" s="16"/>
      <c r="BZ171" s="16"/>
      <c r="CA171" s="16"/>
      <c r="CB171" s="16"/>
      <c r="CC171" s="16"/>
      <c r="CD171" s="16"/>
      <c r="CE171" s="16"/>
      <c r="CF171" s="16"/>
      <c r="CG171" s="16"/>
      <c r="CH171" s="16"/>
      <c r="CI171" s="16"/>
      <c r="CJ171" s="16"/>
      <c r="CK171" s="16"/>
      <c r="CL171" s="16"/>
      <c r="CM171" s="16"/>
    </row>
    <row r="172" spans="1:91" s="155" customFormat="1" ht="14.25" customHeight="1" thickTop="1" thickBot="1" x14ac:dyDescent="0.2">
      <c r="A172" s="16"/>
      <c r="B172" s="16"/>
      <c r="C172" s="16"/>
      <c r="D172" s="16"/>
      <c r="E172" s="16"/>
      <c r="F172" s="16"/>
      <c r="G172" s="22"/>
      <c r="H172" s="254"/>
      <c r="I172" s="16"/>
      <c r="J172" s="241"/>
      <c r="K172" s="144" t="s">
        <v>141</v>
      </c>
      <c r="L172" s="152">
        <f t="shared" ref="L172:AQ179" si="13" xml:space="preserve"> $N$45*(L204+L333)</f>
        <v>1806.462617457503</v>
      </c>
      <c r="M172" s="152">
        <f t="shared" si="13"/>
        <v>1762.4295834724421</v>
      </c>
      <c r="N172" s="152">
        <f t="shared" si="13"/>
        <v>1733.2139450293894</v>
      </c>
      <c r="O172" s="152">
        <f t="shared" si="13"/>
        <v>1703.9983065863364</v>
      </c>
      <c r="P172" s="152">
        <f t="shared" si="13"/>
        <v>1674.7826681432834</v>
      </c>
      <c r="Q172" s="152">
        <f t="shared" si="13"/>
        <v>1645.5670297002305</v>
      </c>
      <c r="R172" s="152">
        <f t="shared" si="13"/>
        <v>1616.3513912571775</v>
      </c>
      <c r="S172" s="152">
        <f t="shared" si="13"/>
        <v>1587.1357528141248</v>
      </c>
      <c r="T172" s="152">
        <f t="shared" si="13"/>
        <v>1557.9201143710718</v>
      </c>
      <c r="U172" s="152">
        <f t="shared" si="13"/>
        <v>1528.7044759280191</v>
      </c>
      <c r="V172" s="152">
        <f t="shared" si="13"/>
        <v>1499.4888374849661</v>
      </c>
      <c r="W172" s="152">
        <f t="shared" si="13"/>
        <v>1470.2731990419134</v>
      </c>
      <c r="X172" s="152">
        <f t="shared" si="13"/>
        <v>1442.3718129705192</v>
      </c>
      <c r="Y172" s="152">
        <f t="shared" si="13"/>
        <v>1414.470426899125</v>
      </c>
      <c r="Z172" s="152">
        <f t="shared" si="13"/>
        <v>1386.5690408277308</v>
      </c>
      <c r="AA172" s="152">
        <f t="shared" si="13"/>
        <v>1358.6676547563363</v>
      </c>
      <c r="AB172" s="152">
        <f t="shared" si="13"/>
        <v>1330.7662686849419</v>
      </c>
      <c r="AC172" s="152">
        <f t="shared" si="13"/>
        <v>1302.8648826135477</v>
      </c>
      <c r="AD172" s="152">
        <f t="shared" si="13"/>
        <v>1274.9634965421533</v>
      </c>
      <c r="AE172" s="152">
        <f t="shared" si="13"/>
        <v>1247.0621104707593</v>
      </c>
      <c r="AF172" s="152">
        <f t="shared" si="13"/>
        <v>1219.1607243993649</v>
      </c>
      <c r="AG172" s="152">
        <f t="shared" si="13"/>
        <v>1191.2593383279705</v>
      </c>
      <c r="AH172" s="152">
        <f t="shared" si="13"/>
        <v>1163.3579522565763</v>
      </c>
      <c r="AI172" s="152">
        <f t="shared" si="13"/>
        <v>1135.4565661851818</v>
      </c>
      <c r="AJ172" s="152">
        <f t="shared" si="13"/>
        <v>1107.5551801137876</v>
      </c>
      <c r="AK172" s="152">
        <f t="shared" si="13"/>
        <v>1079.6537940423934</v>
      </c>
      <c r="AL172" s="152">
        <f t="shared" si="13"/>
        <v>1051.752407970999</v>
      </c>
      <c r="AM172" s="152">
        <f t="shared" si="13"/>
        <v>1023.8510218996048</v>
      </c>
      <c r="AN172" s="152">
        <f t="shared" si="13"/>
        <v>995.94963582821049</v>
      </c>
      <c r="AO172" s="152">
        <f t="shared" si="13"/>
        <v>968.04824975681618</v>
      </c>
      <c r="AP172" s="152">
        <f t="shared" si="13"/>
        <v>940.14686368542186</v>
      </c>
      <c r="AQ172" s="152">
        <f t="shared" si="13"/>
        <v>912.24547761402732</v>
      </c>
      <c r="AR172" s="16"/>
      <c r="AS172" s="16"/>
      <c r="AT172" s="16"/>
      <c r="AU172" s="16"/>
      <c r="AV172" s="16"/>
      <c r="AW172" s="16"/>
      <c r="AX172" s="16"/>
      <c r="AY172" s="16"/>
      <c r="BB172" s="16"/>
      <c r="BC172" s="16"/>
      <c r="BD172" s="16"/>
      <c r="BE172" s="16"/>
      <c r="BF172" s="16"/>
      <c r="BG172" s="153"/>
      <c r="BH172" s="153"/>
      <c r="BI172" s="153"/>
      <c r="BJ172" s="16"/>
      <c r="BK172" s="16"/>
      <c r="BL172" s="16"/>
      <c r="BM172" s="16"/>
      <c r="BN172" s="16"/>
      <c r="BO172" s="16"/>
      <c r="BP172" s="16"/>
      <c r="BQ172" s="16"/>
      <c r="BR172" s="16"/>
      <c r="BS172" s="16"/>
      <c r="BT172" s="16"/>
      <c r="BU172" s="16"/>
      <c r="BV172" s="16"/>
      <c r="BW172" s="16"/>
      <c r="BX172" s="16"/>
      <c r="BY172" s="16"/>
      <c r="BZ172" s="16"/>
      <c r="CA172" s="16"/>
      <c r="CB172" s="16"/>
      <c r="CC172" s="16"/>
      <c r="CD172" s="16"/>
      <c r="CE172" s="16"/>
      <c r="CF172" s="16"/>
      <c r="CG172" s="16"/>
      <c r="CH172" s="16"/>
      <c r="CI172" s="16"/>
      <c r="CJ172" s="16"/>
      <c r="CK172" s="16"/>
      <c r="CL172" s="16"/>
      <c r="CM172" s="16"/>
    </row>
    <row r="173" spans="1:91" ht="14.25" customHeight="1" thickTop="1" thickBot="1" x14ac:dyDescent="0.2">
      <c r="G173" s="22"/>
      <c r="H173" s="254"/>
      <c r="J173" s="241"/>
      <c r="K173" s="140" t="s">
        <v>142</v>
      </c>
      <c r="L173" s="151">
        <f t="shared" si="13"/>
        <v>1806.462617457503</v>
      </c>
      <c r="M173" s="151">
        <f t="shared" si="13"/>
        <v>1762.4295834724421</v>
      </c>
      <c r="N173" s="151">
        <f t="shared" si="13"/>
        <v>1656.2193106005366</v>
      </c>
      <c r="O173" s="151">
        <f t="shared" si="13"/>
        <v>1550.009037728631</v>
      </c>
      <c r="P173" s="151">
        <f t="shared" si="13"/>
        <v>1443.7987648567257</v>
      </c>
      <c r="Q173" s="151">
        <f t="shared" si="13"/>
        <v>1337.5884919848202</v>
      </c>
      <c r="R173" s="151">
        <f t="shared" si="13"/>
        <v>1231.3782191129148</v>
      </c>
      <c r="S173" s="151">
        <f t="shared" si="13"/>
        <v>1125.1679462410093</v>
      </c>
      <c r="T173" s="151">
        <f t="shared" si="13"/>
        <v>1018.9576733691038</v>
      </c>
      <c r="U173" s="151">
        <f t="shared" si="13"/>
        <v>912.74740049719821</v>
      </c>
      <c r="V173" s="151">
        <f t="shared" si="13"/>
        <v>806.53712762529267</v>
      </c>
      <c r="W173" s="151">
        <f t="shared" si="13"/>
        <v>700.32685475338667</v>
      </c>
      <c r="X173" s="151">
        <f t="shared" si="13"/>
        <v>691.30060058709171</v>
      </c>
      <c r="Y173" s="151">
        <f t="shared" si="13"/>
        <v>682.27434642079697</v>
      </c>
      <c r="Z173" s="151">
        <f t="shared" si="13"/>
        <v>673.24809225450224</v>
      </c>
      <c r="AA173" s="151">
        <f t="shared" si="13"/>
        <v>664.22183808820739</v>
      </c>
      <c r="AB173" s="151">
        <f t="shared" si="13"/>
        <v>655.19558392191266</v>
      </c>
      <c r="AC173" s="151">
        <f t="shared" si="13"/>
        <v>646.16932975561781</v>
      </c>
      <c r="AD173" s="151">
        <f t="shared" si="13"/>
        <v>637.14307558932308</v>
      </c>
      <c r="AE173" s="151">
        <f t="shared" si="13"/>
        <v>628.11682142302834</v>
      </c>
      <c r="AF173" s="151">
        <f t="shared" si="13"/>
        <v>619.09056725673338</v>
      </c>
      <c r="AG173" s="151">
        <f t="shared" si="13"/>
        <v>610.06431309043865</v>
      </c>
      <c r="AH173" s="151">
        <f t="shared" si="13"/>
        <v>601.03805892414391</v>
      </c>
      <c r="AI173" s="151">
        <f t="shared" si="13"/>
        <v>592.01180475784906</v>
      </c>
      <c r="AJ173" s="151">
        <f t="shared" si="13"/>
        <v>582.98555059155433</v>
      </c>
      <c r="AK173" s="151">
        <f t="shared" si="13"/>
        <v>573.95929642525959</v>
      </c>
      <c r="AL173" s="151">
        <f t="shared" si="13"/>
        <v>564.93304225896475</v>
      </c>
      <c r="AM173" s="151">
        <f t="shared" si="13"/>
        <v>555.90678809267001</v>
      </c>
      <c r="AN173" s="151">
        <f t="shared" si="13"/>
        <v>546.88053392637516</v>
      </c>
      <c r="AO173" s="151">
        <f t="shared" si="13"/>
        <v>537.85427976008032</v>
      </c>
      <c r="AP173" s="151">
        <f t="shared" si="13"/>
        <v>528.82802559378558</v>
      </c>
      <c r="AQ173" s="151">
        <f t="shared" si="13"/>
        <v>519.80177142749028</v>
      </c>
      <c r="AV173" s="153"/>
      <c r="AW173" s="153"/>
      <c r="AX173" s="153"/>
      <c r="AY173" s="153"/>
      <c r="BB173" s="153"/>
    </row>
    <row r="174" spans="1:91" s="153" customFormat="1" ht="14.25" customHeight="1" thickTop="1" thickBot="1" x14ac:dyDescent="0.2">
      <c r="A174" s="16"/>
      <c r="B174" s="16"/>
      <c r="C174" s="16"/>
      <c r="D174" s="16"/>
      <c r="E174" s="16"/>
      <c r="F174" s="16"/>
      <c r="G174" s="22"/>
      <c r="H174" s="254"/>
      <c r="I174" s="16"/>
      <c r="J174" s="241"/>
      <c r="K174" s="19" t="s">
        <v>143</v>
      </c>
      <c r="L174" s="149">
        <f t="shared" si="13"/>
        <v>1806.462617457503</v>
      </c>
      <c r="M174" s="149">
        <f t="shared" si="13"/>
        <v>1762.4295834724421</v>
      </c>
      <c r="N174" s="149">
        <f t="shared" si="13"/>
        <v>1677.4111728866005</v>
      </c>
      <c r="O174" s="149">
        <f t="shared" si="13"/>
        <v>1592.3927623007592</v>
      </c>
      <c r="P174" s="149">
        <f t="shared" si="13"/>
        <v>1507.3743517149178</v>
      </c>
      <c r="Q174" s="149">
        <f t="shared" si="13"/>
        <v>1422.3559411290762</v>
      </c>
      <c r="R174" s="149">
        <f t="shared" si="13"/>
        <v>1337.3375305432346</v>
      </c>
      <c r="S174" s="149">
        <f t="shared" si="13"/>
        <v>1252.3191199573932</v>
      </c>
      <c r="T174" s="149">
        <f t="shared" si="13"/>
        <v>1167.3007093715519</v>
      </c>
      <c r="U174" s="149">
        <f t="shared" si="13"/>
        <v>1082.2822987857103</v>
      </c>
      <c r="V174" s="149">
        <f t="shared" si="13"/>
        <v>997.26388819986892</v>
      </c>
      <c r="W174" s="149">
        <f t="shared" si="13"/>
        <v>912.24547761402732</v>
      </c>
      <c r="X174" s="149">
        <f t="shared" si="13"/>
        <v>901.64954647099535</v>
      </c>
      <c r="Y174" s="149">
        <f t="shared" si="13"/>
        <v>891.05361532796337</v>
      </c>
      <c r="Z174" s="149">
        <f t="shared" si="13"/>
        <v>880.4576841849314</v>
      </c>
      <c r="AA174" s="149">
        <f t="shared" si="13"/>
        <v>869.86175304189942</v>
      </c>
      <c r="AB174" s="149">
        <f t="shared" si="13"/>
        <v>859.26582189886733</v>
      </c>
      <c r="AC174" s="149">
        <f t="shared" si="13"/>
        <v>848.66989075583547</v>
      </c>
      <c r="AD174" s="149">
        <f t="shared" si="13"/>
        <v>838.07395961280338</v>
      </c>
      <c r="AE174" s="149">
        <f t="shared" si="13"/>
        <v>827.4780284697714</v>
      </c>
      <c r="AF174" s="149">
        <f t="shared" si="13"/>
        <v>816.88209732673943</v>
      </c>
      <c r="AG174" s="149">
        <f t="shared" si="13"/>
        <v>806.28616618370745</v>
      </c>
      <c r="AH174" s="149">
        <f t="shared" si="13"/>
        <v>795.69023504067536</v>
      </c>
      <c r="AI174" s="149">
        <f t="shared" si="13"/>
        <v>785.09430389764339</v>
      </c>
      <c r="AJ174" s="149">
        <f t="shared" si="13"/>
        <v>774.49837275461141</v>
      </c>
      <c r="AK174" s="149">
        <f t="shared" si="13"/>
        <v>763.90244161157943</v>
      </c>
      <c r="AL174" s="149">
        <f t="shared" si="13"/>
        <v>753.30651046854746</v>
      </c>
      <c r="AM174" s="149">
        <f t="shared" si="13"/>
        <v>742.71057932551548</v>
      </c>
      <c r="AN174" s="149">
        <f t="shared" si="13"/>
        <v>732.11464818248351</v>
      </c>
      <c r="AO174" s="149">
        <f t="shared" si="13"/>
        <v>721.51871703945142</v>
      </c>
      <c r="AP174" s="149">
        <f t="shared" si="13"/>
        <v>710.92278589641955</v>
      </c>
      <c r="AQ174" s="149">
        <f t="shared" si="13"/>
        <v>700.32685475338667</v>
      </c>
      <c r="AR174" s="16"/>
      <c r="AS174" s="16"/>
      <c r="AT174" s="16"/>
      <c r="AU174" s="16"/>
      <c r="AV174" s="155"/>
      <c r="AW174" s="155"/>
      <c r="AX174" s="155"/>
      <c r="AY174" s="155"/>
      <c r="BB174" s="155"/>
      <c r="BC174" s="16"/>
      <c r="BD174" s="16"/>
      <c r="BE174" s="16"/>
      <c r="BF174" s="16"/>
      <c r="BG174" s="16"/>
      <c r="BH174" s="16"/>
      <c r="BI174" s="16"/>
      <c r="BJ174" s="16"/>
      <c r="BK174" s="16"/>
      <c r="BL174" s="16"/>
      <c r="BM174" s="16"/>
      <c r="BN174" s="16"/>
      <c r="BO174" s="16"/>
      <c r="BP174" s="16"/>
      <c r="BQ174" s="16"/>
      <c r="BR174" s="16"/>
      <c r="BS174" s="16"/>
      <c r="BT174" s="16"/>
      <c r="BU174" s="16"/>
      <c r="BV174" s="16"/>
      <c r="BW174" s="16"/>
      <c r="BX174" s="16"/>
      <c r="BY174" s="16"/>
      <c r="BZ174" s="16"/>
      <c r="CA174" s="16"/>
      <c r="CB174" s="16"/>
      <c r="CC174" s="16"/>
      <c r="CD174" s="16"/>
      <c r="CE174" s="16"/>
      <c r="CF174" s="16"/>
      <c r="CG174" s="16"/>
      <c r="CH174" s="16"/>
      <c r="CI174" s="16"/>
      <c r="CJ174" s="16"/>
      <c r="CK174" s="16"/>
      <c r="CL174" s="16"/>
      <c r="CM174" s="16"/>
    </row>
    <row r="175" spans="1:91" s="155" customFormat="1" ht="14.25" customHeight="1" thickTop="1" thickBot="1" x14ac:dyDescent="0.2">
      <c r="A175" s="16"/>
      <c r="B175" s="16"/>
      <c r="C175" s="16"/>
      <c r="D175" s="16"/>
      <c r="E175" s="16"/>
      <c r="F175" s="16"/>
      <c r="G175" s="22"/>
      <c r="H175" s="254"/>
      <c r="I175" s="16"/>
      <c r="J175" s="241"/>
      <c r="K175" s="144" t="s">
        <v>144</v>
      </c>
      <c r="L175" s="152">
        <f t="shared" si="13"/>
        <v>1806.462617457503</v>
      </c>
      <c r="M175" s="152">
        <f t="shared" si="13"/>
        <v>1762.4295834724421</v>
      </c>
      <c r="N175" s="152">
        <f t="shared" si="13"/>
        <v>1733.2139450293894</v>
      </c>
      <c r="O175" s="152">
        <f t="shared" si="13"/>
        <v>1703.9983065863364</v>
      </c>
      <c r="P175" s="152">
        <f t="shared" si="13"/>
        <v>1674.7826681432834</v>
      </c>
      <c r="Q175" s="152">
        <f t="shared" si="13"/>
        <v>1645.5670297002305</v>
      </c>
      <c r="R175" s="152">
        <f t="shared" si="13"/>
        <v>1616.3513912571775</v>
      </c>
      <c r="S175" s="152">
        <f t="shared" si="13"/>
        <v>1587.1357528141248</v>
      </c>
      <c r="T175" s="152">
        <f t="shared" si="13"/>
        <v>1557.9201143710718</v>
      </c>
      <c r="U175" s="152">
        <f t="shared" si="13"/>
        <v>1528.7044759280191</v>
      </c>
      <c r="V175" s="152">
        <f t="shared" si="13"/>
        <v>1499.4888374849661</v>
      </c>
      <c r="W175" s="152">
        <f t="shared" si="13"/>
        <v>1470.2731990419134</v>
      </c>
      <c r="X175" s="152">
        <f t="shared" si="13"/>
        <v>1442.3718129705192</v>
      </c>
      <c r="Y175" s="152">
        <f t="shared" si="13"/>
        <v>1414.470426899125</v>
      </c>
      <c r="Z175" s="152">
        <f t="shared" si="13"/>
        <v>1386.5690408277308</v>
      </c>
      <c r="AA175" s="152">
        <f t="shared" si="13"/>
        <v>1358.6676547563363</v>
      </c>
      <c r="AB175" s="152">
        <f t="shared" si="13"/>
        <v>1330.7662686849419</v>
      </c>
      <c r="AC175" s="152">
        <f t="shared" si="13"/>
        <v>1302.8648826135477</v>
      </c>
      <c r="AD175" s="152">
        <f t="shared" si="13"/>
        <v>1274.9634965421533</v>
      </c>
      <c r="AE175" s="152">
        <f t="shared" si="13"/>
        <v>1247.0621104707593</v>
      </c>
      <c r="AF175" s="152">
        <f t="shared" si="13"/>
        <v>1219.1607243993649</v>
      </c>
      <c r="AG175" s="152">
        <f t="shared" si="13"/>
        <v>1191.2593383279705</v>
      </c>
      <c r="AH175" s="152">
        <f t="shared" si="13"/>
        <v>1163.3579522565763</v>
      </c>
      <c r="AI175" s="152">
        <f t="shared" si="13"/>
        <v>1135.4565661851818</v>
      </c>
      <c r="AJ175" s="152">
        <f t="shared" si="13"/>
        <v>1107.5551801137876</v>
      </c>
      <c r="AK175" s="152">
        <f t="shared" si="13"/>
        <v>1079.6537940423934</v>
      </c>
      <c r="AL175" s="152">
        <f t="shared" si="13"/>
        <v>1051.752407970999</v>
      </c>
      <c r="AM175" s="152">
        <f t="shared" si="13"/>
        <v>1023.8510218996048</v>
      </c>
      <c r="AN175" s="152">
        <f t="shared" si="13"/>
        <v>995.94963582821049</v>
      </c>
      <c r="AO175" s="152">
        <f t="shared" si="13"/>
        <v>968.04824975681618</v>
      </c>
      <c r="AP175" s="152">
        <f t="shared" si="13"/>
        <v>940.14686368542186</v>
      </c>
      <c r="AQ175" s="152">
        <f t="shared" si="13"/>
        <v>912.24547761402732</v>
      </c>
      <c r="AR175" s="16"/>
      <c r="AS175" s="16"/>
      <c r="AT175" s="16"/>
      <c r="AU175" s="16"/>
      <c r="AV175" s="16"/>
      <c r="AW175" s="16"/>
      <c r="AX175" s="16"/>
      <c r="AY175" s="16"/>
      <c r="BB175" s="16"/>
      <c r="BC175" s="16"/>
      <c r="BD175" s="16"/>
      <c r="BE175" s="16"/>
      <c r="BF175" s="16"/>
      <c r="BG175" s="153"/>
      <c r="BH175" s="153"/>
      <c r="BI175" s="153"/>
      <c r="BJ175" s="16"/>
      <c r="BK175" s="16"/>
      <c r="BL175" s="16"/>
      <c r="BM175" s="16"/>
      <c r="BN175" s="16"/>
      <c r="BO175" s="16"/>
      <c r="BP175" s="16"/>
      <c r="BQ175" s="16"/>
      <c r="BR175" s="16"/>
      <c r="BS175" s="16"/>
      <c r="BT175" s="16"/>
      <c r="BU175" s="16"/>
      <c r="BV175" s="16"/>
      <c r="BW175" s="16"/>
      <c r="BX175" s="16"/>
      <c r="BY175" s="16"/>
      <c r="BZ175" s="16"/>
      <c r="CA175" s="16"/>
      <c r="CB175" s="16"/>
      <c r="CC175" s="16"/>
      <c r="CD175" s="16"/>
      <c r="CE175" s="16"/>
      <c r="CF175" s="16"/>
      <c r="CG175" s="16"/>
      <c r="CH175" s="16"/>
      <c r="CI175" s="16"/>
      <c r="CJ175" s="16"/>
      <c r="CK175" s="16"/>
      <c r="CL175" s="16"/>
      <c r="CM175" s="16"/>
    </row>
    <row r="176" spans="1:91" ht="14.25" customHeight="1" thickTop="1" thickBot="1" x14ac:dyDescent="0.2">
      <c r="G176" s="22"/>
      <c r="H176" s="254"/>
      <c r="J176" s="241"/>
      <c r="K176" s="140" t="s">
        <v>145</v>
      </c>
      <c r="L176" s="151">
        <f t="shared" si="13"/>
        <v>1806.462617457503</v>
      </c>
      <c r="M176" s="151">
        <f t="shared" si="13"/>
        <v>1762.4295834724421</v>
      </c>
      <c r="N176" s="151">
        <f t="shared" si="13"/>
        <v>1656.2193106005366</v>
      </c>
      <c r="O176" s="151">
        <f t="shared" si="13"/>
        <v>1550.009037728631</v>
      </c>
      <c r="P176" s="151">
        <f t="shared" si="13"/>
        <v>1443.7987648567257</v>
      </c>
      <c r="Q176" s="151">
        <f t="shared" si="13"/>
        <v>1337.5884919848202</v>
      </c>
      <c r="R176" s="151">
        <f t="shared" si="13"/>
        <v>1231.3782191129148</v>
      </c>
      <c r="S176" s="151">
        <f t="shared" si="13"/>
        <v>1125.1679462410093</v>
      </c>
      <c r="T176" s="151">
        <f t="shared" si="13"/>
        <v>1018.9576733691038</v>
      </c>
      <c r="U176" s="151">
        <f t="shared" si="13"/>
        <v>912.74740049719821</v>
      </c>
      <c r="V176" s="151">
        <f t="shared" si="13"/>
        <v>806.53712762529267</v>
      </c>
      <c r="W176" s="151">
        <f t="shared" si="13"/>
        <v>700.32685475338667</v>
      </c>
      <c r="X176" s="151">
        <f t="shared" si="13"/>
        <v>691.30060058709171</v>
      </c>
      <c r="Y176" s="151">
        <f t="shared" si="13"/>
        <v>682.27434642079697</v>
      </c>
      <c r="Z176" s="151">
        <f t="shared" si="13"/>
        <v>673.24809225450224</v>
      </c>
      <c r="AA176" s="151">
        <f t="shared" si="13"/>
        <v>664.22183808820739</v>
      </c>
      <c r="AB176" s="151">
        <f t="shared" si="13"/>
        <v>655.19558392191266</v>
      </c>
      <c r="AC176" s="151">
        <f t="shared" si="13"/>
        <v>646.16932975561781</v>
      </c>
      <c r="AD176" s="151">
        <f t="shared" si="13"/>
        <v>637.14307558932308</v>
      </c>
      <c r="AE176" s="151">
        <f t="shared" si="13"/>
        <v>628.11682142302834</v>
      </c>
      <c r="AF176" s="151">
        <f t="shared" si="13"/>
        <v>619.09056725673338</v>
      </c>
      <c r="AG176" s="151">
        <f t="shared" si="13"/>
        <v>610.06431309043865</v>
      </c>
      <c r="AH176" s="151">
        <f t="shared" si="13"/>
        <v>601.03805892414391</v>
      </c>
      <c r="AI176" s="151">
        <f t="shared" si="13"/>
        <v>592.01180475784906</v>
      </c>
      <c r="AJ176" s="151">
        <f t="shared" si="13"/>
        <v>582.98555059155433</v>
      </c>
      <c r="AK176" s="151">
        <f t="shared" si="13"/>
        <v>573.95929642525959</v>
      </c>
      <c r="AL176" s="151">
        <f t="shared" si="13"/>
        <v>564.93304225896475</v>
      </c>
      <c r="AM176" s="151">
        <f t="shared" si="13"/>
        <v>555.90678809267001</v>
      </c>
      <c r="AN176" s="151">
        <f t="shared" si="13"/>
        <v>546.88053392637516</v>
      </c>
      <c r="AO176" s="151">
        <f t="shared" si="13"/>
        <v>537.85427976008032</v>
      </c>
      <c r="AP176" s="151">
        <f t="shared" si="13"/>
        <v>528.82802559378558</v>
      </c>
      <c r="AQ176" s="151">
        <f t="shared" si="13"/>
        <v>519.80177142749028</v>
      </c>
      <c r="AV176" s="153"/>
      <c r="AW176" s="153"/>
      <c r="AX176" s="153"/>
      <c r="AY176" s="153"/>
      <c r="BB176" s="153"/>
    </row>
    <row r="177" spans="1:91" s="153" customFormat="1" ht="14.25" customHeight="1" thickTop="1" thickBot="1" x14ac:dyDescent="0.2">
      <c r="A177" s="16"/>
      <c r="B177" s="16"/>
      <c r="C177" s="16"/>
      <c r="D177" s="16"/>
      <c r="E177" s="16"/>
      <c r="F177" s="16"/>
      <c r="G177" s="22"/>
      <c r="H177" s="254"/>
      <c r="I177" s="16"/>
      <c r="J177" s="241"/>
      <c r="K177" s="19" t="s">
        <v>146</v>
      </c>
      <c r="L177" s="149">
        <f t="shared" si="13"/>
        <v>1806.462617457503</v>
      </c>
      <c r="M177" s="149">
        <f t="shared" si="13"/>
        <v>1762.4295834724421</v>
      </c>
      <c r="N177" s="149">
        <f t="shared" si="13"/>
        <v>1677.4111728866005</v>
      </c>
      <c r="O177" s="149">
        <f t="shared" si="13"/>
        <v>1592.3927623007592</v>
      </c>
      <c r="P177" s="149">
        <f t="shared" si="13"/>
        <v>1507.3743517149178</v>
      </c>
      <c r="Q177" s="149">
        <f t="shared" si="13"/>
        <v>1422.3559411290762</v>
      </c>
      <c r="R177" s="149">
        <f t="shared" si="13"/>
        <v>1337.3375305432346</v>
      </c>
      <c r="S177" s="149">
        <f t="shared" si="13"/>
        <v>1252.3191199573932</v>
      </c>
      <c r="T177" s="149">
        <f t="shared" si="13"/>
        <v>1167.3007093715519</v>
      </c>
      <c r="U177" s="149">
        <f t="shared" si="13"/>
        <v>1082.2822987857103</v>
      </c>
      <c r="V177" s="149">
        <f t="shared" si="13"/>
        <v>997.26388819986892</v>
      </c>
      <c r="W177" s="149">
        <f t="shared" si="13"/>
        <v>912.24547761402732</v>
      </c>
      <c r="X177" s="149">
        <f t="shared" si="13"/>
        <v>901.64954647099535</v>
      </c>
      <c r="Y177" s="149">
        <f t="shared" si="13"/>
        <v>891.05361532796337</v>
      </c>
      <c r="Z177" s="149">
        <f t="shared" si="13"/>
        <v>880.4576841849314</v>
      </c>
      <c r="AA177" s="149">
        <f t="shared" si="13"/>
        <v>869.86175304189942</v>
      </c>
      <c r="AB177" s="149">
        <f t="shared" si="13"/>
        <v>859.26582189886733</v>
      </c>
      <c r="AC177" s="149">
        <f t="shared" si="13"/>
        <v>848.66989075583547</v>
      </c>
      <c r="AD177" s="149">
        <f t="shared" si="13"/>
        <v>838.07395961280338</v>
      </c>
      <c r="AE177" s="149">
        <f t="shared" si="13"/>
        <v>827.4780284697714</v>
      </c>
      <c r="AF177" s="149">
        <f t="shared" si="13"/>
        <v>816.88209732673943</v>
      </c>
      <c r="AG177" s="149">
        <f t="shared" si="13"/>
        <v>806.28616618370745</v>
      </c>
      <c r="AH177" s="149">
        <f t="shared" si="13"/>
        <v>795.69023504067536</v>
      </c>
      <c r="AI177" s="149">
        <f t="shared" si="13"/>
        <v>785.09430389764339</v>
      </c>
      <c r="AJ177" s="149">
        <f t="shared" si="13"/>
        <v>774.49837275461141</v>
      </c>
      <c r="AK177" s="149">
        <f t="shared" si="13"/>
        <v>763.90244161157943</v>
      </c>
      <c r="AL177" s="149">
        <f t="shared" si="13"/>
        <v>753.30651046854746</v>
      </c>
      <c r="AM177" s="149">
        <f t="shared" si="13"/>
        <v>742.71057932551548</v>
      </c>
      <c r="AN177" s="149">
        <f t="shared" si="13"/>
        <v>732.11464818248351</v>
      </c>
      <c r="AO177" s="149">
        <f t="shared" si="13"/>
        <v>721.51871703945142</v>
      </c>
      <c r="AP177" s="149">
        <f t="shared" si="13"/>
        <v>710.92278589641955</v>
      </c>
      <c r="AQ177" s="149">
        <f t="shared" si="13"/>
        <v>700.32685475338667</v>
      </c>
      <c r="AR177" s="16"/>
      <c r="AS177" s="16"/>
      <c r="AT177" s="16"/>
      <c r="AU177" s="16"/>
      <c r="AV177" s="155"/>
      <c r="AW177" s="155"/>
      <c r="AX177" s="155"/>
      <c r="AY177" s="155"/>
      <c r="BB177" s="155"/>
      <c r="BC177" s="16"/>
      <c r="BD177" s="16"/>
      <c r="BE177" s="16"/>
      <c r="BF177" s="16"/>
      <c r="BG177" s="16"/>
      <c r="BH177" s="16"/>
      <c r="BI177" s="16"/>
      <c r="BJ177" s="16"/>
      <c r="BK177" s="16"/>
      <c r="BL177" s="16"/>
      <c r="BM177" s="16"/>
      <c r="BN177" s="16"/>
      <c r="BO177" s="16"/>
      <c r="BP177" s="16"/>
      <c r="BQ177" s="16"/>
      <c r="BR177" s="16"/>
      <c r="BS177" s="16"/>
      <c r="BT177" s="16"/>
      <c r="BU177" s="16"/>
      <c r="BV177" s="16"/>
      <c r="BW177" s="16"/>
      <c r="BX177" s="16"/>
      <c r="BY177" s="16"/>
      <c r="BZ177" s="16"/>
      <c r="CA177" s="16"/>
      <c r="CB177" s="16"/>
      <c r="CC177" s="16"/>
      <c r="CD177" s="16"/>
      <c r="CE177" s="16"/>
      <c r="CF177" s="16"/>
      <c r="CG177" s="16"/>
      <c r="CH177" s="16"/>
      <c r="CI177" s="16"/>
      <c r="CJ177" s="16"/>
      <c r="CK177" s="16"/>
      <c r="CL177" s="16"/>
      <c r="CM177" s="16"/>
    </row>
    <row r="178" spans="1:91" s="155" customFormat="1" ht="14.25" customHeight="1" thickTop="1" thickBot="1" x14ac:dyDescent="0.2">
      <c r="A178" s="16"/>
      <c r="B178" s="16"/>
      <c r="C178" s="16"/>
      <c r="D178" s="16"/>
      <c r="E178" s="16"/>
      <c r="F178" s="16"/>
      <c r="G178" s="22"/>
      <c r="H178" s="254"/>
      <c r="I178" s="16"/>
      <c r="J178" s="241"/>
      <c r="K178" s="144" t="s">
        <v>147</v>
      </c>
      <c r="L178" s="152">
        <f t="shared" si="13"/>
        <v>1806.462617457503</v>
      </c>
      <c r="M178" s="152">
        <f t="shared" si="13"/>
        <v>1762.4295834724421</v>
      </c>
      <c r="N178" s="152">
        <f t="shared" si="13"/>
        <v>1733.2139450293894</v>
      </c>
      <c r="O178" s="152">
        <f t="shared" si="13"/>
        <v>1703.9983065863364</v>
      </c>
      <c r="P178" s="152">
        <f t="shared" si="13"/>
        <v>1674.7826681432834</v>
      </c>
      <c r="Q178" s="152">
        <f t="shared" si="13"/>
        <v>1645.5670297002305</v>
      </c>
      <c r="R178" s="152">
        <f t="shared" si="13"/>
        <v>1616.3513912571775</v>
      </c>
      <c r="S178" s="152">
        <f t="shared" si="13"/>
        <v>1587.1357528141248</v>
      </c>
      <c r="T178" s="152">
        <f t="shared" si="13"/>
        <v>1557.9201143710718</v>
      </c>
      <c r="U178" s="152">
        <f t="shared" si="13"/>
        <v>1528.7044759280191</v>
      </c>
      <c r="V178" s="152">
        <f t="shared" si="13"/>
        <v>1499.4888374849661</v>
      </c>
      <c r="W178" s="152">
        <f t="shared" si="13"/>
        <v>1470.2731990419134</v>
      </c>
      <c r="X178" s="152">
        <f t="shared" si="13"/>
        <v>1442.3718129705192</v>
      </c>
      <c r="Y178" s="152">
        <f t="shared" si="13"/>
        <v>1414.470426899125</v>
      </c>
      <c r="Z178" s="152">
        <f t="shared" si="13"/>
        <v>1386.5690408277308</v>
      </c>
      <c r="AA178" s="152">
        <f t="shared" si="13"/>
        <v>1358.6676547563363</v>
      </c>
      <c r="AB178" s="152">
        <f t="shared" si="13"/>
        <v>1330.7662686849419</v>
      </c>
      <c r="AC178" s="152">
        <f t="shared" si="13"/>
        <v>1302.8648826135477</v>
      </c>
      <c r="AD178" s="152">
        <f t="shared" si="13"/>
        <v>1274.9634965421533</v>
      </c>
      <c r="AE178" s="152">
        <f t="shared" si="13"/>
        <v>1247.0621104707593</v>
      </c>
      <c r="AF178" s="152">
        <f t="shared" si="13"/>
        <v>1219.1607243993649</v>
      </c>
      <c r="AG178" s="152">
        <f t="shared" si="13"/>
        <v>1191.2593383279705</v>
      </c>
      <c r="AH178" s="152">
        <f t="shared" si="13"/>
        <v>1163.3579522565763</v>
      </c>
      <c r="AI178" s="152">
        <f t="shared" si="13"/>
        <v>1135.4565661851818</v>
      </c>
      <c r="AJ178" s="152">
        <f t="shared" si="13"/>
        <v>1107.5551801137876</v>
      </c>
      <c r="AK178" s="152">
        <f t="shared" si="13"/>
        <v>1079.6537940423934</v>
      </c>
      <c r="AL178" s="152">
        <f t="shared" si="13"/>
        <v>1051.752407970999</v>
      </c>
      <c r="AM178" s="152">
        <f t="shared" si="13"/>
        <v>1023.8510218996048</v>
      </c>
      <c r="AN178" s="152">
        <f t="shared" si="13"/>
        <v>995.94963582821049</v>
      </c>
      <c r="AO178" s="152">
        <f t="shared" si="13"/>
        <v>968.04824975681618</v>
      </c>
      <c r="AP178" s="152">
        <f t="shared" si="13"/>
        <v>940.14686368542186</v>
      </c>
      <c r="AQ178" s="152">
        <f t="shared" si="13"/>
        <v>912.24547761402732</v>
      </c>
      <c r="AR178" s="16"/>
      <c r="AS178" s="16"/>
      <c r="AT178" s="16"/>
      <c r="AU178" s="16"/>
      <c r="AV178" s="16"/>
      <c r="AW178" s="16"/>
      <c r="AX178" s="16"/>
      <c r="AY178" s="16"/>
      <c r="BB178" s="16"/>
      <c r="BC178" s="16"/>
      <c r="BD178" s="16"/>
      <c r="BE178" s="16"/>
      <c r="BF178" s="16"/>
      <c r="BG178" s="153"/>
      <c r="BH178" s="153"/>
      <c r="BI178" s="153"/>
      <c r="BJ178" s="16"/>
      <c r="BK178" s="16"/>
      <c r="BL178" s="16"/>
      <c r="BM178" s="16"/>
      <c r="BN178" s="16"/>
      <c r="BO178" s="16"/>
      <c r="BP178" s="16"/>
      <c r="BQ178" s="16"/>
      <c r="BR178" s="16"/>
      <c r="BS178" s="16"/>
      <c r="BT178" s="16"/>
      <c r="BU178" s="16"/>
      <c r="BV178" s="16"/>
      <c r="BW178" s="16"/>
      <c r="BX178" s="16"/>
      <c r="BY178" s="16"/>
      <c r="BZ178" s="16"/>
      <c r="CA178" s="16"/>
      <c r="CB178" s="16"/>
      <c r="CC178" s="16"/>
      <c r="CD178" s="16"/>
      <c r="CE178" s="16"/>
      <c r="CF178" s="16"/>
      <c r="CG178" s="16"/>
      <c r="CH178" s="16"/>
      <c r="CI178" s="16"/>
      <c r="CJ178" s="16"/>
      <c r="CK178" s="16"/>
      <c r="CL178" s="16"/>
      <c r="CM178" s="16"/>
    </row>
    <row r="179" spans="1:91" ht="14.25" customHeight="1" thickTop="1" x14ac:dyDescent="0.15">
      <c r="G179" s="22"/>
      <c r="H179" s="254"/>
      <c r="J179" s="241"/>
      <c r="K179" s="140" t="s">
        <v>148</v>
      </c>
      <c r="L179" s="148">
        <f t="shared" si="13"/>
        <v>1806.462617457503</v>
      </c>
      <c r="M179" s="148">
        <f t="shared" si="13"/>
        <v>1762.4295834724421</v>
      </c>
      <c r="N179" s="148">
        <f t="shared" si="13"/>
        <v>1656.2193106005366</v>
      </c>
      <c r="O179" s="148">
        <f t="shared" si="13"/>
        <v>1550.009037728631</v>
      </c>
      <c r="P179" s="148">
        <f t="shared" si="13"/>
        <v>1443.7987648567257</v>
      </c>
      <c r="Q179" s="148">
        <f t="shared" si="13"/>
        <v>1337.5884919848202</v>
      </c>
      <c r="R179" s="148">
        <f t="shared" si="13"/>
        <v>1231.3782191129148</v>
      </c>
      <c r="S179" s="148">
        <f t="shared" si="13"/>
        <v>1125.1679462410093</v>
      </c>
      <c r="T179" s="148">
        <f t="shared" si="13"/>
        <v>1018.9576733691038</v>
      </c>
      <c r="U179" s="148">
        <f t="shared" si="13"/>
        <v>912.74740049719821</v>
      </c>
      <c r="V179" s="148">
        <f t="shared" si="13"/>
        <v>806.53712762529267</v>
      </c>
      <c r="W179" s="148">
        <f t="shared" si="13"/>
        <v>700.32685475338667</v>
      </c>
      <c r="X179" s="148">
        <f t="shared" si="13"/>
        <v>691.30060058709171</v>
      </c>
      <c r="Y179" s="148">
        <f t="shared" si="13"/>
        <v>682.27434642079697</v>
      </c>
      <c r="Z179" s="148">
        <f t="shared" si="13"/>
        <v>673.24809225450224</v>
      </c>
      <c r="AA179" s="148">
        <f t="shared" si="13"/>
        <v>664.22183808820739</v>
      </c>
      <c r="AB179" s="148">
        <f t="shared" si="13"/>
        <v>655.19558392191266</v>
      </c>
      <c r="AC179" s="148">
        <f t="shared" si="13"/>
        <v>646.16932975561781</v>
      </c>
      <c r="AD179" s="148">
        <f t="shared" si="13"/>
        <v>637.14307558932308</v>
      </c>
      <c r="AE179" s="148">
        <f t="shared" si="13"/>
        <v>628.11682142302834</v>
      </c>
      <c r="AF179" s="148">
        <f t="shared" si="13"/>
        <v>619.09056725673338</v>
      </c>
      <c r="AG179" s="148">
        <f t="shared" si="13"/>
        <v>610.06431309043865</v>
      </c>
      <c r="AH179" s="148">
        <f t="shared" si="13"/>
        <v>601.03805892414391</v>
      </c>
      <c r="AI179" s="148">
        <f t="shared" si="13"/>
        <v>592.01180475784906</v>
      </c>
      <c r="AJ179" s="148">
        <f t="shared" si="13"/>
        <v>582.98555059155433</v>
      </c>
      <c r="AK179" s="148">
        <f t="shared" si="13"/>
        <v>573.95929642525959</v>
      </c>
      <c r="AL179" s="148">
        <f t="shared" si="13"/>
        <v>564.93304225896475</v>
      </c>
      <c r="AM179" s="148">
        <f t="shared" si="13"/>
        <v>555.90678809267001</v>
      </c>
      <c r="AN179" s="148">
        <f t="shared" si="13"/>
        <v>546.88053392637516</v>
      </c>
      <c r="AO179" s="148">
        <f t="shared" si="13"/>
        <v>537.85427976008032</v>
      </c>
      <c r="AP179" s="148">
        <f t="shared" si="13"/>
        <v>528.82802559378558</v>
      </c>
      <c r="AQ179" s="148">
        <f t="shared" ref="AQ179" si="14" xml:space="preserve"> $N$45*(AQ211+AQ340)</f>
        <v>519.80177142749028</v>
      </c>
    </row>
    <row r="180" spans="1:91" ht="14.25" customHeight="1" x14ac:dyDescent="0.15">
      <c r="G180" s="22"/>
      <c r="H180" s="254"/>
      <c r="J180" s="241"/>
      <c r="K180" s="19" t="s">
        <v>149</v>
      </c>
      <c r="L180" s="149">
        <f t="shared" ref="L180:AQ187" si="15" xml:space="preserve"> $N$45*(L212+L341)</f>
        <v>1806.462617457503</v>
      </c>
      <c r="M180" s="149">
        <f t="shared" si="15"/>
        <v>1762.4295834724421</v>
      </c>
      <c r="N180" s="149">
        <f t="shared" si="15"/>
        <v>1677.4111728866005</v>
      </c>
      <c r="O180" s="149">
        <f t="shared" si="15"/>
        <v>1592.3927623007592</v>
      </c>
      <c r="P180" s="149">
        <f t="shared" si="15"/>
        <v>1507.3743517149178</v>
      </c>
      <c r="Q180" s="149">
        <f t="shared" si="15"/>
        <v>1422.3559411290762</v>
      </c>
      <c r="R180" s="149">
        <f t="shared" si="15"/>
        <v>1337.3375305432346</v>
      </c>
      <c r="S180" s="149">
        <f t="shared" si="15"/>
        <v>1252.3191199573932</v>
      </c>
      <c r="T180" s="149">
        <f t="shared" si="15"/>
        <v>1167.3007093715519</v>
      </c>
      <c r="U180" s="149">
        <f t="shared" si="15"/>
        <v>1082.2822987857103</v>
      </c>
      <c r="V180" s="149">
        <f t="shared" si="15"/>
        <v>997.26388819986892</v>
      </c>
      <c r="W180" s="149">
        <f t="shared" si="15"/>
        <v>912.24547761402732</v>
      </c>
      <c r="X180" s="149">
        <f t="shared" si="15"/>
        <v>901.64954647099535</v>
      </c>
      <c r="Y180" s="149">
        <f t="shared" si="15"/>
        <v>891.05361532796337</v>
      </c>
      <c r="Z180" s="149">
        <f t="shared" si="15"/>
        <v>880.4576841849314</v>
      </c>
      <c r="AA180" s="149">
        <f t="shared" si="15"/>
        <v>869.86175304189942</v>
      </c>
      <c r="AB180" s="149">
        <f t="shared" si="15"/>
        <v>859.26582189886733</v>
      </c>
      <c r="AC180" s="149">
        <f t="shared" si="15"/>
        <v>848.66989075583547</v>
      </c>
      <c r="AD180" s="149">
        <f t="shared" si="15"/>
        <v>838.07395961280338</v>
      </c>
      <c r="AE180" s="149">
        <f t="shared" si="15"/>
        <v>827.4780284697714</v>
      </c>
      <c r="AF180" s="149">
        <f t="shared" si="15"/>
        <v>816.88209732673943</v>
      </c>
      <c r="AG180" s="149">
        <f t="shared" si="15"/>
        <v>806.28616618370745</v>
      </c>
      <c r="AH180" s="149">
        <f t="shared" si="15"/>
        <v>795.69023504067536</v>
      </c>
      <c r="AI180" s="149">
        <f t="shared" si="15"/>
        <v>785.09430389764339</v>
      </c>
      <c r="AJ180" s="149">
        <f t="shared" si="15"/>
        <v>774.49837275461141</v>
      </c>
      <c r="AK180" s="149">
        <f t="shared" si="15"/>
        <v>763.90244161157943</v>
      </c>
      <c r="AL180" s="149">
        <f t="shared" si="15"/>
        <v>753.30651046854746</v>
      </c>
      <c r="AM180" s="149">
        <f t="shared" si="15"/>
        <v>742.71057932551548</v>
      </c>
      <c r="AN180" s="149">
        <f t="shared" si="15"/>
        <v>732.11464818248351</v>
      </c>
      <c r="AO180" s="149">
        <f t="shared" si="15"/>
        <v>721.51871703945142</v>
      </c>
      <c r="AP180" s="149">
        <f t="shared" si="15"/>
        <v>710.92278589641955</v>
      </c>
      <c r="AQ180" s="149">
        <f t="shared" si="15"/>
        <v>700.32685475338667</v>
      </c>
    </row>
    <row r="181" spans="1:91" ht="14.25" customHeight="1" thickBot="1" x14ac:dyDescent="0.2">
      <c r="G181" s="22"/>
      <c r="H181" s="254"/>
      <c r="J181" s="241"/>
      <c r="K181" s="144" t="s">
        <v>150</v>
      </c>
      <c r="L181" s="150">
        <f t="shared" si="15"/>
        <v>1806.462617457503</v>
      </c>
      <c r="M181" s="150">
        <f t="shared" si="15"/>
        <v>1762.4295834724421</v>
      </c>
      <c r="N181" s="150">
        <f t="shared" si="15"/>
        <v>1733.2139450293894</v>
      </c>
      <c r="O181" s="150">
        <f t="shared" si="15"/>
        <v>1703.9983065863364</v>
      </c>
      <c r="P181" s="150">
        <f t="shared" si="15"/>
        <v>1674.7826681432834</v>
      </c>
      <c r="Q181" s="150">
        <f t="shared" si="15"/>
        <v>1645.5670297002305</v>
      </c>
      <c r="R181" s="150">
        <f t="shared" si="15"/>
        <v>1616.3513912571775</v>
      </c>
      <c r="S181" s="150">
        <f t="shared" si="15"/>
        <v>1587.1357528141248</v>
      </c>
      <c r="T181" s="150">
        <f t="shared" si="15"/>
        <v>1557.9201143710718</v>
      </c>
      <c r="U181" s="150">
        <f t="shared" si="15"/>
        <v>1528.7044759280191</v>
      </c>
      <c r="V181" s="150">
        <f t="shared" si="15"/>
        <v>1499.4888374849661</v>
      </c>
      <c r="W181" s="150">
        <f t="shared" si="15"/>
        <v>1470.2731990419134</v>
      </c>
      <c r="X181" s="150">
        <f t="shared" si="15"/>
        <v>1442.3718129705192</v>
      </c>
      <c r="Y181" s="150">
        <f t="shared" si="15"/>
        <v>1414.470426899125</v>
      </c>
      <c r="Z181" s="150">
        <f t="shared" si="15"/>
        <v>1386.5690408277308</v>
      </c>
      <c r="AA181" s="150">
        <f t="shared" si="15"/>
        <v>1358.6676547563363</v>
      </c>
      <c r="AB181" s="150">
        <f t="shared" si="15"/>
        <v>1330.7662686849419</v>
      </c>
      <c r="AC181" s="150">
        <f t="shared" si="15"/>
        <v>1302.8648826135477</v>
      </c>
      <c r="AD181" s="150">
        <f t="shared" si="15"/>
        <v>1274.9634965421533</v>
      </c>
      <c r="AE181" s="150">
        <f t="shared" si="15"/>
        <v>1247.0621104707593</v>
      </c>
      <c r="AF181" s="150">
        <f t="shared" si="15"/>
        <v>1219.1607243993649</v>
      </c>
      <c r="AG181" s="150">
        <f t="shared" si="15"/>
        <v>1191.2593383279705</v>
      </c>
      <c r="AH181" s="150">
        <f t="shared" si="15"/>
        <v>1163.3579522565763</v>
      </c>
      <c r="AI181" s="150">
        <f t="shared" si="15"/>
        <v>1135.4565661851818</v>
      </c>
      <c r="AJ181" s="150">
        <f t="shared" si="15"/>
        <v>1107.5551801137876</v>
      </c>
      <c r="AK181" s="150">
        <f t="shared" si="15"/>
        <v>1079.6537940423934</v>
      </c>
      <c r="AL181" s="150">
        <f t="shared" si="15"/>
        <v>1051.752407970999</v>
      </c>
      <c r="AM181" s="150">
        <f t="shared" si="15"/>
        <v>1023.8510218996048</v>
      </c>
      <c r="AN181" s="150">
        <f t="shared" si="15"/>
        <v>995.94963582821049</v>
      </c>
      <c r="AO181" s="150">
        <f t="shared" si="15"/>
        <v>968.04824975681618</v>
      </c>
      <c r="AP181" s="150">
        <f t="shared" si="15"/>
        <v>940.14686368542186</v>
      </c>
      <c r="AQ181" s="150">
        <f t="shared" si="15"/>
        <v>912.24547761402732</v>
      </c>
    </row>
    <row r="182" spans="1:91" ht="14.25" customHeight="1" thickTop="1" x14ac:dyDescent="0.15">
      <c r="G182" s="22"/>
      <c r="H182" s="254"/>
      <c r="J182" s="241"/>
      <c r="K182" s="140" t="s">
        <v>151</v>
      </c>
      <c r="L182" s="151">
        <f t="shared" si="15"/>
        <v>1806.462617457503</v>
      </c>
      <c r="M182" s="151">
        <f t="shared" si="15"/>
        <v>1762.4295834724421</v>
      </c>
      <c r="N182" s="151">
        <f t="shared" si="15"/>
        <v>1656.2193106005366</v>
      </c>
      <c r="O182" s="151">
        <f t="shared" si="15"/>
        <v>1550.009037728631</v>
      </c>
      <c r="P182" s="151">
        <f t="shared" si="15"/>
        <v>1443.7987648567257</v>
      </c>
      <c r="Q182" s="151">
        <f t="shared" si="15"/>
        <v>1337.5884919848202</v>
      </c>
      <c r="R182" s="151">
        <f t="shared" si="15"/>
        <v>1231.3782191129148</v>
      </c>
      <c r="S182" s="151">
        <f t="shared" si="15"/>
        <v>1125.1679462410093</v>
      </c>
      <c r="T182" s="151">
        <f t="shared" si="15"/>
        <v>1018.9576733691038</v>
      </c>
      <c r="U182" s="151">
        <f t="shared" si="15"/>
        <v>912.74740049719821</v>
      </c>
      <c r="V182" s="151">
        <f t="shared" si="15"/>
        <v>806.53712762529267</v>
      </c>
      <c r="W182" s="151">
        <f t="shared" si="15"/>
        <v>700.32685475338667</v>
      </c>
      <c r="X182" s="151">
        <f t="shared" si="15"/>
        <v>691.30060058709171</v>
      </c>
      <c r="Y182" s="151">
        <f t="shared" si="15"/>
        <v>682.27434642079697</v>
      </c>
      <c r="Z182" s="151">
        <f t="shared" si="15"/>
        <v>673.24809225450224</v>
      </c>
      <c r="AA182" s="151">
        <f t="shared" si="15"/>
        <v>664.22183808820739</v>
      </c>
      <c r="AB182" s="151">
        <f t="shared" si="15"/>
        <v>655.19558392191266</v>
      </c>
      <c r="AC182" s="151">
        <f t="shared" si="15"/>
        <v>646.16932975561781</v>
      </c>
      <c r="AD182" s="151">
        <f t="shared" si="15"/>
        <v>637.14307558932308</v>
      </c>
      <c r="AE182" s="151">
        <f t="shared" si="15"/>
        <v>628.11682142302834</v>
      </c>
      <c r="AF182" s="151">
        <f t="shared" si="15"/>
        <v>619.09056725673338</v>
      </c>
      <c r="AG182" s="151">
        <f t="shared" si="15"/>
        <v>610.06431309043865</v>
      </c>
      <c r="AH182" s="151">
        <f t="shared" si="15"/>
        <v>601.03805892414391</v>
      </c>
      <c r="AI182" s="151">
        <f t="shared" si="15"/>
        <v>592.01180475784906</v>
      </c>
      <c r="AJ182" s="151">
        <f t="shared" si="15"/>
        <v>582.98555059155433</v>
      </c>
      <c r="AK182" s="151">
        <f t="shared" si="15"/>
        <v>573.95929642525959</v>
      </c>
      <c r="AL182" s="151">
        <f t="shared" si="15"/>
        <v>564.93304225896475</v>
      </c>
      <c r="AM182" s="151">
        <f t="shared" si="15"/>
        <v>555.90678809267001</v>
      </c>
      <c r="AN182" s="151">
        <f t="shared" si="15"/>
        <v>546.88053392637516</v>
      </c>
      <c r="AO182" s="151">
        <f t="shared" si="15"/>
        <v>537.85427976008032</v>
      </c>
      <c r="AP182" s="151">
        <f t="shared" si="15"/>
        <v>528.82802559378558</v>
      </c>
      <c r="AQ182" s="151">
        <f t="shared" si="15"/>
        <v>519.80177142749028</v>
      </c>
    </row>
    <row r="183" spans="1:91" ht="14.25" customHeight="1" x14ac:dyDescent="0.15">
      <c r="G183" s="22"/>
      <c r="H183" s="254"/>
      <c r="J183" s="241"/>
      <c r="K183" s="19" t="s">
        <v>152</v>
      </c>
      <c r="L183" s="149">
        <f t="shared" si="15"/>
        <v>1806.462617457503</v>
      </c>
      <c r="M183" s="149">
        <f t="shared" si="15"/>
        <v>1762.4295834724421</v>
      </c>
      <c r="N183" s="149">
        <f t="shared" si="15"/>
        <v>1677.4111728866005</v>
      </c>
      <c r="O183" s="149">
        <f t="shared" si="15"/>
        <v>1592.3927623007592</v>
      </c>
      <c r="P183" s="149">
        <f t="shared" si="15"/>
        <v>1507.3743517149178</v>
      </c>
      <c r="Q183" s="149">
        <f t="shared" si="15"/>
        <v>1422.3559411290762</v>
      </c>
      <c r="R183" s="149">
        <f t="shared" si="15"/>
        <v>1337.3375305432346</v>
      </c>
      <c r="S183" s="149">
        <f t="shared" si="15"/>
        <v>1252.3191199573932</v>
      </c>
      <c r="T183" s="149">
        <f t="shared" si="15"/>
        <v>1167.3007093715519</v>
      </c>
      <c r="U183" s="149">
        <f t="shared" si="15"/>
        <v>1082.2822987857103</v>
      </c>
      <c r="V183" s="149">
        <f t="shared" si="15"/>
        <v>997.26388819986892</v>
      </c>
      <c r="W183" s="149">
        <f t="shared" si="15"/>
        <v>912.24547761402732</v>
      </c>
      <c r="X183" s="149">
        <f t="shared" si="15"/>
        <v>901.64954647099535</v>
      </c>
      <c r="Y183" s="149">
        <f t="shared" si="15"/>
        <v>891.05361532796337</v>
      </c>
      <c r="Z183" s="149">
        <f t="shared" si="15"/>
        <v>880.4576841849314</v>
      </c>
      <c r="AA183" s="149">
        <f t="shared" si="15"/>
        <v>869.86175304189942</v>
      </c>
      <c r="AB183" s="149">
        <f t="shared" si="15"/>
        <v>859.26582189886733</v>
      </c>
      <c r="AC183" s="149">
        <f t="shared" si="15"/>
        <v>848.66989075583547</v>
      </c>
      <c r="AD183" s="149">
        <f t="shared" si="15"/>
        <v>838.07395961280338</v>
      </c>
      <c r="AE183" s="149">
        <f t="shared" si="15"/>
        <v>827.4780284697714</v>
      </c>
      <c r="AF183" s="149">
        <f t="shared" si="15"/>
        <v>816.88209732673943</v>
      </c>
      <c r="AG183" s="149">
        <f t="shared" si="15"/>
        <v>806.28616618370745</v>
      </c>
      <c r="AH183" s="149">
        <f t="shared" si="15"/>
        <v>795.69023504067536</v>
      </c>
      <c r="AI183" s="149">
        <f t="shared" si="15"/>
        <v>785.09430389764339</v>
      </c>
      <c r="AJ183" s="149">
        <f t="shared" si="15"/>
        <v>774.49837275461141</v>
      </c>
      <c r="AK183" s="149">
        <f t="shared" si="15"/>
        <v>763.90244161157943</v>
      </c>
      <c r="AL183" s="149">
        <f t="shared" si="15"/>
        <v>753.30651046854746</v>
      </c>
      <c r="AM183" s="149">
        <f t="shared" si="15"/>
        <v>742.71057932551548</v>
      </c>
      <c r="AN183" s="149">
        <f t="shared" si="15"/>
        <v>732.11464818248351</v>
      </c>
      <c r="AO183" s="149">
        <f t="shared" si="15"/>
        <v>721.51871703945142</v>
      </c>
      <c r="AP183" s="149">
        <f t="shared" si="15"/>
        <v>710.92278589641955</v>
      </c>
      <c r="AQ183" s="149">
        <f t="shared" si="15"/>
        <v>700.32685475338667</v>
      </c>
    </row>
    <row r="184" spans="1:91" ht="14.25" customHeight="1" thickBot="1" x14ac:dyDescent="0.2">
      <c r="G184" s="22"/>
      <c r="H184" s="254"/>
      <c r="J184" s="241"/>
      <c r="K184" s="144" t="s">
        <v>153</v>
      </c>
      <c r="L184" s="150">
        <f t="shared" si="15"/>
        <v>1806.462617457503</v>
      </c>
      <c r="M184" s="150">
        <f t="shared" si="15"/>
        <v>1762.4295834724421</v>
      </c>
      <c r="N184" s="150">
        <f t="shared" si="15"/>
        <v>1733.2139450293894</v>
      </c>
      <c r="O184" s="150">
        <f t="shared" si="15"/>
        <v>1703.9983065863364</v>
      </c>
      <c r="P184" s="150">
        <f t="shared" si="15"/>
        <v>1674.7826681432834</v>
      </c>
      <c r="Q184" s="150">
        <f t="shared" si="15"/>
        <v>1645.5670297002305</v>
      </c>
      <c r="R184" s="150">
        <f t="shared" si="15"/>
        <v>1616.3513912571775</v>
      </c>
      <c r="S184" s="150">
        <f t="shared" si="15"/>
        <v>1587.1357528141248</v>
      </c>
      <c r="T184" s="150">
        <f t="shared" si="15"/>
        <v>1557.9201143710718</v>
      </c>
      <c r="U184" s="150">
        <f t="shared" si="15"/>
        <v>1528.7044759280191</v>
      </c>
      <c r="V184" s="150">
        <f t="shared" si="15"/>
        <v>1499.4888374849661</v>
      </c>
      <c r="W184" s="150">
        <f t="shared" si="15"/>
        <v>1470.2731990419134</v>
      </c>
      <c r="X184" s="150">
        <f t="shared" si="15"/>
        <v>1442.3718129705192</v>
      </c>
      <c r="Y184" s="150">
        <f t="shared" si="15"/>
        <v>1414.470426899125</v>
      </c>
      <c r="Z184" s="150">
        <f t="shared" si="15"/>
        <v>1386.5690408277308</v>
      </c>
      <c r="AA184" s="150">
        <f t="shared" si="15"/>
        <v>1358.6676547563363</v>
      </c>
      <c r="AB184" s="150">
        <f t="shared" si="15"/>
        <v>1330.7662686849419</v>
      </c>
      <c r="AC184" s="150">
        <f t="shared" si="15"/>
        <v>1302.8648826135477</v>
      </c>
      <c r="AD184" s="150">
        <f t="shared" si="15"/>
        <v>1274.9634965421533</v>
      </c>
      <c r="AE184" s="150">
        <f t="shared" si="15"/>
        <v>1247.0621104707593</v>
      </c>
      <c r="AF184" s="150">
        <f t="shared" si="15"/>
        <v>1219.1607243993649</v>
      </c>
      <c r="AG184" s="150">
        <f t="shared" si="15"/>
        <v>1191.2593383279705</v>
      </c>
      <c r="AH184" s="150">
        <f t="shared" si="15"/>
        <v>1163.3579522565763</v>
      </c>
      <c r="AI184" s="150">
        <f t="shared" si="15"/>
        <v>1135.4565661851818</v>
      </c>
      <c r="AJ184" s="150">
        <f t="shared" si="15"/>
        <v>1107.5551801137876</v>
      </c>
      <c r="AK184" s="150">
        <f t="shared" si="15"/>
        <v>1079.6537940423934</v>
      </c>
      <c r="AL184" s="150">
        <f t="shared" si="15"/>
        <v>1051.752407970999</v>
      </c>
      <c r="AM184" s="150">
        <f t="shared" si="15"/>
        <v>1023.8510218996048</v>
      </c>
      <c r="AN184" s="150">
        <f t="shared" si="15"/>
        <v>995.94963582821049</v>
      </c>
      <c r="AO184" s="150">
        <f t="shared" si="15"/>
        <v>968.04824975681618</v>
      </c>
      <c r="AP184" s="150">
        <f t="shared" si="15"/>
        <v>940.14686368542186</v>
      </c>
      <c r="AQ184" s="150">
        <f t="shared" si="15"/>
        <v>912.24547761402732</v>
      </c>
      <c r="AT184" s="153"/>
      <c r="AU184" s="153"/>
    </row>
    <row r="185" spans="1:91" ht="14.25" customHeight="1" thickTop="1" thickBot="1" x14ac:dyDescent="0.2">
      <c r="G185" s="22"/>
      <c r="H185" s="254"/>
      <c r="J185" s="241"/>
      <c r="K185" s="140" t="s">
        <v>154</v>
      </c>
      <c r="L185" s="151">
        <f t="shared" si="15"/>
        <v>1806.462617457503</v>
      </c>
      <c r="M185" s="151">
        <f t="shared" si="15"/>
        <v>1762.4295834724421</v>
      </c>
      <c r="N185" s="151">
        <f t="shared" si="15"/>
        <v>1656.2193106005366</v>
      </c>
      <c r="O185" s="151">
        <f t="shared" si="15"/>
        <v>1550.009037728631</v>
      </c>
      <c r="P185" s="151">
        <f t="shared" si="15"/>
        <v>1443.7987648567257</v>
      </c>
      <c r="Q185" s="151">
        <f t="shared" si="15"/>
        <v>1337.5884919848202</v>
      </c>
      <c r="R185" s="151">
        <f t="shared" si="15"/>
        <v>1231.3782191129148</v>
      </c>
      <c r="S185" s="151">
        <f t="shared" si="15"/>
        <v>1125.1679462410093</v>
      </c>
      <c r="T185" s="151">
        <f t="shared" si="15"/>
        <v>1018.9576733691038</v>
      </c>
      <c r="U185" s="151">
        <f t="shared" si="15"/>
        <v>912.74740049719821</v>
      </c>
      <c r="V185" s="151">
        <f t="shared" si="15"/>
        <v>806.53712762529267</v>
      </c>
      <c r="W185" s="151">
        <f t="shared" si="15"/>
        <v>700.32685475338667</v>
      </c>
      <c r="X185" s="151">
        <f t="shared" si="15"/>
        <v>691.30060058709171</v>
      </c>
      <c r="Y185" s="151">
        <f t="shared" si="15"/>
        <v>682.27434642079697</v>
      </c>
      <c r="Z185" s="151">
        <f t="shared" si="15"/>
        <v>673.24809225450224</v>
      </c>
      <c r="AA185" s="151">
        <f t="shared" si="15"/>
        <v>664.22183808820739</v>
      </c>
      <c r="AB185" s="151">
        <f t="shared" si="15"/>
        <v>655.19558392191266</v>
      </c>
      <c r="AC185" s="151">
        <f t="shared" si="15"/>
        <v>646.16932975561781</v>
      </c>
      <c r="AD185" s="151">
        <f t="shared" si="15"/>
        <v>637.14307558932308</v>
      </c>
      <c r="AE185" s="151">
        <f t="shared" si="15"/>
        <v>628.11682142302834</v>
      </c>
      <c r="AF185" s="151">
        <f t="shared" si="15"/>
        <v>619.09056725673338</v>
      </c>
      <c r="AG185" s="151">
        <f t="shared" si="15"/>
        <v>610.06431309043865</v>
      </c>
      <c r="AH185" s="151">
        <f t="shared" si="15"/>
        <v>601.03805892414391</v>
      </c>
      <c r="AI185" s="151">
        <f t="shared" si="15"/>
        <v>592.01180475784906</v>
      </c>
      <c r="AJ185" s="151">
        <f t="shared" si="15"/>
        <v>582.98555059155433</v>
      </c>
      <c r="AK185" s="151">
        <f t="shared" si="15"/>
        <v>573.95929642525959</v>
      </c>
      <c r="AL185" s="151">
        <f t="shared" si="15"/>
        <v>564.93304225896475</v>
      </c>
      <c r="AM185" s="151">
        <f t="shared" si="15"/>
        <v>555.90678809267001</v>
      </c>
      <c r="AN185" s="151">
        <f t="shared" si="15"/>
        <v>546.88053392637516</v>
      </c>
      <c r="AO185" s="151">
        <f t="shared" si="15"/>
        <v>537.85427976008032</v>
      </c>
      <c r="AP185" s="151">
        <f t="shared" si="15"/>
        <v>528.82802559378558</v>
      </c>
      <c r="AQ185" s="151">
        <f t="shared" si="15"/>
        <v>519.80177142749028</v>
      </c>
      <c r="AV185" s="153"/>
      <c r="AW185" s="153"/>
      <c r="AX185" s="153"/>
      <c r="AY185" s="153"/>
      <c r="BB185" s="153"/>
    </row>
    <row r="186" spans="1:91" s="153" customFormat="1" ht="14.25" customHeight="1" thickTop="1" thickBot="1" x14ac:dyDescent="0.2">
      <c r="A186" s="16"/>
      <c r="B186" s="16"/>
      <c r="C186" s="16"/>
      <c r="D186" s="16"/>
      <c r="E186" s="16"/>
      <c r="F186" s="16"/>
      <c r="G186" s="22"/>
      <c r="H186" s="254"/>
      <c r="I186" s="16"/>
      <c r="J186" s="241"/>
      <c r="K186" s="19" t="s">
        <v>155</v>
      </c>
      <c r="L186" s="149">
        <f t="shared" si="15"/>
        <v>1806.462617457503</v>
      </c>
      <c r="M186" s="149">
        <f t="shared" si="15"/>
        <v>1762.4295834724421</v>
      </c>
      <c r="N186" s="149">
        <f t="shared" si="15"/>
        <v>1677.4111728866005</v>
      </c>
      <c r="O186" s="149">
        <f t="shared" si="15"/>
        <v>1592.3927623007592</v>
      </c>
      <c r="P186" s="149">
        <f t="shared" si="15"/>
        <v>1507.3743517149178</v>
      </c>
      <c r="Q186" s="149">
        <f t="shared" si="15"/>
        <v>1422.3559411290762</v>
      </c>
      <c r="R186" s="149">
        <f t="shared" si="15"/>
        <v>1337.3375305432346</v>
      </c>
      <c r="S186" s="149">
        <f t="shared" si="15"/>
        <v>1252.3191199573932</v>
      </c>
      <c r="T186" s="149">
        <f t="shared" si="15"/>
        <v>1167.3007093715519</v>
      </c>
      <c r="U186" s="149">
        <f t="shared" si="15"/>
        <v>1082.2822987857103</v>
      </c>
      <c r="V186" s="149">
        <f t="shared" si="15"/>
        <v>997.26388819986892</v>
      </c>
      <c r="W186" s="149">
        <f t="shared" si="15"/>
        <v>912.24547761402732</v>
      </c>
      <c r="X186" s="149">
        <f t="shared" si="15"/>
        <v>901.64954647099535</v>
      </c>
      <c r="Y186" s="149">
        <f t="shared" si="15"/>
        <v>891.05361532796337</v>
      </c>
      <c r="Z186" s="149">
        <f t="shared" si="15"/>
        <v>880.4576841849314</v>
      </c>
      <c r="AA186" s="149">
        <f t="shared" si="15"/>
        <v>869.86175304189942</v>
      </c>
      <c r="AB186" s="149">
        <f t="shared" si="15"/>
        <v>859.26582189886733</v>
      </c>
      <c r="AC186" s="149">
        <f t="shared" si="15"/>
        <v>848.66989075583547</v>
      </c>
      <c r="AD186" s="149">
        <f t="shared" si="15"/>
        <v>838.07395961280338</v>
      </c>
      <c r="AE186" s="149">
        <f t="shared" si="15"/>
        <v>827.4780284697714</v>
      </c>
      <c r="AF186" s="149">
        <f t="shared" si="15"/>
        <v>816.88209732673943</v>
      </c>
      <c r="AG186" s="149">
        <f t="shared" si="15"/>
        <v>806.28616618370745</v>
      </c>
      <c r="AH186" s="149">
        <f t="shared" si="15"/>
        <v>795.69023504067536</v>
      </c>
      <c r="AI186" s="149">
        <f t="shared" si="15"/>
        <v>785.09430389764339</v>
      </c>
      <c r="AJ186" s="149">
        <f t="shared" si="15"/>
        <v>774.49837275461141</v>
      </c>
      <c r="AK186" s="149">
        <f t="shared" si="15"/>
        <v>763.90244161157943</v>
      </c>
      <c r="AL186" s="149">
        <f t="shared" si="15"/>
        <v>753.30651046854746</v>
      </c>
      <c r="AM186" s="149">
        <f t="shared" si="15"/>
        <v>742.71057932551548</v>
      </c>
      <c r="AN186" s="149">
        <f t="shared" si="15"/>
        <v>732.11464818248351</v>
      </c>
      <c r="AO186" s="149">
        <f t="shared" si="15"/>
        <v>721.51871703945142</v>
      </c>
      <c r="AP186" s="149">
        <f t="shared" si="15"/>
        <v>710.92278589641955</v>
      </c>
      <c r="AQ186" s="149">
        <f t="shared" si="15"/>
        <v>700.32685475338667</v>
      </c>
      <c r="AR186" s="16"/>
      <c r="AS186" s="16"/>
      <c r="AT186" s="16"/>
      <c r="AU186" s="16"/>
      <c r="AV186" s="155"/>
      <c r="AW186" s="155"/>
      <c r="AX186" s="155"/>
      <c r="AY186" s="155"/>
      <c r="BB186" s="155"/>
      <c r="BC186" s="16"/>
      <c r="BD186" s="16"/>
      <c r="BE186" s="16"/>
      <c r="BF186" s="16"/>
      <c r="BG186" s="16"/>
      <c r="BH186" s="16"/>
      <c r="BI186" s="16"/>
      <c r="BJ186" s="16"/>
      <c r="BK186" s="16"/>
      <c r="BL186" s="16"/>
      <c r="BM186" s="16"/>
      <c r="BN186" s="16"/>
      <c r="BO186" s="16"/>
      <c r="BP186" s="16"/>
      <c r="BQ186" s="16"/>
      <c r="BR186" s="16"/>
      <c r="BS186" s="16"/>
      <c r="BT186" s="16"/>
      <c r="BU186" s="16"/>
      <c r="BV186" s="16"/>
      <c r="BW186" s="16"/>
      <c r="BX186" s="16"/>
      <c r="BY186" s="16"/>
      <c r="BZ186" s="16"/>
      <c r="CA186" s="16"/>
      <c r="CB186" s="16"/>
      <c r="CC186" s="16"/>
      <c r="CD186" s="16"/>
      <c r="CE186" s="16"/>
      <c r="CF186" s="16"/>
      <c r="CG186" s="16"/>
      <c r="CH186" s="16"/>
      <c r="CI186" s="16"/>
      <c r="CJ186" s="16"/>
      <c r="CK186" s="16"/>
      <c r="CL186" s="16"/>
      <c r="CM186" s="16"/>
    </row>
    <row r="187" spans="1:91" s="155" customFormat="1" ht="14.25" customHeight="1" thickTop="1" thickBot="1" x14ac:dyDescent="0.2">
      <c r="A187" s="16"/>
      <c r="B187" s="16"/>
      <c r="C187" s="16"/>
      <c r="D187" s="16"/>
      <c r="E187" s="16"/>
      <c r="F187" s="16"/>
      <c r="G187" s="22"/>
      <c r="H187" s="254"/>
      <c r="I187" s="16"/>
      <c r="J187" s="241"/>
      <c r="K187" s="144" t="s">
        <v>156</v>
      </c>
      <c r="L187" s="152">
        <f t="shared" si="15"/>
        <v>1806.462617457503</v>
      </c>
      <c r="M187" s="152">
        <f t="shared" si="15"/>
        <v>1762.4295834724421</v>
      </c>
      <c r="N187" s="152">
        <f t="shared" si="15"/>
        <v>1733.2139450293894</v>
      </c>
      <c r="O187" s="152">
        <f t="shared" si="15"/>
        <v>1703.9983065863364</v>
      </c>
      <c r="P187" s="152">
        <f t="shared" si="15"/>
        <v>1674.7826681432834</v>
      </c>
      <c r="Q187" s="152">
        <f t="shared" si="15"/>
        <v>1645.5670297002305</v>
      </c>
      <c r="R187" s="152">
        <f t="shared" si="15"/>
        <v>1616.3513912571775</v>
      </c>
      <c r="S187" s="152">
        <f t="shared" si="15"/>
        <v>1587.1357528141248</v>
      </c>
      <c r="T187" s="152">
        <f t="shared" si="15"/>
        <v>1557.9201143710718</v>
      </c>
      <c r="U187" s="152">
        <f t="shared" si="15"/>
        <v>1528.7044759280191</v>
      </c>
      <c r="V187" s="152">
        <f t="shared" si="15"/>
        <v>1499.4888374849661</v>
      </c>
      <c r="W187" s="152">
        <f t="shared" si="15"/>
        <v>1470.2731990419134</v>
      </c>
      <c r="X187" s="152">
        <f t="shared" si="15"/>
        <v>1442.3718129705192</v>
      </c>
      <c r="Y187" s="152">
        <f t="shared" si="15"/>
        <v>1414.470426899125</v>
      </c>
      <c r="Z187" s="152">
        <f t="shared" si="15"/>
        <v>1386.5690408277308</v>
      </c>
      <c r="AA187" s="152">
        <f t="shared" si="15"/>
        <v>1358.6676547563363</v>
      </c>
      <c r="AB187" s="152">
        <f t="shared" si="15"/>
        <v>1330.7662686849419</v>
      </c>
      <c r="AC187" s="152">
        <f t="shared" si="15"/>
        <v>1302.8648826135477</v>
      </c>
      <c r="AD187" s="152">
        <f t="shared" si="15"/>
        <v>1274.9634965421533</v>
      </c>
      <c r="AE187" s="152">
        <f t="shared" si="15"/>
        <v>1247.0621104707593</v>
      </c>
      <c r="AF187" s="152">
        <f t="shared" si="15"/>
        <v>1219.1607243993649</v>
      </c>
      <c r="AG187" s="152">
        <f t="shared" si="15"/>
        <v>1191.2593383279705</v>
      </c>
      <c r="AH187" s="152">
        <f t="shared" si="15"/>
        <v>1163.3579522565763</v>
      </c>
      <c r="AI187" s="152">
        <f t="shared" si="15"/>
        <v>1135.4565661851818</v>
      </c>
      <c r="AJ187" s="152">
        <f t="shared" si="15"/>
        <v>1107.5551801137876</v>
      </c>
      <c r="AK187" s="152">
        <f t="shared" si="15"/>
        <v>1079.6537940423934</v>
      </c>
      <c r="AL187" s="152">
        <f t="shared" si="15"/>
        <v>1051.752407970999</v>
      </c>
      <c r="AM187" s="152">
        <f t="shared" si="15"/>
        <v>1023.8510218996048</v>
      </c>
      <c r="AN187" s="152">
        <f t="shared" si="15"/>
        <v>995.94963582821049</v>
      </c>
      <c r="AO187" s="152">
        <f t="shared" si="15"/>
        <v>968.04824975681618</v>
      </c>
      <c r="AP187" s="152">
        <f t="shared" si="15"/>
        <v>940.14686368542186</v>
      </c>
      <c r="AQ187" s="152">
        <f t="shared" ref="AQ187" si="16" xml:space="preserve"> $N$45*(AQ219+AQ348)</f>
        <v>912.24547761402732</v>
      </c>
      <c r="AR187" s="16"/>
      <c r="AS187" s="16"/>
      <c r="AT187" s="16"/>
      <c r="AU187" s="16"/>
      <c r="AV187" s="16"/>
      <c r="AW187" s="16"/>
      <c r="AX187" s="16"/>
      <c r="AY187" s="16"/>
      <c r="BB187" s="16"/>
      <c r="BC187" s="16"/>
      <c r="BD187" s="16"/>
      <c r="BE187" s="16"/>
      <c r="BF187" s="16"/>
      <c r="BG187" s="153"/>
      <c r="BH187" s="153"/>
      <c r="BI187" s="153"/>
      <c r="BJ187" s="16"/>
      <c r="BK187" s="16"/>
      <c r="BL187" s="16"/>
      <c r="BM187" s="16"/>
      <c r="BN187" s="16"/>
      <c r="BO187" s="16"/>
      <c r="BP187" s="16"/>
      <c r="BQ187" s="16"/>
      <c r="BR187" s="16"/>
      <c r="BS187" s="16"/>
      <c r="BT187" s="16"/>
      <c r="BU187" s="16"/>
      <c r="BV187" s="16"/>
      <c r="BW187" s="16"/>
      <c r="BX187" s="16"/>
      <c r="BY187" s="16"/>
      <c r="BZ187" s="16"/>
      <c r="CA187" s="16"/>
      <c r="CB187" s="16"/>
      <c r="CC187" s="16"/>
      <c r="CD187" s="16"/>
      <c r="CE187" s="16"/>
      <c r="CF187" s="16"/>
      <c r="CG187" s="16"/>
      <c r="CH187" s="16"/>
      <c r="CI187" s="16"/>
      <c r="CJ187" s="16"/>
      <c r="CK187" s="16"/>
      <c r="CL187" s="16"/>
      <c r="CM187" s="16"/>
    </row>
    <row r="188" spans="1:91" ht="14.25" customHeight="1" thickTop="1" thickBot="1" x14ac:dyDescent="0.2">
      <c r="G188" s="22"/>
      <c r="H188" s="254"/>
      <c r="J188" s="241"/>
      <c r="K188" s="140" t="s">
        <v>157</v>
      </c>
      <c r="L188" s="151">
        <f t="shared" ref="L188:AQ193" si="17" xml:space="preserve"> $N$45*(L220+L349)</f>
        <v>1806.462617457503</v>
      </c>
      <c r="M188" s="151">
        <f t="shared" si="17"/>
        <v>1762.4295834724421</v>
      </c>
      <c r="N188" s="151">
        <f t="shared" si="17"/>
        <v>1656.2193106005366</v>
      </c>
      <c r="O188" s="151">
        <f t="shared" si="17"/>
        <v>1550.009037728631</v>
      </c>
      <c r="P188" s="151">
        <f t="shared" si="17"/>
        <v>1443.7987648567257</v>
      </c>
      <c r="Q188" s="151">
        <f t="shared" si="17"/>
        <v>1337.5884919848202</v>
      </c>
      <c r="R188" s="151">
        <f t="shared" si="17"/>
        <v>1231.3782191129148</v>
      </c>
      <c r="S188" s="151">
        <f t="shared" si="17"/>
        <v>1125.1679462410093</v>
      </c>
      <c r="T188" s="151">
        <f t="shared" si="17"/>
        <v>1018.9576733691038</v>
      </c>
      <c r="U188" s="151">
        <f t="shared" si="17"/>
        <v>912.74740049719821</v>
      </c>
      <c r="V188" s="151">
        <f t="shared" si="17"/>
        <v>806.53712762529267</v>
      </c>
      <c r="W188" s="151">
        <f t="shared" si="17"/>
        <v>700.32685475338667</v>
      </c>
      <c r="X188" s="151">
        <f t="shared" si="17"/>
        <v>691.30060058709171</v>
      </c>
      <c r="Y188" s="151">
        <f t="shared" si="17"/>
        <v>682.27434642079697</v>
      </c>
      <c r="Z188" s="151">
        <f t="shared" si="17"/>
        <v>673.24809225450224</v>
      </c>
      <c r="AA188" s="151">
        <f t="shared" si="17"/>
        <v>664.22183808820739</v>
      </c>
      <c r="AB188" s="151">
        <f t="shared" si="17"/>
        <v>655.19558392191266</v>
      </c>
      <c r="AC188" s="151">
        <f t="shared" si="17"/>
        <v>646.16932975561781</v>
      </c>
      <c r="AD188" s="151">
        <f t="shared" si="17"/>
        <v>637.14307558932308</v>
      </c>
      <c r="AE188" s="151">
        <f t="shared" si="17"/>
        <v>628.11682142302834</v>
      </c>
      <c r="AF188" s="151">
        <f t="shared" si="17"/>
        <v>619.09056725673338</v>
      </c>
      <c r="AG188" s="151">
        <f t="shared" si="17"/>
        <v>610.06431309043865</v>
      </c>
      <c r="AH188" s="151">
        <f t="shared" si="17"/>
        <v>601.03805892414391</v>
      </c>
      <c r="AI188" s="151">
        <f t="shared" si="17"/>
        <v>592.01180475784906</v>
      </c>
      <c r="AJ188" s="151">
        <f t="shared" si="17"/>
        <v>582.98555059155433</v>
      </c>
      <c r="AK188" s="151">
        <f t="shared" si="17"/>
        <v>573.95929642525959</v>
      </c>
      <c r="AL188" s="151">
        <f t="shared" si="17"/>
        <v>564.93304225896475</v>
      </c>
      <c r="AM188" s="151">
        <f t="shared" si="17"/>
        <v>555.90678809267001</v>
      </c>
      <c r="AN188" s="151">
        <f t="shared" si="17"/>
        <v>546.88053392637516</v>
      </c>
      <c r="AO188" s="151">
        <f t="shared" si="17"/>
        <v>537.85427976008032</v>
      </c>
      <c r="AP188" s="151">
        <f t="shared" si="17"/>
        <v>528.82802559378558</v>
      </c>
      <c r="AQ188" s="151">
        <f t="shared" si="17"/>
        <v>519.80177142749028</v>
      </c>
      <c r="AV188" s="153"/>
      <c r="AW188" s="153"/>
      <c r="AX188" s="153"/>
      <c r="AY188" s="153"/>
      <c r="BB188" s="153"/>
    </row>
    <row r="189" spans="1:91" s="153" customFormat="1" ht="14.25" customHeight="1" thickTop="1" thickBot="1" x14ac:dyDescent="0.2">
      <c r="A189" s="16"/>
      <c r="B189" s="16"/>
      <c r="C189" s="16"/>
      <c r="D189" s="16"/>
      <c r="E189" s="16"/>
      <c r="F189" s="16"/>
      <c r="G189" s="22"/>
      <c r="H189" s="254"/>
      <c r="I189" s="16"/>
      <c r="J189" s="241"/>
      <c r="K189" s="19" t="s">
        <v>158</v>
      </c>
      <c r="L189" s="149">
        <f t="shared" si="17"/>
        <v>1806.462617457503</v>
      </c>
      <c r="M189" s="149">
        <f t="shared" si="17"/>
        <v>1762.4295834724421</v>
      </c>
      <c r="N189" s="149">
        <f t="shared" si="17"/>
        <v>1677.4111728866005</v>
      </c>
      <c r="O189" s="149">
        <f t="shared" si="17"/>
        <v>1592.3927623007592</v>
      </c>
      <c r="P189" s="149">
        <f t="shared" si="17"/>
        <v>1507.3743517149178</v>
      </c>
      <c r="Q189" s="149">
        <f t="shared" si="17"/>
        <v>1422.3559411290762</v>
      </c>
      <c r="R189" s="149">
        <f t="shared" si="17"/>
        <v>1337.3375305432346</v>
      </c>
      <c r="S189" s="149">
        <f t="shared" si="17"/>
        <v>1252.3191199573932</v>
      </c>
      <c r="T189" s="149">
        <f t="shared" si="17"/>
        <v>1167.3007093715519</v>
      </c>
      <c r="U189" s="149">
        <f t="shared" si="17"/>
        <v>1082.2822987857103</v>
      </c>
      <c r="V189" s="149">
        <f t="shared" si="17"/>
        <v>997.26388819986892</v>
      </c>
      <c r="W189" s="149">
        <f t="shared" si="17"/>
        <v>912.24547761402732</v>
      </c>
      <c r="X189" s="149">
        <f t="shared" si="17"/>
        <v>901.64954647099535</v>
      </c>
      <c r="Y189" s="149">
        <f t="shared" si="17"/>
        <v>891.05361532796337</v>
      </c>
      <c r="Z189" s="149">
        <f t="shared" si="17"/>
        <v>880.4576841849314</v>
      </c>
      <c r="AA189" s="149">
        <f t="shared" si="17"/>
        <v>869.86175304189942</v>
      </c>
      <c r="AB189" s="149">
        <f t="shared" si="17"/>
        <v>859.26582189886733</v>
      </c>
      <c r="AC189" s="149">
        <f t="shared" si="17"/>
        <v>848.66989075583547</v>
      </c>
      <c r="AD189" s="149">
        <f t="shared" si="17"/>
        <v>838.07395961280338</v>
      </c>
      <c r="AE189" s="149">
        <f t="shared" si="17"/>
        <v>827.4780284697714</v>
      </c>
      <c r="AF189" s="149">
        <f t="shared" si="17"/>
        <v>816.88209732673943</v>
      </c>
      <c r="AG189" s="149">
        <f t="shared" si="17"/>
        <v>806.28616618370745</v>
      </c>
      <c r="AH189" s="149">
        <f t="shared" si="17"/>
        <v>795.69023504067536</v>
      </c>
      <c r="AI189" s="149">
        <f t="shared" si="17"/>
        <v>785.09430389764339</v>
      </c>
      <c r="AJ189" s="149">
        <f t="shared" si="17"/>
        <v>774.49837275461141</v>
      </c>
      <c r="AK189" s="149">
        <f t="shared" si="17"/>
        <v>763.90244161157943</v>
      </c>
      <c r="AL189" s="149">
        <f t="shared" si="17"/>
        <v>753.30651046854746</v>
      </c>
      <c r="AM189" s="149">
        <f t="shared" si="17"/>
        <v>742.71057932551548</v>
      </c>
      <c r="AN189" s="149">
        <f t="shared" si="17"/>
        <v>732.11464818248351</v>
      </c>
      <c r="AO189" s="149">
        <f t="shared" si="17"/>
        <v>721.51871703945142</v>
      </c>
      <c r="AP189" s="149">
        <f t="shared" si="17"/>
        <v>710.92278589641955</v>
      </c>
      <c r="AQ189" s="149">
        <f t="shared" si="17"/>
        <v>700.32685475338667</v>
      </c>
      <c r="AR189" s="16"/>
      <c r="AS189" s="16"/>
      <c r="AT189" s="16"/>
      <c r="AU189" s="16"/>
      <c r="AV189" s="155"/>
      <c r="AW189" s="155"/>
      <c r="AX189" s="155"/>
      <c r="AY189" s="155"/>
      <c r="BB189" s="155"/>
      <c r="BC189" s="16"/>
      <c r="BD189" s="16"/>
      <c r="BE189" s="16"/>
      <c r="BF189" s="16"/>
      <c r="BG189" s="16"/>
      <c r="BH189" s="16"/>
      <c r="BI189" s="16"/>
      <c r="BJ189" s="16"/>
      <c r="BK189" s="16"/>
      <c r="BL189" s="16"/>
      <c r="BM189" s="16"/>
      <c r="BN189" s="16"/>
      <c r="BO189" s="16"/>
      <c r="BP189" s="16"/>
      <c r="BQ189" s="16"/>
      <c r="BR189" s="16"/>
      <c r="BS189" s="16"/>
      <c r="BT189" s="16"/>
      <c r="BU189" s="16"/>
      <c r="BV189" s="16"/>
      <c r="BW189" s="16"/>
      <c r="BX189" s="16"/>
      <c r="BY189" s="16"/>
      <c r="BZ189" s="16"/>
      <c r="CA189" s="16"/>
      <c r="CB189" s="16"/>
      <c r="CC189" s="16"/>
      <c r="CD189" s="16"/>
      <c r="CE189" s="16"/>
      <c r="CF189" s="16"/>
      <c r="CG189" s="16"/>
      <c r="CH189" s="16"/>
      <c r="CI189" s="16"/>
      <c r="CJ189" s="16"/>
      <c r="CK189" s="16"/>
      <c r="CL189" s="16"/>
      <c r="CM189" s="16"/>
    </row>
    <row r="190" spans="1:91" s="155" customFormat="1" ht="14.25" customHeight="1" thickTop="1" thickBot="1" x14ac:dyDescent="0.2">
      <c r="A190" s="16"/>
      <c r="B190" s="16"/>
      <c r="C190" s="16"/>
      <c r="D190" s="16"/>
      <c r="E190" s="16"/>
      <c r="F190" s="16"/>
      <c r="G190" s="22"/>
      <c r="H190" s="254"/>
      <c r="I190" s="16"/>
      <c r="J190" s="241"/>
      <c r="K190" s="144" t="s">
        <v>159</v>
      </c>
      <c r="L190" s="152">
        <f t="shared" si="17"/>
        <v>1806.462617457503</v>
      </c>
      <c r="M190" s="152">
        <f t="shared" si="17"/>
        <v>1762.4295834724421</v>
      </c>
      <c r="N190" s="152">
        <f t="shared" si="17"/>
        <v>1733.2139450293894</v>
      </c>
      <c r="O190" s="152">
        <f t="shared" si="17"/>
        <v>1703.9983065863364</v>
      </c>
      <c r="P190" s="152">
        <f t="shared" si="17"/>
        <v>1674.7826681432834</v>
      </c>
      <c r="Q190" s="152">
        <f t="shared" si="17"/>
        <v>1645.5670297002305</v>
      </c>
      <c r="R190" s="152">
        <f t="shared" si="17"/>
        <v>1616.3513912571775</v>
      </c>
      <c r="S190" s="152">
        <f t="shared" si="17"/>
        <v>1587.1357528141248</v>
      </c>
      <c r="T190" s="152">
        <f t="shared" si="17"/>
        <v>1557.9201143710718</v>
      </c>
      <c r="U190" s="152">
        <f t="shared" si="17"/>
        <v>1528.7044759280191</v>
      </c>
      <c r="V190" s="152">
        <f t="shared" si="17"/>
        <v>1499.4888374849661</v>
      </c>
      <c r="W190" s="152">
        <f t="shared" si="17"/>
        <v>1470.2731990419134</v>
      </c>
      <c r="X190" s="152">
        <f t="shared" si="17"/>
        <v>1442.3718129705192</v>
      </c>
      <c r="Y190" s="152">
        <f t="shared" si="17"/>
        <v>1414.470426899125</v>
      </c>
      <c r="Z190" s="152">
        <f t="shared" si="17"/>
        <v>1386.5690408277308</v>
      </c>
      <c r="AA190" s="152">
        <f t="shared" si="17"/>
        <v>1358.6676547563363</v>
      </c>
      <c r="AB190" s="152">
        <f t="shared" si="17"/>
        <v>1330.7662686849419</v>
      </c>
      <c r="AC190" s="152">
        <f t="shared" si="17"/>
        <v>1302.8648826135477</v>
      </c>
      <c r="AD190" s="152">
        <f t="shared" si="17"/>
        <v>1274.9634965421533</v>
      </c>
      <c r="AE190" s="152">
        <f t="shared" si="17"/>
        <v>1247.0621104707593</v>
      </c>
      <c r="AF190" s="152">
        <f t="shared" si="17"/>
        <v>1219.1607243993649</v>
      </c>
      <c r="AG190" s="152">
        <f t="shared" si="17"/>
        <v>1191.2593383279705</v>
      </c>
      <c r="AH190" s="152">
        <f t="shared" si="17"/>
        <v>1163.3579522565763</v>
      </c>
      <c r="AI190" s="152">
        <f t="shared" si="17"/>
        <v>1135.4565661851818</v>
      </c>
      <c r="AJ190" s="152">
        <f t="shared" si="17"/>
        <v>1107.5551801137876</v>
      </c>
      <c r="AK190" s="152">
        <f t="shared" si="17"/>
        <v>1079.6537940423934</v>
      </c>
      <c r="AL190" s="152">
        <f t="shared" si="17"/>
        <v>1051.752407970999</v>
      </c>
      <c r="AM190" s="152">
        <f t="shared" si="17"/>
        <v>1023.8510218996048</v>
      </c>
      <c r="AN190" s="152">
        <f t="shared" si="17"/>
        <v>995.94963582821049</v>
      </c>
      <c r="AO190" s="152">
        <f t="shared" si="17"/>
        <v>968.04824975681618</v>
      </c>
      <c r="AP190" s="152">
        <f t="shared" si="17"/>
        <v>940.14686368542186</v>
      </c>
      <c r="AQ190" s="152">
        <f t="shared" si="17"/>
        <v>912.24547761402732</v>
      </c>
      <c r="AR190" s="16"/>
      <c r="AS190" s="16"/>
      <c r="AT190" s="16"/>
      <c r="AU190" s="16"/>
      <c r="AV190" s="16"/>
      <c r="AW190" s="16"/>
      <c r="AX190" s="16"/>
      <c r="AY190" s="16"/>
      <c r="BB190" s="16"/>
      <c r="BC190" s="16"/>
      <c r="BD190" s="16"/>
      <c r="BE190" s="16"/>
      <c r="BF190" s="16"/>
      <c r="BG190" s="153"/>
      <c r="BH190" s="153"/>
      <c r="BI190" s="153"/>
      <c r="BJ190" s="16"/>
      <c r="BK190" s="16"/>
      <c r="BL190" s="16"/>
      <c r="BM190" s="16"/>
      <c r="BN190" s="16"/>
      <c r="BO190" s="16"/>
      <c r="BP190" s="16"/>
      <c r="BQ190" s="16"/>
      <c r="BR190" s="16"/>
      <c r="BS190" s="16"/>
      <c r="BT190" s="16"/>
      <c r="BU190" s="16"/>
      <c r="BV190" s="16"/>
      <c r="BW190" s="16"/>
      <c r="BX190" s="16"/>
      <c r="BY190" s="16"/>
      <c r="BZ190" s="16"/>
      <c r="CA190" s="16"/>
      <c r="CB190" s="16"/>
      <c r="CC190" s="16"/>
      <c r="CD190" s="16"/>
      <c r="CE190" s="16"/>
      <c r="CF190" s="16"/>
      <c r="CG190" s="16"/>
      <c r="CH190" s="16"/>
      <c r="CI190" s="16"/>
      <c r="CJ190" s="16"/>
      <c r="CK190" s="16"/>
      <c r="CL190" s="16"/>
      <c r="CM190" s="16"/>
    </row>
    <row r="191" spans="1:91" ht="14.25" customHeight="1" thickTop="1" thickBot="1" x14ac:dyDescent="0.2">
      <c r="G191" s="22"/>
      <c r="H191" s="254"/>
      <c r="J191" s="241"/>
      <c r="K191" s="140" t="s">
        <v>160</v>
      </c>
      <c r="L191" s="151">
        <f t="shared" si="17"/>
        <v>1806.462617457503</v>
      </c>
      <c r="M191" s="151">
        <f t="shared" si="17"/>
        <v>1762.4295834724421</v>
      </c>
      <c r="N191" s="151">
        <f t="shared" si="17"/>
        <v>1656.2193106005366</v>
      </c>
      <c r="O191" s="151">
        <f t="shared" si="17"/>
        <v>1550.009037728631</v>
      </c>
      <c r="P191" s="151">
        <f t="shared" si="17"/>
        <v>1443.7987648567257</v>
      </c>
      <c r="Q191" s="151">
        <f t="shared" si="17"/>
        <v>1337.5884919848202</v>
      </c>
      <c r="R191" s="151">
        <f t="shared" si="17"/>
        <v>1231.3782191129148</v>
      </c>
      <c r="S191" s="151">
        <f t="shared" si="17"/>
        <v>1125.1679462410093</v>
      </c>
      <c r="T191" s="151">
        <f t="shared" si="17"/>
        <v>1018.9576733691038</v>
      </c>
      <c r="U191" s="151">
        <f t="shared" si="17"/>
        <v>912.74740049719821</v>
      </c>
      <c r="V191" s="151">
        <f t="shared" si="17"/>
        <v>806.53712762529267</v>
      </c>
      <c r="W191" s="151">
        <f t="shared" si="17"/>
        <v>700.32685475338667</v>
      </c>
      <c r="X191" s="151">
        <f t="shared" si="17"/>
        <v>691.30060058709171</v>
      </c>
      <c r="Y191" s="151">
        <f t="shared" si="17"/>
        <v>682.27434642079697</v>
      </c>
      <c r="Z191" s="151">
        <f t="shared" si="17"/>
        <v>673.24809225450224</v>
      </c>
      <c r="AA191" s="151">
        <f t="shared" si="17"/>
        <v>664.22183808820739</v>
      </c>
      <c r="AB191" s="151">
        <f t="shared" si="17"/>
        <v>655.19558392191266</v>
      </c>
      <c r="AC191" s="151">
        <f t="shared" si="17"/>
        <v>646.16932975561781</v>
      </c>
      <c r="AD191" s="151">
        <f t="shared" si="17"/>
        <v>637.14307558932308</v>
      </c>
      <c r="AE191" s="151">
        <f t="shared" si="17"/>
        <v>628.11682142302834</v>
      </c>
      <c r="AF191" s="151">
        <f t="shared" si="17"/>
        <v>619.09056725673338</v>
      </c>
      <c r="AG191" s="151">
        <f t="shared" si="17"/>
        <v>610.06431309043865</v>
      </c>
      <c r="AH191" s="151">
        <f t="shared" si="17"/>
        <v>601.03805892414391</v>
      </c>
      <c r="AI191" s="151">
        <f t="shared" si="17"/>
        <v>592.01180475784906</v>
      </c>
      <c r="AJ191" s="151">
        <f t="shared" si="17"/>
        <v>582.98555059155433</v>
      </c>
      <c r="AK191" s="151">
        <f t="shared" si="17"/>
        <v>573.95929642525959</v>
      </c>
      <c r="AL191" s="151">
        <f t="shared" si="17"/>
        <v>564.93304225896475</v>
      </c>
      <c r="AM191" s="151">
        <f t="shared" si="17"/>
        <v>555.90678809267001</v>
      </c>
      <c r="AN191" s="151">
        <f t="shared" si="17"/>
        <v>546.88053392637516</v>
      </c>
      <c r="AO191" s="151">
        <f t="shared" si="17"/>
        <v>537.85427976008032</v>
      </c>
      <c r="AP191" s="151">
        <f t="shared" si="17"/>
        <v>528.82802559378558</v>
      </c>
      <c r="AQ191" s="151">
        <f t="shared" si="17"/>
        <v>519.80177142749028</v>
      </c>
      <c r="AV191" s="153"/>
      <c r="AW191" s="153"/>
      <c r="AX191" s="153"/>
      <c r="AY191" s="153"/>
      <c r="BB191" s="153"/>
    </row>
    <row r="192" spans="1:91" s="153" customFormat="1" ht="14.25" customHeight="1" thickTop="1" thickBot="1" x14ac:dyDescent="0.2">
      <c r="A192" s="16"/>
      <c r="B192" s="16"/>
      <c r="C192" s="16"/>
      <c r="D192" s="16"/>
      <c r="E192" s="16"/>
      <c r="F192" s="16"/>
      <c r="G192" s="22"/>
      <c r="H192" s="254"/>
      <c r="I192" s="16"/>
      <c r="J192" s="241"/>
      <c r="K192" s="19" t="s">
        <v>161</v>
      </c>
      <c r="L192" s="149">
        <f t="shared" si="17"/>
        <v>1806.462617457503</v>
      </c>
      <c r="M192" s="149">
        <f t="shared" si="17"/>
        <v>1762.4295834724421</v>
      </c>
      <c r="N192" s="149">
        <f t="shared" si="17"/>
        <v>1677.4111728866005</v>
      </c>
      <c r="O192" s="149">
        <f t="shared" si="17"/>
        <v>1592.3927623007592</v>
      </c>
      <c r="P192" s="149">
        <f t="shared" si="17"/>
        <v>1507.3743517149178</v>
      </c>
      <c r="Q192" s="149">
        <f t="shared" si="17"/>
        <v>1422.3559411290762</v>
      </c>
      <c r="R192" s="149">
        <f t="shared" si="17"/>
        <v>1337.3375305432346</v>
      </c>
      <c r="S192" s="149">
        <f t="shared" si="17"/>
        <v>1252.3191199573932</v>
      </c>
      <c r="T192" s="149">
        <f t="shared" si="17"/>
        <v>1167.3007093715519</v>
      </c>
      <c r="U192" s="149">
        <f t="shared" si="17"/>
        <v>1082.2822987857103</v>
      </c>
      <c r="V192" s="149">
        <f t="shared" si="17"/>
        <v>997.26388819986892</v>
      </c>
      <c r="W192" s="149">
        <f t="shared" si="17"/>
        <v>912.24547761402732</v>
      </c>
      <c r="X192" s="149">
        <f t="shared" si="17"/>
        <v>901.64954647099535</v>
      </c>
      <c r="Y192" s="149">
        <f t="shared" si="17"/>
        <v>891.05361532796337</v>
      </c>
      <c r="Z192" s="149">
        <f t="shared" si="17"/>
        <v>880.4576841849314</v>
      </c>
      <c r="AA192" s="149">
        <f t="shared" si="17"/>
        <v>869.86175304189942</v>
      </c>
      <c r="AB192" s="149">
        <f t="shared" si="17"/>
        <v>859.26582189886733</v>
      </c>
      <c r="AC192" s="149">
        <f t="shared" si="17"/>
        <v>848.66989075583547</v>
      </c>
      <c r="AD192" s="149">
        <f t="shared" si="17"/>
        <v>838.07395961280338</v>
      </c>
      <c r="AE192" s="149">
        <f t="shared" si="17"/>
        <v>827.4780284697714</v>
      </c>
      <c r="AF192" s="149">
        <f t="shared" si="17"/>
        <v>816.88209732673943</v>
      </c>
      <c r="AG192" s="149">
        <f t="shared" si="17"/>
        <v>806.28616618370745</v>
      </c>
      <c r="AH192" s="149">
        <f t="shared" si="17"/>
        <v>795.69023504067536</v>
      </c>
      <c r="AI192" s="149">
        <f t="shared" si="17"/>
        <v>785.09430389764339</v>
      </c>
      <c r="AJ192" s="149">
        <f t="shared" si="17"/>
        <v>774.49837275461141</v>
      </c>
      <c r="AK192" s="149">
        <f t="shared" si="17"/>
        <v>763.90244161157943</v>
      </c>
      <c r="AL192" s="149">
        <f t="shared" si="17"/>
        <v>753.30651046854746</v>
      </c>
      <c r="AM192" s="149">
        <f t="shared" si="17"/>
        <v>742.71057932551548</v>
      </c>
      <c r="AN192" s="149">
        <f t="shared" si="17"/>
        <v>732.11464818248351</v>
      </c>
      <c r="AO192" s="149">
        <f t="shared" si="17"/>
        <v>721.51871703945142</v>
      </c>
      <c r="AP192" s="149">
        <f t="shared" si="17"/>
        <v>710.92278589641955</v>
      </c>
      <c r="AQ192" s="149">
        <f t="shared" si="17"/>
        <v>700.32685475338667</v>
      </c>
      <c r="AR192" s="16"/>
      <c r="AS192" s="16"/>
      <c r="AT192" s="16"/>
      <c r="AU192" s="16"/>
      <c r="AV192" s="155"/>
      <c r="AW192" s="155"/>
      <c r="AX192" s="155"/>
      <c r="AY192" s="155"/>
      <c r="BB192" s="155"/>
      <c r="BC192" s="16"/>
      <c r="BD192" s="16"/>
      <c r="BE192" s="16"/>
      <c r="BF192" s="16"/>
      <c r="BG192" s="16"/>
      <c r="BH192" s="16"/>
      <c r="BI192" s="16"/>
      <c r="BJ192" s="16"/>
      <c r="BK192" s="16"/>
      <c r="BL192" s="16"/>
      <c r="BM192" s="16"/>
      <c r="BN192" s="16"/>
      <c r="BO192" s="16"/>
      <c r="BP192" s="16"/>
      <c r="BQ192" s="16"/>
      <c r="BR192" s="16"/>
      <c r="BS192" s="16"/>
      <c r="BT192" s="16"/>
      <c r="BU192" s="16"/>
      <c r="BV192" s="16"/>
      <c r="BW192" s="16"/>
      <c r="BX192" s="16"/>
      <c r="BY192" s="16"/>
      <c r="BZ192" s="16"/>
      <c r="CA192" s="16"/>
      <c r="CB192" s="16"/>
      <c r="CC192" s="16"/>
      <c r="CD192" s="16"/>
      <c r="CE192" s="16"/>
      <c r="CF192" s="16"/>
      <c r="CG192" s="16"/>
      <c r="CH192" s="16"/>
      <c r="CI192" s="16"/>
      <c r="CJ192" s="16"/>
      <c r="CK192" s="16"/>
      <c r="CL192" s="16"/>
      <c r="CM192" s="16"/>
    </row>
    <row r="193" spans="1:91" s="155" customFormat="1" ht="14.25" customHeight="1" thickTop="1" thickBot="1" x14ac:dyDescent="0.2">
      <c r="A193" s="16"/>
      <c r="B193" s="16"/>
      <c r="C193" s="16"/>
      <c r="D193" s="16"/>
      <c r="E193" s="16"/>
      <c r="F193" s="16"/>
      <c r="G193" s="22"/>
      <c r="H193" s="254"/>
      <c r="I193" s="16"/>
      <c r="J193" s="251"/>
      <c r="K193" s="144" t="s">
        <v>162</v>
      </c>
      <c r="L193" s="152">
        <f t="shared" si="17"/>
        <v>1806.462617457503</v>
      </c>
      <c r="M193" s="152">
        <f t="shared" si="17"/>
        <v>1762.4295834724421</v>
      </c>
      <c r="N193" s="152">
        <f t="shared" si="17"/>
        <v>1733.2139450293894</v>
      </c>
      <c r="O193" s="152">
        <f t="shared" si="17"/>
        <v>1703.9983065863364</v>
      </c>
      <c r="P193" s="152">
        <f t="shared" si="17"/>
        <v>1674.7826681432834</v>
      </c>
      <c r="Q193" s="152">
        <f t="shared" si="17"/>
        <v>1645.5670297002305</v>
      </c>
      <c r="R193" s="152">
        <f t="shared" si="17"/>
        <v>1616.3513912571775</v>
      </c>
      <c r="S193" s="152">
        <f t="shared" si="17"/>
        <v>1587.1357528141248</v>
      </c>
      <c r="T193" s="152">
        <f t="shared" si="17"/>
        <v>1557.9201143710718</v>
      </c>
      <c r="U193" s="152">
        <f t="shared" si="17"/>
        <v>1528.7044759280191</v>
      </c>
      <c r="V193" s="152">
        <f t="shared" si="17"/>
        <v>1499.4888374849661</v>
      </c>
      <c r="W193" s="152">
        <f t="shared" si="17"/>
        <v>1470.2731990419134</v>
      </c>
      <c r="X193" s="152">
        <f t="shared" si="17"/>
        <v>1442.3718129705192</v>
      </c>
      <c r="Y193" s="152">
        <f t="shared" si="17"/>
        <v>1414.470426899125</v>
      </c>
      <c r="Z193" s="152">
        <f t="shared" si="17"/>
        <v>1386.5690408277308</v>
      </c>
      <c r="AA193" s="152">
        <f t="shared" si="17"/>
        <v>1358.6676547563363</v>
      </c>
      <c r="AB193" s="152">
        <f t="shared" si="17"/>
        <v>1330.7662686849419</v>
      </c>
      <c r="AC193" s="152">
        <f t="shared" si="17"/>
        <v>1302.8648826135477</v>
      </c>
      <c r="AD193" s="152">
        <f t="shared" si="17"/>
        <v>1274.9634965421533</v>
      </c>
      <c r="AE193" s="152">
        <f t="shared" si="17"/>
        <v>1247.0621104707593</v>
      </c>
      <c r="AF193" s="152">
        <f t="shared" si="17"/>
        <v>1219.1607243993649</v>
      </c>
      <c r="AG193" s="152">
        <f t="shared" si="17"/>
        <v>1191.2593383279705</v>
      </c>
      <c r="AH193" s="152">
        <f t="shared" si="17"/>
        <v>1163.3579522565763</v>
      </c>
      <c r="AI193" s="152">
        <f t="shared" si="17"/>
        <v>1135.4565661851818</v>
      </c>
      <c r="AJ193" s="152">
        <f t="shared" si="17"/>
        <v>1107.5551801137876</v>
      </c>
      <c r="AK193" s="152">
        <f t="shared" si="17"/>
        <v>1079.6537940423934</v>
      </c>
      <c r="AL193" s="152">
        <f t="shared" si="17"/>
        <v>1051.752407970999</v>
      </c>
      <c r="AM193" s="152">
        <f t="shared" si="17"/>
        <v>1023.8510218996048</v>
      </c>
      <c r="AN193" s="152">
        <f t="shared" si="17"/>
        <v>995.94963582821049</v>
      </c>
      <c r="AO193" s="152">
        <f t="shared" si="17"/>
        <v>968.04824975681618</v>
      </c>
      <c r="AP193" s="152">
        <f t="shared" si="17"/>
        <v>940.14686368542186</v>
      </c>
      <c r="AQ193" s="152">
        <f t="shared" si="17"/>
        <v>912.24547761402732</v>
      </c>
      <c r="AR193" s="16"/>
      <c r="AS193" s="16"/>
      <c r="AT193" s="16"/>
      <c r="AU193" s="16"/>
      <c r="AV193" s="16"/>
      <c r="AW193" s="16"/>
      <c r="AX193" s="16"/>
      <c r="AY193" s="16"/>
      <c r="BB193" s="16"/>
      <c r="BC193" s="16"/>
      <c r="BD193" s="16"/>
      <c r="BE193" s="16"/>
      <c r="BF193" s="16"/>
      <c r="BG193" s="153"/>
      <c r="BH193" s="153"/>
      <c r="BI193" s="153"/>
      <c r="BJ193" s="16"/>
      <c r="BK193" s="16"/>
      <c r="BL193" s="16"/>
      <c r="BM193" s="16"/>
      <c r="BN193" s="16"/>
      <c r="BO193" s="16"/>
      <c r="BP193" s="16"/>
      <c r="BQ193" s="16"/>
      <c r="BR193" s="16"/>
      <c r="BS193" s="16"/>
      <c r="BT193" s="16"/>
      <c r="BU193" s="16"/>
      <c r="BV193" s="16"/>
      <c r="BW193" s="16"/>
      <c r="BX193" s="16"/>
      <c r="BY193" s="16"/>
      <c r="BZ193" s="16"/>
      <c r="CA193" s="16"/>
      <c r="CB193" s="16"/>
      <c r="CC193" s="16"/>
      <c r="CD193" s="16"/>
      <c r="CE193" s="16"/>
      <c r="CF193" s="16"/>
      <c r="CG193" s="16"/>
      <c r="CH193" s="16"/>
      <c r="CI193" s="16"/>
      <c r="CJ193" s="16"/>
      <c r="CK193" s="16"/>
      <c r="CL193" s="16"/>
      <c r="CM193" s="16"/>
    </row>
    <row r="194" spans="1:91" ht="14.25" customHeight="1" thickTop="1" thickBot="1" x14ac:dyDescent="0.2">
      <c r="G194" s="22"/>
      <c r="H194" s="254"/>
      <c r="J194" s="147"/>
      <c r="K194" s="19"/>
      <c r="L194" s="156"/>
      <c r="M194" s="156"/>
      <c r="N194" s="156"/>
      <c r="O194" s="156"/>
      <c r="P194" s="156"/>
      <c r="Q194" s="156"/>
      <c r="R194" s="156"/>
      <c r="S194" s="156"/>
      <c r="T194" s="156"/>
      <c r="U194" s="156"/>
      <c r="V194" s="156"/>
      <c r="W194" s="156"/>
      <c r="X194" s="156"/>
      <c r="Y194" s="156"/>
      <c r="Z194" s="156"/>
      <c r="AA194" s="156"/>
      <c r="AB194" s="156"/>
      <c r="AC194" s="156"/>
      <c r="AD194" s="156"/>
      <c r="AE194" s="156"/>
      <c r="AF194" s="156"/>
      <c r="AG194" s="156"/>
      <c r="AH194" s="156"/>
      <c r="AI194" s="156"/>
      <c r="AJ194" s="156"/>
      <c r="AK194" s="156"/>
      <c r="AL194" s="156"/>
      <c r="AM194" s="156"/>
      <c r="AN194" s="156"/>
      <c r="AO194" s="156"/>
      <c r="AP194" s="156"/>
      <c r="AQ194" s="156"/>
    </row>
    <row r="195" spans="1:91" ht="14.25" customHeight="1" thickTop="1" thickBot="1" x14ac:dyDescent="0.2">
      <c r="G195" s="22"/>
      <c r="H195" s="254"/>
      <c r="L195" s="128">
        <v>2019</v>
      </c>
      <c r="M195" s="128">
        <v>2020</v>
      </c>
      <c r="N195" s="128">
        <v>2021</v>
      </c>
      <c r="O195" s="128">
        <v>2022</v>
      </c>
      <c r="P195" s="128">
        <v>2023</v>
      </c>
      <c r="Q195" s="128">
        <v>2024</v>
      </c>
      <c r="R195" s="128">
        <v>2025</v>
      </c>
      <c r="S195" s="128">
        <v>2026</v>
      </c>
      <c r="T195" s="128">
        <v>2027</v>
      </c>
      <c r="U195" s="128">
        <v>2028</v>
      </c>
      <c r="V195" s="128">
        <v>2029</v>
      </c>
      <c r="W195" s="128">
        <v>2030</v>
      </c>
      <c r="X195" s="128">
        <v>2031</v>
      </c>
      <c r="Y195" s="128">
        <v>2032</v>
      </c>
      <c r="Z195" s="128">
        <v>2033</v>
      </c>
      <c r="AA195" s="128">
        <v>2034</v>
      </c>
      <c r="AB195" s="128">
        <v>2035</v>
      </c>
      <c r="AC195" s="128">
        <v>2036</v>
      </c>
      <c r="AD195" s="128">
        <v>2037</v>
      </c>
      <c r="AE195" s="128">
        <v>2038</v>
      </c>
      <c r="AF195" s="128">
        <v>2039</v>
      </c>
      <c r="AG195" s="128">
        <v>2040</v>
      </c>
      <c r="AH195" s="128">
        <v>2041</v>
      </c>
      <c r="AI195" s="128">
        <v>2042</v>
      </c>
      <c r="AJ195" s="128">
        <v>2043</v>
      </c>
      <c r="AK195" s="128">
        <v>2044</v>
      </c>
      <c r="AL195" s="128">
        <v>2045</v>
      </c>
      <c r="AM195" s="128">
        <v>2046</v>
      </c>
      <c r="AN195" s="128">
        <v>2047</v>
      </c>
      <c r="AO195" s="128">
        <v>2048</v>
      </c>
      <c r="AP195" s="128">
        <v>2049</v>
      </c>
      <c r="AQ195" s="128">
        <v>2050</v>
      </c>
      <c r="AR195" s="16">
        <f>AQ195+1</f>
        <v>2051</v>
      </c>
      <c r="AS195" s="16">
        <f t="shared" ref="AS195:BK195" si="18">AR195+1</f>
        <v>2052</v>
      </c>
      <c r="AT195" s="16">
        <f t="shared" si="18"/>
        <v>2053</v>
      </c>
      <c r="AU195" s="16">
        <f t="shared" si="18"/>
        <v>2054</v>
      </c>
      <c r="AV195" s="16">
        <f t="shared" si="18"/>
        <v>2055</v>
      </c>
      <c r="AW195" s="16">
        <f t="shared" si="18"/>
        <v>2056</v>
      </c>
      <c r="AX195" s="16">
        <f t="shared" si="18"/>
        <v>2057</v>
      </c>
      <c r="AY195" s="16">
        <f t="shared" si="18"/>
        <v>2058</v>
      </c>
      <c r="AZ195" s="16">
        <f t="shared" si="18"/>
        <v>2059</v>
      </c>
      <c r="BA195" s="16">
        <f t="shared" si="18"/>
        <v>2060</v>
      </c>
      <c r="BB195" s="16">
        <f t="shared" si="18"/>
        <v>2061</v>
      </c>
      <c r="BC195" s="16">
        <f t="shared" si="18"/>
        <v>2062</v>
      </c>
      <c r="BD195" s="16">
        <f t="shared" si="18"/>
        <v>2063</v>
      </c>
      <c r="BE195" s="16">
        <f t="shared" si="18"/>
        <v>2064</v>
      </c>
      <c r="BF195" s="16">
        <f>BE195+1</f>
        <v>2065</v>
      </c>
      <c r="BG195" s="16">
        <f t="shared" si="18"/>
        <v>2066</v>
      </c>
      <c r="BH195" s="16">
        <f t="shared" si="18"/>
        <v>2067</v>
      </c>
      <c r="BI195" s="16">
        <f t="shared" si="18"/>
        <v>2068</v>
      </c>
      <c r="BJ195" s="16">
        <f>BI195+1</f>
        <v>2069</v>
      </c>
      <c r="BK195" s="16">
        <f t="shared" si="18"/>
        <v>2070</v>
      </c>
      <c r="BL195" s="153"/>
      <c r="BM195" s="153"/>
      <c r="BN195" s="153"/>
      <c r="BO195" s="153"/>
      <c r="BP195" s="153"/>
      <c r="BQ195" s="153"/>
      <c r="BR195" s="153"/>
      <c r="BS195" s="153"/>
      <c r="BT195" s="153"/>
      <c r="BU195" s="153"/>
      <c r="BV195" s="153"/>
      <c r="BW195" s="153"/>
      <c r="BX195" s="153"/>
      <c r="BY195" s="153"/>
    </row>
    <row r="196" spans="1:91" ht="14.25" customHeight="1" thickTop="1" x14ac:dyDescent="0.15">
      <c r="G196" s="22"/>
      <c r="H196" s="254"/>
      <c r="J196" s="240" t="s">
        <v>12</v>
      </c>
      <c r="K196" s="140" t="s">
        <v>133</v>
      </c>
      <c r="L196" s="157">
        <v>1763.430064150396</v>
      </c>
      <c r="M196" s="157">
        <v>1720.445960745976</v>
      </c>
      <c r="N196" s="157">
        <v>1616.7657702488473</v>
      </c>
      <c r="O196" s="157">
        <v>1513.0855797517188</v>
      </c>
      <c r="P196" s="157">
        <v>1409.4053892545903</v>
      </c>
      <c r="Q196" s="157">
        <v>1305.7251987574618</v>
      </c>
      <c r="R196" s="157">
        <v>1202.0450082603334</v>
      </c>
      <c r="S196" s="157">
        <v>1098.3648177632049</v>
      </c>
      <c r="T196" s="157">
        <v>994.68462726607618</v>
      </c>
      <c r="U196" s="157">
        <v>891.00443676894758</v>
      </c>
      <c r="V196" s="157">
        <v>787.32424627181899</v>
      </c>
      <c r="W196" s="157">
        <v>683.64405577468995</v>
      </c>
      <c r="X196" s="157">
        <v>674.83282004266596</v>
      </c>
      <c r="Y196" s="157">
        <v>666.02158431064208</v>
      </c>
      <c r="Z196" s="157">
        <v>657.21034857861821</v>
      </c>
      <c r="AA196" s="157">
        <v>648.39911284659422</v>
      </c>
      <c r="AB196" s="157">
        <v>639.58787711457035</v>
      </c>
      <c r="AC196" s="157">
        <v>630.77664138254636</v>
      </c>
      <c r="AD196" s="157">
        <v>621.96540565052248</v>
      </c>
      <c r="AE196" s="157">
        <v>613.15416991849861</v>
      </c>
      <c r="AF196" s="157">
        <v>604.34293418647462</v>
      </c>
      <c r="AG196" s="157">
        <v>595.53169845445075</v>
      </c>
      <c r="AH196" s="157">
        <v>586.72046272242687</v>
      </c>
      <c r="AI196" s="157">
        <v>577.90922699040289</v>
      </c>
      <c r="AJ196" s="157">
        <v>569.09799125837901</v>
      </c>
      <c r="AK196" s="157">
        <v>560.28675552635514</v>
      </c>
      <c r="AL196" s="157">
        <v>551.47551979433115</v>
      </c>
      <c r="AM196" s="157">
        <v>542.66428406230727</v>
      </c>
      <c r="AN196" s="157">
        <v>533.8530483302834</v>
      </c>
      <c r="AO196" s="157">
        <v>525.04181259825941</v>
      </c>
      <c r="AP196" s="157">
        <v>516.23057686623554</v>
      </c>
      <c r="AQ196" s="157">
        <v>507.41934113421115</v>
      </c>
    </row>
    <row r="197" spans="1:91" s="197" customFormat="1" ht="14.25" customHeight="1" x14ac:dyDescent="0.15">
      <c r="G197" s="198"/>
      <c r="H197" s="254"/>
      <c r="J197" s="241"/>
      <c r="K197" s="199" t="s">
        <v>134</v>
      </c>
      <c r="L197" s="218">
        <v>1763.430064150396</v>
      </c>
      <c r="M197" s="218">
        <v>1720.445960745976</v>
      </c>
      <c r="N197" s="218">
        <v>1637.4528117128866</v>
      </c>
      <c r="O197" s="218">
        <v>1554.4596626797972</v>
      </c>
      <c r="P197" s="218">
        <v>1471.4665136467081</v>
      </c>
      <c r="Q197" s="218">
        <v>1388.4733646136187</v>
      </c>
      <c r="R197" s="218">
        <v>1305.4802155805294</v>
      </c>
      <c r="S197" s="218">
        <v>1222.48706654744</v>
      </c>
      <c r="T197" s="218">
        <v>1139.4939175143509</v>
      </c>
      <c r="U197" s="218">
        <v>1056.5007684812615</v>
      </c>
      <c r="V197" s="218">
        <v>973.50761944817225</v>
      </c>
      <c r="W197" s="218">
        <v>890.51447041508288</v>
      </c>
      <c r="X197" s="218">
        <v>880.17094968306333</v>
      </c>
      <c r="Y197" s="218">
        <v>869.82742895104366</v>
      </c>
      <c r="Z197" s="218">
        <v>859.4839082190241</v>
      </c>
      <c r="AA197" s="218">
        <v>849.14038748700455</v>
      </c>
      <c r="AB197" s="218">
        <v>838.79686675498488</v>
      </c>
      <c r="AC197" s="218">
        <v>828.45334602296532</v>
      </c>
      <c r="AD197" s="218">
        <v>818.10982529094565</v>
      </c>
      <c r="AE197" s="218">
        <v>807.76630455892609</v>
      </c>
      <c r="AF197" s="218">
        <v>797.42278382690643</v>
      </c>
      <c r="AG197" s="218">
        <v>787.07926309488687</v>
      </c>
      <c r="AH197" s="218">
        <v>776.7357423628672</v>
      </c>
      <c r="AI197" s="218">
        <v>766.39222163084764</v>
      </c>
      <c r="AJ197" s="218">
        <v>756.04870089882797</v>
      </c>
      <c r="AK197" s="218">
        <v>745.70518016680842</v>
      </c>
      <c r="AL197" s="218">
        <v>735.36165943478886</v>
      </c>
      <c r="AM197" s="218">
        <v>725.01813870276919</v>
      </c>
      <c r="AN197" s="218">
        <v>714.67461797074964</v>
      </c>
      <c r="AO197" s="218">
        <v>704.33109723872997</v>
      </c>
      <c r="AP197" s="218">
        <v>693.98757650671041</v>
      </c>
      <c r="AQ197" s="218">
        <v>683.64405577468995</v>
      </c>
      <c r="AR197" s="310">
        <f>(AQ197-AQ197*$AT$199)</f>
        <v>693.83341175685666</v>
      </c>
      <c r="AS197" s="310">
        <f t="shared" ref="AS197:BK197" si="19">(AR197-AR197*$AT$199)</f>
        <v>704.17463474416206</v>
      </c>
      <c r="AT197" s="310">
        <f t="shared" si="19"/>
        <v>714.66998823464166</v>
      </c>
      <c r="AU197" s="310">
        <f t="shared" si="19"/>
        <v>725.32176946258176</v>
      </c>
      <c r="AV197" s="310">
        <f t="shared" si="19"/>
        <v>736.13230990134048</v>
      </c>
      <c r="AW197" s="310">
        <f t="shared" si="19"/>
        <v>747.10397577366325</v>
      </c>
      <c r="AX197" s="310">
        <f t="shared" si="19"/>
        <v>758.23916856960386</v>
      </c>
      <c r="AY197" s="310">
        <f t="shared" si="19"/>
        <v>769.54032557216556</v>
      </c>
      <c r="AZ197" s="310">
        <f t="shared" si="19"/>
        <v>781.00992039077607</v>
      </c>
      <c r="BA197" s="310">
        <f t="shared" si="19"/>
        <v>792.65046350271393</v>
      </c>
      <c r="BB197" s="310">
        <f t="shared" si="19"/>
        <v>804.46450280260433</v>
      </c>
      <c r="BC197" s="310">
        <f t="shared" si="19"/>
        <v>816.45462416010503</v>
      </c>
      <c r="BD197" s="310">
        <f t="shared" si="19"/>
        <v>828.62345198590458</v>
      </c>
      <c r="BE197" s="310">
        <f t="shared" si="19"/>
        <v>840.97364980615578</v>
      </c>
      <c r="BF197" s="310">
        <f t="shared" si="19"/>
        <v>853.5079208454714</v>
      </c>
      <c r="BG197" s="310">
        <f t="shared" si="19"/>
        <v>866.22900861860887</v>
      </c>
      <c r="BH197" s="310">
        <f t="shared" si="19"/>
        <v>879.13969753097365</v>
      </c>
      <c r="BI197" s="310">
        <f t="shared" si="19"/>
        <v>892.24281348807301</v>
      </c>
      <c r="BJ197" s="310">
        <f t="shared" si="19"/>
        <v>905.54122451405328</v>
      </c>
      <c r="BK197" s="310">
        <f t="shared" si="19"/>
        <v>919.03784137945581</v>
      </c>
    </row>
    <row r="198" spans="1:91" ht="14.25" customHeight="1" thickBot="1" x14ac:dyDescent="0.2">
      <c r="G198" s="22"/>
      <c r="H198" s="254"/>
      <c r="J198" s="241"/>
      <c r="K198" s="144" t="s">
        <v>135</v>
      </c>
      <c r="L198" s="158">
        <v>1763.430064150396</v>
      </c>
      <c r="M198" s="158">
        <v>1720.445960745976</v>
      </c>
      <c r="N198" s="158">
        <v>1691.926281082558</v>
      </c>
      <c r="O198" s="158">
        <v>1663.4066014191401</v>
      </c>
      <c r="P198" s="158">
        <v>1634.8869217557221</v>
      </c>
      <c r="Q198" s="158">
        <v>1606.367242092304</v>
      </c>
      <c r="R198" s="158">
        <v>1577.847562428886</v>
      </c>
      <c r="S198" s="158">
        <v>1549.3278827654681</v>
      </c>
      <c r="T198" s="158">
        <v>1520.8082031020501</v>
      </c>
      <c r="U198" s="158">
        <v>1492.2885234386322</v>
      </c>
      <c r="V198" s="158">
        <v>1463.7688437752142</v>
      </c>
      <c r="W198" s="158">
        <v>1435.2491641117965</v>
      </c>
      <c r="X198" s="158">
        <v>1408.0124294269608</v>
      </c>
      <c r="Y198" s="158">
        <v>1380.7756947421253</v>
      </c>
      <c r="Z198" s="158">
        <v>1353.5389600572896</v>
      </c>
      <c r="AA198" s="158">
        <v>1326.3022253724539</v>
      </c>
      <c r="AB198" s="158">
        <v>1299.0654906876182</v>
      </c>
      <c r="AC198" s="158">
        <v>1271.8287560027825</v>
      </c>
      <c r="AD198" s="158">
        <v>1244.5920213179468</v>
      </c>
      <c r="AE198" s="158">
        <v>1217.3552866331113</v>
      </c>
      <c r="AF198" s="158">
        <v>1190.1185519482756</v>
      </c>
      <c r="AG198" s="158">
        <v>1162.8818172634399</v>
      </c>
      <c r="AH198" s="158">
        <v>1135.6450825786042</v>
      </c>
      <c r="AI198" s="158">
        <v>1108.4083478937685</v>
      </c>
      <c r="AJ198" s="158">
        <v>1081.1716132089327</v>
      </c>
      <c r="AK198" s="158">
        <v>1053.9348785240973</v>
      </c>
      <c r="AL198" s="158">
        <v>1026.6981438392615</v>
      </c>
      <c r="AM198" s="158">
        <v>999.46140915442584</v>
      </c>
      <c r="AN198" s="158">
        <v>972.22467446959013</v>
      </c>
      <c r="AO198" s="158">
        <v>944.98793978475453</v>
      </c>
      <c r="AP198" s="158">
        <v>917.75120509991882</v>
      </c>
      <c r="AQ198" s="158">
        <v>890.51447041508288</v>
      </c>
      <c r="BZ198" s="153"/>
      <c r="CA198" s="153"/>
      <c r="CB198" s="153"/>
      <c r="CC198" s="153"/>
      <c r="CD198" s="153"/>
      <c r="CE198" s="153"/>
      <c r="CF198" s="153"/>
      <c r="CG198" s="153"/>
      <c r="CH198" s="153"/>
      <c r="CI198" s="153"/>
      <c r="CJ198" s="153"/>
      <c r="CK198" s="153"/>
      <c r="CL198" s="153"/>
      <c r="CM198" s="153"/>
    </row>
    <row r="199" spans="1:91" ht="14.25" customHeight="1" thickTop="1" x14ac:dyDescent="0.15">
      <c r="G199" s="22"/>
      <c r="H199" s="254"/>
      <c r="J199" s="241"/>
      <c r="K199" s="140" t="s">
        <v>136</v>
      </c>
      <c r="L199" s="159">
        <f t="shared" ref="L199:AQ206" si="20">L196</f>
        <v>1763.430064150396</v>
      </c>
      <c r="M199" s="159">
        <f t="shared" si="20"/>
        <v>1720.445960745976</v>
      </c>
      <c r="N199" s="159">
        <f t="shared" si="20"/>
        <v>1616.7657702488473</v>
      </c>
      <c r="O199" s="159">
        <f t="shared" si="20"/>
        <v>1513.0855797517188</v>
      </c>
      <c r="P199" s="159">
        <f t="shared" si="20"/>
        <v>1409.4053892545903</v>
      </c>
      <c r="Q199" s="159">
        <f t="shared" si="20"/>
        <v>1305.7251987574618</v>
      </c>
      <c r="R199" s="159">
        <f t="shared" si="20"/>
        <v>1202.0450082603334</v>
      </c>
      <c r="S199" s="159">
        <f t="shared" si="20"/>
        <v>1098.3648177632049</v>
      </c>
      <c r="T199" s="159">
        <f t="shared" si="20"/>
        <v>994.68462726607618</v>
      </c>
      <c r="U199" s="159">
        <f t="shared" si="20"/>
        <v>891.00443676894758</v>
      </c>
      <c r="V199" s="159">
        <f t="shared" si="20"/>
        <v>787.32424627181899</v>
      </c>
      <c r="W199" s="159">
        <f t="shared" si="20"/>
        <v>683.64405577468995</v>
      </c>
      <c r="X199" s="159">
        <f t="shared" si="20"/>
        <v>674.83282004266596</v>
      </c>
      <c r="Y199" s="159">
        <f t="shared" si="20"/>
        <v>666.02158431064208</v>
      </c>
      <c r="Z199" s="159">
        <f t="shared" si="20"/>
        <v>657.21034857861821</v>
      </c>
      <c r="AA199" s="159">
        <f t="shared" si="20"/>
        <v>648.39911284659422</v>
      </c>
      <c r="AB199" s="159">
        <f t="shared" si="20"/>
        <v>639.58787711457035</v>
      </c>
      <c r="AC199" s="159">
        <f t="shared" si="20"/>
        <v>630.77664138254636</v>
      </c>
      <c r="AD199" s="159">
        <f t="shared" si="20"/>
        <v>621.96540565052248</v>
      </c>
      <c r="AE199" s="159">
        <f t="shared" si="20"/>
        <v>613.15416991849861</v>
      </c>
      <c r="AF199" s="159">
        <f t="shared" si="20"/>
        <v>604.34293418647462</v>
      </c>
      <c r="AG199" s="159">
        <f t="shared" si="20"/>
        <v>595.53169845445075</v>
      </c>
      <c r="AH199" s="159">
        <f t="shared" si="20"/>
        <v>586.72046272242687</v>
      </c>
      <c r="AI199" s="159">
        <f t="shared" si="20"/>
        <v>577.90922699040289</v>
      </c>
      <c r="AJ199" s="159">
        <f t="shared" si="20"/>
        <v>569.09799125837901</v>
      </c>
      <c r="AK199" s="159">
        <f t="shared" si="20"/>
        <v>560.28675552635514</v>
      </c>
      <c r="AL199" s="159">
        <f t="shared" si="20"/>
        <v>551.47551979433115</v>
      </c>
      <c r="AM199" s="159">
        <f t="shared" si="20"/>
        <v>542.66428406230727</v>
      </c>
      <c r="AN199" s="159">
        <f t="shared" si="20"/>
        <v>533.8530483302834</v>
      </c>
      <c r="AO199" s="159">
        <f t="shared" si="20"/>
        <v>525.04181259825941</v>
      </c>
      <c r="AP199" s="159">
        <f t="shared" si="20"/>
        <v>516.23057686623554</v>
      </c>
      <c r="AQ199" s="159">
        <f t="shared" si="20"/>
        <v>507.41934113421115</v>
      </c>
      <c r="AS199" s="16" t="s">
        <v>261</v>
      </c>
      <c r="AT199" s="16">
        <f>(AQ197-AP197)/AP197</f>
        <v>-1.4904475356873266E-2</v>
      </c>
      <c r="BZ199" s="155"/>
      <c r="CA199" s="155"/>
      <c r="CB199" s="155"/>
      <c r="CC199" s="155"/>
      <c r="CD199" s="155"/>
      <c r="CE199" s="155"/>
      <c r="CF199" s="155"/>
      <c r="CG199" s="155"/>
      <c r="CH199" s="155"/>
      <c r="CI199" s="155"/>
      <c r="CJ199" s="155"/>
      <c r="CK199" s="155"/>
      <c r="CL199" s="155"/>
      <c r="CM199" s="155"/>
    </row>
    <row r="200" spans="1:91" ht="14.25" customHeight="1" x14ac:dyDescent="0.15">
      <c r="G200" s="22"/>
      <c r="H200" s="254"/>
      <c r="J200" s="241"/>
      <c r="K200" s="19" t="s">
        <v>137</v>
      </c>
      <c r="L200" s="160">
        <f t="shared" si="20"/>
        <v>1763.430064150396</v>
      </c>
      <c r="M200" s="160">
        <f t="shared" si="20"/>
        <v>1720.445960745976</v>
      </c>
      <c r="N200" s="160">
        <f t="shared" si="20"/>
        <v>1637.4528117128866</v>
      </c>
      <c r="O200" s="160">
        <f t="shared" si="20"/>
        <v>1554.4596626797972</v>
      </c>
      <c r="P200" s="160">
        <f t="shared" si="20"/>
        <v>1471.4665136467081</v>
      </c>
      <c r="Q200" s="160">
        <f t="shared" si="20"/>
        <v>1388.4733646136187</v>
      </c>
      <c r="R200" s="160">
        <f t="shared" si="20"/>
        <v>1305.4802155805294</v>
      </c>
      <c r="S200" s="160">
        <f t="shared" si="20"/>
        <v>1222.48706654744</v>
      </c>
      <c r="T200" s="160">
        <f t="shared" si="20"/>
        <v>1139.4939175143509</v>
      </c>
      <c r="U200" s="160">
        <f t="shared" si="20"/>
        <v>1056.5007684812615</v>
      </c>
      <c r="V200" s="160">
        <f t="shared" si="20"/>
        <v>973.50761944817225</v>
      </c>
      <c r="W200" s="160">
        <f t="shared" si="20"/>
        <v>890.51447041508288</v>
      </c>
      <c r="X200" s="160">
        <f t="shared" si="20"/>
        <v>880.17094968306333</v>
      </c>
      <c r="Y200" s="160">
        <f t="shared" si="20"/>
        <v>869.82742895104366</v>
      </c>
      <c r="Z200" s="160">
        <f t="shared" si="20"/>
        <v>859.4839082190241</v>
      </c>
      <c r="AA200" s="160">
        <f t="shared" si="20"/>
        <v>849.14038748700455</v>
      </c>
      <c r="AB200" s="160">
        <f t="shared" si="20"/>
        <v>838.79686675498488</v>
      </c>
      <c r="AC200" s="160">
        <f t="shared" si="20"/>
        <v>828.45334602296532</v>
      </c>
      <c r="AD200" s="160">
        <f t="shared" si="20"/>
        <v>818.10982529094565</v>
      </c>
      <c r="AE200" s="160">
        <f t="shared" si="20"/>
        <v>807.76630455892609</v>
      </c>
      <c r="AF200" s="160">
        <f t="shared" si="20"/>
        <v>797.42278382690643</v>
      </c>
      <c r="AG200" s="160">
        <f t="shared" si="20"/>
        <v>787.07926309488687</v>
      </c>
      <c r="AH200" s="160">
        <f t="shared" si="20"/>
        <v>776.7357423628672</v>
      </c>
      <c r="AI200" s="160">
        <f t="shared" si="20"/>
        <v>766.39222163084764</v>
      </c>
      <c r="AJ200" s="160">
        <f t="shared" si="20"/>
        <v>756.04870089882797</v>
      </c>
      <c r="AK200" s="160">
        <f t="shared" si="20"/>
        <v>745.70518016680842</v>
      </c>
      <c r="AL200" s="160">
        <f t="shared" si="20"/>
        <v>735.36165943478886</v>
      </c>
      <c r="AM200" s="160">
        <f t="shared" si="20"/>
        <v>725.01813870276919</v>
      </c>
      <c r="AN200" s="160">
        <f t="shared" si="20"/>
        <v>714.67461797074964</v>
      </c>
      <c r="AO200" s="160">
        <f t="shared" si="20"/>
        <v>704.33109723872997</v>
      </c>
      <c r="AP200" s="160">
        <f t="shared" si="20"/>
        <v>693.98757650671041</v>
      </c>
      <c r="AQ200" s="160">
        <f t="shared" si="20"/>
        <v>683.64405577468995</v>
      </c>
    </row>
    <row r="201" spans="1:91" ht="14.25" customHeight="1" thickBot="1" x14ac:dyDescent="0.2">
      <c r="G201" s="22"/>
      <c r="H201" s="254"/>
      <c r="J201" s="241"/>
      <c r="K201" s="144" t="s">
        <v>138</v>
      </c>
      <c r="L201" s="161">
        <f t="shared" si="20"/>
        <v>1763.430064150396</v>
      </c>
      <c r="M201" s="161">
        <f t="shared" si="20"/>
        <v>1720.445960745976</v>
      </c>
      <c r="N201" s="161">
        <f t="shared" si="20"/>
        <v>1691.926281082558</v>
      </c>
      <c r="O201" s="161">
        <f t="shared" si="20"/>
        <v>1663.4066014191401</v>
      </c>
      <c r="P201" s="161">
        <f t="shared" si="20"/>
        <v>1634.8869217557221</v>
      </c>
      <c r="Q201" s="161">
        <f t="shared" si="20"/>
        <v>1606.367242092304</v>
      </c>
      <c r="R201" s="161">
        <f t="shared" si="20"/>
        <v>1577.847562428886</v>
      </c>
      <c r="S201" s="161">
        <f t="shared" si="20"/>
        <v>1549.3278827654681</v>
      </c>
      <c r="T201" s="161">
        <f t="shared" si="20"/>
        <v>1520.8082031020501</v>
      </c>
      <c r="U201" s="161">
        <f t="shared" si="20"/>
        <v>1492.2885234386322</v>
      </c>
      <c r="V201" s="161">
        <f t="shared" si="20"/>
        <v>1463.7688437752142</v>
      </c>
      <c r="W201" s="161">
        <f t="shared" si="20"/>
        <v>1435.2491641117965</v>
      </c>
      <c r="X201" s="161">
        <f t="shared" si="20"/>
        <v>1408.0124294269608</v>
      </c>
      <c r="Y201" s="161">
        <f t="shared" si="20"/>
        <v>1380.7756947421253</v>
      </c>
      <c r="Z201" s="161">
        <f t="shared" si="20"/>
        <v>1353.5389600572896</v>
      </c>
      <c r="AA201" s="161">
        <f t="shared" si="20"/>
        <v>1326.3022253724539</v>
      </c>
      <c r="AB201" s="161">
        <f t="shared" si="20"/>
        <v>1299.0654906876182</v>
      </c>
      <c r="AC201" s="161">
        <f t="shared" si="20"/>
        <v>1271.8287560027825</v>
      </c>
      <c r="AD201" s="161">
        <f t="shared" si="20"/>
        <v>1244.5920213179468</v>
      </c>
      <c r="AE201" s="161">
        <f t="shared" si="20"/>
        <v>1217.3552866331113</v>
      </c>
      <c r="AF201" s="161">
        <f t="shared" si="20"/>
        <v>1190.1185519482756</v>
      </c>
      <c r="AG201" s="161">
        <f t="shared" si="20"/>
        <v>1162.8818172634399</v>
      </c>
      <c r="AH201" s="161">
        <f t="shared" si="20"/>
        <v>1135.6450825786042</v>
      </c>
      <c r="AI201" s="161">
        <f t="shared" si="20"/>
        <v>1108.4083478937685</v>
      </c>
      <c r="AJ201" s="161">
        <f t="shared" si="20"/>
        <v>1081.1716132089327</v>
      </c>
      <c r="AK201" s="161">
        <f t="shared" si="20"/>
        <v>1053.9348785240973</v>
      </c>
      <c r="AL201" s="161">
        <f t="shared" si="20"/>
        <v>1026.6981438392615</v>
      </c>
      <c r="AM201" s="161">
        <f t="shared" si="20"/>
        <v>999.46140915442584</v>
      </c>
      <c r="AN201" s="161">
        <f t="shared" si="20"/>
        <v>972.22467446959013</v>
      </c>
      <c r="AO201" s="161">
        <f t="shared" si="20"/>
        <v>944.98793978475453</v>
      </c>
      <c r="AP201" s="161">
        <f t="shared" si="20"/>
        <v>917.75120509991882</v>
      </c>
      <c r="AQ201" s="161">
        <f t="shared" si="20"/>
        <v>890.51447041508288</v>
      </c>
    </row>
    <row r="202" spans="1:91" ht="14.25" customHeight="1" thickTop="1" x14ac:dyDescent="0.15">
      <c r="G202" s="22"/>
      <c r="H202" s="254"/>
      <c r="J202" s="241"/>
      <c r="K202" s="140" t="s">
        <v>139</v>
      </c>
      <c r="L202" s="159">
        <f t="shared" si="20"/>
        <v>1763.430064150396</v>
      </c>
      <c r="M202" s="159">
        <f t="shared" si="20"/>
        <v>1720.445960745976</v>
      </c>
      <c r="N202" s="159">
        <f t="shared" si="20"/>
        <v>1616.7657702488473</v>
      </c>
      <c r="O202" s="159">
        <f t="shared" si="20"/>
        <v>1513.0855797517188</v>
      </c>
      <c r="P202" s="159">
        <f t="shared" si="20"/>
        <v>1409.4053892545903</v>
      </c>
      <c r="Q202" s="159">
        <f t="shared" si="20"/>
        <v>1305.7251987574618</v>
      </c>
      <c r="R202" s="159">
        <f t="shared" si="20"/>
        <v>1202.0450082603334</v>
      </c>
      <c r="S202" s="159">
        <f t="shared" si="20"/>
        <v>1098.3648177632049</v>
      </c>
      <c r="T202" s="159">
        <f t="shared" si="20"/>
        <v>994.68462726607618</v>
      </c>
      <c r="U202" s="159">
        <f t="shared" si="20"/>
        <v>891.00443676894758</v>
      </c>
      <c r="V202" s="159">
        <f t="shared" si="20"/>
        <v>787.32424627181899</v>
      </c>
      <c r="W202" s="159">
        <f t="shared" si="20"/>
        <v>683.64405577468995</v>
      </c>
      <c r="X202" s="159">
        <f t="shared" si="20"/>
        <v>674.83282004266596</v>
      </c>
      <c r="Y202" s="159">
        <f t="shared" si="20"/>
        <v>666.02158431064208</v>
      </c>
      <c r="Z202" s="159">
        <f t="shared" si="20"/>
        <v>657.21034857861821</v>
      </c>
      <c r="AA202" s="159">
        <f t="shared" si="20"/>
        <v>648.39911284659422</v>
      </c>
      <c r="AB202" s="159">
        <f t="shared" si="20"/>
        <v>639.58787711457035</v>
      </c>
      <c r="AC202" s="159">
        <f t="shared" si="20"/>
        <v>630.77664138254636</v>
      </c>
      <c r="AD202" s="159">
        <f t="shared" si="20"/>
        <v>621.96540565052248</v>
      </c>
      <c r="AE202" s="159">
        <f t="shared" si="20"/>
        <v>613.15416991849861</v>
      </c>
      <c r="AF202" s="159">
        <f t="shared" si="20"/>
        <v>604.34293418647462</v>
      </c>
      <c r="AG202" s="159">
        <f t="shared" si="20"/>
        <v>595.53169845445075</v>
      </c>
      <c r="AH202" s="159">
        <f t="shared" si="20"/>
        <v>586.72046272242687</v>
      </c>
      <c r="AI202" s="159">
        <f t="shared" si="20"/>
        <v>577.90922699040289</v>
      </c>
      <c r="AJ202" s="159">
        <f t="shared" si="20"/>
        <v>569.09799125837901</v>
      </c>
      <c r="AK202" s="159">
        <f t="shared" si="20"/>
        <v>560.28675552635514</v>
      </c>
      <c r="AL202" s="159">
        <f t="shared" si="20"/>
        <v>551.47551979433115</v>
      </c>
      <c r="AM202" s="159">
        <f t="shared" si="20"/>
        <v>542.66428406230727</v>
      </c>
      <c r="AN202" s="159">
        <f t="shared" si="20"/>
        <v>533.8530483302834</v>
      </c>
      <c r="AO202" s="159">
        <f t="shared" si="20"/>
        <v>525.04181259825941</v>
      </c>
      <c r="AP202" s="159">
        <f t="shared" si="20"/>
        <v>516.23057686623554</v>
      </c>
      <c r="AQ202" s="159">
        <f t="shared" si="20"/>
        <v>507.41934113421115</v>
      </c>
    </row>
    <row r="203" spans="1:91" ht="14.25" customHeight="1" x14ac:dyDescent="0.15">
      <c r="G203" s="22"/>
      <c r="H203" s="254"/>
      <c r="J203" s="241"/>
      <c r="K203" s="19" t="s">
        <v>140</v>
      </c>
      <c r="L203" s="160">
        <f t="shared" si="20"/>
        <v>1763.430064150396</v>
      </c>
      <c r="M203" s="160">
        <f t="shared" si="20"/>
        <v>1720.445960745976</v>
      </c>
      <c r="N203" s="160">
        <f t="shared" si="20"/>
        <v>1637.4528117128866</v>
      </c>
      <c r="O203" s="160">
        <f t="shared" si="20"/>
        <v>1554.4596626797972</v>
      </c>
      <c r="P203" s="160">
        <f t="shared" si="20"/>
        <v>1471.4665136467081</v>
      </c>
      <c r="Q203" s="160">
        <f t="shared" si="20"/>
        <v>1388.4733646136187</v>
      </c>
      <c r="R203" s="160">
        <f t="shared" si="20"/>
        <v>1305.4802155805294</v>
      </c>
      <c r="S203" s="160">
        <f t="shared" si="20"/>
        <v>1222.48706654744</v>
      </c>
      <c r="T203" s="160">
        <f t="shared" si="20"/>
        <v>1139.4939175143509</v>
      </c>
      <c r="U203" s="160">
        <f t="shared" si="20"/>
        <v>1056.5007684812615</v>
      </c>
      <c r="V203" s="160">
        <f t="shared" si="20"/>
        <v>973.50761944817225</v>
      </c>
      <c r="W203" s="160">
        <f t="shared" si="20"/>
        <v>890.51447041508288</v>
      </c>
      <c r="X203" s="160">
        <f t="shared" si="20"/>
        <v>880.17094968306333</v>
      </c>
      <c r="Y203" s="160">
        <f t="shared" si="20"/>
        <v>869.82742895104366</v>
      </c>
      <c r="Z203" s="160">
        <f t="shared" si="20"/>
        <v>859.4839082190241</v>
      </c>
      <c r="AA203" s="160">
        <f t="shared" si="20"/>
        <v>849.14038748700455</v>
      </c>
      <c r="AB203" s="160">
        <f t="shared" si="20"/>
        <v>838.79686675498488</v>
      </c>
      <c r="AC203" s="160">
        <f t="shared" si="20"/>
        <v>828.45334602296532</v>
      </c>
      <c r="AD203" s="160">
        <f t="shared" si="20"/>
        <v>818.10982529094565</v>
      </c>
      <c r="AE203" s="160">
        <f t="shared" si="20"/>
        <v>807.76630455892609</v>
      </c>
      <c r="AF203" s="160">
        <f t="shared" si="20"/>
        <v>797.42278382690643</v>
      </c>
      <c r="AG203" s="160">
        <f t="shared" si="20"/>
        <v>787.07926309488687</v>
      </c>
      <c r="AH203" s="160">
        <f t="shared" si="20"/>
        <v>776.7357423628672</v>
      </c>
      <c r="AI203" s="160">
        <f t="shared" si="20"/>
        <v>766.39222163084764</v>
      </c>
      <c r="AJ203" s="160">
        <f t="shared" si="20"/>
        <v>756.04870089882797</v>
      </c>
      <c r="AK203" s="160">
        <f t="shared" si="20"/>
        <v>745.70518016680842</v>
      </c>
      <c r="AL203" s="160">
        <f t="shared" si="20"/>
        <v>735.36165943478886</v>
      </c>
      <c r="AM203" s="160">
        <f t="shared" si="20"/>
        <v>725.01813870276919</v>
      </c>
      <c r="AN203" s="160">
        <f t="shared" si="20"/>
        <v>714.67461797074964</v>
      </c>
      <c r="AO203" s="160">
        <f t="shared" si="20"/>
        <v>704.33109723872997</v>
      </c>
      <c r="AP203" s="160">
        <f t="shared" si="20"/>
        <v>693.98757650671041</v>
      </c>
      <c r="AQ203" s="160">
        <f t="shared" si="20"/>
        <v>683.64405577468995</v>
      </c>
    </row>
    <row r="204" spans="1:91" ht="14.25" customHeight="1" thickBot="1" x14ac:dyDescent="0.2">
      <c r="G204" s="22"/>
      <c r="H204" s="254"/>
      <c r="J204" s="241"/>
      <c r="K204" s="144" t="s">
        <v>141</v>
      </c>
      <c r="L204" s="161">
        <f t="shared" si="20"/>
        <v>1763.430064150396</v>
      </c>
      <c r="M204" s="161">
        <f t="shared" si="20"/>
        <v>1720.445960745976</v>
      </c>
      <c r="N204" s="161">
        <f t="shared" si="20"/>
        <v>1691.926281082558</v>
      </c>
      <c r="O204" s="161">
        <f t="shared" si="20"/>
        <v>1663.4066014191401</v>
      </c>
      <c r="P204" s="161">
        <f t="shared" si="20"/>
        <v>1634.8869217557221</v>
      </c>
      <c r="Q204" s="161">
        <f t="shared" si="20"/>
        <v>1606.367242092304</v>
      </c>
      <c r="R204" s="161">
        <f t="shared" si="20"/>
        <v>1577.847562428886</v>
      </c>
      <c r="S204" s="161">
        <f t="shared" si="20"/>
        <v>1549.3278827654681</v>
      </c>
      <c r="T204" s="161">
        <f t="shared" si="20"/>
        <v>1520.8082031020501</v>
      </c>
      <c r="U204" s="161">
        <f t="shared" si="20"/>
        <v>1492.2885234386322</v>
      </c>
      <c r="V204" s="161">
        <f t="shared" si="20"/>
        <v>1463.7688437752142</v>
      </c>
      <c r="W204" s="161">
        <f t="shared" si="20"/>
        <v>1435.2491641117965</v>
      </c>
      <c r="X204" s="161">
        <f t="shared" si="20"/>
        <v>1408.0124294269608</v>
      </c>
      <c r="Y204" s="161">
        <f t="shared" si="20"/>
        <v>1380.7756947421253</v>
      </c>
      <c r="Z204" s="161">
        <f t="shared" si="20"/>
        <v>1353.5389600572896</v>
      </c>
      <c r="AA204" s="161">
        <f t="shared" si="20"/>
        <v>1326.3022253724539</v>
      </c>
      <c r="AB204" s="161">
        <f t="shared" si="20"/>
        <v>1299.0654906876182</v>
      </c>
      <c r="AC204" s="161">
        <f t="shared" si="20"/>
        <v>1271.8287560027825</v>
      </c>
      <c r="AD204" s="161">
        <f t="shared" si="20"/>
        <v>1244.5920213179468</v>
      </c>
      <c r="AE204" s="161">
        <f t="shared" si="20"/>
        <v>1217.3552866331113</v>
      </c>
      <c r="AF204" s="161">
        <f t="shared" si="20"/>
        <v>1190.1185519482756</v>
      </c>
      <c r="AG204" s="161">
        <f t="shared" si="20"/>
        <v>1162.8818172634399</v>
      </c>
      <c r="AH204" s="161">
        <f t="shared" si="20"/>
        <v>1135.6450825786042</v>
      </c>
      <c r="AI204" s="161">
        <f t="shared" si="20"/>
        <v>1108.4083478937685</v>
      </c>
      <c r="AJ204" s="161">
        <f t="shared" si="20"/>
        <v>1081.1716132089327</v>
      </c>
      <c r="AK204" s="161">
        <f t="shared" si="20"/>
        <v>1053.9348785240973</v>
      </c>
      <c r="AL204" s="161">
        <f t="shared" si="20"/>
        <v>1026.6981438392615</v>
      </c>
      <c r="AM204" s="161">
        <f t="shared" si="20"/>
        <v>999.46140915442584</v>
      </c>
      <c r="AN204" s="161">
        <f t="shared" si="20"/>
        <v>972.22467446959013</v>
      </c>
      <c r="AO204" s="161">
        <f t="shared" si="20"/>
        <v>944.98793978475453</v>
      </c>
      <c r="AP204" s="161">
        <f t="shared" si="20"/>
        <v>917.75120509991882</v>
      </c>
      <c r="AQ204" s="161">
        <f t="shared" si="20"/>
        <v>890.51447041508288</v>
      </c>
    </row>
    <row r="205" spans="1:91" ht="14.25" customHeight="1" thickTop="1" x14ac:dyDescent="0.15">
      <c r="G205" s="22"/>
      <c r="H205" s="254"/>
      <c r="J205" s="241"/>
      <c r="K205" s="140" t="s">
        <v>142</v>
      </c>
      <c r="L205" s="159">
        <f t="shared" si="20"/>
        <v>1763.430064150396</v>
      </c>
      <c r="M205" s="159">
        <f t="shared" si="20"/>
        <v>1720.445960745976</v>
      </c>
      <c r="N205" s="159">
        <f t="shared" si="20"/>
        <v>1616.7657702488473</v>
      </c>
      <c r="O205" s="159">
        <f t="shared" si="20"/>
        <v>1513.0855797517188</v>
      </c>
      <c r="P205" s="159">
        <f t="shared" si="20"/>
        <v>1409.4053892545903</v>
      </c>
      <c r="Q205" s="159">
        <f t="shared" si="20"/>
        <v>1305.7251987574618</v>
      </c>
      <c r="R205" s="159">
        <f t="shared" si="20"/>
        <v>1202.0450082603334</v>
      </c>
      <c r="S205" s="159">
        <f t="shared" si="20"/>
        <v>1098.3648177632049</v>
      </c>
      <c r="T205" s="159">
        <f t="shared" si="20"/>
        <v>994.68462726607618</v>
      </c>
      <c r="U205" s="159">
        <f t="shared" si="20"/>
        <v>891.00443676894758</v>
      </c>
      <c r="V205" s="159">
        <f t="shared" si="20"/>
        <v>787.32424627181899</v>
      </c>
      <c r="W205" s="159">
        <f t="shared" si="20"/>
        <v>683.64405577468995</v>
      </c>
      <c r="X205" s="159">
        <f t="shared" si="20"/>
        <v>674.83282004266596</v>
      </c>
      <c r="Y205" s="159">
        <f t="shared" si="20"/>
        <v>666.02158431064208</v>
      </c>
      <c r="Z205" s="159">
        <f t="shared" si="20"/>
        <v>657.21034857861821</v>
      </c>
      <c r="AA205" s="159">
        <f t="shared" si="20"/>
        <v>648.39911284659422</v>
      </c>
      <c r="AB205" s="159">
        <f t="shared" si="20"/>
        <v>639.58787711457035</v>
      </c>
      <c r="AC205" s="159">
        <f t="shared" si="20"/>
        <v>630.77664138254636</v>
      </c>
      <c r="AD205" s="159">
        <f t="shared" si="20"/>
        <v>621.96540565052248</v>
      </c>
      <c r="AE205" s="159">
        <f t="shared" si="20"/>
        <v>613.15416991849861</v>
      </c>
      <c r="AF205" s="159">
        <f t="shared" si="20"/>
        <v>604.34293418647462</v>
      </c>
      <c r="AG205" s="159">
        <f t="shared" si="20"/>
        <v>595.53169845445075</v>
      </c>
      <c r="AH205" s="159">
        <f t="shared" si="20"/>
        <v>586.72046272242687</v>
      </c>
      <c r="AI205" s="159">
        <f t="shared" si="20"/>
        <v>577.90922699040289</v>
      </c>
      <c r="AJ205" s="159">
        <f t="shared" si="20"/>
        <v>569.09799125837901</v>
      </c>
      <c r="AK205" s="159">
        <f t="shared" si="20"/>
        <v>560.28675552635514</v>
      </c>
      <c r="AL205" s="159">
        <f t="shared" si="20"/>
        <v>551.47551979433115</v>
      </c>
      <c r="AM205" s="159">
        <f t="shared" si="20"/>
        <v>542.66428406230727</v>
      </c>
      <c r="AN205" s="159">
        <f t="shared" si="20"/>
        <v>533.8530483302834</v>
      </c>
      <c r="AO205" s="159">
        <f t="shared" si="20"/>
        <v>525.04181259825941</v>
      </c>
      <c r="AP205" s="159">
        <f t="shared" si="20"/>
        <v>516.23057686623554</v>
      </c>
      <c r="AQ205" s="159">
        <f t="shared" si="20"/>
        <v>507.41934113421115</v>
      </c>
    </row>
    <row r="206" spans="1:91" ht="14.25" customHeight="1" x14ac:dyDescent="0.15">
      <c r="G206" s="22"/>
      <c r="H206" s="254"/>
      <c r="J206" s="241"/>
      <c r="K206" s="19" t="s">
        <v>143</v>
      </c>
      <c r="L206" s="160">
        <f t="shared" si="20"/>
        <v>1763.430064150396</v>
      </c>
      <c r="M206" s="160">
        <f t="shared" si="20"/>
        <v>1720.445960745976</v>
      </c>
      <c r="N206" s="160">
        <f t="shared" si="20"/>
        <v>1637.4528117128866</v>
      </c>
      <c r="O206" s="160">
        <f t="shared" si="20"/>
        <v>1554.4596626797972</v>
      </c>
      <c r="P206" s="160">
        <f t="shared" si="20"/>
        <v>1471.4665136467081</v>
      </c>
      <c r="Q206" s="160">
        <f t="shared" si="20"/>
        <v>1388.4733646136187</v>
      </c>
      <c r="R206" s="160">
        <f t="shared" si="20"/>
        <v>1305.4802155805294</v>
      </c>
      <c r="S206" s="160">
        <f t="shared" si="20"/>
        <v>1222.48706654744</v>
      </c>
      <c r="T206" s="160">
        <f t="shared" si="20"/>
        <v>1139.4939175143509</v>
      </c>
      <c r="U206" s="160">
        <f t="shared" si="20"/>
        <v>1056.5007684812615</v>
      </c>
      <c r="V206" s="160">
        <f t="shared" si="20"/>
        <v>973.50761944817225</v>
      </c>
      <c r="W206" s="160">
        <f t="shared" si="20"/>
        <v>890.51447041508288</v>
      </c>
      <c r="X206" s="160">
        <f t="shared" si="20"/>
        <v>880.17094968306333</v>
      </c>
      <c r="Y206" s="160">
        <f t="shared" si="20"/>
        <v>869.82742895104366</v>
      </c>
      <c r="Z206" s="160">
        <f t="shared" si="20"/>
        <v>859.4839082190241</v>
      </c>
      <c r="AA206" s="160">
        <f t="shared" si="20"/>
        <v>849.14038748700455</v>
      </c>
      <c r="AB206" s="160">
        <f t="shared" si="20"/>
        <v>838.79686675498488</v>
      </c>
      <c r="AC206" s="160">
        <f t="shared" si="20"/>
        <v>828.45334602296532</v>
      </c>
      <c r="AD206" s="160">
        <f t="shared" si="20"/>
        <v>818.10982529094565</v>
      </c>
      <c r="AE206" s="160">
        <f t="shared" si="20"/>
        <v>807.76630455892609</v>
      </c>
      <c r="AF206" s="160">
        <f t="shared" si="20"/>
        <v>797.42278382690643</v>
      </c>
      <c r="AG206" s="160">
        <f t="shared" si="20"/>
        <v>787.07926309488687</v>
      </c>
      <c r="AH206" s="160">
        <f t="shared" si="20"/>
        <v>776.7357423628672</v>
      </c>
      <c r="AI206" s="160">
        <f t="shared" si="20"/>
        <v>766.39222163084764</v>
      </c>
      <c r="AJ206" s="160">
        <f t="shared" si="20"/>
        <v>756.04870089882797</v>
      </c>
      <c r="AK206" s="160">
        <f t="shared" si="20"/>
        <v>745.70518016680842</v>
      </c>
      <c r="AL206" s="160">
        <f t="shared" si="20"/>
        <v>735.36165943478886</v>
      </c>
      <c r="AM206" s="160">
        <f t="shared" si="20"/>
        <v>725.01813870276919</v>
      </c>
      <c r="AN206" s="160">
        <f t="shared" si="20"/>
        <v>714.67461797074964</v>
      </c>
      <c r="AO206" s="160">
        <f t="shared" si="20"/>
        <v>704.33109723872997</v>
      </c>
      <c r="AP206" s="160">
        <f t="shared" si="20"/>
        <v>693.98757650671041</v>
      </c>
      <c r="AQ206" s="160">
        <f t="shared" ref="AQ206" si="21">AQ203</f>
        <v>683.64405577468995</v>
      </c>
    </row>
    <row r="207" spans="1:91" ht="14.25" customHeight="1" thickBot="1" x14ac:dyDescent="0.2">
      <c r="G207" s="22"/>
      <c r="H207" s="254"/>
      <c r="J207" s="241"/>
      <c r="K207" s="144" t="s">
        <v>144</v>
      </c>
      <c r="L207" s="161">
        <f t="shared" ref="L207:AQ211" si="22">L204</f>
        <v>1763.430064150396</v>
      </c>
      <c r="M207" s="161">
        <f t="shared" si="22"/>
        <v>1720.445960745976</v>
      </c>
      <c r="N207" s="161">
        <f t="shared" si="22"/>
        <v>1691.926281082558</v>
      </c>
      <c r="O207" s="161">
        <f t="shared" si="22"/>
        <v>1663.4066014191401</v>
      </c>
      <c r="P207" s="161">
        <f t="shared" si="22"/>
        <v>1634.8869217557221</v>
      </c>
      <c r="Q207" s="161">
        <f t="shared" si="22"/>
        <v>1606.367242092304</v>
      </c>
      <c r="R207" s="161">
        <f t="shared" si="22"/>
        <v>1577.847562428886</v>
      </c>
      <c r="S207" s="161">
        <f t="shared" si="22"/>
        <v>1549.3278827654681</v>
      </c>
      <c r="T207" s="161">
        <f t="shared" si="22"/>
        <v>1520.8082031020501</v>
      </c>
      <c r="U207" s="161">
        <f t="shared" si="22"/>
        <v>1492.2885234386322</v>
      </c>
      <c r="V207" s="161">
        <f t="shared" si="22"/>
        <v>1463.7688437752142</v>
      </c>
      <c r="W207" s="161">
        <f t="shared" si="22"/>
        <v>1435.2491641117965</v>
      </c>
      <c r="X207" s="161">
        <f t="shared" si="22"/>
        <v>1408.0124294269608</v>
      </c>
      <c r="Y207" s="161">
        <f t="shared" si="22"/>
        <v>1380.7756947421253</v>
      </c>
      <c r="Z207" s="161">
        <f t="shared" si="22"/>
        <v>1353.5389600572896</v>
      </c>
      <c r="AA207" s="161">
        <f t="shared" si="22"/>
        <v>1326.3022253724539</v>
      </c>
      <c r="AB207" s="161">
        <f t="shared" si="22"/>
        <v>1299.0654906876182</v>
      </c>
      <c r="AC207" s="161">
        <f t="shared" si="22"/>
        <v>1271.8287560027825</v>
      </c>
      <c r="AD207" s="161">
        <f t="shared" si="22"/>
        <v>1244.5920213179468</v>
      </c>
      <c r="AE207" s="161">
        <f t="shared" si="22"/>
        <v>1217.3552866331113</v>
      </c>
      <c r="AF207" s="161">
        <f t="shared" si="22"/>
        <v>1190.1185519482756</v>
      </c>
      <c r="AG207" s="161">
        <f t="shared" si="22"/>
        <v>1162.8818172634399</v>
      </c>
      <c r="AH207" s="161">
        <f t="shared" si="22"/>
        <v>1135.6450825786042</v>
      </c>
      <c r="AI207" s="161">
        <f t="shared" si="22"/>
        <v>1108.4083478937685</v>
      </c>
      <c r="AJ207" s="161">
        <f t="shared" si="22"/>
        <v>1081.1716132089327</v>
      </c>
      <c r="AK207" s="161">
        <f t="shared" si="22"/>
        <v>1053.9348785240973</v>
      </c>
      <c r="AL207" s="161">
        <f t="shared" si="22"/>
        <v>1026.6981438392615</v>
      </c>
      <c r="AM207" s="161">
        <f t="shared" si="22"/>
        <v>999.46140915442584</v>
      </c>
      <c r="AN207" s="161">
        <f t="shared" si="22"/>
        <v>972.22467446959013</v>
      </c>
      <c r="AO207" s="161">
        <f t="shared" si="22"/>
        <v>944.98793978475453</v>
      </c>
      <c r="AP207" s="161">
        <f t="shared" si="22"/>
        <v>917.75120509991882</v>
      </c>
      <c r="AQ207" s="161">
        <f t="shared" si="22"/>
        <v>890.51447041508288</v>
      </c>
    </row>
    <row r="208" spans="1:91" ht="14.25" customHeight="1" thickTop="1" x14ac:dyDescent="0.15">
      <c r="G208" s="22"/>
      <c r="H208" s="254"/>
      <c r="J208" s="241"/>
      <c r="K208" s="140" t="s">
        <v>145</v>
      </c>
      <c r="L208" s="159">
        <f t="shared" si="22"/>
        <v>1763.430064150396</v>
      </c>
      <c r="M208" s="159">
        <f t="shared" si="22"/>
        <v>1720.445960745976</v>
      </c>
      <c r="N208" s="159">
        <f t="shared" si="22"/>
        <v>1616.7657702488473</v>
      </c>
      <c r="O208" s="159">
        <f t="shared" si="22"/>
        <v>1513.0855797517188</v>
      </c>
      <c r="P208" s="159">
        <f t="shared" si="22"/>
        <v>1409.4053892545903</v>
      </c>
      <c r="Q208" s="159">
        <f t="shared" si="22"/>
        <v>1305.7251987574618</v>
      </c>
      <c r="R208" s="159">
        <f t="shared" si="22"/>
        <v>1202.0450082603334</v>
      </c>
      <c r="S208" s="159">
        <f t="shared" si="22"/>
        <v>1098.3648177632049</v>
      </c>
      <c r="T208" s="159">
        <f t="shared" si="22"/>
        <v>994.68462726607618</v>
      </c>
      <c r="U208" s="159">
        <f t="shared" si="22"/>
        <v>891.00443676894758</v>
      </c>
      <c r="V208" s="159">
        <f t="shared" si="22"/>
        <v>787.32424627181899</v>
      </c>
      <c r="W208" s="159">
        <f t="shared" si="22"/>
        <v>683.64405577468995</v>
      </c>
      <c r="X208" s="159">
        <f t="shared" si="22"/>
        <v>674.83282004266596</v>
      </c>
      <c r="Y208" s="159">
        <f t="shared" si="22"/>
        <v>666.02158431064208</v>
      </c>
      <c r="Z208" s="159">
        <f t="shared" si="22"/>
        <v>657.21034857861821</v>
      </c>
      <c r="AA208" s="159">
        <f t="shared" si="22"/>
        <v>648.39911284659422</v>
      </c>
      <c r="AB208" s="159">
        <f t="shared" si="22"/>
        <v>639.58787711457035</v>
      </c>
      <c r="AC208" s="159">
        <f t="shared" si="22"/>
        <v>630.77664138254636</v>
      </c>
      <c r="AD208" s="159">
        <f t="shared" si="22"/>
        <v>621.96540565052248</v>
      </c>
      <c r="AE208" s="159">
        <f t="shared" si="22"/>
        <v>613.15416991849861</v>
      </c>
      <c r="AF208" s="159">
        <f t="shared" si="22"/>
        <v>604.34293418647462</v>
      </c>
      <c r="AG208" s="159">
        <f t="shared" si="22"/>
        <v>595.53169845445075</v>
      </c>
      <c r="AH208" s="159">
        <f t="shared" si="22"/>
        <v>586.72046272242687</v>
      </c>
      <c r="AI208" s="159">
        <f t="shared" si="22"/>
        <v>577.90922699040289</v>
      </c>
      <c r="AJ208" s="159">
        <f t="shared" si="22"/>
        <v>569.09799125837901</v>
      </c>
      <c r="AK208" s="159">
        <f t="shared" si="22"/>
        <v>560.28675552635514</v>
      </c>
      <c r="AL208" s="159">
        <f t="shared" si="22"/>
        <v>551.47551979433115</v>
      </c>
      <c r="AM208" s="159">
        <f t="shared" si="22"/>
        <v>542.66428406230727</v>
      </c>
      <c r="AN208" s="159">
        <f t="shared" si="22"/>
        <v>533.8530483302834</v>
      </c>
      <c r="AO208" s="159">
        <f t="shared" si="22"/>
        <v>525.04181259825941</v>
      </c>
      <c r="AP208" s="159">
        <f t="shared" si="22"/>
        <v>516.23057686623554</v>
      </c>
      <c r="AQ208" s="159">
        <f t="shared" si="22"/>
        <v>507.41934113421115</v>
      </c>
    </row>
    <row r="209" spans="7:91" ht="14.25" customHeight="1" x14ac:dyDescent="0.15">
      <c r="G209" s="22"/>
      <c r="H209" s="254"/>
      <c r="J209" s="241"/>
      <c r="K209" s="19" t="s">
        <v>146</v>
      </c>
      <c r="L209" s="160">
        <f t="shared" si="22"/>
        <v>1763.430064150396</v>
      </c>
      <c r="M209" s="160">
        <f t="shared" si="22"/>
        <v>1720.445960745976</v>
      </c>
      <c r="N209" s="160">
        <f t="shared" si="22"/>
        <v>1637.4528117128866</v>
      </c>
      <c r="O209" s="160">
        <f t="shared" si="22"/>
        <v>1554.4596626797972</v>
      </c>
      <c r="P209" s="160">
        <f t="shared" si="22"/>
        <v>1471.4665136467081</v>
      </c>
      <c r="Q209" s="160">
        <f t="shared" si="22"/>
        <v>1388.4733646136187</v>
      </c>
      <c r="R209" s="160">
        <f t="shared" si="22"/>
        <v>1305.4802155805294</v>
      </c>
      <c r="S209" s="160">
        <f t="shared" si="22"/>
        <v>1222.48706654744</v>
      </c>
      <c r="T209" s="160">
        <f t="shared" si="22"/>
        <v>1139.4939175143509</v>
      </c>
      <c r="U209" s="160">
        <f t="shared" si="22"/>
        <v>1056.5007684812615</v>
      </c>
      <c r="V209" s="160">
        <f t="shared" si="22"/>
        <v>973.50761944817225</v>
      </c>
      <c r="W209" s="160">
        <f t="shared" si="22"/>
        <v>890.51447041508288</v>
      </c>
      <c r="X209" s="160">
        <f t="shared" si="22"/>
        <v>880.17094968306333</v>
      </c>
      <c r="Y209" s="160">
        <f t="shared" si="22"/>
        <v>869.82742895104366</v>
      </c>
      <c r="Z209" s="160">
        <f t="shared" si="22"/>
        <v>859.4839082190241</v>
      </c>
      <c r="AA209" s="160">
        <f t="shared" si="22"/>
        <v>849.14038748700455</v>
      </c>
      <c r="AB209" s="160">
        <f t="shared" si="22"/>
        <v>838.79686675498488</v>
      </c>
      <c r="AC209" s="160">
        <f t="shared" si="22"/>
        <v>828.45334602296532</v>
      </c>
      <c r="AD209" s="160">
        <f t="shared" si="22"/>
        <v>818.10982529094565</v>
      </c>
      <c r="AE209" s="160">
        <f t="shared" si="22"/>
        <v>807.76630455892609</v>
      </c>
      <c r="AF209" s="160">
        <f t="shared" si="22"/>
        <v>797.42278382690643</v>
      </c>
      <c r="AG209" s="160">
        <f t="shared" si="22"/>
        <v>787.07926309488687</v>
      </c>
      <c r="AH209" s="160">
        <f t="shared" si="22"/>
        <v>776.7357423628672</v>
      </c>
      <c r="AI209" s="160">
        <f t="shared" si="22"/>
        <v>766.39222163084764</v>
      </c>
      <c r="AJ209" s="160">
        <f t="shared" si="22"/>
        <v>756.04870089882797</v>
      </c>
      <c r="AK209" s="160">
        <f t="shared" si="22"/>
        <v>745.70518016680842</v>
      </c>
      <c r="AL209" s="160">
        <f t="shared" si="22"/>
        <v>735.36165943478886</v>
      </c>
      <c r="AM209" s="160">
        <f t="shared" si="22"/>
        <v>725.01813870276919</v>
      </c>
      <c r="AN209" s="160">
        <f t="shared" si="22"/>
        <v>714.67461797074964</v>
      </c>
      <c r="AO209" s="160">
        <f t="shared" si="22"/>
        <v>704.33109723872997</v>
      </c>
      <c r="AP209" s="160">
        <f t="shared" si="22"/>
        <v>693.98757650671041</v>
      </c>
      <c r="AQ209" s="160">
        <f t="shared" si="22"/>
        <v>683.64405577468995</v>
      </c>
    </row>
    <row r="210" spans="7:91" ht="14.25" customHeight="1" thickBot="1" x14ac:dyDescent="0.2">
      <c r="G210" s="22"/>
      <c r="H210" s="254"/>
      <c r="J210" s="241"/>
      <c r="K210" s="144" t="s">
        <v>147</v>
      </c>
      <c r="L210" s="161">
        <f t="shared" si="22"/>
        <v>1763.430064150396</v>
      </c>
      <c r="M210" s="161">
        <f t="shared" si="22"/>
        <v>1720.445960745976</v>
      </c>
      <c r="N210" s="161">
        <f t="shared" si="22"/>
        <v>1691.926281082558</v>
      </c>
      <c r="O210" s="161">
        <f t="shared" si="22"/>
        <v>1663.4066014191401</v>
      </c>
      <c r="P210" s="161">
        <f t="shared" si="22"/>
        <v>1634.8869217557221</v>
      </c>
      <c r="Q210" s="161">
        <f t="shared" si="22"/>
        <v>1606.367242092304</v>
      </c>
      <c r="R210" s="161">
        <f t="shared" si="22"/>
        <v>1577.847562428886</v>
      </c>
      <c r="S210" s="161">
        <f t="shared" si="22"/>
        <v>1549.3278827654681</v>
      </c>
      <c r="T210" s="161">
        <f t="shared" si="22"/>
        <v>1520.8082031020501</v>
      </c>
      <c r="U210" s="161">
        <f t="shared" si="22"/>
        <v>1492.2885234386322</v>
      </c>
      <c r="V210" s="161">
        <f t="shared" si="22"/>
        <v>1463.7688437752142</v>
      </c>
      <c r="W210" s="161">
        <f t="shared" si="22"/>
        <v>1435.2491641117965</v>
      </c>
      <c r="X210" s="161">
        <f t="shared" si="22"/>
        <v>1408.0124294269608</v>
      </c>
      <c r="Y210" s="161">
        <f t="shared" si="22"/>
        <v>1380.7756947421253</v>
      </c>
      <c r="Z210" s="161">
        <f t="shared" si="22"/>
        <v>1353.5389600572896</v>
      </c>
      <c r="AA210" s="161">
        <f t="shared" si="22"/>
        <v>1326.3022253724539</v>
      </c>
      <c r="AB210" s="161">
        <f t="shared" si="22"/>
        <v>1299.0654906876182</v>
      </c>
      <c r="AC210" s="161">
        <f t="shared" si="22"/>
        <v>1271.8287560027825</v>
      </c>
      <c r="AD210" s="161">
        <f t="shared" si="22"/>
        <v>1244.5920213179468</v>
      </c>
      <c r="AE210" s="161">
        <f t="shared" si="22"/>
        <v>1217.3552866331113</v>
      </c>
      <c r="AF210" s="161">
        <f t="shared" si="22"/>
        <v>1190.1185519482756</v>
      </c>
      <c r="AG210" s="161">
        <f t="shared" si="22"/>
        <v>1162.8818172634399</v>
      </c>
      <c r="AH210" s="161">
        <f t="shared" si="22"/>
        <v>1135.6450825786042</v>
      </c>
      <c r="AI210" s="161">
        <f t="shared" si="22"/>
        <v>1108.4083478937685</v>
      </c>
      <c r="AJ210" s="161">
        <f t="shared" si="22"/>
        <v>1081.1716132089327</v>
      </c>
      <c r="AK210" s="161">
        <f t="shared" si="22"/>
        <v>1053.9348785240973</v>
      </c>
      <c r="AL210" s="161">
        <f t="shared" si="22"/>
        <v>1026.6981438392615</v>
      </c>
      <c r="AM210" s="161">
        <f t="shared" si="22"/>
        <v>999.46140915442584</v>
      </c>
      <c r="AN210" s="161">
        <f t="shared" si="22"/>
        <v>972.22467446959013</v>
      </c>
      <c r="AO210" s="161">
        <f t="shared" si="22"/>
        <v>944.98793978475453</v>
      </c>
      <c r="AP210" s="161">
        <f t="shared" si="22"/>
        <v>917.75120509991882</v>
      </c>
      <c r="AQ210" s="161">
        <f t="shared" si="22"/>
        <v>890.51447041508288</v>
      </c>
    </row>
    <row r="211" spans="7:91" ht="14.25" customHeight="1" thickTop="1" x14ac:dyDescent="0.15">
      <c r="G211" s="22"/>
      <c r="H211" s="254"/>
      <c r="J211" s="241"/>
      <c r="K211" s="140" t="s">
        <v>148</v>
      </c>
      <c r="L211" s="157">
        <f>L208</f>
        <v>1763.430064150396</v>
      </c>
      <c r="M211" s="157">
        <f t="shared" si="22"/>
        <v>1720.445960745976</v>
      </c>
      <c r="N211" s="157">
        <f t="shared" si="22"/>
        <v>1616.7657702488473</v>
      </c>
      <c r="O211" s="157">
        <f t="shared" si="22"/>
        <v>1513.0855797517188</v>
      </c>
      <c r="P211" s="157">
        <f t="shared" si="22"/>
        <v>1409.4053892545903</v>
      </c>
      <c r="Q211" s="157">
        <f t="shared" si="22"/>
        <v>1305.7251987574618</v>
      </c>
      <c r="R211" s="157">
        <f t="shared" si="22"/>
        <v>1202.0450082603334</v>
      </c>
      <c r="S211" s="157">
        <f t="shared" si="22"/>
        <v>1098.3648177632049</v>
      </c>
      <c r="T211" s="157">
        <f t="shared" si="22"/>
        <v>994.68462726607618</v>
      </c>
      <c r="U211" s="157">
        <f t="shared" si="22"/>
        <v>891.00443676894758</v>
      </c>
      <c r="V211" s="157">
        <f t="shared" si="22"/>
        <v>787.32424627181899</v>
      </c>
      <c r="W211" s="157">
        <f t="shared" si="22"/>
        <v>683.64405577468995</v>
      </c>
      <c r="X211" s="157">
        <f t="shared" si="22"/>
        <v>674.83282004266596</v>
      </c>
      <c r="Y211" s="157">
        <f t="shared" si="22"/>
        <v>666.02158431064208</v>
      </c>
      <c r="Z211" s="157">
        <f t="shared" si="22"/>
        <v>657.21034857861821</v>
      </c>
      <c r="AA211" s="157">
        <f t="shared" si="22"/>
        <v>648.39911284659422</v>
      </c>
      <c r="AB211" s="157">
        <f t="shared" si="22"/>
        <v>639.58787711457035</v>
      </c>
      <c r="AC211" s="157">
        <f t="shared" si="22"/>
        <v>630.77664138254636</v>
      </c>
      <c r="AD211" s="157">
        <f t="shared" si="22"/>
        <v>621.96540565052248</v>
      </c>
      <c r="AE211" s="157">
        <f t="shared" si="22"/>
        <v>613.15416991849861</v>
      </c>
      <c r="AF211" s="157">
        <f t="shared" si="22"/>
        <v>604.34293418647462</v>
      </c>
      <c r="AG211" s="157">
        <f t="shared" si="22"/>
        <v>595.53169845445075</v>
      </c>
      <c r="AH211" s="157">
        <f t="shared" si="22"/>
        <v>586.72046272242687</v>
      </c>
      <c r="AI211" s="157">
        <f t="shared" si="22"/>
        <v>577.90922699040289</v>
      </c>
      <c r="AJ211" s="157">
        <f t="shared" si="22"/>
        <v>569.09799125837901</v>
      </c>
      <c r="AK211" s="157">
        <f t="shared" si="22"/>
        <v>560.28675552635514</v>
      </c>
      <c r="AL211" s="157">
        <f t="shared" si="22"/>
        <v>551.47551979433115</v>
      </c>
      <c r="AM211" s="157">
        <f t="shared" si="22"/>
        <v>542.66428406230727</v>
      </c>
      <c r="AN211" s="157">
        <f t="shared" si="22"/>
        <v>533.8530483302834</v>
      </c>
      <c r="AO211" s="157">
        <f t="shared" si="22"/>
        <v>525.04181259825941</v>
      </c>
      <c r="AP211" s="157">
        <f t="shared" si="22"/>
        <v>516.23057686623554</v>
      </c>
      <c r="AQ211" s="157">
        <f t="shared" si="22"/>
        <v>507.41934113421115</v>
      </c>
    </row>
    <row r="212" spans="7:91" ht="14.25" customHeight="1" x14ac:dyDescent="0.15">
      <c r="G212" s="22"/>
      <c r="H212" s="254"/>
      <c r="J212" s="241"/>
      <c r="K212" s="19" t="s">
        <v>149</v>
      </c>
      <c r="L212" s="157">
        <f t="shared" ref="L212:AQ219" si="23">L209</f>
        <v>1763.430064150396</v>
      </c>
      <c r="M212" s="157">
        <f t="shared" si="23"/>
        <v>1720.445960745976</v>
      </c>
      <c r="N212" s="157">
        <f t="shared" si="23"/>
        <v>1637.4528117128866</v>
      </c>
      <c r="O212" s="157">
        <f t="shared" si="23"/>
        <v>1554.4596626797972</v>
      </c>
      <c r="P212" s="157">
        <f t="shared" si="23"/>
        <v>1471.4665136467081</v>
      </c>
      <c r="Q212" s="157">
        <f t="shared" si="23"/>
        <v>1388.4733646136187</v>
      </c>
      <c r="R212" s="157">
        <f t="shared" si="23"/>
        <v>1305.4802155805294</v>
      </c>
      <c r="S212" s="157">
        <f t="shared" si="23"/>
        <v>1222.48706654744</v>
      </c>
      <c r="T212" s="157">
        <f t="shared" si="23"/>
        <v>1139.4939175143509</v>
      </c>
      <c r="U212" s="157">
        <f t="shared" si="23"/>
        <v>1056.5007684812615</v>
      </c>
      <c r="V212" s="157">
        <f t="shared" si="23"/>
        <v>973.50761944817225</v>
      </c>
      <c r="W212" s="157">
        <f t="shared" si="23"/>
        <v>890.51447041508288</v>
      </c>
      <c r="X212" s="157">
        <f t="shared" si="23"/>
        <v>880.17094968306333</v>
      </c>
      <c r="Y212" s="157">
        <f t="shared" si="23"/>
        <v>869.82742895104366</v>
      </c>
      <c r="Z212" s="157">
        <f t="shared" si="23"/>
        <v>859.4839082190241</v>
      </c>
      <c r="AA212" s="157">
        <f t="shared" si="23"/>
        <v>849.14038748700455</v>
      </c>
      <c r="AB212" s="157">
        <f t="shared" si="23"/>
        <v>838.79686675498488</v>
      </c>
      <c r="AC212" s="157">
        <f t="shared" si="23"/>
        <v>828.45334602296532</v>
      </c>
      <c r="AD212" s="157">
        <f t="shared" si="23"/>
        <v>818.10982529094565</v>
      </c>
      <c r="AE212" s="157">
        <f t="shared" si="23"/>
        <v>807.76630455892609</v>
      </c>
      <c r="AF212" s="157">
        <f t="shared" si="23"/>
        <v>797.42278382690643</v>
      </c>
      <c r="AG212" s="157">
        <f t="shared" si="23"/>
        <v>787.07926309488687</v>
      </c>
      <c r="AH212" s="157">
        <f t="shared" si="23"/>
        <v>776.7357423628672</v>
      </c>
      <c r="AI212" s="157">
        <f t="shared" si="23"/>
        <v>766.39222163084764</v>
      </c>
      <c r="AJ212" s="157">
        <f t="shared" si="23"/>
        <v>756.04870089882797</v>
      </c>
      <c r="AK212" s="157">
        <f t="shared" si="23"/>
        <v>745.70518016680842</v>
      </c>
      <c r="AL212" s="157">
        <f t="shared" si="23"/>
        <v>735.36165943478886</v>
      </c>
      <c r="AM212" s="157">
        <f t="shared" si="23"/>
        <v>725.01813870276919</v>
      </c>
      <c r="AN212" s="157">
        <f t="shared" si="23"/>
        <v>714.67461797074964</v>
      </c>
      <c r="AO212" s="157">
        <f t="shared" si="23"/>
        <v>704.33109723872997</v>
      </c>
      <c r="AP212" s="157">
        <f t="shared" si="23"/>
        <v>693.98757650671041</v>
      </c>
      <c r="AQ212" s="157">
        <f t="shared" si="23"/>
        <v>683.64405577468995</v>
      </c>
    </row>
    <row r="213" spans="7:91" ht="14.25" customHeight="1" thickBot="1" x14ac:dyDescent="0.2">
      <c r="G213" s="22"/>
      <c r="H213" s="254"/>
      <c r="J213" s="241"/>
      <c r="K213" s="144" t="s">
        <v>150</v>
      </c>
      <c r="L213" s="157">
        <f t="shared" si="23"/>
        <v>1763.430064150396</v>
      </c>
      <c r="M213" s="157">
        <f t="shared" si="23"/>
        <v>1720.445960745976</v>
      </c>
      <c r="N213" s="157">
        <f t="shared" si="23"/>
        <v>1691.926281082558</v>
      </c>
      <c r="O213" s="157">
        <f t="shared" si="23"/>
        <v>1663.4066014191401</v>
      </c>
      <c r="P213" s="157">
        <f t="shared" si="23"/>
        <v>1634.8869217557221</v>
      </c>
      <c r="Q213" s="157">
        <f t="shared" si="23"/>
        <v>1606.367242092304</v>
      </c>
      <c r="R213" s="157">
        <f t="shared" si="23"/>
        <v>1577.847562428886</v>
      </c>
      <c r="S213" s="157">
        <f t="shared" si="23"/>
        <v>1549.3278827654681</v>
      </c>
      <c r="T213" s="157">
        <f t="shared" si="23"/>
        <v>1520.8082031020501</v>
      </c>
      <c r="U213" s="157">
        <f t="shared" si="23"/>
        <v>1492.2885234386322</v>
      </c>
      <c r="V213" s="157">
        <f t="shared" si="23"/>
        <v>1463.7688437752142</v>
      </c>
      <c r="W213" s="157">
        <f t="shared" si="23"/>
        <v>1435.2491641117965</v>
      </c>
      <c r="X213" s="157">
        <f t="shared" si="23"/>
        <v>1408.0124294269608</v>
      </c>
      <c r="Y213" s="157">
        <f t="shared" si="23"/>
        <v>1380.7756947421253</v>
      </c>
      <c r="Z213" s="157">
        <f t="shared" si="23"/>
        <v>1353.5389600572896</v>
      </c>
      <c r="AA213" s="157">
        <f t="shared" si="23"/>
        <v>1326.3022253724539</v>
      </c>
      <c r="AB213" s="157">
        <f t="shared" si="23"/>
        <v>1299.0654906876182</v>
      </c>
      <c r="AC213" s="157">
        <f t="shared" si="23"/>
        <v>1271.8287560027825</v>
      </c>
      <c r="AD213" s="157">
        <f t="shared" si="23"/>
        <v>1244.5920213179468</v>
      </c>
      <c r="AE213" s="157">
        <f t="shared" si="23"/>
        <v>1217.3552866331113</v>
      </c>
      <c r="AF213" s="157">
        <f t="shared" si="23"/>
        <v>1190.1185519482756</v>
      </c>
      <c r="AG213" s="157">
        <f t="shared" si="23"/>
        <v>1162.8818172634399</v>
      </c>
      <c r="AH213" s="157">
        <f t="shared" si="23"/>
        <v>1135.6450825786042</v>
      </c>
      <c r="AI213" s="157">
        <f t="shared" si="23"/>
        <v>1108.4083478937685</v>
      </c>
      <c r="AJ213" s="157">
        <f t="shared" si="23"/>
        <v>1081.1716132089327</v>
      </c>
      <c r="AK213" s="157">
        <f t="shared" si="23"/>
        <v>1053.9348785240973</v>
      </c>
      <c r="AL213" s="157">
        <f t="shared" si="23"/>
        <v>1026.6981438392615</v>
      </c>
      <c r="AM213" s="157">
        <f t="shared" si="23"/>
        <v>999.46140915442584</v>
      </c>
      <c r="AN213" s="157">
        <f t="shared" si="23"/>
        <v>972.22467446959013</v>
      </c>
      <c r="AO213" s="157">
        <f t="shared" si="23"/>
        <v>944.98793978475453</v>
      </c>
      <c r="AP213" s="157">
        <f t="shared" si="23"/>
        <v>917.75120509991882</v>
      </c>
      <c r="AQ213" s="157">
        <f t="shared" si="23"/>
        <v>890.51447041508288</v>
      </c>
      <c r="BZ213" s="153"/>
      <c r="CA213" s="153"/>
      <c r="CB213" s="153"/>
      <c r="CC213" s="153"/>
      <c r="CD213" s="153"/>
      <c r="CE213" s="153"/>
      <c r="CF213" s="153"/>
      <c r="CG213" s="153"/>
      <c r="CH213" s="153"/>
      <c r="CI213" s="153"/>
      <c r="CJ213" s="153"/>
      <c r="CK213" s="153"/>
      <c r="CL213" s="153"/>
      <c r="CM213" s="153"/>
    </row>
    <row r="214" spans="7:91" ht="14.25" customHeight="1" thickTop="1" x14ac:dyDescent="0.15">
      <c r="G214" s="22"/>
      <c r="H214" s="254"/>
      <c r="J214" s="241"/>
      <c r="K214" s="140" t="s">
        <v>151</v>
      </c>
      <c r="L214" s="159">
        <f t="shared" si="23"/>
        <v>1763.430064150396</v>
      </c>
      <c r="M214" s="159">
        <f t="shared" si="23"/>
        <v>1720.445960745976</v>
      </c>
      <c r="N214" s="159">
        <f t="shared" si="23"/>
        <v>1616.7657702488473</v>
      </c>
      <c r="O214" s="159">
        <f t="shared" si="23"/>
        <v>1513.0855797517188</v>
      </c>
      <c r="P214" s="159">
        <f t="shared" si="23"/>
        <v>1409.4053892545903</v>
      </c>
      <c r="Q214" s="159">
        <f t="shared" si="23"/>
        <v>1305.7251987574618</v>
      </c>
      <c r="R214" s="159">
        <f t="shared" si="23"/>
        <v>1202.0450082603334</v>
      </c>
      <c r="S214" s="159">
        <f t="shared" si="23"/>
        <v>1098.3648177632049</v>
      </c>
      <c r="T214" s="159">
        <f t="shared" si="23"/>
        <v>994.68462726607618</v>
      </c>
      <c r="U214" s="159">
        <f t="shared" si="23"/>
        <v>891.00443676894758</v>
      </c>
      <c r="V214" s="159">
        <f t="shared" si="23"/>
        <v>787.32424627181899</v>
      </c>
      <c r="W214" s="159">
        <f t="shared" si="23"/>
        <v>683.64405577468995</v>
      </c>
      <c r="X214" s="159">
        <f t="shared" si="23"/>
        <v>674.83282004266596</v>
      </c>
      <c r="Y214" s="159">
        <f t="shared" si="23"/>
        <v>666.02158431064208</v>
      </c>
      <c r="Z214" s="159">
        <f t="shared" si="23"/>
        <v>657.21034857861821</v>
      </c>
      <c r="AA214" s="159">
        <f t="shared" si="23"/>
        <v>648.39911284659422</v>
      </c>
      <c r="AB214" s="159">
        <f t="shared" si="23"/>
        <v>639.58787711457035</v>
      </c>
      <c r="AC214" s="159">
        <f t="shared" si="23"/>
        <v>630.77664138254636</v>
      </c>
      <c r="AD214" s="159">
        <f t="shared" si="23"/>
        <v>621.96540565052248</v>
      </c>
      <c r="AE214" s="159">
        <f t="shared" si="23"/>
        <v>613.15416991849861</v>
      </c>
      <c r="AF214" s="159">
        <f t="shared" si="23"/>
        <v>604.34293418647462</v>
      </c>
      <c r="AG214" s="159">
        <f t="shared" si="23"/>
        <v>595.53169845445075</v>
      </c>
      <c r="AH214" s="159">
        <f t="shared" si="23"/>
        <v>586.72046272242687</v>
      </c>
      <c r="AI214" s="159">
        <f t="shared" si="23"/>
        <v>577.90922699040289</v>
      </c>
      <c r="AJ214" s="159">
        <f t="shared" si="23"/>
        <v>569.09799125837901</v>
      </c>
      <c r="AK214" s="159">
        <f t="shared" si="23"/>
        <v>560.28675552635514</v>
      </c>
      <c r="AL214" s="159">
        <f t="shared" si="23"/>
        <v>551.47551979433115</v>
      </c>
      <c r="AM214" s="159">
        <f t="shared" si="23"/>
        <v>542.66428406230727</v>
      </c>
      <c r="AN214" s="159">
        <f t="shared" si="23"/>
        <v>533.8530483302834</v>
      </c>
      <c r="AO214" s="159">
        <f t="shared" si="23"/>
        <v>525.04181259825941</v>
      </c>
      <c r="AP214" s="159">
        <f t="shared" si="23"/>
        <v>516.23057686623554</v>
      </c>
      <c r="AQ214" s="159">
        <f t="shared" si="23"/>
        <v>507.41934113421115</v>
      </c>
      <c r="BZ214" s="155"/>
      <c r="CA214" s="155"/>
      <c r="CB214" s="155"/>
      <c r="CC214" s="155"/>
      <c r="CD214" s="155"/>
      <c r="CE214" s="155"/>
      <c r="CF214" s="155"/>
      <c r="CG214" s="155"/>
      <c r="CH214" s="155"/>
      <c r="CI214" s="155"/>
      <c r="CJ214" s="155"/>
      <c r="CK214" s="155"/>
      <c r="CL214" s="155"/>
      <c r="CM214" s="155"/>
    </row>
    <row r="215" spans="7:91" ht="14.25" customHeight="1" x14ac:dyDescent="0.15">
      <c r="G215" s="22"/>
      <c r="H215" s="254"/>
      <c r="J215" s="241"/>
      <c r="K215" s="19" t="s">
        <v>152</v>
      </c>
      <c r="L215" s="160">
        <f t="shared" si="23"/>
        <v>1763.430064150396</v>
      </c>
      <c r="M215" s="160">
        <f t="shared" si="23"/>
        <v>1720.445960745976</v>
      </c>
      <c r="N215" s="160">
        <f t="shared" si="23"/>
        <v>1637.4528117128866</v>
      </c>
      <c r="O215" s="160">
        <f t="shared" si="23"/>
        <v>1554.4596626797972</v>
      </c>
      <c r="P215" s="160">
        <f t="shared" si="23"/>
        <v>1471.4665136467081</v>
      </c>
      <c r="Q215" s="160">
        <f t="shared" si="23"/>
        <v>1388.4733646136187</v>
      </c>
      <c r="R215" s="160">
        <f t="shared" si="23"/>
        <v>1305.4802155805294</v>
      </c>
      <c r="S215" s="160">
        <f t="shared" si="23"/>
        <v>1222.48706654744</v>
      </c>
      <c r="T215" s="160">
        <f t="shared" si="23"/>
        <v>1139.4939175143509</v>
      </c>
      <c r="U215" s="160">
        <f t="shared" si="23"/>
        <v>1056.5007684812615</v>
      </c>
      <c r="V215" s="160">
        <f t="shared" si="23"/>
        <v>973.50761944817225</v>
      </c>
      <c r="W215" s="160">
        <f t="shared" si="23"/>
        <v>890.51447041508288</v>
      </c>
      <c r="X215" s="160">
        <f t="shared" si="23"/>
        <v>880.17094968306333</v>
      </c>
      <c r="Y215" s="160">
        <f t="shared" si="23"/>
        <v>869.82742895104366</v>
      </c>
      <c r="Z215" s="160">
        <f t="shared" si="23"/>
        <v>859.4839082190241</v>
      </c>
      <c r="AA215" s="160">
        <f t="shared" si="23"/>
        <v>849.14038748700455</v>
      </c>
      <c r="AB215" s="160">
        <f t="shared" si="23"/>
        <v>838.79686675498488</v>
      </c>
      <c r="AC215" s="160">
        <f t="shared" si="23"/>
        <v>828.45334602296532</v>
      </c>
      <c r="AD215" s="160">
        <f t="shared" si="23"/>
        <v>818.10982529094565</v>
      </c>
      <c r="AE215" s="160">
        <f t="shared" si="23"/>
        <v>807.76630455892609</v>
      </c>
      <c r="AF215" s="160">
        <f t="shared" si="23"/>
        <v>797.42278382690643</v>
      </c>
      <c r="AG215" s="160">
        <f t="shared" si="23"/>
        <v>787.07926309488687</v>
      </c>
      <c r="AH215" s="160">
        <f t="shared" si="23"/>
        <v>776.7357423628672</v>
      </c>
      <c r="AI215" s="160">
        <f t="shared" si="23"/>
        <v>766.39222163084764</v>
      </c>
      <c r="AJ215" s="160">
        <f t="shared" si="23"/>
        <v>756.04870089882797</v>
      </c>
      <c r="AK215" s="160">
        <f t="shared" si="23"/>
        <v>745.70518016680842</v>
      </c>
      <c r="AL215" s="160">
        <f t="shared" si="23"/>
        <v>735.36165943478886</v>
      </c>
      <c r="AM215" s="160">
        <f t="shared" si="23"/>
        <v>725.01813870276919</v>
      </c>
      <c r="AN215" s="160">
        <f t="shared" si="23"/>
        <v>714.67461797074964</v>
      </c>
      <c r="AO215" s="160">
        <f t="shared" si="23"/>
        <v>704.33109723872997</v>
      </c>
      <c r="AP215" s="160">
        <f t="shared" si="23"/>
        <v>693.98757650671041</v>
      </c>
      <c r="AQ215" s="160">
        <f t="shared" si="23"/>
        <v>683.64405577468995</v>
      </c>
    </row>
    <row r="216" spans="7:91" ht="14.25" customHeight="1" thickBot="1" x14ac:dyDescent="0.2">
      <c r="G216" s="22"/>
      <c r="H216" s="254"/>
      <c r="J216" s="241"/>
      <c r="K216" s="144" t="s">
        <v>153</v>
      </c>
      <c r="L216" s="161">
        <f t="shared" si="23"/>
        <v>1763.430064150396</v>
      </c>
      <c r="M216" s="161">
        <f t="shared" si="23"/>
        <v>1720.445960745976</v>
      </c>
      <c r="N216" s="161">
        <f t="shared" si="23"/>
        <v>1691.926281082558</v>
      </c>
      <c r="O216" s="161">
        <f t="shared" si="23"/>
        <v>1663.4066014191401</v>
      </c>
      <c r="P216" s="161">
        <f t="shared" si="23"/>
        <v>1634.8869217557221</v>
      </c>
      <c r="Q216" s="161">
        <f t="shared" si="23"/>
        <v>1606.367242092304</v>
      </c>
      <c r="R216" s="161">
        <f t="shared" si="23"/>
        <v>1577.847562428886</v>
      </c>
      <c r="S216" s="161">
        <f t="shared" si="23"/>
        <v>1549.3278827654681</v>
      </c>
      <c r="T216" s="161">
        <f t="shared" si="23"/>
        <v>1520.8082031020501</v>
      </c>
      <c r="U216" s="161">
        <f t="shared" si="23"/>
        <v>1492.2885234386322</v>
      </c>
      <c r="V216" s="161">
        <f t="shared" si="23"/>
        <v>1463.7688437752142</v>
      </c>
      <c r="W216" s="161">
        <f t="shared" si="23"/>
        <v>1435.2491641117965</v>
      </c>
      <c r="X216" s="161">
        <f t="shared" si="23"/>
        <v>1408.0124294269608</v>
      </c>
      <c r="Y216" s="161">
        <f t="shared" si="23"/>
        <v>1380.7756947421253</v>
      </c>
      <c r="Z216" s="161">
        <f t="shared" si="23"/>
        <v>1353.5389600572896</v>
      </c>
      <c r="AA216" s="161">
        <f t="shared" si="23"/>
        <v>1326.3022253724539</v>
      </c>
      <c r="AB216" s="161">
        <f t="shared" si="23"/>
        <v>1299.0654906876182</v>
      </c>
      <c r="AC216" s="161">
        <f t="shared" si="23"/>
        <v>1271.8287560027825</v>
      </c>
      <c r="AD216" s="161">
        <f t="shared" si="23"/>
        <v>1244.5920213179468</v>
      </c>
      <c r="AE216" s="161">
        <f t="shared" si="23"/>
        <v>1217.3552866331113</v>
      </c>
      <c r="AF216" s="161">
        <f t="shared" si="23"/>
        <v>1190.1185519482756</v>
      </c>
      <c r="AG216" s="161">
        <f t="shared" si="23"/>
        <v>1162.8818172634399</v>
      </c>
      <c r="AH216" s="161">
        <f t="shared" si="23"/>
        <v>1135.6450825786042</v>
      </c>
      <c r="AI216" s="161">
        <f t="shared" si="23"/>
        <v>1108.4083478937685</v>
      </c>
      <c r="AJ216" s="161">
        <f t="shared" si="23"/>
        <v>1081.1716132089327</v>
      </c>
      <c r="AK216" s="161">
        <f t="shared" si="23"/>
        <v>1053.9348785240973</v>
      </c>
      <c r="AL216" s="161">
        <f t="shared" si="23"/>
        <v>1026.6981438392615</v>
      </c>
      <c r="AM216" s="161">
        <f t="shared" si="23"/>
        <v>999.46140915442584</v>
      </c>
      <c r="AN216" s="161">
        <f t="shared" si="23"/>
        <v>972.22467446959013</v>
      </c>
      <c r="AO216" s="161">
        <f t="shared" si="23"/>
        <v>944.98793978475453</v>
      </c>
      <c r="AP216" s="161">
        <f t="shared" si="23"/>
        <v>917.75120509991882</v>
      </c>
      <c r="AQ216" s="161">
        <f t="shared" si="23"/>
        <v>890.51447041508288</v>
      </c>
    </row>
    <row r="217" spans="7:91" ht="14.25" customHeight="1" thickTop="1" x14ac:dyDescent="0.15">
      <c r="G217" s="22"/>
      <c r="H217" s="254"/>
      <c r="J217" s="241"/>
      <c r="K217" s="140" t="s">
        <v>154</v>
      </c>
      <c r="L217" s="159">
        <f t="shared" si="23"/>
        <v>1763.430064150396</v>
      </c>
      <c r="M217" s="159">
        <f t="shared" si="23"/>
        <v>1720.445960745976</v>
      </c>
      <c r="N217" s="159">
        <f t="shared" si="23"/>
        <v>1616.7657702488473</v>
      </c>
      <c r="O217" s="159">
        <f t="shared" si="23"/>
        <v>1513.0855797517188</v>
      </c>
      <c r="P217" s="159">
        <f t="shared" si="23"/>
        <v>1409.4053892545903</v>
      </c>
      <c r="Q217" s="159">
        <f t="shared" si="23"/>
        <v>1305.7251987574618</v>
      </c>
      <c r="R217" s="159">
        <f t="shared" si="23"/>
        <v>1202.0450082603334</v>
      </c>
      <c r="S217" s="159">
        <f t="shared" si="23"/>
        <v>1098.3648177632049</v>
      </c>
      <c r="T217" s="159">
        <f t="shared" si="23"/>
        <v>994.68462726607618</v>
      </c>
      <c r="U217" s="159">
        <f t="shared" si="23"/>
        <v>891.00443676894758</v>
      </c>
      <c r="V217" s="159">
        <f t="shared" si="23"/>
        <v>787.32424627181899</v>
      </c>
      <c r="W217" s="159">
        <f t="shared" si="23"/>
        <v>683.64405577468995</v>
      </c>
      <c r="X217" s="159">
        <f t="shared" si="23"/>
        <v>674.83282004266596</v>
      </c>
      <c r="Y217" s="159">
        <f t="shared" si="23"/>
        <v>666.02158431064208</v>
      </c>
      <c r="Z217" s="159">
        <f t="shared" si="23"/>
        <v>657.21034857861821</v>
      </c>
      <c r="AA217" s="159">
        <f t="shared" si="23"/>
        <v>648.39911284659422</v>
      </c>
      <c r="AB217" s="159">
        <f t="shared" si="23"/>
        <v>639.58787711457035</v>
      </c>
      <c r="AC217" s="159">
        <f t="shared" si="23"/>
        <v>630.77664138254636</v>
      </c>
      <c r="AD217" s="159">
        <f t="shared" si="23"/>
        <v>621.96540565052248</v>
      </c>
      <c r="AE217" s="159">
        <f t="shared" si="23"/>
        <v>613.15416991849861</v>
      </c>
      <c r="AF217" s="159">
        <f t="shared" si="23"/>
        <v>604.34293418647462</v>
      </c>
      <c r="AG217" s="159">
        <f t="shared" si="23"/>
        <v>595.53169845445075</v>
      </c>
      <c r="AH217" s="159">
        <f t="shared" si="23"/>
        <v>586.72046272242687</v>
      </c>
      <c r="AI217" s="159">
        <f t="shared" si="23"/>
        <v>577.90922699040289</v>
      </c>
      <c r="AJ217" s="159">
        <f t="shared" si="23"/>
        <v>569.09799125837901</v>
      </c>
      <c r="AK217" s="159">
        <f t="shared" si="23"/>
        <v>560.28675552635514</v>
      </c>
      <c r="AL217" s="159">
        <f t="shared" si="23"/>
        <v>551.47551979433115</v>
      </c>
      <c r="AM217" s="159">
        <f t="shared" si="23"/>
        <v>542.66428406230727</v>
      </c>
      <c r="AN217" s="159">
        <f t="shared" si="23"/>
        <v>533.8530483302834</v>
      </c>
      <c r="AO217" s="159">
        <f t="shared" si="23"/>
        <v>525.04181259825941</v>
      </c>
      <c r="AP217" s="159">
        <f t="shared" si="23"/>
        <v>516.23057686623554</v>
      </c>
      <c r="AQ217" s="159">
        <f t="shared" si="23"/>
        <v>507.41934113421115</v>
      </c>
    </row>
    <row r="218" spans="7:91" ht="14.25" customHeight="1" x14ac:dyDescent="0.15">
      <c r="G218" s="22"/>
      <c r="H218" s="254"/>
      <c r="J218" s="241"/>
      <c r="K218" s="19" t="s">
        <v>155</v>
      </c>
      <c r="L218" s="160">
        <f t="shared" si="23"/>
        <v>1763.430064150396</v>
      </c>
      <c r="M218" s="160">
        <f t="shared" si="23"/>
        <v>1720.445960745976</v>
      </c>
      <c r="N218" s="160">
        <f t="shared" si="23"/>
        <v>1637.4528117128866</v>
      </c>
      <c r="O218" s="160">
        <f t="shared" si="23"/>
        <v>1554.4596626797972</v>
      </c>
      <c r="P218" s="160">
        <f t="shared" si="23"/>
        <v>1471.4665136467081</v>
      </c>
      <c r="Q218" s="160">
        <f t="shared" si="23"/>
        <v>1388.4733646136187</v>
      </c>
      <c r="R218" s="160">
        <f t="shared" si="23"/>
        <v>1305.4802155805294</v>
      </c>
      <c r="S218" s="160">
        <f t="shared" si="23"/>
        <v>1222.48706654744</v>
      </c>
      <c r="T218" s="160">
        <f t="shared" si="23"/>
        <v>1139.4939175143509</v>
      </c>
      <c r="U218" s="160">
        <f t="shared" si="23"/>
        <v>1056.5007684812615</v>
      </c>
      <c r="V218" s="160">
        <f t="shared" si="23"/>
        <v>973.50761944817225</v>
      </c>
      <c r="W218" s="160">
        <f t="shared" si="23"/>
        <v>890.51447041508288</v>
      </c>
      <c r="X218" s="160">
        <f t="shared" si="23"/>
        <v>880.17094968306333</v>
      </c>
      <c r="Y218" s="160">
        <f t="shared" si="23"/>
        <v>869.82742895104366</v>
      </c>
      <c r="Z218" s="160">
        <f t="shared" si="23"/>
        <v>859.4839082190241</v>
      </c>
      <c r="AA218" s="160">
        <f t="shared" si="23"/>
        <v>849.14038748700455</v>
      </c>
      <c r="AB218" s="160">
        <f t="shared" si="23"/>
        <v>838.79686675498488</v>
      </c>
      <c r="AC218" s="160">
        <f t="shared" si="23"/>
        <v>828.45334602296532</v>
      </c>
      <c r="AD218" s="160">
        <f t="shared" si="23"/>
        <v>818.10982529094565</v>
      </c>
      <c r="AE218" s="160">
        <f t="shared" si="23"/>
        <v>807.76630455892609</v>
      </c>
      <c r="AF218" s="160">
        <f t="shared" si="23"/>
        <v>797.42278382690643</v>
      </c>
      <c r="AG218" s="160">
        <f t="shared" si="23"/>
        <v>787.07926309488687</v>
      </c>
      <c r="AH218" s="160">
        <f t="shared" si="23"/>
        <v>776.7357423628672</v>
      </c>
      <c r="AI218" s="160">
        <f t="shared" si="23"/>
        <v>766.39222163084764</v>
      </c>
      <c r="AJ218" s="160">
        <f t="shared" si="23"/>
        <v>756.04870089882797</v>
      </c>
      <c r="AK218" s="160">
        <f t="shared" si="23"/>
        <v>745.70518016680842</v>
      </c>
      <c r="AL218" s="160">
        <f t="shared" si="23"/>
        <v>735.36165943478886</v>
      </c>
      <c r="AM218" s="160">
        <f t="shared" si="23"/>
        <v>725.01813870276919</v>
      </c>
      <c r="AN218" s="160">
        <f t="shared" si="23"/>
        <v>714.67461797074964</v>
      </c>
      <c r="AO218" s="160">
        <f t="shared" si="23"/>
        <v>704.33109723872997</v>
      </c>
      <c r="AP218" s="160">
        <f t="shared" si="23"/>
        <v>693.98757650671041</v>
      </c>
      <c r="AQ218" s="160">
        <f t="shared" si="23"/>
        <v>683.64405577468995</v>
      </c>
    </row>
    <row r="219" spans="7:91" ht="14.25" customHeight="1" thickBot="1" x14ac:dyDescent="0.2">
      <c r="G219" s="22"/>
      <c r="H219" s="254"/>
      <c r="J219" s="241"/>
      <c r="K219" s="144" t="s">
        <v>156</v>
      </c>
      <c r="L219" s="161">
        <f t="shared" si="23"/>
        <v>1763.430064150396</v>
      </c>
      <c r="M219" s="161">
        <f t="shared" si="23"/>
        <v>1720.445960745976</v>
      </c>
      <c r="N219" s="161">
        <f t="shared" si="23"/>
        <v>1691.926281082558</v>
      </c>
      <c r="O219" s="161">
        <f t="shared" si="23"/>
        <v>1663.4066014191401</v>
      </c>
      <c r="P219" s="161">
        <f t="shared" si="23"/>
        <v>1634.8869217557221</v>
      </c>
      <c r="Q219" s="161">
        <f t="shared" si="23"/>
        <v>1606.367242092304</v>
      </c>
      <c r="R219" s="161">
        <f t="shared" si="23"/>
        <v>1577.847562428886</v>
      </c>
      <c r="S219" s="161">
        <f t="shared" si="23"/>
        <v>1549.3278827654681</v>
      </c>
      <c r="T219" s="161">
        <f t="shared" si="23"/>
        <v>1520.8082031020501</v>
      </c>
      <c r="U219" s="161">
        <f t="shared" si="23"/>
        <v>1492.2885234386322</v>
      </c>
      <c r="V219" s="161">
        <f t="shared" si="23"/>
        <v>1463.7688437752142</v>
      </c>
      <c r="W219" s="161">
        <f t="shared" si="23"/>
        <v>1435.2491641117965</v>
      </c>
      <c r="X219" s="161">
        <f t="shared" si="23"/>
        <v>1408.0124294269608</v>
      </c>
      <c r="Y219" s="161">
        <f t="shared" si="23"/>
        <v>1380.7756947421253</v>
      </c>
      <c r="Z219" s="161">
        <f t="shared" si="23"/>
        <v>1353.5389600572896</v>
      </c>
      <c r="AA219" s="161">
        <f t="shared" si="23"/>
        <v>1326.3022253724539</v>
      </c>
      <c r="AB219" s="161">
        <f t="shared" si="23"/>
        <v>1299.0654906876182</v>
      </c>
      <c r="AC219" s="161">
        <f t="shared" si="23"/>
        <v>1271.8287560027825</v>
      </c>
      <c r="AD219" s="161">
        <f t="shared" si="23"/>
        <v>1244.5920213179468</v>
      </c>
      <c r="AE219" s="161">
        <f t="shared" si="23"/>
        <v>1217.3552866331113</v>
      </c>
      <c r="AF219" s="161">
        <f t="shared" si="23"/>
        <v>1190.1185519482756</v>
      </c>
      <c r="AG219" s="161">
        <f t="shared" si="23"/>
        <v>1162.8818172634399</v>
      </c>
      <c r="AH219" s="161">
        <f t="shared" si="23"/>
        <v>1135.6450825786042</v>
      </c>
      <c r="AI219" s="161">
        <f t="shared" si="23"/>
        <v>1108.4083478937685</v>
      </c>
      <c r="AJ219" s="161">
        <f t="shared" si="23"/>
        <v>1081.1716132089327</v>
      </c>
      <c r="AK219" s="161">
        <f t="shared" si="23"/>
        <v>1053.9348785240973</v>
      </c>
      <c r="AL219" s="161">
        <f t="shared" si="23"/>
        <v>1026.6981438392615</v>
      </c>
      <c r="AM219" s="161">
        <f t="shared" si="23"/>
        <v>999.46140915442584</v>
      </c>
      <c r="AN219" s="161">
        <f t="shared" si="23"/>
        <v>972.22467446959013</v>
      </c>
      <c r="AO219" s="161">
        <f t="shared" si="23"/>
        <v>944.98793978475453</v>
      </c>
      <c r="AP219" s="161">
        <f t="shared" si="23"/>
        <v>917.75120509991882</v>
      </c>
      <c r="AQ219" s="161">
        <f t="shared" ref="AQ219" si="24">AQ216</f>
        <v>890.51447041508288</v>
      </c>
    </row>
    <row r="220" spans="7:91" ht="14.25" customHeight="1" thickTop="1" x14ac:dyDescent="0.15">
      <c r="G220" s="22"/>
      <c r="H220" s="254"/>
      <c r="J220" s="241"/>
      <c r="K220" s="140" t="s">
        <v>157</v>
      </c>
      <c r="L220" s="159">
        <f t="shared" ref="L220:AQ225" si="25">L217</f>
        <v>1763.430064150396</v>
      </c>
      <c r="M220" s="159">
        <f t="shared" si="25"/>
        <v>1720.445960745976</v>
      </c>
      <c r="N220" s="159">
        <f t="shared" si="25"/>
        <v>1616.7657702488473</v>
      </c>
      <c r="O220" s="159">
        <f t="shared" si="25"/>
        <v>1513.0855797517188</v>
      </c>
      <c r="P220" s="159">
        <f t="shared" si="25"/>
        <v>1409.4053892545903</v>
      </c>
      <c r="Q220" s="159">
        <f t="shared" si="25"/>
        <v>1305.7251987574618</v>
      </c>
      <c r="R220" s="159">
        <f t="shared" si="25"/>
        <v>1202.0450082603334</v>
      </c>
      <c r="S220" s="159">
        <f t="shared" si="25"/>
        <v>1098.3648177632049</v>
      </c>
      <c r="T220" s="159">
        <f t="shared" si="25"/>
        <v>994.68462726607618</v>
      </c>
      <c r="U220" s="159">
        <f t="shared" si="25"/>
        <v>891.00443676894758</v>
      </c>
      <c r="V220" s="159">
        <f t="shared" si="25"/>
        <v>787.32424627181899</v>
      </c>
      <c r="W220" s="159">
        <f t="shared" si="25"/>
        <v>683.64405577468995</v>
      </c>
      <c r="X220" s="159">
        <f t="shared" si="25"/>
        <v>674.83282004266596</v>
      </c>
      <c r="Y220" s="159">
        <f t="shared" si="25"/>
        <v>666.02158431064208</v>
      </c>
      <c r="Z220" s="159">
        <f t="shared" si="25"/>
        <v>657.21034857861821</v>
      </c>
      <c r="AA220" s="159">
        <f t="shared" si="25"/>
        <v>648.39911284659422</v>
      </c>
      <c r="AB220" s="159">
        <f t="shared" si="25"/>
        <v>639.58787711457035</v>
      </c>
      <c r="AC220" s="159">
        <f t="shared" si="25"/>
        <v>630.77664138254636</v>
      </c>
      <c r="AD220" s="159">
        <f t="shared" si="25"/>
        <v>621.96540565052248</v>
      </c>
      <c r="AE220" s="159">
        <f t="shared" si="25"/>
        <v>613.15416991849861</v>
      </c>
      <c r="AF220" s="159">
        <f t="shared" si="25"/>
        <v>604.34293418647462</v>
      </c>
      <c r="AG220" s="159">
        <f t="shared" si="25"/>
        <v>595.53169845445075</v>
      </c>
      <c r="AH220" s="159">
        <f t="shared" si="25"/>
        <v>586.72046272242687</v>
      </c>
      <c r="AI220" s="159">
        <f t="shared" si="25"/>
        <v>577.90922699040289</v>
      </c>
      <c r="AJ220" s="159">
        <f t="shared" si="25"/>
        <v>569.09799125837901</v>
      </c>
      <c r="AK220" s="159">
        <f t="shared" si="25"/>
        <v>560.28675552635514</v>
      </c>
      <c r="AL220" s="159">
        <f t="shared" si="25"/>
        <v>551.47551979433115</v>
      </c>
      <c r="AM220" s="159">
        <f t="shared" si="25"/>
        <v>542.66428406230727</v>
      </c>
      <c r="AN220" s="159">
        <f t="shared" si="25"/>
        <v>533.8530483302834</v>
      </c>
      <c r="AO220" s="159">
        <f t="shared" si="25"/>
        <v>525.04181259825941</v>
      </c>
      <c r="AP220" s="159">
        <f t="shared" si="25"/>
        <v>516.23057686623554</v>
      </c>
      <c r="AQ220" s="159">
        <f t="shared" si="25"/>
        <v>507.41934113421115</v>
      </c>
    </row>
    <row r="221" spans="7:91" ht="14.25" customHeight="1" x14ac:dyDescent="0.15">
      <c r="G221" s="22"/>
      <c r="H221" s="254"/>
      <c r="J221" s="241"/>
      <c r="K221" s="19" t="s">
        <v>158</v>
      </c>
      <c r="L221" s="160">
        <f t="shared" si="25"/>
        <v>1763.430064150396</v>
      </c>
      <c r="M221" s="160">
        <f t="shared" si="25"/>
        <v>1720.445960745976</v>
      </c>
      <c r="N221" s="160">
        <f t="shared" si="25"/>
        <v>1637.4528117128866</v>
      </c>
      <c r="O221" s="160">
        <f t="shared" si="25"/>
        <v>1554.4596626797972</v>
      </c>
      <c r="P221" s="160">
        <f t="shared" si="25"/>
        <v>1471.4665136467081</v>
      </c>
      <c r="Q221" s="160">
        <f t="shared" si="25"/>
        <v>1388.4733646136187</v>
      </c>
      <c r="R221" s="160">
        <f t="shared" si="25"/>
        <v>1305.4802155805294</v>
      </c>
      <c r="S221" s="160">
        <f t="shared" si="25"/>
        <v>1222.48706654744</v>
      </c>
      <c r="T221" s="160">
        <f t="shared" si="25"/>
        <v>1139.4939175143509</v>
      </c>
      <c r="U221" s="160">
        <f t="shared" si="25"/>
        <v>1056.5007684812615</v>
      </c>
      <c r="V221" s="160">
        <f t="shared" si="25"/>
        <v>973.50761944817225</v>
      </c>
      <c r="W221" s="160">
        <f t="shared" si="25"/>
        <v>890.51447041508288</v>
      </c>
      <c r="X221" s="160">
        <f t="shared" si="25"/>
        <v>880.17094968306333</v>
      </c>
      <c r="Y221" s="160">
        <f t="shared" si="25"/>
        <v>869.82742895104366</v>
      </c>
      <c r="Z221" s="160">
        <f t="shared" si="25"/>
        <v>859.4839082190241</v>
      </c>
      <c r="AA221" s="160">
        <f t="shared" si="25"/>
        <v>849.14038748700455</v>
      </c>
      <c r="AB221" s="160">
        <f t="shared" si="25"/>
        <v>838.79686675498488</v>
      </c>
      <c r="AC221" s="160">
        <f t="shared" si="25"/>
        <v>828.45334602296532</v>
      </c>
      <c r="AD221" s="160">
        <f t="shared" si="25"/>
        <v>818.10982529094565</v>
      </c>
      <c r="AE221" s="160">
        <f t="shared" si="25"/>
        <v>807.76630455892609</v>
      </c>
      <c r="AF221" s="160">
        <f t="shared" si="25"/>
        <v>797.42278382690643</v>
      </c>
      <c r="AG221" s="160">
        <f t="shared" si="25"/>
        <v>787.07926309488687</v>
      </c>
      <c r="AH221" s="160">
        <f t="shared" si="25"/>
        <v>776.7357423628672</v>
      </c>
      <c r="AI221" s="160">
        <f t="shared" si="25"/>
        <v>766.39222163084764</v>
      </c>
      <c r="AJ221" s="160">
        <f t="shared" si="25"/>
        <v>756.04870089882797</v>
      </c>
      <c r="AK221" s="160">
        <f t="shared" si="25"/>
        <v>745.70518016680842</v>
      </c>
      <c r="AL221" s="160">
        <f t="shared" si="25"/>
        <v>735.36165943478886</v>
      </c>
      <c r="AM221" s="160">
        <f t="shared" si="25"/>
        <v>725.01813870276919</v>
      </c>
      <c r="AN221" s="160">
        <f t="shared" si="25"/>
        <v>714.67461797074964</v>
      </c>
      <c r="AO221" s="160">
        <f t="shared" si="25"/>
        <v>704.33109723872997</v>
      </c>
      <c r="AP221" s="160">
        <f t="shared" si="25"/>
        <v>693.98757650671041</v>
      </c>
      <c r="AQ221" s="160">
        <f t="shared" si="25"/>
        <v>683.64405577468995</v>
      </c>
    </row>
    <row r="222" spans="7:91" ht="14.25" customHeight="1" thickBot="1" x14ac:dyDescent="0.2">
      <c r="G222" s="22"/>
      <c r="H222" s="254"/>
      <c r="J222" s="241"/>
      <c r="K222" s="144" t="s">
        <v>159</v>
      </c>
      <c r="L222" s="161">
        <f t="shared" si="25"/>
        <v>1763.430064150396</v>
      </c>
      <c r="M222" s="161">
        <f t="shared" si="25"/>
        <v>1720.445960745976</v>
      </c>
      <c r="N222" s="161">
        <f t="shared" si="25"/>
        <v>1691.926281082558</v>
      </c>
      <c r="O222" s="161">
        <f t="shared" si="25"/>
        <v>1663.4066014191401</v>
      </c>
      <c r="P222" s="161">
        <f t="shared" si="25"/>
        <v>1634.8869217557221</v>
      </c>
      <c r="Q222" s="161">
        <f t="shared" si="25"/>
        <v>1606.367242092304</v>
      </c>
      <c r="R222" s="161">
        <f t="shared" si="25"/>
        <v>1577.847562428886</v>
      </c>
      <c r="S222" s="161">
        <f t="shared" si="25"/>
        <v>1549.3278827654681</v>
      </c>
      <c r="T222" s="161">
        <f t="shared" si="25"/>
        <v>1520.8082031020501</v>
      </c>
      <c r="U222" s="161">
        <f t="shared" si="25"/>
        <v>1492.2885234386322</v>
      </c>
      <c r="V222" s="161">
        <f t="shared" si="25"/>
        <v>1463.7688437752142</v>
      </c>
      <c r="W222" s="161">
        <f t="shared" si="25"/>
        <v>1435.2491641117965</v>
      </c>
      <c r="X222" s="161">
        <f t="shared" si="25"/>
        <v>1408.0124294269608</v>
      </c>
      <c r="Y222" s="161">
        <f t="shared" si="25"/>
        <v>1380.7756947421253</v>
      </c>
      <c r="Z222" s="161">
        <f t="shared" si="25"/>
        <v>1353.5389600572896</v>
      </c>
      <c r="AA222" s="161">
        <f t="shared" si="25"/>
        <v>1326.3022253724539</v>
      </c>
      <c r="AB222" s="161">
        <f t="shared" si="25"/>
        <v>1299.0654906876182</v>
      </c>
      <c r="AC222" s="161">
        <f t="shared" si="25"/>
        <v>1271.8287560027825</v>
      </c>
      <c r="AD222" s="161">
        <f t="shared" si="25"/>
        <v>1244.5920213179468</v>
      </c>
      <c r="AE222" s="161">
        <f t="shared" si="25"/>
        <v>1217.3552866331113</v>
      </c>
      <c r="AF222" s="161">
        <f t="shared" si="25"/>
        <v>1190.1185519482756</v>
      </c>
      <c r="AG222" s="161">
        <f t="shared" si="25"/>
        <v>1162.8818172634399</v>
      </c>
      <c r="AH222" s="161">
        <f t="shared" si="25"/>
        <v>1135.6450825786042</v>
      </c>
      <c r="AI222" s="161">
        <f t="shared" si="25"/>
        <v>1108.4083478937685</v>
      </c>
      <c r="AJ222" s="161">
        <f t="shared" si="25"/>
        <v>1081.1716132089327</v>
      </c>
      <c r="AK222" s="161">
        <f t="shared" si="25"/>
        <v>1053.9348785240973</v>
      </c>
      <c r="AL222" s="161">
        <f t="shared" si="25"/>
        <v>1026.6981438392615</v>
      </c>
      <c r="AM222" s="161">
        <f t="shared" si="25"/>
        <v>999.46140915442584</v>
      </c>
      <c r="AN222" s="161">
        <f t="shared" si="25"/>
        <v>972.22467446959013</v>
      </c>
      <c r="AO222" s="161">
        <f t="shared" si="25"/>
        <v>944.98793978475453</v>
      </c>
      <c r="AP222" s="161">
        <f t="shared" si="25"/>
        <v>917.75120509991882</v>
      </c>
      <c r="AQ222" s="161">
        <f t="shared" si="25"/>
        <v>890.51447041508288</v>
      </c>
    </row>
    <row r="223" spans="7:91" ht="14.25" customHeight="1" thickTop="1" x14ac:dyDescent="0.15">
      <c r="G223" s="22"/>
      <c r="H223" s="254"/>
      <c r="J223" s="241"/>
      <c r="K223" s="140" t="s">
        <v>160</v>
      </c>
      <c r="L223" s="159">
        <f t="shared" si="25"/>
        <v>1763.430064150396</v>
      </c>
      <c r="M223" s="159">
        <f t="shared" si="25"/>
        <v>1720.445960745976</v>
      </c>
      <c r="N223" s="159">
        <f t="shared" si="25"/>
        <v>1616.7657702488473</v>
      </c>
      <c r="O223" s="159">
        <f t="shared" si="25"/>
        <v>1513.0855797517188</v>
      </c>
      <c r="P223" s="159">
        <f t="shared" si="25"/>
        <v>1409.4053892545903</v>
      </c>
      <c r="Q223" s="159">
        <f t="shared" si="25"/>
        <v>1305.7251987574618</v>
      </c>
      <c r="R223" s="159">
        <f t="shared" si="25"/>
        <v>1202.0450082603334</v>
      </c>
      <c r="S223" s="159">
        <f t="shared" si="25"/>
        <v>1098.3648177632049</v>
      </c>
      <c r="T223" s="159">
        <f t="shared" si="25"/>
        <v>994.68462726607618</v>
      </c>
      <c r="U223" s="159">
        <f t="shared" si="25"/>
        <v>891.00443676894758</v>
      </c>
      <c r="V223" s="159">
        <f t="shared" si="25"/>
        <v>787.32424627181899</v>
      </c>
      <c r="W223" s="159">
        <f t="shared" si="25"/>
        <v>683.64405577468995</v>
      </c>
      <c r="X223" s="159">
        <f t="shared" si="25"/>
        <v>674.83282004266596</v>
      </c>
      <c r="Y223" s="159">
        <f t="shared" si="25"/>
        <v>666.02158431064208</v>
      </c>
      <c r="Z223" s="159">
        <f t="shared" si="25"/>
        <v>657.21034857861821</v>
      </c>
      <c r="AA223" s="159">
        <f t="shared" si="25"/>
        <v>648.39911284659422</v>
      </c>
      <c r="AB223" s="159">
        <f t="shared" si="25"/>
        <v>639.58787711457035</v>
      </c>
      <c r="AC223" s="159">
        <f t="shared" si="25"/>
        <v>630.77664138254636</v>
      </c>
      <c r="AD223" s="159">
        <f t="shared" si="25"/>
        <v>621.96540565052248</v>
      </c>
      <c r="AE223" s="159">
        <f t="shared" si="25"/>
        <v>613.15416991849861</v>
      </c>
      <c r="AF223" s="159">
        <f t="shared" si="25"/>
        <v>604.34293418647462</v>
      </c>
      <c r="AG223" s="159">
        <f t="shared" si="25"/>
        <v>595.53169845445075</v>
      </c>
      <c r="AH223" s="159">
        <f t="shared" si="25"/>
        <v>586.72046272242687</v>
      </c>
      <c r="AI223" s="159">
        <f t="shared" si="25"/>
        <v>577.90922699040289</v>
      </c>
      <c r="AJ223" s="159">
        <f t="shared" si="25"/>
        <v>569.09799125837901</v>
      </c>
      <c r="AK223" s="159">
        <f t="shared" si="25"/>
        <v>560.28675552635514</v>
      </c>
      <c r="AL223" s="159">
        <f t="shared" si="25"/>
        <v>551.47551979433115</v>
      </c>
      <c r="AM223" s="159">
        <f t="shared" si="25"/>
        <v>542.66428406230727</v>
      </c>
      <c r="AN223" s="159">
        <f t="shared" si="25"/>
        <v>533.8530483302834</v>
      </c>
      <c r="AO223" s="159">
        <f t="shared" si="25"/>
        <v>525.04181259825941</v>
      </c>
      <c r="AP223" s="159">
        <f t="shared" si="25"/>
        <v>516.23057686623554</v>
      </c>
      <c r="AQ223" s="159">
        <f t="shared" si="25"/>
        <v>507.41934113421115</v>
      </c>
    </row>
    <row r="224" spans="7:91" ht="14.25" customHeight="1" x14ac:dyDescent="0.15">
      <c r="G224" s="22"/>
      <c r="H224" s="254"/>
      <c r="J224" s="241"/>
      <c r="K224" s="19" t="s">
        <v>161</v>
      </c>
      <c r="L224" s="160">
        <f t="shared" si="25"/>
        <v>1763.430064150396</v>
      </c>
      <c r="M224" s="160">
        <f t="shared" si="25"/>
        <v>1720.445960745976</v>
      </c>
      <c r="N224" s="160">
        <f t="shared" si="25"/>
        <v>1637.4528117128866</v>
      </c>
      <c r="O224" s="160">
        <f t="shared" si="25"/>
        <v>1554.4596626797972</v>
      </c>
      <c r="P224" s="160">
        <f t="shared" si="25"/>
        <v>1471.4665136467081</v>
      </c>
      <c r="Q224" s="160">
        <f t="shared" si="25"/>
        <v>1388.4733646136187</v>
      </c>
      <c r="R224" s="160">
        <f t="shared" si="25"/>
        <v>1305.4802155805294</v>
      </c>
      <c r="S224" s="160">
        <f t="shared" si="25"/>
        <v>1222.48706654744</v>
      </c>
      <c r="T224" s="160">
        <f t="shared" si="25"/>
        <v>1139.4939175143509</v>
      </c>
      <c r="U224" s="160">
        <f t="shared" si="25"/>
        <v>1056.5007684812615</v>
      </c>
      <c r="V224" s="160">
        <f t="shared" si="25"/>
        <v>973.50761944817225</v>
      </c>
      <c r="W224" s="160">
        <f t="shared" si="25"/>
        <v>890.51447041508288</v>
      </c>
      <c r="X224" s="160">
        <f t="shared" si="25"/>
        <v>880.17094968306333</v>
      </c>
      <c r="Y224" s="160">
        <f t="shared" si="25"/>
        <v>869.82742895104366</v>
      </c>
      <c r="Z224" s="160">
        <f t="shared" si="25"/>
        <v>859.4839082190241</v>
      </c>
      <c r="AA224" s="160">
        <f t="shared" si="25"/>
        <v>849.14038748700455</v>
      </c>
      <c r="AB224" s="160">
        <f t="shared" si="25"/>
        <v>838.79686675498488</v>
      </c>
      <c r="AC224" s="160">
        <f t="shared" si="25"/>
        <v>828.45334602296532</v>
      </c>
      <c r="AD224" s="160">
        <f t="shared" si="25"/>
        <v>818.10982529094565</v>
      </c>
      <c r="AE224" s="160">
        <f t="shared" si="25"/>
        <v>807.76630455892609</v>
      </c>
      <c r="AF224" s="160">
        <f t="shared" si="25"/>
        <v>797.42278382690643</v>
      </c>
      <c r="AG224" s="160">
        <f t="shared" si="25"/>
        <v>787.07926309488687</v>
      </c>
      <c r="AH224" s="160">
        <f t="shared" si="25"/>
        <v>776.7357423628672</v>
      </c>
      <c r="AI224" s="160">
        <f t="shared" si="25"/>
        <v>766.39222163084764</v>
      </c>
      <c r="AJ224" s="160">
        <f t="shared" si="25"/>
        <v>756.04870089882797</v>
      </c>
      <c r="AK224" s="160">
        <f t="shared" si="25"/>
        <v>745.70518016680842</v>
      </c>
      <c r="AL224" s="160">
        <f t="shared" si="25"/>
        <v>735.36165943478886</v>
      </c>
      <c r="AM224" s="160">
        <f t="shared" si="25"/>
        <v>725.01813870276919</v>
      </c>
      <c r="AN224" s="160">
        <f t="shared" si="25"/>
        <v>714.67461797074964</v>
      </c>
      <c r="AO224" s="160">
        <f t="shared" si="25"/>
        <v>704.33109723872997</v>
      </c>
      <c r="AP224" s="160">
        <f t="shared" si="25"/>
        <v>693.98757650671041</v>
      </c>
      <c r="AQ224" s="160">
        <f t="shared" si="25"/>
        <v>683.64405577468995</v>
      </c>
    </row>
    <row r="225" spans="7:69" ht="14.25" customHeight="1" thickBot="1" x14ac:dyDescent="0.2">
      <c r="G225" s="22"/>
      <c r="H225" s="254"/>
      <c r="J225" s="251"/>
      <c r="K225" s="144" t="s">
        <v>162</v>
      </c>
      <c r="L225" s="161">
        <f t="shared" si="25"/>
        <v>1763.430064150396</v>
      </c>
      <c r="M225" s="161">
        <f t="shared" si="25"/>
        <v>1720.445960745976</v>
      </c>
      <c r="N225" s="161">
        <f t="shared" si="25"/>
        <v>1691.926281082558</v>
      </c>
      <c r="O225" s="161">
        <f t="shared" si="25"/>
        <v>1663.4066014191401</v>
      </c>
      <c r="P225" s="161">
        <f t="shared" si="25"/>
        <v>1634.8869217557221</v>
      </c>
      <c r="Q225" s="161">
        <f t="shared" si="25"/>
        <v>1606.367242092304</v>
      </c>
      <c r="R225" s="161">
        <f t="shared" si="25"/>
        <v>1577.847562428886</v>
      </c>
      <c r="S225" s="161">
        <f t="shared" si="25"/>
        <v>1549.3278827654681</v>
      </c>
      <c r="T225" s="161">
        <f t="shared" si="25"/>
        <v>1520.8082031020501</v>
      </c>
      <c r="U225" s="161">
        <f t="shared" si="25"/>
        <v>1492.2885234386322</v>
      </c>
      <c r="V225" s="161">
        <f t="shared" si="25"/>
        <v>1463.7688437752142</v>
      </c>
      <c r="W225" s="161">
        <f t="shared" si="25"/>
        <v>1435.2491641117965</v>
      </c>
      <c r="X225" s="161">
        <f t="shared" si="25"/>
        <v>1408.0124294269608</v>
      </c>
      <c r="Y225" s="161">
        <f t="shared" si="25"/>
        <v>1380.7756947421253</v>
      </c>
      <c r="Z225" s="161">
        <f t="shared" si="25"/>
        <v>1353.5389600572896</v>
      </c>
      <c r="AA225" s="161">
        <f t="shared" si="25"/>
        <v>1326.3022253724539</v>
      </c>
      <c r="AB225" s="161">
        <f t="shared" si="25"/>
        <v>1299.0654906876182</v>
      </c>
      <c r="AC225" s="161">
        <f t="shared" si="25"/>
        <v>1271.8287560027825</v>
      </c>
      <c r="AD225" s="161">
        <f t="shared" si="25"/>
        <v>1244.5920213179468</v>
      </c>
      <c r="AE225" s="161">
        <f t="shared" si="25"/>
        <v>1217.3552866331113</v>
      </c>
      <c r="AF225" s="161">
        <f t="shared" si="25"/>
        <v>1190.1185519482756</v>
      </c>
      <c r="AG225" s="161">
        <f t="shared" si="25"/>
        <v>1162.8818172634399</v>
      </c>
      <c r="AH225" s="161">
        <f t="shared" si="25"/>
        <v>1135.6450825786042</v>
      </c>
      <c r="AI225" s="161">
        <f t="shared" si="25"/>
        <v>1108.4083478937685</v>
      </c>
      <c r="AJ225" s="161">
        <f t="shared" si="25"/>
        <v>1081.1716132089327</v>
      </c>
      <c r="AK225" s="161">
        <f t="shared" si="25"/>
        <v>1053.9348785240973</v>
      </c>
      <c r="AL225" s="161">
        <f t="shared" si="25"/>
        <v>1026.6981438392615</v>
      </c>
      <c r="AM225" s="161">
        <f t="shared" si="25"/>
        <v>999.46140915442584</v>
      </c>
      <c r="AN225" s="161">
        <f t="shared" si="25"/>
        <v>972.22467446959013</v>
      </c>
      <c r="AO225" s="161">
        <f t="shared" si="25"/>
        <v>944.98793978475453</v>
      </c>
      <c r="AP225" s="161">
        <f t="shared" si="25"/>
        <v>917.75120509991882</v>
      </c>
      <c r="AQ225" s="161">
        <f t="shared" si="25"/>
        <v>890.51447041508288</v>
      </c>
    </row>
    <row r="226" spans="7:69" ht="14.25" customHeight="1" thickTop="1" x14ac:dyDescent="0.15">
      <c r="G226" s="22"/>
      <c r="H226" s="254"/>
      <c r="J226" s="147"/>
      <c r="K226" s="19"/>
      <c r="L226" s="162"/>
      <c r="M226" s="162"/>
      <c r="N226" s="162"/>
      <c r="O226" s="162"/>
      <c r="P226" s="162"/>
      <c r="Q226" s="162"/>
      <c r="R226" s="162"/>
      <c r="S226" s="162"/>
      <c r="T226" s="162"/>
      <c r="U226" s="162"/>
      <c r="V226" s="162"/>
      <c r="W226" s="162"/>
      <c r="X226" s="162"/>
      <c r="Y226" s="162"/>
      <c r="Z226" s="162"/>
      <c r="AA226" s="162"/>
      <c r="AB226" s="162"/>
      <c r="AC226" s="162"/>
      <c r="AD226" s="162"/>
      <c r="AE226" s="162"/>
      <c r="AF226" s="162"/>
      <c r="AG226" s="162"/>
      <c r="AH226" s="162"/>
      <c r="AI226" s="162"/>
      <c r="AJ226" s="162"/>
      <c r="AK226" s="162"/>
      <c r="AL226" s="162"/>
      <c r="AM226" s="162"/>
      <c r="AN226" s="162"/>
      <c r="AO226" s="162"/>
      <c r="AP226" s="162"/>
      <c r="AQ226" s="162"/>
    </row>
    <row r="227" spans="7:69" ht="14.25" customHeight="1" x14ac:dyDescent="0.15">
      <c r="G227" s="22"/>
      <c r="H227" s="254"/>
      <c r="L227" s="128">
        <v>2019</v>
      </c>
      <c r="M227" s="128">
        <v>2020</v>
      </c>
      <c r="N227" s="128">
        <v>2021</v>
      </c>
      <c r="O227" s="128">
        <v>2022</v>
      </c>
      <c r="P227" s="128">
        <v>2023</v>
      </c>
      <c r="Q227" s="128">
        <v>2024</v>
      </c>
      <c r="R227" s="128">
        <v>2025</v>
      </c>
      <c r="S227" s="128">
        <v>2026</v>
      </c>
      <c r="T227" s="128">
        <v>2027</v>
      </c>
      <c r="U227" s="128">
        <v>2028</v>
      </c>
      <c r="V227" s="128">
        <v>2029</v>
      </c>
      <c r="W227" s="128">
        <v>2030</v>
      </c>
      <c r="X227" s="128">
        <v>2031</v>
      </c>
      <c r="Y227" s="128">
        <v>2032</v>
      </c>
      <c r="Z227" s="128">
        <v>2033</v>
      </c>
      <c r="AA227" s="128">
        <v>2034</v>
      </c>
      <c r="AB227" s="128">
        <v>2035</v>
      </c>
      <c r="AC227" s="128">
        <v>2036</v>
      </c>
      <c r="AD227" s="128">
        <v>2037</v>
      </c>
      <c r="AE227" s="128">
        <v>2038</v>
      </c>
      <c r="AF227" s="128">
        <v>2039</v>
      </c>
      <c r="AG227" s="128">
        <v>2040</v>
      </c>
      <c r="AH227" s="128">
        <v>2041</v>
      </c>
      <c r="AI227" s="128">
        <v>2042</v>
      </c>
      <c r="AJ227" s="128">
        <v>2043</v>
      </c>
      <c r="AK227" s="128">
        <v>2044</v>
      </c>
      <c r="AL227" s="128">
        <v>2045</v>
      </c>
      <c r="AM227" s="128">
        <v>2046</v>
      </c>
      <c r="AN227" s="128">
        <v>2047</v>
      </c>
      <c r="AO227" s="128">
        <v>2048</v>
      </c>
      <c r="AP227" s="128">
        <v>2049</v>
      </c>
      <c r="AQ227" s="128">
        <v>2050</v>
      </c>
    </row>
    <row r="228" spans="7:69" ht="14.25" customHeight="1" x14ac:dyDescent="0.15">
      <c r="G228" s="22"/>
      <c r="H228" s="254"/>
      <c r="J228" s="240" t="s">
        <v>165</v>
      </c>
      <c r="K228" s="140" t="s">
        <v>133</v>
      </c>
      <c r="L228" s="159">
        <v>19.268385484388549</v>
      </c>
      <c r="M228" s="159">
        <v>18.55</v>
      </c>
      <c r="N228" s="159">
        <v>17.680999530888872</v>
      </c>
      <c r="O228" s="159">
        <v>16.811999061777747</v>
      </c>
      <c r="P228" s="159">
        <v>15.942998592666623</v>
      </c>
      <c r="Q228" s="159">
        <v>15.073998123555498</v>
      </c>
      <c r="R228" s="159">
        <v>14.204997654444373</v>
      </c>
      <c r="S228" s="159">
        <v>13.335997185333252</v>
      </c>
      <c r="T228" s="159">
        <v>12.466996716222123</v>
      </c>
      <c r="U228" s="159">
        <v>11.597996247110999</v>
      </c>
      <c r="V228" s="159">
        <v>10.728995777999872</v>
      </c>
      <c r="W228" s="159">
        <v>9.8599953088887418</v>
      </c>
      <c r="X228" s="159">
        <v>9.7861435157172245</v>
      </c>
      <c r="Y228" s="159">
        <v>9.7122917225457073</v>
      </c>
      <c r="Z228" s="159">
        <v>9.63843992937419</v>
      </c>
      <c r="AA228" s="159">
        <v>9.5645881362026728</v>
      </c>
      <c r="AB228" s="159">
        <v>9.4907363430311555</v>
      </c>
      <c r="AC228" s="159">
        <v>9.4168845498596347</v>
      </c>
      <c r="AD228" s="159">
        <v>9.3430327566881175</v>
      </c>
      <c r="AE228" s="159">
        <v>9.2691809635166003</v>
      </c>
      <c r="AF228" s="159">
        <v>9.195329170345083</v>
      </c>
      <c r="AG228" s="159">
        <v>9.1214773771735658</v>
      </c>
      <c r="AH228" s="159">
        <v>9.0476255840020485</v>
      </c>
      <c r="AI228" s="159">
        <v>8.9737737908305313</v>
      </c>
      <c r="AJ228" s="159">
        <v>8.8999219976590123</v>
      </c>
      <c r="AK228" s="159">
        <v>8.826070204487495</v>
      </c>
      <c r="AL228" s="159">
        <v>8.752218411315976</v>
      </c>
      <c r="AM228" s="159">
        <v>8.6783666181444588</v>
      </c>
      <c r="AN228" s="159">
        <v>8.6045148249729415</v>
      </c>
      <c r="AO228" s="159">
        <v>8.5306630318014243</v>
      </c>
      <c r="AP228" s="159">
        <v>8.456811238629907</v>
      </c>
      <c r="AQ228" s="159">
        <v>8.3829594454583862</v>
      </c>
    </row>
    <row r="229" spans="7:69" ht="14.25" customHeight="1" x14ac:dyDescent="0.15">
      <c r="G229" s="22"/>
      <c r="H229" s="254"/>
      <c r="J229" s="241"/>
      <c r="K229" s="19" t="s">
        <v>134</v>
      </c>
      <c r="L229" s="160">
        <v>19.268385484388549</v>
      </c>
      <c r="M229" s="160">
        <v>18.55</v>
      </c>
      <c r="N229" s="160">
        <v>17.854388957071201</v>
      </c>
      <c r="O229" s="160">
        <v>17.158777914142401</v>
      </c>
      <c r="P229" s="160">
        <v>16.463166871213602</v>
      </c>
      <c r="Q229" s="160">
        <v>15.767555828284802</v>
      </c>
      <c r="R229" s="160">
        <v>15.071944785356006</v>
      </c>
      <c r="S229" s="160">
        <v>14.376333742427207</v>
      </c>
      <c r="T229" s="160">
        <v>13.680722699498407</v>
      </c>
      <c r="U229" s="160">
        <v>12.985111656569607</v>
      </c>
      <c r="V229" s="160">
        <v>12.289500613640811</v>
      </c>
      <c r="W229" s="160">
        <v>11.59388957071201</v>
      </c>
      <c r="X229" s="160">
        <v>11.507194857620847</v>
      </c>
      <c r="Y229" s="160">
        <v>11.420500144529683</v>
      </c>
      <c r="Z229" s="160">
        <v>11.33380543143852</v>
      </c>
      <c r="AA229" s="160">
        <v>11.247110718347358</v>
      </c>
      <c r="AB229" s="160">
        <v>11.160416005256195</v>
      </c>
      <c r="AC229" s="160">
        <v>11.073721292165033</v>
      </c>
      <c r="AD229" s="160">
        <v>10.98702657907387</v>
      </c>
      <c r="AE229" s="160">
        <v>10.900331865982707</v>
      </c>
      <c r="AF229" s="160">
        <v>10.813637152891543</v>
      </c>
      <c r="AG229" s="160">
        <v>10.72694243980038</v>
      </c>
      <c r="AH229" s="160">
        <v>10.640247726709216</v>
      </c>
      <c r="AI229" s="160">
        <v>10.553553013618053</v>
      </c>
      <c r="AJ229" s="160">
        <v>10.466858300526891</v>
      </c>
      <c r="AK229" s="160">
        <v>10.380163587435728</v>
      </c>
      <c r="AL229" s="160">
        <v>10.293468874344565</v>
      </c>
      <c r="AM229" s="160">
        <v>10.206774161253403</v>
      </c>
      <c r="AN229" s="160">
        <v>10.12007944816224</v>
      </c>
      <c r="AO229" s="160">
        <v>10.033384735071076</v>
      </c>
      <c r="AP229" s="160">
        <v>9.9466900219799133</v>
      </c>
      <c r="AQ229" s="160">
        <v>9.8599953088887418</v>
      </c>
    </row>
    <row r="230" spans="7:69" ht="14.25" customHeight="1" thickBot="1" x14ac:dyDescent="0.2">
      <c r="G230" s="22"/>
      <c r="H230" s="254"/>
      <c r="J230" s="241"/>
      <c r="K230" s="144" t="s">
        <v>135</v>
      </c>
      <c r="L230" s="161">
        <v>19.268385484388549</v>
      </c>
      <c r="M230" s="161">
        <v>18.55</v>
      </c>
      <c r="N230" s="161">
        <v>18.310960942610386</v>
      </c>
      <c r="O230" s="161">
        <v>18.071921885220771</v>
      </c>
      <c r="P230" s="161">
        <v>17.832882827831156</v>
      </c>
      <c r="Q230" s="161">
        <v>17.593843770441541</v>
      </c>
      <c r="R230" s="161">
        <v>17.354804713051927</v>
      </c>
      <c r="S230" s="161">
        <v>17.115765655662315</v>
      </c>
      <c r="T230" s="161">
        <v>16.8767265982727</v>
      </c>
      <c r="U230" s="161">
        <v>16.637687540883086</v>
      </c>
      <c r="V230" s="161">
        <v>16.398648483493474</v>
      </c>
      <c r="W230" s="161">
        <v>16.159609426103859</v>
      </c>
      <c r="X230" s="161">
        <v>15.931323433334267</v>
      </c>
      <c r="Y230" s="161">
        <v>15.703037440564678</v>
      </c>
      <c r="Z230" s="161">
        <v>15.474751447795086</v>
      </c>
      <c r="AA230" s="161">
        <v>15.24646545502549</v>
      </c>
      <c r="AB230" s="161">
        <v>15.018179462255898</v>
      </c>
      <c r="AC230" s="161">
        <v>14.789893469486305</v>
      </c>
      <c r="AD230" s="161">
        <v>14.561607476716713</v>
      </c>
      <c r="AE230" s="161">
        <v>14.333321483947124</v>
      </c>
      <c r="AF230" s="161">
        <v>14.105035491177528</v>
      </c>
      <c r="AG230" s="161">
        <v>13.876749498407936</v>
      </c>
      <c r="AH230" s="161">
        <v>13.648463505638343</v>
      </c>
      <c r="AI230" s="161">
        <v>13.420177512868751</v>
      </c>
      <c r="AJ230" s="161">
        <v>13.191891520099158</v>
      </c>
      <c r="AK230" s="161">
        <v>12.963605527329566</v>
      </c>
      <c r="AL230" s="161">
        <v>12.735319534559974</v>
      </c>
      <c r="AM230" s="161">
        <v>12.507033541790381</v>
      </c>
      <c r="AN230" s="161">
        <v>12.278747549020789</v>
      </c>
      <c r="AO230" s="161">
        <v>12.050461556251197</v>
      </c>
      <c r="AP230" s="161">
        <v>11.822175563481604</v>
      </c>
      <c r="AQ230" s="161">
        <v>11.59388957071201</v>
      </c>
    </row>
    <row r="231" spans="7:69" ht="14.25" customHeight="1" thickTop="1" x14ac:dyDescent="0.2">
      <c r="G231" s="22"/>
      <c r="H231" s="254"/>
      <c r="J231" s="241"/>
      <c r="K231" s="140" t="s">
        <v>136</v>
      </c>
      <c r="L231" s="159">
        <f t="shared" ref="L231:AQ238" si="26">L228</f>
        <v>19.268385484388549</v>
      </c>
      <c r="M231" s="159">
        <f t="shared" si="26"/>
        <v>18.55</v>
      </c>
      <c r="N231" s="159">
        <f t="shared" si="26"/>
        <v>17.680999530888872</v>
      </c>
      <c r="O231" s="159">
        <f t="shared" si="26"/>
        <v>16.811999061777747</v>
      </c>
      <c r="P231" s="159">
        <f t="shared" si="26"/>
        <v>15.942998592666623</v>
      </c>
      <c r="Q231" s="159">
        <f t="shared" si="26"/>
        <v>15.073998123555498</v>
      </c>
      <c r="R231" s="159">
        <f t="shared" si="26"/>
        <v>14.204997654444373</v>
      </c>
      <c r="S231" s="159">
        <f t="shared" si="26"/>
        <v>13.335997185333252</v>
      </c>
      <c r="T231" s="159">
        <f t="shared" si="26"/>
        <v>12.466996716222123</v>
      </c>
      <c r="U231" s="159">
        <f t="shared" si="26"/>
        <v>11.597996247110999</v>
      </c>
      <c r="V231" s="159">
        <f t="shared" si="26"/>
        <v>10.728995777999872</v>
      </c>
      <c r="W231" s="159">
        <f t="shared" si="26"/>
        <v>9.8599953088887418</v>
      </c>
      <c r="X231" s="159">
        <f t="shared" si="26"/>
        <v>9.7861435157172245</v>
      </c>
      <c r="Y231" s="159">
        <f t="shared" si="26"/>
        <v>9.7122917225457073</v>
      </c>
      <c r="Z231" s="159">
        <f t="shared" si="26"/>
        <v>9.63843992937419</v>
      </c>
      <c r="AA231" s="159">
        <f t="shared" si="26"/>
        <v>9.5645881362026728</v>
      </c>
      <c r="AB231" s="159">
        <f t="shared" si="26"/>
        <v>9.4907363430311555</v>
      </c>
      <c r="AC231" s="159">
        <f t="shared" si="26"/>
        <v>9.4168845498596347</v>
      </c>
      <c r="AD231" s="159">
        <f t="shared" si="26"/>
        <v>9.3430327566881175</v>
      </c>
      <c r="AE231" s="159">
        <f t="shared" si="26"/>
        <v>9.2691809635166003</v>
      </c>
      <c r="AF231" s="159">
        <f t="shared" si="26"/>
        <v>9.195329170345083</v>
      </c>
      <c r="AG231" s="159">
        <f t="shared" si="26"/>
        <v>9.1214773771735658</v>
      </c>
      <c r="AH231" s="159">
        <f t="shared" si="26"/>
        <v>9.0476255840020485</v>
      </c>
      <c r="AI231" s="159">
        <f t="shared" si="26"/>
        <v>8.9737737908305313</v>
      </c>
      <c r="AJ231" s="159">
        <f t="shared" si="26"/>
        <v>8.8999219976590123</v>
      </c>
      <c r="AK231" s="159">
        <f t="shared" si="26"/>
        <v>8.826070204487495</v>
      </c>
      <c r="AL231" s="159">
        <f t="shared" si="26"/>
        <v>8.752218411315976</v>
      </c>
      <c r="AM231" s="159">
        <f t="shared" si="26"/>
        <v>8.6783666181444588</v>
      </c>
      <c r="AN231" s="159">
        <f t="shared" si="26"/>
        <v>8.6045148249729415</v>
      </c>
      <c r="AO231" s="159">
        <f t="shared" si="26"/>
        <v>8.5306630318014243</v>
      </c>
      <c r="AP231" s="159">
        <f t="shared" si="26"/>
        <v>8.456811238629907</v>
      </c>
      <c r="AQ231" s="159">
        <f t="shared" si="26"/>
        <v>8.3829594454583862</v>
      </c>
      <c r="AR231"/>
      <c r="AS231"/>
    </row>
    <row r="232" spans="7:69" ht="14.25" customHeight="1" x14ac:dyDescent="0.15">
      <c r="G232" s="22"/>
      <c r="H232" s="254"/>
      <c r="J232" s="241"/>
      <c r="K232" s="19" t="s">
        <v>137</v>
      </c>
      <c r="L232" s="160">
        <f t="shared" si="26"/>
        <v>19.268385484388549</v>
      </c>
      <c r="M232" s="160">
        <f t="shared" si="26"/>
        <v>18.55</v>
      </c>
      <c r="N232" s="160">
        <f t="shared" si="26"/>
        <v>17.854388957071201</v>
      </c>
      <c r="O232" s="160">
        <f t="shared" si="26"/>
        <v>17.158777914142401</v>
      </c>
      <c r="P232" s="160">
        <f t="shared" si="26"/>
        <v>16.463166871213602</v>
      </c>
      <c r="Q232" s="160">
        <f t="shared" si="26"/>
        <v>15.767555828284802</v>
      </c>
      <c r="R232" s="160">
        <f t="shared" si="26"/>
        <v>15.071944785356006</v>
      </c>
      <c r="S232" s="160">
        <f t="shared" si="26"/>
        <v>14.376333742427207</v>
      </c>
      <c r="T232" s="160">
        <f t="shared" si="26"/>
        <v>13.680722699498407</v>
      </c>
      <c r="U232" s="160">
        <f t="shared" si="26"/>
        <v>12.985111656569607</v>
      </c>
      <c r="V232" s="160">
        <f t="shared" si="26"/>
        <v>12.289500613640811</v>
      </c>
      <c r="W232" s="160">
        <f t="shared" si="26"/>
        <v>11.59388957071201</v>
      </c>
      <c r="X232" s="160">
        <f t="shared" si="26"/>
        <v>11.507194857620847</v>
      </c>
      <c r="Y232" s="160">
        <f t="shared" si="26"/>
        <v>11.420500144529683</v>
      </c>
      <c r="Z232" s="160">
        <f t="shared" si="26"/>
        <v>11.33380543143852</v>
      </c>
      <c r="AA232" s="160">
        <f t="shared" si="26"/>
        <v>11.247110718347358</v>
      </c>
      <c r="AB232" s="160">
        <f t="shared" si="26"/>
        <v>11.160416005256195</v>
      </c>
      <c r="AC232" s="160">
        <f t="shared" si="26"/>
        <v>11.073721292165033</v>
      </c>
      <c r="AD232" s="160">
        <f t="shared" si="26"/>
        <v>10.98702657907387</v>
      </c>
      <c r="AE232" s="160">
        <f t="shared" si="26"/>
        <v>10.900331865982707</v>
      </c>
      <c r="AF232" s="160">
        <f t="shared" si="26"/>
        <v>10.813637152891543</v>
      </c>
      <c r="AG232" s="160">
        <f t="shared" si="26"/>
        <v>10.72694243980038</v>
      </c>
      <c r="AH232" s="160">
        <f t="shared" si="26"/>
        <v>10.640247726709216</v>
      </c>
      <c r="AI232" s="160">
        <f t="shared" si="26"/>
        <v>10.553553013618053</v>
      </c>
      <c r="AJ232" s="160">
        <f t="shared" si="26"/>
        <v>10.466858300526891</v>
      </c>
      <c r="AK232" s="160">
        <f t="shared" si="26"/>
        <v>10.380163587435728</v>
      </c>
      <c r="AL232" s="160">
        <f t="shared" si="26"/>
        <v>10.293468874344565</v>
      </c>
      <c r="AM232" s="160">
        <f t="shared" si="26"/>
        <v>10.206774161253403</v>
      </c>
      <c r="AN232" s="160">
        <f t="shared" si="26"/>
        <v>10.12007944816224</v>
      </c>
      <c r="AO232" s="160">
        <f t="shared" si="26"/>
        <v>10.033384735071076</v>
      </c>
      <c r="AP232" s="160">
        <f t="shared" si="26"/>
        <v>9.9466900219799133</v>
      </c>
      <c r="AQ232" s="160">
        <f t="shared" si="26"/>
        <v>9.8599953088887418</v>
      </c>
    </row>
    <row r="233" spans="7:69" ht="14.25" customHeight="1" thickBot="1" x14ac:dyDescent="0.25">
      <c r="G233" s="22"/>
      <c r="H233" s="254"/>
      <c r="J233" s="241"/>
      <c r="K233" s="144" t="s">
        <v>138</v>
      </c>
      <c r="L233" s="161">
        <f t="shared" si="26"/>
        <v>19.268385484388549</v>
      </c>
      <c r="M233" s="161">
        <f t="shared" si="26"/>
        <v>18.55</v>
      </c>
      <c r="N233" s="161">
        <f t="shared" si="26"/>
        <v>18.310960942610386</v>
      </c>
      <c r="O233" s="161">
        <f t="shared" si="26"/>
        <v>18.071921885220771</v>
      </c>
      <c r="P233" s="161">
        <f t="shared" si="26"/>
        <v>17.832882827831156</v>
      </c>
      <c r="Q233" s="161">
        <f t="shared" si="26"/>
        <v>17.593843770441541</v>
      </c>
      <c r="R233" s="161">
        <f t="shared" si="26"/>
        <v>17.354804713051927</v>
      </c>
      <c r="S233" s="161">
        <f t="shared" si="26"/>
        <v>17.115765655662315</v>
      </c>
      <c r="T233" s="161">
        <f t="shared" si="26"/>
        <v>16.8767265982727</v>
      </c>
      <c r="U233" s="161">
        <f t="shared" si="26"/>
        <v>16.637687540883086</v>
      </c>
      <c r="V233" s="161">
        <f t="shared" si="26"/>
        <v>16.398648483493474</v>
      </c>
      <c r="W233" s="161">
        <f t="shared" si="26"/>
        <v>16.159609426103859</v>
      </c>
      <c r="X233" s="161">
        <f t="shared" si="26"/>
        <v>15.931323433334267</v>
      </c>
      <c r="Y233" s="161">
        <f t="shared" si="26"/>
        <v>15.703037440564678</v>
      </c>
      <c r="Z233" s="161">
        <f t="shared" si="26"/>
        <v>15.474751447795086</v>
      </c>
      <c r="AA233" s="161">
        <f t="shared" si="26"/>
        <v>15.24646545502549</v>
      </c>
      <c r="AB233" s="161">
        <f t="shared" si="26"/>
        <v>15.018179462255898</v>
      </c>
      <c r="AC233" s="161">
        <f t="shared" si="26"/>
        <v>14.789893469486305</v>
      </c>
      <c r="AD233" s="161">
        <f t="shared" si="26"/>
        <v>14.561607476716713</v>
      </c>
      <c r="AE233" s="161">
        <f t="shared" si="26"/>
        <v>14.333321483947124</v>
      </c>
      <c r="AF233" s="161">
        <f t="shared" si="26"/>
        <v>14.105035491177528</v>
      </c>
      <c r="AG233" s="161">
        <f t="shared" si="26"/>
        <v>13.876749498407936</v>
      </c>
      <c r="AH233" s="161">
        <f t="shared" si="26"/>
        <v>13.648463505638343</v>
      </c>
      <c r="AI233" s="161">
        <f t="shared" si="26"/>
        <v>13.420177512868751</v>
      </c>
      <c r="AJ233" s="161">
        <f t="shared" si="26"/>
        <v>13.191891520099158</v>
      </c>
      <c r="AK233" s="161">
        <f t="shared" si="26"/>
        <v>12.963605527329566</v>
      </c>
      <c r="AL233" s="161">
        <f t="shared" si="26"/>
        <v>12.735319534559974</v>
      </c>
      <c r="AM233" s="161">
        <f t="shared" si="26"/>
        <v>12.507033541790381</v>
      </c>
      <c r="AN233" s="161">
        <f t="shared" si="26"/>
        <v>12.278747549020789</v>
      </c>
      <c r="AO233" s="161">
        <f t="shared" si="26"/>
        <v>12.050461556251197</v>
      </c>
      <c r="AP233" s="161">
        <f t="shared" si="26"/>
        <v>11.822175563481604</v>
      </c>
      <c r="AQ233" s="161">
        <f t="shared" si="26"/>
        <v>11.59388957071201</v>
      </c>
      <c r="BG233"/>
      <c r="BH233"/>
      <c r="BI233"/>
    </row>
    <row r="234" spans="7:69" ht="14.25" customHeight="1" thickTop="1" x14ac:dyDescent="0.2">
      <c r="G234" s="22"/>
      <c r="H234" s="254"/>
      <c r="J234" s="241"/>
      <c r="K234" s="140" t="s">
        <v>139</v>
      </c>
      <c r="L234" s="159">
        <f t="shared" si="26"/>
        <v>19.268385484388549</v>
      </c>
      <c r="M234" s="159">
        <f t="shared" si="26"/>
        <v>18.55</v>
      </c>
      <c r="N234" s="159">
        <f t="shared" si="26"/>
        <v>17.680999530888872</v>
      </c>
      <c r="O234" s="159">
        <f t="shared" si="26"/>
        <v>16.811999061777747</v>
      </c>
      <c r="P234" s="159">
        <f t="shared" si="26"/>
        <v>15.942998592666623</v>
      </c>
      <c r="Q234" s="159">
        <f t="shared" si="26"/>
        <v>15.073998123555498</v>
      </c>
      <c r="R234" s="159">
        <f t="shared" si="26"/>
        <v>14.204997654444373</v>
      </c>
      <c r="S234" s="159">
        <f t="shared" si="26"/>
        <v>13.335997185333252</v>
      </c>
      <c r="T234" s="159">
        <f t="shared" si="26"/>
        <v>12.466996716222123</v>
      </c>
      <c r="U234" s="159">
        <f t="shared" si="26"/>
        <v>11.597996247110999</v>
      </c>
      <c r="V234" s="159">
        <f t="shared" si="26"/>
        <v>10.728995777999872</v>
      </c>
      <c r="W234" s="159">
        <f t="shared" si="26"/>
        <v>9.8599953088887418</v>
      </c>
      <c r="X234" s="159">
        <f t="shared" si="26"/>
        <v>9.7861435157172245</v>
      </c>
      <c r="Y234" s="159">
        <f t="shared" si="26"/>
        <v>9.7122917225457073</v>
      </c>
      <c r="Z234" s="159">
        <f t="shared" si="26"/>
        <v>9.63843992937419</v>
      </c>
      <c r="AA234" s="159">
        <f t="shared" si="26"/>
        <v>9.5645881362026728</v>
      </c>
      <c r="AB234" s="159">
        <f t="shared" si="26"/>
        <v>9.4907363430311555</v>
      </c>
      <c r="AC234" s="159">
        <f t="shared" si="26"/>
        <v>9.4168845498596347</v>
      </c>
      <c r="AD234" s="159">
        <f t="shared" si="26"/>
        <v>9.3430327566881175</v>
      </c>
      <c r="AE234" s="159">
        <f t="shared" si="26"/>
        <v>9.2691809635166003</v>
      </c>
      <c r="AF234" s="159">
        <f t="shared" si="26"/>
        <v>9.195329170345083</v>
      </c>
      <c r="AG234" s="159">
        <f t="shared" si="26"/>
        <v>9.1214773771735658</v>
      </c>
      <c r="AH234" s="159">
        <f t="shared" si="26"/>
        <v>9.0476255840020485</v>
      </c>
      <c r="AI234" s="159">
        <f t="shared" si="26"/>
        <v>8.9737737908305313</v>
      </c>
      <c r="AJ234" s="159">
        <f t="shared" si="26"/>
        <v>8.8999219976590123</v>
      </c>
      <c r="AK234" s="159">
        <f t="shared" si="26"/>
        <v>8.826070204487495</v>
      </c>
      <c r="AL234" s="159">
        <f t="shared" si="26"/>
        <v>8.752218411315976</v>
      </c>
      <c r="AM234" s="159">
        <f t="shared" si="26"/>
        <v>8.6783666181444588</v>
      </c>
      <c r="AN234" s="159">
        <f t="shared" si="26"/>
        <v>8.6045148249729415</v>
      </c>
      <c r="AO234" s="159">
        <f t="shared" si="26"/>
        <v>8.5306630318014243</v>
      </c>
      <c r="AP234" s="159">
        <f t="shared" si="26"/>
        <v>8.456811238629907</v>
      </c>
      <c r="AQ234" s="159">
        <f t="shared" si="26"/>
        <v>8.3829594454583862</v>
      </c>
      <c r="AV234"/>
      <c r="AW234"/>
      <c r="AX234"/>
      <c r="AY234"/>
      <c r="BB234"/>
      <c r="BC234"/>
      <c r="BD234"/>
      <c r="BE234"/>
      <c r="BF234"/>
      <c r="BJ234"/>
      <c r="BK234"/>
      <c r="BL234"/>
      <c r="BM234"/>
      <c r="BN234"/>
      <c r="BO234"/>
      <c r="BP234"/>
      <c r="BQ234"/>
    </row>
    <row r="235" spans="7:69" ht="14.25" customHeight="1" x14ac:dyDescent="0.2">
      <c r="G235" s="22"/>
      <c r="H235" s="254"/>
      <c r="J235" s="241"/>
      <c r="K235" s="19" t="s">
        <v>140</v>
      </c>
      <c r="L235" s="160">
        <f t="shared" si="26"/>
        <v>19.268385484388549</v>
      </c>
      <c r="M235" s="160">
        <f t="shared" si="26"/>
        <v>18.55</v>
      </c>
      <c r="N235" s="160">
        <f t="shared" si="26"/>
        <v>17.854388957071201</v>
      </c>
      <c r="O235" s="160">
        <f t="shared" si="26"/>
        <v>17.158777914142401</v>
      </c>
      <c r="P235" s="160">
        <f t="shared" si="26"/>
        <v>16.463166871213602</v>
      </c>
      <c r="Q235" s="160">
        <f t="shared" si="26"/>
        <v>15.767555828284802</v>
      </c>
      <c r="R235" s="160">
        <f t="shared" si="26"/>
        <v>15.071944785356006</v>
      </c>
      <c r="S235" s="160">
        <f t="shared" si="26"/>
        <v>14.376333742427207</v>
      </c>
      <c r="T235" s="160">
        <f t="shared" si="26"/>
        <v>13.680722699498407</v>
      </c>
      <c r="U235" s="160">
        <f t="shared" si="26"/>
        <v>12.985111656569607</v>
      </c>
      <c r="V235" s="160">
        <f t="shared" si="26"/>
        <v>12.289500613640811</v>
      </c>
      <c r="W235" s="160">
        <f t="shared" si="26"/>
        <v>11.59388957071201</v>
      </c>
      <c r="X235" s="160">
        <f t="shared" si="26"/>
        <v>11.507194857620847</v>
      </c>
      <c r="Y235" s="160">
        <f t="shared" si="26"/>
        <v>11.420500144529683</v>
      </c>
      <c r="Z235" s="160">
        <f t="shared" si="26"/>
        <v>11.33380543143852</v>
      </c>
      <c r="AA235" s="160">
        <f t="shared" si="26"/>
        <v>11.247110718347358</v>
      </c>
      <c r="AB235" s="160">
        <f t="shared" si="26"/>
        <v>11.160416005256195</v>
      </c>
      <c r="AC235" s="160">
        <f t="shared" si="26"/>
        <v>11.073721292165033</v>
      </c>
      <c r="AD235" s="160">
        <f t="shared" si="26"/>
        <v>10.98702657907387</v>
      </c>
      <c r="AE235" s="160">
        <f t="shared" si="26"/>
        <v>10.900331865982707</v>
      </c>
      <c r="AF235" s="160">
        <f t="shared" si="26"/>
        <v>10.813637152891543</v>
      </c>
      <c r="AG235" s="160">
        <f t="shared" si="26"/>
        <v>10.72694243980038</v>
      </c>
      <c r="AH235" s="160">
        <f t="shared" si="26"/>
        <v>10.640247726709216</v>
      </c>
      <c r="AI235" s="160">
        <f t="shared" si="26"/>
        <v>10.553553013618053</v>
      </c>
      <c r="AJ235" s="160">
        <f t="shared" si="26"/>
        <v>10.466858300526891</v>
      </c>
      <c r="AK235" s="160">
        <f t="shared" si="26"/>
        <v>10.380163587435728</v>
      </c>
      <c r="AL235" s="160">
        <f t="shared" si="26"/>
        <v>10.293468874344565</v>
      </c>
      <c r="AM235" s="160">
        <f t="shared" si="26"/>
        <v>10.206774161253403</v>
      </c>
      <c r="AN235" s="160">
        <f t="shared" si="26"/>
        <v>10.12007944816224</v>
      </c>
      <c r="AO235" s="160">
        <f t="shared" si="26"/>
        <v>10.033384735071076</v>
      </c>
      <c r="AP235" s="160">
        <f t="shared" si="26"/>
        <v>9.9466900219799133</v>
      </c>
      <c r="AQ235" s="160">
        <f t="shared" si="26"/>
        <v>9.8599953088887418</v>
      </c>
      <c r="AZ235"/>
      <c r="BA235"/>
    </row>
    <row r="236" spans="7:69" ht="14.25" customHeight="1" thickBot="1" x14ac:dyDescent="0.2">
      <c r="G236" s="22"/>
      <c r="H236" s="254"/>
      <c r="J236" s="241"/>
      <c r="K236" s="144" t="s">
        <v>141</v>
      </c>
      <c r="L236" s="161">
        <f t="shared" si="26"/>
        <v>19.268385484388549</v>
      </c>
      <c r="M236" s="161">
        <f t="shared" si="26"/>
        <v>18.55</v>
      </c>
      <c r="N236" s="161">
        <f t="shared" si="26"/>
        <v>18.310960942610386</v>
      </c>
      <c r="O236" s="161">
        <f t="shared" si="26"/>
        <v>18.071921885220771</v>
      </c>
      <c r="P236" s="161">
        <f t="shared" si="26"/>
        <v>17.832882827831156</v>
      </c>
      <c r="Q236" s="161">
        <f t="shared" si="26"/>
        <v>17.593843770441541</v>
      </c>
      <c r="R236" s="161">
        <f t="shared" si="26"/>
        <v>17.354804713051927</v>
      </c>
      <c r="S236" s="161">
        <f t="shared" si="26"/>
        <v>17.115765655662315</v>
      </c>
      <c r="T236" s="161">
        <f t="shared" si="26"/>
        <v>16.8767265982727</v>
      </c>
      <c r="U236" s="161">
        <f t="shared" si="26"/>
        <v>16.637687540883086</v>
      </c>
      <c r="V236" s="161">
        <f t="shared" si="26"/>
        <v>16.398648483493474</v>
      </c>
      <c r="W236" s="161">
        <f t="shared" si="26"/>
        <v>16.159609426103859</v>
      </c>
      <c r="X236" s="161">
        <f t="shared" si="26"/>
        <v>15.931323433334267</v>
      </c>
      <c r="Y236" s="161">
        <f t="shared" si="26"/>
        <v>15.703037440564678</v>
      </c>
      <c r="Z236" s="161">
        <f t="shared" si="26"/>
        <v>15.474751447795086</v>
      </c>
      <c r="AA236" s="161">
        <f t="shared" si="26"/>
        <v>15.24646545502549</v>
      </c>
      <c r="AB236" s="161">
        <f t="shared" si="26"/>
        <v>15.018179462255898</v>
      </c>
      <c r="AC236" s="161">
        <f t="shared" si="26"/>
        <v>14.789893469486305</v>
      </c>
      <c r="AD236" s="161">
        <f t="shared" si="26"/>
        <v>14.561607476716713</v>
      </c>
      <c r="AE236" s="161">
        <f t="shared" si="26"/>
        <v>14.333321483947124</v>
      </c>
      <c r="AF236" s="161">
        <f t="shared" si="26"/>
        <v>14.105035491177528</v>
      </c>
      <c r="AG236" s="161">
        <f t="shared" si="26"/>
        <v>13.876749498407936</v>
      </c>
      <c r="AH236" s="161">
        <f t="shared" si="26"/>
        <v>13.648463505638343</v>
      </c>
      <c r="AI236" s="161">
        <f t="shared" si="26"/>
        <v>13.420177512868751</v>
      </c>
      <c r="AJ236" s="161">
        <f t="shared" si="26"/>
        <v>13.191891520099158</v>
      </c>
      <c r="AK236" s="161">
        <f t="shared" si="26"/>
        <v>12.963605527329566</v>
      </c>
      <c r="AL236" s="161">
        <f t="shared" si="26"/>
        <v>12.735319534559974</v>
      </c>
      <c r="AM236" s="161">
        <f t="shared" si="26"/>
        <v>12.507033541790381</v>
      </c>
      <c r="AN236" s="161">
        <f t="shared" si="26"/>
        <v>12.278747549020789</v>
      </c>
      <c r="AO236" s="161">
        <f t="shared" si="26"/>
        <v>12.050461556251197</v>
      </c>
      <c r="AP236" s="161">
        <f t="shared" si="26"/>
        <v>11.822175563481604</v>
      </c>
      <c r="AQ236" s="161">
        <f t="shared" si="26"/>
        <v>11.59388957071201</v>
      </c>
    </row>
    <row r="237" spans="7:69" ht="14.25" customHeight="1" thickTop="1" x14ac:dyDescent="0.2">
      <c r="G237" s="22"/>
      <c r="H237" s="254"/>
      <c r="J237" s="241"/>
      <c r="K237" s="140" t="s">
        <v>142</v>
      </c>
      <c r="L237" s="159">
        <f t="shared" si="26"/>
        <v>19.268385484388549</v>
      </c>
      <c r="M237" s="159">
        <f t="shared" si="26"/>
        <v>18.55</v>
      </c>
      <c r="N237" s="159">
        <f t="shared" si="26"/>
        <v>17.680999530888872</v>
      </c>
      <c r="O237" s="159">
        <f t="shared" si="26"/>
        <v>16.811999061777747</v>
      </c>
      <c r="P237" s="159">
        <f t="shared" si="26"/>
        <v>15.942998592666623</v>
      </c>
      <c r="Q237" s="159">
        <f t="shared" si="26"/>
        <v>15.073998123555498</v>
      </c>
      <c r="R237" s="159">
        <f t="shared" si="26"/>
        <v>14.204997654444373</v>
      </c>
      <c r="S237" s="159">
        <f t="shared" si="26"/>
        <v>13.335997185333252</v>
      </c>
      <c r="T237" s="159">
        <f t="shared" si="26"/>
        <v>12.466996716222123</v>
      </c>
      <c r="U237" s="159">
        <f t="shared" si="26"/>
        <v>11.597996247110999</v>
      </c>
      <c r="V237" s="159">
        <f t="shared" si="26"/>
        <v>10.728995777999872</v>
      </c>
      <c r="W237" s="159">
        <f t="shared" si="26"/>
        <v>9.8599953088887418</v>
      </c>
      <c r="X237" s="159">
        <f t="shared" si="26"/>
        <v>9.7861435157172245</v>
      </c>
      <c r="Y237" s="159">
        <f t="shared" si="26"/>
        <v>9.7122917225457073</v>
      </c>
      <c r="Z237" s="159">
        <f t="shared" si="26"/>
        <v>9.63843992937419</v>
      </c>
      <c r="AA237" s="159">
        <f t="shared" si="26"/>
        <v>9.5645881362026728</v>
      </c>
      <c r="AB237" s="159">
        <f t="shared" si="26"/>
        <v>9.4907363430311555</v>
      </c>
      <c r="AC237" s="159">
        <f t="shared" si="26"/>
        <v>9.4168845498596347</v>
      </c>
      <c r="AD237" s="159">
        <f t="shared" si="26"/>
        <v>9.3430327566881175</v>
      </c>
      <c r="AE237" s="159">
        <f t="shared" si="26"/>
        <v>9.2691809635166003</v>
      </c>
      <c r="AF237" s="159">
        <f t="shared" si="26"/>
        <v>9.195329170345083</v>
      </c>
      <c r="AG237" s="159">
        <f t="shared" si="26"/>
        <v>9.1214773771735658</v>
      </c>
      <c r="AH237" s="159">
        <f t="shared" si="26"/>
        <v>9.0476255840020485</v>
      </c>
      <c r="AI237" s="159">
        <f t="shared" si="26"/>
        <v>8.9737737908305313</v>
      </c>
      <c r="AJ237" s="159">
        <f t="shared" si="26"/>
        <v>8.8999219976590123</v>
      </c>
      <c r="AK237" s="159">
        <f t="shared" si="26"/>
        <v>8.826070204487495</v>
      </c>
      <c r="AL237" s="159">
        <f t="shared" si="26"/>
        <v>8.752218411315976</v>
      </c>
      <c r="AM237" s="159">
        <f t="shared" si="26"/>
        <v>8.6783666181444588</v>
      </c>
      <c r="AN237" s="159">
        <f t="shared" si="26"/>
        <v>8.6045148249729415</v>
      </c>
      <c r="AO237" s="159">
        <f t="shared" si="26"/>
        <v>8.5306630318014243</v>
      </c>
      <c r="AP237" s="159">
        <f t="shared" si="26"/>
        <v>8.456811238629907</v>
      </c>
      <c r="AQ237" s="159">
        <f t="shared" si="26"/>
        <v>8.3829594454583862</v>
      </c>
      <c r="AV237"/>
      <c r="AW237"/>
      <c r="AX237"/>
      <c r="AY237"/>
      <c r="BB237"/>
      <c r="BC237"/>
      <c r="BD237"/>
      <c r="BE237"/>
      <c r="BF237"/>
      <c r="BJ237"/>
      <c r="BK237"/>
      <c r="BL237"/>
      <c r="BM237"/>
      <c r="BN237"/>
      <c r="BO237"/>
      <c r="BP237"/>
      <c r="BQ237"/>
    </row>
    <row r="238" spans="7:69" ht="14.25" customHeight="1" x14ac:dyDescent="0.2">
      <c r="G238" s="22"/>
      <c r="H238" s="254"/>
      <c r="J238" s="241"/>
      <c r="K238" s="19" t="s">
        <v>143</v>
      </c>
      <c r="L238" s="160">
        <f t="shared" si="26"/>
        <v>19.268385484388549</v>
      </c>
      <c r="M238" s="160">
        <f t="shared" si="26"/>
        <v>18.55</v>
      </c>
      <c r="N238" s="160">
        <f t="shared" si="26"/>
        <v>17.854388957071201</v>
      </c>
      <c r="O238" s="160">
        <f t="shared" si="26"/>
        <v>17.158777914142401</v>
      </c>
      <c r="P238" s="160">
        <f t="shared" si="26"/>
        <v>16.463166871213602</v>
      </c>
      <c r="Q238" s="160">
        <f t="shared" si="26"/>
        <v>15.767555828284802</v>
      </c>
      <c r="R238" s="160">
        <f t="shared" si="26"/>
        <v>15.071944785356006</v>
      </c>
      <c r="S238" s="160">
        <f t="shared" si="26"/>
        <v>14.376333742427207</v>
      </c>
      <c r="T238" s="160">
        <f t="shared" si="26"/>
        <v>13.680722699498407</v>
      </c>
      <c r="U238" s="160">
        <f t="shared" si="26"/>
        <v>12.985111656569607</v>
      </c>
      <c r="V238" s="160">
        <f t="shared" si="26"/>
        <v>12.289500613640811</v>
      </c>
      <c r="W238" s="160">
        <f t="shared" si="26"/>
        <v>11.59388957071201</v>
      </c>
      <c r="X238" s="160">
        <f t="shared" si="26"/>
        <v>11.507194857620847</v>
      </c>
      <c r="Y238" s="160">
        <f t="shared" si="26"/>
        <v>11.420500144529683</v>
      </c>
      <c r="Z238" s="160">
        <f t="shared" si="26"/>
        <v>11.33380543143852</v>
      </c>
      <c r="AA238" s="160">
        <f t="shared" si="26"/>
        <v>11.247110718347358</v>
      </c>
      <c r="AB238" s="160">
        <f t="shared" si="26"/>
        <v>11.160416005256195</v>
      </c>
      <c r="AC238" s="160">
        <f t="shared" si="26"/>
        <v>11.073721292165033</v>
      </c>
      <c r="AD238" s="160">
        <f t="shared" si="26"/>
        <v>10.98702657907387</v>
      </c>
      <c r="AE238" s="160">
        <f t="shared" si="26"/>
        <v>10.900331865982707</v>
      </c>
      <c r="AF238" s="160">
        <f t="shared" si="26"/>
        <v>10.813637152891543</v>
      </c>
      <c r="AG238" s="160">
        <f t="shared" si="26"/>
        <v>10.72694243980038</v>
      </c>
      <c r="AH238" s="160">
        <f t="shared" si="26"/>
        <v>10.640247726709216</v>
      </c>
      <c r="AI238" s="160">
        <f t="shared" si="26"/>
        <v>10.553553013618053</v>
      </c>
      <c r="AJ238" s="160">
        <f t="shared" si="26"/>
        <v>10.466858300526891</v>
      </c>
      <c r="AK238" s="160">
        <f t="shared" si="26"/>
        <v>10.380163587435728</v>
      </c>
      <c r="AL238" s="160">
        <f t="shared" si="26"/>
        <v>10.293468874344565</v>
      </c>
      <c r="AM238" s="160">
        <f t="shared" si="26"/>
        <v>10.206774161253403</v>
      </c>
      <c r="AN238" s="160">
        <f t="shared" si="26"/>
        <v>10.12007944816224</v>
      </c>
      <c r="AO238" s="160">
        <f t="shared" si="26"/>
        <v>10.033384735071076</v>
      </c>
      <c r="AP238" s="160">
        <f t="shared" si="26"/>
        <v>9.9466900219799133</v>
      </c>
      <c r="AQ238" s="160">
        <f t="shared" ref="AQ238" si="27">AQ235</f>
        <v>9.8599953088887418</v>
      </c>
      <c r="AZ238"/>
      <c r="BA238"/>
    </row>
    <row r="239" spans="7:69" ht="14.25" customHeight="1" thickBot="1" x14ac:dyDescent="0.2">
      <c r="G239" s="22"/>
      <c r="H239" s="254"/>
      <c r="J239" s="241"/>
      <c r="K239" s="144" t="s">
        <v>144</v>
      </c>
      <c r="L239" s="161">
        <f t="shared" ref="L239:AQ246" si="28">L236</f>
        <v>19.268385484388549</v>
      </c>
      <c r="M239" s="161">
        <f t="shared" si="28"/>
        <v>18.55</v>
      </c>
      <c r="N239" s="161">
        <f t="shared" si="28"/>
        <v>18.310960942610386</v>
      </c>
      <c r="O239" s="161">
        <f t="shared" si="28"/>
        <v>18.071921885220771</v>
      </c>
      <c r="P239" s="161">
        <f t="shared" si="28"/>
        <v>17.832882827831156</v>
      </c>
      <c r="Q239" s="161">
        <f t="shared" si="28"/>
        <v>17.593843770441541</v>
      </c>
      <c r="R239" s="161">
        <f t="shared" si="28"/>
        <v>17.354804713051927</v>
      </c>
      <c r="S239" s="161">
        <f t="shared" si="28"/>
        <v>17.115765655662315</v>
      </c>
      <c r="T239" s="161">
        <f t="shared" si="28"/>
        <v>16.8767265982727</v>
      </c>
      <c r="U239" s="161">
        <f t="shared" si="28"/>
        <v>16.637687540883086</v>
      </c>
      <c r="V239" s="161">
        <f t="shared" si="28"/>
        <v>16.398648483493474</v>
      </c>
      <c r="W239" s="161">
        <f t="shared" si="28"/>
        <v>16.159609426103859</v>
      </c>
      <c r="X239" s="161">
        <f t="shared" si="28"/>
        <v>15.931323433334267</v>
      </c>
      <c r="Y239" s="161">
        <f t="shared" si="28"/>
        <v>15.703037440564678</v>
      </c>
      <c r="Z239" s="161">
        <f t="shared" si="28"/>
        <v>15.474751447795086</v>
      </c>
      <c r="AA239" s="161">
        <f t="shared" si="28"/>
        <v>15.24646545502549</v>
      </c>
      <c r="AB239" s="161">
        <f t="shared" si="28"/>
        <v>15.018179462255898</v>
      </c>
      <c r="AC239" s="161">
        <f t="shared" si="28"/>
        <v>14.789893469486305</v>
      </c>
      <c r="AD239" s="161">
        <f t="shared" si="28"/>
        <v>14.561607476716713</v>
      </c>
      <c r="AE239" s="161">
        <f t="shared" si="28"/>
        <v>14.333321483947124</v>
      </c>
      <c r="AF239" s="161">
        <f t="shared" si="28"/>
        <v>14.105035491177528</v>
      </c>
      <c r="AG239" s="161">
        <f t="shared" si="28"/>
        <v>13.876749498407936</v>
      </c>
      <c r="AH239" s="161">
        <f t="shared" si="28"/>
        <v>13.648463505638343</v>
      </c>
      <c r="AI239" s="161">
        <f t="shared" si="28"/>
        <v>13.420177512868751</v>
      </c>
      <c r="AJ239" s="161">
        <f t="shared" si="28"/>
        <v>13.191891520099158</v>
      </c>
      <c r="AK239" s="161">
        <f t="shared" si="28"/>
        <v>12.963605527329566</v>
      </c>
      <c r="AL239" s="161">
        <f t="shared" si="28"/>
        <v>12.735319534559974</v>
      </c>
      <c r="AM239" s="161">
        <f t="shared" si="28"/>
        <v>12.507033541790381</v>
      </c>
      <c r="AN239" s="161">
        <f t="shared" si="28"/>
        <v>12.278747549020789</v>
      </c>
      <c r="AO239" s="161">
        <f t="shared" si="28"/>
        <v>12.050461556251197</v>
      </c>
      <c r="AP239" s="161">
        <f t="shared" si="28"/>
        <v>11.822175563481604</v>
      </c>
      <c r="AQ239" s="161">
        <f t="shared" si="28"/>
        <v>11.59388957071201</v>
      </c>
    </row>
    <row r="240" spans="7:69" ht="14.25" customHeight="1" thickTop="1" x14ac:dyDescent="0.2">
      <c r="G240" s="22"/>
      <c r="H240" s="254"/>
      <c r="J240" s="241"/>
      <c r="K240" s="140" t="s">
        <v>145</v>
      </c>
      <c r="L240" s="159">
        <f t="shared" si="28"/>
        <v>19.268385484388549</v>
      </c>
      <c r="M240" s="159">
        <f t="shared" si="28"/>
        <v>18.55</v>
      </c>
      <c r="N240" s="159">
        <f t="shared" si="28"/>
        <v>17.680999530888872</v>
      </c>
      <c r="O240" s="159">
        <f t="shared" si="28"/>
        <v>16.811999061777747</v>
      </c>
      <c r="P240" s="159">
        <f t="shared" si="28"/>
        <v>15.942998592666623</v>
      </c>
      <c r="Q240" s="159">
        <f t="shared" si="28"/>
        <v>15.073998123555498</v>
      </c>
      <c r="R240" s="159">
        <f t="shared" si="28"/>
        <v>14.204997654444373</v>
      </c>
      <c r="S240" s="159">
        <f t="shared" si="28"/>
        <v>13.335997185333252</v>
      </c>
      <c r="T240" s="159">
        <f t="shared" si="28"/>
        <v>12.466996716222123</v>
      </c>
      <c r="U240" s="159">
        <f t="shared" si="28"/>
        <v>11.597996247110999</v>
      </c>
      <c r="V240" s="159">
        <f t="shared" si="28"/>
        <v>10.728995777999872</v>
      </c>
      <c r="W240" s="159">
        <f t="shared" si="28"/>
        <v>9.8599953088887418</v>
      </c>
      <c r="X240" s="159">
        <f t="shared" si="28"/>
        <v>9.7861435157172245</v>
      </c>
      <c r="Y240" s="159">
        <f t="shared" si="28"/>
        <v>9.7122917225457073</v>
      </c>
      <c r="Z240" s="159">
        <f t="shared" si="28"/>
        <v>9.63843992937419</v>
      </c>
      <c r="AA240" s="159">
        <f t="shared" si="28"/>
        <v>9.5645881362026728</v>
      </c>
      <c r="AB240" s="159">
        <f t="shared" si="28"/>
        <v>9.4907363430311555</v>
      </c>
      <c r="AC240" s="159">
        <f t="shared" si="28"/>
        <v>9.4168845498596347</v>
      </c>
      <c r="AD240" s="159">
        <f t="shared" si="28"/>
        <v>9.3430327566881175</v>
      </c>
      <c r="AE240" s="159">
        <f t="shared" si="28"/>
        <v>9.2691809635166003</v>
      </c>
      <c r="AF240" s="159">
        <f t="shared" si="28"/>
        <v>9.195329170345083</v>
      </c>
      <c r="AG240" s="159">
        <f t="shared" si="28"/>
        <v>9.1214773771735658</v>
      </c>
      <c r="AH240" s="159">
        <f t="shared" si="28"/>
        <v>9.0476255840020485</v>
      </c>
      <c r="AI240" s="159">
        <f t="shared" si="28"/>
        <v>8.9737737908305313</v>
      </c>
      <c r="AJ240" s="159">
        <f t="shared" si="28"/>
        <v>8.8999219976590123</v>
      </c>
      <c r="AK240" s="159">
        <f t="shared" si="28"/>
        <v>8.826070204487495</v>
      </c>
      <c r="AL240" s="159">
        <f t="shared" si="28"/>
        <v>8.752218411315976</v>
      </c>
      <c r="AM240" s="159">
        <f t="shared" si="28"/>
        <v>8.6783666181444588</v>
      </c>
      <c r="AN240" s="159">
        <f t="shared" si="28"/>
        <v>8.6045148249729415</v>
      </c>
      <c r="AO240" s="159">
        <f t="shared" si="28"/>
        <v>8.5306630318014243</v>
      </c>
      <c r="AP240" s="159">
        <f t="shared" si="28"/>
        <v>8.456811238629907</v>
      </c>
      <c r="AQ240" s="159">
        <f t="shared" si="28"/>
        <v>8.3829594454583862</v>
      </c>
      <c r="AV240"/>
      <c r="AW240"/>
      <c r="AX240"/>
      <c r="AY240"/>
      <c r="BB240"/>
      <c r="BC240"/>
      <c r="BD240"/>
      <c r="BE240"/>
      <c r="BF240"/>
      <c r="BJ240"/>
      <c r="BK240"/>
      <c r="BL240"/>
      <c r="BM240"/>
      <c r="BN240"/>
      <c r="BO240"/>
      <c r="BP240"/>
      <c r="BQ240"/>
    </row>
    <row r="241" spans="7:69" ht="14.25" customHeight="1" x14ac:dyDescent="0.2">
      <c r="G241" s="22"/>
      <c r="H241" s="254"/>
      <c r="J241" s="241"/>
      <c r="K241" s="19" t="s">
        <v>146</v>
      </c>
      <c r="L241" s="160">
        <f t="shared" si="28"/>
        <v>19.268385484388549</v>
      </c>
      <c r="M241" s="160">
        <f t="shared" si="28"/>
        <v>18.55</v>
      </c>
      <c r="N241" s="160">
        <f t="shared" si="28"/>
        <v>17.854388957071201</v>
      </c>
      <c r="O241" s="160">
        <f t="shared" si="28"/>
        <v>17.158777914142401</v>
      </c>
      <c r="P241" s="160">
        <f t="shared" si="28"/>
        <v>16.463166871213602</v>
      </c>
      <c r="Q241" s="160">
        <f t="shared" si="28"/>
        <v>15.767555828284802</v>
      </c>
      <c r="R241" s="160">
        <f t="shared" si="28"/>
        <v>15.071944785356006</v>
      </c>
      <c r="S241" s="160">
        <f t="shared" si="28"/>
        <v>14.376333742427207</v>
      </c>
      <c r="T241" s="160">
        <f t="shared" si="28"/>
        <v>13.680722699498407</v>
      </c>
      <c r="U241" s="160">
        <f t="shared" si="28"/>
        <v>12.985111656569607</v>
      </c>
      <c r="V241" s="160">
        <f t="shared" si="28"/>
        <v>12.289500613640811</v>
      </c>
      <c r="W241" s="160">
        <f t="shared" si="28"/>
        <v>11.59388957071201</v>
      </c>
      <c r="X241" s="160">
        <f t="shared" si="28"/>
        <v>11.507194857620847</v>
      </c>
      <c r="Y241" s="160">
        <f t="shared" si="28"/>
        <v>11.420500144529683</v>
      </c>
      <c r="Z241" s="160">
        <f t="shared" si="28"/>
        <v>11.33380543143852</v>
      </c>
      <c r="AA241" s="160">
        <f t="shared" si="28"/>
        <v>11.247110718347358</v>
      </c>
      <c r="AB241" s="160">
        <f t="shared" si="28"/>
        <v>11.160416005256195</v>
      </c>
      <c r="AC241" s="160">
        <f t="shared" si="28"/>
        <v>11.073721292165033</v>
      </c>
      <c r="AD241" s="160">
        <f t="shared" si="28"/>
        <v>10.98702657907387</v>
      </c>
      <c r="AE241" s="160">
        <f t="shared" si="28"/>
        <v>10.900331865982707</v>
      </c>
      <c r="AF241" s="160">
        <f t="shared" si="28"/>
        <v>10.813637152891543</v>
      </c>
      <c r="AG241" s="160">
        <f t="shared" si="28"/>
        <v>10.72694243980038</v>
      </c>
      <c r="AH241" s="160">
        <f t="shared" si="28"/>
        <v>10.640247726709216</v>
      </c>
      <c r="AI241" s="160">
        <f t="shared" si="28"/>
        <v>10.553553013618053</v>
      </c>
      <c r="AJ241" s="160">
        <f t="shared" si="28"/>
        <v>10.466858300526891</v>
      </c>
      <c r="AK241" s="160">
        <f t="shared" si="28"/>
        <v>10.380163587435728</v>
      </c>
      <c r="AL241" s="160">
        <f t="shared" si="28"/>
        <v>10.293468874344565</v>
      </c>
      <c r="AM241" s="160">
        <f t="shared" si="28"/>
        <v>10.206774161253403</v>
      </c>
      <c r="AN241" s="160">
        <f t="shared" si="28"/>
        <v>10.12007944816224</v>
      </c>
      <c r="AO241" s="160">
        <f t="shared" si="28"/>
        <v>10.033384735071076</v>
      </c>
      <c r="AP241" s="160">
        <f t="shared" si="28"/>
        <v>9.9466900219799133</v>
      </c>
      <c r="AQ241" s="160">
        <f t="shared" si="28"/>
        <v>9.8599953088887418</v>
      </c>
      <c r="AZ241"/>
      <c r="BA241"/>
    </row>
    <row r="242" spans="7:69" ht="14.25" customHeight="1" thickBot="1" x14ac:dyDescent="0.2">
      <c r="G242" s="22"/>
      <c r="H242" s="254"/>
      <c r="J242" s="241"/>
      <c r="K242" s="144" t="s">
        <v>147</v>
      </c>
      <c r="L242" s="161">
        <f t="shared" si="28"/>
        <v>19.268385484388549</v>
      </c>
      <c r="M242" s="161">
        <f t="shared" si="28"/>
        <v>18.55</v>
      </c>
      <c r="N242" s="161">
        <f t="shared" si="28"/>
        <v>18.310960942610386</v>
      </c>
      <c r="O242" s="161">
        <f t="shared" si="28"/>
        <v>18.071921885220771</v>
      </c>
      <c r="P242" s="161">
        <f t="shared" si="28"/>
        <v>17.832882827831156</v>
      </c>
      <c r="Q242" s="161">
        <f t="shared" si="28"/>
        <v>17.593843770441541</v>
      </c>
      <c r="R242" s="161">
        <f t="shared" si="28"/>
        <v>17.354804713051927</v>
      </c>
      <c r="S242" s="161">
        <f t="shared" si="28"/>
        <v>17.115765655662315</v>
      </c>
      <c r="T242" s="161">
        <f t="shared" si="28"/>
        <v>16.8767265982727</v>
      </c>
      <c r="U242" s="161">
        <f t="shared" si="28"/>
        <v>16.637687540883086</v>
      </c>
      <c r="V242" s="161">
        <f t="shared" si="28"/>
        <v>16.398648483493474</v>
      </c>
      <c r="W242" s="161">
        <f t="shared" si="28"/>
        <v>16.159609426103859</v>
      </c>
      <c r="X242" s="161">
        <f t="shared" si="28"/>
        <v>15.931323433334267</v>
      </c>
      <c r="Y242" s="161">
        <f t="shared" si="28"/>
        <v>15.703037440564678</v>
      </c>
      <c r="Z242" s="161">
        <f t="shared" si="28"/>
        <v>15.474751447795086</v>
      </c>
      <c r="AA242" s="161">
        <f t="shared" si="28"/>
        <v>15.24646545502549</v>
      </c>
      <c r="AB242" s="161">
        <f t="shared" si="28"/>
        <v>15.018179462255898</v>
      </c>
      <c r="AC242" s="161">
        <f t="shared" si="28"/>
        <v>14.789893469486305</v>
      </c>
      <c r="AD242" s="161">
        <f t="shared" si="28"/>
        <v>14.561607476716713</v>
      </c>
      <c r="AE242" s="161">
        <f t="shared" si="28"/>
        <v>14.333321483947124</v>
      </c>
      <c r="AF242" s="161">
        <f t="shared" si="28"/>
        <v>14.105035491177528</v>
      </c>
      <c r="AG242" s="161">
        <f t="shared" si="28"/>
        <v>13.876749498407936</v>
      </c>
      <c r="AH242" s="161">
        <f t="shared" si="28"/>
        <v>13.648463505638343</v>
      </c>
      <c r="AI242" s="161">
        <f t="shared" si="28"/>
        <v>13.420177512868751</v>
      </c>
      <c r="AJ242" s="161">
        <f t="shared" si="28"/>
        <v>13.191891520099158</v>
      </c>
      <c r="AK242" s="161">
        <f t="shared" si="28"/>
        <v>12.963605527329566</v>
      </c>
      <c r="AL242" s="161">
        <f t="shared" si="28"/>
        <v>12.735319534559974</v>
      </c>
      <c r="AM242" s="161">
        <f t="shared" si="28"/>
        <v>12.507033541790381</v>
      </c>
      <c r="AN242" s="161">
        <f t="shared" si="28"/>
        <v>12.278747549020789</v>
      </c>
      <c r="AO242" s="161">
        <f t="shared" si="28"/>
        <v>12.050461556251197</v>
      </c>
      <c r="AP242" s="161">
        <f t="shared" si="28"/>
        <v>11.822175563481604</v>
      </c>
      <c r="AQ242" s="161">
        <f t="shared" si="28"/>
        <v>11.59388957071201</v>
      </c>
    </row>
    <row r="243" spans="7:69" ht="14.25" customHeight="1" thickTop="1" x14ac:dyDescent="0.15">
      <c r="G243" s="22"/>
      <c r="H243" s="254"/>
      <c r="J243" s="241"/>
      <c r="K243" s="140" t="s">
        <v>148</v>
      </c>
      <c r="L243" s="159">
        <f t="shared" si="28"/>
        <v>19.268385484388549</v>
      </c>
      <c r="M243" s="159">
        <f t="shared" si="28"/>
        <v>18.55</v>
      </c>
      <c r="N243" s="159">
        <f t="shared" si="28"/>
        <v>17.680999530888872</v>
      </c>
      <c r="O243" s="159">
        <f t="shared" si="28"/>
        <v>16.811999061777747</v>
      </c>
      <c r="P243" s="159">
        <f t="shared" si="28"/>
        <v>15.942998592666623</v>
      </c>
      <c r="Q243" s="159">
        <f t="shared" si="28"/>
        <v>15.073998123555498</v>
      </c>
      <c r="R243" s="159">
        <f t="shared" si="28"/>
        <v>14.204997654444373</v>
      </c>
      <c r="S243" s="159">
        <f t="shared" si="28"/>
        <v>13.335997185333252</v>
      </c>
      <c r="T243" s="159">
        <f t="shared" si="28"/>
        <v>12.466996716222123</v>
      </c>
      <c r="U243" s="159">
        <f t="shared" si="28"/>
        <v>11.597996247110999</v>
      </c>
      <c r="V243" s="159">
        <f t="shared" si="28"/>
        <v>10.728995777999872</v>
      </c>
      <c r="W243" s="159">
        <f t="shared" si="28"/>
        <v>9.8599953088887418</v>
      </c>
      <c r="X243" s="159">
        <f t="shared" si="28"/>
        <v>9.7861435157172245</v>
      </c>
      <c r="Y243" s="159">
        <f t="shared" si="28"/>
        <v>9.7122917225457073</v>
      </c>
      <c r="Z243" s="159">
        <f t="shared" si="28"/>
        <v>9.63843992937419</v>
      </c>
      <c r="AA243" s="159">
        <f t="shared" si="28"/>
        <v>9.5645881362026728</v>
      </c>
      <c r="AB243" s="159">
        <f t="shared" si="28"/>
        <v>9.4907363430311555</v>
      </c>
      <c r="AC243" s="159">
        <f t="shared" si="28"/>
        <v>9.4168845498596347</v>
      </c>
      <c r="AD243" s="159">
        <f t="shared" si="28"/>
        <v>9.3430327566881175</v>
      </c>
      <c r="AE243" s="159">
        <f t="shared" si="28"/>
        <v>9.2691809635166003</v>
      </c>
      <c r="AF243" s="159">
        <f t="shared" si="28"/>
        <v>9.195329170345083</v>
      </c>
      <c r="AG243" s="159">
        <f t="shared" si="28"/>
        <v>9.1214773771735658</v>
      </c>
      <c r="AH243" s="159">
        <f t="shared" si="28"/>
        <v>9.0476255840020485</v>
      </c>
      <c r="AI243" s="159">
        <f t="shared" si="28"/>
        <v>8.9737737908305313</v>
      </c>
      <c r="AJ243" s="159">
        <f t="shared" si="28"/>
        <v>8.8999219976590123</v>
      </c>
      <c r="AK243" s="159">
        <f t="shared" si="28"/>
        <v>8.826070204487495</v>
      </c>
      <c r="AL243" s="159">
        <f t="shared" si="28"/>
        <v>8.752218411315976</v>
      </c>
      <c r="AM243" s="159">
        <f t="shared" si="28"/>
        <v>8.6783666181444588</v>
      </c>
      <c r="AN243" s="159">
        <f t="shared" si="28"/>
        <v>8.6045148249729415</v>
      </c>
      <c r="AO243" s="159">
        <f t="shared" si="28"/>
        <v>8.5306630318014243</v>
      </c>
      <c r="AP243" s="159">
        <f t="shared" si="28"/>
        <v>8.456811238629907</v>
      </c>
      <c r="AQ243" s="159">
        <f t="shared" si="28"/>
        <v>8.3829594454583862</v>
      </c>
    </row>
    <row r="244" spans="7:69" ht="14.25" customHeight="1" x14ac:dyDescent="0.15">
      <c r="G244" s="22"/>
      <c r="H244" s="254"/>
      <c r="J244" s="241"/>
      <c r="K244" s="19" t="s">
        <v>149</v>
      </c>
      <c r="L244" s="160">
        <f t="shared" si="28"/>
        <v>19.268385484388549</v>
      </c>
      <c r="M244" s="160">
        <f t="shared" si="28"/>
        <v>18.55</v>
      </c>
      <c r="N244" s="160">
        <f t="shared" si="28"/>
        <v>17.854388957071201</v>
      </c>
      <c r="O244" s="160">
        <f t="shared" si="28"/>
        <v>17.158777914142401</v>
      </c>
      <c r="P244" s="160">
        <f t="shared" si="28"/>
        <v>16.463166871213602</v>
      </c>
      <c r="Q244" s="160">
        <f t="shared" si="28"/>
        <v>15.767555828284802</v>
      </c>
      <c r="R244" s="160">
        <f t="shared" si="28"/>
        <v>15.071944785356006</v>
      </c>
      <c r="S244" s="160">
        <f t="shared" si="28"/>
        <v>14.376333742427207</v>
      </c>
      <c r="T244" s="160">
        <f t="shared" si="28"/>
        <v>13.680722699498407</v>
      </c>
      <c r="U244" s="160">
        <f t="shared" si="28"/>
        <v>12.985111656569607</v>
      </c>
      <c r="V244" s="160">
        <f t="shared" si="28"/>
        <v>12.289500613640811</v>
      </c>
      <c r="W244" s="160">
        <f t="shared" si="28"/>
        <v>11.59388957071201</v>
      </c>
      <c r="X244" s="160">
        <f t="shared" si="28"/>
        <v>11.507194857620847</v>
      </c>
      <c r="Y244" s="160">
        <f t="shared" si="28"/>
        <v>11.420500144529683</v>
      </c>
      <c r="Z244" s="160">
        <f t="shared" si="28"/>
        <v>11.33380543143852</v>
      </c>
      <c r="AA244" s="160">
        <f t="shared" si="28"/>
        <v>11.247110718347358</v>
      </c>
      <c r="AB244" s="160">
        <f t="shared" si="28"/>
        <v>11.160416005256195</v>
      </c>
      <c r="AC244" s="160">
        <f t="shared" si="28"/>
        <v>11.073721292165033</v>
      </c>
      <c r="AD244" s="160">
        <f t="shared" si="28"/>
        <v>10.98702657907387</v>
      </c>
      <c r="AE244" s="160">
        <f t="shared" si="28"/>
        <v>10.900331865982707</v>
      </c>
      <c r="AF244" s="160">
        <f t="shared" si="28"/>
        <v>10.813637152891543</v>
      </c>
      <c r="AG244" s="160">
        <f t="shared" si="28"/>
        <v>10.72694243980038</v>
      </c>
      <c r="AH244" s="160">
        <f t="shared" si="28"/>
        <v>10.640247726709216</v>
      </c>
      <c r="AI244" s="160">
        <f t="shared" si="28"/>
        <v>10.553553013618053</v>
      </c>
      <c r="AJ244" s="160">
        <f t="shared" si="28"/>
        <v>10.466858300526891</v>
      </c>
      <c r="AK244" s="160">
        <f t="shared" si="28"/>
        <v>10.380163587435728</v>
      </c>
      <c r="AL244" s="160">
        <f t="shared" si="28"/>
        <v>10.293468874344565</v>
      </c>
      <c r="AM244" s="160">
        <f t="shared" si="28"/>
        <v>10.206774161253403</v>
      </c>
      <c r="AN244" s="160">
        <f t="shared" si="28"/>
        <v>10.12007944816224</v>
      </c>
      <c r="AO244" s="160">
        <f t="shared" si="28"/>
        <v>10.033384735071076</v>
      </c>
      <c r="AP244" s="160">
        <f t="shared" si="28"/>
        <v>9.9466900219799133</v>
      </c>
      <c r="AQ244" s="160">
        <f t="shared" si="28"/>
        <v>9.8599953088887418</v>
      </c>
    </row>
    <row r="245" spans="7:69" ht="14.25" customHeight="1" thickBot="1" x14ac:dyDescent="0.2">
      <c r="G245" s="22"/>
      <c r="H245" s="254"/>
      <c r="J245" s="241"/>
      <c r="K245" s="144" t="s">
        <v>150</v>
      </c>
      <c r="L245" s="161">
        <f t="shared" si="28"/>
        <v>19.268385484388549</v>
      </c>
      <c r="M245" s="161">
        <f t="shared" si="28"/>
        <v>18.55</v>
      </c>
      <c r="N245" s="161">
        <f t="shared" si="28"/>
        <v>18.310960942610386</v>
      </c>
      <c r="O245" s="161">
        <f t="shared" si="28"/>
        <v>18.071921885220771</v>
      </c>
      <c r="P245" s="161">
        <f t="shared" si="28"/>
        <v>17.832882827831156</v>
      </c>
      <c r="Q245" s="161">
        <f t="shared" si="28"/>
        <v>17.593843770441541</v>
      </c>
      <c r="R245" s="161">
        <f t="shared" si="28"/>
        <v>17.354804713051927</v>
      </c>
      <c r="S245" s="161">
        <f t="shared" si="28"/>
        <v>17.115765655662315</v>
      </c>
      <c r="T245" s="161">
        <f t="shared" si="28"/>
        <v>16.8767265982727</v>
      </c>
      <c r="U245" s="161">
        <f t="shared" si="28"/>
        <v>16.637687540883086</v>
      </c>
      <c r="V245" s="161">
        <f t="shared" si="28"/>
        <v>16.398648483493474</v>
      </c>
      <c r="W245" s="161">
        <f t="shared" si="28"/>
        <v>16.159609426103859</v>
      </c>
      <c r="X245" s="161">
        <f t="shared" si="28"/>
        <v>15.931323433334267</v>
      </c>
      <c r="Y245" s="161">
        <f t="shared" si="28"/>
        <v>15.703037440564678</v>
      </c>
      <c r="Z245" s="161">
        <f t="shared" si="28"/>
        <v>15.474751447795086</v>
      </c>
      <c r="AA245" s="161">
        <f t="shared" si="28"/>
        <v>15.24646545502549</v>
      </c>
      <c r="AB245" s="161">
        <f t="shared" si="28"/>
        <v>15.018179462255898</v>
      </c>
      <c r="AC245" s="161">
        <f t="shared" si="28"/>
        <v>14.789893469486305</v>
      </c>
      <c r="AD245" s="161">
        <f t="shared" si="28"/>
        <v>14.561607476716713</v>
      </c>
      <c r="AE245" s="161">
        <f t="shared" si="28"/>
        <v>14.333321483947124</v>
      </c>
      <c r="AF245" s="161">
        <f t="shared" si="28"/>
        <v>14.105035491177528</v>
      </c>
      <c r="AG245" s="161">
        <f t="shared" si="28"/>
        <v>13.876749498407936</v>
      </c>
      <c r="AH245" s="161">
        <f t="shared" si="28"/>
        <v>13.648463505638343</v>
      </c>
      <c r="AI245" s="161">
        <f t="shared" si="28"/>
        <v>13.420177512868751</v>
      </c>
      <c r="AJ245" s="161">
        <f t="shared" si="28"/>
        <v>13.191891520099158</v>
      </c>
      <c r="AK245" s="161">
        <f t="shared" si="28"/>
        <v>12.963605527329566</v>
      </c>
      <c r="AL245" s="161">
        <f t="shared" si="28"/>
        <v>12.735319534559974</v>
      </c>
      <c r="AM245" s="161">
        <f t="shared" si="28"/>
        <v>12.507033541790381</v>
      </c>
      <c r="AN245" s="161">
        <f t="shared" si="28"/>
        <v>12.278747549020789</v>
      </c>
      <c r="AO245" s="161">
        <f t="shared" si="28"/>
        <v>12.050461556251197</v>
      </c>
      <c r="AP245" s="161">
        <f t="shared" si="28"/>
        <v>11.822175563481604</v>
      </c>
      <c r="AQ245" s="161">
        <f t="shared" si="28"/>
        <v>11.59388957071201</v>
      </c>
    </row>
    <row r="246" spans="7:69" ht="14.25" customHeight="1" thickTop="1" x14ac:dyDescent="0.2">
      <c r="G246" s="22"/>
      <c r="H246" s="254"/>
      <c r="J246" s="241"/>
      <c r="K246" s="140" t="s">
        <v>151</v>
      </c>
      <c r="L246" s="159">
        <f t="shared" si="28"/>
        <v>19.268385484388549</v>
      </c>
      <c r="M246" s="159">
        <f t="shared" si="28"/>
        <v>18.55</v>
      </c>
      <c r="N246" s="159">
        <f t="shared" si="28"/>
        <v>17.680999530888872</v>
      </c>
      <c r="O246" s="159">
        <f t="shared" si="28"/>
        <v>16.811999061777747</v>
      </c>
      <c r="P246" s="159">
        <f t="shared" si="28"/>
        <v>15.942998592666623</v>
      </c>
      <c r="Q246" s="159">
        <f t="shared" si="28"/>
        <v>15.073998123555498</v>
      </c>
      <c r="R246" s="159">
        <f t="shared" si="28"/>
        <v>14.204997654444373</v>
      </c>
      <c r="S246" s="159">
        <f t="shared" si="28"/>
        <v>13.335997185333252</v>
      </c>
      <c r="T246" s="159">
        <f t="shared" si="28"/>
        <v>12.466996716222123</v>
      </c>
      <c r="U246" s="159">
        <f t="shared" si="28"/>
        <v>11.597996247110999</v>
      </c>
      <c r="V246" s="159">
        <f t="shared" si="28"/>
        <v>10.728995777999872</v>
      </c>
      <c r="W246" s="159">
        <f t="shared" si="28"/>
        <v>9.8599953088887418</v>
      </c>
      <c r="X246" s="159">
        <f t="shared" si="28"/>
        <v>9.7861435157172245</v>
      </c>
      <c r="Y246" s="159">
        <f t="shared" si="28"/>
        <v>9.7122917225457073</v>
      </c>
      <c r="Z246" s="159">
        <f t="shared" si="28"/>
        <v>9.63843992937419</v>
      </c>
      <c r="AA246" s="159">
        <f t="shared" si="28"/>
        <v>9.5645881362026728</v>
      </c>
      <c r="AB246" s="159">
        <f t="shared" si="28"/>
        <v>9.4907363430311555</v>
      </c>
      <c r="AC246" s="159">
        <f t="shared" si="28"/>
        <v>9.4168845498596347</v>
      </c>
      <c r="AD246" s="159">
        <f t="shared" si="28"/>
        <v>9.3430327566881175</v>
      </c>
      <c r="AE246" s="159">
        <f t="shared" si="28"/>
        <v>9.2691809635166003</v>
      </c>
      <c r="AF246" s="159">
        <f t="shared" si="28"/>
        <v>9.195329170345083</v>
      </c>
      <c r="AG246" s="159">
        <f t="shared" si="28"/>
        <v>9.1214773771735658</v>
      </c>
      <c r="AH246" s="159">
        <f t="shared" si="28"/>
        <v>9.0476255840020485</v>
      </c>
      <c r="AI246" s="159">
        <f t="shared" si="28"/>
        <v>8.9737737908305313</v>
      </c>
      <c r="AJ246" s="159">
        <f t="shared" si="28"/>
        <v>8.8999219976590123</v>
      </c>
      <c r="AK246" s="159">
        <f t="shared" si="28"/>
        <v>8.826070204487495</v>
      </c>
      <c r="AL246" s="159">
        <f t="shared" si="28"/>
        <v>8.752218411315976</v>
      </c>
      <c r="AM246" s="159">
        <f t="shared" si="28"/>
        <v>8.6783666181444588</v>
      </c>
      <c r="AN246" s="159">
        <f t="shared" si="28"/>
        <v>8.6045148249729415</v>
      </c>
      <c r="AO246" s="159">
        <f t="shared" si="28"/>
        <v>8.5306630318014243</v>
      </c>
      <c r="AP246" s="159">
        <f t="shared" si="28"/>
        <v>8.456811238629907</v>
      </c>
      <c r="AQ246" s="159">
        <f t="shared" ref="AQ246" si="29">AQ243</f>
        <v>8.3829594454583862</v>
      </c>
      <c r="AR246"/>
      <c r="AS246"/>
    </row>
    <row r="247" spans="7:69" ht="14.25" customHeight="1" x14ac:dyDescent="0.15">
      <c r="G247" s="22"/>
      <c r="H247" s="254"/>
      <c r="J247" s="241"/>
      <c r="K247" s="19" t="s">
        <v>152</v>
      </c>
      <c r="L247" s="160">
        <f t="shared" ref="L247:AQ254" si="30">L244</f>
        <v>19.268385484388549</v>
      </c>
      <c r="M247" s="160">
        <f t="shared" si="30"/>
        <v>18.55</v>
      </c>
      <c r="N247" s="160">
        <f t="shared" si="30"/>
        <v>17.854388957071201</v>
      </c>
      <c r="O247" s="160">
        <f t="shared" si="30"/>
        <v>17.158777914142401</v>
      </c>
      <c r="P247" s="160">
        <f t="shared" si="30"/>
        <v>16.463166871213602</v>
      </c>
      <c r="Q247" s="160">
        <f t="shared" si="30"/>
        <v>15.767555828284802</v>
      </c>
      <c r="R247" s="160">
        <f t="shared" si="30"/>
        <v>15.071944785356006</v>
      </c>
      <c r="S247" s="160">
        <f t="shared" si="30"/>
        <v>14.376333742427207</v>
      </c>
      <c r="T247" s="160">
        <f t="shared" si="30"/>
        <v>13.680722699498407</v>
      </c>
      <c r="U247" s="160">
        <f t="shared" si="30"/>
        <v>12.985111656569607</v>
      </c>
      <c r="V247" s="160">
        <f t="shared" si="30"/>
        <v>12.289500613640811</v>
      </c>
      <c r="W247" s="160">
        <f t="shared" si="30"/>
        <v>11.59388957071201</v>
      </c>
      <c r="X247" s="160">
        <f t="shared" si="30"/>
        <v>11.507194857620847</v>
      </c>
      <c r="Y247" s="160">
        <f t="shared" si="30"/>
        <v>11.420500144529683</v>
      </c>
      <c r="Z247" s="160">
        <f t="shared" si="30"/>
        <v>11.33380543143852</v>
      </c>
      <c r="AA247" s="160">
        <f t="shared" si="30"/>
        <v>11.247110718347358</v>
      </c>
      <c r="AB247" s="160">
        <f t="shared" si="30"/>
        <v>11.160416005256195</v>
      </c>
      <c r="AC247" s="160">
        <f t="shared" si="30"/>
        <v>11.073721292165033</v>
      </c>
      <c r="AD247" s="160">
        <f t="shared" si="30"/>
        <v>10.98702657907387</v>
      </c>
      <c r="AE247" s="160">
        <f t="shared" si="30"/>
        <v>10.900331865982707</v>
      </c>
      <c r="AF247" s="160">
        <f t="shared" si="30"/>
        <v>10.813637152891543</v>
      </c>
      <c r="AG247" s="160">
        <f t="shared" si="30"/>
        <v>10.72694243980038</v>
      </c>
      <c r="AH247" s="160">
        <f t="shared" si="30"/>
        <v>10.640247726709216</v>
      </c>
      <c r="AI247" s="160">
        <f t="shared" si="30"/>
        <v>10.553553013618053</v>
      </c>
      <c r="AJ247" s="160">
        <f t="shared" si="30"/>
        <v>10.466858300526891</v>
      </c>
      <c r="AK247" s="160">
        <f t="shared" si="30"/>
        <v>10.380163587435728</v>
      </c>
      <c r="AL247" s="160">
        <f t="shared" si="30"/>
        <v>10.293468874344565</v>
      </c>
      <c r="AM247" s="160">
        <f t="shared" si="30"/>
        <v>10.206774161253403</v>
      </c>
      <c r="AN247" s="160">
        <f t="shared" si="30"/>
        <v>10.12007944816224</v>
      </c>
      <c r="AO247" s="160">
        <f t="shared" si="30"/>
        <v>10.033384735071076</v>
      </c>
      <c r="AP247" s="160">
        <f t="shared" si="30"/>
        <v>9.9466900219799133</v>
      </c>
      <c r="AQ247" s="160">
        <f t="shared" si="30"/>
        <v>9.8599953088887418</v>
      </c>
    </row>
    <row r="248" spans="7:69" ht="14.25" customHeight="1" thickBot="1" x14ac:dyDescent="0.25">
      <c r="G248" s="22"/>
      <c r="H248" s="254"/>
      <c r="J248" s="241"/>
      <c r="K248" s="144" t="s">
        <v>153</v>
      </c>
      <c r="L248" s="161">
        <f t="shared" si="30"/>
        <v>19.268385484388549</v>
      </c>
      <c r="M248" s="161">
        <f t="shared" si="30"/>
        <v>18.55</v>
      </c>
      <c r="N248" s="161">
        <f t="shared" si="30"/>
        <v>18.310960942610386</v>
      </c>
      <c r="O248" s="161">
        <f t="shared" si="30"/>
        <v>18.071921885220771</v>
      </c>
      <c r="P248" s="161">
        <f t="shared" si="30"/>
        <v>17.832882827831156</v>
      </c>
      <c r="Q248" s="161">
        <f t="shared" si="30"/>
        <v>17.593843770441541</v>
      </c>
      <c r="R248" s="161">
        <f t="shared" si="30"/>
        <v>17.354804713051927</v>
      </c>
      <c r="S248" s="161">
        <f t="shared" si="30"/>
        <v>17.115765655662315</v>
      </c>
      <c r="T248" s="161">
        <f t="shared" si="30"/>
        <v>16.8767265982727</v>
      </c>
      <c r="U248" s="161">
        <f t="shared" si="30"/>
        <v>16.637687540883086</v>
      </c>
      <c r="V248" s="161">
        <f t="shared" si="30"/>
        <v>16.398648483493474</v>
      </c>
      <c r="W248" s="161">
        <f t="shared" si="30"/>
        <v>16.159609426103859</v>
      </c>
      <c r="X248" s="161">
        <f t="shared" si="30"/>
        <v>15.931323433334267</v>
      </c>
      <c r="Y248" s="161">
        <f t="shared" si="30"/>
        <v>15.703037440564678</v>
      </c>
      <c r="Z248" s="161">
        <f t="shared" si="30"/>
        <v>15.474751447795086</v>
      </c>
      <c r="AA248" s="161">
        <f t="shared" si="30"/>
        <v>15.24646545502549</v>
      </c>
      <c r="AB248" s="161">
        <f t="shared" si="30"/>
        <v>15.018179462255898</v>
      </c>
      <c r="AC248" s="161">
        <f t="shared" si="30"/>
        <v>14.789893469486305</v>
      </c>
      <c r="AD248" s="161">
        <f t="shared" si="30"/>
        <v>14.561607476716713</v>
      </c>
      <c r="AE248" s="161">
        <f t="shared" si="30"/>
        <v>14.333321483947124</v>
      </c>
      <c r="AF248" s="161">
        <f t="shared" si="30"/>
        <v>14.105035491177528</v>
      </c>
      <c r="AG248" s="161">
        <f t="shared" si="30"/>
        <v>13.876749498407936</v>
      </c>
      <c r="AH248" s="161">
        <f t="shared" si="30"/>
        <v>13.648463505638343</v>
      </c>
      <c r="AI248" s="161">
        <f t="shared" si="30"/>
        <v>13.420177512868751</v>
      </c>
      <c r="AJ248" s="161">
        <f t="shared" si="30"/>
        <v>13.191891520099158</v>
      </c>
      <c r="AK248" s="161">
        <f t="shared" si="30"/>
        <v>12.963605527329566</v>
      </c>
      <c r="AL248" s="161">
        <f t="shared" si="30"/>
        <v>12.735319534559974</v>
      </c>
      <c r="AM248" s="161">
        <f t="shared" si="30"/>
        <v>12.507033541790381</v>
      </c>
      <c r="AN248" s="161">
        <f t="shared" si="30"/>
        <v>12.278747549020789</v>
      </c>
      <c r="AO248" s="161">
        <f t="shared" si="30"/>
        <v>12.050461556251197</v>
      </c>
      <c r="AP248" s="161">
        <f t="shared" si="30"/>
        <v>11.822175563481604</v>
      </c>
      <c r="AQ248" s="161">
        <f t="shared" si="30"/>
        <v>11.59388957071201</v>
      </c>
      <c r="BG248"/>
      <c r="BH248"/>
      <c r="BI248"/>
    </row>
    <row r="249" spans="7:69" ht="14.25" customHeight="1" thickTop="1" x14ac:dyDescent="0.2">
      <c r="G249" s="22"/>
      <c r="H249" s="254"/>
      <c r="J249" s="241"/>
      <c r="K249" s="140" t="s">
        <v>154</v>
      </c>
      <c r="L249" s="159">
        <f t="shared" si="30"/>
        <v>19.268385484388549</v>
      </c>
      <c r="M249" s="159">
        <f t="shared" si="30"/>
        <v>18.55</v>
      </c>
      <c r="N249" s="159">
        <f t="shared" si="30"/>
        <v>17.680999530888872</v>
      </c>
      <c r="O249" s="159">
        <f t="shared" si="30"/>
        <v>16.811999061777747</v>
      </c>
      <c r="P249" s="159">
        <f t="shared" si="30"/>
        <v>15.942998592666623</v>
      </c>
      <c r="Q249" s="159">
        <f t="shared" si="30"/>
        <v>15.073998123555498</v>
      </c>
      <c r="R249" s="159">
        <f t="shared" si="30"/>
        <v>14.204997654444373</v>
      </c>
      <c r="S249" s="159">
        <f t="shared" si="30"/>
        <v>13.335997185333252</v>
      </c>
      <c r="T249" s="159">
        <f t="shared" si="30"/>
        <v>12.466996716222123</v>
      </c>
      <c r="U249" s="159">
        <f t="shared" si="30"/>
        <v>11.597996247110999</v>
      </c>
      <c r="V249" s="159">
        <f t="shared" si="30"/>
        <v>10.728995777999872</v>
      </c>
      <c r="W249" s="159">
        <f t="shared" si="30"/>
        <v>9.8599953088887418</v>
      </c>
      <c r="X249" s="159">
        <f t="shared" si="30"/>
        <v>9.7861435157172245</v>
      </c>
      <c r="Y249" s="159">
        <f t="shared" si="30"/>
        <v>9.7122917225457073</v>
      </c>
      <c r="Z249" s="159">
        <f t="shared" si="30"/>
        <v>9.63843992937419</v>
      </c>
      <c r="AA249" s="159">
        <f t="shared" si="30"/>
        <v>9.5645881362026728</v>
      </c>
      <c r="AB249" s="159">
        <f t="shared" si="30"/>
        <v>9.4907363430311555</v>
      </c>
      <c r="AC249" s="159">
        <f t="shared" si="30"/>
        <v>9.4168845498596347</v>
      </c>
      <c r="AD249" s="159">
        <f t="shared" si="30"/>
        <v>9.3430327566881175</v>
      </c>
      <c r="AE249" s="159">
        <f t="shared" si="30"/>
        <v>9.2691809635166003</v>
      </c>
      <c r="AF249" s="159">
        <f t="shared" si="30"/>
        <v>9.195329170345083</v>
      </c>
      <c r="AG249" s="159">
        <f t="shared" si="30"/>
        <v>9.1214773771735658</v>
      </c>
      <c r="AH249" s="159">
        <f t="shared" si="30"/>
        <v>9.0476255840020485</v>
      </c>
      <c r="AI249" s="159">
        <f t="shared" si="30"/>
        <v>8.9737737908305313</v>
      </c>
      <c r="AJ249" s="159">
        <f t="shared" si="30"/>
        <v>8.8999219976590123</v>
      </c>
      <c r="AK249" s="159">
        <f t="shared" si="30"/>
        <v>8.826070204487495</v>
      </c>
      <c r="AL249" s="159">
        <f t="shared" si="30"/>
        <v>8.752218411315976</v>
      </c>
      <c r="AM249" s="159">
        <f t="shared" si="30"/>
        <v>8.6783666181444588</v>
      </c>
      <c r="AN249" s="159">
        <f t="shared" si="30"/>
        <v>8.6045148249729415</v>
      </c>
      <c r="AO249" s="159">
        <f t="shared" si="30"/>
        <v>8.5306630318014243</v>
      </c>
      <c r="AP249" s="159">
        <f t="shared" si="30"/>
        <v>8.456811238629907</v>
      </c>
      <c r="AQ249" s="159">
        <f t="shared" si="30"/>
        <v>8.3829594454583862</v>
      </c>
      <c r="AV249"/>
      <c r="AW249"/>
      <c r="AX249"/>
      <c r="AY249"/>
      <c r="BB249"/>
      <c r="BC249"/>
      <c r="BD249"/>
      <c r="BE249"/>
      <c r="BF249"/>
      <c r="BJ249"/>
      <c r="BK249"/>
      <c r="BL249"/>
      <c r="BM249"/>
      <c r="BN249"/>
      <c r="BO249"/>
      <c r="BP249"/>
      <c r="BQ249"/>
    </row>
    <row r="250" spans="7:69" ht="14.25" customHeight="1" x14ac:dyDescent="0.2">
      <c r="G250" s="22"/>
      <c r="H250" s="254"/>
      <c r="J250" s="241"/>
      <c r="K250" s="19" t="s">
        <v>155</v>
      </c>
      <c r="L250" s="160">
        <f t="shared" si="30"/>
        <v>19.268385484388549</v>
      </c>
      <c r="M250" s="160">
        <f t="shared" si="30"/>
        <v>18.55</v>
      </c>
      <c r="N250" s="160">
        <f t="shared" si="30"/>
        <v>17.854388957071201</v>
      </c>
      <c r="O250" s="160">
        <f t="shared" si="30"/>
        <v>17.158777914142401</v>
      </c>
      <c r="P250" s="160">
        <f t="shared" si="30"/>
        <v>16.463166871213602</v>
      </c>
      <c r="Q250" s="160">
        <f t="shared" si="30"/>
        <v>15.767555828284802</v>
      </c>
      <c r="R250" s="160">
        <f t="shared" si="30"/>
        <v>15.071944785356006</v>
      </c>
      <c r="S250" s="160">
        <f t="shared" si="30"/>
        <v>14.376333742427207</v>
      </c>
      <c r="T250" s="160">
        <f t="shared" si="30"/>
        <v>13.680722699498407</v>
      </c>
      <c r="U250" s="160">
        <f t="shared" si="30"/>
        <v>12.985111656569607</v>
      </c>
      <c r="V250" s="160">
        <f t="shared" si="30"/>
        <v>12.289500613640811</v>
      </c>
      <c r="W250" s="160">
        <f t="shared" si="30"/>
        <v>11.59388957071201</v>
      </c>
      <c r="X250" s="160">
        <f t="shared" si="30"/>
        <v>11.507194857620847</v>
      </c>
      <c r="Y250" s="160">
        <f t="shared" si="30"/>
        <v>11.420500144529683</v>
      </c>
      <c r="Z250" s="160">
        <f t="shared" si="30"/>
        <v>11.33380543143852</v>
      </c>
      <c r="AA250" s="160">
        <f t="shared" si="30"/>
        <v>11.247110718347358</v>
      </c>
      <c r="AB250" s="160">
        <f t="shared" si="30"/>
        <v>11.160416005256195</v>
      </c>
      <c r="AC250" s="160">
        <f t="shared" si="30"/>
        <v>11.073721292165033</v>
      </c>
      <c r="AD250" s="160">
        <f t="shared" si="30"/>
        <v>10.98702657907387</v>
      </c>
      <c r="AE250" s="160">
        <f t="shared" si="30"/>
        <v>10.900331865982707</v>
      </c>
      <c r="AF250" s="160">
        <f t="shared" si="30"/>
        <v>10.813637152891543</v>
      </c>
      <c r="AG250" s="160">
        <f t="shared" si="30"/>
        <v>10.72694243980038</v>
      </c>
      <c r="AH250" s="160">
        <f t="shared" si="30"/>
        <v>10.640247726709216</v>
      </c>
      <c r="AI250" s="160">
        <f t="shared" si="30"/>
        <v>10.553553013618053</v>
      </c>
      <c r="AJ250" s="160">
        <f t="shared" si="30"/>
        <v>10.466858300526891</v>
      </c>
      <c r="AK250" s="160">
        <f t="shared" si="30"/>
        <v>10.380163587435728</v>
      </c>
      <c r="AL250" s="160">
        <f t="shared" si="30"/>
        <v>10.293468874344565</v>
      </c>
      <c r="AM250" s="160">
        <f t="shared" si="30"/>
        <v>10.206774161253403</v>
      </c>
      <c r="AN250" s="160">
        <f t="shared" si="30"/>
        <v>10.12007944816224</v>
      </c>
      <c r="AO250" s="160">
        <f t="shared" si="30"/>
        <v>10.033384735071076</v>
      </c>
      <c r="AP250" s="160">
        <f t="shared" si="30"/>
        <v>9.9466900219799133</v>
      </c>
      <c r="AQ250" s="160">
        <f t="shared" si="30"/>
        <v>9.8599953088887418</v>
      </c>
      <c r="AZ250"/>
      <c r="BA250"/>
    </row>
    <row r="251" spans="7:69" ht="14.25" customHeight="1" thickBot="1" x14ac:dyDescent="0.2">
      <c r="G251" s="22"/>
      <c r="H251" s="254"/>
      <c r="J251" s="241"/>
      <c r="K251" s="144" t="s">
        <v>156</v>
      </c>
      <c r="L251" s="161">
        <f t="shared" si="30"/>
        <v>19.268385484388549</v>
      </c>
      <c r="M251" s="161">
        <f t="shared" si="30"/>
        <v>18.55</v>
      </c>
      <c r="N251" s="161">
        <f t="shared" si="30"/>
        <v>18.310960942610386</v>
      </c>
      <c r="O251" s="161">
        <f t="shared" si="30"/>
        <v>18.071921885220771</v>
      </c>
      <c r="P251" s="161">
        <f t="shared" si="30"/>
        <v>17.832882827831156</v>
      </c>
      <c r="Q251" s="161">
        <f t="shared" si="30"/>
        <v>17.593843770441541</v>
      </c>
      <c r="R251" s="161">
        <f t="shared" si="30"/>
        <v>17.354804713051927</v>
      </c>
      <c r="S251" s="161">
        <f t="shared" si="30"/>
        <v>17.115765655662315</v>
      </c>
      <c r="T251" s="161">
        <f t="shared" si="30"/>
        <v>16.8767265982727</v>
      </c>
      <c r="U251" s="161">
        <f t="shared" si="30"/>
        <v>16.637687540883086</v>
      </c>
      <c r="V251" s="161">
        <f t="shared" si="30"/>
        <v>16.398648483493474</v>
      </c>
      <c r="W251" s="161">
        <f t="shared" si="30"/>
        <v>16.159609426103859</v>
      </c>
      <c r="X251" s="161">
        <f t="shared" si="30"/>
        <v>15.931323433334267</v>
      </c>
      <c r="Y251" s="161">
        <f t="shared" si="30"/>
        <v>15.703037440564678</v>
      </c>
      <c r="Z251" s="161">
        <f t="shared" si="30"/>
        <v>15.474751447795086</v>
      </c>
      <c r="AA251" s="161">
        <f t="shared" si="30"/>
        <v>15.24646545502549</v>
      </c>
      <c r="AB251" s="161">
        <f t="shared" si="30"/>
        <v>15.018179462255898</v>
      </c>
      <c r="AC251" s="161">
        <f t="shared" si="30"/>
        <v>14.789893469486305</v>
      </c>
      <c r="AD251" s="161">
        <f t="shared" si="30"/>
        <v>14.561607476716713</v>
      </c>
      <c r="AE251" s="161">
        <f t="shared" si="30"/>
        <v>14.333321483947124</v>
      </c>
      <c r="AF251" s="161">
        <f t="shared" si="30"/>
        <v>14.105035491177528</v>
      </c>
      <c r="AG251" s="161">
        <f t="shared" si="30"/>
        <v>13.876749498407936</v>
      </c>
      <c r="AH251" s="161">
        <f t="shared" si="30"/>
        <v>13.648463505638343</v>
      </c>
      <c r="AI251" s="161">
        <f t="shared" si="30"/>
        <v>13.420177512868751</v>
      </c>
      <c r="AJ251" s="161">
        <f t="shared" si="30"/>
        <v>13.191891520099158</v>
      </c>
      <c r="AK251" s="161">
        <f t="shared" si="30"/>
        <v>12.963605527329566</v>
      </c>
      <c r="AL251" s="161">
        <f t="shared" si="30"/>
        <v>12.735319534559974</v>
      </c>
      <c r="AM251" s="161">
        <f t="shared" si="30"/>
        <v>12.507033541790381</v>
      </c>
      <c r="AN251" s="161">
        <f t="shared" si="30"/>
        <v>12.278747549020789</v>
      </c>
      <c r="AO251" s="161">
        <f t="shared" si="30"/>
        <v>12.050461556251197</v>
      </c>
      <c r="AP251" s="161">
        <f t="shared" si="30"/>
        <v>11.822175563481604</v>
      </c>
      <c r="AQ251" s="161">
        <f t="shared" si="30"/>
        <v>11.59388957071201</v>
      </c>
    </row>
    <row r="252" spans="7:69" ht="14.25" customHeight="1" thickTop="1" x14ac:dyDescent="0.2">
      <c r="G252" s="22"/>
      <c r="H252" s="254"/>
      <c r="J252" s="241"/>
      <c r="K252" s="140" t="s">
        <v>157</v>
      </c>
      <c r="L252" s="159">
        <f t="shared" si="30"/>
        <v>19.268385484388549</v>
      </c>
      <c r="M252" s="159">
        <f t="shared" si="30"/>
        <v>18.55</v>
      </c>
      <c r="N252" s="159">
        <f t="shared" si="30"/>
        <v>17.680999530888872</v>
      </c>
      <c r="O252" s="159">
        <f t="shared" si="30"/>
        <v>16.811999061777747</v>
      </c>
      <c r="P252" s="159">
        <f t="shared" si="30"/>
        <v>15.942998592666623</v>
      </c>
      <c r="Q252" s="159">
        <f t="shared" si="30"/>
        <v>15.073998123555498</v>
      </c>
      <c r="R252" s="159">
        <f t="shared" si="30"/>
        <v>14.204997654444373</v>
      </c>
      <c r="S252" s="159">
        <f t="shared" si="30"/>
        <v>13.335997185333252</v>
      </c>
      <c r="T252" s="159">
        <f t="shared" si="30"/>
        <v>12.466996716222123</v>
      </c>
      <c r="U252" s="159">
        <f t="shared" si="30"/>
        <v>11.597996247110999</v>
      </c>
      <c r="V252" s="159">
        <f t="shared" si="30"/>
        <v>10.728995777999872</v>
      </c>
      <c r="W252" s="159">
        <f t="shared" si="30"/>
        <v>9.8599953088887418</v>
      </c>
      <c r="X252" s="159">
        <f t="shared" si="30"/>
        <v>9.7861435157172245</v>
      </c>
      <c r="Y252" s="159">
        <f t="shared" si="30"/>
        <v>9.7122917225457073</v>
      </c>
      <c r="Z252" s="159">
        <f t="shared" si="30"/>
        <v>9.63843992937419</v>
      </c>
      <c r="AA252" s="159">
        <f t="shared" si="30"/>
        <v>9.5645881362026728</v>
      </c>
      <c r="AB252" s="159">
        <f t="shared" si="30"/>
        <v>9.4907363430311555</v>
      </c>
      <c r="AC252" s="159">
        <f t="shared" si="30"/>
        <v>9.4168845498596347</v>
      </c>
      <c r="AD252" s="159">
        <f t="shared" si="30"/>
        <v>9.3430327566881175</v>
      </c>
      <c r="AE252" s="159">
        <f t="shared" si="30"/>
        <v>9.2691809635166003</v>
      </c>
      <c r="AF252" s="159">
        <f t="shared" si="30"/>
        <v>9.195329170345083</v>
      </c>
      <c r="AG252" s="159">
        <f t="shared" si="30"/>
        <v>9.1214773771735658</v>
      </c>
      <c r="AH252" s="159">
        <f t="shared" si="30"/>
        <v>9.0476255840020485</v>
      </c>
      <c r="AI252" s="159">
        <f t="shared" si="30"/>
        <v>8.9737737908305313</v>
      </c>
      <c r="AJ252" s="159">
        <f t="shared" si="30"/>
        <v>8.8999219976590123</v>
      </c>
      <c r="AK252" s="159">
        <f t="shared" si="30"/>
        <v>8.826070204487495</v>
      </c>
      <c r="AL252" s="159">
        <f t="shared" si="30"/>
        <v>8.752218411315976</v>
      </c>
      <c r="AM252" s="159">
        <f t="shared" si="30"/>
        <v>8.6783666181444588</v>
      </c>
      <c r="AN252" s="159">
        <f t="shared" si="30"/>
        <v>8.6045148249729415</v>
      </c>
      <c r="AO252" s="159">
        <f t="shared" si="30"/>
        <v>8.5306630318014243</v>
      </c>
      <c r="AP252" s="159">
        <f t="shared" si="30"/>
        <v>8.456811238629907</v>
      </c>
      <c r="AQ252" s="159">
        <f t="shared" si="30"/>
        <v>8.3829594454583862</v>
      </c>
      <c r="AV252"/>
      <c r="AW252"/>
      <c r="AX252"/>
      <c r="AY252"/>
      <c r="BB252"/>
      <c r="BC252"/>
      <c r="BD252"/>
      <c r="BE252"/>
      <c r="BF252"/>
      <c r="BJ252"/>
      <c r="BK252"/>
      <c r="BL252"/>
      <c r="BM252"/>
      <c r="BN252"/>
      <c r="BO252"/>
      <c r="BP252"/>
      <c r="BQ252"/>
    </row>
    <row r="253" spans="7:69" ht="14.25" customHeight="1" x14ac:dyDescent="0.2">
      <c r="G253" s="22"/>
      <c r="H253" s="254"/>
      <c r="J253" s="241"/>
      <c r="K253" s="19" t="s">
        <v>158</v>
      </c>
      <c r="L253" s="160">
        <f t="shared" si="30"/>
        <v>19.268385484388549</v>
      </c>
      <c r="M253" s="160">
        <f t="shared" si="30"/>
        <v>18.55</v>
      </c>
      <c r="N253" s="160">
        <f t="shared" si="30"/>
        <v>17.854388957071201</v>
      </c>
      <c r="O253" s="160">
        <f t="shared" si="30"/>
        <v>17.158777914142401</v>
      </c>
      <c r="P253" s="160">
        <f t="shared" si="30"/>
        <v>16.463166871213602</v>
      </c>
      <c r="Q253" s="160">
        <f t="shared" si="30"/>
        <v>15.767555828284802</v>
      </c>
      <c r="R253" s="160">
        <f t="shared" si="30"/>
        <v>15.071944785356006</v>
      </c>
      <c r="S253" s="160">
        <f t="shared" si="30"/>
        <v>14.376333742427207</v>
      </c>
      <c r="T253" s="160">
        <f t="shared" si="30"/>
        <v>13.680722699498407</v>
      </c>
      <c r="U253" s="160">
        <f t="shared" si="30"/>
        <v>12.985111656569607</v>
      </c>
      <c r="V253" s="160">
        <f t="shared" si="30"/>
        <v>12.289500613640811</v>
      </c>
      <c r="W253" s="160">
        <f t="shared" si="30"/>
        <v>11.59388957071201</v>
      </c>
      <c r="X253" s="160">
        <f t="shared" si="30"/>
        <v>11.507194857620847</v>
      </c>
      <c r="Y253" s="160">
        <f t="shared" si="30"/>
        <v>11.420500144529683</v>
      </c>
      <c r="Z253" s="160">
        <f t="shared" si="30"/>
        <v>11.33380543143852</v>
      </c>
      <c r="AA253" s="160">
        <f t="shared" si="30"/>
        <v>11.247110718347358</v>
      </c>
      <c r="AB253" s="160">
        <f t="shared" si="30"/>
        <v>11.160416005256195</v>
      </c>
      <c r="AC253" s="160">
        <f t="shared" si="30"/>
        <v>11.073721292165033</v>
      </c>
      <c r="AD253" s="160">
        <f t="shared" si="30"/>
        <v>10.98702657907387</v>
      </c>
      <c r="AE253" s="160">
        <f t="shared" si="30"/>
        <v>10.900331865982707</v>
      </c>
      <c r="AF253" s="160">
        <f t="shared" si="30"/>
        <v>10.813637152891543</v>
      </c>
      <c r="AG253" s="160">
        <f t="shared" si="30"/>
        <v>10.72694243980038</v>
      </c>
      <c r="AH253" s="160">
        <f t="shared" si="30"/>
        <v>10.640247726709216</v>
      </c>
      <c r="AI253" s="160">
        <f t="shared" si="30"/>
        <v>10.553553013618053</v>
      </c>
      <c r="AJ253" s="160">
        <f t="shared" si="30"/>
        <v>10.466858300526891</v>
      </c>
      <c r="AK253" s="160">
        <f t="shared" si="30"/>
        <v>10.380163587435728</v>
      </c>
      <c r="AL253" s="160">
        <f t="shared" si="30"/>
        <v>10.293468874344565</v>
      </c>
      <c r="AM253" s="160">
        <f t="shared" si="30"/>
        <v>10.206774161253403</v>
      </c>
      <c r="AN253" s="160">
        <f t="shared" si="30"/>
        <v>10.12007944816224</v>
      </c>
      <c r="AO253" s="160">
        <f t="shared" si="30"/>
        <v>10.033384735071076</v>
      </c>
      <c r="AP253" s="160">
        <f t="shared" si="30"/>
        <v>9.9466900219799133</v>
      </c>
      <c r="AQ253" s="160">
        <f t="shared" si="30"/>
        <v>9.8599953088887418</v>
      </c>
      <c r="AZ253"/>
      <c r="BA253"/>
    </row>
    <row r="254" spans="7:69" ht="14.25" customHeight="1" thickBot="1" x14ac:dyDescent="0.2">
      <c r="G254" s="22"/>
      <c r="H254" s="254"/>
      <c r="J254" s="241"/>
      <c r="K254" s="144" t="s">
        <v>159</v>
      </c>
      <c r="L254" s="161">
        <f t="shared" si="30"/>
        <v>19.268385484388549</v>
      </c>
      <c r="M254" s="161">
        <f t="shared" si="30"/>
        <v>18.55</v>
      </c>
      <c r="N254" s="161">
        <f t="shared" si="30"/>
        <v>18.310960942610386</v>
      </c>
      <c r="O254" s="161">
        <f t="shared" si="30"/>
        <v>18.071921885220771</v>
      </c>
      <c r="P254" s="161">
        <f t="shared" si="30"/>
        <v>17.832882827831156</v>
      </c>
      <c r="Q254" s="161">
        <f t="shared" si="30"/>
        <v>17.593843770441541</v>
      </c>
      <c r="R254" s="161">
        <f t="shared" si="30"/>
        <v>17.354804713051927</v>
      </c>
      <c r="S254" s="161">
        <f t="shared" si="30"/>
        <v>17.115765655662315</v>
      </c>
      <c r="T254" s="161">
        <f t="shared" si="30"/>
        <v>16.8767265982727</v>
      </c>
      <c r="U254" s="161">
        <f t="shared" si="30"/>
        <v>16.637687540883086</v>
      </c>
      <c r="V254" s="161">
        <f t="shared" si="30"/>
        <v>16.398648483493474</v>
      </c>
      <c r="W254" s="161">
        <f t="shared" si="30"/>
        <v>16.159609426103859</v>
      </c>
      <c r="X254" s="161">
        <f t="shared" si="30"/>
        <v>15.931323433334267</v>
      </c>
      <c r="Y254" s="161">
        <f t="shared" si="30"/>
        <v>15.703037440564678</v>
      </c>
      <c r="Z254" s="161">
        <f t="shared" si="30"/>
        <v>15.474751447795086</v>
      </c>
      <c r="AA254" s="161">
        <f t="shared" si="30"/>
        <v>15.24646545502549</v>
      </c>
      <c r="AB254" s="161">
        <f t="shared" si="30"/>
        <v>15.018179462255898</v>
      </c>
      <c r="AC254" s="161">
        <f t="shared" si="30"/>
        <v>14.789893469486305</v>
      </c>
      <c r="AD254" s="161">
        <f t="shared" si="30"/>
        <v>14.561607476716713</v>
      </c>
      <c r="AE254" s="161">
        <f t="shared" si="30"/>
        <v>14.333321483947124</v>
      </c>
      <c r="AF254" s="161">
        <f t="shared" si="30"/>
        <v>14.105035491177528</v>
      </c>
      <c r="AG254" s="161">
        <f t="shared" si="30"/>
        <v>13.876749498407936</v>
      </c>
      <c r="AH254" s="161">
        <f t="shared" si="30"/>
        <v>13.648463505638343</v>
      </c>
      <c r="AI254" s="161">
        <f t="shared" si="30"/>
        <v>13.420177512868751</v>
      </c>
      <c r="AJ254" s="161">
        <f t="shared" si="30"/>
        <v>13.191891520099158</v>
      </c>
      <c r="AK254" s="161">
        <f t="shared" si="30"/>
        <v>12.963605527329566</v>
      </c>
      <c r="AL254" s="161">
        <f t="shared" si="30"/>
        <v>12.735319534559974</v>
      </c>
      <c r="AM254" s="161">
        <f t="shared" si="30"/>
        <v>12.507033541790381</v>
      </c>
      <c r="AN254" s="161">
        <f t="shared" si="30"/>
        <v>12.278747549020789</v>
      </c>
      <c r="AO254" s="161">
        <f t="shared" si="30"/>
        <v>12.050461556251197</v>
      </c>
      <c r="AP254" s="161">
        <f t="shared" si="30"/>
        <v>11.822175563481604</v>
      </c>
      <c r="AQ254" s="161">
        <f t="shared" ref="AQ254" si="31">AQ251</f>
        <v>11.59388957071201</v>
      </c>
    </row>
    <row r="255" spans="7:69" ht="14.25" customHeight="1" thickTop="1" x14ac:dyDescent="0.2">
      <c r="G255" s="22"/>
      <c r="H255" s="254"/>
      <c r="J255" s="241"/>
      <c r="K255" s="140" t="s">
        <v>160</v>
      </c>
      <c r="L255" s="159">
        <f t="shared" ref="L255:AQ257" si="32">L252</f>
        <v>19.268385484388549</v>
      </c>
      <c r="M255" s="159">
        <f t="shared" si="32"/>
        <v>18.55</v>
      </c>
      <c r="N255" s="159">
        <f t="shared" si="32"/>
        <v>17.680999530888872</v>
      </c>
      <c r="O255" s="159">
        <f t="shared" si="32"/>
        <v>16.811999061777747</v>
      </c>
      <c r="P255" s="159">
        <f t="shared" si="32"/>
        <v>15.942998592666623</v>
      </c>
      <c r="Q255" s="159">
        <f t="shared" si="32"/>
        <v>15.073998123555498</v>
      </c>
      <c r="R255" s="159">
        <f t="shared" si="32"/>
        <v>14.204997654444373</v>
      </c>
      <c r="S255" s="159">
        <f t="shared" si="32"/>
        <v>13.335997185333252</v>
      </c>
      <c r="T255" s="159">
        <f t="shared" si="32"/>
        <v>12.466996716222123</v>
      </c>
      <c r="U255" s="159">
        <f t="shared" si="32"/>
        <v>11.597996247110999</v>
      </c>
      <c r="V255" s="159">
        <f t="shared" si="32"/>
        <v>10.728995777999872</v>
      </c>
      <c r="W255" s="159">
        <f t="shared" si="32"/>
        <v>9.8599953088887418</v>
      </c>
      <c r="X255" s="159">
        <f t="shared" si="32"/>
        <v>9.7861435157172245</v>
      </c>
      <c r="Y255" s="159">
        <f t="shared" si="32"/>
        <v>9.7122917225457073</v>
      </c>
      <c r="Z255" s="159">
        <f t="shared" si="32"/>
        <v>9.63843992937419</v>
      </c>
      <c r="AA255" s="159">
        <f t="shared" si="32"/>
        <v>9.5645881362026728</v>
      </c>
      <c r="AB255" s="159">
        <f t="shared" si="32"/>
        <v>9.4907363430311555</v>
      </c>
      <c r="AC255" s="159">
        <f t="shared" si="32"/>
        <v>9.4168845498596347</v>
      </c>
      <c r="AD255" s="159">
        <f t="shared" si="32"/>
        <v>9.3430327566881175</v>
      </c>
      <c r="AE255" s="159">
        <f t="shared" si="32"/>
        <v>9.2691809635166003</v>
      </c>
      <c r="AF255" s="159">
        <f t="shared" si="32"/>
        <v>9.195329170345083</v>
      </c>
      <c r="AG255" s="159">
        <f t="shared" si="32"/>
        <v>9.1214773771735658</v>
      </c>
      <c r="AH255" s="159">
        <f t="shared" si="32"/>
        <v>9.0476255840020485</v>
      </c>
      <c r="AI255" s="159">
        <f t="shared" si="32"/>
        <v>8.9737737908305313</v>
      </c>
      <c r="AJ255" s="159">
        <f t="shared" si="32"/>
        <v>8.8999219976590123</v>
      </c>
      <c r="AK255" s="159">
        <f t="shared" si="32"/>
        <v>8.826070204487495</v>
      </c>
      <c r="AL255" s="159">
        <f t="shared" si="32"/>
        <v>8.752218411315976</v>
      </c>
      <c r="AM255" s="159">
        <f t="shared" si="32"/>
        <v>8.6783666181444588</v>
      </c>
      <c r="AN255" s="159">
        <f t="shared" si="32"/>
        <v>8.6045148249729415</v>
      </c>
      <c r="AO255" s="159">
        <f t="shared" si="32"/>
        <v>8.5306630318014243</v>
      </c>
      <c r="AP255" s="159">
        <f t="shared" si="32"/>
        <v>8.456811238629907</v>
      </c>
      <c r="AQ255" s="159">
        <f t="shared" si="32"/>
        <v>8.3829594454583862</v>
      </c>
      <c r="AV255"/>
      <c r="AW255"/>
      <c r="AX255"/>
      <c r="AY255"/>
      <c r="BB255"/>
      <c r="BC255"/>
      <c r="BD255"/>
      <c r="BE255"/>
      <c r="BF255"/>
      <c r="BJ255"/>
      <c r="BK255"/>
      <c r="BL255"/>
      <c r="BM255"/>
      <c r="BN255"/>
      <c r="BO255"/>
      <c r="BP255"/>
      <c r="BQ255"/>
    </row>
    <row r="256" spans="7:69" ht="14.25" customHeight="1" x14ac:dyDescent="0.2">
      <c r="G256" s="22"/>
      <c r="H256" s="254"/>
      <c r="J256" s="241"/>
      <c r="K256" s="19" t="s">
        <v>161</v>
      </c>
      <c r="L256" s="160">
        <f t="shared" si="32"/>
        <v>19.268385484388549</v>
      </c>
      <c r="M256" s="160">
        <f t="shared" si="32"/>
        <v>18.55</v>
      </c>
      <c r="N256" s="160">
        <f t="shared" si="32"/>
        <v>17.854388957071201</v>
      </c>
      <c r="O256" s="160">
        <f t="shared" si="32"/>
        <v>17.158777914142401</v>
      </c>
      <c r="P256" s="160">
        <f t="shared" si="32"/>
        <v>16.463166871213602</v>
      </c>
      <c r="Q256" s="160">
        <f t="shared" si="32"/>
        <v>15.767555828284802</v>
      </c>
      <c r="R256" s="160">
        <f t="shared" si="32"/>
        <v>15.071944785356006</v>
      </c>
      <c r="S256" s="160">
        <f t="shared" si="32"/>
        <v>14.376333742427207</v>
      </c>
      <c r="T256" s="160">
        <f t="shared" si="32"/>
        <v>13.680722699498407</v>
      </c>
      <c r="U256" s="160">
        <f t="shared" si="32"/>
        <v>12.985111656569607</v>
      </c>
      <c r="V256" s="160">
        <f t="shared" si="32"/>
        <v>12.289500613640811</v>
      </c>
      <c r="W256" s="160">
        <f t="shared" si="32"/>
        <v>11.59388957071201</v>
      </c>
      <c r="X256" s="160">
        <f t="shared" si="32"/>
        <v>11.507194857620847</v>
      </c>
      <c r="Y256" s="160">
        <f t="shared" si="32"/>
        <v>11.420500144529683</v>
      </c>
      <c r="Z256" s="160">
        <f t="shared" si="32"/>
        <v>11.33380543143852</v>
      </c>
      <c r="AA256" s="160">
        <f t="shared" si="32"/>
        <v>11.247110718347358</v>
      </c>
      <c r="AB256" s="160">
        <f t="shared" si="32"/>
        <v>11.160416005256195</v>
      </c>
      <c r="AC256" s="160">
        <f t="shared" si="32"/>
        <v>11.073721292165033</v>
      </c>
      <c r="AD256" s="160">
        <f t="shared" si="32"/>
        <v>10.98702657907387</v>
      </c>
      <c r="AE256" s="160">
        <f t="shared" si="32"/>
        <v>10.900331865982707</v>
      </c>
      <c r="AF256" s="160">
        <f t="shared" si="32"/>
        <v>10.813637152891543</v>
      </c>
      <c r="AG256" s="160">
        <f t="shared" si="32"/>
        <v>10.72694243980038</v>
      </c>
      <c r="AH256" s="160">
        <f t="shared" si="32"/>
        <v>10.640247726709216</v>
      </c>
      <c r="AI256" s="160">
        <f t="shared" si="32"/>
        <v>10.553553013618053</v>
      </c>
      <c r="AJ256" s="160">
        <f t="shared" si="32"/>
        <v>10.466858300526891</v>
      </c>
      <c r="AK256" s="160">
        <f t="shared" si="32"/>
        <v>10.380163587435728</v>
      </c>
      <c r="AL256" s="160">
        <f t="shared" si="32"/>
        <v>10.293468874344565</v>
      </c>
      <c r="AM256" s="160">
        <f t="shared" si="32"/>
        <v>10.206774161253403</v>
      </c>
      <c r="AN256" s="160">
        <f t="shared" si="32"/>
        <v>10.12007944816224</v>
      </c>
      <c r="AO256" s="160">
        <f t="shared" si="32"/>
        <v>10.033384735071076</v>
      </c>
      <c r="AP256" s="160">
        <f t="shared" si="32"/>
        <v>9.9466900219799133</v>
      </c>
      <c r="AQ256" s="160">
        <f t="shared" si="32"/>
        <v>9.8599953088887418</v>
      </c>
      <c r="AZ256"/>
      <c r="BA256"/>
    </row>
    <row r="257" spans="1:99" ht="14.25" customHeight="1" thickBot="1" x14ac:dyDescent="0.2">
      <c r="G257" s="22"/>
      <c r="H257" s="254"/>
      <c r="J257" s="251"/>
      <c r="K257" s="144" t="s">
        <v>162</v>
      </c>
      <c r="L257" s="161">
        <f t="shared" si="32"/>
        <v>19.268385484388549</v>
      </c>
      <c r="M257" s="161">
        <f t="shared" si="32"/>
        <v>18.55</v>
      </c>
      <c r="N257" s="161">
        <f t="shared" si="32"/>
        <v>18.310960942610386</v>
      </c>
      <c r="O257" s="161">
        <f t="shared" si="32"/>
        <v>18.071921885220771</v>
      </c>
      <c r="P257" s="161">
        <f t="shared" si="32"/>
        <v>17.832882827831156</v>
      </c>
      <c r="Q257" s="161">
        <f t="shared" si="32"/>
        <v>17.593843770441541</v>
      </c>
      <c r="R257" s="161">
        <f t="shared" si="32"/>
        <v>17.354804713051927</v>
      </c>
      <c r="S257" s="161">
        <f t="shared" si="32"/>
        <v>17.115765655662315</v>
      </c>
      <c r="T257" s="161">
        <f t="shared" si="32"/>
        <v>16.8767265982727</v>
      </c>
      <c r="U257" s="161">
        <f t="shared" si="32"/>
        <v>16.637687540883086</v>
      </c>
      <c r="V257" s="161">
        <f t="shared" si="32"/>
        <v>16.398648483493474</v>
      </c>
      <c r="W257" s="161">
        <f t="shared" si="32"/>
        <v>16.159609426103859</v>
      </c>
      <c r="X257" s="161">
        <f t="shared" si="32"/>
        <v>15.931323433334267</v>
      </c>
      <c r="Y257" s="161">
        <f t="shared" si="32"/>
        <v>15.703037440564678</v>
      </c>
      <c r="Z257" s="161">
        <f t="shared" si="32"/>
        <v>15.474751447795086</v>
      </c>
      <c r="AA257" s="161">
        <f t="shared" si="32"/>
        <v>15.24646545502549</v>
      </c>
      <c r="AB257" s="161">
        <f t="shared" si="32"/>
        <v>15.018179462255898</v>
      </c>
      <c r="AC257" s="161">
        <f t="shared" si="32"/>
        <v>14.789893469486305</v>
      </c>
      <c r="AD257" s="161">
        <f t="shared" si="32"/>
        <v>14.561607476716713</v>
      </c>
      <c r="AE257" s="161">
        <f t="shared" si="32"/>
        <v>14.333321483947124</v>
      </c>
      <c r="AF257" s="161">
        <f t="shared" si="32"/>
        <v>14.105035491177528</v>
      </c>
      <c r="AG257" s="161">
        <f t="shared" si="32"/>
        <v>13.876749498407936</v>
      </c>
      <c r="AH257" s="161">
        <f t="shared" si="32"/>
        <v>13.648463505638343</v>
      </c>
      <c r="AI257" s="161">
        <f t="shared" si="32"/>
        <v>13.420177512868751</v>
      </c>
      <c r="AJ257" s="161">
        <f t="shared" si="32"/>
        <v>13.191891520099158</v>
      </c>
      <c r="AK257" s="161">
        <f t="shared" si="32"/>
        <v>12.963605527329566</v>
      </c>
      <c r="AL257" s="161">
        <f t="shared" si="32"/>
        <v>12.735319534559974</v>
      </c>
      <c r="AM257" s="161">
        <f t="shared" si="32"/>
        <v>12.507033541790381</v>
      </c>
      <c r="AN257" s="161">
        <f t="shared" si="32"/>
        <v>12.278747549020789</v>
      </c>
      <c r="AO257" s="161">
        <f t="shared" si="32"/>
        <v>12.050461556251197</v>
      </c>
      <c r="AP257" s="161">
        <f t="shared" si="32"/>
        <v>11.822175563481604</v>
      </c>
      <c r="AQ257" s="161">
        <f t="shared" si="32"/>
        <v>11.59388957071201</v>
      </c>
    </row>
    <row r="258" spans="1:99" ht="14.25" customHeight="1" thickTop="1" x14ac:dyDescent="0.15">
      <c r="G258" s="22"/>
      <c r="H258" s="254"/>
      <c r="J258" s="147"/>
      <c r="K258" s="19"/>
      <c r="L258" s="163"/>
      <c r="M258" s="163"/>
      <c r="N258" s="163"/>
      <c r="O258" s="163"/>
      <c r="P258" s="163"/>
      <c r="Q258" s="163"/>
      <c r="R258" s="163"/>
      <c r="S258" s="163"/>
      <c r="T258" s="163"/>
      <c r="U258" s="163"/>
      <c r="V258" s="163"/>
      <c r="W258" s="163"/>
      <c r="X258" s="163"/>
      <c r="Y258" s="163"/>
      <c r="Z258" s="163"/>
      <c r="AA258" s="163"/>
      <c r="AB258" s="163"/>
      <c r="AC258" s="163"/>
      <c r="AD258" s="163"/>
      <c r="AE258" s="163"/>
      <c r="AF258" s="163"/>
      <c r="AG258" s="163"/>
      <c r="AH258" s="163"/>
      <c r="AI258" s="163"/>
      <c r="AJ258" s="163"/>
      <c r="AK258" s="163"/>
      <c r="AL258" s="163"/>
      <c r="AM258" s="163"/>
      <c r="AN258" s="163"/>
      <c r="AO258" s="163"/>
      <c r="AP258" s="163"/>
      <c r="AQ258" s="163"/>
    </row>
    <row r="259" spans="1:99" ht="14.25" customHeight="1" x14ac:dyDescent="0.15">
      <c r="G259" s="22"/>
      <c r="H259" s="254"/>
      <c r="L259" s="128">
        <v>2019</v>
      </c>
      <c r="M259" s="128">
        <v>2020</v>
      </c>
      <c r="N259" s="128">
        <v>2021</v>
      </c>
      <c r="O259" s="128">
        <v>2022</v>
      </c>
      <c r="P259" s="128">
        <v>2023</v>
      </c>
      <c r="Q259" s="128">
        <v>2024</v>
      </c>
      <c r="R259" s="128">
        <v>2025</v>
      </c>
      <c r="S259" s="128">
        <v>2026</v>
      </c>
      <c r="T259" s="128">
        <v>2027</v>
      </c>
      <c r="U259" s="128">
        <v>2028</v>
      </c>
      <c r="V259" s="128">
        <v>2029</v>
      </c>
      <c r="W259" s="128">
        <v>2030</v>
      </c>
      <c r="X259" s="128">
        <v>2031</v>
      </c>
      <c r="Y259" s="128">
        <v>2032</v>
      </c>
      <c r="Z259" s="128">
        <v>2033</v>
      </c>
      <c r="AA259" s="128">
        <v>2034</v>
      </c>
      <c r="AB259" s="128">
        <v>2035</v>
      </c>
      <c r="AC259" s="128">
        <v>2036</v>
      </c>
      <c r="AD259" s="128">
        <v>2037</v>
      </c>
      <c r="AE259" s="128">
        <v>2038</v>
      </c>
      <c r="AF259" s="128">
        <v>2039</v>
      </c>
      <c r="AG259" s="128">
        <v>2040</v>
      </c>
      <c r="AH259" s="128">
        <v>2041</v>
      </c>
      <c r="AI259" s="128">
        <v>2042</v>
      </c>
      <c r="AJ259" s="128">
        <v>2043</v>
      </c>
      <c r="AK259" s="128">
        <v>2044</v>
      </c>
      <c r="AL259" s="128">
        <v>2045</v>
      </c>
      <c r="AM259" s="128">
        <v>2046</v>
      </c>
      <c r="AN259" s="128">
        <v>2047</v>
      </c>
      <c r="AO259" s="128">
        <v>2048</v>
      </c>
      <c r="AP259" s="128">
        <v>2049</v>
      </c>
      <c r="AQ259" s="128">
        <v>2050</v>
      </c>
    </row>
    <row r="260" spans="1:99" ht="14.25" customHeight="1" x14ac:dyDescent="0.2">
      <c r="G260" s="22"/>
      <c r="H260" s="254"/>
      <c r="J260" s="240" t="s">
        <v>166</v>
      </c>
      <c r="K260" s="140" t="s">
        <v>133</v>
      </c>
      <c r="L260" s="164">
        <v>0</v>
      </c>
      <c r="M260" s="164">
        <v>0</v>
      </c>
      <c r="N260" s="164">
        <v>0</v>
      </c>
      <c r="O260" s="164">
        <v>0</v>
      </c>
      <c r="P260" s="164">
        <v>0</v>
      </c>
      <c r="Q260" s="164">
        <v>0</v>
      </c>
      <c r="R260" s="164">
        <v>0</v>
      </c>
      <c r="S260" s="164">
        <v>0</v>
      </c>
      <c r="T260" s="164">
        <v>0</v>
      </c>
      <c r="U260" s="164">
        <v>0</v>
      </c>
      <c r="V260" s="164">
        <v>0</v>
      </c>
      <c r="W260" s="164">
        <v>0</v>
      </c>
      <c r="X260" s="164">
        <v>0</v>
      </c>
      <c r="Y260" s="164">
        <v>0</v>
      </c>
      <c r="Z260" s="164">
        <v>0</v>
      </c>
      <c r="AA260" s="164">
        <v>0</v>
      </c>
      <c r="AB260" s="164">
        <v>0</v>
      </c>
      <c r="AC260" s="164">
        <v>0</v>
      </c>
      <c r="AD260" s="164">
        <v>0</v>
      </c>
      <c r="AE260" s="164">
        <v>0</v>
      </c>
      <c r="AF260" s="164">
        <v>0</v>
      </c>
      <c r="AG260" s="164">
        <v>0</v>
      </c>
      <c r="AH260" s="164">
        <v>0</v>
      </c>
      <c r="AI260" s="164">
        <v>0</v>
      </c>
      <c r="AJ260" s="164">
        <v>0</v>
      </c>
      <c r="AK260" s="164">
        <v>0</v>
      </c>
      <c r="AL260" s="164">
        <v>0</v>
      </c>
      <c r="AM260" s="164">
        <v>0</v>
      </c>
      <c r="AN260" s="164">
        <v>0</v>
      </c>
      <c r="AO260" s="164">
        <v>0</v>
      </c>
      <c r="AP260" s="164">
        <v>0</v>
      </c>
      <c r="AQ260" s="164">
        <v>0</v>
      </c>
      <c r="AT260"/>
      <c r="AU260"/>
    </row>
    <row r="261" spans="1:99" ht="14.25" customHeight="1" x14ac:dyDescent="0.15">
      <c r="G261" s="22"/>
      <c r="H261" s="254"/>
      <c r="J261" s="241"/>
      <c r="K261" s="19" t="s">
        <v>134</v>
      </c>
      <c r="L261" s="165">
        <v>0</v>
      </c>
      <c r="M261" s="165">
        <v>0</v>
      </c>
      <c r="N261" s="165">
        <v>0</v>
      </c>
      <c r="O261" s="165">
        <v>0</v>
      </c>
      <c r="P261" s="165">
        <v>0</v>
      </c>
      <c r="Q261" s="165">
        <v>0</v>
      </c>
      <c r="R261" s="165">
        <v>0</v>
      </c>
      <c r="S261" s="165">
        <v>0</v>
      </c>
      <c r="T261" s="165">
        <v>0</v>
      </c>
      <c r="U261" s="165">
        <v>0</v>
      </c>
      <c r="V261" s="165">
        <v>0</v>
      </c>
      <c r="W261" s="165">
        <v>0</v>
      </c>
      <c r="X261" s="165">
        <v>0</v>
      </c>
      <c r="Y261" s="165">
        <v>0</v>
      </c>
      <c r="Z261" s="165">
        <v>0</v>
      </c>
      <c r="AA261" s="165">
        <v>0</v>
      </c>
      <c r="AB261" s="165">
        <v>0</v>
      </c>
      <c r="AC261" s="165">
        <v>0</v>
      </c>
      <c r="AD261" s="165">
        <v>0</v>
      </c>
      <c r="AE261" s="165">
        <v>0</v>
      </c>
      <c r="AF261" s="165">
        <v>0</v>
      </c>
      <c r="AG261" s="165">
        <v>0</v>
      </c>
      <c r="AH261" s="165">
        <v>0</v>
      </c>
      <c r="AI261" s="165">
        <v>0</v>
      </c>
      <c r="AJ261" s="165">
        <v>0</v>
      </c>
      <c r="AK261" s="165">
        <v>0</v>
      </c>
      <c r="AL261" s="165">
        <v>0</v>
      </c>
      <c r="AM261" s="165">
        <v>0</v>
      </c>
      <c r="AN261" s="165">
        <v>0</v>
      </c>
      <c r="AO261" s="165">
        <v>0</v>
      </c>
      <c r="AP261" s="165">
        <v>0</v>
      </c>
      <c r="AQ261" s="165">
        <v>0</v>
      </c>
    </row>
    <row r="262" spans="1:99" ht="14.25" customHeight="1" thickBot="1" x14ac:dyDescent="0.2">
      <c r="G262" s="22"/>
      <c r="H262" s="254"/>
      <c r="J262" s="241"/>
      <c r="K262" s="144" t="s">
        <v>135</v>
      </c>
      <c r="L262" s="166">
        <v>0</v>
      </c>
      <c r="M262" s="166">
        <v>0</v>
      </c>
      <c r="N262" s="166">
        <v>0</v>
      </c>
      <c r="O262" s="166">
        <v>0</v>
      </c>
      <c r="P262" s="166">
        <v>0</v>
      </c>
      <c r="Q262" s="166">
        <v>0</v>
      </c>
      <c r="R262" s="166">
        <v>0</v>
      </c>
      <c r="S262" s="166">
        <v>0</v>
      </c>
      <c r="T262" s="166">
        <v>0</v>
      </c>
      <c r="U262" s="166">
        <v>0</v>
      </c>
      <c r="V262" s="166">
        <v>0</v>
      </c>
      <c r="W262" s="166">
        <v>0</v>
      </c>
      <c r="X262" s="166">
        <v>0</v>
      </c>
      <c r="Y262" s="166">
        <v>0</v>
      </c>
      <c r="Z262" s="166">
        <v>0</v>
      </c>
      <c r="AA262" s="166">
        <v>0</v>
      </c>
      <c r="AB262" s="166">
        <v>0</v>
      </c>
      <c r="AC262" s="166">
        <v>0</v>
      </c>
      <c r="AD262" s="166">
        <v>0</v>
      </c>
      <c r="AE262" s="166">
        <v>0</v>
      </c>
      <c r="AF262" s="166">
        <v>0</v>
      </c>
      <c r="AG262" s="166">
        <v>0</v>
      </c>
      <c r="AH262" s="166">
        <v>0</v>
      </c>
      <c r="AI262" s="166">
        <v>0</v>
      </c>
      <c r="AJ262" s="166">
        <v>0</v>
      </c>
      <c r="AK262" s="166">
        <v>0</v>
      </c>
      <c r="AL262" s="166">
        <v>0</v>
      </c>
      <c r="AM262" s="166">
        <v>0</v>
      </c>
      <c r="AN262" s="166">
        <v>0</v>
      </c>
      <c r="AO262" s="166">
        <v>0</v>
      </c>
      <c r="AP262" s="166">
        <v>0</v>
      </c>
      <c r="AQ262" s="166">
        <v>0</v>
      </c>
    </row>
    <row r="263" spans="1:99" ht="14.25" customHeight="1" thickTop="1" x14ac:dyDescent="0.2">
      <c r="G263" s="22"/>
      <c r="H263" s="254"/>
      <c r="J263" s="241"/>
      <c r="K263" s="140" t="s">
        <v>136</v>
      </c>
      <c r="L263" s="167">
        <v>0</v>
      </c>
      <c r="M263" s="167">
        <v>0</v>
      </c>
      <c r="N263" s="167">
        <v>0</v>
      </c>
      <c r="O263" s="167">
        <v>0</v>
      </c>
      <c r="P263" s="167">
        <v>0</v>
      </c>
      <c r="Q263" s="167">
        <v>0</v>
      </c>
      <c r="R263" s="167">
        <v>0</v>
      </c>
      <c r="S263" s="167">
        <v>0</v>
      </c>
      <c r="T263" s="167">
        <v>0</v>
      </c>
      <c r="U263" s="167">
        <v>0</v>
      </c>
      <c r="V263" s="167">
        <v>0</v>
      </c>
      <c r="W263" s="167">
        <v>0</v>
      </c>
      <c r="X263" s="167">
        <v>0</v>
      </c>
      <c r="Y263" s="167">
        <v>0</v>
      </c>
      <c r="Z263" s="167">
        <v>0</v>
      </c>
      <c r="AA263" s="167">
        <v>0</v>
      </c>
      <c r="AB263" s="167">
        <v>0</v>
      </c>
      <c r="AC263" s="167">
        <v>0</v>
      </c>
      <c r="AD263" s="167">
        <v>0</v>
      </c>
      <c r="AE263" s="167">
        <v>0</v>
      </c>
      <c r="AF263" s="167">
        <v>0</v>
      </c>
      <c r="AG263" s="167">
        <v>0</v>
      </c>
      <c r="AH263" s="167">
        <v>0</v>
      </c>
      <c r="AI263" s="167">
        <v>0</v>
      </c>
      <c r="AJ263" s="167">
        <v>0</v>
      </c>
      <c r="AK263" s="167">
        <v>0</v>
      </c>
      <c r="AL263" s="167">
        <v>0</v>
      </c>
      <c r="AM263" s="167">
        <v>0</v>
      </c>
      <c r="AN263" s="167">
        <v>0</v>
      </c>
      <c r="AO263" s="167">
        <v>0</v>
      </c>
      <c r="AP263" s="167">
        <v>0</v>
      </c>
      <c r="AQ263" s="167">
        <v>0</v>
      </c>
      <c r="AR263"/>
      <c r="AS263"/>
    </row>
    <row r="264" spans="1:99" ht="14.25" customHeight="1" x14ac:dyDescent="0.2">
      <c r="G264" s="22"/>
      <c r="H264" s="254"/>
      <c r="J264" s="241"/>
      <c r="K264" s="19" t="s">
        <v>137</v>
      </c>
      <c r="L264" s="165">
        <v>0</v>
      </c>
      <c r="M264" s="165">
        <v>0</v>
      </c>
      <c r="N264" s="165">
        <v>0</v>
      </c>
      <c r="O264" s="165">
        <v>0</v>
      </c>
      <c r="P264" s="165">
        <v>0</v>
      </c>
      <c r="Q264" s="165">
        <v>0</v>
      </c>
      <c r="R264" s="165">
        <v>0</v>
      </c>
      <c r="S264" s="165">
        <v>0</v>
      </c>
      <c r="T264" s="165">
        <v>0</v>
      </c>
      <c r="U264" s="165">
        <v>0</v>
      </c>
      <c r="V264" s="165">
        <v>0</v>
      </c>
      <c r="W264" s="165">
        <v>0</v>
      </c>
      <c r="X264" s="165">
        <v>0</v>
      </c>
      <c r="Y264" s="165">
        <v>0</v>
      </c>
      <c r="Z264" s="165">
        <v>0</v>
      </c>
      <c r="AA264" s="165">
        <v>0</v>
      </c>
      <c r="AB264" s="165">
        <v>0</v>
      </c>
      <c r="AC264" s="165">
        <v>0</v>
      </c>
      <c r="AD264" s="165">
        <v>0</v>
      </c>
      <c r="AE264" s="165">
        <v>0</v>
      </c>
      <c r="AF264" s="165">
        <v>0</v>
      </c>
      <c r="AG264" s="165">
        <v>0</v>
      </c>
      <c r="AH264" s="165">
        <v>0</v>
      </c>
      <c r="AI264" s="165">
        <v>0</v>
      </c>
      <c r="AJ264" s="165">
        <v>0</v>
      </c>
      <c r="AK264" s="165">
        <v>0</v>
      </c>
      <c r="AL264" s="165">
        <v>0</v>
      </c>
      <c r="AM264" s="165">
        <v>0</v>
      </c>
      <c r="AN264" s="165">
        <v>0</v>
      </c>
      <c r="AO264" s="165">
        <v>0</v>
      </c>
      <c r="AP264" s="165">
        <v>0</v>
      </c>
      <c r="AQ264" s="165">
        <v>0</v>
      </c>
      <c r="CN264"/>
      <c r="CO264"/>
      <c r="CP264"/>
      <c r="CQ264"/>
      <c r="CR264"/>
      <c r="CS264"/>
      <c r="CT264"/>
      <c r="CU264"/>
    </row>
    <row r="265" spans="1:99" ht="14.25" customHeight="1" thickBot="1" x14ac:dyDescent="0.25">
      <c r="G265" s="22"/>
      <c r="H265" s="254"/>
      <c r="J265" s="241"/>
      <c r="K265" s="144" t="s">
        <v>138</v>
      </c>
      <c r="L265" s="166">
        <v>0</v>
      </c>
      <c r="M265" s="166">
        <v>0</v>
      </c>
      <c r="N265" s="166">
        <v>0</v>
      </c>
      <c r="O265" s="166">
        <v>0</v>
      </c>
      <c r="P265" s="166">
        <v>0</v>
      </c>
      <c r="Q265" s="166">
        <v>0</v>
      </c>
      <c r="R265" s="166">
        <v>0</v>
      </c>
      <c r="S265" s="166">
        <v>0</v>
      </c>
      <c r="T265" s="166">
        <v>0</v>
      </c>
      <c r="U265" s="166">
        <v>0</v>
      </c>
      <c r="V265" s="166">
        <v>0</v>
      </c>
      <c r="W265" s="166">
        <v>0</v>
      </c>
      <c r="X265" s="166">
        <v>0</v>
      </c>
      <c r="Y265" s="166">
        <v>0</v>
      </c>
      <c r="Z265" s="166">
        <v>0</v>
      </c>
      <c r="AA265" s="166">
        <v>0</v>
      </c>
      <c r="AB265" s="166">
        <v>0</v>
      </c>
      <c r="AC265" s="166">
        <v>0</v>
      </c>
      <c r="AD265" s="166">
        <v>0</v>
      </c>
      <c r="AE265" s="166">
        <v>0</v>
      </c>
      <c r="AF265" s="166">
        <v>0</v>
      </c>
      <c r="AG265" s="166">
        <v>0</v>
      </c>
      <c r="AH265" s="166">
        <v>0</v>
      </c>
      <c r="AI265" s="166">
        <v>0</v>
      </c>
      <c r="AJ265" s="166">
        <v>0</v>
      </c>
      <c r="AK265" s="166">
        <v>0</v>
      </c>
      <c r="AL265" s="166">
        <v>0</v>
      </c>
      <c r="AM265" s="166">
        <v>0</v>
      </c>
      <c r="AN265" s="166">
        <v>0</v>
      </c>
      <c r="AO265" s="166">
        <v>0</v>
      </c>
      <c r="AP265" s="166">
        <v>0</v>
      </c>
      <c r="AQ265" s="166">
        <v>0</v>
      </c>
      <c r="BG265"/>
      <c r="BH265"/>
      <c r="BI265"/>
    </row>
    <row r="266" spans="1:99" ht="14.25" customHeight="1" thickTop="1" x14ac:dyDescent="0.2">
      <c r="G266" s="22"/>
      <c r="H266" s="254"/>
      <c r="J266" s="241"/>
      <c r="K266" s="140" t="s">
        <v>139</v>
      </c>
      <c r="L266" s="167">
        <v>0</v>
      </c>
      <c r="M266" s="167">
        <v>0</v>
      </c>
      <c r="N266" s="167">
        <v>0</v>
      </c>
      <c r="O266" s="167">
        <v>0</v>
      </c>
      <c r="P266" s="167">
        <v>0</v>
      </c>
      <c r="Q266" s="167">
        <v>0</v>
      </c>
      <c r="R266" s="167">
        <v>0</v>
      </c>
      <c r="S266" s="167">
        <v>0</v>
      </c>
      <c r="T266" s="167">
        <v>0</v>
      </c>
      <c r="U266" s="167">
        <v>0</v>
      </c>
      <c r="V266" s="167">
        <v>0</v>
      </c>
      <c r="W266" s="167">
        <v>0</v>
      </c>
      <c r="X266" s="167">
        <v>0</v>
      </c>
      <c r="Y266" s="167">
        <v>0</v>
      </c>
      <c r="Z266" s="167">
        <v>0</v>
      </c>
      <c r="AA266" s="167">
        <v>0</v>
      </c>
      <c r="AB266" s="167">
        <v>0</v>
      </c>
      <c r="AC266" s="167">
        <v>0</v>
      </c>
      <c r="AD266" s="167">
        <v>0</v>
      </c>
      <c r="AE266" s="167">
        <v>0</v>
      </c>
      <c r="AF266" s="167">
        <v>0</v>
      </c>
      <c r="AG266" s="167">
        <v>0</v>
      </c>
      <c r="AH266" s="167">
        <v>0</v>
      </c>
      <c r="AI266" s="167">
        <v>0</v>
      </c>
      <c r="AJ266" s="167">
        <v>0</v>
      </c>
      <c r="AK266" s="167">
        <v>0</v>
      </c>
      <c r="AL266" s="167">
        <v>0</v>
      </c>
      <c r="AM266" s="167">
        <v>0</v>
      </c>
      <c r="AN266" s="167">
        <v>0</v>
      </c>
      <c r="AO266" s="167">
        <v>0</v>
      </c>
      <c r="AP266" s="167">
        <v>0</v>
      </c>
      <c r="AQ266" s="167">
        <v>0</v>
      </c>
      <c r="AV266"/>
      <c r="AW266"/>
      <c r="AX266"/>
      <c r="AY266"/>
      <c r="BB266"/>
      <c r="BC266"/>
      <c r="BD266"/>
      <c r="BE266"/>
      <c r="BF266"/>
      <c r="BJ266"/>
      <c r="BK266"/>
      <c r="BL266"/>
      <c r="BM266"/>
      <c r="BN266"/>
      <c r="BO266"/>
      <c r="BP266"/>
      <c r="BQ266"/>
      <c r="BR266"/>
      <c r="BS266"/>
      <c r="BT266"/>
      <c r="BU266"/>
      <c r="BV266"/>
      <c r="BW266"/>
      <c r="BX266"/>
      <c r="BY266"/>
    </row>
    <row r="267" spans="1:99" ht="14.25" customHeight="1" x14ac:dyDescent="0.2">
      <c r="G267" s="22"/>
      <c r="H267" s="254"/>
      <c r="J267" s="241"/>
      <c r="K267" s="19" t="s">
        <v>140</v>
      </c>
      <c r="L267" s="165">
        <v>0</v>
      </c>
      <c r="M267" s="165">
        <v>0</v>
      </c>
      <c r="N267" s="165">
        <v>0</v>
      </c>
      <c r="O267" s="165">
        <v>0</v>
      </c>
      <c r="P267" s="165">
        <v>0</v>
      </c>
      <c r="Q267" s="165">
        <v>0</v>
      </c>
      <c r="R267" s="165">
        <v>0</v>
      </c>
      <c r="S267" s="165">
        <v>0</v>
      </c>
      <c r="T267" s="165">
        <v>0</v>
      </c>
      <c r="U267" s="165">
        <v>0</v>
      </c>
      <c r="V267" s="165">
        <v>0</v>
      </c>
      <c r="W267" s="165">
        <v>0</v>
      </c>
      <c r="X267" s="165">
        <v>0</v>
      </c>
      <c r="Y267" s="165">
        <v>0</v>
      </c>
      <c r="Z267" s="165">
        <v>0</v>
      </c>
      <c r="AA267" s="165">
        <v>0</v>
      </c>
      <c r="AB267" s="165">
        <v>0</v>
      </c>
      <c r="AC267" s="165">
        <v>0</v>
      </c>
      <c r="AD267" s="165">
        <v>0</v>
      </c>
      <c r="AE267" s="165">
        <v>0</v>
      </c>
      <c r="AF267" s="165">
        <v>0</v>
      </c>
      <c r="AG267" s="165">
        <v>0</v>
      </c>
      <c r="AH267" s="165">
        <v>0</v>
      </c>
      <c r="AI267" s="165">
        <v>0</v>
      </c>
      <c r="AJ267" s="165">
        <v>0</v>
      </c>
      <c r="AK267" s="165">
        <v>0</v>
      </c>
      <c r="AL267" s="165">
        <v>0</v>
      </c>
      <c r="AM267" s="165">
        <v>0</v>
      </c>
      <c r="AN267" s="165">
        <v>0</v>
      </c>
      <c r="AO267" s="165">
        <v>0</v>
      </c>
      <c r="AP267" s="165">
        <v>0</v>
      </c>
      <c r="AQ267" s="165">
        <v>0</v>
      </c>
      <c r="AZ267"/>
      <c r="BA267"/>
    </row>
    <row r="268" spans="1:99" ht="14.25" customHeight="1" thickBot="1" x14ac:dyDescent="0.2">
      <c r="A268" s="16" t="s">
        <v>83</v>
      </c>
      <c r="G268" s="22"/>
      <c r="H268" s="254"/>
      <c r="J268" s="241"/>
      <c r="K268" s="144" t="s">
        <v>141</v>
      </c>
      <c r="L268" s="168">
        <v>0</v>
      </c>
      <c r="M268" s="168">
        <v>0</v>
      </c>
      <c r="N268" s="168">
        <v>0</v>
      </c>
      <c r="O268" s="168">
        <v>0</v>
      </c>
      <c r="P268" s="168">
        <v>0</v>
      </c>
      <c r="Q268" s="168">
        <v>0</v>
      </c>
      <c r="R268" s="168">
        <v>0</v>
      </c>
      <c r="S268" s="168">
        <v>0</v>
      </c>
      <c r="T268" s="168">
        <v>0</v>
      </c>
      <c r="U268" s="168">
        <v>0</v>
      </c>
      <c r="V268" s="168">
        <v>0</v>
      </c>
      <c r="W268" s="168">
        <v>0</v>
      </c>
      <c r="X268" s="168">
        <v>0</v>
      </c>
      <c r="Y268" s="168">
        <v>0</v>
      </c>
      <c r="Z268" s="168">
        <v>0</v>
      </c>
      <c r="AA268" s="168">
        <v>0</v>
      </c>
      <c r="AB268" s="168">
        <v>0</v>
      </c>
      <c r="AC268" s="168">
        <v>0</v>
      </c>
      <c r="AD268" s="168">
        <v>0</v>
      </c>
      <c r="AE268" s="168">
        <v>0</v>
      </c>
      <c r="AF268" s="168">
        <v>0</v>
      </c>
      <c r="AG268" s="168">
        <v>0</v>
      </c>
      <c r="AH268" s="168">
        <v>0</v>
      </c>
      <c r="AI268" s="168">
        <v>0</v>
      </c>
      <c r="AJ268" s="168">
        <v>0</v>
      </c>
      <c r="AK268" s="168">
        <v>0</v>
      </c>
      <c r="AL268" s="168">
        <v>0</v>
      </c>
      <c r="AM268" s="168">
        <v>0</v>
      </c>
      <c r="AN268" s="168">
        <v>0</v>
      </c>
      <c r="AO268" s="168">
        <v>0</v>
      </c>
      <c r="AP268" s="168">
        <v>0</v>
      </c>
      <c r="AQ268" s="168">
        <v>0</v>
      </c>
    </row>
    <row r="269" spans="1:99" ht="14.25" customHeight="1" thickTop="1" x14ac:dyDescent="0.2">
      <c r="G269" s="22"/>
      <c r="H269" s="254"/>
      <c r="J269" s="241"/>
      <c r="K269" s="140" t="s">
        <v>142</v>
      </c>
      <c r="L269" s="167">
        <v>0</v>
      </c>
      <c r="M269" s="167">
        <v>0</v>
      </c>
      <c r="N269" s="167">
        <v>0</v>
      </c>
      <c r="O269" s="167">
        <v>0</v>
      </c>
      <c r="P269" s="167">
        <v>0</v>
      </c>
      <c r="Q269" s="167">
        <v>0</v>
      </c>
      <c r="R269" s="167">
        <v>0</v>
      </c>
      <c r="S269" s="167">
        <v>0</v>
      </c>
      <c r="T269" s="167">
        <v>0</v>
      </c>
      <c r="U269" s="167">
        <v>0</v>
      </c>
      <c r="V269" s="167">
        <v>0</v>
      </c>
      <c r="W269" s="167">
        <v>0</v>
      </c>
      <c r="X269" s="167">
        <v>0</v>
      </c>
      <c r="Y269" s="167">
        <v>0</v>
      </c>
      <c r="Z269" s="167">
        <v>0</v>
      </c>
      <c r="AA269" s="167">
        <v>0</v>
      </c>
      <c r="AB269" s="167">
        <v>0</v>
      </c>
      <c r="AC269" s="167">
        <v>0</v>
      </c>
      <c r="AD269" s="167">
        <v>0</v>
      </c>
      <c r="AE269" s="167">
        <v>0</v>
      </c>
      <c r="AF269" s="167">
        <v>0</v>
      </c>
      <c r="AG269" s="167">
        <v>0</v>
      </c>
      <c r="AH269" s="167">
        <v>0</v>
      </c>
      <c r="AI269" s="167">
        <v>0</v>
      </c>
      <c r="AJ269" s="167">
        <v>0</v>
      </c>
      <c r="AK269" s="167">
        <v>0</v>
      </c>
      <c r="AL269" s="167">
        <v>0</v>
      </c>
      <c r="AM269" s="167">
        <v>0</v>
      </c>
      <c r="AN269" s="167">
        <v>0</v>
      </c>
      <c r="AO269" s="167">
        <v>0</v>
      </c>
      <c r="AP269" s="167">
        <v>0</v>
      </c>
      <c r="AQ269" s="167">
        <v>0</v>
      </c>
      <c r="AV269"/>
      <c r="AW269"/>
      <c r="AX269"/>
      <c r="AY269"/>
      <c r="BB269"/>
      <c r="BC269"/>
      <c r="BD269"/>
      <c r="BE269"/>
      <c r="BF269"/>
      <c r="BJ269"/>
      <c r="BK269"/>
      <c r="BL269"/>
      <c r="BM269"/>
      <c r="BN269"/>
      <c r="BO269"/>
      <c r="BP269"/>
      <c r="BQ269"/>
      <c r="BR269"/>
      <c r="BS269"/>
      <c r="BT269"/>
      <c r="BU269"/>
      <c r="BV269"/>
      <c r="BW269"/>
      <c r="BX269"/>
      <c r="BY269"/>
    </row>
    <row r="270" spans="1:99" ht="14.25" customHeight="1" x14ac:dyDescent="0.2">
      <c r="G270" s="22"/>
      <c r="H270" s="254"/>
      <c r="J270" s="241"/>
      <c r="K270" s="19" t="s">
        <v>143</v>
      </c>
      <c r="L270" s="165">
        <v>0</v>
      </c>
      <c r="M270" s="165">
        <v>0</v>
      </c>
      <c r="N270" s="165">
        <v>0</v>
      </c>
      <c r="O270" s="165">
        <v>0</v>
      </c>
      <c r="P270" s="165">
        <v>0</v>
      </c>
      <c r="Q270" s="165">
        <v>0</v>
      </c>
      <c r="R270" s="165">
        <v>0</v>
      </c>
      <c r="S270" s="165">
        <v>0</v>
      </c>
      <c r="T270" s="165">
        <v>0</v>
      </c>
      <c r="U270" s="165">
        <v>0</v>
      </c>
      <c r="V270" s="165">
        <v>0</v>
      </c>
      <c r="W270" s="165">
        <v>0</v>
      </c>
      <c r="X270" s="165">
        <v>0</v>
      </c>
      <c r="Y270" s="165">
        <v>0</v>
      </c>
      <c r="Z270" s="165">
        <v>0</v>
      </c>
      <c r="AA270" s="165">
        <v>0</v>
      </c>
      <c r="AB270" s="165">
        <v>0</v>
      </c>
      <c r="AC270" s="165">
        <v>0</v>
      </c>
      <c r="AD270" s="165">
        <v>0</v>
      </c>
      <c r="AE270" s="165">
        <v>0</v>
      </c>
      <c r="AF270" s="165">
        <v>0</v>
      </c>
      <c r="AG270" s="165">
        <v>0</v>
      </c>
      <c r="AH270" s="165">
        <v>0</v>
      </c>
      <c r="AI270" s="165">
        <v>0</v>
      </c>
      <c r="AJ270" s="165">
        <v>0</v>
      </c>
      <c r="AK270" s="165">
        <v>0</v>
      </c>
      <c r="AL270" s="165">
        <v>0</v>
      </c>
      <c r="AM270" s="165">
        <v>0</v>
      </c>
      <c r="AN270" s="165">
        <v>0</v>
      </c>
      <c r="AO270" s="165">
        <v>0</v>
      </c>
      <c r="AP270" s="165">
        <v>0</v>
      </c>
      <c r="AQ270" s="165">
        <v>0</v>
      </c>
      <c r="AZ270"/>
      <c r="BA270"/>
    </row>
    <row r="271" spans="1:99" ht="14.25" customHeight="1" thickBot="1" x14ac:dyDescent="0.2">
      <c r="A271" s="16" t="s">
        <v>83</v>
      </c>
      <c r="G271" s="22"/>
      <c r="H271" s="254"/>
      <c r="J271" s="241"/>
      <c r="K271" s="144" t="s">
        <v>144</v>
      </c>
      <c r="L271" s="168">
        <v>0</v>
      </c>
      <c r="M271" s="168">
        <v>0</v>
      </c>
      <c r="N271" s="168">
        <v>0</v>
      </c>
      <c r="O271" s="168">
        <v>0</v>
      </c>
      <c r="P271" s="168">
        <v>0</v>
      </c>
      <c r="Q271" s="168">
        <v>0</v>
      </c>
      <c r="R271" s="168">
        <v>0</v>
      </c>
      <c r="S271" s="168">
        <v>0</v>
      </c>
      <c r="T271" s="168">
        <v>0</v>
      </c>
      <c r="U271" s="168">
        <v>0</v>
      </c>
      <c r="V271" s="168">
        <v>0</v>
      </c>
      <c r="W271" s="168">
        <v>0</v>
      </c>
      <c r="X271" s="168">
        <v>0</v>
      </c>
      <c r="Y271" s="168">
        <v>0</v>
      </c>
      <c r="Z271" s="168">
        <v>0</v>
      </c>
      <c r="AA271" s="168">
        <v>0</v>
      </c>
      <c r="AB271" s="168">
        <v>0</v>
      </c>
      <c r="AC271" s="168">
        <v>0</v>
      </c>
      <c r="AD271" s="168">
        <v>0</v>
      </c>
      <c r="AE271" s="168">
        <v>0</v>
      </c>
      <c r="AF271" s="168">
        <v>0</v>
      </c>
      <c r="AG271" s="168">
        <v>0</v>
      </c>
      <c r="AH271" s="168">
        <v>0</v>
      </c>
      <c r="AI271" s="168">
        <v>0</v>
      </c>
      <c r="AJ271" s="168">
        <v>0</v>
      </c>
      <c r="AK271" s="168">
        <v>0</v>
      </c>
      <c r="AL271" s="168">
        <v>0</v>
      </c>
      <c r="AM271" s="168">
        <v>0</v>
      </c>
      <c r="AN271" s="168">
        <v>0</v>
      </c>
      <c r="AO271" s="168">
        <v>0</v>
      </c>
      <c r="AP271" s="168">
        <v>0</v>
      </c>
      <c r="AQ271" s="168">
        <v>0</v>
      </c>
    </row>
    <row r="272" spans="1:99" ht="14.25" customHeight="1" thickTop="1" x14ac:dyDescent="0.2">
      <c r="G272" s="22"/>
      <c r="H272" s="254"/>
      <c r="J272" s="241"/>
      <c r="K272" s="140" t="s">
        <v>145</v>
      </c>
      <c r="L272" s="167">
        <v>0</v>
      </c>
      <c r="M272" s="167">
        <v>0</v>
      </c>
      <c r="N272" s="167">
        <v>0</v>
      </c>
      <c r="O272" s="167">
        <v>0</v>
      </c>
      <c r="P272" s="167">
        <v>0</v>
      </c>
      <c r="Q272" s="167">
        <v>0</v>
      </c>
      <c r="R272" s="167">
        <v>0</v>
      </c>
      <c r="S272" s="167">
        <v>0</v>
      </c>
      <c r="T272" s="167">
        <v>0</v>
      </c>
      <c r="U272" s="167">
        <v>0</v>
      </c>
      <c r="V272" s="167">
        <v>0</v>
      </c>
      <c r="W272" s="167">
        <v>0</v>
      </c>
      <c r="X272" s="167">
        <v>0</v>
      </c>
      <c r="Y272" s="167">
        <v>0</v>
      </c>
      <c r="Z272" s="167">
        <v>0</v>
      </c>
      <c r="AA272" s="167">
        <v>0</v>
      </c>
      <c r="AB272" s="167">
        <v>0</v>
      </c>
      <c r="AC272" s="167">
        <v>0</v>
      </c>
      <c r="AD272" s="167">
        <v>0</v>
      </c>
      <c r="AE272" s="167">
        <v>0</v>
      </c>
      <c r="AF272" s="167">
        <v>0</v>
      </c>
      <c r="AG272" s="167">
        <v>0</v>
      </c>
      <c r="AH272" s="167">
        <v>0</v>
      </c>
      <c r="AI272" s="167">
        <v>0</v>
      </c>
      <c r="AJ272" s="167">
        <v>0</v>
      </c>
      <c r="AK272" s="167">
        <v>0</v>
      </c>
      <c r="AL272" s="167">
        <v>0</v>
      </c>
      <c r="AM272" s="167">
        <v>0</v>
      </c>
      <c r="AN272" s="167">
        <v>0</v>
      </c>
      <c r="AO272" s="167">
        <v>0</v>
      </c>
      <c r="AP272" s="167">
        <v>0</v>
      </c>
      <c r="AQ272" s="167">
        <v>0</v>
      </c>
      <c r="AV272"/>
      <c r="AW272"/>
      <c r="AX272"/>
      <c r="AY272"/>
      <c r="BB272"/>
      <c r="BC272"/>
      <c r="BD272"/>
      <c r="BE272"/>
      <c r="BF272"/>
      <c r="BJ272"/>
      <c r="BK272"/>
      <c r="BL272"/>
      <c r="BM272"/>
      <c r="BN272"/>
      <c r="BO272"/>
      <c r="BP272"/>
      <c r="BQ272"/>
      <c r="BR272"/>
      <c r="BS272"/>
      <c r="BT272"/>
      <c r="BU272"/>
      <c r="BV272"/>
      <c r="BW272"/>
      <c r="BX272"/>
      <c r="BY272"/>
    </row>
    <row r="273" spans="1:99" ht="14.25" customHeight="1" x14ac:dyDescent="0.2">
      <c r="G273" s="22"/>
      <c r="H273" s="254"/>
      <c r="J273" s="241"/>
      <c r="K273" s="19" t="s">
        <v>146</v>
      </c>
      <c r="L273" s="165">
        <v>0</v>
      </c>
      <c r="M273" s="165">
        <v>0</v>
      </c>
      <c r="N273" s="165">
        <v>0</v>
      </c>
      <c r="O273" s="165">
        <v>0</v>
      </c>
      <c r="P273" s="165">
        <v>0</v>
      </c>
      <c r="Q273" s="165">
        <v>0</v>
      </c>
      <c r="R273" s="165">
        <v>0</v>
      </c>
      <c r="S273" s="165">
        <v>0</v>
      </c>
      <c r="T273" s="165">
        <v>0</v>
      </c>
      <c r="U273" s="165">
        <v>0</v>
      </c>
      <c r="V273" s="165">
        <v>0</v>
      </c>
      <c r="W273" s="165">
        <v>0</v>
      </c>
      <c r="X273" s="165">
        <v>0</v>
      </c>
      <c r="Y273" s="165">
        <v>0</v>
      </c>
      <c r="Z273" s="165">
        <v>0</v>
      </c>
      <c r="AA273" s="165">
        <v>0</v>
      </c>
      <c r="AB273" s="165">
        <v>0</v>
      </c>
      <c r="AC273" s="165">
        <v>0</v>
      </c>
      <c r="AD273" s="165">
        <v>0</v>
      </c>
      <c r="AE273" s="165">
        <v>0</v>
      </c>
      <c r="AF273" s="165">
        <v>0</v>
      </c>
      <c r="AG273" s="165">
        <v>0</v>
      </c>
      <c r="AH273" s="165">
        <v>0</v>
      </c>
      <c r="AI273" s="165">
        <v>0</v>
      </c>
      <c r="AJ273" s="165">
        <v>0</v>
      </c>
      <c r="AK273" s="165">
        <v>0</v>
      </c>
      <c r="AL273" s="165">
        <v>0</v>
      </c>
      <c r="AM273" s="165">
        <v>0</v>
      </c>
      <c r="AN273" s="165">
        <v>0</v>
      </c>
      <c r="AO273" s="165">
        <v>0</v>
      </c>
      <c r="AP273" s="165">
        <v>0</v>
      </c>
      <c r="AQ273" s="165">
        <v>0</v>
      </c>
      <c r="AZ273"/>
      <c r="BA273"/>
    </row>
    <row r="274" spans="1:99" ht="14.25" customHeight="1" x14ac:dyDescent="0.15">
      <c r="A274" s="16" t="s">
        <v>83</v>
      </c>
      <c r="G274" s="22"/>
      <c r="H274" s="254"/>
      <c r="J274" s="241"/>
      <c r="K274" s="144" t="s">
        <v>147</v>
      </c>
      <c r="L274" s="168">
        <v>0</v>
      </c>
      <c r="M274" s="168">
        <v>0</v>
      </c>
      <c r="N274" s="168">
        <v>0</v>
      </c>
      <c r="O274" s="168">
        <v>0</v>
      </c>
      <c r="P274" s="168">
        <v>0</v>
      </c>
      <c r="Q274" s="168">
        <v>0</v>
      </c>
      <c r="R274" s="168">
        <v>0</v>
      </c>
      <c r="S274" s="168">
        <v>0</v>
      </c>
      <c r="T274" s="168">
        <v>0</v>
      </c>
      <c r="U274" s="168">
        <v>0</v>
      </c>
      <c r="V274" s="168">
        <v>0</v>
      </c>
      <c r="W274" s="168">
        <v>0</v>
      </c>
      <c r="X274" s="168">
        <v>0</v>
      </c>
      <c r="Y274" s="168">
        <v>0</v>
      </c>
      <c r="Z274" s="168">
        <v>0</v>
      </c>
      <c r="AA274" s="168">
        <v>0</v>
      </c>
      <c r="AB274" s="168">
        <v>0</v>
      </c>
      <c r="AC274" s="168">
        <v>0</v>
      </c>
      <c r="AD274" s="168">
        <v>0</v>
      </c>
      <c r="AE274" s="168">
        <v>0</v>
      </c>
      <c r="AF274" s="168">
        <v>0</v>
      </c>
      <c r="AG274" s="168">
        <v>0</v>
      </c>
      <c r="AH274" s="168">
        <v>0</v>
      </c>
      <c r="AI274" s="168">
        <v>0</v>
      </c>
      <c r="AJ274" s="168">
        <v>0</v>
      </c>
      <c r="AK274" s="168">
        <v>0</v>
      </c>
      <c r="AL274" s="168">
        <v>0</v>
      </c>
      <c r="AM274" s="168">
        <v>0</v>
      </c>
      <c r="AN274" s="168">
        <v>0</v>
      </c>
      <c r="AO274" s="168">
        <v>0</v>
      </c>
      <c r="AP274" s="168">
        <v>0</v>
      </c>
      <c r="AQ274" s="168">
        <v>0</v>
      </c>
    </row>
    <row r="275" spans="1:99" ht="14.25" customHeight="1" x14ac:dyDescent="0.2">
      <c r="G275" s="22"/>
      <c r="H275" s="254"/>
      <c r="J275" s="241"/>
      <c r="K275" s="140" t="s">
        <v>148</v>
      </c>
      <c r="L275" s="164">
        <v>0</v>
      </c>
      <c r="M275" s="164">
        <v>0</v>
      </c>
      <c r="N275" s="164">
        <v>0</v>
      </c>
      <c r="O275" s="164">
        <v>0</v>
      </c>
      <c r="P275" s="164">
        <v>0</v>
      </c>
      <c r="Q275" s="164">
        <v>0</v>
      </c>
      <c r="R275" s="164">
        <v>0</v>
      </c>
      <c r="S275" s="164">
        <v>0</v>
      </c>
      <c r="T275" s="164">
        <v>0</v>
      </c>
      <c r="U275" s="164">
        <v>0</v>
      </c>
      <c r="V275" s="164">
        <v>0</v>
      </c>
      <c r="W275" s="164">
        <v>0</v>
      </c>
      <c r="X275" s="164">
        <v>0</v>
      </c>
      <c r="Y275" s="164">
        <v>0</v>
      </c>
      <c r="Z275" s="164">
        <v>0</v>
      </c>
      <c r="AA275" s="164">
        <v>0</v>
      </c>
      <c r="AB275" s="164">
        <v>0</v>
      </c>
      <c r="AC275" s="164">
        <v>0</v>
      </c>
      <c r="AD275" s="164">
        <v>0</v>
      </c>
      <c r="AE275" s="164">
        <v>0</v>
      </c>
      <c r="AF275" s="164">
        <v>0</v>
      </c>
      <c r="AG275" s="164">
        <v>0</v>
      </c>
      <c r="AH275" s="164">
        <v>0</v>
      </c>
      <c r="AI275" s="164">
        <v>0</v>
      </c>
      <c r="AJ275" s="164">
        <v>0</v>
      </c>
      <c r="AK275" s="164">
        <v>0</v>
      </c>
      <c r="AL275" s="164">
        <v>0</v>
      </c>
      <c r="AM275" s="164">
        <v>0</v>
      </c>
      <c r="AN275" s="164">
        <v>0</v>
      </c>
      <c r="AO275" s="164">
        <v>0</v>
      </c>
      <c r="AP275" s="164">
        <v>0</v>
      </c>
      <c r="AQ275" s="164">
        <v>0</v>
      </c>
      <c r="AT275"/>
      <c r="AU275"/>
    </row>
    <row r="276" spans="1:99" ht="14.25" customHeight="1" x14ac:dyDescent="0.15">
      <c r="G276" s="22"/>
      <c r="H276" s="254"/>
      <c r="J276" s="241"/>
      <c r="K276" s="19" t="s">
        <v>149</v>
      </c>
      <c r="L276" s="165">
        <v>0</v>
      </c>
      <c r="M276" s="165">
        <v>0</v>
      </c>
      <c r="N276" s="165">
        <v>0</v>
      </c>
      <c r="O276" s="165">
        <v>0</v>
      </c>
      <c r="P276" s="165">
        <v>0</v>
      </c>
      <c r="Q276" s="165">
        <v>0</v>
      </c>
      <c r="R276" s="165">
        <v>0</v>
      </c>
      <c r="S276" s="165">
        <v>0</v>
      </c>
      <c r="T276" s="165">
        <v>0</v>
      </c>
      <c r="U276" s="165">
        <v>0</v>
      </c>
      <c r="V276" s="165">
        <v>0</v>
      </c>
      <c r="W276" s="165">
        <v>0</v>
      </c>
      <c r="X276" s="165">
        <v>0</v>
      </c>
      <c r="Y276" s="165">
        <v>0</v>
      </c>
      <c r="Z276" s="165">
        <v>0</v>
      </c>
      <c r="AA276" s="165">
        <v>0</v>
      </c>
      <c r="AB276" s="165">
        <v>0</v>
      </c>
      <c r="AC276" s="165">
        <v>0</v>
      </c>
      <c r="AD276" s="165">
        <v>0</v>
      </c>
      <c r="AE276" s="165">
        <v>0</v>
      </c>
      <c r="AF276" s="165">
        <v>0</v>
      </c>
      <c r="AG276" s="165">
        <v>0</v>
      </c>
      <c r="AH276" s="165">
        <v>0</v>
      </c>
      <c r="AI276" s="165">
        <v>0</v>
      </c>
      <c r="AJ276" s="165">
        <v>0</v>
      </c>
      <c r="AK276" s="165">
        <v>0</v>
      </c>
      <c r="AL276" s="165">
        <v>0</v>
      </c>
      <c r="AM276" s="165">
        <v>0</v>
      </c>
      <c r="AN276" s="165">
        <v>0</v>
      </c>
      <c r="AO276" s="165">
        <v>0</v>
      </c>
      <c r="AP276" s="165">
        <v>0</v>
      </c>
      <c r="AQ276" s="165">
        <v>0</v>
      </c>
    </row>
    <row r="277" spans="1:99" ht="14.25" customHeight="1" thickBot="1" x14ac:dyDescent="0.2">
      <c r="G277" s="22"/>
      <c r="H277" s="254"/>
      <c r="J277" s="241"/>
      <c r="K277" s="144" t="s">
        <v>150</v>
      </c>
      <c r="L277" s="166">
        <v>0</v>
      </c>
      <c r="M277" s="166">
        <v>0</v>
      </c>
      <c r="N277" s="166">
        <v>0</v>
      </c>
      <c r="O277" s="166">
        <v>0</v>
      </c>
      <c r="P277" s="166">
        <v>0</v>
      </c>
      <c r="Q277" s="166">
        <v>0</v>
      </c>
      <c r="R277" s="166">
        <v>0</v>
      </c>
      <c r="S277" s="166">
        <v>0</v>
      </c>
      <c r="T277" s="166">
        <v>0</v>
      </c>
      <c r="U277" s="166">
        <v>0</v>
      </c>
      <c r="V277" s="166">
        <v>0</v>
      </c>
      <c r="W277" s="166">
        <v>0</v>
      </c>
      <c r="X277" s="166">
        <v>0</v>
      </c>
      <c r="Y277" s="166">
        <v>0</v>
      </c>
      <c r="Z277" s="166">
        <v>0</v>
      </c>
      <c r="AA277" s="166">
        <v>0</v>
      </c>
      <c r="AB277" s="166">
        <v>0</v>
      </c>
      <c r="AC277" s="166">
        <v>0</v>
      </c>
      <c r="AD277" s="166">
        <v>0</v>
      </c>
      <c r="AE277" s="166">
        <v>0</v>
      </c>
      <c r="AF277" s="166">
        <v>0</v>
      </c>
      <c r="AG277" s="166">
        <v>0</v>
      </c>
      <c r="AH277" s="166">
        <v>0</v>
      </c>
      <c r="AI277" s="166">
        <v>0</v>
      </c>
      <c r="AJ277" s="166">
        <v>0</v>
      </c>
      <c r="AK277" s="166">
        <v>0</v>
      </c>
      <c r="AL277" s="166">
        <v>0</v>
      </c>
      <c r="AM277" s="166">
        <v>0</v>
      </c>
      <c r="AN277" s="166">
        <v>0</v>
      </c>
      <c r="AO277" s="166">
        <v>0</v>
      </c>
      <c r="AP277" s="166">
        <v>0</v>
      </c>
      <c r="AQ277" s="166">
        <v>0</v>
      </c>
    </row>
    <row r="278" spans="1:99" ht="14.25" customHeight="1" thickTop="1" x14ac:dyDescent="0.2">
      <c r="G278" s="22"/>
      <c r="H278" s="254"/>
      <c r="J278" s="241"/>
      <c r="K278" s="140" t="s">
        <v>151</v>
      </c>
      <c r="L278" s="167">
        <v>0</v>
      </c>
      <c r="M278" s="167">
        <v>0</v>
      </c>
      <c r="N278" s="167">
        <v>0</v>
      </c>
      <c r="O278" s="167">
        <v>0</v>
      </c>
      <c r="P278" s="167">
        <v>0</v>
      </c>
      <c r="Q278" s="167">
        <v>0</v>
      </c>
      <c r="R278" s="167">
        <v>0</v>
      </c>
      <c r="S278" s="167">
        <v>0</v>
      </c>
      <c r="T278" s="167">
        <v>0</v>
      </c>
      <c r="U278" s="167">
        <v>0</v>
      </c>
      <c r="V278" s="167">
        <v>0</v>
      </c>
      <c r="W278" s="167">
        <v>0</v>
      </c>
      <c r="X278" s="167">
        <v>0</v>
      </c>
      <c r="Y278" s="167">
        <v>0</v>
      </c>
      <c r="Z278" s="167">
        <v>0</v>
      </c>
      <c r="AA278" s="167">
        <v>0</v>
      </c>
      <c r="AB278" s="167">
        <v>0</v>
      </c>
      <c r="AC278" s="167">
        <v>0</v>
      </c>
      <c r="AD278" s="167">
        <v>0</v>
      </c>
      <c r="AE278" s="167">
        <v>0</v>
      </c>
      <c r="AF278" s="167">
        <v>0</v>
      </c>
      <c r="AG278" s="167">
        <v>0</v>
      </c>
      <c r="AH278" s="167">
        <v>0</v>
      </c>
      <c r="AI278" s="167">
        <v>0</v>
      </c>
      <c r="AJ278" s="167">
        <v>0</v>
      </c>
      <c r="AK278" s="167">
        <v>0</v>
      </c>
      <c r="AL278" s="167">
        <v>0</v>
      </c>
      <c r="AM278" s="167">
        <v>0</v>
      </c>
      <c r="AN278" s="167">
        <v>0</v>
      </c>
      <c r="AO278" s="167">
        <v>0</v>
      </c>
      <c r="AP278" s="167">
        <v>0</v>
      </c>
      <c r="AQ278" s="167">
        <v>0</v>
      </c>
      <c r="AR278"/>
      <c r="AS278"/>
    </row>
    <row r="279" spans="1:99" ht="14.25" customHeight="1" x14ac:dyDescent="0.2">
      <c r="G279" s="22"/>
      <c r="H279" s="254"/>
      <c r="J279" s="241"/>
      <c r="K279" s="19" t="s">
        <v>152</v>
      </c>
      <c r="L279" s="165">
        <v>0</v>
      </c>
      <c r="M279" s="165">
        <v>0</v>
      </c>
      <c r="N279" s="165">
        <v>0</v>
      </c>
      <c r="O279" s="165">
        <v>0</v>
      </c>
      <c r="P279" s="165">
        <v>0</v>
      </c>
      <c r="Q279" s="165">
        <v>0</v>
      </c>
      <c r="R279" s="165">
        <v>0</v>
      </c>
      <c r="S279" s="165">
        <v>0</v>
      </c>
      <c r="T279" s="165">
        <v>0</v>
      </c>
      <c r="U279" s="165">
        <v>0</v>
      </c>
      <c r="V279" s="165">
        <v>0</v>
      </c>
      <c r="W279" s="165">
        <v>0</v>
      </c>
      <c r="X279" s="165">
        <v>0</v>
      </c>
      <c r="Y279" s="165">
        <v>0</v>
      </c>
      <c r="Z279" s="165">
        <v>0</v>
      </c>
      <c r="AA279" s="165">
        <v>0</v>
      </c>
      <c r="AB279" s="165">
        <v>0</v>
      </c>
      <c r="AC279" s="165">
        <v>0</v>
      </c>
      <c r="AD279" s="165">
        <v>0</v>
      </c>
      <c r="AE279" s="165">
        <v>0</v>
      </c>
      <c r="AF279" s="165">
        <v>0</v>
      </c>
      <c r="AG279" s="165">
        <v>0</v>
      </c>
      <c r="AH279" s="165">
        <v>0</v>
      </c>
      <c r="AI279" s="165">
        <v>0</v>
      </c>
      <c r="AJ279" s="165">
        <v>0</v>
      </c>
      <c r="AK279" s="165">
        <v>0</v>
      </c>
      <c r="AL279" s="165">
        <v>0</v>
      </c>
      <c r="AM279" s="165">
        <v>0</v>
      </c>
      <c r="AN279" s="165">
        <v>0</v>
      </c>
      <c r="AO279" s="165">
        <v>0</v>
      </c>
      <c r="AP279" s="165">
        <v>0</v>
      </c>
      <c r="AQ279" s="165">
        <v>0</v>
      </c>
      <c r="CN279"/>
      <c r="CO279"/>
      <c r="CP279"/>
      <c r="CQ279"/>
      <c r="CR279"/>
      <c r="CS279"/>
      <c r="CT279"/>
      <c r="CU279"/>
    </row>
    <row r="280" spans="1:99" ht="14.25" customHeight="1" thickBot="1" x14ac:dyDescent="0.25">
      <c r="G280" s="22"/>
      <c r="H280" s="254"/>
      <c r="J280" s="241"/>
      <c r="K280" s="144" t="s">
        <v>153</v>
      </c>
      <c r="L280" s="166">
        <v>0</v>
      </c>
      <c r="M280" s="166">
        <v>0</v>
      </c>
      <c r="N280" s="166">
        <v>0</v>
      </c>
      <c r="O280" s="166">
        <v>0</v>
      </c>
      <c r="P280" s="166">
        <v>0</v>
      </c>
      <c r="Q280" s="166">
        <v>0</v>
      </c>
      <c r="R280" s="166">
        <v>0</v>
      </c>
      <c r="S280" s="166">
        <v>0</v>
      </c>
      <c r="T280" s="166">
        <v>0</v>
      </c>
      <c r="U280" s="166">
        <v>0</v>
      </c>
      <c r="V280" s="166">
        <v>0</v>
      </c>
      <c r="W280" s="166">
        <v>0</v>
      </c>
      <c r="X280" s="166">
        <v>0</v>
      </c>
      <c r="Y280" s="166">
        <v>0</v>
      </c>
      <c r="Z280" s="166">
        <v>0</v>
      </c>
      <c r="AA280" s="166">
        <v>0</v>
      </c>
      <c r="AB280" s="166">
        <v>0</v>
      </c>
      <c r="AC280" s="166">
        <v>0</v>
      </c>
      <c r="AD280" s="166">
        <v>0</v>
      </c>
      <c r="AE280" s="166">
        <v>0</v>
      </c>
      <c r="AF280" s="166">
        <v>0</v>
      </c>
      <c r="AG280" s="166">
        <v>0</v>
      </c>
      <c r="AH280" s="166">
        <v>0</v>
      </c>
      <c r="AI280" s="166">
        <v>0</v>
      </c>
      <c r="AJ280" s="166">
        <v>0</v>
      </c>
      <c r="AK280" s="166">
        <v>0</v>
      </c>
      <c r="AL280" s="166">
        <v>0</v>
      </c>
      <c r="AM280" s="166">
        <v>0</v>
      </c>
      <c r="AN280" s="166">
        <v>0</v>
      </c>
      <c r="AO280" s="166">
        <v>0</v>
      </c>
      <c r="AP280" s="166">
        <v>0</v>
      </c>
      <c r="AQ280" s="166">
        <v>0</v>
      </c>
      <c r="BG280"/>
      <c r="BH280"/>
      <c r="BI280"/>
    </row>
    <row r="281" spans="1:99" ht="14.25" customHeight="1" thickTop="1" x14ac:dyDescent="0.2">
      <c r="G281" s="22"/>
      <c r="H281" s="254"/>
      <c r="J281" s="241"/>
      <c r="K281" s="140" t="s">
        <v>154</v>
      </c>
      <c r="L281" s="167">
        <v>0</v>
      </c>
      <c r="M281" s="167">
        <v>0</v>
      </c>
      <c r="N281" s="167">
        <v>0</v>
      </c>
      <c r="O281" s="167">
        <v>0</v>
      </c>
      <c r="P281" s="167">
        <v>0</v>
      </c>
      <c r="Q281" s="167">
        <v>0</v>
      </c>
      <c r="R281" s="167">
        <v>0</v>
      </c>
      <c r="S281" s="167">
        <v>0</v>
      </c>
      <c r="T281" s="167">
        <v>0</v>
      </c>
      <c r="U281" s="167">
        <v>0</v>
      </c>
      <c r="V281" s="167">
        <v>0</v>
      </c>
      <c r="W281" s="167">
        <v>0</v>
      </c>
      <c r="X281" s="167">
        <v>0</v>
      </c>
      <c r="Y281" s="167">
        <v>0</v>
      </c>
      <c r="Z281" s="167">
        <v>0</v>
      </c>
      <c r="AA281" s="167">
        <v>0</v>
      </c>
      <c r="AB281" s="167">
        <v>0</v>
      </c>
      <c r="AC281" s="167">
        <v>0</v>
      </c>
      <c r="AD281" s="167">
        <v>0</v>
      </c>
      <c r="AE281" s="167">
        <v>0</v>
      </c>
      <c r="AF281" s="167">
        <v>0</v>
      </c>
      <c r="AG281" s="167">
        <v>0</v>
      </c>
      <c r="AH281" s="167">
        <v>0</v>
      </c>
      <c r="AI281" s="167">
        <v>0</v>
      </c>
      <c r="AJ281" s="167">
        <v>0</v>
      </c>
      <c r="AK281" s="167">
        <v>0</v>
      </c>
      <c r="AL281" s="167">
        <v>0</v>
      </c>
      <c r="AM281" s="167">
        <v>0</v>
      </c>
      <c r="AN281" s="167">
        <v>0</v>
      </c>
      <c r="AO281" s="167">
        <v>0</v>
      </c>
      <c r="AP281" s="167">
        <v>0</v>
      </c>
      <c r="AQ281" s="167">
        <v>0</v>
      </c>
      <c r="AV281"/>
      <c r="AW281"/>
      <c r="AX281"/>
      <c r="AY281"/>
      <c r="BB281"/>
      <c r="BC281"/>
      <c r="BD281"/>
      <c r="BE281"/>
      <c r="BF281"/>
      <c r="BJ281"/>
      <c r="BK281"/>
      <c r="BL281"/>
      <c r="BM281"/>
      <c r="BN281"/>
      <c r="BO281"/>
      <c r="BP281"/>
      <c r="BQ281"/>
      <c r="BR281"/>
      <c r="BS281"/>
      <c r="BT281"/>
      <c r="BU281"/>
      <c r="BV281"/>
      <c r="BW281"/>
      <c r="BX281"/>
      <c r="BY281"/>
    </row>
    <row r="282" spans="1:99" ht="14.25" customHeight="1" x14ac:dyDescent="0.2">
      <c r="G282" s="22"/>
      <c r="H282" s="254"/>
      <c r="J282" s="241"/>
      <c r="K282" s="19" t="s">
        <v>155</v>
      </c>
      <c r="L282" s="165">
        <v>0</v>
      </c>
      <c r="M282" s="165">
        <v>0</v>
      </c>
      <c r="N282" s="165">
        <v>0</v>
      </c>
      <c r="O282" s="165">
        <v>0</v>
      </c>
      <c r="P282" s="165">
        <v>0</v>
      </c>
      <c r="Q282" s="165">
        <v>0</v>
      </c>
      <c r="R282" s="165">
        <v>0</v>
      </c>
      <c r="S282" s="165">
        <v>0</v>
      </c>
      <c r="T282" s="165">
        <v>0</v>
      </c>
      <c r="U282" s="165">
        <v>0</v>
      </c>
      <c r="V282" s="165">
        <v>0</v>
      </c>
      <c r="W282" s="165">
        <v>0</v>
      </c>
      <c r="X282" s="165">
        <v>0</v>
      </c>
      <c r="Y282" s="165">
        <v>0</v>
      </c>
      <c r="Z282" s="165">
        <v>0</v>
      </c>
      <c r="AA282" s="165">
        <v>0</v>
      </c>
      <c r="AB282" s="165">
        <v>0</v>
      </c>
      <c r="AC282" s="165">
        <v>0</v>
      </c>
      <c r="AD282" s="165">
        <v>0</v>
      </c>
      <c r="AE282" s="165">
        <v>0</v>
      </c>
      <c r="AF282" s="165">
        <v>0</v>
      </c>
      <c r="AG282" s="165">
        <v>0</v>
      </c>
      <c r="AH282" s="165">
        <v>0</v>
      </c>
      <c r="AI282" s="165">
        <v>0</v>
      </c>
      <c r="AJ282" s="165">
        <v>0</v>
      </c>
      <c r="AK282" s="165">
        <v>0</v>
      </c>
      <c r="AL282" s="165">
        <v>0</v>
      </c>
      <c r="AM282" s="165">
        <v>0</v>
      </c>
      <c r="AN282" s="165">
        <v>0</v>
      </c>
      <c r="AO282" s="165">
        <v>0</v>
      </c>
      <c r="AP282" s="165">
        <v>0</v>
      </c>
      <c r="AQ282" s="165">
        <v>0</v>
      </c>
      <c r="AZ282"/>
      <c r="BA282"/>
    </row>
    <row r="283" spans="1:99" ht="14.25" customHeight="1" thickBot="1" x14ac:dyDescent="0.2">
      <c r="A283" s="16" t="s">
        <v>83</v>
      </c>
      <c r="G283" s="22"/>
      <c r="H283" s="254"/>
      <c r="J283" s="241"/>
      <c r="K283" s="144" t="s">
        <v>156</v>
      </c>
      <c r="L283" s="168">
        <v>0</v>
      </c>
      <c r="M283" s="168">
        <v>0</v>
      </c>
      <c r="N283" s="168">
        <v>0</v>
      </c>
      <c r="O283" s="168">
        <v>0</v>
      </c>
      <c r="P283" s="168">
        <v>0</v>
      </c>
      <c r="Q283" s="168">
        <v>0</v>
      </c>
      <c r="R283" s="168">
        <v>0</v>
      </c>
      <c r="S283" s="168">
        <v>0</v>
      </c>
      <c r="T283" s="168">
        <v>0</v>
      </c>
      <c r="U283" s="168">
        <v>0</v>
      </c>
      <c r="V283" s="168">
        <v>0</v>
      </c>
      <c r="W283" s="168">
        <v>0</v>
      </c>
      <c r="X283" s="168">
        <v>0</v>
      </c>
      <c r="Y283" s="168">
        <v>0</v>
      </c>
      <c r="Z283" s="168">
        <v>0</v>
      </c>
      <c r="AA283" s="168">
        <v>0</v>
      </c>
      <c r="AB283" s="168">
        <v>0</v>
      </c>
      <c r="AC283" s="168">
        <v>0</v>
      </c>
      <c r="AD283" s="168">
        <v>0</v>
      </c>
      <c r="AE283" s="168">
        <v>0</v>
      </c>
      <c r="AF283" s="168">
        <v>0</v>
      </c>
      <c r="AG283" s="168">
        <v>0</v>
      </c>
      <c r="AH283" s="168">
        <v>0</v>
      </c>
      <c r="AI283" s="168">
        <v>0</v>
      </c>
      <c r="AJ283" s="168">
        <v>0</v>
      </c>
      <c r="AK283" s="168">
        <v>0</v>
      </c>
      <c r="AL283" s="168">
        <v>0</v>
      </c>
      <c r="AM283" s="168">
        <v>0</v>
      </c>
      <c r="AN283" s="168">
        <v>0</v>
      </c>
      <c r="AO283" s="168">
        <v>0</v>
      </c>
      <c r="AP283" s="168">
        <v>0</v>
      </c>
      <c r="AQ283" s="168">
        <v>0</v>
      </c>
    </row>
    <row r="284" spans="1:99" ht="14.25" customHeight="1" thickTop="1" x14ac:dyDescent="0.2">
      <c r="G284" s="22"/>
      <c r="H284" s="254"/>
      <c r="J284" s="241"/>
      <c r="K284" s="140" t="s">
        <v>157</v>
      </c>
      <c r="L284" s="167">
        <v>0</v>
      </c>
      <c r="M284" s="167">
        <v>0</v>
      </c>
      <c r="N284" s="167">
        <v>0</v>
      </c>
      <c r="O284" s="167">
        <v>0</v>
      </c>
      <c r="P284" s="167">
        <v>0</v>
      </c>
      <c r="Q284" s="167">
        <v>0</v>
      </c>
      <c r="R284" s="167">
        <v>0</v>
      </c>
      <c r="S284" s="167">
        <v>0</v>
      </c>
      <c r="T284" s="167">
        <v>0</v>
      </c>
      <c r="U284" s="167">
        <v>0</v>
      </c>
      <c r="V284" s="167">
        <v>0</v>
      </c>
      <c r="W284" s="167">
        <v>0</v>
      </c>
      <c r="X284" s="167">
        <v>0</v>
      </c>
      <c r="Y284" s="167">
        <v>0</v>
      </c>
      <c r="Z284" s="167">
        <v>0</v>
      </c>
      <c r="AA284" s="167">
        <v>0</v>
      </c>
      <c r="AB284" s="167">
        <v>0</v>
      </c>
      <c r="AC284" s="167">
        <v>0</v>
      </c>
      <c r="AD284" s="167">
        <v>0</v>
      </c>
      <c r="AE284" s="167">
        <v>0</v>
      </c>
      <c r="AF284" s="167">
        <v>0</v>
      </c>
      <c r="AG284" s="167">
        <v>0</v>
      </c>
      <c r="AH284" s="167">
        <v>0</v>
      </c>
      <c r="AI284" s="167">
        <v>0</v>
      </c>
      <c r="AJ284" s="167">
        <v>0</v>
      </c>
      <c r="AK284" s="167">
        <v>0</v>
      </c>
      <c r="AL284" s="167">
        <v>0</v>
      </c>
      <c r="AM284" s="167">
        <v>0</v>
      </c>
      <c r="AN284" s="167">
        <v>0</v>
      </c>
      <c r="AO284" s="167">
        <v>0</v>
      </c>
      <c r="AP284" s="167">
        <v>0</v>
      </c>
      <c r="AQ284" s="167">
        <v>0</v>
      </c>
      <c r="AV284"/>
      <c r="AW284"/>
      <c r="AX284"/>
      <c r="AY284"/>
      <c r="BB284"/>
      <c r="BC284"/>
      <c r="BD284"/>
      <c r="BE284"/>
      <c r="BF284"/>
      <c r="BJ284"/>
      <c r="BK284"/>
      <c r="BL284"/>
      <c r="BM284"/>
      <c r="BN284"/>
      <c r="BO284"/>
      <c r="BP284"/>
      <c r="BQ284"/>
      <c r="BR284"/>
      <c r="BS284"/>
      <c r="BT284"/>
      <c r="BU284"/>
      <c r="BV284"/>
      <c r="BW284"/>
      <c r="BX284"/>
      <c r="BY284"/>
    </row>
    <row r="285" spans="1:99" ht="14.25" customHeight="1" x14ac:dyDescent="0.2">
      <c r="G285" s="22"/>
      <c r="H285" s="254"/>
      <c r="J285" s="241"/>
      <c r="K285" s="19" t="s">
        <v>158</v>
      </c>
      <c r="L285" s="165">
        <v>0</v>
      </c>
      <c r="M285" s="165">
        <v>0</v>
      </c>
      <c r="N285" s="165">
        <v>0</v>
      </c>
      <c r="O285" s="165">
        <v>0</v>
      </c>
      <c r="P285" s="165">
        <v>0</v>
      </c>
      <c r="Q285" s="165">
        <v>0</v>
      </c>
      <c r="R285" s="165">
        <v>0</v>
      </c>
      <c r="S285" s="165">
        <v>0</v>
      </c>
      <c r="T285" s="165">
        <v>0</v>
      </c>
      <c r="U285" s="165">
        <v>0</v>
      </c>
      <c r="V285" s="165">
        <v>0</v>
      </c>
      <c r="W285" s="165">
        <v>0</v>
      </c>
      <c r="X285" s="165">
        <v>0</v>
      </c>
      <c r="Y285" s="165">
        <v>0</v>
      </c>
      <c r="Z285" s="165">
        <v>0</v>
      </c>
      <c r="AA285" s="165">
        <v>0</v>
      </c>
      <c r="AB285" s="165">
        <v>0</v>
      </c>
      <c r="AC285" s="165">
        <v>0</v>
      </c>
      <c r="AD285" s="165">
        <v>0</v>
      </c>
      <c r="AE285" s="165">
        <v>0</v>
      </c>
      <c r="AF285" s="165">
        <v>0</v>
      </c>
      <c r="AG285" s="165">
        <v>0</v>
      </c>
      <c r="AH285" s="165">
        <v>0</v>
      </c>
      <c r="AI285" s="165">
        <v>0</v>
      </c>
      <c r="AJ285" s="165">
        <v>0</v>
      </c>
      <c r="AK285" s="165">
        <v>0</v>
      </c>
      <c r="AL285" s="165">
        <v>0</v>
      </c>
      <c r="AM285" s="165">
        <v>0</v>
      </c>
      <c r="AN285" s="165">
        <v>0</v>
      </c>
      <c r="AO285" s="165">
        <v>0</v>
      </c>
      <c r="AP285" s="165">
        <v>0</v>
      </c>
      <c r="AQ285" s="165">
        <v>0</v>
      </c>
      <c r="AZ285"/>
      <c r="BA285"/>
    </row>
    <row r="286" spans="1:99" ht="14.25" customHeight="1" thickBot="1" x14ac:dyDescent="0.2">
      <c r="A286" s="16" t="s">
        <v>83</v>
      </c>
      <c r="G286" s="22"/>
      <c r="H286" s="254"/>
      <c r="J286" s="241"/>
      <c r="K286" s="144" t="s">
        <v>159</v>
      </c>
      <c r="L286" s="168">
        <v>0</v>
      </c>
      <c r="M286" s="168">
        <v>0</v>
      </c>
      <c r="N286" s="168">
        <v>0</v>
      </c>
      <c r="O286" s="168">
        <v>0</v>
      </c>
      <c r="P286" s="168">
        <v>0</v>
      </c>
      <c r="Q286" s="168">
        <v>0</v>
      </c>
      <c r="R286" s="168">
        <v>0</v>
      </c>
      <c r="S286" s="168">
        <v>0</v>
      </c>
      <c r="T286" s="168">
        <v>0</v>
      </c>
      <c r="U286" s="168">
        <v>0</v>
      </c>
      <c r="V286" s="168">
        <v>0</v>
      </c>
      <c r="W286" s="168">
        <v>0</v>
      </c>
      <c r="X286" s="168">
        <v>0</v>
      </c>
      <c r="Y286" s="168">
        <v>0</v>
      </c>
      <c r="Z286" s="168">
        <v>0</v>
      </c>
      <c r="AA286" s="168">
        <v>0</v>
      </c>
      <c r="AB286" s="168">
        <v>0</v>
      </c>
      <c r="AC286" s="168">
        <v>0</v>
      </c>
      <c r="AD286" s="168">
        <v>0</v>
      </c>
      <c r="AE286" s="168">
        <v>0</v>
      </c>
      <c r="AF286" s="168">
        <v>0</v>
      </c>
      <c r="AG286" s="168">
        <v>0</v>
      </c>
      <c r="AH286" s="168">
        <v>0</v>
      </c>
      <c r="AI286" s="168">
        <v>0</v>
      </c>
      <c r="AJ286" s="168">
        <v>0</v>
      </c>
      <c r="AK286" s="168">
        <v>0</v>
      </c>
      <c r="AL286" s="168">
        <v>0</v>
      </c>
      <c r="AM286" s="168">
        <v>0</v>
      </c>
      <c r="AN286" s="168">
        <v>0</v>
      </c>
      <c r="AO286" s="168">
        <v>0</v>
      </c>
      <c r="AP286" s="168">
        <v>0</v>
      </c>
      <c r="AQ286" s="168">
        <v>0</v>
      </c>
    </row>
    <row r="287" spans="1:99" ht="14.25" customHeight="1" thickTop="1" x14ac:dyDescent="0.2">
      <c r="G287" s="22"/>
      <c r="H287" s="254"/>
      <c r="J287" s="241"/>
      <c r="K287" s="140" t="s">
        <v>160</v>
      </c>
      <c r="L287" s="167">
        <v>0</v>
      </c>
      <c r="M287" s="167">
        <v>0</v>
      </c>
      <c r="N287" s="167">
        <v>0</v>
      </c>
      <c r="O287" s="167">
        <v>0</v>
      </c>
      <c r="P287" s="167">
        <v>0</v>
      </c>
      <c r="Q287" s="167">
        <v>0</v>
      </c>
      <c r="R287" s="167">
        <v>0</v>
      </c>
      <c r="S287" s="167">
        <v>0</v>
      </c>
      <c r="T287" s="167">
        <v>0</v>
      </c>
      <c r="U287" s="167">
        <v>0</v>
      </c>
      <c r="V287" s="167">
        <v>0</v>
      </c>
      <c r="W287" s="167">
        <v>0</v>
      </c>
      <c r="X287" s="167">
        <v>0</v>
      </c>
      <c r="Y287" s="167">
        <v>0</v>
      </c>
      <c r="Z287" s="167">
        <v>0</v>
      </c>
      <c r="AA287" s="167">
        <v>0</v>
      </c>
      <c r="AB287" s="167">
        <v>0</v>
      </c>
      <c r="AC287" s="167">
        <v>0</v>
      </c>
      <c r="AD287" s="167">
        <v>0</v>
      </c>
      <c r="AE287" s="167">
        <v>0</v>
      </c>
      <c r="AF287" s="167">
        <v>0</v>
      </c>
      <c r="AG287" s="167">
        <v>0</v>
      </c>
      <c r="AH287" s="167">
        <v>0</v>
      </c>
      <c r="AI287" s="167">
        <v>0</v>
      </c>
      <c r="AJ287" s="167">
        <v>0</v>
      </c>
      <c r="AK287" s="167">
        <v>0</v>
      </c>
      <c r="AL287" s="167">
        <v>0</v>
      </c>
      <c r="AM287" s="167">
        <v>0</v>
      </c>
      <c r="AN287" s="167">
        <v>0</v>
      </c>
      <c r="AO287" s="167">
        <v>0</v>
      </c>
      <c r="AP287" s="167">
        <v>0</v>
      </c>
      <c r="AQ287" s="167">
        <v>0</v>
      </c>
      <c r="AV287"/>
      <c r="AW287"/>
      <c r="AX287"/>
      <c r="AY287"/>
      <c r="BB287"/>
      <c r="BC287"/>
      <c r="BD287"/>
      <c r="BE287"/>
      <c r="BF287"/>
      <c r="BJ287"/>
      <c r="BK287"/>
      <c r="BL287"/>
      <c r="BM287"/>
      <c r="BN287"/>
      <c r="BO287"/>
      <c r="BP287"/>
      <c r="BQ287"/>
      <c r="BR287"/>
      <c r="BS287"/>
      <c r="BT287"/>
      <c r="BU287"/>
      <c r="BV287"/>
      <c r="BW287"/>
      <c r="BX287"/>
      <c r="BY287"/>
    </row>
    <row r="288" spans="1:99" ht="14.25" customHeight="1" x14ac:dyDescent="0.2">
      <c r="G288" s="22"/>
      <c r="H288" s="254"/>
      <c r="J288" s="241"/>
      <c r="K288" s="19" t="s">
        <v>161</v>
      </c>
      <c r="L288" s="165">
        <v>0</v>
      </c>
      <c r="M288" s="165">
        <v>0</v>
      </c>
      <c r="N288" s="165">
        <v>0</v>
      </c>
      <c r="O288" s="165">
        <v>0</v>
      </c>
      <c r="P288" s="165">
        <v>0</v>
      </c>
      <c r="Q288" s="165">
        <v>0</v>
      </c>
      <c r="R288" s="165">
        <v>0</v>
      </c>
      <c r="S288" s="165">
        <v>0</v>
      </c>
      <c r="T288" s="165">
        <v>0</v>
      </c>
      <c r="U288" s="165">
        <v>0</v>
      </c>
      <c r="V288" s="165">
        <v>0</v>
      </c>
      <c r="W288" s="165">
        <v>0</v>
      </c>
      <c r="X288" s="165">
        <v>0</v>
      </c>
      <c r="Y288" s="165">
        <v>0</v>
      </c>
      <c r="Z288" s="165">
        <v>0</v>
      </c>
      <c r="AA288" s="165">
        <v>0</v>
      </c>
      <c r="AB288" s="165">
        <v>0</v>
      </c>
      <c r="AC288" s="165">
        <v>0</v>
      </c>
      <c r="AD288" s="165">
        <v>0</v>
      </c>
      <c r="AE288" s="165">
        <v>0</v>
      </c>
      <c r="AF288" s="165">
        <v>0</v>
      </c>
      <c r="AG288" s="165">
        <v>0</v>
      </c>
      <c r="AH288" s="165">
        <v>0</v>
      </c>
      <c r="AI288" s="165">
        <v>0</v>
      </c>
      <c r="AJ288" s="165">
        <v>0</v>
      </c>
      <c r="AK288" s="165">
        <v>0</v>
      </c>
      <c r="AL288" s="165">
        <v>0</v>
      </c>
      <c r="AM288" s="165">
        <v>0</v>
      </c>
      <c r="AN288" s="165">
        <v>0</v>
      </c>
      <c r="AO288" s="165">
        <v>0</v>
      </c>
      <c r="AP288" s="165">
        <v>0</v>
      </c>
      <c r="AQ288" s="165">
        <v>0</v>
      </c>
      <c r="AZ288"/>
      <c r="BA288"/>
    </row>
    <row r="289" spans="1:91" ht="14.25" customHeight="1" x14ac:dyDescent="0.15">
      <c r="A289" s="16" t="s">
        <v>83</v>
      </c>
      <c r="G289" s="22"/>
      <c r="H289" s="254"/>
      <c r="J289" s="251"/>
      <c r="K289" s="144" t="s">
        <v>162</v>
      </c>
      <c r="L289" s="168">
        <v>0</v>
      </c>
      <c r="M289" s="168">
        <v>0</v>
      </c>
      <c r="N289" s="168">
        <v>0</v>
      </c>
      <c r="O289" s="168">
        <v>0</v>
      </c>
      <c r="P289" s="168">
        <v>0</v>
      </c>
      <c r="Q289" s="168">
        <v>0</v>
      </c>
      <c r="R289" s="168">
        <v>0</v>
      </c>
      <c r="S289" s="168">
        <v>0</v>
      </c>
      <c r="T289" s="168">
        <v>0</v>
      </c>
      <c r="U289" s="168">
        <v>0</v>
      </c>
      <c r="V289" s="168">
        <v>0</v>
      </c>
      <c r="W289" s="168">
        <v>0</v>
      </c>
      <c r="X289" s="168">
        <v>0</v>
      </c>
      <c r="Y289" s="168">
        <v>0</v>
      </c>
      <c r="Z289" s="168">
        <v>0</v>
      </c>
      <c r="AA289" s="168">
        <v>0</v>
      </c>
      <c r="AB289" s="168">
        <v>0</v>
      </c>
      <c r="AC289" s="168">
        <v>0</v>
      </c>
      <c r="AD289" s="168">
        <v>0</v>
      </c>
      <c r="AE289" s="168">
        <v>0</v>
      </c>
      <c r="AF289" s="168">
        <v>0</v>
      </c>
      <c r="AG289" s="168">
        <v>0</v>
      </c>
      <c r="AH289" s="168">
        <v>0</v>
      </c>
      <c r="AI289" s="168">
        <v>0</v>
      </c>
      <c r="AJ289" s="168">
        <v>0</v>
      </c>
      <c r="AK289" s="168">
        <v>0</v>
      </c>
      <c r="AL289" s="168">
        <v>0</v>
      </c>
      <c r="AM289" s="168">
        <v>0</v>
      </c>
      <c r="AN289" s="168">
        <v>0</v>
      </c>
      <c r="AO289" s="168">
        <v>0</v>
      </c>
      <c r="AP289" s="168">
        <v>0</v>
      </c>
      <c r="AQ289" s="168">
        <v>0</v>
      </c>
    </row>
    <row r="290" spans="1:91" ht="14.25" customHeight="1" thickBot="1" x14ac:dyDescent="0.2">
      <c r="G290" s="22"/>
      <c r="J290" s="169"/>
      <c r="K290" s="169"/>
      <c r="L290" s="169"/>
      <c r="M290" s="169"/>
      <c r="N290" s="169"/>
      <c r="O290" s="169"/>
      <c r="P290" s="169"/>
      <c r="Q290" s="169"/>
      <c r="R290" s="169"/>
      <c r="S290" s="169"/>
      <c r="T290" s="169"/>
      <c r="U290" s="169"/>
      <c r="V290" s="169"/>
      <c r="W290" s="169"/>
      <c r="X290" s="169"/>
      <c r="Y290" s="169"/>
      <c r="Z290" s="169"/>
      <c r="AA290" s="169"/>
      <c r="AB290" s="169"/>
      <c r="AC290" s="169"/>
      <c r="AD290" s="169"/>
      <c r="AE290" s="169"/>
      <c r="AF290" s="169"/>
      <c r="AG290" s="169"/>
      <c r="AH290" s="169"/>
      <c r="AI290" s="169"/>
      <c r="AJ290" s="169"/>
      <c r="AK290" s="169"/>
      <c r="AL290" s="169"/>
      <c r="AM290" s="169"/>
      <c r="AN290" s="169"/>
      <c r="AO290" s="169"/>
      <c r="AP290" s="169"/>
      <c r="AQ290" s="169"/>
    </row>
    <row r="291" spans="1:91" ht="14.25" customHeight="1" x14ac:dyDescent="0.2">
      <c r="G291" s="22"/>
      <c r="J291" s="170"/>
      <c r="K291" s="170"/>
      <c r="L291" s="170"/>
      <c r="M291" s="170"/>
      <c r="N291" s="170"/>
      <c r="O291" s="170"/>
      <c r="P291" s="170"/>
      <c r="Q291" s="170"/>
      <c r="R291" s="170"/>
      <c r="S291" s="170"/>
      <c r="T291" s="170"/>
      <c r="U291" s="170"/>
      <c r="V291" s="170"/>
      <c r="W291" s="170"/>
      <c r="X291" s="170"/>
      <c r="Y291" s="170"/>
      <c r="Z291" s="170"/>
      <c r="AA291" s="170"/>
      <c r="AB291" s="170"/>
      <c r="AC291" s="170"/>
      <c r="AD291" s="170"/>
      <c r="AE291" s="170"/>
      <c r="AF291" s="170"/>
      <c r="AG291" s="170"/>
      <c r="AH291" s="170"/>
      <c r="AI291" s="170"/>
      <c r="AJ291" s="170"/>
      <c r="AK291" s="170"/>
      <c r="AL291" s="170"/>
      <c r="AM291" s="170"/>
      <c r="AN291" s="170"/>
      <c r="AO291" s="170"/>
      <c r="AP291" s="170"/>
      <c r="AQ291" s="170"/>
      <c r="AT291"/>
      <c r="AU291"/>
      <c r="BZ291"/>
      <c r="CA291"/>
      <c r="CB291"/>
      <c r="CC291"/>
      <c r="CD291"/>
      <c r="CE291"/>
      <c r="CF291"/>
      <c r="CG291"/>
      <c r="CH291"/>
      <c r="CI291"/>
      <c r="CJ291"/>
      <c r="CK291"/>
      <c r="CL291"/>
      <c r="CM291"/>
    </row>
    <row r="292" spans="1:91" ht="14.25" customHeight="1" x14ac:dyDescent="0.15">
      <c r="G292" s="22"/>
      <c r="H292" s="250" t="s">
        <v>75</v>
      </c>
      <c r="L292" s="128">
        <v>2019</v>
      </c>
      <c r="M292" s="128">
        <v>2020</v>
      </c>
      <c r="N292" s="128">
        <v>2021</v>
      </c>
      <c r="O292" s="128">
        <v>2022</v>
      </c>
      <c r="P292" s="128">
        <v>2023</v>
      </c>
      <c r="Q292" s="128">
        <v>2024</v>
      </c>
      <c r="R292" s="128">
        <v>2025</v>
      </c>
      <c r="S292" s="128">
        <v>2026</v>
      </c>
      <c r="T292" s="128">
        <v>2027</v>
      </c>
      <c r="U292" s="128">
        <v>2028</v>
      </c>
      <c r="V292" s="128">
        <v>2029</v>
      </c>
      <c r="W292" s="128">
        <v>2030</v>
      </c>
      <c r="X292" s="128">
        <v>2031</v>
      </c>
      <c r="Y292" s="128">
        <v>2032</v>
      </c>
      <c r="Z292" s="128">
        <v>2033</v>
      </c>
      <c r="AA292" s="128">
        <v>2034</v>
      </c>
      <c r="AB292" s="128">
        <v>2035</v>
      </c>
      <c r="AC292" s="128">
        <v>2036</v>
      </c>
      <c r="AD292" s="128">
        <v>2037</v>
      </c>
      <c r="AE292" s="128">
        <v>2038</v>
      </c>
      <c r="AF292" s="128">
        <v>2039</v>
      </c>
      <c r="AG292" s="128">
        <v>2040</v>
      </c>
      <c r="AH292" s="128">
        <v>2041</v>
      </c>
      <c r="AI292" s="128">
        <v>2042</v>
      </c>
      <c r="AJ292" s="128">
        <v>2043</v>
      </c>
      <c r="AK292" s="128">
        <v>2044</v>
      </c>
      <c r="AL292" s="128">
        <v>2045</v>
      </c>
      <c r="AM292" s="128">
        <v>2046</v>
      </c>
      <c r="AN292" s="128">
        <v>2047</v>
      </c>
      <c r="AO292" s="128">
        <v>2048</v>
      </c>
      <c r="AP292" s="128">
        <v>2049</v>
      </c>
      <c r="AQ292" s="128">
        <v>2050</v>
      </c>
    </row>
    <row r="293" spans="1:91" ht="14.25" customHeight="1" x14ac:dyDescent="0.15">
      <c r="G293" s="22"/>
      <c r="H293" s="250"/>
      <c r="J293" s="240" t="s">
        <v>167</v>
      </c>
      <c r="K293" s="140" t="s">
        <v>133</v>
      </c>
      <c r="L293" s="171">
        <f t="shared" ref="L293:AQ295" si="33">L66</f>
        <v>0.04</v>
      </c>
      <c r="M293" s="171">
        <f t="shared" si="33"/>
        <v>0.04</v>
      </c>
      <c r="N293" s="171">
        <f t="shared" si="33"/>
        <v>0.04</v>
      </c>
      <c r="O293" s="171">
        <f t="shared" si="33"/>
        <v>0.04</v>
      </c>
      <c r="P293" s="171">
        <f t="shared" si="33"/>
        <v>0.04</v>
      </c>
      <c r="Q293" s="171">
        <f t="shared" si="33"/>
        <v>0.04</v>
      </c>
      <c r="R293" s="171">
        <f t="shared" si="33"/>
        <v>0.04</v>
      </c>
      <c r="S293" s="171">
        <f t="shared" si="33"/>
        <v>0.04</v>
      </c>
      <c r="T293" s="171">
        <f t="shared" si="33"/>
        <v>0.04</v>
      </c>
      <c r="U293" s="171">
        <f t="shared" si="33"/>
        <v>0.04</v>
      </c>
      <c r="V293" s="171">
        <f t="shared" si="33"/>
        <v>0.04</v>
      </c>
      <c r="W293" s="171">
        <f t="shared" si="33"/>
        <v>0.04</v>
      </c>
      <c r="X293" s="171">
        <f t="shared" si="33"/>
        <v>0.04</v>
      </c>
      <c r="Y293" s="171">
        <f t="shared" si="33"/>
        <v>0.04</v>
      </c>
      <c r="Z293" s="171">
        <f t="shared" si="33"/>
        <v>0.04</v>
      </c>
      <c r="AA293" s="171">
        <f t="shared" si="33"/>
        <v>0.04</v>
      </c>
      <c r="AB293" s="171">
        <f t="shared" si="33"/>
        <v>0.04</v>
      </c>
      <c r="AC293" s="171">
        <f t="shared" si="33"/>
        <v>0.04</v>
      </c>
      <c r="AD293" s="171">
        <f t="shared" si="33"/>
        <v>0.04</v>
      </c>
      <c r="AE293" s="171">
        <f t="shared" si="33"/>
        <v>0.04</v>
      </c>
      <c r="AF293" s="171">
        <f t="shared" si="33"/>
        <v>0.04</v>
      </c>
      <c r="AG293" s="171">
        <f t="shared" si="33"/>
        <v>0.04</v>
      </c>
      <c r="AH293" s="171">
        <f t="shared" si="33"/>
        <v>0.04</v>
      </c>
      <c r="AI293" s="171">
        <f t="shared" si="33"/>
        <v>0.04</v>
      </c>
      <c r="AJ293" s="171">
        <f t="shared" si="33"/>
        <v>0.04</v>
      </c>
      <c r="AK293" s="171">
        <f t="shared" si="33"/>
        <v>0.04</v>
      </c>
      <c r="AL293" s="171">
        <f t="shared" si="33"/>
        <v>0.04</v>
      </c>
      <c r="AM293" s="171">
        <f t="shared" si="33"/>
        <v>0.04</v>
      </c>
      <c r="AN293" s="171">
        <f t="shared" si="33"/>
        <v>0.04</v>
      </c>
      <c r="AO293" s="171">
        <f t="shared" si="33"/>
        <v>0.04</v>
      </c>
      <c r="AP293" s="171">
        <f t="shared" si="33"/>
        <v>0.04</v>
      </c>
      <c r="AQ293" s="171">
        <f t="shared" si="33"/>
        <v>0.04</v>
      </c>
    </row>
    <row r="294" spans="1:91" ht="14.25" customHeight="1" x14ac:dyDescent="0.2">
      <c r="G294" s="22"/>
      <c r="H294" s="250"/>
      <c r="J294" s="241"/>
      <c r="K294" s="19" t="s">
        <v>134</v>
      </c>
      <c r="L294" s="172">
        <f t="shared" si="33"/>
        <v>1.4634146341463428E-2</v>
      </c>
      <c r="M294" s="172">
        <f t="shared" si="33"/>
        <v>1.4634146341463428E-2</v>
      </c>
      <c r="N294" s="172">
        <f t="shared" si="33"/>
        <v>1.4634146341463428E-2</v>
      </c>
      <c r="O294" s="172">
        <f t="shared" si="33"/>
        <v>1.4634146341463428E-2</v>
      </c>
      <c r="P294" s="172">
        <f t="shared" si="33"/>
        <v>1.4634146341463428E-2</v>
      </c>
      <c r="Q294" s="172">
        <f t="shared" si="33"/>
        <v>1.4634146341463428E-2</v>
      </c>
      <c r="R294" s="172">
        <f t="shared" si="33"/>
        <v>1.4634146341463428E-2</v>
      </c>
      <c r="S294" s="172">
        <f t="shared" si="33"/>
        <v>1.4634146341463428E-2</v>
      </c>
      <c r="T294" s="172">
        <f t="shared" si="33"/>
        <v>1.4634146341463428E-2</v>
      </c>
      <c r="U294" s="172">
        <f t="shared" si="33"/>
        <v>1.4634146341463428E-2</v>
      </c>
      <c r="V294" s="172">
        <f t="shared" si="33"/>
        <v>1.4634146341463428E-2</v>
      </c>
      <c r="W294" s="172">
        <f t="shared" si="33"/>
        <v>1.4634146341463428E-2</v>
      </c>
      <c r="X294" s="172">
        <f t="shared" si="33"/>
        <v>1.4634146341463428E-2</v>
      </c>
      <c r="Y294" s="172">
        <f t="shared" si="33"/>
        <v>1.4634146341463428E-2</v>
      </c>
      <c r="Z294" s="172">
        <f t="shared" si="33"/>
        <v>1.4634146341463428E-2</v>
      </c>
      <c r="AA294" s="172">
        <f t="shared" si="33"/>
        <v>1.4634146341463428E-2</v>
      </c>
      <c r="AB294" s="172">
        <f t="shared" si="33"/>
        <v>1.4634146341463428E-2</v>
      </c>
      <c r="AC294" s="172">
        <f t="shared" si="33"/>
        <v>1.4634146341463428E-2</v>
      </c>
      <c r="AD294" s="172">
        <f t="shared" si="33"/>
        <v>1.4634146341463428E-2</v>
      </c>
      <c r="AE294" s="172">
        <f t="shared" si="33"/>
        <v>1.4634146341463428E-2</v>
      </c>
      <c r="AF294" s="172">
        <f t="shared" si="33"/>
        <v>1.4634146341463428E-2</v>
      </c>
      <c r="AG294" s="172">
        <f t="shared" si="33"/>
        <v>1.4634146341463428E-2</v>
      </c>
      <c r="AH294" s="172">
        <f t="shared" si="33"/>
        <v>1.4634146341463428E-2</v>
      </c>
      <c r="AI294" s="172">
        <f t="shared" si="33"/>
        <v>1.4634146341463428E-2</v>
      </c>
      <c r="AJ294" s="172">
        <f t="shared" si="33"/>
        <v>1.4634146341463428E-2</v>
      </c>
      <c r="AK294" s="172">
        <f t="shared" si="33"/>
        <v>1.4634146341463428E-2</v>
      </c>
      <c r="AL294" s="172">
        <f t="shared" si="33"/>
        <v>1.4634146341463428E-2</v>
      </c>
      <c r="AM294" s="172">
        <f t="shared" si="33"/>
        <v>1.4634146341463428E-2</v>
      </c>
      <c r="AN294" s="172">
        <f t="shared" si="33"/>
        <v>1.4634146341463428E-2</v>
      </c>
      <c r="AO294" s="172">
        <f t="shared" si="33"/>
        <v>1.4634146341463428E-2</v>
      </c>
      <c r="AP294" s="172">
        <f t="shared" si="33"/>
        <v>1.4634146341463428E-2</v>
      </c>
      <c r="AQ294" s="172">
        <f t="shared" si="33"/>
        <v>1.4634146341463428E-2</v>
      </c>
      <c r="AR294"/>
      <c r="AS294"/>
    </row>
    <row r="295" spans="1:91" ht="14.25" customHeight="1" thickBot="1" x14ac:dyDescent="0.2">
      <c r="G295" s="22"/>
      <c r="H295" s="250"/>
      <c r="J295" s="241"/>
      <c r="K295" s="144" t="s">
        <v>135</v>
      </c>
      <c r="L295" s="173">
        <f t="shared" si="33"/>
        <v>1.4634146341463428E-2</v>
      </c>
      <c r="M295" s="173">
        <f t="shared" si="33"/>
        <v>1.4634146341463428E-2</v>
      </c>
      <c r="N295" s="173">
        <f t="shared" si="33"/>
        <v>1.4634146341463428E-2</v>
      </c>
      <c r="O295" s="173">
        <f t="shared" si="33"/>
        <v>1.4634146341463428E-2</v>
      </c>
      <c r="P295" s="173">
        <f t="shared" si="33"/>
        <v>1.4634146341463428E-2</v>
      </c>
      <c r="Q295" s="173">
        <f t="shared" si="33"/>
        <v>1.4634146341463428E-2</v>
      </c>
      <c r="R295" s="173">
        <f t="shared" si="33"/>
        <v>1.4634146341463428E-2</v>
      </c>
      <c r="S295" s="173">
        <f t="shared" si="33"/>
        <v>1.4634146341463428E-2</v>
      </c>
      <c r="T295" s="173">
        <f t="shared" si="33"/>
        <v>1.4634146341463428E-2</v>
      </c>
      <c r="U295" s="173">
        <f t="shared" si="33"/>
        <v>1.4634146341463428E-2</v>
      </c>
      <c r="V295" s="173">
        <f t="shared" si="33"/>
        <v>1.4634146341463428E-2</v>
      </c>
      <c r="W295" s="173">
        <f t="shared" si="33"/>
        <v>1.4634146341463428E-2</v>
      </c>
      <c r="X295" s="173">
        <f t="shared" si="33"/>
        <v>1.4634146341463428E-2</v>
      </c>
      <c r="Y295" s="173">
        <f t="shared" si="33"/>
        <v>1.4634146341463428E-2</v>
      </c>
      <c r="Z295" s="173">
        <f t="shared" si="33"/>
        <v>1.4634146341463428E-2</v>
      </c>
      <c r="AA295" s="173">
        <f t="shared" si="33"/>
        <v>1.4634146341463428E-2</v>
      </c>
      <c r="AB295" s="173">
        <f t="shared" si="33"/>
        <v>1.4634146341463428E-2</v>
      </c>
      <c r="AC295" s="173">
        <f t="shared" si="33"/>
        <v>1.4634146341463428E-2</v>
      </c>
      <c r="AD295" s="173">
        <f t="shared" si="33"/>
        <v>1.4634146341463428E-2</v>
      </c>
      <c r="AE295" s="173">
        <f t="shared" si="33"/>
        <v>1.4634146341463428E-2</v>
      </c>
      <c r="AF295" s="173">
        <f t="shared" si="33"/>
        <v>1.4634146341463428E-2</v>
      </c>
      <c r="AG295" s="173">
        <f t="shared" si="33"/>
        <v>1.4634146341463428E-2</v>
      </c>
      <c r="AH295" s="173">
        <f t="shared" si="33"/>
        <v>1.4634146341463428E-2</v>
      </c>
      <c r="AI295" s="173">
        <f t="shared" si="33"/>
        <v>1.4634146341463428E-2</v>
      </c>
      <c r="AJ295" s="173">
        <f t="shared" si="33"/>
        <v>1.4634146341463428E-2</v>
      </c>
      <c r="AK295" s="173">
        <f t="shared" si="33"/>
        <v>1.4634146341463428E-2</v>
      </c>
      <c r="AL295" s="173">
        <f t="shared" si="33"/>
        <v>1.4634146341463428E-2</v>
      </c>
      <c r="AM295" s="173">
        <f t="shared" si="33"/>
        <v>1.4634146341463428E-2</v>
      </c>
      <c r="AN295" s="173">
        <f t="shared" si="33"/>
        <v>1.4634146341463428E-2</v>
      </c>
      <c r="AO295" s="173">
        <f t="shared" si="33"/>
        <v>1.4634146341463428E-2</v>
      </c>
      <c r="AP295" s="173">
        <f t="shared" si="33"/>
        <v>1.4634146341463428E-2</v>
      </c>
      <c r="AQ295" s="173">
        <f t="shared" si="33"/>
        <v>1.4634146341463428E-2</v>
      </c>
    </row>
    <row r="296" spans="1:91" ht="14.25" customHeight="1" thickTop="1" x14ac:dyDescent="0.15">
      <c r="G296" s="22"/>
      <c r="H296" s="250"/>
      <c r="J296" s="241"/>
      <c r="K296" s="140" t="s">
        <v>136</v>
      </c>
      <c r="L296" s="171">
        <f t="shared" ref="L296:AQ298" si="34">L66</f>
        <v>0.04</v>
      </c>
      <c r="M296" s="171">
        <f t="shared" si="34"/>
        <v>0.04</v>
      </c>
      <c r="N296" s="171">
        <f t="shared" si="34"/>
        <v>0.04</v>
      </c>
      <c r="O296" s="171">
        <f t="shared" si="34"/>
        <v>0.04</v>
      </c>
      <c r="P296" s="171">
        <f t="shared" si="34"/>
        <v>0.04</v>
      </c>
      <c r="Q296" s="171">
        <f t="shared" si="34"/>
        <v>0.04</v>
      </c>
      <c r="R296" s="171">
        <f t="shared" si="34"/>
        <v>0.04</v>
      </c>
      <c r="S296" s="171">
        <f t="shared" si="34"/>
        <v>0.04</v>
      </c>
      <c r="T296" s="171">
        <f t="shared" si="34"/>
        <v>0.04</v>
      </c>
      <c r="U296" s="171">
        <f t="shared" si="34"/>
        <v>0.04</v>
      </c>
      <c r="V296" s="171">
        <f t="shared" si="34"/>
        <v>0.04</v>
      </c>
      <c r="W296" s="171">
        <f t="shared" si="34"/>
        <v>0.04</v>
      </c>
      <c r="X296" s="171">
        <f t="shared" si="34"/>
        <v>0.04</v>
      </c>
      <c r="Y296" s="171">
        <f t="shared" si="34"/>
        <v>0.04</v>
      </c>
      <c r="Z296" s="171">
        <f t="shared" si="34"/>
        <v>0.04</v>
      </c>
      <c r="AA296" s="171">
        <f t="shared" si="34"/>
        <v>0.04</v>
      </c>
      <c r="AB296" s="171">
        <f t="shared" si="34"/>
        <v>0.04</v>
      </c>
      <c r="AC296" s="171">
        <f t="shared" si="34"/>
        <v>0.04</v>
      </c>
      <c r="AD296" s="171">
        <f t="shared" si="34"/>
        <v>0.04</v>
      </c>
      <c r="AE296" s="171">
        <f t="shared" si="34"/>
        <v>0.04</v>
      </c>
      <c r="AF296" s="171">
        <f t="shared" si="34"/>
        <v>0.04</v>
      </c>
      <c r="AG296" s="171">
        <f t="shared" si="34"/>
        <v>0.04</v>
      </c>
      <c r="AH296" s="171">
        <f t="shared" si="34"/>
        <v>0.04</v>
      </c>
      <c r="AI296" s="171">
        <f t="shared" si="34"/>
        <v>0.04</v>
      </c>
      <c r="AJ296" s="171">
        <f t="shared" si="34"/>
        <v>0.04</v>
      </c>
      <c r="AK296" s="171">
        <f t="shared" si="34"/>
        <v>0.04</v>
      </c>
      <c r="AL296" s="171">
        <f t="shared" si="34"/>
        <v>0.04</v>
      </c>
      <c r="AM296" s="171">
        <f t="shared" si="34"/>
        <v>0.04</v>
      </c>
      <c r="AN296" s="171">
        <f t="shared" si="34"/>
        <v>0.04</v>
      </c>
      <c r="AO296" s="171">
        <f t="shared" si="34"/>
        <v>0.04</v>
      </c>
      <c r="AP296" s="171">
        <f t="shared" si="34"/>
        <v>0.04</v>
      </c>
      <c r="AQ296" s="171">
        <f t="shared" si="34"/>
        <v>0.04</v>
      </c>
    </row>
    <row r="297" spans="1:91" ht="14.25" customHeight="1" x14ac:dyDescent="0.15">
      <c r="G297" s="22"/>
      <c r="H297" s="250"/>
      <c r="J297" s="241"/>
      <c r="K297" s="19" t="s">
        <v>137</v>
      </c>
      <c r="L297" s="172">
        <f t="shared" si="34"/>
        <v>1.4634146341463428E-2</v>
      </c>
      <c r="M297" s="172">
        <f t="shared" si="34"/>
        <v>1.4634146341463428E-2</v>
      </c>
      <c r="N297" s="172">
        <f t="shared" si="34"/>
        <v>1.4634146341463428E-2</v>
      </c>
      <c r="O297" s="172">
        <f t="shared" si="34"/>
        <v>1.4634146341463428E-2</v>
      </c>
      <c r="P297" s="172">
        <f t="shared" si="34"/>
        <v>1.4634146341463428E-2</v>
      </c>
      <c r="Q297" s="172">
        <f t="shared" si="34"/>
        <v>1.4634146341463428E-2</v>
      </c>
      <c r="R297" s="172">
        <f t="shared" si="34"/>
        <v>1.4634146341463428E-2</v>
      </c>
      <c r="S297" s="172">
        <f t="shared" si="34"/>
        <v>1.4634146341463428E-2</v>
      </c>
      <c r="T297" s="172">
        <f t="shared" si="34"/>
        <v>1.4634146341463428E-2</v>
      </c>
      <c r="U297" s="172">
        <f t="shared" si="34"/>
        <v>1.4634146341463428E-2</v>
      </c>
      <c r="V297" s="172">
        <f t="shared" si="34"/>
        <v>1.4634146341463428E-2</v>
      </c>
      <c r="W297" s="172">
        <f t="shared" si="34"/>
        <v>1.4634146341463428E-2</v>
      </c>
      <c r="X297" s="172">
        <f t="shared" si="34"/>
        <v>1.4634146341463428E-2</v>
      </c>
      <c r="Y297" s="172">
        <f t="shared" si="34"/>
        <v>1.4634146341463428E-2</v>
      </c>
      <c r="Z297" s="172">
        <f t="shared" si="34"/>
        <v>1.4634146341463428E-2</v>
      </c>
      <c r="AA297" s="172">
        <f t="shared" si="34"/>
        <v>1.4634146341463428E-2</v>
      </c>
      <c r="AB297" s="172">
        <f t="shared" si="34"/>
        <v>1.4634146341463428E-2</v>
      </c>
      <c r="AC297" s="172">
        <f t="shared" si="34"/>
        <v>1.4634146341463428E-2</v>
      </c>
      <c r="AD297" s="172">
        <f t="shared" si="34"/>
        <v>1.4634146341463428E-2</v>
      </c>
      <c r="AE297" s="172">
        <f t="shared" si="34"/>
        <v>1.4634146341463428E-2</v>
      </c>
      <c r="AF297" s="172">
        <f t="shared" si="34"/>
        <v>1.4634146341463428E-2</v>
      </c>
      <c r="AG297" s="172">
        <f t="shared" si="34"/>
        <v>1.4634146341463428E-2</v>
      </c>
      <c r="AH297" s="172">
        <f t="shared" si="34"/>
        <v>1.4634146341463428E-2</v>
      </c>
      <c r="AI297" s="172">
        <f t="shared" si="34"/>
        <v>1.4634146341463428E-2</v>
      </c>
      <c r="AJ297" s="172">
        <f t="shared" si="34"/>
        <v>1.4634146341463428E-2</v>
      </c>
      <c r="AK297" s="172">
        <f t="shared" si="34"/>
        <v>1.4634146341463428E-2</v>
      </c>
      <c r="AL297" s="172">
        <f t="shared" si="34"/>
        <v>1.4634146341463428E-2</v>
      </c>
      <c r="AM297" s="172">
        <f t="shared" si="34"/>
        <v>1.4634146341463428E-2</v>
      </c>
      <c r="AN297" s="172">
        <f t="shared" si="34"/>
        <v>1.4634146341463428E-2</v>
      </c>
      <c r="AO297" s="172">
        <f t="shared" si="34"/>
        <v>1.4634146341463428E-2</v>
      </c>
      <c r="AP297" s="172">
        <f t="shared" si="34"/>
        <v>1.4634146341463428E-2</v>
      </c>
      <c r="AQ297" s="172">
        <f t="shared" si="34"/>
        <v>1.4634146341463428E-2</v>
      </c>
    </row>
    <row r="298" spans="1:91" ht="14.25" customHeight="1" thickBot="1" x14ac:dyDescent="0.2">
      <c r="G298" s="22"/>
      <c r="H298" s="250"/>
      <c r="J298" s="241"/>
      <c r="K298" s="144" t="s">
        <v>138</v>
      </c>
      <c r="L298" s="173">
        <f t="shared" si="34"/>
        <v>1.4634146341463428E-2</v>
      </c>
      <c r="M298" s="173">
        <f t="shared" si="34"/>
        <v>1.4634146341463428E-2</v>
      </c>
      <c r="N298" s="173">
        <f t="shared" si="34"/>
        <v>1.4634146341463428E-2</v>
      </c>
      <c r="O298" s="173">
        <f t="shared" si="34"/>
        <v>1.4634146341463428E-2</v>
      </c>
      <c r="P298" s="173">
        <f t="shared" si="34"/>
        <v>1.4634146341463428E-2</v>
      </c>
      <c r="Q298" s="173">
        <f t="shared" si="34"/>
        <v>1.4634146341463428E-2</v>
      </c>
      <c r="R298" s="173">
        <f t="shared" si="34"/>
        <v>1.4634146341463428E-2</v>
      </c>
      <c r="S298" s="173">
        <f t="shared" si="34"/>
        <v>1.4634146341463428E-2</v>
      </c>
      <c r="T298" s="173">
        <f t="shared" si="34"/>
        <v>1.4634146341463428E-2</v>
      </c>
      <c r="U298" s="173">
        <f t="shared" si="34"/>
        <v>1.4634146341463428E-2</v>
      </c>
      <c r="V298" s="173">
        <f t="shared" si="34"/>
        <v>1.4634146341463428E-2</v>
      </c>
      <c r="W298" s="173">
        <f t="shared" si="34"/>
        <v>1.4634146341463428E-2</v>
      </c>
      <c r="X298" s="173">
        <f t="shared" si="34"/>
        <v>1.4634146341463428E-2</v>
      </c>
      <c r="Y298" s="173">
        <f t="shared" si="34"/>
        <v>1.4634146341463428E-2</v>
      </c>
      <c r="Z298" s="173">
        <f t="shared" si="34"/>
        <v>1.4634146341463428E-2</v>
      </c>
      <c r="AA298" s="173">
        <f t="shared" si="34"/>
        <v>1.4634146341463428E-2</v>
      </c>
      <c r="AB298" s="173">
        <f t="shared" si="34"/>
        <v>1.4634146341463428E-2</v>
      </c>
      <c r="AC298" s="173">
        <f t="shared" si="34"/>
        <v>1.4634146341463428E-2</v>
      </c>
      <c r="AD298" s="173">
        <f t="shared" si="34"/>
        <v>1.4634146341463428E-2</v>
      </c>
      <c r="AE298" s="173">
        <f t="shared" si="34"/>
        <v>1.4634146341463428E-2</v>
      </c>
      <c r="AF298" s="173">
        <f t="shared" si="34"/>
        <v>1.4634146341463428E-2</v>
      </c>
      <c r="AG298" s="173">
        <f t="shared" si="34"/>
        <v>1.4634146341463428E-2</v>
      </c>
      <c r="AH298" s="173">
        <f t="shared" si="34"/>
        <v>1.4634146341463428E-2</v>
      </c>
      <c r="AI298" s="173">
        <f t="shared" si="34"/>
        <v>1.4634146341463428E-2</v>
      </c>
      <c r="AJ298" s="173">
        <f t="shared" si="34"/>
        <v>1.4634146341463428E-2</v>
      </c>
      <c r="AK298" s="173">
        <f t="shared" si="34"/>
        <v>1.4634146341463428E-2</v>
      </c>
      <c r="AL298" s="173">
        <f t="shared" si="34"/>
        <v>1.4634146341463428E-2</v>
      </c>
      <c r="AM298" s="173">
        <f t="shared" si="34"/>
        <v>1.4634146341463428E-2</v>
      </c>
      <c r="AN298" s="173">
        <f t="shared" si="34"/>
        <v>1.4634146341463428E-2</v>
      </c>
      <c r="AO298" s="173">
        <f t="shared" si="34"/>
        <v>1.4634146341463428E-2</v>
      </c>
      <c r="AP298" s="173">
        <f t="shared" si="34"/>
        <v>1.4634146341463428E-2</v>
      </c>
      <c r="AQ298" s="173">
        <f t="shared" si="34"/>
        <v>1.4634146341463428E-2</v>
      </c>
    </row>
    <row r="299" spans="1:91" ht="14.25" customHeight="1" thickTop="1" x14ac:dyDescent="0.15">
      <c r="G299" s="22"/>
      <c r="H299" s="250"/>
      <c r="J299" s="241"/>
      <c r="K299" s="140" t="s">
        <v>139</v>
      </c>
      <c r="L299" s="171">
        <f t="shared" ref="L299:AQ301" si="35">L66</f>
        <v>0.04</v>
      </c>
      <c r="M299" s="171">
        <f t="shared" si="35"/>
        <v>0.04</v>
      </c>
      <c r="N299" s="171">
        <f t="shared" si="35"/>
        <v>0.04</v>
      </c>
      <c r="O299" s="171">
        <f t="shared" si="35"/>
        <v>0.04</v>
      </c>
      <c r="P299" s="171">
        <f t="shared" si="35"/>
        <v>0.04</v>
      </c>
      <c r="Q299" s="171">
        <f t="shared" si="35"/>
        <v>0.04</v>
      </c>
      <c r="R299" s="171">
        <f t="shared" si="35"/>
        <v>0.04</v>
      </c>
      <c r="S299" s="171">
        <f t="shared" si="35"/>
        <v>0.04</v>
      </c>
      <c r="T299" s="171">
        <f t="shared" si="35"/>
        <v>0.04</v>
      </c>
      <c r="U299" s="171">
        <f t="shared" si="35"/>
        <v>0.04</v>
      </c>
      <c r="V299" s="171">
        <f t="shared" si="35"/>
        <v>0.04</v>
      </c>
      <c r="W299" s="171">
        <f t="shared" si="35"/>
        <v>0.04</v>
      </c>
      <c r="X299" s="171">
        <f t="shared" si="35"/>
        <v>0.04</v>
      </c>
      <c r="Y299" s="171">
        <f t="shared" si="35"/>
        <v>0.04</v>
      </c>
      <c r="Z299" s="171">
        <f t="shared" si="35"/>
        <v>0.04</v>
      </c>
      <c r="AA299" s="171">
        <f t="shared" si="35"/>
        <v>0.04</v>
      </c>
      <c r="AB299" s="171">
        <f t="shared" si="35"/>
        <v>0.04</v>
      </c>
      <c r="AC299" s="171">
        <f t="shared" si="35"/>
        <v>0.04</v>
      </c>
      <c r="AD299" s="171">
        <f t="shared" si="35"/>
        <v>0.04</v>
      </c>
      <c r="AE299" s="171">
        <f t="shared" si="35"/>
        <v>0.04</v>
      </c>
      <c r="AF299" s="171">
        <f t="shared" si="35"/>
        <v>0.04</v>
      </c>
      <c r="AG299" s="171">
        <f t="shared" si="35"/>
        <v>0.04</v>
      </c>
      <c r="AH299" s="171">
        <f t="shared" si="35"/>
        <v>0.04</v>
      </c>
      <c r="AI299" s="171">
        <f t="shared" si="35"/>
        <v>0.04</v>
      </c>
      <c r="AJ299" s="171">
        <f t="shared" si="35"/>
        <v>0.04</v>
      </c>
      <c r="AK299" s="171">
        <f t="shared" si="35"/>
        <v>0.04</v>
      </c>
      <c r="AL299" s="171">
        <f t="shared" si="35"/>
        <v>0.04</v>
      </c>
      <c r="AM299" s="171">
        <f t="shared" si="35"/>
        <v>0.04</v>
      </c>
      <c r="AN299" s="171">
        <f t="shared" si="35"/>
        <v>0.04</v>
      </c>
      <c r="AO299" s="171">
        <f t="shared" si="35"/>
        <v>0.04</v>
      </c>
      <c r="AP299" s="171">
        <f t="shared" si="35"/>
        <v>0.04</v>
      </c>
      <c r="AQ299" s="171">
        <f t="shared" si="35"/>
        <v>0.04</v>
      </c>
    </row>
    <row r="300" spans="1:91" ht="14.25" customHeight="1" x14ac:dyDescent="0.15">
      <c r="G300" s="22"/>
      <c r="H300" s="250"/>
      <c r="J300" s="241"/>
      <c r="K300" s="19" t="s">
        <v>140</v>
      </c>
      <c r="L300" s="172">
        <f t="shared" si="35"/>
        <v>1.4634146341463428E-2</v>
      </c>
      <c r="M300" s="172">
        <f t="shared" si="35"/>
        <v>1.4634146341463428E-2</v>
      </c>
      <c r="N300" s="172">
        <f t="shared" si="35"/>
        <v>1.4634146341463428E-2</v>
      </c>
      <c r="O300" s="172">
        <f t="shared" si="35"/>
        <v>1.4634146341463428E-2</v>
      </c>
      <c r="P300" s="172">
        <f t="shared" si="35"/>
        <v>1.4634146341463428E-2</v>
      </c>
      <c r="Q300" s="172">
        <f t="shared" si="35"/>
        <v>1.4634146341463428E-2</v>
      </c>
      <c r="R300" s="172">
        <f t="shared" si="35"/>
        <v>1.4634146341463428E-2</v>
      </c>
      <c r="S300" s="172">
        <f t="shared" si="35"/>
        <v>1.4634146341463428E-2</v>
      </c>
      <c r="T300" s="172">
        <f t="shared" si="35"/>
        <v>1.4634146341463428E-2</v>
      </c>
      <c r="U300" s="172">
        <f t="shared" si="35"/>
        <v>1.4634146341463428E-2</v>
      </c>
      <c r="V300" s="172">
        <f t="shared" si="35"/>
        <v>1.4634146341463428E-2</v>
      </c>
      <c r="W300" s="172">
        <f t="shared" si="35"/>
        <v>1.4634146341463428E-2</v>
      </c>
      <c r="X300" s="172">
        <f t="shared" si="35"/>
        <v>1.4634146341463428E-2</v>
      </c>
      <c r="Y300" s="172">
        <f t="shared" si="35"/>
        <v>1.4634146341463428E-2</v>
      </c>
      <c r="Z300" s="172">
        <f t="shared" si="35"/>
        <v>1.4634146341463428E-2</v>
      </c>
      <c r="AA300" s="172">
        <f t="shared" si="35"/>
        <v>1.4634146341463428E-2</v>
      </c>
      <c r="AB300" s="172">
        <f t="shared" si="35"/>
        <v>1.4634146341463428E-2</v>
      </c>
      <c r="AC300" s="172">
        <f t="shared" si="35"/>
        <v>1.4634146341463428E-2</v>
      </c>
      <c r="AD300" s="172">
        <f t="shared" si="35"/>
        <v>1.4634146341463428E-2</v>
      </c>
      <c r="AE300" s="172">
        <f t="shared" si="35"/>
        <v>1.4634146341463428E-2</v>
      </c>
      <c r="AF300" s="172">
        <f t="shared" si="35"/>
        <v>1.4634146341463428E-2</v>
      </c>
      <c r="AG300" s="172">
        <f t="shared" si="35"/>
        <v>1.4634146341463428E-2</v>
      </c>
      <c r="AH300" s="172">
        <f t="shared" si="35"/>
        <v>1.4634146341463428E-2</v>
      </c>
      <c r="AI300" s="172">
        <f t="shared" si="35"/>
        <v>1.4634146341463428E-2</v>
      </c>
      <c r="AJ300" s="172">
        <f t="shared" si="35"/>
        <v>1.4634146341463428E-2</v>
      </c>
      <c r="AK300" s="172">
        <f t="shared" si="35"/>
        <v>1.4634146341463428E-2</v>
      </c>
      <c r="AL300" s="172">
        <f t="shared" si="35"/>
        <v>1.4634146341463428E-2</v>
      </c>
      <c r="AM300" s="172">
        <f t="shared" si="35"/>
        <v>1.4634146341463428E-2</v>
      </c>
      <c r="AN300" s="172">
        <f t="shared" si="35"/>
        <v>1.4634146341463428E-2</v>
      </c>
      <c r="AO300" s="172">
        <f t="shared" si="35"/>
        <v>1.4634146341463428E-2</v>
      </c>
      <c r="AP300" s="172">
        <f t="shared" si="35"/>
        <v>1.4634146341463428E-2</v>
      </c>
      <c r="AQ300" s="172">
        <f t="shared" si="35"/>
        <v>1.4634146341463428E-2</v>
      </c>
    </row>
    <row r="301" spans="1:91" ht="14.25" customHeight="1" thickBot="1" x14ac:dyDescent="0.25">
      <c r="G301" s="22"/>
      <c r="H301" s="250"/>
      <c r="J301" s="241"/>
      <c r="K301" s="144" t="s">
        <v>141</v>
      </c>
      <c r="L301" s="173">
        <f t="shared" si="35"/>
        <v>1.4634146341463428E-2</v>
      </c>
      <c r="M301" s="173">
        <f t="shared" si="35"/>
        <v>1.4634146341463428E-2</v>
      </c>
      <c r="N301" s="173">
        <f t="shared" si="35"/>
        <v>1.4634146341463428E-2</v>
      </c>
      <c r="O301" s="173">
        <f t="shared" si="35"/>
        <v>1.4634146341463428E-2</v>
      </c>
      <c r="P301" s="173">
        <f t="shared" si="35"/>
        <v>1.4634146341463428E-2</v>
      </c>
      <c r="Q301" s="173">
        <f t="shared" si="35"/>
        <v>1.4634146341463428E-2</v>
      </c>
      <c r="R301" s="173">
        <f t="shared" si="35"/>
        <v>1.4634146341463428E-2</v>
      </c>
      <c r="S301" s="173">
        <f t="shared" si="35"/>
        <v>1.4634146341463428E-2</v>
      </c>
      <c r="T301" s="173">
        <f t="shared" si="35"/>
        <v>1.4634146341463428E-2</v>
      </c>
      <c r="U301" s="173">
        <f t="shared" si="35"/>
        <v>1.4634146341463428E-2</v>
      </c>
      <c r="V301" s="173">
        <f t="shared" si="35"/>
        <v>1.4634146341463428E-2</v>
      </c>
      <c r="W301" s="173">
        <f t="shared" si="35"/>
        <v>1.4634146341463428E-2</v>
      </c>
      <c r="X301" s="173">
        <f t="shared" si="35"/>
        <v>1.4634146341463428E-2</v>
      </c>
      <c r="Y301" s="173">
        <f t="shared" si="35"/>
        <v>1.4634146341463428E-2</v>
      </c>
      <c r="Z301" s="173">
        <f t="shared" si="35"/>
        <v>1.4634146341463428E-2</v>
      </c>
      <c r="AA301" s="173">
        <f t="shared" si="35"/>
        <v>1.4634146341463428E-2</v>
      </c>
      <c r="AB301" s="173">
        <f t="shared" si="35"/>
        <v>1.4634146341463428E-2</v>
      </c>
      <c r="AC301" s="173">
        <f t="shared" si="35"/>
        <v>1.4634146341463428E-2</v>
      </c>
      <c r="AD301" s="173">
        <f t="shared" si="35"/>
        <v>1.4634146341463428E-2</v>
      </c>
      <c r="AE301" s="173">
        <f t="shared" si="35"/>
        <v>1.4634146341463428E-2</v>
      </c>
      <c r="AF301" s="173">
        <f t="shared" si="35"/>
        <v>1.4634146341463428E-2</v>
      </c>
      <c r="AG301" s="173">
        <f t="shared" si="35"/>
        <v>1.4634146341463428E-2</v>
      </c>
      <c r="AH301" s="173">
        <f t="shared" si="35"/>
        <v>1.4634146341463428E-2</v>
      </c>
      <c r="AI301" s="173">
        <f t="shared" si="35"/>
        <v>1.4634146341463428E-2</v>
      </c>
      <c r="AJ301" s="173">
        <f t="shared" si="35"/>
        <v>1.4634146341463428E-2</v>
      </c>
      <c r="AK301" s="173">
        <f t="shared" si="35"/>
        <v>1.4634146341463428E-2</v>
      </c>
      <c r="AL301" s="173">
        <f t="shared" si="35"/>
        <v>1.4634146341463428E-2</v>
      </c>
      <c r="AM301" s="173">
        <f t="shared" si="35"/>
        <v>1.4634146341463428E-2</v>
      </c>
      <c r="AN301" s="173">
        <f t="shared" si="35"/>
        <v>1.4634146341463428E-2</v>
      </c>
      <c r="AO301" s="173">
        <f t="shared" si="35"/>
        <v>1.4634146341463428E-2</v>
      </c>
      <c r="AP301" s="173">
        <f t="shared" si="35"/>
        <v>1.4634146341463428E-2</v>
      </c>
      <c r="AQ301" s="173">
        <f t="shared" si="35"/>
        <v>1.4634146341463428E-2</v>
      </c>
      <c r="AT301"/>
      <c r="AU301"/>
    </row>
    <row r="302" spans="1:91" ht="14.25" customHeight="1" thickTop="1" x14ac:dyDescent="0.15">
      <c r="G302" s="22"/>
      <c r="H302" s="250"/>
      <c r="J302" s="241"/>
      <c r="K302" s="140" t="s">
        <v>142</v>
      </c>
      <c r="L302" s="171">
        <f t="shared" ref="L302:AQ304" si="36">L66</f>
        <v>0.04</v>
      </c>
      <c r="M302" s="171">
        <f t="shared" si="36"/>
        <v>0.04</v>
      </c>
      <c r="N302" s="171">
        <f t="shared" si="36"/>
        <v>0.04</v>
      </c>
      <c r="O302" s="171">
        <f t="shared" si="36"/>
        <v>0.04</v>
      </c>
      <c r="P302" s="171">
        <f t="shared" si="36"/>
        <v>0.04</v>
      </c>
      <c r="Q302" s="171">
        <f t="shared" si="36"/>
        <v>0.04</v>
      </c>
      <c r="R302" s="171">
        <f t="shared" si="36"/>
        <v>0.04</v>
      </c>
      <c r="S302" s="171">
        <f t="shared" si="36"/>
        <v>0.04</v>
      </c>
      <c r="T302" s="171">
        <f t="shared" si="36"/>
        <v>0.04</v>
      </c>
      <c r="U302" s="171">
        <f t="shared" si="36"/>
        <v>0.04</v>
      </c>
      <c r="V302" s="171">
        <f t="shared" si="36"/>
        <v>0.04</v>
      </c>
      <c r="W302" s="171">
        <f t="shared" si="36"/>
        <v>0.04</v>
      </c>
      <c r="X302" s="171">
        <f t="shared" si="36"/>
        <v>0.04</v>
      </c>
      <c r="Y302" s="171">
        <f t="shared" si="36"/>
        <v>0.04</v>
      </c>
      <c r="Z302" s="171">
        <f t="shared" si="36"/>
        <v>0.04</v>
      </c>
      <c r="AA302" s="171">
        <f t="shared" si="36"/>
        <v>0.04</v>
      </c>
      <c r="AB302" s="171">
        <f t="shared" si="36"/>
        <v>0.04</v>
      </c>
      <c r="AC302" s="171">
        <f t="shared" si="36"/>
        <v>0.04</v>
      </c>
      <c r="AD302" s="171">
        <f t="shared" si="36"/>
        <v>0.04</v>
      </c>
      <c r="AE302" s="171">
        <f t="shared" si="36"/>
        <v>0.04</v>
      </c>
      <c r="AF302" s="171">
        <f t="shared" si="36"/>
        <v>0.04</v>
      </c>
      <c r="AG302" s="171">
        <f t="shared" si="36"/>
        <v>0.04</v>
      </c>
      <c r="AH302" s="171">
        <f t="shared" si="36"/>
        <v>0.04</v>
      </c>
      <c r="AI302" s="171">
        <f t="shared" si="36"/>
        <v>0.04</v>
      </c>
      <c r="AJ302" s="171">
        <f t="shared" si="36"/>
        <v>0.04</v>
      </c>
      <c r="AK302" s="171">
        <f t="shared" si="36"/>
        <v>0.04</v>
      </c>
      <c r="AL302" s="171">
        <f t="shared" si="36"/>
        <v>0.04</v>
      </c>
      <c r="AM302" s="171">
        <f t="shared" si="36"/>
        <v>0.04</v>
      </c>
      <c r="AN302" s="171">
        <f t="shared" si="36"/>
        <v>0.04</v>
      </c>
      <c r="AO302" s="171">
        <f t="shared" si="36"/>
        <v>0.04</v>
      </c>
      <c r="AP302" s="171">
        <f t="shared" si="36"/>
        <v>0.04</v>
      </c>
      <c r="AQ302" s="171">
        <f t="shared" si="36"/>
        <v>0.04</v>
      </c>
    </row>
    <row r="303" spans="1:91" ht="14.25" customHeight="1" x14ac:dyDescent="0.15">
      <c r="G303" s="22"/>
      <c r="H303" s="250"/>
      <c r="J303" s="241"/>
      <c r="K303" s="19" t="s">
        <v>143</v>
      </c>
      <c r="L303" s="172">
        <f t="shared" si="36"/>
        <v>1.4634146341463428E-2</v>
      </c>
      <c r="M303" s="172">
        <f t="shared" si="36"/>
        <v>1.4634146341463428E-2</v>
      </c>
      <c r="N303" s="172">
        <f t="shared" si="36"/>
        <v>1.4634146341463428E-2</v>
      </c>
      <c r="O303" s="172">
        <f t="shared" si="36"/>
        <v>1.4634146341463428E-2</v>
      </c>
      <c r="P303" s="172">
        <f t="shared" si="36"/>
        <v>1.4634146341463428E-2</v>
      </c>
      <c r="Q303" s="172">
        <f t="shared" si="36"/>
        <v>1.4634146341463428E-2</v>
      </c>
      <c r="R303" s="172">
        <f t="shared" si="36"/>
        <v>1.4634146341463428E-2</v>
      </c>
      <c r="S303" s="172">
        <f t="shared" si="36"/>
        <v>1.4634146341463428E-2</v>
      </c>
      <c r="T303" s="172">
        <f t="shared" si="36"/>
        <v>1.4634146341463428E-2</v>
      </c>
      <c r="U303" s="172">
        <f t="shared" si="36"/>
        <v>1.4634146341463428E-2</v>
      </c>
      <c r="V303" s="172">
        <f t="shared" si="36"/>
        <v>1.4634146341463428E-2</v>
      </c>
      <c r="W303" s="172">
        <f t="shared" si="36"/>
        <v>1.4634146341463428E-2</v>
      </c>
      <c r="X303" s="172">
        <f t="shared" si="36"/>
        <v>1.4634146341463428E-2</v>
      </c>
      <c r="Y303" s="172">
        <f t="shared" si="36"/>
        <v>1.4634146341463428E-2</v>
      </c>
      <c r="Z303" s="172">
        <f t="shared" si="36"/>
        <v>1.4634146341463428E-2</v>
      </c>
      <c r="AA303" s="172">
        <f t="shared" si="36"/>
        <v>1.4634146341463428E-2</v>
      </c>
      <c r="AB303" s="172">
        <f t="shared" si="36"/>
        <v>1.4634146341463428E-2</v>
      </c>
      <c r="AC303" s="172">
        <f t="shared" si="36"/>
        <v>1.4634146341463428E-2</v>
      </c>
      <c r="AD303" s="172">
        <f t="shared" si="36"/>
        <v>1.4634146341463428E-2</v>
      </c>
      <c r="AE303" s="172">
        <f t="shared" si="36"/>
        <v>1.4634146341463428E-2</v>
      </c>
      <c r="AF303" s="172">
        <f t="shared" si="36"/>
        <v>1.4634146341463428E-2</v>
      </c>
      <c r="AG303" s="172">
        <f t="shared" si="36"/>
        <v>1.4634146341463428E-2</v>
      </c>
      <c r="AH303" s="172">
        <f t="shared" si="36"/>
        <v>1.4634146341463428E-2</v>
      </c>
      <c r="AI303" s="172">
        <f t="shared" si="36"/>
        <v>1.4634146341463428E-2</v>
      </c>
      <c r="AJ303" s="172">
        <f t="shared" si="36"/>
        <v>1.4634146341463428E-2</v>
      </c>
      <c r="AK303" s="172">
        <f t="shared" si="36"/>
        <v>1.4634146341463428E-2</v>
      </c>
      <c r="AL303" s="172">
        <f t="shared" si="36"/>
        <v>1.4634146341463428E-2</v>
      </c>
      <c r="AM303" s="172">
        <f t="shared" si="36"/>
        <v>1.4634146341463428E-2</v>
      </c>
      <c r="AN303" s="172">
        <f t="shared" si="36"/>
        <v>1.4634146341463428E-2</v>
      </c>
      <c r="AO303" s="172">
        <f t="shared" si="36"/>
        <v>1.4634146341463428E-2</v>
      </c>
      <c r="AP303" s="172">
        <f t="shared" si="36"/>
        <v>1.4634146341463428E-2</v>
      </c>
      <c r="AQ303" s="172">
        <f t="shared" si="36"/>
        <v>1.4634146341463428E-2</v>
      </c>
    </row>
    <row r="304" spans="1:91" ht="14.25" customHeight="1" thickBot="1" x14ac:dyDescent="0.25">
      <c r="G304" s="22"/>
      <c r="H304" s="250"/>
      <c r="J304" s="241"/>
      <c r="K304" s="144" t="s">
        <v>144</v>
      </c>
      <c r="L304" s="173">
        <f t="shared" si="36"/>
        <v>1.4634146341463428E-2</v>
      </c>
      <c r="M304" s="173">
        <f t="shared" si="36"/>
        <v>1.4634146341463428E-2</v>
      </c>
      <c r="N304" s="173">
        <f t="shared" si="36"/>
        <v>1.4634146341463428E-2</v>
      </c>
      <c r="O304" s="173">
        <f t="shared" si="36"/>
        <v>1.4634146341463428E-2</v>
      </c>
      <c r="P304" s="173">
        <f t="shared" si="36"/>
        <v>1.4634146341463428E-2</v>
      </c>
      <c r="Q304" s="173">
        <f t="shared" si="36"/>
        <v>1.4634146341463428E-2</v>
      </c>
      <c r="R304" s="173">
        <f t="shared" si="36"/>
        <v>1.4634146341463428E-2</v>
      </c>
      <c r="S304" s="173">
        <f t="shared" si="36"/>
        <v>1.4634146341463428E-2</v>
      </c>
      <c r="T304" s="173">
        <f t="shared" si="36"/>
        <v>1.4634146341463428E-2</v>
      </c>
      <c r="U304" s="173">
        <f t="shared" si="36"/>
        <v>1.4634146341463428E-2</v>
      </c>
      <c r="V304" s="173">
        <f t="shared" si="36"/>
        <v>1.4634146341463428E-2</v>
      </c>
      <c r="W304" s="173">
        <f t="shared" si="36"/>
        <v>1.4634146341463428E-2</v>
      </c>
      <c r="X304" s="173">
        <f t="shared" si="36"/>
        <v>1.4634146341463428E-2</v>
      </c>
      <c r="Y304" s="173">
        <f t="shared" si="36"/>
        <v>1.4634146341463428E-2</v>
      </c>
      <c r="Z304" s="173">
        <f t="shared" si="36"/>
        <v>1.4634146341463428E-2</v>
      </c>
      <c r="AA304" s="173">
        <f t="shared" si="36"/>
        <v>1.4634146341463428E-2</v>
      </c>
      <c r="AB304" s="173">
        <f t="shared" si="36"/>
        <v>1.4634146341463428E-2</v>
      </c>
      <c r="AC304" s="173">
        <f t="shared" si="36"/>
        <v>1.4634146341463428E-2</v>
      </c>
      <c r="AD304" s="173">
        <f t="shared" si="36"/>
        <v>1.4634146341463428E-2</v>
      </c>
      <c r="AE304" s="173">
        <f t="shared" si="36"/>
        <v>1.4634146341463428E-2</v>
      </c>
      <c r="AF304" s="173">
        <f t="shared" si="36"/>
        <v>1.4634146341463428E-2</v>
      </c>
      <c r="AG304" s="173">
        <f t="shared" si="36"/>
        <v>1.4634146341463428E-2</v>
      </c>
      <c r="AH304" s="173">
        <f t="shared" si="36"/>
        <v>1.4634146341463428E-2</v>
      </c>
      <c r="AI304" s="173">
        <f t="shared" si="36"/>
        <v>1.4634146341463428E-2</v>
      </c>
      <c r="AJ304" s="173">
        <f t="shared" si="36"/>
        <v>1.4634146341463428E-2</v>
      </c>
      <c r="AK304" s="173">
        <f t="shared" si="36"/>
        <v>1.4634146341463428E-2</v>
      </c>
      <c r="AL304" s="173">
        <f t="shared" si="36"/>
        <v>1.4634146341463428E-2</v>
      </c>
      <c r="AM304" s="173">
        <f t="shared" si="36"/>
        <v>1.4634146341463428E-2</v>
      </c>
      <c r="AN304" s="173">
        <f t="shared" si="36"/>
        <v>1.4634146341463428E-2</v>
      </c>
      <c r="AO304" s="173">
        <f t="shared" si="36"/>
        <v>1.4634146341463428E-2</v>
      </c>
      <c r="AP304" s="173">
        <f t="shared" si="36"/>
        <v>1.4634146341463428E-2</v>
      </c>
      <c r="AQ304" s="173">
        <f t="shared" si="36"/>
        <v>1.4634146341463428E-2</v>
      </c>
      <c r="AT304"/>
      <c r="AU304"/>
    </row>
    <row r="305" spans="7:47" ht="14.25" customHeight="1" thickTop="1" x14ac:dyDescent="0.15">
      <c r="G305" s="22"/>
      <c r="H305" s="250"/>
      <c r="J305" s="241"/>
      <c r="K305" s="140" t="s">
        <v>145</v>
      </c>
      <c r="L305" s="171">
        <f t="shared" ref="L305:AQ307" si="37">L66</f>
        <v>0.04</v>
      </c>
      <c r="M305" s="171">
        <f t="shared" si="37"/>
        <v>0.04</v>
      </c>
      <c r="N305" s="171">
        <f t="shared" si="37"/>
        <v>0.04</v>
      </c>
      <c r="O305" s="171">
        <f t="shared" si="37"/>
        <v>0.04</v>
      </c>
      <c r="P305" s="171">
        <f t="shared" si="37"/>
        <v>0.04</v>
      </c>
      <c r="Q305" s="171">
        <f t="shared" si="37"/>
        <v>0.04</v>
      </c>
      <c r="R305" s="171">
        <f t="shared" si="37"/>
        <v>0.04</v>
      </c>
      <c r="S305" s="171">
        <f t="shared" si="37"/>
        <v>0.04</v>
      </c>
      <c r="T305" s="171">
        <f t="shared" si="37"/>
        <v>0.04</v>
      </c>
      <c r="U305" s="171">
        <f t="shared" si="37"/>
        <v>0.04</v>
      </c>
      <c r="V305" s="171">
        <f t="shared" si="37"/>
        <v>0.04</v>
      </c>
      <c r="W305" s="171">
        <f t="shared" si="37"/>
        <v>0.04</v>
      </c>
      <c r="X305" s="171">
        <f t="shared" si="37"/>
        <v>0.04</v>
      </c>
      <c r="Y305" s="171">
        <f t="shared" si="37"/>
        <v>0.04</v>
      </c>
      <c r="Z305" s="171">
        <f t="shared" si="37"/>
        <v>0.04</v>
      </c>
      <c r="AA305" s="171">
        <f t="shared" si="37"/>
        <v>0.04</v>
      </c>
      <c r="AB305" s="171">
        <f t="shared" si="37"/>
        <v>0.04</v>
      </c>
      <c r="AC305" s="171">
        <f t="shared" si="37"/>
        <v>0.04</v>
      </c>
      <c r="AD305" s="171">
        <f t="shared" si="37"/>
        <v>0.04</v>
      </c>
      <c r="AE305" s="171">
        <f t="shared" si="37"/>
        <v>0.04</v>
      </c>
      <c r="AF305" s="171">
        <f t="shared" si="37"/>
        <v>0.04</v>
      </c>
      <c r="AG305" s="171">
        <f t="shared" si="37"/>
        <v>0.04</v>
      </c>
      <c r="AH305" s="171">
        <f t="shared" si="37"/>
        <v>0.04</v>
      </c>
      <c r="AI305" s="171">
        <f t="shared" si="37"/>
        <v>0.04</v>
      </c>
      <c r="AJ305" s="171">
        <f t="shared" si="37"/>
        <v>0.04</v>
      </c>
      <c r="AK305" s="171">
        <f t="shared" si="37"/>
        <v>0.04</v>
      </c>
      <c r="AL305" s="171">
        <f t="shared" si="37"/>
        <v>0.04</v>
      </c>
      <c r="AM305" s="171">
        <f t="shared" si="37"/>
        <v>0.04</v>
      </c>
      <c r="AN305" s="171">
        <f t="shared" si="37"/>
        <v>0.04</v>
      </c>
      <c r="AO305" s="171">
        <f t="shared" si="37"/>
        <v>0.04</v>
      </c>
      <c r="AP305" s="171">
        <f t="shared" si="37"/>
        <v>0.04</v>
      </c>
      <c r="AQ305" s="171">
        <f t="shared" si="37"/>
        <v>0.04</v>
      </c>
    </row>
    <row r="306" spans="7:47" ht="14.25" customHeight="1" x14ac:dyDescent="0.15">
      <c r="G306" s="22"/>
      <c r="H306" s="250"/>
      <c r="J306" s="241"/>
      <c r="K306" s="19" t="s">
        <v>146</v>
      </c>
      <c r="L306" s="172">
        <f t="shared" si="37"/>
        <v>1.4634146341463428E-2</v>
      </c>
      <c r="M306" s="172">
        <f t="shared" si="37"/>
        <v>1.4634146341463428E-2</v>
      </c>
      <c r="N306" s="172">
        <f t="shared" si="37"/>
        <v>1.4634146341463428E-2</v>
      </c>
      <c r="O306" s="172">
        <f t="shared" si="37"/>
        <v>1.4634146341463428E-2</v>
      </c>
      <c r="P306" s="172">
        <f t="shared" si="37"/>
        <v>1.4634146341463428E-2</v>
      </c>
      <c r="Q306" s="172">
        <f t="shared" si="37"/>
        <v>1.4634146341463428E-2</v>
      </c>
      <c r="R306" s="172">
        <f t="shared" si="37"/>
        <v>1.4634146341463428E-2</v>
      </c>
      <c r="S306" s="172">
        <f t="shared" si="37"/>
        <v>1.4634146341463428E-2</v>
      </c>
      <c r="T306" s="172">
        <f t="shared" si="37"/>
        <v>1.4634146341463428E-2</v>
      </c>
      <c r="U306" s="172">
        <f t="shared" si="37"/>
        <v>1.4634146341463428E-2</v>
      </c>
      <c r="V306" s="172">
        <f t="shared" si="37"/>
        <v>1.4634146341463428E-2</v>
      </c>
      <c r="W306" s="172">
        <f t="shared" si="37"/>
        <v>1.4634146341463428E-2</v>
      </c>
      <c r="X306" s="172">
        <f t="shared" si="37"/>
        <v>1.4634146341463428E-2</v>
      </c>
      <c r="Y306" s="172">
        <f t="shared" si="37"/>
        <v>1.4634146341463428E-2</v>
      </c>
      <c r="Z306" s="172">
        <f t="shared" si="37"/>
        <v>1.4634146341463428E-2</v>
      </c>
      <c r="AA306" s="172">
        <f t="shared" si="37"/>
        <v>1.4634146341463428E-2</v>
      </c>
      <c r="AB306" s="172">
        <f t="shared" si="37"/>
        <v>1.4634146341463428E-2</v>
      </c>
      <c r="AC306" s="172">
        <f t="shared" si="37"/>
        <v>1.4634146341463428E-2</v>
      </c>
      <c r="AD306" s="172">
        <f t="shared" si="37"/>
        <v>1.4634146341463428E-2</v>
      </c>
      <c r="AE306" s="172">
        <f t="shared" si="37"/>
        <v>1.4634146341463428E-2</v>
      </c>
      <c r="AF306" s="172">
        <f t="shared" si="37"/>
        <v>1.4634146341463428E-2</v>
      </c>
      <c r="AG306" s="172">
        <f t="shared" si="37"/>
        <v>1.4634146341463428E-2</v>
      </c>
      <c r="AH306" s="172">
        <f t="shared" si="37"/>
        <v>1.4634146341463428E-2</v>
      </c>
      <c r="AI306" s="172">
        <f t="shared" si="37"/>
        <v>1.4634146341463428E-2</v>
      </c>
      <c r="AJ306" s="172">
        <f t="shared" si="37"/>
        <v>1.4634146341463428E-2</v>
      </c>
      <c r="AK306" s="172">
        <f t="shared" si="37"/>
        <v>1.4634146341463428E-2</v>
      </c>
      <c r="AL306" s="172">
        <f t="shared" si="37"/>
        <v>1.4634146341463428E-2</v>
      </c>
      <c r="AM306" s="172">
        <f t="shared" si="37"/>
        <v>1.4634146341463428E-2</v>
      </c>
      <c r="AN306" s="172">
        <f t="shared" si="37"/>
        <v>1.4634146341463428E-2</v>
      </c>
      <c r="AO306" s="172">
        <f t="shared" si="37"/>
        <v>1.4634146341463428E-2</v>
      </c>
      <c r="AP306" s="172">
        <f t="shared" si="37"/>
        <v>1.4634146341463428E-2</v>
      </c>
      <c r="AQ306" s="172">
        <f t="shared" si="37"/>
        <v>1.4634146341463428E-2</v>
      </c>
    </row>
    <row r="307" spans="7:47" ht="14.25" customHeight="1" thickBot="1" x14ac:dyDescent="0.25">
      <c r="G307" s="22"/>
      <c r="H307" s="250"/>
      <c r="J307" s="241"/>
      <c r="K307" s="144" t="s">
        <v>147</v>
      </c>
      <c r="L307" s="173">
        <f t="shared" si="37"/>
        <v>1.4634146341463428E-2</v>
      </c>
      <c r="M307" s="173">
        <f t="shared" si="37"/>
        <v>1.4634146341463428E-2</v>
      </c>
      <c r="N307" s="173">
        <f t="shared" si="37"/>
        <v>1.4634146341463428E-2</v>
      </c>
      <c r="O307" s="173">
        <f t="shared" si="37"/>
        <v>1.4634146341463428E-2</v>
      </c>
      <c r="P307" s="173">
        <f t="shared" si="37"/>
        <v>1.4634146341463428E-2</v>
      </c>
      <c r="Q307" s="173">
        <f t="shared" si="37"/>
        <v>1.4634146341463428E-2</v>
      </c>
      <c r="R307" s="173">
        <f t="shared" si="37"/>
        <v>1.4634146341463428E-2</v>
      </c>
      <c r="S307" s="173">
        <f t="shared" si="37"/>
        <v>1.4634146341463428E-2</v>
      </c>
      <c r="T307" s="173">
        <f t="shared" si="37"/>
        <v>1.4634146341463428E-2</v>
      </c>
      <c r="U307" s="173">
        <f t="shared" si="37"/>
        <v>1.4634146341463428E-2</v>
      </c>
      <c r="V307" s="173">
        <f t="shared" si="37"/>
        <v>1.4634146341463428E-2</v>
      </c>
      <c r="W307" s="173">
        <f t="shared" si="37"/>
        <v>1.4634146341463428E-2</v>
      </c>
      <c r="X307" s="173">
        <f t="shared" si="37"/>
        <v>1.4634146341463428E-2</v>
      </c>
      <c r="Y307" s="173">
        <f t="shared" si="37"/>
        <v>1.4634146341463428E-2</v>
      </c>
      <c r="Z307" s="173">
        <f t="shared" si="37"/>
        <v>1.4634146341463428E-2</v>
      </c>
      <c r="AA307" s="173">
        <f t="shared" si="37"/>
        <v>1.4634146341463428E-2</v>
      </c>
      <c r="AB307" s="173">
        <f t="shared" si="37"/>
        <v>1.4634146341463428E-2</v>
      </c>
      <c r="AC307" s="173">
        <f t="shared" si="37"/>
        <v>1.4634146341463428E-2</v>
      </c>
      <c r="AD307" s="173">
        <f t="shared" si="37"/>
        <v>1.4634146341463428E-2</v>
      </c>
      <c r="AE307" s="173">
        <f t="shared" si="37"/>
        <v>1.4634146341463428E-2</v>
      </c>
      <c r="AF307" s="173">
        <f t="shared" si="37"/>
        <v>1.4634146341463428E-2</v>
      </c>
      <c r="AG307" s="173">
        <f t="shared" si="37"/>
        <v>1.4634146341463428E-2</v>
      </c>
      <c r="AH307" s="173">
        <f t="shared" si="37"/>
        <v>1.4634146341463428E-2</v>
      </c>
      <c r="AI307" s="173">
        <f t="shared" si="37"/>
        <v>1.4634146341463428E-2</v>
      </c>
      <c r="AJ307" s="173">
        <f t="shared" si="37"/>
        <v>1.4634146341463428E-2</v>
      </c>
      <c r="AK307" s="173">
        <f t="shared" si="37"/>
        <v>1.4634146341463428E-2</v>
      </c>
      <c r="AL307" s="173">
        <f t="shared" si="37"/>
        <v>1.4634146341463428E-2</v>
      </c>
      <c r="AM307" s="173">
        <f t="shared" si="37"/>
        <v>1.4634146341463428E-2</v>
      </c>
      <c r="AN307" s="173">
        <f t="shared" si="37"/>
        <v>1.4634146341463428E-2</v>
      </c>
      <c r="AO307" s="173">
        <f t="shared" si="37"/>
        <v>1.4634146341463428E-2</v>
      </c>
      <c r="AP307" s="173">
        <f t="shared" si="37"/>
        <v>1.4634146341463428E-2</v>
      </c>
      <c r="AQ307" s="173">
        <f t="shared" si="37"/>
        <v>1.4634146341463428E-2</v>
      </c>
      <c r="AT307"/>
      <c r="AU307"/>
    </row>
    <row r="308" spans="7:47" ht="14.25" customHeight="1" thickTop="1" x14ac:dyDescent="0.15">
      <c r="G308" s="22"/>
      <c r="H308" s="250"/>
      <c r="J308" s="241"/>
      <c r="K308" s="140" t="s">
        <v>148</v>
      </c>
      <c r="L308" s="171">
        <f t="shared" ref="L308:AQ310" si="38">L81</f>
        <v>4.3753335999999997E-2</v>
      </c>
      <c r="M308" s="171">
        <f t="shared" si="38"/>
        <v>4.3753335999999997E-2</v>
      </c>
      <c r="N308" s="171">
        <f t="shared" si="38"/>
        <v>4.3753335999999997E-2</v>
      </c>
      <c r="O308" s="171">
        <f t="shared" si="38"/>
        <v>4.3753335999999997E-2</v>
      </c>
      <c r="P308" s="171">
        <f t="shared" si="38"/>
        <v>4.3753335999999997E-2</v>
      </c>
      <c r="Q308" s="171">
        <f t="shared" si="38"/>
        <v>4.3753335999999997E-2</v>
      </c>
      <c r="R308" s="171">
        <f t="shared" si="38"/>
        <v>4.3753335999999997E-2</v>
      </c>
      <c r="S308" s="171">
        <f t="shared" si="38"/>
        <v>4.3753335999999997E-2</v>
      </c>
      <c r="T308" s="171">
        <f t="shared" si="38"/>
        <v>4.3753335999999997E-2</v>
      </c>
      <c r="U308" s="171">
        <f t="shared" si="38"/>
        <v>4.3753335999999997E-2</v>
      </c>
      <c r="V308" s="171">
        <f t="shared" si="38"/>
        <v>4.3753335999999997E-2</v>
      </c>
      <c r="W308" s="171">
        <f t="shared" si="38"/>
        <v>4.3753335999999997E-2</v>
      </c>
      <c r="X308" s="171">
        <f t="shared" si="38"/>
        <v>4.3753335999999997E-2</v>
      </c>
      <c r="Y308" s="171">
        <f t="shared" si="38"/>
        <v>4.3753335999999997E-2</v>
      </c>
      <c r="Z308" s="171">
        <f t="shared" si="38"/>
        <v>4.3753335999999997E-2</v>
      </c>
      <c r="AA308" s="171">
        <f t="shared" si="38"/>
        <v>4.3753335999999997E-2</v>
      </c>
      <c r="AB308" s="171">
        <f t="shared" si="38"/>
        <v>4.3753335999999997E-2</v>
      </c>
      <c r="AC308" s="171">
        <f t="shared" si="38"/>
        <v>4.3753335999999997E-2</v>
      </c>
      <c r="AD308" s="171">
        <f t="shared" si="38"/>
        <v>4.3753335999999997E-2</v>
      </c>
      <c r="AE308" s="171">
        <f t="shared" si="38"/>
        <v>4.3753335999999997E-2</v>
      </c>
      <c r="AF308" s="171">
        <f t="shared" si="38"/>
        <v>4.3753335999999997E-2</v>
      </c>
      <c r="AG308" s="171">
        <f t="shared" si="38"/>
        <v>4.3753335999999997E-2</v>
      </c>
      <c r="AH308" s="171">
        <f t="shared" si="38"/>
        <v>4.3753335999999997E-2</v>
      </c>
      <c r="AI308" s="171">
        <f t="shared" si="38"/>
        <v>4.3753335999999997E-2</v>
      </c>
      <c r="AJ308" s="171">
        <f t="shared" si="38"/>
        <v>4.3753335999999997E-2</v>
      </c>
      <c r="AK308" s="171">
        <f t="shared" si="38"/>
        <v>4.3753335999999997E-2</v>
      </c>
      <c r="AL308" s="171">
        <f t="shared" si="38"/>
        <v>4.3753335999999997E-2</v>
      </c>
      <c r="AM308" s="171">
        <f t="shared" si="38"/>
        <v>4.3753335999999997E-2</v>
      </c>
      <c r="AN308" s="171">
        <f t="shared" si="38"/>
        <v>4.3753335999999997E-2</v>
      </c>
      <c r="AO308" s="171">
        <f t="shared" si="38"/>
        <v>4.3753335999999997E-2</v>
      </c>
      <c r="AP308" s="171">
        <f t="shared" si="38"/>
        <v>4.3753335999999997E-2</v>
      </c>
      <c r="AQ308" s="171">
        <f t="shared" si="38"/>
        <v>4.3753335999999997E-2</v>
      </c>
    </row>
    <row r="309" spans="7:47" ht="14.25" customHeight="1" x14ac:dyDescent="0.2">
      <c r="G309" s="22"/>
      <c r="H309" s="250"/>
      <c r="J309" s="241"/>
      <c r="K309" s="19" t="s">
        <v>149</v>
      </c>
      <c r="L309" s="172">
        <f t="shared" si="38"/>
        <v>4.3753335999999997E-2</v>
      </c>
      <c r="M309" s="172">
        <f t="shared" si="38"/>
        <v>4.3753335999999997E-2</v>
      </c>
      <c r="N309" s="172">
        <f t="shared" si="38"/>
        <v>4.3753335999999997E-2</v>
      </c>
      <c r="O309" s="172">
        <f t="shared" si="38"/>
        <v>4.3753335999999997E-2</v>
      </c>
      <c r="P309" s="172">
        <f t="shared" si="38"/>
        <v>4.3753335999999997E-2</v>
      </c>
      <c r="Q309" s="172">
        <f t="shared" si="38"/>
        <v>4.3753335999999997E-2</v>
      </c>
      <c r="R309" s="172">
        <f t="shared" si="38"/>
        <v>4.3753335999999997E-2</v>
      </c>
      <c r="S309" s="172">
        <f t="shared" si="38"/>
        <v>4.3753335999999997E-2</v>
      </c>
      <c r="T309" s="172">
        <f t="shared" si="38"/>
        <v>4.3753335999999997E-2</v>
      </c>
      <c r="U309" s="172">
        <f t="shared" si="38"/>
        <v>4.3753335999999997E-2</v>
      </c>
      <c r="V309" s="172">
        <f t="shared" si="38"/>
        <v>4.3753335999999997E-2</v>
      </c>
      <c r="W309" s="172">
        <f t="shared" si="38"/>
        <v>4.3753335999999997E-2</v>
      </c>
      <c r="X309" s="172">
        <f t="shared" si="38"/>
        <v>4.3753335999999997E-2</v>
      </c>
      <c r="Y309" s="172">
        <f t="shared" si="38"/>
        <v>4.3753335999999997E-2</v>
      </c>
      <c r="Z309" s="172">
        <f t="shared" si="38"/>
        <v>4.3753335999999997E-2</v>
      </c>
      <c r="AA309" s="172">
        <f t="shared" si="38"/>
        <v>4.3753335999999997E-2</v>
      </c>
      <c r="AB309" s="172">
        <f t="shared" si="38"/>
        <v>4.3753335999999997E-2</v>
      </c>
      <c r="AC309" s="172">
        <f t="shared" si="38"/>
        <v>4.3753335999999997E-2</v>
      </c>
      <c r="AD309" s="172">
        <f t="shared" si="38"/>
        <v>4.3753335999999997E-2</v>
      </c>
      <c r="AE309" s="172">
        <f t="shared" si="38"/>
        <v>4.3753335999999997E-2</v>
      </c>
      <c r="AF309" s="172">
        <f t="shared" si="38"/>
        <v>4.3753335999999997E-2</v>
      </c>
      <c r="AG309" s="172">
        <f t="shared" si="38"/>
        <v>4.3753335999999997E-2</v>
      </c>
      <c r="AH309" s="172">
        <f t="shared" si="38"/>
        <v>4.3753335999999997E-2</v>
      </c>
      <c r="AI309" s="172">
        <f t="shared" si="38"/>
        <v>4.3753335999999997E-2</v>
      </c>
      <c r="AJ309" s="172">
        <f t="shared" si="38"/>
        <v>4.3753335999999997E-2</v>
      </c>
      <c r="AK309" s="172">
        <f t="shared" si="38"/>
        <v>4.3753335999999997E-2</v>
      </c>
      <c r="AL309" s="172">
        <f t="shared" si="38"/>
        <v>4.3753335999999997E-2</v>
      </c>
      <c r="AM309" s="172">
        <f t="shared" si="38"/>
        <v>4.3753335999999997E-2</v>
      </c>
      <c r="AN309" s="172">
        <f t="shared" si="38"/>
        <v>4.3753335999999997E-2</v>
      </c>
      <c r="AO309" s="172">
        <f t="shared" si="38"/>
        <v>4.3753335999999997E-2</v>
      </c>
      <c r="AP309" s="172">
        <f t="shared" si="38"/>
        <v>4.3753335999999997E-2</v>
      </c>
      <c r="AQ309" s="172">
        <f t="shared" si="38"/>
        <v>4.3753335999999997E-2</v>
      </c>
      <c r="AR309"/>
      <c r="AS309"/>
    </row>
    <row r="310" spans="7:47" ht="14.25" customHeight="1" thickBot="1" x14ac:dyDescent="0.2">
      <c r="G310" s="22"/>
      <c r="H310" s="250"/>
      <c r="J310" s="241"/>
      <c r="K310" s="144" t="s">
        <v>150</v>
      </c>
      <c r="L310" s="173">
        <f t="shared" si="38"/>
        <v>4.3753335999999997E-2</v>
      </c>
      <c r="M310" s="173">
        <f t="shared" si="38"/>
        <v>4.3753335999999997E-2</v>
      </c>
      <c r="N310" s="173">
        <f t="shared" si="38"/>
        <v>4.3753335999999997E-2</v>
      </c>
      <c r="O310" s="173">
        <f t="shared" si="38"/>
        <v>4.3753335999999997E-2</v>
      </c>
      <c r="P310" s="173">
        <f t="shared" si="38"/>
        <v>4.3753335999999997E-2</v>
      </c>
      <c r="Q310" s="173">
        <f t="shared" si="38"/>
        <v>4.3753335999999997E-2</v>
      </c>
      <c r="R310" s="173">
        <f t="shared" si="38"/>
        <v>4.3753335999999997E-2</v>
      </c>
      <c r="S310" s="173">
        <f t="shared" si="38"/>
        <v>4.3753335999999997E-2</v>
      </c>
      <c r="T310" s="173">
        <f t="shared" si="38"/>
        <v>4.3753335999999997E-2</v>
      </c>
      <c r="U310" s="173">
        <f t="shared" si="38"/>
        <v>4.3753335999999997E-2</v>
      </c>
      <c r="V310" s="173">
        <f t="shared" si="38"/>
        <v>4.3753335999999997E-2</v>
      </c>
      <c r="W310" s="173">
        <f t="shared" si="38"/>
        <v>4.3753335999999997E-2</v>
      </c>
      <c r="X310" s="173">
        <f t="shared" si="38"/>
        <v>4.3753335999999997E-2</v>
      </c>
      <c r="Y310" s="173">
        <f t="shared" si="38"/>
        <v>4.3753335999999997E-2</v>
      </c>
      <c r="Z310" s="173">
        <f t="shared" si="38"/>
        <v>4.3753335999999997E-2</v>
      </c>
      <c r="AA310" s="173">
        <f t="shared" si="38"/>
        <v>4.3753335999999997E-2</v>
      </c>
      <c r="AB310" s="173">
        <f t="shared" si="38"/>
        <v>4.3753335999999997E-2</v>
      </c>
      <c r="AC310" s="173">
        <f t="shared" si="38"/>
        <v>4.3753335999999997E-2</v>
      </c>
      <c r="AD310" s="173">
        <f t="shared" si="38"/>
        <v>4.3753335999999997E-2</v>
      </c>
      <c r="AE310" s="173">
        <f t="shared" si="38"/>
        <v>4.3753335999999997E-2</v>
      </c>
      <c r="AF310" s="173">
        <f t="shared" si="38"/>
        <v>4.3753335999999997E-2</v>
      </c>
      <c r="AG310" s="173">
        <f t="shared" si="38"/>
        <v>4.3753335999999997E-2</v>
      </c>
      <c r="AH310" s="173">
        <f t="shared" si="38"/>
        <v>4.3753335999999997E-2</v>
      </c>
      <c r="AI310" s="173">
        <f t="shared" si="38"/>
        <v>4.3753335999999997E-2</v>
      </c>
      <c r="AJ310" s="173">
        <f t="shared" si="38"/>
        <v>4.3753335999999997E-2</v>
      </c>
      <c r="AK310" s="173">
        <f t="shared" si="38"/>
        <v>4.3753335999999997E-2</v>
      </c>
      <c r="AL310" s="173">
        <f t="shared" si="38"/>
        <v>4.3753335999999997E-2</v>
      </c>
      <c r="AM310" s="173">
        <f t="shared" si="38"/>
        <v>4.3753335999999997E-2</v>
      </c>
      <c r="AN310" s="173">
        <f t="shared" si="38"/>
        <v>4.3753335999999997E-2</v>
      </c>
      <c r="AO310" s="173">
        <f t="shared" si="38"/>
        <v>4.3753335999999997E-2</v>
      </c>
      <c r="AP310" s="173">
        <f t="shared" si="38"/>
        <v>4.3753335999999997E-2</v>
      </c>
      <c r="AQ310" s="173">
        <f t="shared" si="38"/>
        <v>4.3753335999999997E-2</v>
      </c>
    </row>
    <row r="311" spans="7:47" ht="14.25" customHeight="1" thickTop="1" x14ac:dyDescent="0.15">
      <c r="G311" s="22"/>
      <c r="H311" s="250"/>
      <c r="J311" s="241"/>
      <c r="K311" s="140" t="s">
        <v>151</v>
      </c>
      <c r="L311" s="171">
        <f t="shared" ref="L311:AQ313" si="39">L81</f>
        <v>4.3753335999999997E-2</v>
      </c>
      <c r="M311" s="171">
        <f t="shared" si="39"/>
        <v>4.3753335999999997E-2</v>
      </c>
      <c r="N311" s="171">
        <f t="shared" si="39"/>
        <v>4.3753335999999997E-2</v>
      </c>
      <c r="O311" s="171">
        <f t="shared" si="39"/>
        <v>4.3753335999999997E-2</v>
      </c>
      <c r="P311" s="171">
        <f t="shared" si="39"/>
        <v>4.3753335999999997E-2</v>
      </c>
      <c r="Q311" s="171">
        <f t="shared" si="39"/>
        <v>4.3753335999999997E-2</v>
      </c>
      <c r="R311" s="171">
        <f t="shared" si="39"/>
        <v>4.3753335999999997E-2</v>
      </c>
      <c r="S311" s="171">
        <f t="shared" si="39"/>
        <v>4.3753335999999997E-2</v>
      </c>
      <c r="T311" s="171">
        <f t="shared" si="39"/>
        <v>4.3753335999999997E-2</v>
      </c>
      <c r="U311" s="171">
        <f t="shared" si="39"/>
        <v>4.3753335999999997E-2</v>
      </c>
      <c r="V311" s="171">
        <f t="shared" si="39"/>
        <v>4.3753335999999997E-2</v>
      </c>
      <c r="W311" s="171">
        <f t="shared" si="39"/>
        <v>4.3753335999999997E-2</v>
      </c>
      <c r="X311" s="171">
        <f t="shared" si="39"/>
        <v>4.3753335999999997E-2</v>
      </c>
      <c r="Y311" s="171">
        <f t="shared" si="39"/>
        <v>4.3753335999999997E-2</v>
      </c>
      <c r="Z311" s="171">
        <f t="shared" si="39"/>
        <v>4.3753335999999997E-2</v>
      </c>
      <c r="AA311" s="171">
        <f t="shared" si="39"/>
        <v>4.3753335999999997E-2</v>
      </c>
      <c r="AB311" s="171">
        <f t="shared" si="39"/>
        <v>4.3753335999999997E-2</v>
      </c>
      <c r="AC311" s="171">
        <f t="shared" si="39"/>
        <v>4.3753335999999997E-2</v>
      </c>
      <c r="AD311" s="171">
        <f t="shared" si="39"/>
        <v>4.3753335999999997E-2</v>
      </c>
      <c r="AE311" s="171">
        <f t="shared" si="39"/>
        <v>4.3753335999999997E-2</v>
      </c>
      <c r="AF311" s="171">
        <f t="shared" si="39"/>
        <v>4.3753335999999997E-2</v>
      </c>
      <c r="AG311" s="171">
        <f t="shared" si="39"/>
        <v>4.3753335999999997E-2</v>
      </c>
      <c r="AH311" s="171">
        <f t="shared" si="39"/>
        <v>4.3753335999999997E-2</v>
      </c>
      <c r="AI311" s="171">
        <f t="shared" si="39"/>
        <v>4.3753335999999997E-2</v>
      </c>
      <c r="AJ311" s="171">
        <f t="shared" si="39"/>
        <v>4.3753335999999997E-2</v>
      </c>
      <c r="AK311" s="171">
        <f t="shared" si="39"/>
        <v>4.3753335999999997E-2</v>
      </c>
      <c r="AL311" s="171">
        <f t="shared" si="39"/>
        <v>4.3753335999999997E-2</v>
      </c>
      <c r="AM311" s="171">
        <f t="shared" si="39"/>
        <v>4.3753335999999997E-2</v>
      </c>
      <c r="AN311" s="171">
        <f t="shared" si="39"/>
        <v>4.3753335999999997E-2</v>
      </c>
      <c r="AO311" s="171">
        <f t="shared" si="39"/>
        <v>4.3753335999999997E-2</v>
      </c>
      <c r="AP311" s="171">
        <f t="shared" si="39"/>
        <v>4.3753335999999997E-2</v>
      </c>
      <c r="AQ311" s="171">
        <f t="shared" si="39"/>
        <v>4.3753335999999997E-2</v>
      </c>
    </row>
    <row r="312" spans="7:47" ht="14.25" customHeight="1" x14ac:dyDescent="0.15">
      <c r="G312" s="22"/>
      <c r="H312" s="250"/>
      <c r="J312" s="241"/>
      <c r="K312" s="19" t="s">
        <v>152</v>
      </c>
      <c r="L312" s="172">
        <f t="shared" si="39"/>
        <v>4.3753335999999997E-2</v>
      </c>
      <c r="M312" s="172">
        <f t="shared" si="39"/>
        <v>4.3753335999999997E-2</v>
      </c>
      <c r="N312" s="172">
        <f t="shared" si="39"/>
        <v>4.3753335999999997E-2</v>
      </c>
      <c r="O312" s="172">
        <f t="shared" si="39"/>
        <v>4.3753335999999997E-2</v>
      </c>
      <c r="P312" s="172">
        <f t="shared" si="39"/>
        <v>4.3753335999999997E-2</v>
      </c>
      <c r="Q312" s="172">
        <f t="shared" si="39"/>
        <v>4.3753335999999997E-2</v>
      </c>
      <c r="R312" s="172">
        <f t="shared" si="39"/>
        <v>4.3753335999999997E-2</v>
      </c>
      <c r="S312" s="172">
        <f t="shared" si="39"/>
        <v>4.3753335999999997E-2</v>
      </c>
      <c r="T312" s="172">
        <f t="shared" si="39"/>
        <v>4.3753335999999997E-2</v>
      </c>
      <c r="U312" s="172">
        <f t="shared" si="39"/>
        <v>4.3753335999999997E-2</v>
      </c>
      <c r="V312" s="172">
        <f t="shared" si="39"/>
        <v>4.3753335999999997E-2</v>
      </c>
      <c r="W312" s="172">
        <f t="shared" si="39"/>
        <v>4.3753335999999997E-2</v>
      </c>
      <c r="X312" s="172">
        <f t="shared" si="39"/>
        <v>4.3753335999999997E-2</v>
      </c>
      <c r="Y312" s="172">
        <f t="shared" si="39"/>
        <v>4.3753335999999997E-2</v>
      </c>
      <c r="Z312" s="172">
        <f t="shared" si="39"/>
        <v>4.3753335999999997E-2</v>
      </c>
      <c r="AA312" s="172">
        <f t="shared" si="39"/>
        <v>4.3753335999999997E-2</v>
      </c>
      <c r="AB312" s="172">
        <f t="shared" si="39"/>
        <v>4.3753335999999997E-2</v>
      </c>
      <c r="AC312" s="172">
        <f t="shared" si="39"/>
        <v>4.3753335999999997E-2</v>
      </c>
      <c r="AD312" s="172">
        <f t="shared" si="39"/>
        <v>4.3753335999999997E-2</v>
      </c>
      <c r="AE312" s="172">
        <f t="shared" si="39"/>
        <v>4.3753335999999997E-2</v>
      </c>
      <c r="AF312" s="172">
        <f t="shared" si="39"/>
        <v>4.3753335999999997E-2</v>
      </c>
      <c r="AG312" s="172">
        <f t="shared" si="39"/>
        <v>4.3753335999999997E-2</v>
      </c>
      <c r="AH312" s="172">
        <f t="shared" si="39"/>
        <v>4.3753335999999997E-2</v>
      </c>
      <c r="AI312" s="172">
        <f t="shared" si="39"/>
        <v>4.3753335999999997E-2</v>
      </c>
      <c r="AJ312" s="172">
        <f t="shared" si="39"/>
        <v>4.3753335999999997E-2</v>
      </c>
      <c r="AK312" s="172">
        <f t="shared" si="39"/>
        <v>4.3753335999999997E-2</v>
      </c>
      <c r="AL312" s="172">
        <f t="shared" si="39"/>
        <v>4.3753335999999997E-2</v>
      </c>
      <c r="AM312" s="172">
        <f t="shared" si="39"/>
        <v>4.3753335999999997E-2</v>
      </c>
      <c r="AN312" s="172">
        <f t="shared" si="39"/>
        <v>4.3753335999999997E-2</v>
      </c>
      <c r="AO312" s="172">
        <f t="shared" si="39"/>
        <v>4.3753335999999997E-2</v>
      </c>
      <c r="AP312" s="172">
        <f t="shared" si="39"/>
        <v>4.3753335999999997E-2</v>
      </c>
      <c r="AQ312" s="172">
        <f t="shared" si="39"/>
        <v>4.3753335999999997E-2</v>
      </c>
    </row>
    <row r="313" spans="7:47" ht="14.25" customHeight="1" thickBot="1" x14ac:dyDescent="0.2">
      <c r="G313" s="22"/>
      <c r="H313" s="250"/>
      <c r="J313" s="241"/>
      <c r="K313" s="144" t="s">
        <v>153</v>
      </c>
      <c r="L313" s="173">
        <f t="shared" si="39"/>
        <v>4.3753335999999997E-2</v>
      </c>
      <c r="M313" s="173">
        <f t="shared" si="39"/>
        <v>4.3753335999999997E-2</v>
      </c>
      <c r="N313" s="173">
        <f t="shared" si="39"/>
        <v>4.3753335999999997E-2</v>
      </c>
      <c r="O313" s="173">
        <f t="shared" si="39"/>
        <v>4.3753335999999997E-2</v>
      </c>
      <c r="P313" s="173">
        <f t="shared" si="39"/>
        <v>4.3753335999999997E-2</v>
      </c>
      <c r="Q313" s="173">
        <f t="shared" si="39"/>
        <v>4.3753335999999997E-2</v>
      </c>
      <c r="R313" s="173">
        <f t="shared" si="39"/>
        <v>4.3753335999999997E-2</v>
      </c>
      <c r="S313" s="173">
        <f t="shared" si="39"/>
        <v>4.3753335999999997E-2</v>
      </c>
      <c r="T313" s="173">
        <f t="shared" si="39"/>
        <v>4.3753335999999997E-2</v>
      </c>
      <c r="U313" s="173">
        <f t="shared" si="39"/>
        <v>4.3753335999999997E-2</v>
      </c>
      <c r="V313" s="173">
        <f t="shared" si="39"/>
        <v>4.3753335999999997E-2</v>
      </c>
      <c r="W313" s="173">
        <f t="shared" si="39"/>
        <v>4.3753335999999997E-2</v>
      </c>
      <c r="X313" s="173">
        <f t="shared" si="39"/>
        <v>4.3753335999999997E-2</v>
      </c>
      <c r="Y313" s="173">
        <f t="shared" si="39"/>
        <v>4.3753335999999997E-2</v>
      </c>
      <c r="Z313" s="173">
        <f t="shared" si="39"/>
        <v>4.3753335999999997E-2</v>
      </c>
      <c r="AA313" s="173">
        <f t="shared" si="39"/>
        <v>4.3753335999999997E-2</v>
      </c>
      <c r="AB313" s="173">
        <f t="shared" si="39"/>
        <v>4.3753335999999997E-2</v>
      </c>
      <c r="AC313" s="173">
        <f t="shared" si="39"/>
        <v>4.3753335999999997E-2</v>
      </c>
      <c r="AD313" s="173">
        <f t="shared" si="39"/>
        <v>4.3753335999999997E-2</v>
      </c>
      <c r="AE313" s="173">
        <f t="shared" si="39"/>
        <v>4.3753335999999997E-2</v>
      </c>
      <c r="AF313" s="173">
        <f t="shared" si="39"/>
        <v>4.3753335999999997E-2</v>
      </c>
      <c r="AG313" s="173">
        <f t="shared" si="39"/>
        <v>4.3753335999999997E-2</v>
      </c>
      <c r="AH313" s="173">
        <f t="shared" si="39"/>
        <v>4.3753335999999997E-2</v>
      </c>
      <c r="AI313" s="173">
        <f t="shared" si="39"/>
        <v>4.3753335999999997E-2</v>
      </c>
      <c r="AJ313" s="173">
        <f t="shared" si="39"/>
        <v>4.3753335999999997E-2</v>
      </c>
      <c r="AK313" s="173">
        <f t="shared" si="39"/>
        <v>4.3753335999999997E-2</v>
      </c>
      <c r="AL313" s="173">
        <f t="shared" si="39"/>
        <v>4.3753335999999997E-2</v>
      </c>
      <c r="AM313" s="173">
        <f t="shared" si="39"/>
        <v>4.3753335999999997E-2</v>
      </c>
      <c r="AN313" s="173">
        <f t="shared" si="39"/>
        <v>4.3753335999999997E-2</v>
      </c>
      <c r="AO313" s="173">
        <f t="shared" si="39"/>
        <v>4.3753335999999997E-2</v>
      </c>
      <c r="AP313" s="173">
        <f t="shared" si="39"/>
        <v>4.3753335999999997E-2</v>
      </c>
      <c r="AQ313" s="173">
        <f t="shared" si="39"/>
        <v>4.3753335999999997E-2</v>
      </c>
    </row>
    <row r="314" spans="7:47" ht="14.25" customHeight="1" thickTop="1" x14ac:dyDescent="0.15">
      <c r="G314" s="22"/>
      <c r="H314" s="250"/>
      <c r="J314" s="241"/>
      <c r="K314" s="140" t="s">
        <v>154</v>
      </c>
      <c r="L314" s="171">
        <f t="shared" ref="L314:AQ316" si="40">L81</f>
        <v>4.3753335999999997E-2</v>
      </c>
      <c r="M314" s="171">
        <f t="shared" si="40"/>
        <v>4.3753335999999997E-2</v>
      </c>
      <c r="N314" s="171">
        <f t="shared" si="40"/>
        <v>4.3753335999999997E-2</v>
      </c>
      <c r="O314" s="171">
        <f t="shared" si="40"/>
        <v>4.3753335999999997E-2</v>
      </c>
      <c r="P314" s="171">
        <f t="shared" si="40"/>
        <v>4.3753335999999997E-2</v>
      </c>
      <c r="Q314" s="171">
        <f t="shared" si="40"/>
        <v>4.3753335999999997E-2</v>
      </c>
      <c r="R314" s="171">
        <f t="shared" si="40"/>
        <v>4.3753335999999997E-2</v>
      </c>
      <c r="S314" s="171">
        <f t="shared" si="40"/>
        <v>4.3753335999999997E-2</v>
      </c>
      <c r="T314" s="171">
        <f t="shared" si="40"/>
        <v>4.3753335999999997E-2</v>
      </c>
      <c r="U314" s="171">
        <f t="shared" si="40"/>
        <v>4.3753335999999997E-2</v>
      </c>
      <c r="V314" s="171">
        <f t="shared" si="40"/>
        <v>4.3753335999999997E-2</v>
      </c>
      <c r="W314" s="171">
        <f t="shared" si="40"/>
        <v>4.3753335999999997E-2</v>
      </c>
      <c r="X314" s="171">
        <f t="shared" si="40"/>
        <v>4.3753335999999997E-2</v>
      </c>
      <c r="Y314" s="171">
        <f t="shared" si="40"/>
        <v>4.3753335999999997E-2</v>
      </c>
      <c r="Z314" s="171">
        <f t="shared" si="40"/>
        <v>4.3753335999999997E-2</v>
      </c>
      <c r="AA314" s="171">
        <f t="shared" si="40"/>
        <v>4.3753335999999997E-2</v>
      </c>
      <c r="AB314" s="171">
        <f t="shared" si="40"/>
        <v>4.3753335999999997E-2</v>
      </c>
      <c r="AC314" s="171">
        <f t="shared" si="40"/>
        <v>4.3753335999999997E-2</v>
      </c>
      <c r="AD314" s="171">
        <f t="shared" si="40"/>
        <v>4.3753335999999997E-2</v>
      </c>
      <c r="AE314" s="171">
        <f t="shared" si="40"/>
        <v>4.3753335999999997E-2</v>
      </c>
      <c r="AF314" s="171">
        <f t="shared" si="40"/>
        <v>4.3753335999999997E-2</v>
      </c>
      <c r="AG314" s="171">
        <f t="shared" si="40"/>
        <v>4.3753335999999997E-2</v>
      </c>
      <c r="AH314" s="171">
        <f t="shared" si="40"/>
        <v>4.3753335999999997E-2</v>
      </c>
      <c r="AI314" s="171">
        <f t="shared" si="40"/>
        <v>4.3753335999999997E-2</v>
      </c>
      <c r="AJ314" s="171">
        <f t="shared" si="40"/>
        <v>4.3753335999999997E-2</v>
      </c>
      <c r="AK314" s="171">
        <f t="shared" si="40"/>
        <v>4.3753335999999997E-2</v>
      </c>
      <c r="AL314" s="171">
        <f t="shared" si="40"/>
        <v>4.3753335999999997E-2</v>
      </c>
      <c r="AM314" s="171">
        <f t="shared" si="40"/>
        <v>4.3753335999999997E-2</v>
      </c>
      <c r="AN314" s="171">
        <f t="shared" si="40"/>
        <v>4.3753335999999997E-2</v>
      </c>
      <c r="AO314" s="171">
        <f t="shared" si="40"/>
        <v>4.3753335999999997E-2</v>
      </c>
      <c r="AP314" s="171">
        <f t="shared" si="40"/>
        <v>4.3753335999999997E-2</v>
      </c>
      <c r="AQ314" s="171">
        <f t="shared" si="40"/>
        <v>4.3753335999999997E-2</v>
      </c>
    </row>
    <row r="315" spans="7:47" ht="14.25" customHeight="1" x14ac:dyDescent="0.15">
      <c r="G315" s="22"/>
      <c r="H315" s="250"/>
      <c r="J315" s="241"/>
      <c r="K315" s="19" t="s">
        <v>155</v>
      </c>
      <c r="L315" s="172">
        <f t="shared" si="40"/>
        <v>4.3753335999999997E-2</v>
      </c>
      <c r="M315" s="172">
        <f t="shared" si="40"/>
        <v>4.3753335999999997E-2</v>
      </c>
      <c r="N315" s="172">
        <f t="shared" si="40"/>
        <v>4.3753335999999997E-2</v>
      </c>
      <c r="O315" s="172">
        <f t="shared" si="40"/>
        <v>4.3753335999999997E-2</v>
      </c>
      <c r="P315" s="172">
        <f t="shared" si="40"/>
        <v>4.3753335999999997E-2</v>
      </c>
      <c r="Q315" s="172">
        <f t="shared" si="40"/>
        <v>4.3753335999999997E-2</v>
      </c>
      <c r="R315" s="172">
        <f t="shared" si="40"/>
        <v>4.3753335999999997E-2</v>
      </c>
      <c r="S315" s="172">
        <f t="shared" si="40"/>
        <v>4.3753335999999997E-2</v>
      </c>
      <c r="T315" s="172">
        <f t="shared" si="40"/>
        <v>4.3753335999999997E-2</v>
      </c>
      <c r="U315" s="172">
        <f t="shared" si="40"/>
        <v>4.3753335999999997E-2</v>
      </c>
      <c r="V315" s="172">
        <f t="shared" si="40"/>
        <v>4.3753335999999997E-2</v>
      </c>
      <c r="W315" s="172">
        <f t="shared" si="40"/>
        <v>4.3753335999999997E-2</v>
      </c>
      <c r="X315" s="172">
        <f t="shared" si="40"/>
        <v>4.3753335999999997E-2</v>
      </c>
      <c r="Y315" s="172">
        <f t="shared" si="40"/>
        <v>4.3753335999999997E-2</v>
      </c>
      <c r="Z315" s="172">
        <f t="shared" si="40"/>
        <v>4.3753335999999997E-2</v>
      </c>
      <c r="AA315" s="172">
        <f t="shared" si="40"/>
        <v>4.3753335999999997E-2</v>
      </c>
      <c r="AB315" s="172">
        <f t="shared" si="40"/>
        <v>4.3753335999999997E-2</v>
      </c>
      <c r="AC315" s="172">
        <f t="shared" si="40"/>
        <v>4.3753335999999997E-2</v>
      </c>
      <c r="AD315" s="172">
        <f t="shared" si="40"/>
        <v>4.3753335999999997E-2</v>
      </c>
      <c r="AE315" s="172">
        <f t="shared" si="40"/>
        <v>4.3753335999999997E-2</v>
      </c>
      <c r="AF315" s="172">
        <f t="shared" si="40"/>
        <v>4.3753335999999997E-2</v>
      </c>
      <c r="AG315" s="172">
        <f t="shared" si="40"/>
        <v>4.3753335999999997E-2</v>
      </c>
      <c r="AH315" s="172">
        <f t="shared" si="40"/>
        <v>4.3753335999999997E-2</v>
      </c>
      <c r="AI315" s="172">
        <f t="shared" si="40"/>
        <v>4.3753335999999997E-2</v>
      </c>
      <c r="AJ315" s="172">
        <f t="shared" si="40"/>
        <v>4.3753335999999997E-2</v>
      </c>
      <c r="AK315" s="172">
        <f t="shared" si="40"/>
        <v>4.3753335999999997E-2</v>
      </c>
      <c r="AL315" s="172">
        <f t="shared" si="40"/>
        <v>4.3753335999999997E-2</v>
      </c>
      <c r="AM315" s="172">
        <f t="shared" si="40"/>
        <v>4.3753335999999997E-2</v>
      </c>
      <c r="AN315" s="172">
        <f t="shared" si="40"/>
        <v>4.3753335999999997E-2</v>
      </c>
      <c r="AO315" s="172">
        <f t="shared" si="40"/>
        <v>4.3753335999999997E-2</v>
      </c>
      <c r="AP315" s="172">
        <f t="shared" si="40"/>
        <v>4.3753335999999997E-2</v>
      </c>
      <c r="AQ315" s="172">
        <f t="shared" si="40"/>
        <v>4.3753335999999997E-2</v>
      </c>
    </row>
    <row r="316" spans="7:47" ht="14.25" customHeight="1" thickBot="1" x14ac:dyDescent="0.25">
      <c r="G316" s="22"/>
      <c r="H316" s="250"/>
      <c r="J316" s="241"/>
      <c r="K316" s="144" t="s">
        <v>156</v>
      </c>
      <c r="L316" s="173">
        <f t="shared" si="40"/>
        <v>4.3753335999999997E-2</v>
      </c>
      <c r="M316" s="173">
        <f t="shared" si="40"/>
        <v>4.3753335999999997E-2</v>
      </c>
      <c r="N316" s="173">
        <f t="shared" si="40"/>
        <v>4.3753335999999997E-2</v>
      </c>
      <c r="O316" s="173">
        <f t="shared" si="40"/>
        <v>4.3753335999999997E-2</v>
      </c>
      <c r="P316" s="173">
        <f t="shared" si="40"/>
        <v>4.3753335999999997E-2</v>
      </c>
      <c r="Q316" s="173">
        <f t="shared" si="40"/>
        <v>4.3753335999999997E-2</v>
      </c>
      <c r="R316" s="173">
        <f t="shared" si="40"/>
        <v>4.3753335999999997E-2</v>
      </c>
      <c r="S316" s="173">
        <f t="shared" si="40"/>
        <v>4.3753335999999997E-2</v>
      </c>
      <c r="T316" s="173">
        <f t="shared" si="40"/>
        <v>4.3753335999999997E-2</v>
      </c>
      <c r="U316" s="173">
        <f t="shared" si="40"/>
        <v>4.3753335999999997E-2</v>
      </c>
      <c r="V316" s="173">
        <f t="shared" si="40"/>
        <v>4.3753335999999997E-2</v>
      </c>
      <c r="W316" s="173">
        <f t="shared" si="40"/>
        <v>4.3753335999999997E-2</v>
      </c>
      <c r="X316" s="173">
        <f t="shared" si="40"/>
        <v>4.3753335999999997E-2</v>
      </c>
      <c r="Y316" s="173">
        <f t="shared" si="40"/>
        <v>4.3753335999999997E-2</v>
      </c>
      <c r="Z316" s="173">
        <f t="shared" si="40"/>
        <v>4.3753335999999997E-2</v>
      </c>
      <c r="AA316" s="173">
        <f t="shared" si="40"/>
        <v>4.3753335999999997E-2</v>
      </c>
      <c r="AB316" s="173">
        <f t="shared" si="40"/>
        <v>4.3753335999999997E-2</v>
      </c>
      <c r="AC316" s="173">
        <f t="shared" si="40"/>
        <v>4.3753335999999997E-2</v>
      </c>
      <c r="AD316" s="173">
        <f t="shared" si="40"/>
        <v>4.3753335999999997E-2</v>
      </c>
      <c r="AE316" s="173">
        <f t="shared" si="40"/>
        <v>4.3753335999999997E-2</v>
      </c>
      <c r="AF316" s="173">
        <f t="shared" si="40"/>
        <v>4.3753335999999997E-2</v>
      </c>
      <c r="AG316" s="173">
        <f t="shared" si="40"/>
        <v>4.3753335999999997E-2</v>
      </c>
      <c r="AH316" s="173">
        <f t="shared" si="40"/>
        <v>4.3753335999999997E-2</v>
      </c>
      <c r="AI316" s="173">
        <f t="shared" si="40"/>
        <v>4.3753335999999997E-2</v>
      </c>
      <c r="AJ316" s="173">
        <f t="shared" si="40"/>
        <v>4.3753335999999997E-2</v>
      </c>
      <c r="AK316" s="173">
        <f t="shared" si="40"/>
        <v>4.3753335999999997E-2</v>
      </c>
      <c r="AL316" s="173">
        <f t="shared" si="40"/>
        <v>4.3753335999999997E-2</v>
      </c>
      <c r="AM316" s="173">
        <f t="shared" si="40"/>
        <v>4.3753335999999997E-2</v>
      </c>
      <c r="AN316" s="173">
        <f t="shared" si="40"/>
        <v>4.3753335999999997E-2</v>
      </c>
      <c r="AO316" s="173">
        <f t="shared" si="40"/>
        <v>4.3753335999999997E-2</v>
      </c>
      <c r="AP316" s="173">
        <f t="shared" si="40"/>
        <v>4.3753335999999997E-2</v>
      </c>
      <c r="AQ316" s="173">
        <f t="shared" si="40"/>
        <v>4.3753335999999997E-2</v>
      </c>
      <c r="AT316"/>
      <c r="AU316"/>
    </row>
    <row r="317" spans="7:47" ht="14.25" customHeight="1" thickTop="1" x14ac:dyDescent="0.15">
      <c r="G317" s="22"/>
      <c r="H317" s="250"/>
      <c r="J317" s="241"/>
      <c r="K317" s="140" t="s">
        <v>157</v>
      </c>
      <c r="L317" s="171">
        <f t="shared" ref="L317:AQ319" si="41">L81</f>
        <v>4.3753335999999997E-2</v>
      </c>
      <c r="M317" s="171">
        <f t="shared" si="41"/>
        <v>4.3753335999999997E-2</v>
      </c>
      <c r="N317" s="171">
        <f t="shared" si="41"/>
        <v>4.3753335999999997E-2</v>
      </c>
      <c r="O317" s="171">
        <f t="shared" si="41"/>
        <v>4.3753335999999997E-2</v>
      </c>
      <c r="P317" s="171">
        <f t="shared" si="41"/>
        <v>4.3753335999999997E-2</v>
      </c>
      <c r="Q317" s="171">
        <f t="shared" si="41"/>
        <v>4.3753335999999997E-2</v>
      </c>
      <c r="R317" s="171">
        <f t="shared" si="41"/>
        <v>4.3753335999999997E-2</v>
      </c>
      <c r="S317" s="171">
        <f t="shared" si="41"/>
        <v>4.3753335999999997E-2</v>
      </c>
      <c r="T317" s="171">
        <f t="shared" si="41"/>
        <v>4.3753335999999997E-2</v>
      </c>
      <c r="U317" s="171">
        <f t="shared" si="41"/>
        <v>4.3753335999999997E-2</v>
      </c>
      <c r="V317" s="171">
        <f t="shared" si="41"/>
        <v>4.3753335999999997E-2</v>
      </c>
      <c r="W317" s="171">
        <f t="shared" si="41"/>
        <v>4.3753335999999997E-2</v>
      </c>
      <c r="X317" s="171">
        <f t="shared" si="41"/>
        <v>4.3753335999999997E-2</v>
      </c>
      <c r="Y317" s="171">
        <f t="shared" si="41"/>
        <v>4.3753335999999997E-2</v>
      </c>
      <c r="Z317" s="171">
        <f t="shared" si="41"/>
        <v>4.3753335999999997E-2</v>
      </c>
      <c r="AA317" s="171">
        <f t="shared" si="41"/>
        <v>4.3753335999999997E-2</v>
      </c>
      <c r="AB317" s="171">
        <f t="shared" si="41"/>
        <v>4.3753335999999997E-2</v>
      </c>
      <c r="AC317" s="171">
        <f t="shared" si="41"/>
        <v>4.3753335999999997E-2</v>
      </c>
      <c r="AD317" s="171">
        <f t="shared" si="41"/>
        <v>4.3753335999999997E-2</v>
      </c>
      <c r="AE317" s="171">
        <f t="shared" si="41"/>
        <v>4.3753335999999997E-2</v>
      </c>
      <c r="AF317" s="171">
        <f t="shared" si="41"/>
        <v>4.3753335999999997E-2</v>
      </c>
      <c r="AG317" s="171">
        <f t="shared" si="41"/>
        <v>4.3753335999999997E-2</v>
      </c>
      <c r="AH317" s="171">
        <f t="shared" si="41"/>
        <v>4.3753335999999997E-2</v>
      </c>
      <c r="AI317" s="171">
        <f t="shared" si="41"/>
        <v>4.3753335999999997E-2</v>
      </c>
      <c r="AJ317" s="171">
        <f t="shared" si="41"/>
        <v>4.3753335999999997E-2</v>
      </c>
      <c r="AK317" s="171">
        <f t="shared" si="41"/>
        <v>4.3753335999999997E-2</v>
      </c>
      <c r="AL317" s="171">
        <f t="shared" si="41"/>
        <v>4.3753335999999997E-2</v>
      </c>
      <c r="AM317" s="171">
        <f t="shared" si="41"/>
        <v>4.3753335999999997E-2</v>
      </c>
      <c r="AN317" s="171">
        <f t="shared" si="41"/>
        <v>4.3753335999999997E-2</v>
      </c>
      <c r="AO317" s="171">
        <f t="shared" si="41"/>
        <v>4.3753335999999997E-2</v>
      </c>
      <c r="AP317" s="171">
        <f t="shared" si="41"/>
        <v>4.3753335999999997E-2</v>
      </c>
      <c r="AQ317" s="171">
        <f t="shared" si="41"/>
        <v>4.3753335999999997E-2</v>
      </c>
    </row>
    <row r="318" spans="7:47" ht="14.25" customHeight="1" x14ac:dyDescent="0.15">
      <c r="G318" s="22"/>
      <c r="H318" s="250"/>
      <c r="J318" s="241"/>
      <c r="K318" s="19" t="s">
        <v>158</v>
      </c>
      <c r="L318" s="172">
        <f t="shared" si="41"/>
        <v>4.3753335999999997E-2</v>
      </c>
      <c r="M318" s="172">
        <f t="shared" si="41"/>
        <v>4.3753335999999997E-2</v>
      </c>
      <c r="N318" s="172">
        <f t="shared" si="41"/>
        <v>4.3753335999999997E-2</v>
      </c>
      <c r="O318" s="172">
        <f t="shared" si="41"/>
        <v>4.3753335999999997E-2</v>
      </c>
      <c r="P318" s="172">
        <f t="shared" si="41"/>
        <v>4.3753335999999997E-2</v>
      </c>
      <c r="Q318" s="172">
        <f t="shared" si="41"/>
        <v>4.3753335999999997E-2</v>
      </c>
      <c r="R318" s="172">
        <f t="shared" si="41"/>
        <v>4.3753335999999997E-2</v>
      </c>
      <c r="S318" s="172">
        <f t="shared" si="41"/>
        <v>4.3753335999999997E-2</v>
      </c>
      <c r="T318" s="172">
        <f t="shared" si="41"/>
        <v>4.3753335999999997E-2</v>
      </c>
      <c r="U318" s="172">
        <f t="shared" si="41"/>
        <v>4.3753335999999997E-2</v>
      </c>
      <c r="V318" s="172">
        <f t="shared" si="41"/>
        <v>4.3753335999999997E-2</v>
      </c>
      <c r="W318" s="172">
        <f t="shared" si="41"/>
        <v>4.3753335999999997E-2</v>
      </c>
      <c r="X318" s="172">
        <f t="shared" si="41"/>
        <v>4.3753335999999997E-2</v>
      </c>
      <c r="Y318" s="172">
        <f t="shared" si="41"/>
        <v>4.3753335999999997E-2</v>
      </c>
      <c r="Z318" s="172">
        <f t="shared" si="41"/>
        <v>4.3753335999999997E-2</v>
      </c>
      <c r="AA318" s="172">
        <f t="shared" si="41"/>
        <v>4.3753335999999997E-2</v>
      </c>
      <c r="AB318" s="172">
        <f t="shared" si="41"/>
        <v>4.3753335999999997E-2</v>
      </c>
      <c r="AC318" s="172">
        <f t="shared" si="41"/>
        <v>4.3753335999999997E-2</v>
      </c>
      <c r="AD318" s="172">
        <f t="shared" si="41"/>
        <v>4.3753335999999997E-2</v>
      </c>
      <c r="AE318" s="172">
        <f t="shared" si="41"/>
        <v>4.3753335999999997E-2</v>
      </c>
      <c r="AF318" s="172">
        <f t="shared" si="41"/>
        <v>4.3753335999999997E-2</v>
      </c>
      <c r="AG318" s="172">
        <f t="shared" si="41"/>
        <v>4.3753335999999997E-2</v>
      </c>
      <c r="AH318" s="172">
        <f t="shared" si="41"/>
        <v>4.3753335999999997E-2</v>
      </c>
      <c r="AI318" s="172">
        <f t="shared" si="41"/>
        <v>4.3753335999999997E-2</v>
      </c>
      <c r="AJ318" s="172">
        <f t="shared" si="41"/>
        <v>4.3753335999999997E-2</v>
      </c>
      <c r="AK318" s="172">
        <f t="shared" si="41"/>
        <v>4.3753335999999997E-2</v>
      </c>
      <c r="AL318" s="172">
        <f t="shared" si="41"/>
        <v>4.3753335999999997E-2</v>
      </c>
      <c r="AM318" s="172">
        <f t="shared" si="41"/>
        <v>4.3753335999999997E-2</v>
      </c>
      <c r="AN318" s="172">
        <f t="shared" si="41"/>
        <v>4.3753335999999997E-2</v>
      </c>
      <c r="AO318" s="172">
        <f t="shared" si="41"/>
        <v>4.3753335999999997E-2</v>
      </c>
      <c r="AP318" s="172">
        <f t="shared" si="41"/>
        <v>4.3753335999999997E-2</v>
      </c>
      <c r="AQ318" s="172">
        <f t="shared" si="41"/>
        <v>4.3753335999999997E-2</v>
      </c>
    </row>
    <row r="319" spans="7:47" ht="14.25" customHeight="1" thickBot="1" x14ac:dyDescent="0.25">
      <c r="G319" s="22"/>
      <c r="H319" s="250"/>
      <c r="J319" s="241"/>
      <c r="K319" s="144" t="s">
        <v>159</v>
      </c>
      <c r="L319" s="173">
        <f t="shared" si="41"/>
        <v>4.3753335999999997E-2</v>
      </c>
      <c r="M319" s="173">
        <f t="shared" si="41"/>
        <v>4.3753335999999997E-2</v>
      </c>
      <c r="N319" s="173">
        <f t="shared" si="41"/>
        <v>4.3753335999999997E-2</v>
      </c>
      <c r="O319" s="173">
        <f t="shared" si="41"/>
        <v>4.3753335999999997E-2</v>
      </c>
      <c r="P319" s="173">
        <f t="shared" si="41"/>
        <v>4.3753335999999997E-2</v>
      </c>
      <c r="Q319" s="173">
        <f t="shared" si="41"/>
        <v>4.3753335999999997E-2</v>
      </c>
      <c r="R319" s="173">
        <f t="shared" si="41"/>
        <v>4.3753335999999997E-2</v>
      </c>
      <c r="S319" s="173">
        <f t="shared" si="41"/>
        <v>4.3753335999999997E-2</v>
      </c>
      <c r="T319" s="173">
        <f t="shared" si="41"/>
        <v>4.3753335999999997E-2</v>
      </c>
      <c r="U319" s="173">
        <f t="shared" si="41"/>
        <v>4.3753335999999997E-2</v>
      </c>
      <c r="V319" s="173">
        <f t="shared" si="41"/>
        <v>4.3753335999999997E-2</v>
      </c>
      <c r="W319" s="173">
        <f t="shared" si="41"/>
        <v>4.3753335999999997E-2</v>
      </c>
      <c r="X319" s="173">
        <f t="shared" si="41"/>
        <v>4.3753335999999997E-2</v>
      </c>
      <c r="Y319" s="173">
        <f t="shared" si="41"/>
        <v>4.3753335999999997E-2</v>
      </c>
      <c r="Z319" s="173">
        <f t="shared" si="41"/>
        <v>4.3753335999999997E-2</v>
      </c>
      <c r="AA319" s="173">
        <f t="shared" si="41"/>
        <v>4.3753335999999997E-2</v>
      </c>
      <c r="AB319" s="173">
        <f t="shared" si="41"/>
        <v>4.3753335999999997E-2</v>
      </c>
      <c r="AC319" s="173">
        <f t="shared" si="41"/>
        <v>4.3753335999999997E-2</v>
      </c>
      <c r="AD319" s="173">
        <f t="shared" si="41"/>
        <v>4.3753335999999997E-2</v>
      </c>
      <c r="AE319" s="173">
        <f t="shared" si="41"/>
        <v>4.3753335999999997E-2</v>
      </c>
      <c r="AF319" s="173">
        <f t="shared" si="41"/>
        <v>4.3753335999999997E-2</v>
      </c>
      <c r="AG319" s="173">
        <f t="shared" si="41"/>
        <v>4.3753335999999997E-2</v>
      </c>
      <c r="AH319" s="173">
        <f t="shared" si="41"/>
        <v>4.3753335999999997E-2</v>
      </c>
      <c r="AI319" s="173">
        <f t="shared" si="41"/>
        <v>4.3753335999999997E-2</v>
      </c>
      <c r="AJ319" s="173">
        <f t="shared" si="41"/>
        <v>4.3753335999999997E-2</v>
      </c>
      <c r="AK319" s="173">
        <f t="shared" si="41"/>
        <v>4.3753335999999997E-2</v>
      </c>
      <c r="AL319" s="173">
        <f t="shared" si="41"/>
        <v>4.3753335999999997E-2</v>
      </c>
      <c r="AM319" s="173">
        <f t="shared" si="41"/>
        <v>4.3753335999999997E-2</v>
      </c>
      <c r="AN319" s="173">
        <f t="shared" si="41"/>
        <v>4.3753335999999997E-2</v>
      </c>
      <c r="AO319" s="173">
        <f t="shared" si="41"/>
        <v>4.3753335999999997E-2</v>
      </c>
      <c r="AP319" s="173">
        <f t="shared" si="41"/>
        <v>4.3753335999999997E-2</v>
      </c>
      <c r="AQ319" s="173">
        <f t="shared" si="41"/>
        <v>4.3753335999999997E-2</v>
      </c>
      <c r="AT319"/>
      <c r="AU319"/>
    </row>
    <row r="320" spans="7:47" ht="14.25" customHeight="1" thickTop="1" x14ac:dyDescent="0.15">
      <c r="G320" s="22"/>
      <c r="H320" s="250"/>
      <c r="J320" s="241"/>
      <c r="K320" s="140" t="s">
        <v>160</v>
      </c>
      <c r="L320" s="171">
        <f t="shared" ref="L320:AQ322" si="42">L81</f>
        <v>4.3753335999999997E-2</v>
      </c>
      <c r="M320" s="171">
        <f t="shared" si="42"/>
        <v>4.3753335999999997E-2</v>
      </c>
      <c r="N320" s="171">
        <f t="shared" si="42"/>
        <v>4.3753335999999997E-2</v>
      </c>
      <c r="O320" s="171">
        <f t="shared" si="42"/>
        <v>4.3753335999999997E-2</v>
      </c>
      <c r="P320" s="171">
        <f t="shared" si="42"/>
        <v>4.3753335999999997E-2</v>
      </c>
      <c r="Q320" s="171">
        <f t="shared" si="42"/>
        <v>4.3753335999999997E-2</v>
      </c>
      <c r="R320" s="171">
        <f t="shared" si="42"/>
        <v>4.3753335999999997E-2</v>
      </c>
      <c r="S320" s="171">
        <f t="shared" si="42"/>
        <v>4.3753335999999997E-2</v>
      </c>
      <c r="T320" s="171">
        <f t="shared" si="42"/>
        <v>4.3753335999999997E-2</v>
      </c>
      <c r="U320" s="171">
        <f t="shared" si="42"/>
        <v>4.3753335999999997E-2</v>
      </c>
      <c r="V320" s="171">
        <f t="shared" si="42"/>
        <v>4.3753335999999997E-2</v>
      </c>
      <c r="W320" s="171">
        <f t="shared" si="42"/>
        <v>4.3753335999999997E-2</v>
      </c>
      <c r="X320" s="171">
        <f t="shared" si="42"/>
        <v>4.3753335999999997E-2</v>
      </c>
      <c r="Y320" s="171">
        <f t="shared" si="42"/>
        <v>4.3753335999999997E-2</v>
      </c>
      <c r="Z320" s="171">
        <f t="shared" si="42"/>
        <v>4.3753335999999997E-2</v>
      </c>
      <c r="AA320" s="171">
        <f t="shared" si="42"/>
        <v>4.3753335999999997E-2</v>
      </c>
      <c r="AB320" s="171">
        <f t="shared" si="42"/>
        <v>4.3753335999999997E-2</v>
      </c>
      <c r="AC320" s="171">
        <f t="shared" si="42"/>
        <v>4.3753335999999997E-2</v>
      </c>
      <c r="AD320" s="171">
        <f t="shared" si="42"/>
        <v>4.3753335999999997E-2</v>
      </c>
      <c r="AE320" s="171">
        <f t="shared" si="42"/>
        <v>4.3753335999999997E-2</v>
      </c>
      <c r="AF320" s="171">
        <f t="shared" si="42"/>
        <v>4.3753335999999997E-2</v>
      </c>
      <c r="AG320" s="171">
        <f t="shared" si="42"/>
        <v>4.3753335999999997E-2</v>
      </c>
      <c r="AH320" s="171">
        <f t="shared" si="42"/>
        <v>4.3753335999999997E-2</v>
      </c>
      <c r="AI320" s="171">
        <f t="shared" si="42"/>
        <v>4.3753335999999997E-2</v>
      </c>
      <c r="AJ320" s="171">
        <f t="shared" si="42"/>
        <v>4.3753335999999997E-2</v>
      </c>
      <c r="AK320" s="171">
        <f t="shared" si="42"/>
        <v>4.3753335999999997E-2</v>
      </c>
      <c r="AL320" s="171">
        <f t="shared" si="42"/>
        <v>4.3753335999999997E-2</v>
      </c>
      <c r="AM320" s="171">
        <f t="shared" si="42"/>
        <v>4.3753335999999997E-2</v>
      </c>
      <c r="AN320" s="171">
        <f t="shared" si="42"/>
        <v>4.3753335999999997E-2</v>
      </c>
      <c r="AO320" s="171">
        <f t="shared" si="42"/>
        <v>4.3753335999999997E-2</v>
      </c>
      <c r="AP320" s="171">
        <f t="shared" si="42"/>
        <v>4.3753335999999997E-2</v>
      </c>
      <c r="AQ320" s="171">
        <f t="shared" si="42"/>
        <v>4.3753335999999997E-2</v>
      </c>
    </row>
    <row r="321" spans="7:63" ht="14.25" customHeight="1" x14ac:dyDescent="0.15">
      <c r="G321" s="22"/>
      <c r="H321" s="250"/>
      <c r="J321" s="241"/>
      <c r="K321" s="19" t="s">
        <v>161</v>
      </c>
      <c r="L321" s="172">
        <f t="shared" si="42"/>
        <v>4.3753335999999997E-2</v>
      </c>
      <c r="M321" s="172">
        <f t="shared" si="42"/>
        <v>4.3753335999999997E-2</v>
      </c>
      <c r="N321" s="172">
        <f t="shared" si="42"/>
        <v>4.3753335999999997E-2</v>
      </c>
      <c r="O321" s="172">
        <f t="shared" si="42"/>
        <v>4.3753335999999997E-2</v>
      </c>
      <c r="P321" s="172">
        <f t="shared" si="42"/>
        <v>4.3753335999999997E-2</v>
      </c>
      <c r="Q321" s="172">
        <f t="shared" si="42"/>
        <v>4.3753335999999997E-2</v>
      </c>
      <c r="R321" s="172">
        <f t="shared" si="42"/>
        <v>4.3753335999999997E-2</v>
      </c>
      <c r="S321" s="172">
        <f t="shared" si="42"/>
        <v>4.3753335999999997E-2</v>
      </c>
      <c r="T321" s="172">
        <f t="shared" si="42"/>
        <v>4.3753335999999997E-2</v>
      </c>
      <c r="U321" s="172">
        <f t="shared" si="42"/>
        <v>4.3753335999999997E-2</v>
      </c>
      <c r="V321" s="172">
        <f t="shared" si="42"/>
        <v>4.3753335999999997E-2</v>
      </c>
      <c r="W321" s="172">
        <f t="shared" si="42"/>
        <v>4.3753335999999997E-2</v>
      </c>
      <c r="X321" s="172">
        <f t="shared" si="42"/>
        <v>4.3753335999999997E-2</v>
      </c>
      <c r="Y321" s="172">
        <f t="shared" si="42"/>
        <v>4.3753335999999997E-2</v>
      </c>
      <c r="Z321" s="172">
        <f t="shared" si="42"/>
        <v>4.3753335999999997E-2</v>
      </c>
      <c r="AA321" s="172">
        <f t="shared" si="42"/>
        <v>4.3753335999999997E-2</v>
      </c>
      <c r="AB321" s="172">
        <f t="shared" si="42"/>
        <v>4.3753335999999997E-2</v>
      </c>
      <c r="AC321" s="172">
        <f t="shared" si="42"/>
        <v>4.3753335999999997E-2</v>
      </c>
      <c r="AD321" s="172">
        <f t="shared" si="42"/>
        <v>4.3753335999999997E-2</v>
      </c>
      <c r="AE321" s="172">
        <f t="shared" si="42"/>
        <v>4.3753335999999997E-2</v>
      </c>
      <c r="AF321" s="172">
        <f t="shared" si="42"/>
        <v>4.3753335999999997E-2</v>
      </c>
      <c r="AG321" s="172">
        <f t="shared" si="42"/>
        <v>4.3753335999999997E-2</v>
      </c>
      <c r="AH321" s="172">
        <f t="shared" si="42"/>
        <v>4.3753335999999997E-2</v>
      </c>
      <c r="AI321" s="172">
        <f t="shared" si="42"/>
        <v>4.3753335999999997E-2</v>
      </c>
      <c r="AJ321" s="172">
        <f t="shared" si="42"/>
        <v>4.3753335999999997E-2</v>
      </c>
      <c r="AK321" s="172">
        <f t="shared" si="42"/>
        <v>4.3753335999999997E-2</v>
      </c>
      <c r="AL321" s="172">
        <f t="shared" si="42"/>
        <v>4.3753335999999997E-2</v>
      </c>
      <c r="AM321" s="172">
        <f t="shared" si="42"/>
        <v>4.3753335999999997E-2</v>
      </c>
      <c r="AN321" s="172">
        <f t="shared" si="42"/>
        <v>4.3753335999999997E-2</v>
      </c>
      <c r="AO321" s="172">
        <f t="shared" si="42"/>
        <v>4.3753335999999997E-2</v>
      </c>
      <c r="AP321" s="172">
        <f t="shared" si="42"/>
        <v>4.3753335999999997E-2</v>
      </c>
      <c r="AQ321" s="172">
        <f t="shared" si="42"/>
        <v>4.3753335999999997E-2</v>
      </c>
    </row>
    <row r="322" spans="7:63" ht="14.25" customHeight="1" thickBot="1" x14ac:dyDescent="0.25">
      <c r="G322" s="22"/>
      <c r="H322" s="250"/>
      <c r="J322" s="251"/>
      <c r="K322" s="144" t="s">
        <v>162</v>
      </c>
      <c r="L322" s="173">
        <f t="shared" si="42"/>
        <v>4.3753335999999997E-2</v>
      </c>
      <c r="M322" s="173">
        <f t="shared" si="42"/>
        <v>4.3753335999999997E-2</v>
      </c>
      <c r="N322" s="173">
        <f t="shared" si="42"/>
        <v>4.3753335999999997E-2</v>
      </c>
      <c r="O322" s="173">
        <f t="shared" si="42"/>
        <v>4.3753335999999997E-2</v>
      </c>
      <c r="P322" s="173">
        <f t="shared" si="42"/>
        <v>4.3753335999999997E-2</v>
      </c>
      <c r="Q322" s="173">
        <f t="shared" si="42"/>
        <v>4.3753335999999997E-2</v>
      </c>
      <c r="R322" s="173">
        <f t="shared" si="42"/>
        <v>4.3753335999999997E-2</v>
      </c>
      <c r="S322" s="173">
        <f t="shared" si="42"/>
        <v>4.3753335999999997E-2</v>
      </c>
      <c r="T322" s="173">
        <f t="shared" si="42"/>
        <v>4.3753335999999997E-2</v>
      </c>
      <c r="U322" s="173">
        <f t="shared" si="42"/>
        <v>4.3753335999999997E-2</v>
      </c>
      <c r="V322" s="173">
        <f t="shared" si="42"/>
        <v>4.3753335999999997E-2</v>
      </c>
      <c r="W322" s="173">
        <f t="shared" si="42"/>
        <v>4.3753335999999997E-2</v>
      </c>
      <c r="X322" s="173">
        <f t="shared" si="42"/>
        <v>4.3753335999999997E-2</v>
      </c>
      <c r="Y322" s="173">
        <f t="shared" si="42"/>
        <v>4.3753335999999997E-2</v>
      </c>
      <c r="Z322" s="173">
        <f t="shared" si="42"/>
        <v>4.3753335999999997E-2</v>
      </c>
      <c r="AA322" s="173">
        <f t="shared" si="42"/>
        <v>4.3753335999999997E-2</v>
      </c>
      <c r="AB322" s="173">
        <f t="shared" si="42"/>
        <v>4.3753335999999997E-2</v>
      </c>
      <c r="AC322" s="173">
        <f t="shared" si="42"/>
        <v>4.3753335999999997E-2</v>
      </c>
      <c r="AD322" s="173">
        <f t="shared" si="42"/>
        <v>4.3753335999999997E-2</v>
      </c>
      <c r="AE322" s="173">
        <f t="shared" si="42"/>
        <v>4.3753335999999997E-2</v>
      </c>
      <c r="AF322" s="173">
        <f t="shared" si="42"/>
        <v>4.3753335999999997E-2</v>
      </c>
      <c r="AG322" s="173">
        <f t="shared" si="42"/>
        <v>4.3753335999999997E-2</v>
      </c>
      <c r="AH322" s="173">
        <f t="shared" si="42"/>
        <v>4.3753335999999997E-2</v>
      </c>
      <c r="AI322" s="173">
        <f t="shared" si="42"/>
        <v>4.3753335999999997E-2</v>
      </c>
      <c r="AJ322" s="173">
        <f t="shared" si="42"/>
        <v>4.3753335999999997E-2</v>
      </c>
      <c r="AK322" s="173">
        <f t="shared" si="42"/>
        <v>4.3753335999999997E-2</v>
      </c>
      <c r="AL322" s="173">
        <f t="shared" si="42"/>
        <v>4.3753335999999997E-2</v>
      </c>
      <c r="AM322" s="173">
        <f t="shared" si="42"/>
        <v>4.3753335999999997E-2</v>
      </c>
      <c r="AN322" s="173">
        <f t="shared" si="42"/>
        <v>4.3753335999999997E-2</v>
      </c>
      <c r="AO322" s="173">
        <f t="shared" si="42"/>
        <v>4.3753335999999997E-2</v>
      </c>
      <c r="AP322" s="173">
        <f t="shared" si="42"/>
        <v>4.3753335999999997E-2</v>
      </c>
      <c r="AQ322" s="173">
        <f t="shared" si="42"/>
        <v>4.3753335999999997E-2</v>
      </c>
      <c r="AT322"/>
      <c r="AU322"/>
    </row>
    <row r="323" spans="7:63" ht="14.25" customHeight="1" thickTop="1" x14ac:dyDescent="0.15">
      <c r="G323" s="22"/>
    </row>
    <row r="324" spans="7:63" ht="14.25" customHeight="1" x14ac:dyDescent="0.15">
      <c r="G324" s="22"/>
      <c r="L324" s="128">
        <v>2019</v>
      </c>
      <c r="M324" s="128">
        <v>2020</v>
      </c>
      <c r="N324" s="128">
        <v>2021</v>
      </c>
      <c r="O324" s="128">
        <v>2022</v>
      </c>
      <c r="P324" s="128">
        <v>2023</v>
      </c>
      <c r="Q324" s="128">
        <v>2024</v>
      </c>
      <c r="R324" s="128">
        <v>2025</v>
      </c>
      <c r="S324" s="128">
        <v>2026</v>
      </c>
      <c r="T324" s="128">
        <v>2027</v>
      </c>
      <c r="U324" s="128">
        <v>2028</v>
      </c>
      <c r="V324" s="128">
        <v>2029</v>
      </c>
      <c r="W324" s="128">
        <v>2030</v>
      </c>
      <c r="X324" s="128">
        <v>2031</v>
      </c>
      <c r="Y324" s="128">
        <v>2032</v>
      </c>
      <c r="Z324" s="128">
        <v>2033</v>
      </c>
      <c r="AA324" s="128">
        <v>2034</v>
      </c>
      <c r="AB324" s="128">
        <v>2035</v>
      </c>
      <c r="AC324" s="128">
        <v>2036</v>
      </c>
      <c r="AD324" s="128">
        <v>2037</v>
      </c>
      <c r="AE324" s="128">
        <v>2038</v>
      </c>
      <c r="AF324" s="128">
        <v>2039</v>
      </c>
      <c r="AG324" s="128">
        <v>2040</v>
      </c>
      <c r="AH324" s="128">
        <v>2041</v>
      </c>
      <c r="AI324" s="128">
        <v>2042</v>
      </c>
      <c r="AJ324" s="128">
        <v>2043</v>
      </c>
      <c r="AK324" s="128">
        <v>2044</v>
      </c>
      <c r="AL324" s="128">
        <v>2045</v>
      </c>
      <c r="AM324" s="128">
        <v>2046</v>
      </c>
      <c r="AN324" s="128">
        <v>2047</v>
      </c>
      <c r="AO324" s="128">
        <v>2048</v>
      </c>
      <c r="AP324" s="128">
        <v>2049</v>
      </c>
      <c r="AQ324" s="128">
        <v>2050</v>
      </c>
      <c r="AR324" s="16">
        <f>AQ324+1</f>
        <v>2051</v>
      </c>
      <c r="AS324" s="16">
        <f t="shared" ref="AS324:BK324" si="43">AR324+1</f>
        <v>2052</v>
      </c>
      <c r="AT324" s="16">
        <f t="shared" si="43"/>
        <v>2053</v>
      </c>
      <c r="AU324" s="16">
        <f t="shared" si="43"/>
        <v>2054</v>
      </c>
      <c r="AV324" s="16">
        <f t="shared" si="43"/>
        <v>2055</v>
      </c>
      <c r="AW324" s="16">
        <f t="shared" si="43"/>
        <v>2056</v>
      </c>
      <c r="AX324" s="16">
        <f t="shared" si="43"/>
        <v>2057</v>
      </c>
      <c r="AY324" s="16">
        <f t="shared" si="43"/>
        <v>2058</v>
      </c>
      <c r="AZ324" s="16">
        <f t="shared" si="43"/>
        <v>2059</v>
      </c>
      <c r="BA324" s="16">
        <f t="shared" si="43"/>
        <v>2060</v>
      </c>
      <c r="BB324" s="16">
        <f t="shared" si="43"/>
        <v>2061</v>
      </c>
      <c r="BC324" s="16">
        <f t="shared" si="43"/>
        <v>2062</v>
      </c>
      <c r="BD324" s="16">
        <f t="shared" si="43"/>
        <v>2063</v>
      </c>
      <c r="BE324" s="16">
        <f t="shared" si="43"/>
        <v>2064</v>
      </c>
      <c r="BF324" s="16">
        <f>BE324+1</f>
        <v>2065</v>
      </c>
      <c r="BG324" s="16">
        <f t="shared" si="43"/>
        <v>2066</v>
      </c>
      <c r="BH324" s="16">
        <f t="shared" si="43"/>
        <v>2067</v>
      </c>
      <c r="BI324" s="16">
        <f t="shared" si="43"/>
        <v>2068</v>
      </c>
      <c r="BJ324" s="16">
        <f>BI324+1</f>
        <v>2069</v>
      </c>
      <c r="BK324" s="16">
        <f t="shared" si="43"/>
        <v>2070</v>
      </c>
    </row>
    <row r="325" spans="7:63" ht="14.25" customHeight="1" x14ac:dyDescent="0.15">
      <c r="G325" s="22"/>
      <c r="H325" s="252" t="s">
        <v>168</v>
      </c>
      <c r="J325" s="240" t="s">
        <v>169</v>
      </c>
      <c r="K325" s="140" t="s">
        <v>133</v>
      </c>
      <c r="L325" s="164">
        <v>0</v>
      </c>
      <c r="M325" s="164">
        <v>0</v>
      </c>
      <c r="N325" s="164">
        <v>0</v>
      </c>
      <c r="O325" s="164">
        <v>0</v>
      </c>
      <c r="P325" s="164">
        <v>0</v>
      </c>
      <c r="Q325" s="164">
        <v>0</v>
      </c>
      <c r="R325" s="164">
        <v>0</v>
      </c>
      <c r="S325" s="164">
        <v>0</v>
      </c>
      <c r="T325" s="164">
        <v>0</v>
      </c>
      <c r="U325" s="164">
        <v>0</v>
      </c>
      <c r="V325" s="164">
        <v>0</v>
      </c>
      <c r="W325" s="164">
        <v>0</v>
      </c>
      <c r="X325" s="164">
        <v>0</v>
      </c>
      <c r="Y325" s="164">
        <v>0</v>
      </c>
      <c r="Z325" s="164">
        <v>0</v>
      </c>
      <c r="AA325" s="164">
        <v>0</v>
      </c>
      <c r="AB325" s="164">
        <v>0</v>
      </c>
      <c r="AC325" s="164">
        <v>0</v>
      </c>
      <c r="AD325" s="164">
        <v>0</v>
      </c>
      <c r="AE325" s="164">
        <v>0</v>
      </c>
      <c r="AF325" s="164">
        <v>0</v>
      </c>
      <c r="AG325" s="164">
        <v>0</v>
      </c>
      <c r="AH325" s="164">
        <v>0</v>
      </c>
      <c r="AI325" s="164">
        <v>0</v>
      </c>
      <c r="AJ325" s="164">
        <v>0</v>
      </c>
      <c r="AK325" s="164">
        <v>0</v>
      </c>
      <c r="AL325" s="164">
        <v>0</v>
      </c>
      <c r="AM325" s="164">
        <v>0</v>
      </c>
      <c r="AN325" s="164">
        <v>0</v>
      </c>
      <c r="AO325" s="164">
        <v>0</v>
      </c>
      <c r="AP325" s="164">
        <v>0</v>
      </c>
      <c r="AQ325" s="164">
        <v>0</v>
      </c>
    </row>
    <row r="326" spans="7:63" s="197" customFormat="1" ht="14.25" customHeight="1" x14ac:dyDescent="0.15">
      <c r="G326" s="198"/>
      <c r="H326" s="252"/>
      <c r="J326" s="241"/>
      <c r="K326" s="199" t="s">
        <v>134</v>
      </c>
      <c r="L326" s="309">
        <v>0</v>
      </c>
      <c r="M326" s="309">
        <v>0</v>
      </c>
      <c r="N326" s="309">
        <v>0</v>
      </c>
      <c r="O326" s="309">
        <v>0</v>
      </c>
      <c r="P326" s="309">
        <v>0</v>
      </c>
      <c r="Q326" s="309">
        <v>0</v>
      </c>
      <c r="R326" s="309">
        <v>0</v>
      </c>
      <c r="S326" s="309">
        <v>0</v>
      </c>
      <c r="T326" s="309">
        <v>0</v>
      </c>
      <c r="U326" s="309">
        <v>0</v>
      </c>
      <c r="V326" s="309">
        <v>0</v>
      </c>
      <c r="W326" s="309">
        <v>0</v>
      </c>
      <c r="X326" s="309">
        <v>0</v>
      </c>
      <c r="Y326" s="309">
        <v>0</v>
      </c>
      <c r="Z326" s="309">
        <v>0</v>
      </c>
      <c r="AA326" s="309">
        <v>0</v>
      </c>
      <c r="AB326" s="309">
        <v>0</v>
      </c>
      <c r="AC326" s="309">
        <v>0</v>
      </c>
      <c r="AD326" s="309">
        <v>0</v>
      </c>
      <c r="AE326" s="309">
        <v>0</v>
      </c>
      <c r="AF326" s="309">
        <v>0</v>
      </c>
      <c r="AG326" s="309">
        <v>0</v>
      </c>
      <c r="AH326" s="309">
        <v>0</v>
      </c>
      <c r="AI326" s="309">
        <v>0</v>
      </c>
      <c r="AJ326" s="309">
        <v>0</v>
      </c>
      <c r="AK326" s="309">
        <v>0</v>
      </c>
      <c r="AL326" s="309">
        <v>0</v>
      </c>
      <c r="AM326" s="309">
        <v>0</v>
      </c>
      <c r="AN326" s="309">
        <v>0</v>
      </c>
      <c r="AO326" s="309">
        <v>0</v>
      </c>
      <c r="AP326" s="309">
        <v>0</v>
      </c>
      <c r="AQ326" s="309">
        <v>0</v>
      </c>
      <c r="AR326" s="309">
        <v>0</v>
      </c>
      <c r="AS326" s="309">
        <v>0</v>
      </c>
      <c r="AT326" s="309">
        <v>0</v>
      </c>
      <c r="AU326" s="309">
        <v>0</v>
      </c>
      <c r="AV326" s="309">
        <v>0</v>
      </c>
      <c r="AW326" s="309">
        <v>0</v>
      </c>
      <c r="AX326" s="309">
        <v>0</v>
      </c>
      <c r="AY326" s="309">
        <v>0</v>
      </c>
      <c r="AZ326" s="309">
        <v>0</v>
      </c>
      <c r="BA326" s="309">
        <v>0</v>
      </c>
      <c r="BB326" s="309">
        <v>0</v>
      </c>
      <c r="BC326" s="309">
        <v>0</v>
      </c>
      <c r="BD326" s="309">
        <v>0</v>
      </c>
      <c r="BE326" s="309">
        <v>0</v>
      </c>
      <c r="BF326" s="309">
        <v>0</v>
      </c>
      <c r="BG326" s="309">
        <v>0</v>
      </c>
      <c r="BH326" s="309">
        <v>0</v>
      </c>
      <c r="BI326" s="309">
        <v>0</v>
      </c>
      <c r="BJ326" s="309">
        <v>0</v>
      </c>
      <c r="BK326" s="309">
        <v>0</v>
      </c>
    </row>
    <row r="327" spans="7:63" ht="14.25" customHeight="1" thickBot="1" x14ac:dyDescent="0.2">
      <c r="G327" s="22"/>
      <c r="H327" s="252"/>
      <c r="J327" s="241"/>
      <c r="K327" s="144" t="s">
        <v>135</v>
      </c>
      <c r="L327" s="166">
        <v>0</v>
      </c>
      <c r="M327" s="166">
        <v>0</v>
      </c>
      <c r="N327" s="166">
        <v>0</v>
      </c>
      <c r="O327" s="166">
        <v>0</v>
      </c>
      <c r="P327" s="166">
        <v>0</v>
      </c>
      <c r="Q327" s="166">
        <v>0</v>
      </c>
      <c r="R327" s="166">
        <v>0</v>
      </c>
      <c r="S327" s="166">
        <v>0</v>
      </c>
      <c r="T327" s="166">
        <v>0</v>
      </c>
      <c r="U327" s="166">
        <v>0</v>
      </c>
      <c r="V327" s="166">
        <v>0</v>
      </c>
      <c r="W327" s="166">
        <v>0</v>
      </c>
      <c r="X327" s="166">
        <v>0</v>
      </c>
      <c r="Y327" s="166">
        <v>0</v>
      </c>
      <c r="Z327" s="166">
        <v>0</v>
      </c>
      <c r="AA327" s="166">
        <v>0</v>
      </c>
      <c r="AB327" s="166">
        <v>0</v>
      </c>
      <c r="AC327" s="166">
        <v>0</v>
      </c>
      <c r="AD327" s="166">
        <v>0</v>
      </c>
      <c r="AE327" s="166">
        <v>0</v>
      </c>
      <c r="AF327" s="166">
        <v>0</v>
      </c>
      <c r="AG327" s="166">
        <v>0</v>
      </c>
      <c r="AH327" s="166">
        <v>0</v>
      </c>
      <c r="AI327" s="166">
        <v>0</v>
      </c>
      <c r="AJ327" s="166">
        <v>0</v>
      </c>
      <c r="AK327" s="166">
        <v>0</v>
      </c>
      <c r="AL327" s="166">
        <v>0</v>
      </c>
      <c r="AM327" s="166">
        <v>0</v>
      </c>
      <c r="AN327" s="166">
        <v>0</v>
      </c>
      <c r="AO327" s="166">
        <v>0</v>
      </c>
      <c r="AP327" s="166">
        <v>0</v>
      </c>
      <c r="AQ327" s="166">
        <v>0</v>
      </c>
    </row>
    <row r="328" spans="7:63" ht="14.25" customHeight="1" thickTop="1" x14ac:dyDescent="0.15">
      <c r="G328" s="22"/>
      <c r="H328" s="252"/>
      <c r="J328" s="241"/>
      <c r="K328" s="140" t="s">
        <v>136</v>
      </c>
      <c r="L328" s="167">
        <v>0</v>
      </c>
      <c r="M328" s="167">
        <v>0</v>
      </c>
      <c r="N328" s="167">
        <v>0</v>
      </c>
      <c r="O328" s="167">
        <v>0</v>
      </c>
      <c r="P328" s="167">
        <v>0</v>
      </c>
      <c r="Q328" s="167">
        <v>0</v>
      </c>
      <c r="R328" s="167">
        <v>0</v>
      </c>
      <c r="S328" s="167">
        <v>0</v>
      </c>
      <c r="T328" s="167">
        <v>0</v>
      </c>
      <c r="U328" s="167">
        <v>0</v>
      </c>
      <c r="V328" s="167">
        <v>0</v>
      </c>
      <c r="W328" s="167">
        <v>0</v>
      </c>
      <c r="X328" s="167">
        <v>0</v>
      </c>
      <c r="Y328" s="167">
        <v>0</v>
      </c>
      <c r="Z328" s="167">
        <v>0</v>
      </c>
      <c r="AA328" s="167">
        <v>0</v>
      </c>
      <c r="AB328" s="167">
        <v>0</v>
      </c>
      <c r="AC328" s="167">
        <v>0</v>
      </c>
      <c r="AD328" s="167">
        <v>0</v>
      </c>
      <c r="AE328" s="167">
        <v>0</v>
      </c>
      <c r="AF328" s="167">
        <v>0</v>
      </c>
      <c r="AG328" s="167">
        <v>0</v>
      </c>
      <c r="AH328" s="167">
        <v>0</v>
      </c>
      <c r="AI328" s="167">
        <v>0</v>
      </c>
      <c r="AJ328" s="167">
        <v>0</v>
      </c>
      <c r="AK328" s="167">
        <v>0</v>
      </c>
      <c r="AL328" s="167">
        <v>0</v>
      </c>
      <c r="AM328" s="167">
        <v>0</v>
      </c>
      <c r="AN328" s="167">
        <v>0</v>
      </c>
      <c r="AO328" s="167">
        <v>0</v>
      </c>
      <c r="AP328" s="167">
        <v>0</v>
      </c>
      <c r="AQ328" s="167">
        <v>0</v>
      </c>
    </row>
    <row r="329" spans="7:63" ht="14.25" customHeight="1" x14ac:dyDescent="0.15">
      <c r="G329" s="22"/>
      <c r="H329" s="252"/>
      <c r="J329" s="241"/>
      <c r="K329" s="19" t="s">
        <v>137</v>
      </c>
      <c r="L329" s="165">
        <v>0</v>
      </c>
      <c r="M329" s="165">
        <v>0</v>
      </c>
      <c r="N329" s="165">
        <v>0</v>
      </c>
      <c r="O329" s="165">
        <v>0</v>
      </c>
      <c r="P329" s="165">
        <v>0</v>
      </c>
      <c r="Q329" s="165">
        <v>0</v>
      </c>
      <c r="R329" s="165">
        <v>0</v>
      </c>
      <c r="S329" s="165">
        <v>0</v>
      </c>
      <c r="T329" s="165">
        <v>0</v>
      </c>
      <c r="U329" s="165">
        <v>0</v>
      </c>
      <c r="V329" s="165">
        <v>0</v>
      </c>
      <c r="W329" s="165">
        <v>0</v>
      </c>
      <c r="X329" s="165">
        <v>0</v>
      </c>
      <c r="Y329" s="165">
        <v>0</v>
      </c>
      <c r="Z329" s="165">
        <v>0</v>
      </c>
      <c r="AA329" s="165">
        <v>0</v>
      </c>
      <c r="AB329" s="165">
        <v>0</v>
      </c>
      <c r="AC329" s="165">
        <v>0</v>
      </c>
      <c r="AD329" s="165">
        <v>0</v>
      </c>
      <c r="AE329" s="165">
        <v>0</v>
      </c>
      <c r="AF329" s="165">
        <v>0</v>
      </c>
      <c r="AG329" s="165">
        <v>0</v>
      </c>
      <c r="AH329" s="165">
        <v>0</v>
      </c>
      <c r="AI329" s="165">
        <v>0</v>
      </c>
      <c r="AJ329" s="165">
        <v>0</v>
      </c>
      <c r="AK329" s="165">
        <v>0</v>
      </c>
      <c r="AL329" s="165">
        <v>0</v>
      </c>
      <c r="AM329" s="165">
        <v>0</v>
      </c>
      <c r="AN329" s="165">
        <v>0</v>
      </c>
      <c r="AO329" s="165">
        <v>0</v>
      </c>
      <c r="AP329" s="165">
        <v>0</v>
      </c>
      <c r="AQ329" s="165">
        <v>0</v>
      </c>
    </row>
    <row r="330" spans="7:63" ht="14.25" customHeight="1" thickBot="1" x14ac:dyDescent="0.2">
      <c r="G330" s="22"/>
      <c r="H330" s="252"/>
      <c r="J330" s="241"/>
      <c r="K330" s="144" t="s">
        <v>138</v>
      </c>
      <c r="L330" s="166">
        <v>0</v>
      </c>
      <c r="M330" s="166">
        <v>0</v>
      </c>
      <c r="N330" s="166">
        <v>0</v>
      </c>
      <c r="O330" s="166">
        <v>0</v>
      </c>
      <c r="P330" s="166">
        <v>0</v>
      </c>
      <c r="Q330" s="166">
        <v>0</v>
      </c>
      <c r="R330" s="166">
        <v>0</v>
      </c>
      <c r="S330" s="166">
        <v>0</v>
      </c>
      <c r="T330" s="166">
        <v>0</v>
      </c>
      <c r="U330" s="166">
        <v>0</v>
      </c>
      <c r="V330" s="166">
        <v>0</v>
      </c>
      <c r="W330" s="166">
        <v>0</v>
      </c>
      <c r="X330" s="166">
        <v>0</v>
      </c>
      <c r="Y330" s="166">
        <v>0</v>
      </c>
      <c r="Z330" s="166">
        <v>0</v>
      </c>
      <c r="AA330" s="166">
        <v>0</v>
      </c>
      <c r="AB330" s="166">
        <v>0</v>
      </c>
      <c r="AC330" s="166">
        <v>0</v>
      </c>
      <c r="AD330" s="166">
        <v>0</v>
      </c>
      <c r="AE330" s="166">
        <v>0</v>
      </c>
      <c r="AF330" s="166">
        <v>0</v>
      </c>
      <c r="AG330" s="166">
        <v>0</v>
      </c>
      <c r="AH330" s="166">
        <v>0</v>
      </c>
      <c r="AI330" s="166">
        <v>0</v>
      </c>
      <c r="AJ330" s="166">
        <v>0</v>
      </c>
      <c r="AK330" s="166">
        <v>0</v>
      </c>
      <c r="AL330" s="166">
        <v>0</v>
      </c>
      <c r="AM330" s="166">
        <v>0</v>
      </c>
      <c r="AN330" s="166">
        <v>0</v>
      </c>
      <c r="AO330" s="166">
        <v>0</v>
      </c>
      <c r="AP330" s="166">
        <v>0</v>
      </c>
      <c r="AQ330" s="166">
        <v>0</v>
      </c>
    </row>
    <row r="331" spans="7:63" ht="14.25" customHeight="1" thickTop="1" x14ac:dyDescent="0.15">
      <c r="G331" s="22"/>
      <c r="H331" s="252"/>
      <c r="J331" s="241"/>
      <c r="K331" s="140" t="s">
        <v>139</v>
      </c>
      <c r="L331" s="167">
        <v>0</v>
      </c>
      <c r="M331" s="167">
        <v>0</v>
      </c>
      <c r="N331" s="167">
        <v>0</v>
      </c>
      <c r="O331" s="167">
        <v>0</v>
      </c>
      <c r="P331" s="167">
        <v>0</v>
      </c>
      <c r="Q331" s="167">
        <v>0</v>
      </c>
      <c r="R331" s="167">
        <v>0</v>
      </c>
      <c r="S331" s="167">
        <v>0</v>
      </c>
      <c r="T331" s="167">
        <v>0</v>
      </c>
      <c r="U331" s="167">
        <v>0</v>
      </c>
      <c r="V331" s="167">
        <v>0</v>
      </c>
      <c r="W331" s="167">
        <v>0</v>
      </c>
      <c r="X331" s="167">
        <v>0</v>
      </c>
      <c r="Y331" s="167">
        <v>0</v>
      </c>
      <c r="Z331" s="167">
        <v>0</v>
      </c>
      <c r="AA331" s="167">
        <v>0</v>
      </c>
      <c r="AB331" s="167">
        <v>0</v>
      </c>
      <c r="AC331" s="167">
        <v>0</v>
      </c>
      <c r="AD331" s="167">
        <v>0</v>
      </c>
      <c r="AE331" s="167">
        <v>0</v>
      </c>
      <c r="AF331" s="167">
        <v>0</v>
      </c>
      <c r="AG331" s="167">
        <v>0</v>
      </c>
      <c r="AH331" s="167">
        <v>0</v>
      </c>
      <c r="AI331" s="167">
        <v>0</v>
      </c>
      <c r="AJ331" s="167">
        <v>0</v>
      </c>
      <c r="AK331" s="167">
        <v>0</v>
      </c>
      <c r="AL331" s="167">
        <v>0</v>
      </c>
      <c r="AM331" s="167">
        <v>0</v>
      </c>
      <c r="AN331" s="167">
        <v>0</v>
      </c>
      <c r="AO331" s="167">
        <v>0</v>
      </c>
      <c r="AP331" s="167">
        <v>0</v>
      </c>
      <c r="AQ331" s="167">
        <v>0</v>
      </c>
    </row>
    <row r="332" spans="7:63" ht="14.25" customHeight="1" x14ac:dyDescent="0.15">
      <c r="G332" s="22"/>
      <c r="H332" s="252"/>
      <c r="J332" s="241"/>
      <c r="K332" s="19" t="s">
        <v>140</v>
      </c>
      <c r="L332" s="165">
        <v>0</v>
      </c>
      <c r="M332" s="165">
        <v>0</v>
      </c>
      <c r="N332" s="165">
        <v>0</v>
      </c>
      <c r="O332" s="165">
        <v>0</v>
      </c>
      <c r="P332" s="165">
        <v>0</v>
      </c>
      <c r="Q332" s="165">
        <v>0</v>
      </c>
      <c r="R332" s="165">
        <v>0</v>
      </c>
      <c r="S332" s="165">
        <v>0</v>
      </c>
      <c r="T332" s="165">
        <v>0</v>
      </c>
      <c r="U332" s="165">
        <v>0</v>
      </c>
      <c r="V332" s="165">
        <v>0</v>
      </c>
      <c r="W332" s="165">
        <v>0</v>
      </c>
      <c r="X332" s="165">
        <v>0</v>
      </c>
      <c r="Y332" s="165">
        <v>0</v>
      </c>
      <c r="Z332" s="165">
        <v>0</v>
      </c>
      <c r="AA332" s="165">
        <v>0</v>
      </c>
      <c r="AB332" s="165">
        <v>0</v>
      </c>
      <c r="AC332" s="165">
        <v>0</v>
      </c>
      <c r="AD332" s="165">
        <v>0</v>
      </c>
      <c r="AE332" s="165">
        <v>0</v>
      </c>
      <c r="AF332" s="165">
        <v>0</v>
      </c>
      <c r="AG332" s="165">
        <v>0</v>
      </c>
      <c r="AH332" s="165">
        <v>0</v>
      </c>
      <c r="AI332" s="165">
        <v>0</v>
      </c>
      <c r="AJ332" s="165">
        <v>0</v>
      </c>
      <c r="AK332" s="165">
        <v>0</v>
      </c>
      <c r="AL332" s="165">
        <v>0</v>
      </c>
      <c r="AM332" s="165">
        <v>0</v>
      </c>
      <c r="AN332" s="165">
        <v>0</v>
      </c>
      <c r="AO332" s="165">
        <v>0</v>
      </c>
      <c r="AP332" s="165">
        <v>0</v>
      </c>
      <c r="AQ332" s="165">
        <v>0</v>
      </c>
    </row>
    <row r="333" spans="7:63" ht="14.25" customHeight="1" thickBot="1" x14ac:dyDescent="0.2">
      <c r="G333" s="22"/>
      <c r="H333" s="252"/>
      <c r="J333" s="241"/>
      <c r="K333" s="144" t="s">
        <v>141</v>
      </c>
      <c r="L333" s="168">
        <v>0</v>
      </c>
      <c r="M333" s="168">
        <v>0</v>
      </c>
      <c r="N333" s="168">
        <v>0</v>
      </c>
      <c r="O333" s="168">
        <v>0</v>
      </c>
      <c r="P333" s="168">
        <v>0</v>
      </c>
      <c r="Q333" s="168">
        <v>0</v>
      </c>
      <c r="R333" s="168">
        <v>0</v>
      </c>
      <c r="S333" s="168">
        <v>0</v>
      </c>
      <c r="T333" s="168">
        <v>0</v>
      </c>
      <c r="U333" s="168">
        <v>0</v>
      </c>
      <c r="V333" s="168">
        <v>0</v>
      </c>
      <c r="W333" s="168">
        <v>0</v>
      </c>
      <c r="X333" s="168">
        <v>0</v>
      </c>
      <c r="Y333" s="168">
        <v>0</v>
      </c>
      <c r="Z333" s="168">
        <v>0</v>
      </c>
      <c r="AA333" s="168">
        <v>0</v>
      </c>
      <c r="AB333" s="168">
        <v>0</v>
      </c>
      <c r="AC333" s="168">
        <v>0</v>
      </c>
      <c r="AD333" s="168">
        <v>0</v>
      </c>
      <c r="AE333" s="168">
        <v>0</v>
      </c>
      <c r="AF333" s="168">
        <v>0</v>
      </c>
      <c r="AG333" s="168">
        <v>0</v>
      </c>
      <c r="AH333" s="168">
        <v>0</v>
      </c>
      <c r="AI333" s="168">
        <v>0</v>
      </c>
      <c r="AJ333" s="168">
        <v>0</v>
      </c>
      <c r="AK333" s="168">
        <v>0</v>
      </c>
      <c r="AL333" s="168">
        <v>0</v>
      </c>
      <c r="AM333" s="168">
        <v>0</v>
      </c>
      <c r="AN333" s="168">
        <v>0</v>
      </c>
      <c r="AO333" s="168">
        <v>0</v>
      </c>
      <c r="AP333" s="168">
        <v>0</v>
      </c>
      <c r="AQ333" s="168">
        <v>0</v>
      </c>
    </row>
    <row r="334" spans="7:63" ht="14.25" customHeight="1" thickTop="1" x14ac:dyDescent="0.15">
      <c r="G334" s="22"/>
      <c r="H334" s="252"/>
      <c r="J334" s="241"/>
      <c r="K334" s="140" t="s">
        <v>142</v>
      </c>
      <c r="L334" s="167">
        <v>0</v>
      </c>
      <c r="M334" s="167">
        <v>0</v>
      </c>
      <c r="N334" s="167">
        <v>0</v>
      </c>
      <c r="O334" s="167">
        <v>0</v>
      </c>
      <c r="P334" s="167">
        <v>0</v>
      </c>
      <c r="Q334" s="167">
        <v>0</v>
      </c>
      <c r="R334" s="167">
        <v>0</v>
      </c>
      <c r="S334" s="167">
        <v>0</v>
      </c>
      <c r="T334" s="167">
        <v>0</v>
      </c>
      <c r="U334" s="167">
        <v>0</v>
      </c>
      <c r="V334" s="167">
        <v>0</v>
      </c>
      <c r="W334" s="167">
        <v>0</v>
      </c>
      <c r="X334" s="167">
        <v>0</v>
      </c>
      <c r="Y334" s="167">
        <v>0</v>
      </c>
      <c r="Z334" s="167">
        <v>0</v>
      </c>
      <c r="AA334" s="167">
        <v>0</v>
      </c>
      <c r="AB334" s="167">
        <v>0</v>
      </c>
      <c r="AC334" s="167">
        <v>0</v>
      </c>
      <c r="AD334" s="167">
        <v>0</v>
      </c>
      <c r="AE334" s="167">
        <v>0</v>
      </c>
      <c r="AF334" s="167">
        <v>0</v>
      </c>
      <c r="AG334" s="167">
        <v>0</v>
      </c>
      <c r="AH334" s="167">
        <v>0</v>
      </c>
      <c r="AI334" s="167">
        <v>0</v>
      </c>
      <c r="AJ334" s="167">
        <v>0</v>
      </c>
      <c r="AK334" s="167">
        <v>0</v>
      </c>
      <c r="AL334" s="167">
        <v>0</v>
      </c>
      <c r="AM334" s="167">
        <v>0</v>
      </c>
      <c r="AN334" s="167">
        <v>0</v>
      </c>
      <c r="AO334" s="167">
        <v>0</v>
      </c>
      <c r="AP334" s="167">
        <v>0</v>
      </c>
      <c r="AQ334" s="167">
        <v>0</v>
      </c>
    </row>
    <row r="335" spans="7:63" ht="14.25" customHeight="1" x14ac:dyDescent="0.15">
      <c r="G335" s="22"/>
      <c r="H335" s="252"/>
      <c r="J335" s="241"/>
      <c r="K335" s="19" t="s">
        <v>143</v>
      </c>
      <c r="L335" s="165">
        <v>0</v>
      </c>
      <c r="M335" s="165">
        <v>0</v>
      </c>
      <c r="N335" s="165">
        <v>0</v>
      </c>
      <c r="O335" s="165">
        <v>0</v>
      </c>
      <c r="P335" s="165">
        <v>0</v>
      </c>
      <c r="Q335" s="165">
        <v>0</v>
      </c>
      <c r="R335" s="165">
        <v>0</v>
      </c>
      <c r="S335" s="165">
        <v>0</v>
      </c>
      <c r="T335" s="165">
        <v>0</v>
      </c>
      <c r="U335" s="165">
        <v>0</v>
      </c>
      <c r="V335" s="165">
        <v>0</v>
      </c>
      <c r="W335" s="165">
        <v>0</v>
      </c>
      <c r="X335" s="165">
        <v>0</v>
      </c>
      <c r="Y335" s="165">
        <v>0</v>
      </c>
      <c r="Z335" s="165">
        <v>0</v>
      </c>
      <c r="AA335" s="165">
        <v>0</v>
      </c>
      <c r="AB335" s="165">
        <v>0</v>
      </c>
      <c r="AC335" s="165">
        <v>0</v>
      </c>
      <c r="AD335" s="165">
        <v>0</v>
      </c>
      <c r="AE335" s="165">
        <v>0</v>
      </c>
      <c r="AF335" s="165">
        <v>0</v>
      </c>
      <c r="AG335" s="165">
        <v>0</v>
      </c>
      <c r="AH335" s="165">
        <v>0</v>
      </c>
      <c r="AI335" s="165">
        <v>0</v>
      </c>
      <c r="AJ335" s="165">
        <v>0</v>
      </c>
      <c r="AK335" s="165">
        <v>0</v>
      </c>
      <c r="AL335" s="165">
        <v>0</v>
      </c>
      <c r="AM335" s="165">
        <v>0</v>
      </c>
      <c r="AN335" s="165">
        <v>0</v>
      </c>
      <c r="AO335" s="165">
        <v>0</v>
      </c>
      <c r="AP335" s="165">
        <v>0</v>
      </c>
      <c r="AQ335" s="165">
        <v>0</v>
      </c>
    </row>
    <row r="336" spans="7:63" ht="14.25" customHeight="1" thickBot="1" x14ac:dyDescent="0.2">
      <c r="G336" s="22"/>
      <c r="H336" s="252"/>
      <c r="J336" s="241"/>
      <c r="K336" s="144" t="s">
        <v>144</v>
      </c>
      <c r="L336" s="168">
        <v>0</v>
      </c>
      <c r="M336" s="168">
        <v>0</v>
      </c>
      <c r="N336" s="168">
        <v>0</v>
      </c>
      <c r="O336" s="168">
        <v>0</v>
      </c>
      <c r="P336" s="168">
        <v>0</v>
      </c>
      <c r="Q336" s="168">
        <v>0</v>
      </c>
      <c r="R336" s="168">
        <v>0</v>
      </c>
      <c r="S336" s="168">
        <v>0</v>
      </c>
      <c r="T336" s="168">
        <v>0</v>
      </c>
      <c r="U336" s="168">
        <v>0</v>
      </c>
      <c r="V336" s="168">
        <v>0</v>
      </c>
      <c r="W336" s="168">
        <v>0</v>
      </c>
      <c r="X336" s="168">
        <v>0</v>
      </c>
      <c r="Y336" s="168">
        <v>0</v>
      </c>
      <c r="Z336" s="168">
        <v>0</v>
      </c>
      <c r="AA336" s="168">
        <v>0</v>
      </c>
      <c r="AB336" s="168">
        <v>0</v>
      </c>
      <c r="AC336" s="168">
        <v>0</v>
      </c>
      <c r="AD336" s="168">
        <v>0</v>
      </c>
      <c r="AE336" s="168">
        <v>0</v>
      </c>
      <c r="AF336" s="168">
        <v>0</v>
      </c>
      <c r="AG336" s="168">
        <v>0</v>
      </c>
      <c r="AH336" s="168">
        <v>0</v>
      </c>
      <c r="AI336" s="168">
        <v>0</v>
      </c>
      <c r="AJ336" s="168">
        <v>0</v>
      </c>
      <c r="AK336" s="168">
        <v>0</v>
      </c>
      <c r="AL336" s="168">
        <v>0</v>
      </c>
      <c r="AM336" s="168">
        <v>0</v>
      </c>
      <c r="AN336" s="168">
        <v>0</v>
      </c>
      <c r="AO336" s="168">
        <v>0</v>
      </c>
      <c r="AP336" s="168">
        <v>0</v>
      </c>
      <c r="AQ336" s="168">
        <v>0</v>
      </c>
    </row>
    <row r="337" spans="7:43" ht="14.25" customHeight="1" thickTop="1" x14ac:dyDescent="0.15">
      <c r="G337" s="22"/>
      <c r="H337" s="252"/>
      <c r="J337" s="241"/>
      <c r="K337" s="140" t="s">
        <v>145</v>
      </c>
      <c r="L337" s="167">
        <v>0</v>
      </c>
      <c r="M337" s="167">
        <v>0</v>
      </c>
      <c r="N337" s="167">
        <v>0</v>
      </c>
      <c r="O337" s="167">
        <v>0</v>
      </c>
      <c r="P337" s="167">
        <v>0</v>
      </c>
      <c r="Q337" s="167">
        <v>0</v>
      </c>
      <c r="R337" s="167">
        <v>0</v>
      </c>
      <c r="S337" s="167">
        <v>0</v>
      </c>
      <c r="T337" s="167">
        <v>0</v>
      </c>
      <c r="U337" s="167">
        <v>0</v>
      </c>
      <c r="V337" s="167">
        <v>0</v>
      </c>
      <c r="W337" s="167">
        <v>0</v>
      </c>
      <c r="X337" s="167">
        <v>0</v>
      </c>
      <c r="Y337" s="167">
        <v>0</v>
      </c>
      <c r="Z337" s="167">
        <v>0</v>
      </c>
      <c r="AA337" s="167">
        <v>0</v>
      </c>
      <c r="AB337" s="167">
        <v>0</v>
      </c>
      <c r="AC337" s="167">
        <v>0</v>
      </c>
      <c r="AD337" s="167">
        <v>0</v>
      </c>
      <c r="AE337" s="167">
        <v>0</v>
      </c>
      <c r="AF337" s="167">
        <v>0</v>
      </c>
      <c r="AG337" s="167">
        <v>0</v>
      </c>
      <c r="AH337" s="167">
        <v>0</v>
      </c>
      <c r="AI337" s="167">
        <v>0</v>
      </c>
      <c r="AJ337" s="167">
        <v>0</v>
      </c>
      <c r="AK337" s="167">
        <v>0</v>
      </c>
      <c r="AL337" s="167">
        <v>0</v>
      </c>
      <c r="AM337" s="167">
        <v>0</v>
      </c>
      <c r="AN337" s="167">
        <v>0</v>
      </c>
      <c r="AO337" s="167">
        <v>0</v>
      </c>
      <c r="AP337" s="167">
        <v>0</v>
      </c>
      <c r="AQ337" s="167">
        <v>0</v>
      </c>
    </row>
    <row r="338" spans="7:43" ht="14.25" customHeight="1" x14ac:dyDescent="0.15">
      <c r="G338" s="22"/>
      <c r="H338" s="252"/>
      <c r="J338" s="241"/>
      <c r="K338" s="19" t="s">
        <v>146</v>
      </c>
      <c r="L338" s="165">
        <v>0</v>
      </c>
      <c r="M338" s="165">
        <v>0</v>
      </c>
      <c r="N338" s="165">
        <v>0</v>
      </c>
      <c r="O338" s="165">
        <v>0</v>
      </c>
      <c r="P338" s="165">
        <v>0</v>
      </c>
      <c r="Q338" s="165">
        <v>0</v>
      </c>
      <c r="R338" s="165">
        <v>0</v>
      </c>
      <c r="S338" s="165">
        <v>0</v>
      </c>
      <c r="T338" s="165">
        <v>0</v>
      </c>
      <c r="U338" s="165">
        <v>0</v>
      </c>
      <c r="V338" s="165">
        <v>0</v>
      </c>
      <c r="W338" s="165">
        <v>0</v>
      </c>
      <c r="X338" s="165">
        <v>0</v>
      </c>
      <c r="Y338" s="165">
        <v>0</v>
      </c>
      <c r="Z338" s="165">
        <v>0</v>
      </c>
      <c r="AA338" s="165">
        <v>0</v>
      </c>
      <c r="AB338" s="165">
        <v>0</v>
      </c>
      <c r="AC338" s="165">
        <v>0</v>
      </c>
      <c r="AD338" s="165">
        <v>0</v>
      </c>
      <c r="AE338" s="165">
        <v>0</v>
      </c>
      <c r="AF338" s="165">
        <v>0</v>
      </c>
      <c r="AG338" s="165">
        <v>0</v>
      </c>
      <c r="AH338" s="165">
        <v>0</v>
      </c>
      <c r="AI338" s="165">
        <v>0</v>
      </c>
      <c r="AJ338" s="165">
        <v>0</v>
      </c>
      <c r="AK338" s="165">
        <v>0</v>
      </c>
      <c r="AL338" s="165">
        <v>0</v>
      </c>
      <c r="AM338" s="165">
        <v>0</v>
      </c>
      <c r="AN338" s="165">
        <v>0</v>
      </c>
      <c r="AO338" s="165">
        <v>0</v>
      </c>
      <c r="AP338" s="165">
        <v>0</v>
      </c>
      <c r="AQ338" s="165">
        <v>0</v>
      </c>
    </row>
    <row r="339" spans="7:43" ht="14.25" customHeight="1" x14ac:dyDescent="0.15">
      <c r="G339" s="22"/>
      <c r="H339" s="252"/>
      <c r="J339" s="241"/>
      <c r="K339" s="144" t="s">
        <v>147</v>
      </c>
      <c r="L339" s="168">
        <v>0</v>
      </c>
      <c r="M339" s="168">
        <v>0</v>
      </c>
      <c r="N339" s="168">
        <v>0</v>
      </c>
      <c r="O339" s="168">
        <v>0</v>
      </c>
      <c r="P339" s="168">
        <v>0</v>
      </c>
      <c r="Q339" s="168">
        <v>0</v>
      </c>
      <c r="R339" s="168">
        <v>0</v>
      </c>
      <c r="S339" s="168">
        <v>0</v>
      </c>
      <c r="T339" s="168">
        <v>0</v>
      </c>
      <c r="U339" s="168">
        <v>0</v>
      </c>
      <c r="V339" s="168">
        <v>0</v>
      </c>
      <c r="W339" s="168">
        <v>0</v>
      </c>
      <c r="X339" s="168">
        <v>0</v>
      </c>
      <c r="Y339" s="168">
        <v>0</v>
      </c>
      <c r="Z339" s="168">
        <v>0</v>
      </c>
      <c r="AA339" s="168">
        <v>0</v>
      </c>
      <c r="AB339" s="168">
        <v>0</v>
      </c>
      <c r="AC339" s="168">
        <v>0</v>
      </c>
      <c r="AD339" s="168">
        <v>0</v>
      </c>
      <c r="AE339" s="168">
        <v>0</v>
      </c>
      <c r="AF339" s="168">
        <v>0</v>
      </c>
      <c r="AG339" s="168">
        <v>0</v>
      </c>
      <c r="AH339" s="168">
        <v>0</v>
      </c>
      <c r="AI339" s="168">
        <v>0</v>
      </c>
      <c r="AJ339" s="168">
        <v>0</v>
      </c>
      <c r="AK339" s="168">
        <v>0</v>
      </c>
      <c r="AL339" s="168">
        <v>0</v>
      </c>
      <c r="AM339" s="168">
        <v>0</v>
      </c>
      <c r="AN339" s="168">
        <v>0</v>
      </c>
      <c r="AO339" s="168">
        <v>0</v>
      </c>
      <c r="AP339" s="168">
        <v>0</v>
      </c>
      <c r="AQ339" s="168">
        <v>0</v>
      </c>
    </row>
    <row r="340" spans="7:43" ht="14.25" customHeight="1" x14ac:dyDescent="0.15">
      <c r="G340" s="22"/>
      <c r="H340" s="252"/>
      <c r="J340" s="241"/>
      <c r="K340" s="140" t="s">
        <v>148</v>
      </c>
      <c r="L340" s="164">
        <v>0</v>
      </c>
      <c r="M340" s="164">
        <v>0</v>
      </c>
      <c r="N340" s="164">
        <v>0</v>
      </c>
      <c r="O340" s="164">
        <v>0</v>
      </c>
      <c r="P340" s="164">
        <v>0</v>
      </c>
      <c r="Q340" s="164">
        <v>0</v>
      </c>
      <c r="R340" s="164">
        <v>0</v>
      </c>
      <c r="S340" s="164">
        <v>0</v>
      </c>
      <c r="T340" s="164">
        <v>0</v>
      </c>
      <c r="U340" s="164">
        <v>0</v>
      </c>
      <c r="V340" s="164">
        <v>0</v>
      </c>
      <c r="W340" s="164">
        <v>0</v>
      </c>
      <c r="X340" s="164">
        <v>0</v>
      </c>
      <c r="Y340" s="164">
        <v>0</v>
      </c>
      <c r="Z340" s="164">
        <v>0</v>
      </c>
      <c r="AA340" s="164">
        <v>0</v>
      </c>
      <c r="AB340" s="164">
        <v>0</v>
      </c>
      <c r="AC340" s="164">
        <v>0</v>
      </c>
      <c r="AD340" s="164">
        <v>0</v>
      </c>
      <c r="AE340" s="164">
        <v>0</v>
      </c>
      <c r="AF340" s="164">
        <v>0</v>
      </c>
      <c r="AG340" s="164">
        <v>0</v>
      </c>
      <c r="AH340" s="164">
        <v>0</v>
      </c>
      <c r="AI340" s="164">
        <v>0</v>
      </c>
      <c r="AJ340" s="164">
        <v>0</v>
      </c>
      <c r="AK340" s="164">
        <v>0</v>
      </c>
      <c r="AL340" s="164">
        <v>0</v>
      </c>
      <c r="AM340" s="164">
        <v>0</v>
      </c>
      <c r="AN340" s="164">
        <v>0</v>
      </c>
      <c r="AO340" s="164">
        <v>0</v>
      </c>
      <c r="AP340" s="164">
        <v>0</v>
      </c>
      <c r="AQ340" s="164">
        <v>0</v>
      </c>
    </row>
    <row r="341" spans="7:43" ht="14.25" customHeight="1" x14ac:dyDescent="0.15">
      <c r="G341" s="22"/>
      <c r="H341" s="252"/>
      <c r="J341" s="241"/>
      <c r="K341" s="19" t="s">
        <v>149</v>
      </c>
      <c r="L341" s="165">
        <v>0</v>
      </c>
      <c r="M341" s="165">
        <v>0</v>
      </c>
      <c r="N341" s="165">
        <v>0</v>
      </c>
      <c r="O341" s="165">
        <v>0</v>
      </c>
      <c r="P341" s="165">
        <v>0</v>
      </c>
      <c r="Q341" s="165">
        <v>0</v>
      </c>
      <c r="R341" s="165">
        <v>0</v>
      </c>
      <c r="S341" s="165">
        <v>0</v>
      </c>
      <c r="T341" s="165">
        <v>0</v>
      </c>
      <c r="U341" s="165">
        <v>0</v>
      </c>
      <c r="V341" s="165">
        <v>0</v>
      </c>
      <c r="W341" s="165">
        <v>0</v>
      </c>
      <c r="X341" s="165">
        <v>0</v>
      </c>
      <c r="Y341" s="165">
        <v>0</v>
      </c>
      <c r="Z341" s="165">
        <v>0</v>
      </c>
      <c r="AA341" s="165">
        <v>0</v>
      </c>
      <c r="AB341" s="165">
        <v>0</v>
      </c>
      <c r="AC341" s="165">
        <v>0</v>
      </c>
      <c r="AD341" s="165">
        <v>0</v>
      </c>
      <c r="AE341" s="165">
        <v>0</v>
      </c>
      <c r="AF341" s="165">
        <v>0</v>
      </c>
      <c r="AG341" s="165">
        <v>0</v>
      </c>
      <c r="AH341" s="165">
        <v>0</v>
      </c>
      <c r="AI341" s="165">
        <v>0</v>
      </c>
      <c r="AJ341" s="165">
        <v>0</v>
      </c>
      <c r="AK341" s="165">
        <v>0</v>
      </c>
      <c r="AL341" s="165">
        <v>0</v>
      </c>
      <c r="AM341" s="165">
        <v>0</v>
      </c>
      <c r="AN341" s="165">
        <v>0</v>
      </c>
      <c r="AO341" s="165">
        <v>0</v>
      </c>
      <c r="AP341" s="165">
        <v>0</v>
      </c>
      <c r="AQ341" s="165">
        <v>0</v>
      </c>
    </row>
    <row r="342" spans="7:43" ht="14.25" customHeight="1" thickBot="1" x14ac:dyDescent="0.2">
      <c r="G342" s="22"/>
      <c r="H342" s="252"/>
      <c r="J342" s="241"/>
      <c r="K342" s="144" t="s">
        <v>150</v>
      </c>
      <c r="L342" s="166">
        <v>0</v>
      </c>
      <c r="M342" s="166">
        <v>0</v>
      </c>
      <c r="N342" s="166">
        <v>0</v>
      </c>
      <c r="O342" s="166">
        <v>0</v>
      </c>
      <c r="P342" s="166">
        <v>0</v>
      </c>
      <c r="Q342" s="166">
        <v>0</v>
      </c>
      <c r="R342" s="166">
        <v>0</v>
      </c>
      <c r="S342" s="166">
        <v>0</v>
      </c>
      <c r="T342" s="166">
        <v>0</v>
      </c>
      <c r="U342" s="166">
        <v>0</v>
      </c>
      <c r="V342" s="166">
        <v>0</v>
      </c>
      <c r="W342" s="166">
        <v>0</v>
      </c>
      <c r="X342" s="166">
        <v>0</v>
      </c>
      <c r="Y342" s="166">
        <v>0</v>
      </c>
      <c r="Z342" s="166">
        <v>0</v>
      </c>
      <c r="AA342" s="166">
        <v>0</v>
      </c>
      <c r="AB342" s="166">
        <v>0</v>
      </c>
      <c r="AC342" s="166">
        <v>0</v>
      </c>
      <c r="AD342" s="166">
        <v>0</v>
      </c>
      <c r="AE342" s="166">
        <v>0</v>
      </c>
      <c r="AF342" s="166">
        <v>0</v>
      </c>
      <c r="AG342" s="166">
        <v>0</v>
      </c>
      <c r="AH342" s="166">
        <v>0</v>
      </c>
      <c r="AI342" s="166">
        <v>0</v>
      </c>
      <c r="AJ342" s="166">
        <v>0</v>
      </c>
      <c r="AK342" s="166">
        <v>0</v>
      </c>
      <c r="AL342" s="166">
        <v>0</v>
      </c>
      <c r="AM342" s="166">
        <v>0</v>
      </c>
      <c r="AN342" s="166">
        <v>0</v>
      </c>
      <c r="AO342" s="166">
        <v>0</v>
      </c>
      <c r="AP342" s="166">
        <v>0</v>
      </c>
      <c r="AQ342" s="166">
        <v>0</v>
      </c>
    </row>
    <row r="343" spans="7:43" ht="14.25" customHeight="1" thickTop="1" x14ac:dyDescent="0.15">
      <c r="G343" s="22"/>
      <c r="H343" s="252"/>
      <c r="J343" s="241"/>
      <c r="K343" s="140" t="s">
        <v>151</v>
      </c>
      <c r="L343" s="167">
        <v>0</v>
      </c>
      <c r="M343" s="167">
        <v>0</v>
      </c>
      <c r="N343" s="167">
        <v>0</v>
      </c>
      <c r="O343" s="167">
        <v>0</v>
      </c>
      <c r="P343" s="167">
        <v>0</v>
      </c>
      <c r="Q343" s="167">
        <v>0</v>
      </c>
      <c r="R343" s="167">
        <v>0</v>
      </c>
      <c r="S343" s="167">
        <v>0</v>
      </c>
      <c r="T343" s="167">
        <v>0</v>
      </c>
      <c r="U343" s="167">
        <v>0</v>
      </c>
      <c r="V343" s="167">
        <v>0</v>
      </c>
      <c r="W343" s="167">
        <v>0</v>
      </c>
      <c r="X343" s="167">
        <v>0</v>
      </c>
      <c r="Y343" s="167">
        <v>0</v>
      </c>
      <c r="Z343" s="167">
        <v>0</v>
      </c>
      <c r="AA343" s="167">
        <v>0</v>
      </c>
      <c r="AB343" s="167">
        <v>0</v>
      </c>
      <c r="AC343" s="167">
        <v>0</v>
      </c>
      <c r="AD343" s="167">
        <v>0</v>
      </c>
      <c r="AE343" s="167">
        <v>0</v>
      </c>
      <c r="AF343" s="167">
        <v>0</v>
      </c>
      <c r="AG343" s="167">
        <v>0</v>
      </c>
      <c r="AH343" s="167">
        <v>0</v>
      </c>
      <c r="AI343" s="167">
        <v>0</v>
      </c>
      <c r="AJ343" s="167">
        <v>0</v>
      </c>
      <c r="AK343" s="167">
        <v>0</v>
      </c>
      <c r="AL343" s="167">
        <v>0</v>
      </c>
      <c r="AM343" s="167">
        <v>0</v>
      </c>
      <c r="AN343" s="167">
        <v>0</v>
      </c>
      <c r="AO343" s="167">
        <v>0</v>
      </c>
      <c r="AP343" s="167">
        <v>0</v>
      </c>
      <c r="AQ343" s="167">
        <v>0</v>
      </c>
    </row>
    <row r="344" spans="7:43" ht="14.25" customHeight="1" x14ac:dyDescent="0.15">
      <c r="G344" s="22"/>
      <c r="H344" s="252"/>
      <c r="J344" s="241"/>
      <c r="K344" s="19" t="s">
        <v>152</v>
      </c>
      <c r="L344" s="165">
        <v>0</v>
      </c>
      <c r="M344" s="165">
        <v>0</v>
      </c>
      <c r="N344" s="165">
        <v>0</v>
      </c>
      <c r="O344" s="165">
        <v>0</v>
      </c>
      <c r="P344" s="165">
        <v>0</v>
      </c>
      <c r="Q344" s="165">
        <v>0</v>
      </c>
      <c r="R344" s="165">
        <v>0</v>
      </c>
      <c r="S344" s="165">
        <v>0</v>
      </c>
      <c r="T344" s="165">
        <v>0</v>
      </c>
      <c r="U344" s="165">
        <v>0</v>
      </c>
      <c r="V344" s="165">
        <v>0</v>
      </c>
      <c r="W344" s="165">
        <v>0</v>
      </c>
      <c r="X344" s="165">
        <v>0</v>
      </c>
      <c r="Y344" s="165">
        <v>0</v>
      </c>
      <c r="Z344" s="165">
        <v>0</v>
      </c>
      <c r="AA344" s="165">
        <v>0</v>
      </c>
      <c r="AB344" s="165">
        <v>0</v>
      </c>
      <c r="AC344" s="165">
        <v>0</v>
      </c>
      <c r="AD344" s="165">
        <v>0</v>
      </c>
      <c r="AE344" s="165">
        <v>0</v>
      </c>
      <c r="AF344" s="165">
        <v>0</v>
      </c>
      <c r="AG344" s="165">
        <v>0</v>
      </c>
      <c r="AH344" s="165">
        <v>0</v>
      </c>
      <c r="AI344" s="165">
        <v>0</v>
      </c>
      <c r="AJ344" s="165">
        <v>0</v>
      </c>
      <c r="AK344" s="165">
        <v>0</v>
      </c>
      <c r="AL344" s="165">
        <v>0</v>
      </c>
      <c r="AM344" s="165">
        <v>0</v>
      </c>
      <c r="AN344" s="165">
        <v>0</v>
      </c>
      <c r="AO344" s="165">
        <v>0</v>
      </c>
      <c r="AP344" s="165">
        <v>0</v>
      </c>
      <c r="AQ344" s="165">
        <v>0</v>
      </c>
    </row>
    <row r="345" spans="7:43" ht="14.25" customHeight="1" thickBot="1" x14ac:dyDescent="0.2">
      <c r="G345" s="22"/>
      <c r="H345" s="252"/>
      <c r="J345" s="241"/>
      <c r="K345" s="144" t="s">
        <v>153</v>
      </c>
      <c r="L345" s="166">
        <v>0</v>
      </c>
      <c r="M345" s="166">
        <v>0</v>
      </c>
      <c r="N345" s="166">
        <v>0</v>
      </c>
      <c r="O345" s="166">
        <v>0</v>
      </c>
      <c r="P345" s="166">
        <v>0</v>
      </c>
      <c r="Q345" s="166">
        <v>0</v>
      </c>
      <c r="R345" s="166">
        <v>0</v>
      </c>
      <c r="S345" s="166">
        <v>0</v>
      </c>
      <c r="T345" s="166">
        <v>0</v>
      </c>
      <c r="U345" s="166">
        <v>0</v>
      </c>
      <c r="V345" s="166">
        <v>0</v>
      </c>
      <c r="W345" s="166">
        <v>0</v>
      </c>
      <c r="X345" s="166">
        <v>0</v>
      </c>
      <c r="Y345" s="166">
        <v>0</v>
      </c>
      <c r="Z345" s="166">
        <v>0</v>
      </c>
      <c r="AA345" s="166">
        <v>0</v>
      </c>
      <c r="AB345" s="166">
        <v>0</v>
      </c>
      <c r="AC345" s="166">
        <v>0</v>
      </c>
      <c r="AD345" s="166">
        <v>0</v>
      </c>
      <c r="AE345" s="166">
        <v>0</v>
      </c>
      <c r="AF345" s="166">
        <v>0</v>
      </c>
      <c r="AG345" s="166">
        <v>0</v>
      </c>
      <c r="AH345" s="166">
        <v>0</v>
      </c>
      <c r="AI345" s="166">
        <v>0</v>
      </c>
      <c r="AJ345" s="166">
        <v>0</v>
      </c>
      <c r="AK345" s="166">
        <v>0</v>
      </c>
      <c r="AL345" s="166">
        <v>0</v>
      </c>
      <c r="AM345" s="166">
        <v>0</v>
      </c>
      <c r="AN345" s="166">
        <v>0</v>
      </c>
      <c r="AO345" s="166">
        <v>0</v>
      </c>
      <c r="AP345" s="166">
        <v>0</v>
      </c>
      <c r="AQ345" s="166">
        <v>0</v>
      </c>
    </row>
    <row r="346" spans="7:43" ht="14.25" customHeight="1" thickTop="1" x14ac:dyDescent="0.15">
      <c r="G346" s="22"/>
      <c r="H346" s="252"/>
      <c r="J346" s="241"/>
      <c r="K346" s="140" t="s">
        <v>154</v>
      </c>
      <c r="L346" s="167">
        <v>0</v>
      </c>
      <c r="M346" s="167">
        <v>0</v>
      </c>
      <c r="N346" s="167">
        <v>0</v>
      </c>
      <c r="O346" s="167">
        <v>0</v>
      </c>
      <c r="P346" s="167">
        <v>0</v>
      </c>
      <c r="Q346" s="167">
        <v>0</v>
      </c>
      <c r="R346" s="167">
        <v>0</v>
      </c>
      <c r="S346" s="167">
        <v>0</v>
      </c>
      <c r="T346" s="167">
        <v>0</v>
      </c>
      <c r="U346" s="167">
        <v>0</v>
      </c>
      <c r="V346" s="167">
        <v>0</v>
      </c>
      <c r="W346" s="167">
        <v>0</v>
      </c>
      <c r="X346" s="167">
        <v>0</v>
      </c>
      <c r="Y346" s="167">
        <v>0</v>
      </c>
      <c r="Z346" s="167">
        <v>0</v>
      </c>
      <c r="AA346" s="167">
        <v>0</v>
      </c>
      <c r="AB346" s="167">
        <v>0</v>
      </c>
      <c r="AC346" s="167">
        <v>0</v>
      </c>
      <c r="AD346" s="167">
        <v>0</v>
      </c>
      <c r="AE346" s="167">
        <v>0</v>
      </c>
      <c r="AF346" s="167">
        <v>0</v>
      </c>
      <c r="AG346" s="167">
        <v>0</v>
      </c>
      <c r="AH346" s="167">
        <v>0</v>
      </c>
      <c r="AI346" s="167">
        <v>0</v>
      </c>
      <c r="AJ346" s="167">
        <v>0</v>
      </c>
      <c r="AK346" s="167">
        <v>0</v>
      </c>
      <c r="AL346" s="167">
        <v>0</v>
      </c>
      <c r="AM346" s="167">
        <v>0</v>
      </c>
      <c r="AN346" s="167">
        <v>0</v>
      </c>
      <c r="AO346" s="167">
        <v>0</v>
      </c>
      <c r="AP346" s="167">
        <v>0</v>
      </c>
      <c r="AQ346" s="167">
        <v>0</v>
      </c>
    </row>
    <row r="347" spans="7:43" ht="14.25" customHeight="1" x14ac:dyDescent="0.15">
      <c r="G347" s="22"/>
      <c r="H347" s="252"/>
      <c r="J347" s="241"/>
      <c r="K347" s="19" t="s">
        <v>155</v>
      </c>
      <c r="L347" s="165">
        <v>0</v>
      </c>
      <c r="M347" s="165">
        <v>0</v>
      </c>
      <c r="N347" s="165">
        <v>0</v>
      </c>
      <c r="O347" s="165">
        <v>0</v>
      </c>
      <c r="P347" s="165">
        <v>0</v>
      </c>
      <c r="Q347" s="165">
        <v>0</v>
      </c>
      <c r="R347" s="165">
        <v>0</v>
      </c>
      <c r="S347" s="165">
        <v>0</v>
      </c>
      <c r="T347" s="165">
        <v>0</v>
      </c>
      <c r="U347" s="165">
        <v>0</v>
      </c>
      <c r="V347" s="165">
        <v>0</v>
      </c>
      <c r="W347" s="165">
        <v>0</v>
      </c>
      <c r="X347" s="165">
        <v>0</v>
      </c>
      <c r="Y347" s="165">
        <v>0</v>
      </c>
      <c r="Z347" s="165">
        <v>0</v>
      </c>
      <c r="AA347" s="165">
        <v>0</v>
      </c>
      <c r="AB347" s="165">
        <v>0</v>
      </c>
      <c r="AC347" s="165">
        <v>0</v>
      </c>
      <c r="AD347" s="165">
        <v>0</v>
      </c>
      <c r="AE347" s="165">
        <v>0</v>
      </c>
      <c r="AF347" s="165">
        <v>0</v>
      </c>
      <c r="AG347" s="165">
        <v>0</v>
      </c>
      <c r="AH347" s="165">
        <v>0</v>
      </c>
      <c r="AI347" s="165">
        <v>0</v>
      </c>
      <c r="AJ347" s="165">
        <v>0</v>
      </c>
      <c r="AK347" s="165">
        <v>0</v>
      </c>
      <c r="AL347" s="165">
        <v>0</v>
      </c>
      <c r="AM347" s="165">
        <v>0</v>
      </c>
      <c r="AN347" s="165">
        <v>0</v>
      </c>
      <c r="AO347" s="165">
        <v>0</v>
      </c>
      <c r="AP347" s="165">
        <v>0</v>
      </c>
      <c r="AQ347" s="165">
        <v>0</v>
      </c>
    </row>
    <row r="348" spans="7:43" ht="14.25" customHeight="1" thickBot="1" x14ac:dyDescent="0.2">
      <c r="G348" s="22"/>
      <c r="H348" s="252"/>
      <c r="J348" s="241"/>
      <c r="K348" s="144" t="s">
        <v>156</v>
      </c>
      <c r="L348" s="168">
        <v>0</v>
      </c>
      <c r="M348" s="168">
        <v>0</v>
      </c>
      <c r="N348" s="168">
        <v>0</v>
      </c>
      <c r="O348" s="168">
        <v>0</v>
      </c>
      <c r="P348" s="168">
        <v>0</v>
      </c>
      <c r="Q348" s="168">
        <v>0</v>
      </c>
      <c r="R348" s="168">
        <v>0</v>
      </c>
      <c r="S348" s="168">
        <v>0</v>
      </c>
      <c r="T348" s="168">
        <v>0</v>
      </c>
      <c r="U348" s="168">
        <v>0</v>
      </c>
      <c r="V348" s="168">
        <v>0</v>
      </c>
      <c r="W348" s="168">
        <v>0</v>
      </c>
      <c r="X348" s="168">
        <v>0</v>
      </c>
      <c r="Y348" s="168">
        <v>0</v>
      </c>
      <c r="Z348" s="168">
        <v>0</v>
      </c>
      <c r="AA348" s="168">
        <v>0</v>
      </c>
      <c r="AB348" s="168">
        <v>0</v>
      </c>
      <c r="AC348" s="168">
        <v>0</v>
      </c>
      <c r="AD348" s="168">
        <v>0</v>
      </c>
      <c r="AE348" s="168">
        <v>0</v>
      </c>
      <c r="AF348" s="168">
        <v>0</v>
      </c>
      <c r="AG348" s="168">
        <v>0</v>
      </c>
      <c r="AH348" s="168">
        <v>0</v>
      </c>
      <c r="AI348" s="168">
        <v>0</v>
      </c>
      <c r="AJ348" s="168">
        <v>0</v>
      </c>
      <c r="AK348" s="168">
        <v>0</v>
      </c>
      <c r="AL348" s="168">
        <v>0</v>
      </c>
      <c r="AM348" s="168">
        <v>0</v>
      </c>
      <c r="AN348" s="168">
        <v>0</v>
      </c>
      <c r="AO348" s="168">
        <v>0</v>
      </c>
      <c r="AP348" s="168">
        <v>0</v>
      </c>
      <c r="AQ348" s="168">
        <v>0</v>
      </c>
    </row>
    <row r="349" spans="7:43" ht="14.25" customHeight="1" thickTop="1" x14ac:dyDescent="0.15">
      <c r="G349" s="22"/>
      <c r="H349" s="252"/>
      <c r="J349" s="241"/>
      <c r="K349" s="140" t="s">
        <v>157</v>
      </c>
      <c r="L349" s="167">
        <v>0</v>
      </c>
      <c r="M349" s="167">
        <v>0</v>
      </c>
      <c r="N349" s="167">
        <v>0</v>
      </c>
      <c r="O349" s="167">
        <v>0</v>
      </c>
      <c r="P349" s="167">
        <v>0</v>
      </c>
      <c r="Q349" s="167">
        <v>0</v>
      </c>
      <c r="R349" s="167">
        <v>0</v>
      </c>
      <c r="S349" s="167">
        <v>0</v>
      </c>
      <c r="T349" s="167">
        <v>0</v>
      </c>
      <c r="U349" s="167">
        <v>0</v>
      </c>
      <c r="V349" s="167">
        <v>0</v>
      </c>
      <c r="W349" s="167">
        <v>0</v>
      </c>
      <c r="X349" s="167">
        <v>0</v>
      </c>
      <c r="Y349" s="167">
        <v>0</v>
      </c>
      <c r="Z349" s="167">
        <v>0</v>
      </c>
      <c r="AA349" s="167">
        <v>0</v>
      </c>
      <c r="AB349" s="167">
        <v>0</v>
      </c>
      <c r="AC349" s="167">
        <v>0</v>
      </c>
      <c r="AD349" s="167">
        <v>0</v>
      </c>
      <c r="AE349" s="167">
        <v>0</v>
      </c>
      <c r="AF349" s="167">
        <v>0</v>
      </c>
      <c r="AG349" s="167">
        <v>0</v>
      </c>
      <c r="AH349" s="167">
        <v>0</v>
      </c>
      <c r="AI349" s="167">
        <v>0</v>
      </c>
      <c r="AJ349" s="167">
        <v>0</v>
      </c>
      <c r="AK349" s="167">
        <v>0</v>
      </c>
      <c r="AL349" s="167">
        <v>0</v>
      </c>
      <c r="AM349" s="167">
        <v>0</v>
      </c>
      <c r="AN349" s="167">
        <v>0</v>
      </c>
      <c r="AO349" s="167">
        <v>0</v>
      </c>
      <c r="AP349" s="167">
        <v>0</v>
      </c>
      <c r="AQ349" s="167">
        <v>0</v>
      </c>
    </row>
    <row r="350" spans="7:43" ht="14.25" customHeight="1" x14ac:dyDescent="0.15">
      <c r="G350" s="22"/>
      <c r="H350" s="252"/>
      <c r="J350" s="241"/>
      <c r="K350" s="19" t="s">
        <v>158</v>
      </c>
      <c r="L350" s="165">
        <v>0</v>
      </c>
      <c r="M350" s="165">
        <v>0</v>
      </c>
      <c r="N350" s="165">
        <v>0</v>
      </c>
      <c r="O350" s="165">
        <v>0</v>
      </c>
      <c r="P350" s="165">
        <v>0</v>
      </c>
      <c r="Q350" s="165">
        <v>0</v>
      </c>
      <c r="R350" s="165">
        <v>0</v>
      </c>
      <c r="S350" s="165">
        <v>0</v>
      </c>
      <c r="T350" s="165">
        <v>0</v>
      </c>
      <c r="U350" s="165">
        <v>0</v>
      </c>
      <c r="V350" s="165">
        <v>0</v>
      </c>
      <c r="W350" s="165">
        <v>0</v>
      </c>
      <c r="X350" s="165">
        <v>0</v>
      </c>
      <c r="Y350" s="165">
        <v>0</v>
      </c>
      <c r="Z350" s="165">
        <v>0</v>
      </c>
      <c r="AA350" s="165">
        <v>0</v>
      </c>
      <c r="AB350" s="165">
        <v>0</v>
      </c>
      <c r="AC350" s="165">
        <v>0</v>
      </c>
      <c r="AD350" s="165">
        <v>0</v>
      </c>
      <c r="AE350" s="165">
        <v>0</v>
      </c>
      <c r="AF350" s="165">
        <v>0</v>
      </c>
      <c r="AG350" s="165">
        <v>0</v>
      </c>
      <c r="AH350" s="165">
        <v>0</v>
      </c>
      <c r="AI350" s="165">
        <v>0</v>
      </c>
      <c r="AJ350" s="165">
        <v>0</v>
      </c>
      <c r="AK350" s="165">
        <v>0</v>
      </c>
      <c r="AL350" s="165">
        <v>0</v>
      </c>
      <c r="AM350" s="165">
        <v>0</v>
      </c>
      <c r="AN350" s="165">
        <v>0</v>
      </c>
      <c r="AO350" s="165">
        <v>0</v>
      </c>
      <c r="AP350" s="165">
        <v>0</v>
      </c>
      <c r="AQ350" s="165">
        <v>0</v>
      </c>
    </row>
    <row r="351" spans="7:43" ht="14.25" customHeight="1" thickBot="1" x14ac:dyDescent="0.2">
      <c r="G351" s="22"/>
      <c r="H351" s="252"/>
      <c r="J351" s="241"/>
      <c r="K351" s="144" t="s">
        <v>159</v>
      </c>
      <c r="L351" s="168">
        <v>0</v>
      </c>
      <c r="M351" s="168">
        <v>0</v>
      </c>
      <c r="N351" s="168">
        <v>0</v>
      </c>
      <c r="O351" s="168">
        <v>0</v>
      </c>
      <c r="P351" s="168">
        <v>0</v>
      </c>
      <c r="Q351" s="168">
        <v>0</v>
      </c>
      <c r="R351" s="168">
        <v>0</v>
      </c>
      <c r="S351" s="168">
        <v>0</v>
      </c>
      <c r="T351" s="168">
        <v>0</v>
      </c>
      <c r="U351" s="168">
        <v>0</v>
      </c>
      <c r="V351" s="168">
        <v>0</v>
      </c>
      <c r="W351" s="168">
        <v>0</v>
      </c>
      <c r="X351" s="168">
        <v>0</v>
      </c>
      <c r="Y351" s="168">
        <v>0</v>
      </c>
      <c r="Z351" s="168">
        <v>0</v>
      </c>
      <c r="AA351" s="168">
        <v>0</v>
      </c>
      <c r="AB351" s="168">
        <v>0</v>
      </c>
      <c r="AC351" s="168">
        <v>0</v>
      </c>
      <c r="AD351" s="168">
        <v>0</v>
      </c>
      <c r="AE351" s="168">
        <v>0</v>
      </c>
      <c r="AF351" s="168">
        <v>0</v>
      </c>
      <c r="AG351" s="168">
        <v>0</v>
      </c>
      <c r="AH351" s="168">
        <v>0</v>
      </c>
      <c r="AI351" s="168">
        <v>0</v>
      </c>
      <c r="AJ351" s="168">
        <v>0</v>
      </c>
      <c r="AK351" s="168">
        <v>0</v>
      </c>
      <c r="AL351" s="168">
        <v>0</v>
      </c>
      <c r="AM351" s="168">
        <v>0</v>
      </c>
      <c r="AN351" s="168">
        <v>0</v>
      </c>
      <c r="AO351" s="168">
        <v>0</v>
      </c>
      <c r="AP351" s="168">
        <v>0</v>
      </c>
      <c r="AQ351" s="168">
        <v>0</v>
      </c>
    </row>
    <row r="352" spans="7:43" ht="14.25" customHeight="1" thickTop="1" x14ac:dyDescent="0.15">
      <c r="G352" s="22"/>
      <c r="H352" s="252"/>
      <c r="J352" s="241"/>
      <c r="K352" s="140" t="s">
        <v>160</v>
      </c>
      <c r="L352" s="167">
        <v>0</v>
      </c>
      <c r="M352" s="167">
        <v>0</v>
      </c>
      <c r="N352" s="167">
        <v>0</v>
      </c>
      <c r="O352" s="167">
        <v>0</v>
      </c>
      <c r="P352" s="167">
        <v>0</v>
      </c>
      <c r="Q352" s="167">
        <v>0</v>
      </c>
      <c r="R352" s="167">
        <v>0</v>
      </c>
      <c r="S352" s="167">
        <v>0</v>
      </c>
      <c r="T352" s="167">
        <v>0</v>
      </c>
      <c r="U352" s="167">
        <v>0</v>
      </c>
      <c r="V352" s="167">
        <v>0</v>
      </c>
      <c r="W352" s="167">
        <v>0</v>
      </c>
      <c r="X352" s="167">
        <v>0</v>
      </c>
      <c r="Y352" s="167">
        <v>0</v>
      </c>
      <c r="Z352" s="167">
        <v>0</v>
      </c>
      <c r="AA352" s="167">
        <v>0</v>
      </c>
      <c r="AB352" s="167">
        <v>0</v>
      </c>
      <c r="AC352" s="167">
        <v>0</v>
      </c>
      <c r="AD352" s="167">
        <v>0</v>
      </c>
      <c r="AE352" s="167">
        <v>0</v>
      </c>
      <c r="AF352" s="167">
        <v>0</v>
      </c>
      <c r="AG352" s="167">
        <v>0</v>
      </c>
      <c r="AH352" s="167">
        <v>0</v>
      </c>
      <c r="AI352" s="167">
        <v>0</v>
      </c>
      <c r="AJ352" s="167">
        <v>0</v>
      </c>
      <c r="AK352" s="167">
        <v>0</v>
      </c>
      <c r="AL352" s="167">
        <v>0</v>
      </c>
      <c r="AM352" s="167">
        <v>0</v>
      </c>
      <c r="AN352" s="167">
        <v>0</v>
      </c>
      <c r="AO352" s="167">
        <v>0</v>
      </c>
      <c r="AP352" s="167">
        <v>0</v>
      </c>
      <c r="AQ352" s="167">
        <v>0</v>
      </c>
    </row>
    <row r="353" spans="7:43" ht="14.25" customHeight="1" x14ac:dyDescent="0.15">
      <c r="G353" s="22"/>
      <c r="H353" s="252"/>
      <c r="J353" s="241"/>
      <c r="K353" s="19" t="s">
        <v>161</v>
      </c>
      <c r="L353" s="165">
        <v>0</v>
      </c>
      <c r="M353" s="165">
        <v>0</v>
      </c>
      <c r="N353" s="165">
        <v>0</v>
      </c>
      <c r="O353" s="165">
        <v>0</v>
      </c>
      <c r="P353" s="165">
        <v>0</v>
      </c>
      <c r="Q353" s="165">
        <v>0</v>
      </c>
      <c r="R353" s="165">
        <v>0</v>
      </c>
      <c r="S353" s="165">
        <v>0</v>
      </c>
      <c r="T353" s="165">
        <v>0</v>
      </c>
      <c r="U353" s="165">
        <v>0</v>
      </c>
      <c r="V353" s="165">
        <v>0</v>
      </c>
      <c r="W353" s="165">
        <v>0</v>
      </c>
      <c r="X353" s="165">
        <v>0</v>
      </c>
      <c r="Y353" s="165">
        <v>0</v>
      </c>
      <c r="Z353" s="165">
        <v>0</v>
      </c>
      <c r="AA353" s="165">
        <v>0</v>
      </c>
      <c r="AB353" s="165">
        <v>0</v>
      </c>
      <c r="AC353" s="165">
        <v>0</v>
      </c>
      <c r="AD353" s="165">
        <v>0</v>
      </c>
      <c r="AE353" s="165">
        <v>0</v>
      </c>
      <c r="AF353" s="165">
        <v>0</v>
      </c>
      <c r="AG353" s="165">
        <v>0</v>
      </c>
      <c r="AH353" s="165">
        <v>0</v>
      </c>
      <c r="AI353" s="165">
        <v>0</v>
      </c>
      <c r="AJ353" s="165">
        <v>0</v>
      </c>
      <c r="AK353" s="165">
        <v>0</v>
      </c>
      <c r="AL353" s="165">
        <v>0</v>
      </c>
      <c r="AM353" s="165">
        <v>0</v>
      </c>
      <c r="AN353" s="165">
        <v>0</v>
      </c>
      <c r="AO353" s="165">
        <v>0</v>
      </c>
      <c r="AP353" s="165">
        <v>0</v>
      </c>
      <c r="AQ353" s="165">
        <v>0</v>
      </c>
    </row>
    <row r="354" spans="7:43" ht="14.25" customHeight="1" x14ac:dyDescent="0.15">
      <c r="G354" s="22"/>
      <c r="H354" s="252"/>
      <c r="J354" s="251"/>
      <c r="K354" s="144" t="s">
        <v>162</v>
      </c>
      <c r="L354" s="168">
        <v>0</v>
      </c>
      <c r="M354" s="168">
        <v>0</v>
      </c>
      <c r="N354" s="168">
        <v>0</v>
      </c>
      <c r="O354" s="168">
        <v>0</v>
      </c>
      <c r="P354" s="168">
        <v>0</v>
      </c>
      <c r="Q354" s="168">
        <v>0</v>
      </c>
      <c r="R354" s="168">
        <v>0</v>
      </c>
      <c r="S354" s="168">
        <v>0</v>
      </c>
      <c r="T354" s="168">
        <v>0</v>
      </c>
      <c r="U354" s="168">
        <v>0</v>
      </c>
      <c r="V354" s="168">
        <v>0</v>
      </c>
      <c r="W354" s="168">
        <v>0</v>
      </c>
      <c r="X354" s="168">
        <v>0</v>
      </c>
      <c r="Y354" s="168">
        <v>0</v>
      </c>
      <c r="Z354" s="168">
        <v>0</v>
      </c>
      <c r="AA354" s="168">
        <v>0</v>
      </c>
      <c r="AB354" s="168">
        <v>0</v>
      </c>
      <c r="AC354" s="168">
        <v>0</v>
      </c>
      <c r="AD354" s="168">
        <v>0</v>
      </c>
      <c r="AE354" s="168">
        <v>0</v>
      </c>
      <c r="AF354" s="168">
        <v>0</v>
      </c>
      <c r="AG354" s="168">
        <v>0</v>
      </c>
      <c r="AH354" s="168">
        <v>0</v>
      </c>
      <c r="AI354" s="168">
        <v>0</v>
      </c>
      <c r="AJ354" s="168">
        <v>0</v>
      </c>
      <c r="AK354" s="168">
        <v>0</v>
      </c>
      <c r="AL354" s="168">
        <v>0</v>
      </c>
      <c r="AM354" s="168">
        <v>0</v>
      </c>
      <c r="AN354" s="168">
        <v>0</v>
      </c>
      <c r="AO354" s="168">
        <v>0</v>
      </c>
      <c r="AP354" s="168">
        <v>0</v>
      </c>
      <c r="AQ354" s="168">
        <v>0</v>
      </c>
    </row>
    <row r="355" spans="7:43" ht="14.25" customHeight="1" x14ac:dyDescent="0.15">
      <c r="G355" s="22"/>
    </row>
    <row r="356" spans="7:43" ht="14.25" customHeight="1" x14ac:dyDescent="0.15">
      <c r="G356" s="22"/>
      <c r="L356" s="128">
        <v>2019</v>
      </c>
      <c r="M356" s="128">
        <v>2020</v>
      </c>
      <c r="N356" s="128">
        <v>2021</v>
      </c>
      <c r="O356" s="128">
        <v>2022</v>
      </c>
      <c r="P356" s="128">
        <v>2023</v>
      </c>
      <c r="Q356" s="128">
        <v>2024</v>
      </c>
      <c r="R356" s="128">
        <v>2025</v>
      </c>
      <c r="S356" s="128">
        <v>2026</v>
      </c>
      <c r="T356" s="128">
        <v>2027</v>
      </c>
      <c r="U356" s="128">
        <v>2028</v>
      </c>
      <c r="V356" s="128">
        <v>2029</v>
      </c>
      <c r="W356" s="128">
        <v>2030</v>
      </c>
      <c r="X356" s="128">
        <v>2031</v>
      </c>
      <c r="Y356" s="128">
        <v>2032</v>
      </c>
      <c r="Z356" s="128">
        <v>2033</v>
      </c>
      <c r="AA356" s="128">
        <v>2034</v>
      </c>
      <c r="AB356" s="128">
        <v>2035</v>
      </c>
      <c r="AC356" s="128">
        <v>2036</v>
      </c>
      <c r="AD356" s="128">
        <v>2037</v>
      </c>
      <c r="AE356" s="128">
        <v>2038</v>
      </c>
      <c r="AF356" s="128">
        <v>2039</v>
      </c>
      <c r="AG356" s="128">
        <v>2040</v>
      </c>
      <c r="AH356" s="128">
        <v>2041</v>
      </c>
      <c r="AI356" s="128">
        <v>2042</v>
      </c>
      <c r="AJ356" s="128">
        <v>2043</v>
      </c>
      <c r="AK356" s="128">
        <v>2044</v>
      </c>
      <c r="AL356" s="128">
        <v>2045</v>
      </c>
      <c r="AM356" s="128">
        <v>2046</v>
      </c>
      <c r="AN356" s="128">
        <v>2047</v>
      </c>
      <c r="AO356" s="128">
        <v>2048</v>
      </c>
      <c r="AP356" s="128">
        <v>2049</v>
      </c>
      <c r="AQ356" s="128">
        <v>2050</v>
      </c>
    </row>
    <row r="357" spans="7:43" ht="14.25" customHeight="1" x14ac:dyDescent="0.15">
      <c r="G357" s="22"/>
      <c r="H357" s="253" t="s">
        <v>170</v>
      </c>
      <c r="J357" s="240" t="s">
        <v>171</v>
      </c>
      <c r="K357" s="140" t="s">
        <v>133</v>
      </c>
      <c r="L357" s="174">
        <f xml:space="preserve"> ((L90 * L397 * $N$45 * (L196 * 1 + L325) +L228) * 1000 / (L100 * 8750)) + L260 + 0</f>
        <v>96.476799214682444</v>
      </c>
      <c r="M357" s="174">
        <f t="shared" ref="M357:AQ357" si="44" xml:space="preserve"> ((M90 * M397 * $N$45 * (M196 * 1 + M325) +M228) * 1000 / (M100 * 8750)) + M260 + 0</f>
        <v>92.213063183470723</v>
      </c>
      <c r="N357" s="174">
        <f t="shared" si="44"/>
        <v>85.366563619662301</v>
      </c>
      <c r="O357" s="174">
        <f t="shared" si="44"/>
        <v>78.755898100610111</v>
      </c>
      <c r="P357" s="174">
        <f t="shared" si="44"/>
        <v>72.369087655216347</v>
      </c>
      <c r="Q357" s="174">
        <f t="shared" si="44"/>
        <v>66.194951085931351</v>
      </c>
      <c r="R357" s="174">
        <f t="shared" si="44"/>
        <v>60.22303964388766</v>
      </c>
      <c r="S357" s="174">
        <f t="shared" si="44"/>
        <v>54.443578019478899</v>
      </c>
      <c r="T357" s="174">
        <f t="shared" si="44"/>
        <v>48.847410947356749</v>
      </c>
      <c r="U357" s="174">
        <f t="shared" si="44"/>
        <v>43.42595481236431</v>
      </c>
      <c r="V357" s="174">
        <f t="shared" si="44"/>
        <v>38.171153718355924</v>
      </c>
      <c r="W357" s="174">
        <f t="shared" si="44"/>
        <v>33.075439547012046</v>
      </c>
      <c r="X357" s="174">
        <f t="shared" si="44"/>
        <v>32.620572097667583</v>
      </c>
      <c r="Y357" s="174">
        <f t="shared" si="44"/>
        <v>32.167673771480459</v>
      </c>
      <c r="Z357" s="174">
        <f t="shared" si="44"/>
        <v>31.71673180955332</v>
      </c>
      <c r="AA357" s="174">
        <f t="shared" si="44"/>
        <v>31.26773356297932</v>
      </c>
      <c r="AB357" s="174">
        <f t="shared" si="44"/>
        <v>30.820666491659392</v>
      </c>
      <c r="AC357" s="174">
        <f t="shared" si="44"/>
        <v>30.375518163134824</v>
      </c>
      <c r="AD357" s="174">
        <f t="shared" si="44"/>
        <v>29.932276251434786</v>
      </c>
      <c r="AE357" s="174">
        <f t="shared" si="44"/>
        <v>29.4909285359386</v>
      </c>
      <c r="AF357" s="174">
        <f t="shared" si="44"/>
        <v>29.051462900252613</v>
      </c>
      <c r="AG357" s="174">
        <f t="shared" si="44"/>
        <v>28.613867331101471</v>
      </c>
      <c r="AH357" s="174">
        <f t="shared" si="44"/>
        <v>28.178129917233356</v>
      </c>
      <c r="AI357" s="174">
        <f t="shared" si="44"/>
        <v>27.74423884833924</v>
      </c>
      <c r="AJ357" s="174">
        <f t="shared" si="44"/>
        <v>27.312182413985916</v>
      </c>
      <c r="AK357" s="174">
        <f t="shared" si="44"/>
        <v>26.881949002562347</v>
      </c>
      <c r="AL357" s="174">
        <f t="shared" si="44"/>
        <v>26.453527100239508</v>
      </c>
      <c r="AM357" s="174">
        <f t="shared" si="44"/>
        <v>26.02690528994324</v>
      </c>
      <c r="AN357" s="174">
        <f t="shared" si="44"/>
        <v>25.602072250340036</v>
      </c>
      <c r="AO357" s="174">
        <f t="shared" si="44"/>
        <v>25.179016754835587</v>
      </c>
      <c r="AP357" s="174">
        <f t="shared" si="44"/>
        <v>24.757727670585862</v>
      </c>
      <c r="AQ357" s="174">
        <f t="shared" si="44"/>
        <v>24.338193957520502</v>
      </c>
    </row>
    <row r="358" spans="7:43" ht="14.25" customHeight="1" x14ac:dyDescent="0.15">
      <c r="G358" s="22"/>
      <c r="H358" s="253"/>
      <c r="J358" s="241"/>
      <c r="K358" s="19" t="s">
        <v>134</v>
      </c>
      <c r="L358" s="174">
        <f t="shared" ref="L358:AQ359" si="45" xml:space="preserve"> ((L91 * L398 * $N$45 * (L197 * 1 + L326) +L229) * 1000 / (L101 * 8750)) + L261 + 0</f>
        <v>96.476799214682444</v>
      </c>
      <c r="M358" s="174">
        <f t="shared" si="45"/>
        <v>92.885284062638675</v>
      </c>
      <c r="N358" s="174">
        <f t="shared" si="45"/>
        <v>87.656716287273142</v>
      </c>
      <c r="O358" s="174">
        <f t="shared" si="45"/>
        <v>82.537470583810119</v>
      </c>
      <c r="P358" s="174">
        <f t="shared" si="45"/>
        <v>77.524153767182796</v>
      </c>
      <c r="Q358" s="174">
        <f t="shared" si="45"/>
        <v>72.613511639838919</v>
      </c>
      <c r="R358" s="174">
        <f t="shared" si="45"/>
        <v>67.802421947578011</v>
      </c>
      <c r="S358" s="174">
        <f t="shared" si="45"/>
        <v>63.087887759503744</v>
      </c>
      <c r="T358" s="174">
        <f t="shared" si="45"/>
        <v>58.467031242597066</v>
      </c>
      <c r="U358" s="174">
        <f t="shared" si="45"/>
        <v>53.937087803735842</v>
      </c>
      <c r="V358" s="174">
        <f t="shared" si="45"/>
        <v>49.495400574105034</v>
      </c>
      <c r="W358" s="174">
        <f t="shared" si="45"/>
        <v>45.139415212874866</v>
      </c>
      <c r="X358" s="174">
        <f t="shared" si="45"/>
        <v>44.494848261212859</v>
      </c>
      <c r="Y358" s="174">
        <f t="shared" si="45"/>
        <v>43.854917758502452</v>
      </c>
      <c r="Z358" s="174">
        <f t="shared" si="45"/>
        <v>43.219573858202871</v>
      </c>
      <c r="AA358" s="174">
        <f t="shared" si="45"/>
        <v>42.588767425756473</v>
      </c>
      <c r="AB358" s="174">
        <f t="shared" si="45"/>
        <v>41.962450025921974</v>
      </c>
      <c r="AC358" s="174">
        <f t="shared" si="45"/>
        <v>41.340573910377152</v>
      </c>
      <c r="AD358" s="174">
        <f t="shared" si="45"/>
        <v>40.723092005584313</v>
      </c>
      <c r="AE358" s="174">
        <f t="shared" si="45"/>
        <v>40.1099579009121</v>
      </c>
      <c r="AF358" s="174">
        <f t="shared" si="45"/>
        <v>39.501125837007315</v>
      </c>
      <c r="AG358" s="174">
        <f t="shared" si="45"/>
        <v>38.896550694410664</v>
      </c>
      <c r="AH358" s="174">
        <f t="shared" si="45"/>
        <v>38.296187982410494</v>
      </c>
      <c r="AI358" s="174">
        <f t="shared" si="45"/>
        <v>37.699993828128655</v>
      </c>
      <c r="AJ358" s="174">
        <f t="shared" si="45"/>
        <v>37.107924965832929</v>
      </c>
      <c r="AK358" s="174">
        <f t="shared" si="45"/>
        <v>36.519938726470585</v>
      </c>
      <c r="AL358" s="174">
        <f t="shared" si="45"/>
        <v>35.935993027417688</v>
      </c>
      <c r="AM358" s="174">
        <f t="shared" si="45"/>
        <v>35.356046362438981</v>
      </c>
      <c r="AN358" s="174">
        <f t="shared" si="45"/>
        <v>34.780057791853338</v>
      </c>
      <c r="AO358" s="174">
        <f t="shared" si="45"/>
        <v>34.207986932899985</v>
      </c>
      <c r="AP358" s="174">
        <f t="shared" si="45"/>
        <v>33.639793950300486</v>
      </c>
      <c r="AQ358" s="174">
        <f t="shared" si="45"/>
        <v>33.075439547012046</v>
      </c>
    </row>
    <row r="359" spans="7:43" ht="14.25" customHeight="1" x14ac:dyDescent="0.15">
      <c r="G359" s="22"/>
      <c r="H359" s="253"/>
      <c r="J359" s="241"/>
      <c r="K359" s="144" t="s">
        <v>135</v>
      </c>
      <c r="L359" s="174">
        <f t="shared" si="45"/>
        <v>96.476799214682444</v>
      </c>
      <c r="M359" s="174">
        <f t="shared" si="45"/>
        <v>93.887776109827072</v>
      </c>
      <c r="N359" s="174">
        <f t="shared" si="45"/>
        <v>92.396748136425273</v>
      </c>
      <c r="O359" s="174">
        <f t="shared" si="45"/>
        <v>90.905720163023489</v>
      </c>
      <c r="P359" s="174">
        <f t="shared" si="45"/>
        <v>89.414692189621704</v>
      </c>
      <c r="Q359" s="174">
        <f t="shared" si="45"/>
        <v>87.923664216219905</v>
      </c>
      <c r="R359" s="174">
        <f t="shared" si="45"/>
        <v>86.43263624281812</v>
      </c>
      <c r="S359" s="174">
        <f t="shared" si="45"/>
        <v>84.941608269416335</v>
      </c>
      <c r="T359" s="174">
        <f t="shared" si="45"/>
        <v>83.450580296014536</v>
      </c>
      <c r="U359" s="174">
        <f t="shared" si="45"/>
        <v>81.959552322612751</v>
      </c>
      <c r="V359" s="174">
        <f t="shared" si="45"/>
        <v>80.468524349210981</v>
      </c>
      <c r="W359" s="174">
        <f t="shared" si="45"/>
        <v>78.977496375809181</v>
      </c>
      <c r="X359" s="174">
        <f t="shared" si="45"/>
        <v>77.095897407764909</v>
      </c>
      <c r="Y359" s="174">
        <f t="shared" si="45"/>
        <v>75.236374835034454</v>
      </c>
      <c r="Z359" s="174">
        <f t="shared" si="45"/>
        <v>73.398542397187981</v>
      </c>
      <c r="AA359" s="174">
        <f t="shared" si="45"/>
        <v>71.582022792505953</v>
      </c>
      <c r="AB359" s="174">
        <f t="shared" si="45"/>
        <v>69.78644741974702</v>
      </c>
      <c r="AC359" s="174">
        <f t="shared" si="45"/>
        <v>68.011456128797334</v>
      </c>
      <c r="AD359" s="174">
        <f t="shared" si="45"/>
        <v>66.256696979846069</v>
      </c>
      <c r="AE359" s="174">
        <f t="shared" si="45"/>
        <v>64.521826010749649</v>
      </c>
      <c r="AF359" s="174">
        <f t="shared" si="45"/>
        <v>62.806507012261179</v>
      </c>
      <c r="AG359" s="174">
        <f t="shared" si="45"/>
        <v>61.110411310816907</v>
      </c>
      <c r="AH359" s="174">
        <f t="shared" si="45"/>
        <v>59.433217558584801</v>
      </c>
      <c r="AI359" s="174">
        <f t="shared" si="45"/>
        <v>57.774611530493445</v>
      </c>
      <c r="AJ359" s="174">
        <f t="shared" si="45"/>
        <v>56.134285927972321</v>
      </c>
      <c r="AK359" s="174">
        <f t="shared" si="45"/>
        <v>54.511940189145626</v>
      </c>
      <c r="AL359" s="174">
        <f t="shared" si="45"/>
        <v>52.907280305233563</v>
      </c>
      <c r="AM359" s="174">
        <f t="shared" si="45"/>
        <v>51.320018642925682</v>
      </c>
      <c r="AN359" s="174">
        <f t="shared" si="45"/>
        <v>49.749873772500521</v>
      </c>
      <c r="AO359" s="174">
        <f t="shared" si="45"/>
        <v>48.196570301476164</v>
      </c>
      <c r="AP359" s="174">
        <f t="shared" si="45"/>
        <v>46.659838713584989</v>
      </c>
      <c r="AQ359" s="174">
        <f t="shared" si="45"/>
        <v>45.139415212874866</v>
      </c>
    </row>
    <row r="360" spans="7:43" ht="14.25" customHeight="1" x14ac:dyDescent="0.15">
      <c r="G360" s="22"/>
      <c r="H360" s="253"/>
      <c r="J360" s="241"/>
      <c r="K360" s="140" t="s">
        <v>136</v>
      </c>
      <c r="L360" s="174">
        <f xml:space="preserve"> ((L90 * L397 * $N$45 * (L199 * 1 + L328) +L231) * 1000 / (L103 * 8750)) + L263 + 0</f>
        <v>87.760104227933553</v>
      </c>
      <c r="M360" s="174">
        <f t="shared" ref="M360:AQ360" si="46" xml:space="preserve"> ((M90 * M397 * $N$45 * (M199 * 1 + M328) +M231) * 1000 / (M103 * 8750)) + M263 + 0</f>
        <v>83.881597462105958</v>
      </c>
      <c r="N360" s="174">
        <f t="shared" si="46"/>
        <v>77.653680281942201</v>
      </c>
      <c r="O360" s="174">
        <f t="shared" si="46"/>
        <v>71.64028950104516</v>
      </c>
      <c r="P360" s="174">
        <f t="shared" si="46"/>
        <v>65.830528450364397</v>
      </c>
      <c r="Q360" s="174">
        <f t="shared" si="46"/>
        <v>60.214226155423745</v>
      </c>
      <c r="R360" s="174">
        <f t="shared" si="46"/>
        <v>54.781877913568081</v>
      </c>
      <c r="S360" s="174">
        <f t="shared" si="46"/>
        <v>49.524591616053094</v>
      </c>
      <c r="T360" s="174">
        <f t="shared" si="46"/>
        <v>44.434039177289883</v>
      </c>
      <c r="U360" s="174">
        <f t="shared" si="46"/>
        <v>39.502412513190336</v>
      </c>
      <c r="V360" s="174">
        <f t="shared" si="46"/>
        <v>34.722383579176402</v>
      </c>
      <c r="W360" s="174">
        <f t="shared" si="46"/>
        <v>30.087068037687771</v>
      </c>
      <c r="X360" s="174">
        <f t="shared" si="46"/>
        <v>29.673297938665982</v>
      </c>
      <c r="Y360" s="174">
        <f t="shared" si="46"/>
        <v>29.261319052194068</v>
      </c>
      <c r="Z360" s="174">
        <f t="shared" si="46"/>
        <v>28.851119772143207</v>
      </c>
      <c r="AA360" s="174">
        <f t="shared" si="46"/>
        <v>28.442688592437392</v>
      </c>
      <c r="AB360" s="174">
        <f t="shared" si="46"/>
        <v>28.036014105977614</v>
      </c>
      <c r="AC360" s="174">
        <f t="shared" si="46"/>
        <v>27.631085003579898</v>
      </c>
      <c r="AD360" s="174">
        <f t="shared" si="46"/>
        <v>27.227890072926929</v>
      </c>
      <c r="AE360" s="174">
        <f t="shared" si="46"/>
        <v>26.826418197533165</v>
      </c>
      <c r="AF360" s="174">
        <f t="shared" si="46"/>
        <v>26.426658355723163</v>
      </c>
      <c r="AG360" s="174">
        <f t="shared" si="46"/>
        <v>26.028599619622995</v>
      </c>
      <c r="AH360" s="174">
        <f t="shared" si="46"/>
        <v>25.632231154164444</v>
      </c>
      <c r="AI360" s="174">
        <f t="shared" si="46"/>
        <v>25.237542216101893</v>
      </c>
      <c r="AJ360" s="174">
        <f t="shared" si="46"/>
        <v>24.84452215304173</v>
      </c>
      <c r="AK360" s="174">
        <f t="shared" si="46"/>
        <v>24.453160402483928</v>
      </c>
      <c r="AL360" s="174">
        <f t="shared" si="46"/>
        <v>24.06344649087584</v>
      </c>
      <c r="AM360" s="174">
        <f t="shared" si="46"/>
        <v>23.675370032677872</v>
      </c>
      <c r="AN360" s="174">
        <f t="shared" si="46"/>
        <v>23.28892072944091</v>
      </c>
      <c r="AO360" s="174">
        <f t="shared" si="46"/>
        <v>22.904088368895305</v>
      </c>
      <c r="AP360" s="174">
        <f t="shared" si="46"/>
        <v>22.520862824051356</v>
      </c>
      <c r="AQ360" s="174">
        <f t="shared" si="46"/>
        <v>22.139234052310925</v>
      </c>
    </row>
    <row r="361" spans="7:43" ht="14.25" customHeight="1" x14ac:dyDescent="0.15">
      <c r="G361" s="22"/>
      <c r="H361" s="253"/>
      <c r="J361" s="241"/>
      <c r="K361" s="19" t="s">
        <v>137</v>
      </c>
      <c r="L361" s="174">
        <f t="shared" ref="L361:AQ362" si="47" xml:space="preserve"> ((L91 * L398 * $N$45 * (L200 * 1 + L329) +L232) * 1000 / (L104 * 8750)) + L264 + 0</f>
        <v>87.760104227933553</v>
      </c>
      <c r="M361" s="174">
        <f t="shared" si="47"/>
        <v>84.493083072119788</v>
      </c>
      <c r="N361" s="174">
        <f t="shared" si="47"/>
        <v>79.736917272010388</v>
      </c>
      <c r="O361" s="174">
        <f t="shared" si="47"/>
        <v>75.080196276275444</v>
      </c>
      <c r="P361" s="174">
        <f t="shared" si="47"/>
        <v>70.519833474687914</v>
      </c>
      <c r="Q361" s="174">
        <f t="shared" si="47"/>
        <v>66.052868686990081</v>
      </c>
      <c r="R361" s="174">
        <f t="shared" si="47"/>
        <v>61.676461755172028</v>
      </c>
      <c r="S361" s="174">
        <f t="shared" si="47"/>
        <v>57.387886521546456</v>
      </c>
      <c r="T361" s="174">
        <f t="shared" si="47"/>
        <v>53.184525165790149</v>
      </c>
      <c r="U361" s="174">
        <f t="shared" si="47"/>
        <v>49.063862876233138</v>
      </c>
      <c r="V361" s="174">
        <f t="shared" si="47"/>
        <v>45.023482832603335</v>
      </c>
      <c r="W361" s="174">
        <f t="shared" si="47"/>
        <v>41.061061479193341</v>
      </c>
      <c r="X361" s="174">
        <f t="shared" si="47"/>
        <v>40.474731259698139</v>
      </c>
      <c r="Y361" s="174">
        <f t="shared" si="47"/>
        <v>39.892618585214301</v>
      </c>
      <c r="Z361" s="174">
        <f t="shared" si="47"/>
        <v>39.314678112844362</v>
      </c>
      <c r="AA361" s="174">
        <f t="shared" si="47"/>
        <v>38.740865147346213</v>
      </c>
      <c r="AB361" s="174">
        <f t="shared" si="47"/>
        <v>38.171135629610731</v>
      </c>
      <c r="AC361" s="174">
        <f t="shared" si="47"/>
        <v>37.605446125384617</v>
      </c>
      <c r="AD361" s="174">
        <f t="shared" si="47"/>
        <v>37.043753814232204</v>
      </c>
      <c r="AE361" s="174">
        <f t="shared" si="47"/>
        <v>36.486016478730463</v>
      </c>
      <c r="AF361" s="174">
        <f t="shared" si="47"/>
        <v>35.932192493891407</v>
      </c>
      <c r="AG361" s="174">
        <f t="shared" si="47"/>
        <v>35.382240816806487</v>
      </c>
      <c r="AH361" s="174">
        <f t="shared" si="47"/>
        <v>34.836120976507296</v>
      </c>
      <c r="AI361" s="174">
        <f t="shared" si="47"/>
        <v>34.29379306403758</v>
      </c>
      <c r="AJ361" s="174">
        <f t="shared" si="47"/>
        <v>33.755217722731281</v>
      </c>
      <c r="AK361" s="174">
        <f t="shared" si="47"/>
        <v>33.220356138691734</v>
      </c>
      <c r="AL361" s="174">
        <f t="shared" si="47"/>
        <v>32.68917003146715</v>
      </c>
      <c r="AM361" s="174">
        <f t="shared" si="47"/>
        <v>32.16162164491756</v>
      </c>
      <c r="AN361" s="174">
        <f t="shared" si="47"/>
        <v>31.637673738268912</v>
      </c>
      <c r="AO361" s="174">
        <f t="shared" si="47"/>
        <v>31.117289577349645</v>
      </c>
      <c r="AP361" s="174">
        <f t="shared" si="47"/>
        <v>30.600432926005389</v>
      </c>
      <c r="AQ361" s="174">
        <f t="shared" si="47"/>
        <v>30.087068037687771</v>
      </c>
    </row>
    <row r="362" spans="7:43" ht="14.25" customHeight="1" x14ac:dyDescent="0.15">
      <c r="G362" s="22"/>
      <c r="H362" s="253"/>
      <c r="J362" s="241"/>
      <c r="K362" s="144" t="s">
        <v>138</v>
      </c>
      <c r="L362" s="174">
        <f t="shared" si="47"/>
        <v>87.760104227933553</v>
      </c>
      <c r="M362" s="174">
        <f t="shared" si="47"/>
        <v>85.40499979474194</v>
      </c>
      <c r="N362" s="174">
        <f t="shared" si="47"/>
        <v>84.048686448759881</v>
      </c>
      <c r="O362" s="174">
        <f t="shared" si="47"/>
        <v>82.692373102777822</v>
      </c>
      <c r="P362" s="174">
        <f t="shared" si="47"/>
        <v>81.336059756795748</v>
      </c>
      <c r="Q362" s="174">
        <f t="shared" si="47"/>
        <v>79.979746410813689</v>
      </c>
      <c r="R362" s="174">
        <f t="shared" si="47"/>
        <v>78.62343306483163</v>
      </c>
      <c r="S362" s="174">
        <f t="shared" si="47"/>
        <v>77.267119718849571</v>
      </c>
      <c r="T362" s="174">
        <f t="shared" si="47"/>
        <v>75.910806372867498</v>
      </c>
      <c r="U362" s="174">
        <f t="shared" si="47"/>
        <v>74.554493026885439</v>
      </c>
      <c r="V362" s="174">
        <f t="shared" si="47"/>
        <v>73.198179680903394</v>
      </c>
      <c r="W362" s="174">
        <f t="shared" si="47"/>
        <v>71.84186633492132</v>
      </c>
      <c r="X362" s="174">
        <f t="shared" si="47"/>
        <v>70.130270149155578</v>
      </c>
      <c r="Y362" s="174">
        <f t="shared" si="47"/>
        <v>68.438755752685182</v>
      </c>
      <c r="Z362" s="174">
        <f t="shared" si="47"/>
        <v>66.766971783774878</v>
      </c>
      <c r="AA362" s="174">
        <f t="shared" si="47"/>
        <v>65.114575029978766</v>
      </c>
      <c r="AB362" s="174">
        <f t="shared" si="47"/>
        <v>63.481230193239476</v>
      </c>
      <c r="AC362" s="174">
        <f t="shared" si="47"/>
        <v>61.86660966306632</v>
      </c>
      <c r="AD362" s="174">
        <f t="shared" si="47"/>
        <v>60.270393297469418</v>
      </c>
      <c r="AE362" s="174">
        <f t="shared" si="47"/>
        <v>58.692268211342522</v>
      </c>
      <c r="AF362" s="174">
        <f t="shared" si="47"/>
        <v>57.131928572000589</v>
      </c>
      <c r="AG362" s="174">
        <f t="shared" si="47"/>
        <v>55.589075401591444</v>
      </c>
      <c r="AH362" s="174">
        <f t="shared" si="47"/>
        <v>54.063416386113566</v>
      </c>
      <c r="AI362" s="174">
        <f t="shared" si="47"/>
        <v>52.554665690783445</v>
      </c>
      <c r="AJ362" s="174">
        <f t="shared" si="47"/>
        <v>51.062543781507934</v>
      </c>
      <c r="AK362" s="174">
        <f t="shared" si="47"/>
        <v>49.586777252227108</v>
      </c>
      <c r="AL362" s="174">
        <f t="shared" si="47"/>
        <v>48.127098657903737</v>
      </c>
      <c r="AM362" s="174">
        <f t="shared" si="47"/>
        <v>46.683246352945176</v>
      </c>
      <c r="AN362" s="174">
        <f t="shared" si="47"/>
        <v>45.254964334852509</v>
      </c>
      <c r="AO362" s="174">
        <f t="shared" si="47"/>
        <v>43.842002092900742</v>
      </c>
      <c r="AP362" s="174">
        <f t="shared" si="47"/>
        <v>42.444114461662217</v>
      </c>
      <c r="AQ362" s="174">
        <f t="shared" si="47"/>
        <v>41.061061479193341</v>
      </c>
    </row>
    <row r="363" spans="7:43" ht="14.25" customHeight="1" x14ac:dyDescent="0.15">
      <c r="G363" s="22"/>
      <c r="H363" s="253"/>
      <c r="J363" s="241"/>
      <c r="K363" s="140" t="s">
        <v>139</v>
      </c>
      <c r="L363" s="174">
        <f xml:space="preserve"> ((L90 * L397 * $N$45 * (L202 * 1 + L331) +L234) * 1000 / (L106 * 8750)) + L266 + 0</f>
        <v>84.240080095363723</v>
      </c>
      <c r="M363" s="174">
        <f t="shared" ref="M363:AQ363" si="48" xml:space="preserve"> ((M90 * M397 * $N$45 * (M202 * 1 + M331) +M234) * 1000 / (M106 * 8750)) + M266 + 0</f>
        <v>80.517138748859125</v>
      </c>
      <c r="N363" s="174">
        <f t="shared" si="48"/>
        <v>74.539020938952333</v>
      </c>
      <c r="O363" s="174">
        <f t="shared" si="48"/>
        <v>68.766824956689007</v>
      </c>
      <c r="P363" s="174">
        <f t="shared" si="48"/>
        <v>63.190091194236444</v>
      </c>
      <c r="Q363" s="174">
        <f t="shared" si="48"/>
        <v>57.799056631005101</v>
      </c>
      <c r="R363" s="174">
        <f t="shared" si="48"/>
        <v>52.58459779431913</v>
      </c>
      <c r="S363" s="174">
        <f t="shared" si="48"/>
        <v>47.538179234506657</v>
      </c>
      <c r="T363" s="174">
        <f t="shared" si="48"/>
        <v>42.651806902298695</v>
      </c>
      <c r="U363" s="174">
        <f t="shared" si="48"/>
        <v>37.917985892866199</v>
      </c>
      <c r="V363" s="174">
        <f t="shared" si="48"/>
        <v>33.329682086689516</v>
      </c>
      <c r="W363" s="174">
        <f t="shared" si="48"/>
        <v>28.880287274348373</v>
      </c>
      <c r="X363" s="174">
        <f t="shared" si="48"/>
        <v>28.483113335355174</v>
      </c>
      <c r="Y363" s="174">
        <f t="shared" si="48"/>
        <v>28.087658764063242</v>
      </c>
      <c r="Z363" s="174">
        <f t="shared" si="48"/>
        <v>27.693912419861132</v>
      </c>
      <c r="AA363" s="174">
        <f t="shared" si="48"/>
        <v>27.301863258177132</v>
      </c>
      <c r="AB363" s="174">
        <f t="shared" si="48"/>
        <v>26.911500329446611</v>
      </c>
      <c r="AC363" s="174">
        <f t="shared" si="48"/>
        <v>26.522812778092607</v>
      </c>
      <c r="AD363" s="174">
        <f t="shared" si="48"/>
        <v>26.135789841519571</v>
      </c>
      <c r="AE363" s="174">
        <f t="shared" si="48"/>
        <v>25.750420849119926</v>
      </c>
      <c r="AF363" s="174">
        <f t="shared" si="48"/>
        <v>25.366695221293405</v>
      </c>
      <c r="AG363" s="174">
        <f t="shared" si="48"/>
        <v>24.984602468478922</v>
      </c>
      <c r="AH363" s="174">
        <f t="shared" si="48"/>
        <v>24.604132190198687</v>
      </c>
      <c r="AI363" s="174">
        <f t="shared" si="48"/>
        <v>24.225274074114537</v>
      </c>
      <c r="AJ363" s="174">
        <f t="shared" si="48"/>
        <v>23.848017895096294</v>
      </c>
      <c r="AK363" s="174">
        <f t="shared" si="48"/>
        <v>23.472353514301755</v>
      </c>
      <c r="AL363" s="174">
        <f t="shared" si="48"/>
        <v>23.098270878268448</v>
      </c>
      <c r="AM363" s="174">
        <f t="shared" si="48"/>
        <v>22.725760018016803</v>
      </c>
      <c r="AN363" s="174">
        <f t="shared" si="48"/>
        <v>22.354811048164539</v>
      </c>
      <c r="AO363" s="174">
        <f t="shared" si="48"/>
        <v>21.985414166052234</v>
      </c>
      <c r="AP363" s="174">
        <f t="shared" si="48"/>
        <v>21.617559650879862</v>
      </c>
      <c r="AQ363" s="174">
        <f t="shared" si="48"/>
        <v>21.251237862854019</v>
      </c>
    </row>
    <row r="364" spans="7:43" ht="14.25" customHeight="1" x14ac:dyDescent="0.15">
      <c r="G364" s="22"/>
      <c r="H364" s="253"/>
      <c r="J364" s="241"/>
      <c r="K364" s="19" t="s">
        <v>140</v>
      </c>
      <c r="L364" s="174">
        <f t="shared" ref="L364:AQ365" si="49" xml:space="preserve"> ((L91 * L398 * $N$45 * (L203 * 1 + L332) +L235) * 1000 / (L107 * 8750)) + L267 + 0</f>
        <v>84.240080095363723</v>
      </c>
      <c r="M364" s="174">
        <f t="shared" si="49"/>
        <v>81.104097905504403</v>
      </c>
      <c r="N364" s="174">
        <f t="shared" si="49"/>
        <v>76.538700092080674</v>
      </c>
      <c r="O364" s="174">
        <f t="shared" si="49"/>
        <v>72.06875839005599</v>
      </c>
      <c r="P364" s="174">
        <f t="shared" si="49"/>
        <v>67.691309991956061</v>
      </c>
      <c r="Q364" s="174">
        <f t="shared" si="49"/>
        <v>63.403513449218359</v>
      </c>
      <c r="R364" s="174">
        <f t="shared" si="49"/>
        <v>59.202642521481792</v>
      </c>
      <c r="S364" s="174">
        <f t="shared" si="49"/>
        <v>55.086080396198668</v>
      </c>
      <c r="T364" s="174">
        <f t="shared" si="49"/>
        <v>51.051314252815231</v>
      </c>
      <c r="U364" s="174">
        <f t="shared" si="49"/>
        <v>47.095930147793389</v>
      </c>
      <c r="V364" s="174">
        <f t="shared" si="49"/>
        <v>43.21760819859557</v>
      </c>
      <c r="W364" s="174">
        <f t="shared" si="49"/>
        <v>39.414118046442859</v>
      </c>
      <c r="X364" s="174">
        <f t="shared" si="49"/>
        <v>38.85130530724733</v>
      </c>
      <c r="Y364" s="174">
        <f t="shared" si="49"/>
        <v>38.292540948949814</v>
      </c>
      <c r="Z364" s="174">
        <f t="shared" si="49"/>
        <v>37.737781447339067</v>
      </c>
      <c r="AA364" s="174">
        <f t="shared" si="49"/>
        <v>37.186983899881994</v>
      </c>
      <c r="AB364" s="174">
        <f t="shared" si="49"/>
        <v>36.640106014663466</v>
      </c>
      <c r="AC364" s="174">
        <f t="shared" si="49"/>
        <v>36.097106099561429</v>
      </c>
      <c r="AD364" s="174">
        <f t="shared" si="49"/>
        <v>35.557943051651456</v>
      </c>
      <c r="AE364" s="174">
        <f t="shared" si="49"/>
        <v>35.022576346835187</v>
      </c>
      <c r="AF364" s="174">
        <f t="shared" si="49"/>
        <v>34.490966029686938</v>
      </c>
      <c r="AG364" s="174">
        <f t="shared" si="49"/>
        <v>33.963072703513483</v>
      </c>
      <c r="AH364" s="174">
        <f t="shared" si="49"/>
        <v>33.438857520621433</v>
      </c>
      <c r="AI364" s="174">
        <f t="shared" si="49"/>
        <v>32.918282172787478</v>
      </c>
      <c r="AJ364" s="174">
        <f t="shared" si="49"/>
        <v>32.401308881926347</v>
      </c>
      <c r="AK364" s="174">
        <f t="shared" si="49"/>
        <v>31.887900390951899</v>
      </c>
      <c r="AL364" s="174">
        <f t="shared" si="49"/>
        <v>31.378019954826559</v>
      </c>
      <c r="AM364" s="174">
        <f t="shared" si="49"/>
        <v>30.871631331794685</v>
      </c>
      <c r="AN364" s="174">
        <f t="shared" si="49"/>
        <v>30.36869877479538</v>
      </c>
      <c r="AO364" s="174">
        <f t="shared" si="49"/>
        <v>29.869187023050621</v>
      </c>
      <c r="AP364" s="174">
        <f t="shared" si="49"/>
        <v>29.373061293824303</v>
      </c>
      <c r="AQ364" s="174">
        <f t="shared" si="49"/>
        <v>28.880287274348373</v>
      </c>
    </row>
    <row r="365" spans="7:43" ht="14.25" customHeight="1" x14ac:dyDescent="0.15">
      <c r="G365" s="22"/>
      <c r="H365" s="253"/>
      <c r="J365" s="241"/>
      <c r="K365" s="144" t="s">
        <v>141</v>
      </c>
      <c r="L365" s="174">
        <f t="shared" si="49"/>
        <v>84.240080095363723</v>
      </c>
      <c r="M365" s="174">
        <f t="shared" si="49"/>
        <v>81.979437998019222</v>
      </c>
      <c r="N365" s="174">
        <f t="shared" si="49"/>
        <v>80.677525860321765</v>
      </c>
      <c r="O365" s="174">
        <f t="shared" si="49"/>
        <v>79.375613722624337</v>
      </c>
      <c r="P365" s="174">
        <f t="shared" si="49"/>
        <v>78.07370158492688</v>
      </c>
      <c r="Q365" s="174">
        <f t="shared" si="49"/>
        <v>76.771789447229423</v>
      </c>
      <c r="R365" s="174">
        <f t="shared" si="49"/>
        <v>75.469877309531995</v>
      </c>
      <c r="S365" s="174">
        <f t="shared" si="49"/>
        <v>74.167965171834538</v>
      </c>
      <c r="T365" s="174">
        <f t="shared" si="49"/>
        <v>72.866053034137082</v>
      </c>
      <c r="U365" s="174">
        <f t="shared" si="49"/>
        <v>71.564140896439653</v>
      </c>
      <c r="V365" s="174">
        <f t="shared" si="49"/>
        <v>70.262228758742211</v>
      </c>
      <c r="W365" s="174">
        <f t="shared" si="49"/>
        <v>68.960316621044754</v>
      </c>
      <c r="X365" s="174">
        <f t="shared" si="49"/>
        <v>67.317371902048734</v>
      </c>
      <c r="Y365" s="174">
        <f t="shared" si="49"/>
        <v>65.693703499478929</v>
      </c>
      <c r="Z365" s="174">
        <f t="shared" si="49"/>
        <v>64.08897414458464</v>
      </c>
      <c r="AA365" s="174">
        <f t="shared" si="49"/>
        <v>62.50285439103952</v>
      </c>
      <c r="AB365" s="174">
        <f t="shared" si="49"/>
        <v>60.935022389462766</v>
      </c>
      <c r="AC365" s="174">
        <f t="shared" si="49"/>
        <v>59.385163669694847</v>
      </c>
      <c r="AD365" s="174">
        <f t="shared" si="49"/>
        <v>57.852970930518339</v>
      </c>
      <c r="AE365" s="174">
        <f t="shared" si="49"/>
        <v>56.338143836528651</v>
      </c>
      <c r="AF365" s="174">
        <f t="shared" si="49"/>
        <v>54.84038882187248</v>
      </c>
      <c r="AG365" s="174">
        <f t="shared" si="49"/>
        <v>53.359418900584686</v>
      </c>
      <c r="AH365" s="174">
        <f t="shared" si="49"/>
        <v>51.894953483266242</v>
      </c>
      <c r="AI365" s="174">
        <f t="shared" si="49"/>
        <v>50.446718199857251</v>
      </c>
      <c r="AJ365" s="174">
        <f t="shared" si="49"/>
        <v>49.014444728269837</v>
      </c>
      <c r="AK365" s="174">
        <f t="shared" si="49"/>
        <v>47.597870628656317</v>
      </c>
      <c r="AL365" s="174">
        <f t="shared" si="49"/>
        <v>46.196739183097364</v>
      </c>
      <c r="AM365" s="174">
        <f t="shared" si="49"/>
        <v>44.81079924050475</v>
      </c>
      <c r="AN365" s="174">
        <f t="shared" si="49"/>
        <v>43.439805066541616</v>
      </c>
      <c r="AO365" s="174">
        <f t="shared" si="49"/>
        <v>42.083516198372116</v>
      </c>
      <c r="AP365" s="174">
        <f t="shared" si="49"/>
        <v>40.74169730405989</v>
      </c>
      <c r="AQ365" s="174">
        <f t="shared" si="49"/>
        <v>39.414118046442859</v>
      </c>
    </row>
    <row r="366" spans="7:43" ht="14.25" customHeight="1" x14ac:dyDescent="0.15">
      <c r="G366" s="22"/>
      <c r="H366" s="253"/>
      <c r="J366" s="241"/>
      <c r="K366" s="140" t="s">
        <v>142</v>
      </c>
      <c r="L366" s="174">
        <f xml:space="preserve"> ((L90 * L397 * $N$45 * (L205 * 1 + L334) +L237) * 1000 / (L109 * 8750)) + L269 + 0</f>
        <v>80.005490789150059</v>
      </c>
      <c r="M366" s="174">
        <f t="shared" ref="M366:AQ366" si="50" xml:space="preserve"> ((M90 * M397 * $N$45 * (M205 * 1 + M334) +M237) * 1000 / (M109 * 8750)) + M269 + 0</f>
        <v>76.469694654232669</v>
      </c>
      <c r="N366" s="174">
        <f t="shared" si="50"/>
        <v>70.792085506241435</v>
      </c>
      <c r="O366" s="174">
        <f t="shared" si="50"/>
        <v>65.310046885559345</v>
      </c>
      <c r="P366" s="174">
        <f t="shared" si="50"/>
        <v>60.013644969032718</v>
      </c>
      <c r="Q366" s="174">
        <f t="shared" si="50"/>
        <v>54.89360750462945</v>
      </c>
      <c r="R366" s="174">
        <f t="shared" si="50"/>
        <v>49.941269639368549</v>
      </c>
      <c r="S366" s="174">
        <f t="shared" si="50"/>
        <v>45.148524984470086</v>
      </c>
      <c r="T366" s="174">
        <f t="shared" si="50"/>
        <v>40.507781336384006</v>
      </c>
      <c r="U366" s="174">
        <f t="shared" si="50"/>
        <v>36.011920544954386</v>
      </c>
      <c r="V366" s="174">
        <f t="shared" si="50"/>
        <v>31.654262082529744</v>
      </c>
      <c r="W366" s="174">
        <f t="shared" si="50"/>
        <v>27.428529921863788</v>
      </c>
      <c r="X366" s="174">
        <f t="shared" si="50"/>
        <v>27.051321164680289</v>
      </c>
      <c r="Y366" s="174">
        <f t="shared" si="50"/>
        <v>26.675745345839577</v>
      </c>
      <c r="Z366" s="174">
        <f t="shared" si="50"/>
        <v>26.301791884747637</v>
      </c>
      <c r="AA366" s="174">
        <f t="shared" si="50"/>
        <v>25.929450292022469</v>
      </c>
      <c r="AB366" s="174">
        <f t="shared" si="50"/>
        <v>25.558710168513326</v>
      </c>
      <c r="AC366" s="174">
        <f t="shared" si="50"/>
        <v>25.189561204332538</v>
      </c>
      <c r="AD366" s="174">
        <f t="shared" si="50"/>
        <v>24.821993177899859</v>
      </c>
      <c r="AE366" s="174">
        <f t="shared" si="50"/>
        <v>24.455995954998947</v>
      </c>
      <c r="AF366" s="174">
        <f t="shared" si="50"/>
        <v>24.091559487846006</v>
      </c>
      <c r="AG366" s="174">
        <f t="shared" si="50"/>
        <v>23.728673814170314</v>
      </c>
      <c r="AH366" s="174">
        <f t="shared" si="50"/>
        <v>23.367329056306414</v>
      </c>
      <c r="AI366" s="174">
        <f t="shared" si="50"/>
        <v>23.007515420297857</v>
      </c>
      <c r="AJ366" s="174">
        <f t="shared" si="50"/>
        <v>22.649223195012386</v>
      </c>
      <c r="AK366" s="174">
        <f t="shared" si="50"/>
        <v>22.292442751268201</v>
      </c>
      <c r="AL366" s="174">
        <f t="shared" si="50"/>
        <v>21.937164540971363</v>
      </c>
      <c r="AM366" s="174">
        <f t="shared" si="50"/>
        <v>21.583379096264011</v>
      </c>
      <c r="AN366" s="174">
        <f t="shared" si="50"/>
        <v>21.231077028683313</v>
      </c>
      <c r="AO366" s="174">
        <f t="shared" si="50"/>
        <v>20.880249028330979</v>
      </c>
      <c r="AP366" s="174">
        <f t="shared" si="50"/>
        <v>20.530885863053197</v>
      </c>
      <c r="AQ366" s="174">
        <f t="shared" si="50"/>
        <v>20.182978377630693</v>
      </c>
    </row>
    <row r="367" spans="7:43" ht="14.25" customHeight="1" x14ac:dyDescent="0.15">
      <c r="G367" s="22"/>
      <c r="H367" s="253"/>
      <c r="J367" s="241"/>
      <c r="K367" s="19" t="s">
        <v>143</v>
      </c>
      <c r="L367" s="174">
        <f t="shared" ref="L367:AQ368" si="51" xml:space="preserve"> ((L91 * L398 * $N$45 * (L206 * 1 + L335) +L238) * 1000 / (L110 * 8750)) + L270 + 0</f>
        <v>80.005490789150059</v>
      </c>
      <c r="M367" s="174">
        <f t="shared" si="51"/>
        <v>77.02714848556127</v>
      </c>
      <c r="N367" s="174">
        <f t="shared" si="51"/>
        <v>72.691244575009549</v>
      </c>
      <c r="O367" s="174">
        <f t="shared" si="51"/>
        <v>68.445998377896117</v>
      </c>
      <c r="P367" s="174">
        <f t="shared" si="51"/>
        <v>64.288596021467939</v>
      </c>
      <c r="Q367" s="174">
        <f t="shared" si="51"/>
        <v>60.21633889140103</v>
      </c>
      <c r="R367" s="174">
        <f t="shared" si="51"/>
        <v>56.226637790274779</v>
      </c>
      <c r="S367" s="174">
        <f t="shared" si="51"/>
        <v>52.317007447752935</v>
      </c>
      <c r="T367" s="174">
        <f t="shared" si="51"/>
        <v>48.485061358012643</v>
      </c>
      <c r="U367" s="174">
        <f t="shared" si="51"/>
        <v>44.728506921886336</v>
      </c>
      <c r="V367" s="174">
        <f t="shared" si="51"/>
        <v>41.045140872938546</v>
      </c>
      <c r="W367" s="174">
        <f t="shared" si="51"/>
        <v>37.432844968302746</v>
      </c>
      <c r="X367" s="174">
        <f t="shared" si="51"/>
        <v>36.898323759743235</v>
      </c>
      <c r="Y367" s="174">
        <f t="shared" si="51"/>
        <v>36.367647427640151</v>
      </c>
      <c r="Z367" s="174">
        <f t="shared" si="51"/>
        <v>35.840774635661944</v>
      </c>
      <c r="AA367" s="174">
        <f t="shared" si="51"/>
        <v>35.317664637904613</v>
      </c>
      <c r="AB367" s="174">
        <f t="shared" si="51"/>
        <v>34.798277268387515</v>
      </c>
      <c r="AC367" s="174">
        <f t="shared" si="51"/>
        <v>34.282572930772616</v>
      </c>
      <c r="AD367" s="174">
        <f t="shared" si="51"/>
        <v>33.770512588301678</v>
      </c>
      <c r="AE367" s="174">
        <f t="shared" si="51"/>
        <v>33.26205775394601</v>
      </c>
      <c r="AF367" s="174">
        <f t="shared" si="51"/>
        <v>32.757170480763541</v>
      </c>
      <c r="AG367" s="174">
        <f t="shared" si="51"/>
        <v>32.25581335245819</v>
      </c>
      <c r="AH367" s="174">
        <f t="shared" si="51"/>
        <v>31.757949474136566</v>
      </c>
      <c r="AI367" s="174">
        <f t="shared" si="51"/>
        <v>31.263542463257188</v>
      </c>
      <c r="AJ367" s="174">
        <f t="shared" si="51"/>
        <v>30.772556440767602</v>
      </c>
      <c r="AK367" s="174">
        <f t="shared" si="51"/>
        <v>30.284956022424836</v>
      </c>
      <c r="AL367" s="174">
        <f t="shared" si="51"/>
        <v>29.800706310294771</v>
      </c>
      <c r="AM367" s="174">
        <f t="shared" si="51"/>
        <v>29.31977288442619</v>
      </c>
      <c r="AN367" s="174">
        <f t="shared" si="51"/>
        <v>28.842121794695252</v>
      </c>
      <c r="AO367" s="174">
        <f t="shared" si="51"/>
        <v>28.367719552816485</v>
      </c>
      <c r="AP367" s="174">
        <f t="shared" si="51"/>
        <v>27.896533124516054</v>
      </c>
      <c r="AQ367" s="174">
        <f t="shared" si="51"/>
        <v>27.428529921863788</v>
      </c>
    </row>
    <row r="368" spans="7:43" ht="14.25" customHeight="1" x14ac:dyDescent="0.15">
      <c r="G368" s="22"/>
      <c r="H368" s="253"/>
      <c r="J368" s="241"/>
      <c r="K368" s="144" t="s">
        <v>144</v>
      </c>
      <c r="L368" s="174">
        <f t="shared" si="51"/>
        <v>80.005490789150059</v>
      </c>
      <c r="M368" s="174">
        <f t="shared" si="51"/>
        <v>77.858486889202268</v>
      </c>
      <c r="N368" s="174">
        <f t="shared" si="51"/>
        <v>76.622019409317133</v>
      </c>
      <c r="O368" s="174">
        <f t="shared" si="51"/>
        <v>75.385551929432012</v>
      </c>
      <c r="P368" s="174">
        <f t="shared" si="51"/>
        <v>74.149084449546876</v>
      </c>
      <c r="Q368" s="174">
        <f t="shared" si="51"/>
        <v>72.912616969661741</v>
      </c>
      <c r="R368" s="174">
        <f t="shared" si="51"/>
        <v>71.67614948977662</v>
      </c>
      <c r="S368" s="174">
        <f t="shared" si="51"/>
        <v>70.439682009891484</v>
      </c>
      <c r="T368" s="174">
        <f t="shared" si="51"/>
        <v>69.203214530006363</v>
      </c>
      <c r="U368" s="174">
        <f t="shared" si="51"/>
        <v>67.966747050121242</v>
      </c>
      <c r="V368" s="174">
        <f t="shared" si="51"/>
        <v>66.730279570236121</v>
      </c>
      <c r="W368" s="174">
        <f t="shared" si="51"/>
        <v>65.493812090350985</v>
      </c>
      <c r="X368" s="174">
        <f t="shared" si="51"/>
        <v>63.93345509123705</v>
      </c>
      <c r="Y368" s="174">
        <f t="shared" si="51"/>
        <v>62.391405424624942</v>
      </c>
      <c r="Z368" s="174">
        <f t="shared" si="51"/>
        <v>60.867342775625382</v>
      </c>
      <c r="AA368" s="174">
        <f t="shared" si="51"/>
        <v>59.360954258555026</v>
      </c>
      <c r="AB368" s="174">
        <f t="shared" si="51"/>
        <v>57.871934202791948</v>
      </c>
      <c r="AC368" s="174">
        <f t="shared" si="51"/>
        <v>56.399983945996048</v>
      </c>
      <c r="AD368" s="174">
        <f t="shared" si="51"/>
        <v>54.944811634400217</v>
      </c>
      <c r="AE368" s="174">
        <f t="shared" si="51"/>
        <v>53.506132029891894</v>
      </c>
      <c r="AF368" s="174">
        <f t="shared" si="51"/>
        <v>52.083666323617315</v>
      </c>
      <c r="AG368" s="174">
        <f t="shared" si="51"/>
        <v>50.67714195585237</v>
      </c>
      <c r="AH368" s="174">
        <f t="shared" si="51"/>
        <v>49.286292441895803</v>
      </c>
      <c r="AI368" s="174">
        <f t="shared" si="51"/>
        <v>47.910857203751029</v>
      </c>
      <c r="AJ368" s="174">
        <f t="shared" si="51"/>
        <v>46.550581407373457</v>
      </c>
      <c r="AK368" s="174">
        <f t="shared" si="51"/>
        <v>45.205215805269582</v>
      </c>
      <c r="AL368" s="174">
        <f t="shared" si="51"/>
        <v>43.874516584243729</v>
      </c>
      <c r="AM368" s="174">
        <f t="shared" si="51"/>
        <v>42.558245218097298</v>
      </c>
      <c r="AN368" s="174">
        <f t="shared" si="51"/>
        <v>41.256168325093228</v>
      </c>
      <c r="AO368" s="174">
        <f t="shared" si="51"/>
        <v>39.968057530007052</v>
      </c>
      <c r="AP368" s="174">
        <f t="shared" si="51"/>
        <v>38.69368933059323</v>
      </c>
      <c r="AQ368" s="174">
        <f t="shared" si="51"/>
        <v>37.432844968302746</v>
      </c>
    </row>
    <row r="369" spans="7:43" ht="14.25" customHeight="1" x14ac:dyDescent="0.15">
      <c r="G369" s="22"/>
      <c r="H369" s="253"/>
      <c r="J369" s="241"/>
      <c r="K369" s="140" t="s">
        <v>145</v>
      </c>
      <c r="L369" s="174">
        <f xml:space="preserve"> ((L90 * L397 * $N$45 * (L208 * 1 + L337) +L240) * 1000 / (L112 * 8750)) + L272 + 0</f>
        <v>76.229236901569493</v>
      </c>
      <c r="M369" s="174">
        <f t="shared" ref="M369:AQ369" si="52" xml:space="preserve"> ((M90 * M397 * $N$45 * (M208 * 1 + M337) +M240) * 1000 / (M112 * 8750)) + M272 + 0</f>
        <v>72.860330110976776</v>
      </c>
      <c r="N369" s="174">
        <f t="shared" si="52"/>
        <v>67.450703740239774</v>
      </c>
      <c r="O369" s="174">
        <f t="shared" si="52"/>
        <v>62.227416980823982</v>
      </c>
      <c r="P369" s="174">
        <f t="shared" si="52"/>
        <v>57.181004885373312</v>
      </c>
      <c r="Q369" s="174">
        <f t="shared" si="52"/>
        <v>52.302632851539876</v>
      </c>
      <c r="R369" s="174">
        <f t="shared" si="52"/>
        <v>47.584045006831815</v>
      </c>
      <c r="S369" s="174">
        <f t="shared" si="52"/>
        <v>43.017517583484853</v>
      </c>
      <c r="T369" s="174">
        <f t="shared" si="52"/>
        <v>38.595816729455684</v>
      </c>
      <c r="U369" s="174">
        <f t="shared" si="52"/>
        <v>34.312160270806181</v>
      </c>
      <c r="V369" s="174">
        <f t="shared" si="52"/>
        <v>30.160183000349317</v>
      </c>
      <c r="W369" s="174">
        <f t="shared" si="52"/>
        <v>26.133905118910835</v>
      </c>
      <c r="X369" s="174">
        <f t="shared" si="52"/>
        <v>25.774500590183322</v>
      </c>
      <c r="Y369" s="174">
        <f t="shared" si="52"/>
        <v>25.416651925216534</v>
      </c>
      <c r="Z369" s="174">
        <f t="shared" si="52"/>
        <v>25.060349042819801</v>
      </c>
      <c r="AA369" s="174">
        <f t="shared" si="52"/>
        <v>24.705581948709263</v>
      </c>
      <c r="AB369" s="174">
        <f t="shared" si="52"/>
        <v>24.352340734573389</v>
      </c>
      <c r="AC369" s="174">
        <f t="shared" si="52"/>
        <v>24.000615577150537</v>
      </c>
      <c r="AD369" s="174">
        <f t="shared" si="52"/>
        <v>23.650396737318371</v>
      </c>
      <c r="AE369" s="174">
        <f t="shared" si="52"/>
        <v>23.301674559194897</v>
      </c>
      <c r="AF369" s="174">
        <f t="shared" si="52"/>
        <v>22.954439469251035</v>
      </c>
      <c r="AG369" s="174">
        <f t="shared" si="52"/>
        <v>22.608681975434607</v>
      </c>
      <c r="AH369" s="174">
        <f t="shared" si="52"/>
        <v>22.264392666305298</v>
      </c>
      <c r="AI369" s="174">
        <f t="shared" si="52"/>
        <v>21.921562210180767</v>
      </c>
      <c r="AJ369" s="174">
        <f t="shared" si="52"/>
        <v>21.580181354293554</v>
      </c>
      <c r="AK369" s="174">
        <f t="shared" si="52"/>
        <v>21.240240923958602</v>
      </c>
      <c r="AL369" s="174">
        <f t="shared" si="52"/>
        <v>20.90173182175138</v>
      </c>
      <c r="AM369" s="174">
        <f t="shared" si="52"/>
        <v>20.56464502669629</v>
      </c>
      <c r="AN369" s="174">
        <f t="shared" si="52"/>
        <v>20.228971593465335</v>
      </c>
      <c r="AO369" s="174">
        <f t="shared" si="52"/>
        <v>19.894702651586801</v>
      </c>
      <c r="AP369" s="174">
        <f t="shared" si="52"/>
        <v>19.561829404663925</v>
      </c>
      <c r="AQ369" s="174">
        <f t="shared" si="52"/>
        <v>19.230343129603217</v>
      </c>
    </row>
    <row r="370" spans="7:43" ht="14.25" customHeight="1" x14ac:dyDescent="0.15">
      <c r="G370" s="22"/>
      <c r="H370" s="253"/>
      <c r="J370" s="241"/>
      <c r="K370" s="19" t="s">
        <v>146</v>
      </c>
      <c r="L370" s="174">
        <f t="shared" ref="L370:AQ371" si="53" xml:space="preserve"> ((L91 * L398 * $N$45 * (L209 * 1 + L338) +L241) * 1000 / (L113 * 8750)) + L273 + 0</f>
        <v>76.229236901569493</v>
      </c>
      <c r="M370" s="174">
        <f t="shared" si="53"/>
        <v>73.39147215823985</v>
      </c>
      <c r="N370" s="174">
        <f t="shared" si="53"/>
        <v>69.26022262624258</v>
      </c>
      <c r="O370" s="174">
        <f t="shared" si="53"/>
        <v>65.21535176958966</v>
      </c>
      <c r="P370" s="174">
        <f t="shared" si="53"/>
        <v>61.254178530136372</v>
      </c>
      <c r="Q370" s="174">
        <f t="shared" si="53"/>
        <v>57.37413166797684</v>
      </c>
      <c r="R370" s="174">
        <f t="shared" si="53"/>
        <v>53.572744195637874</v>
      </c>
      <c r="S370" s="174">
        <f t="shared" si="53"/>
        <v>49.847648147379175</v>
      </c>
      <c r="T370" s="174">
        <f t="shared" si="53"/>
        <v>46.19656966029526</v>
      </c>
      <c r="U370" s="174">
        <f t="shared" si="53"/>
        <v>42.617324345748059</v>
      </c>
      <c r="V370" s="174">
        <f t="shared" si="53"/>
        <v>39.107812931332532</v>
      </c>
      <c r="W370" s="174">
        <f t="shared" si="53"/>
        <v>35.666017155105664</v>
      </c>
      <c r="X370" s="174">
        <f t="shared" si="53"/>
        <v>35.156725312329762</v>
      </c>
      <c r="Y370" s="174">
        <f t="shared" si="53"/>
        <v>34.651096868095173</v>
      </c>
      <c r="Z370" s="174">
        <f t="shared" si="53"/>
        <v>34.149092437142485</v>
      </c>
      <c r="AA370" s="174">
        <f t="shared" si="53"/>
        <v>33.650673196771663</v>
      </c>
      <c r="AB370" s="174">
        <f t="shared" si="53"/>
        <v>33.155800876833695</v>
      </c>
      <c r="AC370" s="174">
        <f t="shared" si="53"/>
        <v>32.664437749935104</v>
      </c>
      <c r="AD370" s="174">
        <f t="shared" si="53"/>
        <v>32.176546621850058</v>
      </c>
      <c r="AE370" s="174">
        <f t="shared" si="53"/>
        <v>31.692090822135089</v>
      </c>
      <c r="AF370" s="174">
        <f t="shared" si="53"/>
        <v>31.211034194941274</v>
      </c>
      <c r="AG370" s="174">
        <f t="shared" si="53"/>
        <v>30.733341090019248</v>
      </c>
      <c r="AH370" s="174">
        <f t="shared" si="53"/>
        <v>30.258976353912161</v>
      </c>
      <c r="AI370" s="174">
        <f t="shared" si="53"/>
        <v>29.787905321332083</v>
      </c>
      <c r="AJ370" s="174">
        <f t="shared" si="53"/>
        <v>29.320093806715462</v>
      </c>
      <c r="AK370" s="174">
        <f t="shared" si="53"/>
        <v>28.855508095953269</v>
      </c>
      <c r="AL370" s="174">
        <f t="shared" si="53"/>
        <v>28.394114938291576</v>
      </c>
      <c r="AM370" s="174">
        <f t="shared" si="53"/>
        <v>27.935881538398583</v>
      </c>
      <c r="AN370" s="174">
        <f t="shared" si="53"/>
        <v>27.480775548594064</v>
      </c>
      <c r="AO370" s="174">
        <f t="shared" si="53"/>
        <v>27.028765061237404</v>
      </c>
      <c r="AP370" s="174">
        <f t="shared" si="53"/>
        <v>26.579818601270322</v>
      </c>
      <c r="AQ370" s="174">
        <f t="shared" si="53"/>
        <v>26.133905118910835</v>
      </c>
    </row>
    <row r="371" spans="7:43" ht="14.25" customHeight="1" x14ac:dyDescent="0.15">
      <c r="G371" s="22"/>
      <c r="H371" s="253"/>
      <c r="J371" s="241"/>
      <c r="K371" s="144" t="s">
        <v>147</v>
      </c>
      <c r="L371" s="174">
        <f t="shared" si="53"/>
        <v>76.229236901569493</v>
      </c>
      <c r="M371" s="174">
        <f t="shared" si="53"/>
        <v>74.183571444069315</v>
      </c>
      <c r="N371" s="174">
        <f t="shared" si="53"/>
        <v>73.005465147669554</v>
      </c>
      <c r="O371" s="174">
        <f t="shared" si="53"/>
        <v>71.827358851269807</v>
      </c>
      <c r="P371" s="174">
        <f t="shared" si="53"/>
        <v>70.649252554870046</v>
      </c>
      <c r="Q371" s="174">
        <f t="shared" si="53"/>
        <v>69.471146258470299</v>
      </c>
      <c r="R371" s="174">
        <f t="shared" si="53"/>
        <v>68.293039962070551</v>
      </c>
      <c r="S371" s="174">
        <f t="shared" si="53"/>
        <v>67.11493366567079</v>
      </c>
      <c r="T371" s="174">
        <f t="shared" si="53"/>
        <v>65.936827369271043</v>
      </c>
      <c r="U371" s="174">
        <f t="shared" si="53"/>
        <v>64.758721072871296</v>
      </c>
      <c r="V371" s="174">
        <f t="shared" si="53"/>
        <v>63.580614776471549</v>
      </c>
      <c r="W371" s="174">
        <f t="shared" si="53"/>
        <v>62.402508480071788</v>
      </c>
      <c r="X371" s="174">
        <f t="shared" si="53"/>
        <v>60.915800228385031</v>
      </c>
      <c r="Y371" s="174">
        <f t="shared" si="53"/>
        <v>59.446535204313697</v>
      </c>
      <c r="Z371" s="174">
        <f t="shared" si="53"/>
        <v>57.994408211810132</v>
      </c>
      <c r="AA371" s="174">
        <f t="shared" si="53"/>
        <v>56.559121133374603</v>
      </c>
      <c r="AB371" s="174">
        <f t="shared" si="53"/>
        <v>55.140382726018387</v>
      </c>
      <c r="AC371" s="174">
        <f t="shared" si="53"/>
        <v>53.737908424244132</v>
      </c>
      <c r="AD371" s="174">
        <f t="shared" si="53"/>
        <v>52.351420149763271</v>
      </c>
      <c r="AE371" s="174">
        <f t="shared" si="53"/>
        <v>50.980646127683357</v>
      </c>
      <c r="AF371" s="174">
        <f t="shared" si="53"/>
        <v>49.625320708910131</v>
      </c>
      <c r="AG371" s="174">
        <f t="shared" si="53"/>
        <v>48.285184198520469</v>
      </c>
      <c r="AH371" s="174">
        <f t="shared" si="53"/>
        <v>46.959982689873435</v>
      </c>
      <c r="AI371" s="174">
        <f t="shared" si="53"/>
        <v>45.649467904236708</v>
      </c>
      <c r="AJ371" s="174">
        <f t="shared" si="53"/>
        <v>44.35339703571578</v>
      </c>
      <c r="AK371" s="174">
        <f t="shared" si="53"/>
        <v>43.071532601282399</v>
      </c>
      <c r="AL371" s="174">
        <f t="shared" si="53"/>
        <v>41.803642295707654</v>
      </c>
      <c r="AM371" s="174">
        <f t="shared" si="53"/>
        <v>40.549498851213762</v>
      </c>
      <c r="AN371" s="174">
        <f t="shared" si="53"/>
        <v>39.308879901666273</v>
      </c>
      <c r="AO371" s="174">
        <f t="shared" si="53"/>
        <v>38.081567851136242</v>
      </c>
      <c r="AP371" s="174">
        <f t="shared" si="53"/>
        <v>36.867349746669383</v>
      </c>
      <c r="AQ371" s="174">
        <f t="shared" si="53"/>
        <v>35.666017155105664</v>
      </c>
    </row>
    <row r="372" spans="7:43" ht="14.25" customHeight="1" x14ac:dyDescent="0.15">
      <c r="G372" s="22"/>
      <c r="H372" s="253"/>
      <c r="J372" s="241"/>
      <c r="K372" s="140" t="s">
        <v>148</v>
      </c>
      <c r="L372" s="174">
        <f t="shared" ref="L372:AQ374" si="54" xml:space="preserve"> ((L90 * L397 * $N$45 * (L211 * 1 + L340) +L243) * 1000 / (L115 * 8760)) + L275 + 0</f>
        <v>75.132522927206139</v>
      </c>
      <c r="M372" s="174">
        <f t="shared" si="54"/>
        <v>71.812084772870932</v>
      </c>
      <c r="N372" s="174">
        <f t="shared" si="54"/>
        <v>66.480286976549962</v>
      </c>
      <c r="O372" s="174">
        <f t="shared" si="54"/>
        <v>61.332147913923471</v>
      </c>
      <c r="P372" s="174">
        <f t="shared" si="54"/>
        <v>56.358338810322543</v>
      </c>
      <c r="Q372" s="174">
        <f t="shared" si="54"/>
        <v>51.55015216728026</v>
      </c>
      <c r="R372" s="174">
        <f t="shared" si="54"/>
        <v>46.899450889969351</v>
      </c>
      <c r="S372" s="174">
        <f t="shared" si="54"/>
        <v>42.398622332871902</v>
      </c>
      <c r="T372" s="174">
        <f t="shared" si="54"/>
        <v>38.040536717748118</v>
      </c>
      <c r="U372" s="174">
        <f t="shared" si="54"/>
        <v>33.818509446147132</v>
      </c>
      <c r="V372" s="174">
        <f t="shared" si="54"/>
        <v>29.726266887446979</v>
      </c>
      <c r="W372" s="174">
        <f t="shared" si="54"/>
        <v>25.757915274153444</v>
      </c>
      <c r="X372" s="174">
        <f t="shared" si="54"/>
        <v>25.403681516971421</v>
      </c>
      <c r="Y372" s="174">
        <f t="shared" si="54"/>
        <v>25.050981239257716</v>
      </c>
      <c r="Z372" s="174">
        <f t="shared" si="54"/>
        <v>24.699804504860275</v>
      </c>
      <c r="AA372" s="174">
        <f t="shared" si="54"/>
        <v>24.35014146328351</v>
      </c>
      <c r="AB372" s="174">
        <f t="shared" si="54"/>
        <v>24.001982348767292</v>
      </c>
      <c r="AC372" s="174">
        <f t="shared" si="54"/>
        <v>23.655317479377743</v>
      </c>
      <c r="AD372" s="174">
        <f t="shared" si="54"/>
        <v>23.310137256109787</v>
      </c>
      <c r="AE372" s="174">
        <f t="shared" si="54"/>
        <v>22.966432162001098</v>
      </c>
      <c r="AF372" s="174">
        <f t="shared" si="54"/>
        <v>22.624192761257465</v>
      </c>
      <c r="AG372" s="174">
        <f t="shared" si="54"/>
        <v>22.283409698389349</v>
      </c>
      <c r="AH372" s="174">
        <f t="shared" si="54"/>
        <v>21.944073697359315</v>
      </c>
      <c r="AI372" s="174">
        <f t="shared" si="54"/>
        <v>21.606175560740418</v>
      </c>
      <c r="AJ372" s="174">
        <f t="shared" si="54"/>
        <v>21.269706168885239</v>
      </c>
      <c r="AK372" s="174">
        <f t="shared" si="54"/>
        <v>20.934656479105396</v>
      </c>
      <c r="AL372" s="174">
        <f t="shared" si="54"/>
        <v>20.601017524861472</v>
      </c>
      <c r="AM372" s="174">
        <f t="shared" si="54"/>
        <v>20.268780414963111</v>
      </c>
      <c r="AN372" s="174">
        <f t="shared" si="54"/>
        <v>19.937936332779209</v>
      </c>
      <c r="AO372" s="174">
        <f t="shared" si="54"/>
        <v>19.608476535457996</v>
      </c>
      <c r="AP372" s="174">
        <f t="shared" si="54"/>
        <v>19.28039235315692</v>
      </c>
      <c r="AQ372" s="174">
        <f t="shared" si="54"/>
        <v>18.953675188282084</v>
      </c>
    </row>
    <row r="373" spans="7:43" ht="14.25" customHeight="1" x14ac:dyDescent="0.15">
      <c r="G373" s="22"/>
      <c r="H373" s="253"/>
      <c r="J373" s="241"/>
      <c r="K373" s="19" t="s">
        <v>149</v>
      </c>
      <c r="L373" s="175">
        <f t="shared" si="54"/>
        <v>75.132522927206139</v>
      </c>
      <c r="M373" s="175">
        <f t="shared" si="54"/>
        <v>72.335585252025993</v>
      </c>
      <c r="N373" s="175">
        <f t="shared" si="54"/>
        <v>68.263772220740023</v>
      </c>
      <c r="O373" s="175">
        <f t="shared" si="54"/>
        <v>64.277095130328192</v>
      </c>
      <c r="P373" s="175">
        <f t="shared" si="54"/>
        <v>60.372911495167976</v>
      </c>
      <c r="Q373" s="175">
        <f t="shared" si="54"/>
        <v>56.548687067915004</v>
      </c>
      <c r="R373" s="175">
        <f t="shared" si="54"/>
        <v>52.801990353772489</v>
      </c>
      <c r="S373" s="175">
        <f t="shared" si="54"/>
        <v>49.130487455045724</v>
      </c>
      <c r="T373" s="175">
        <f t="shared" si="54"/>
        <v>45.531937223012463</v>
      </c>
      <c r="U373" s="175">
        <f t="shared" si="54"/>
        <v>42.004186695946956</v>
      </c>
      <c r="V373" s="175">
        <f t="shared" si="54"/>
        <v>38.545166803784852</v>
      </c>
      <c r="W373" s="175">
        <f t="shared" si="54"/>
        <v>35.152888321422132</v>
      </c>
      <c r="X373" s="175">
        <f t="shared" si="54"/>
        <v>34.650923686732064</v>
      </c>
      <c r="Y373" s="175">
        <f t="shared" si="54"/>
        <v>34.152569745078999</v>
      </c>
      <c r="Z373" s="175">
        <f t="shared" si="54"/>
        <v>33.657787677841291</v>
      </c>
      <c r="AA373" s="175">
        <f t="shared" si="54"/>
        <v>33.166539220863086</v>
      </c>
      <c r="AB373" s="175">
        <f t="shared" si="54"/>
        <v>32.678786654590013</v>
      </c>
      <c r="AC373" s="175">
        <f t="shared" si="54"/>
        <v>32.194492794414536</v>
      </c>
      <c r="AD373" s="175">
        <f t="shared" si="54"/>
        <v>31.713620981226086</v>
      </c>
      <c r="AE373" s="175">
        <f t="shared" si="54"/>
        <v>31.236135072160746</v>
      </c>
      <c r="AF373" s="175">
        <f t="shared" si="54"/>
        <v>30.761999431545679</v>
      </c>
      <c r="AG373" s="175">
        <f t="shared" si="54"/>
        <v>30.291178922033492</v>
      </c>
      <c r="AH373" s="175">
        <f t="shared" si="54"/>
        <v>29.823638895921935</v>
      </c>
      <c r="AI373" s="175">
        <f t="shared" si="54"/>
        <v>29.359345186654373</v>
      </c>
      <c r="AJ373" s="175">
        <f t="shared" si="54"/>
        <v>28.898264100496732</v>
      </c>
      <c r="AK373" s="175">
        <f t="shared" si="54"/>
        <v>28.440362408386598</v>
      </c>
      <c r="AL373" s="175">
        <f t="shared" si="54"/>
        <v>27.98560733795037</v>
      </c>
      <c r="AM373" s="175">
        <f t="shared" si="54"/>
        <v>27.533966565684381</v>
      </c>
      <c r="AN373" s="175">
        <f t="shared" si="54"/>
        <v>27.085408209296158</v>
      </c>
      <c r="AO373" s="175">
        <f t="shared" si="54"/>
        <v>26.639900820201952</v>
      </c>
      <c r="AP373" s="175">
        <f t="shared" si="54"/>
        <v>26.197413376176783</v>
      </c>
      <c r="AQ373" s="175">
        <f t="shared" si="54"/>
        <v>25.757915274153444</v>
      </c>
    </row>
    <row r="374" spans="7:43" ht="14.25" customHeight="1" thickBot="1" x14ac:dyDescent="0.2">
      <c r="G374" s="22"/>
      <c r="H374" s="253"/>
      <c r="J374" s="241"/>
      <c r="K374" s="144" t="s">
        <v>150</v>
      </c>
      <c r="L374" s="176">
        <f t="shared" si="54"/>
        <v>75.132522927206139</v>
      </c>
      <c r="M374" s="176">
        <f t="shared" si="54"/>
        <v>73.116288564457818</v>
      </c>
      <c r="N374" s="176">
        <f t="shared" si="54"/>
        <v>71.95513174428352</v>
      </c>
      <c r="O374" s="176">
        <f t="shared" si="54"/>
        <v>70.793974924109222</v>
      </c>
      <c r="P374" s="176">
        <f t="shared" si="54"/>
        <v>69.632818103934909</v>
      </c>
      <c r="Q374" s="176">
        <f t="shared" si="54"/>
        <v>68.471661283760596</v>
      </c>
      <c r="R374" s="176">
        <f t="shared" si="54"/>
        <v>67.310504463586298</v>
      </c>
      <c r="S374" s="176">
        <f t="shared" si="54"/>
        <v>66.149347643411986</v>
      </c>
      <c r="T374" s="176">
        <f t="shared" si="54"/>
        <v>64.988190823237673</v>
      </c>
      <c r="U374" s="176">
        <f t="shared" si="54"/>
        <v>63.827034003063375</v>
      </c>
      <c r="V374" s="176">
        <f t="shared" si="54"/>
        <v>62.665877182889076</v>
      </c>
      <c r="W374" s="176">
        <f t="shared" si="54"/>
        <v>61.504720362714771</v>
      </c>
      <c r="X374" s="176">
        <f t="shared" si="54"/>
        <v>60.039401459547015</v>
      </c>
      <c r="Y374" s="176">
        <f t="shared" si="54"/>
        <v>58.591274827376715</v>
      </c>
      <c r="Z374" s="176">
        <f t="shared" si="54"/>
        <v>57.160039661027525</v>
      </c>
      <c r="AA374" s="176">
        <f t="shared" si="54"/>
        <v>55.7454021320316</v>
      </c>
      <c r="AB374" s="176">
        <f t="shared" si="54"/>
        <v>54.347075187528191</v>
      </c>
      <c r="AC374" s="176">
        <f t="shared" si="54"/>
        <v>52.964778356078433</v>
      </c>
      <c r="AD374" s="176">
        <f t="shared" si="54"/>
        <v>51.598237560120509</v>
      </c>
      <c r="AE374" s="176">
        <f t="shared" si="54"/>
        <v>50.247184934801396</v>
      </c>
      <c r="AF374" s="176">
        <f t="shared" si="54"/>
        <v>48.911358652934091</v>
      </c>
      <c r="AG374" s="176">
        <f t="shared" si="54"/>
        <v>47.590502755839779</v>
      </c>
      <c r="AH374" s="176">
        <f t="shared" si="54"/>
        <v>46.284366989845488</v>
      </c>
      <c r="AI374" s="176">
        <f t="shared" si="54"/>
        <v>44.992706648217869</v>
      </c>
      <c r="AJ374" s="176">
        <f t="shared" si="54"/>
        <v>43.715282418323369</v>
      </c>
      <c r="AK374" s="176">
        <f t="shared" si="54"/>
        <v>42.451860233814351</v>
      </c>
      <c r="AL374" s="176">
        <f t="shared" si="54"/>
        <v>41.20221113164925</v>
      </c>
      <c r="AM374" s="176">
        <f t="shared" si="54"/>
        <v>39.96611111376356</v>
      </c>
      <c r="AN374" s="176">
        <f t="shared" si="54"/>
        <v>38.743341013215904</v>
      </c>
      <c r="AO374" s="176">
        <f t="shared" si="54"/>
        <v>37.533686364641227</v>
      </c>
      <c r="AP374" s="176">
        <f t="shared" si="54"/>
        <v>36.336937278850407</v>
      </c>
      <c r="AQ374" s="176">
        <f t="shared" si="54"/>
        <v>35.152888321422132</v>
      </c>
    </row>
    <row r="375" spans="7:43" ht="14.25" customHeight="1" thickTop="1" x14ac:dyDescent="0.15">
      <c r="G375" s="22"/>
      <c r="H375" s="253"/>
      <c r="J375" s="241"/>
      <c r="K375" s="140" t="s">
        <v>151</v>
      </c>
      <c r="L375" s="174">
        <f t="shared" ref="L375:AQ377" si="55" xml:space="preserve"> ((L90 * L397 * $N$45 * (L214 * 1 + L343) +L246) * 1000 / (L118 * 8760)) + L278 + 0</f>
        <v>71.697511700236532</v>
      </c>
      <c r="M375" s="174">
        <f t="shared" si="55"/>
        <v>68.528881869304101</v>
      </c>
      <c r="N375" s="174">
        <f t="shared" si="55"/>
        <v>63.440850481679917</v>
      </c>
      <c r="O375" s="174">
        <f t="shared" si="55"/>
        <v>58.528081067098597</v>
      </c>
      <c r="P375" s="174">
        <f t="shared" si="55"/>
        <v>53.781671356543818</v>
      </c>
      <c r="Q375" s="174">
        <f t="shared" si="55"/>
        <v>49.193311952847907</v>
      </c>
      <c r="R375" s="174">
        <f t="shared" si="55"/>
        <v>44.755237783990722</v>
      </c>
      <c r="S375" s="174">
        <f t="shared" si="55"/>
        <v>40.460184249772169</v>
      </c>
      <c r="T375" s="174">
        <f t="shared" si="55"/>
        <v>36.301347540885025</v>
      </c>
      <c r="U375" s="174">
        <f t="shared" si="55"/>
        <v>32.272348674473797</v>
      </c>
      <c r="V375" s="174">
        <f t="shared" si="55"/>
        <v>28.367200846323783</v>
      </c>
      <c r="W375" s="174">
        <f t="shared" si="55"/>
        <v>24.580279748247118</v>
      </c>
      <c r="X375" s="174">
        <f t="shared" si="55"/>
        <v>24.242241333447932</v>
      </c>
      <c r="Y375" s="174">
        <f t="shared" si="55"/>
        <v>23.905666288409773</v>
      </c>
      <c r="Z375" s="174">
        <f t="shared" si="55"/>
        <v>23.570545131255152</v>
      </c>
      <c r="AA375" s="174">
        <f t="shared" si="55"/>
        <v>23.236868461846889</v>
      </c>
      <c r="AB375" s="174">
        <f t="shared" si="55"/>
        <v>22.904626960909191</v>
      </c>
      <c r="AC375" s="174">
        <f t="shared" si="55"/>
        <v>22.57381138916007</v>
      </c>
      <c r="AD375" s="174">
        <f t="shared" si="55"/>
        <v>22.244412586454846</v>
      </c>
      <c r="AE375" s="174">
        <f t="shared" si="55"/>
        <v>21.916421470940673</v>
      </c>
      <c r="AF375" s="174">
        <f t="shared" si="55"/>
        <v>21.589829038221858</v>
      </c>
      <c r="AG375" s="174">
        <f t="shared" si="55"/>
        <v>21.2646263605359</v>
      </c>
      <c r="AH375" s="174">
        <f t="shared" si="55"/>
        <v>20.940804585939908</v>
      </c>
      <c r="AI375" s="174">
        <f t="shared" si="55"/>
        <v>20.618354937507441</v>
      </c>
      <c r="AJ375" s="174">
        <f t="shared" si="55"/>
        <v>20.297268712535587</v>
      </c>
      <c r="AK375" s="174">
        <f t="shared" si="55"/>
        <v>19.977537281761922</v>
      </c>
      <c r="AL375" s="174">
        <f t="shared" si="55"/>
        <v>19.659152088591519</v>
      </c>
      <c r="AM375" s="174">
        <f t="shared" si="55"/>
        <v>19.342104648333596</v>
      </c>
      <c r="AN375" s="174">
        <f t="shared" si="55"/>
        <v>19.026386547447824</v>
      </c>
      <c r="AO375" s="174">
        <f t="shared" si="55"/>
        <v>18.711989442800064</v>
      </c>
      <c r="AP375" s="174">
        <f t="shared" si="55"/>
        <v>18.398905060927454</v>
      </c>
      <c r="AQ375" s="174">
        <f t="shared" si="55"/>
        <v>18.087125197312609</v>
      </c>
    </row>
    <row r="376" spans="7:43" ht="14.25" customHeight="1" x14ac:dyDescent="0.15">
      <c r="G376" s="22"/>
      <c r="H376" s="253"/>
      <c r="J376" s="241"/>
      <c r="K376" s="19" t="s">
        <v>152</v>
      </c>
      <c r="L376" s="175">
        <f t="shared" si="55"/>
        <v>71.697511700236532</v>
      </c>
      <c r="M376" s="175">
        <f t="shared" si="55"/>
        <v>69.028448239059372</v>
      </c>
      <c r="N376" s="175">
        <f t="shared" si="55"/>
        <v>65.142795913306216</v>
      </c>
      <c r="O376" s="175">
        <f t="shared" si="55"/>
        <v>61.338387167285468</v>
      </c>
      <c r="P376" s="175">
        <f t="shared" si="55"/>
        <v>57.612700328138885</v>
      </c>
      <c r="Q376" s="175">
        <f t="shared" si="55"/>
        <v>53.963317012701005</v>
      </c>
      <c r="R376" s="175">
        <f t="shared" si="55"/>
        <v>50.387916892572761</v>
      </c>
      <c r="S376" s="175">
        <f t="shared" si="55"/>
        <v>46.884272774379653</v>
      </c>
      <c r="T376" s="175">
        <f t="shared" si="55"/>
        <v>43.45024597329553</v>
      </c>
      <c r="U376" s="175">
        <f t="shared" si="55"/>
        <v>40.083781959637257</v>
      </c>
      <c r="V376" s="175">
        <f t="shared" si="55"/>
        <v>36.78290625990963</v>
      </c>
      <c r="W376" s="175">
        <f t="shared" si="55"/>
        <v>33.545720595116897</v>
      </c>
      <c r="X376" s="175">
        <f t="shared" si="55"/>
        <v>33.066705464696405</v>
      </c>
      <c r="Y376" s="175">
        <f t="shared" si="55"/>
        <v>32.591135948720641</v>
      </c>
      <c r="Z376" s="175">
        <f t="shared" si="55"/>
        <v>32.118975003330668</v>
      </c>
      <c r="AA376" s="175">
        <f t="shared" si="55"/>
        <v>31.650186113783562</v>
      </c>
      <c r="AB376" s="175">
        <f t="shared" si="55"/>
        <v>31.184733285038991</v>
      </c>
      <c r="AC376" s="175">
        <f t="shared" si="55"/>
        <v>30.722581032546074</v>
      </c>
      <c r="AD376" s="175">
        <f t="shared" si="55"/>
        <v>30.263694373225484</v>
      </c>
      <c r="AE376" s="175">
        <f t="shared" si="55"/>
        <v>29.8080388166421</v>
      </c>
      <c r="AF376" s="175">
        <f t="shared" si="55"/>
        <v>29.355580356363394</v>
      </c>
      <c r="AG376" s="175">
        <f t="shared" si="55"/>
        <v>28.906285461499191</v>
      </c>
      <c r="AH376" s="175">
        <f t="shared" si="55"/>
        <v>28.460121068418175</v>
      </c>
      <c r="AI376" s="175">
        <f t="shared" si="55"/>
        <v>28.017054572636987</v>
      </c>
      <c r="AJ376" s="175">
        <f t="shared" si="55"/>
        <v>27.577053820877659</v>
      </c>
      <c r="AK376" s="175">
        <f t="shared" si="55"/>
        <v>27.140087103289421</v>
      </c>
      <c r="AL376" s="175">
        <f t="shared" si="55"/>
        <v>26.706123145830766</v>
      </c>
      <c r="AM376" s="175">
        <f t="shared" si="55"/>
        <v>26.275131102808089</v>
      </c>
      <c r="AN376" s="175">
        <f t="shared" si="55"/>
        <v>25.847080549567082</v>
      </c>
      <c r="AO376" s="175">
        <f t="shared" si="55"/>
        <v>25.421941475333263</v>
      </c>
      <c r="AP376" s="175">
        <f t="shared" si="55"/>
        <v>24.999684276198071</v>
      </c>
      <c r="AQ376" s="175">
        <f t="shared" si="55"/>
        <v>24.580279748247118</v>
      </c>
    </row>
    <row r="377" spans="7:43" ht="14.25" customHeight="1" thickBot="1" x14ac:dyDescent="0.2">
      <c r="G377" s="22"/>
      <c r="H377" s="253"/>
      <c r="J377" s="241"/>
      <c r="K377" s="144" t="s">
        <v>153</v>
      </c>
      <c r="L377" s="176">
        <f t="shared" si="55"/>
        <v>71.697511700236532</v>
      </c>
      <c r="M377" s="176">
        <f t="shared" si="55"/>
        <v>69.773458291919255</v>
      </c>
      <c r="N377" s="176">
        <f t="shared" si="55"/>
        <v>68.665388824041571</v>
      </c>
      <c r="O377" s="176">
        <f t="shared" si="55"/>
        <v>67.557319356163902</v>
      </c>
      <c r="P377" s="176">
        <f t="shared" si="55"/>
        <v>66.449249888286218</v>
      </c>
      <c r="Q377" s="176">
        <f t="shared" si="55"/>
        <v>65.341180420408548</v>
      </c>
      <c r="R377" s="176">
        <f t="shared" si="55"/>
        <v>64.233110952530865</v>
      </c>
      <c r="S377" s="176">
        <f t="shared" si="55"/>
        <v>63.125041484653188</v>
      </c>
      <c r="T377" s="176">
        <f t="shared" si="55"/>
        <v>62.016972016775512</v>
      </c>
      <c r="U377" s="176">
        <f t="shared" si="55"/>
        <v>60.908902548897835</v>
      </c>
      <c r="V377" s="176">
        <f t="shared" si="55"/>
        <v>59.800833081020166</v>
      </c>
      <c r="W377" s="176">
        <f t="shared" si="55"/>
        <v>58.692763613142482</v>
      </c>
      <c r="X377" s="176">
        <f t="shared" si="55"/>
        <v>57.294438159513867</v>
      </c>
      <c r="Y377" s="176">
        <f t="shared" si="55"/>
        <v>55.912518957172573</v>
      </c>
      <c r="Z377" s="176">
        <f t="shared" si="55"/>
        <v>54.54671895356384</v>
      </c>
      <c r="AA377" s="176">
        <f t="shared" si="55"/>
        <v>53.19675775387077</v>
      </c>
      <c r="AB377" s="176">
        <f t="shared" si="55"/>
        <v>51.862361429107054</v>
      </c>
      <c r="AC377" s="176">
        <f t="shared" si="55"/>
        <v>50.543262330809888</v>
      </c>
      <c r="AD377" s="176">
        <f t="shared" si="55"/>
        <v>49.23919891206949</v>
      </c>
      <c r="AE377" s="176">
        <f t="shared" si="55"/>
        <v>47.949915554643781</v>
      </c>
      <c r="AF377" s="176">
        <f t="shared" si="55"/>
        <v>46.675162401918456</v>
      </c>
      <c r="AG377" s="176">
        <f t="shared" si="55"/>
        <v>45.414695197482899</v>
      </c>
      <c r="AH377" s="176">
        <f t="shared" si="55"/>
        <v>44.168275129103122</v>
      </c>
      <c r="AI377" s="176">
        <f t="shared" si="55"/>
        <v>42.935668677882212</v>
      </c>
      <c r="AJ377" s="176">
        <f t="shared" si="55"/>
        <v>41.716647472408205</v>
      </c>
      <c r="AK377" s="176">
        <f t="shared" si="55"/>
        <v>40.510988147698207</v>
      </c>
      <c r="AL377" s="176">
        <f t="shared" si="55"/>
        <v>39.318472208755487</v>
      </c>
      <c r="AM377" s="176">
        <f t="shared" si="55"/>
        <v>38.13888589856478</v>
      </c>
      <c r="AN377" s="176">
        <f t="shared" si="55"/>
        <v>36.972020070358056</v>
      </c>
      <c r="AO377" s="176">
        <f t="shared" si="55"/>
        <v>35.817670063990541</v>
      </c>
      <c r="AP377" s="176">
        <f t="shared" si="55"/>
        <v>34.675635586273508</v>
      </c>
      <c r="AQ377" s="176">
        <f t="shared" si="55"/>
        <v>33.545720595116897</v>
      </c>
    </row>
    <row r="378" spans="7:43" ht="14.25" customHeight="1" thickTop="1" x14ac:dyDescent="0.15">
      <c r="G378" s="22"/>
      <c r="H378" s="253"/>
      <c r="J378" s="241"/>
      <c r="K378" s="140" t="s">
        <v>154</v>
      </c>
      <c r="L378" s="174">
        <f xml:space="preserve"> ((L90 * L397 * $N$45 * (L217 * 1 + L346) +L249) * 1000 / (L121 * 8760)) + L281 + 0</f>
        <v>67.908997839955276</v>
      </c>
      <c r="M378" s="174">
        <f t="shared" ref="M378:AQ378" si="56" xml:space="preserve"> ((M90 * M397 * $N$45 * (M217 * 1 + M346) +M249) * 1000 / (M121 * 8760)) + M281 + 0</f>
        <v>64.907799175710736</v>
      </c>
      <c r="N378" s="174">
        <f t="shared" si="56"/>
        <v>60.08862059729077</v>
      </c>
      <c r="O378" s="174">
        <f t="shared" si="56"/>
        <v>55.435443106866096</v>
      </c>
      <c r="P378" s="174">
        <f t="shared" si="56"/>
        <v>50.939834833468453</v>
      </c>
      <c r="Q378" s="174">
        <f t="shared" si="56"/>
        <v>46.593925450486402</v>
      </c>
      <c r="R378" s="174">
        <f t="shared" si="56"/>
        <v>42.390360194183515</v>
      </c>
      <c r="S378" s="174">
        <f t="shared" si="56"/>
        <v>38.322258327591435</v>
      </c>
      <c r="T378" s="174">
        <f t="shared" si="56"/>
        <v>34.383175556332404</v>
      </c>
      <c r="U378" s="174">
        <f t="shared" si="56"/>
        <v>30.567069964547972</v>
      </c>
      <c r="V378" s="174">
        <f t="shared" si="56"/>
        <v>26.868271092206204</v>
      </c>
      <c r="W378" s="174">
        <f t="shared" si="56"/>
        <v>23.281451820924268</v>
      </c>
      <c r="X378" s="174">
        <f t="shared" si="56"/>
        <v>22.961275437727075</v>
      </c>
      <c r="Y378" s="174">
        <f t="shared" si="56"/>
        <v>22.642485099478783</v>
      </c>
      <c r="Z378" s="174">
        <f t="shared" si="56"/>
        <v>22.325071825326603</v>
      </c>
      <c r="AA378" s="174">
        <f t="shared" si="56"/>
        <v>22.009026711838871</v>
      </c>
      <c r="AB378" s="174">
        <f t="shared" si="56"/>
        <v>21.694340932172587</v>
      </c>
      <c r="AC378" s="174">
        <f t="shared" si="56"/>
        <v>21.381005735251644</v>
      </c>
      <c r="AD378" s="174">
        <f t="shared" si="56"/>
        <v>21.069012444955646</v>
      </c>
      <c r="AE378" s="174">
        <f t="shared" si="56"/>
        <v>20.758352459319031</v>
      </c>
      <c r="AF378" s="174">
        <f t="shared" si="56"/>
        <v>20.449017249740557</v>
      </c>
      <c r="AG378" s="174">
        <f t="shared" si="56"/>
        <v>20.14099836020285</v>
      </c>
      <c r="AH378" s="174">
        <f t="shared" si="56"/>
        <v>19.834287406501829</v>
      </c>
      <c r="AI378" s="174">
        <f t="shared" si="56"/>
        <v>19.528876075485964</v>
      </c>
      <c r="AJ378" s="174">
        <f t="shared" si="56"/>
        <v>19.224756124305273</v>
      </c>
      <c r="AK378" s="174">
        <f t="shared" si="56"/>
        <v>18.921919379669646</v>
      </c>
      <c r="AL378" s="174">
        <f t="shared" si="56"/>
        <v>18.620357737116692</v>
      </c>
      <c r="AM378" s="174">
        <f t="shared" si="56"/>
        <v>18.320063160288754</v>
      </c>
      <c r="AN378" s="174">
        <f t="shared" si="56"/>
        <v>18.021027680219003</v>
      </c>
      <c r="AO378" s="174">
        <f t="shared" si="56"/>
        <v>17.723243394626532</v>
      </c>
      <c r="AP378" s="174">
        <f t="shared" si="56"/>
        <v>17.426702467220249</v>
      </c>
      <c r="AQ378" s="174">
        <f t="shared" si="56"/>
        <v>17.131397127011464</v>
      </c>
    </row>
    <row r="379" spans="7:43" ht="14.25" customHeight="1" x14ac:dyDescent="0.15">
      <c r="G379" s="22"/>
      <c r="H379" s="253"/>
      <c r="J379" s="241"/>
      <c r="K379" s="19" t="s">
        <v>155</v>
      </c>
      <c r="L379" s="175">
        <f t="shared" ref="L379:AQ380" si="57" xml:space="preserve"> ((L91 * L398 * $N$45 * (L218 * 1 + L347) +L250) * 1000 / (L122 * 8760)) + L282 + 0</f>
        <v>67.908997839955276</v>
      </c>
      <c r="M379" s="175">
        <f t="shared" si="57"/>
        <v>65.380968337654096</v>
      </c>
      <c r="N379" s="175">
        <f t="shared" si="57"/>
        <v>61.700634820647018</v>
      </c>
      <c r="O379" s="175">
        <f t="shared" si="57"/>
        <v>58.097251952968257</v>
      </c>
      <c r="P379" s="175">
        <f t="shared" si="57"/>
        <v>54.568431307563337</v>
      </c>
      <c r="Q379" s="175">
        <f t="shared" si="57"/>
        <v>51.111882289218229</v>
      </c>
      <c r="R379" s="175">
        <f t="shared" si="57"/>
        <v>47.7254071762477</v>
      </c>
      <c r="S379" s="175">
        <f t="shared" si="57"/>
        <v>44.40689646071386</v>
      </c>
      <c r="T379" s="175">
        <f t="shared" si="57"/>
        <v>41.154324466414074</v>
      </c>
      <c r="U379" s="175">
        <f t="shared" si="57"/>
        <v>37.965745225510624</v>
      </c>
      <c r="V379" s="175">
        <f t="shared" si="57"/>
        <v>34.83928859616536</v>
      </c>
      <c r="W379" s="175">
        <f t="shared" si="57"/>
        <v>31.773156604903789</v>
      </c>
      <c r="X379" s="175">
        <f t="shared" si="57"/>
        <v>31.319452749837868</v>
      </c>
      <c r="Y379" s="175">
        <f t="shared" si="57"/>
        <v>30.869012442115995</v>
      </c>
      <c r="Z379" s="175">
        <f t="shared" si="57"/>
        <v>30.421800595285706</v>
      </c>
      <c r="AA379" s="175">
        <f t="shared" si="57"/>
        <v>29.977782624051919</v>
      </c>
      <c r="AB379" s="175">
        <f t="shared" si="57"/>
        <v>29.536924435360945</v>
      </c>
      <c r="AC379" s="175">
        <f t="shared" si="57"/>
        <v>29.09919241967415</v>
      </c>
      <c r="AD379" s="175">
        <f t="shared" si="57"/>
        <v>28.66455344242658</v>
      </c>
      <c r="AE379" s="175">
        <f t="shared" si="57"/>
        <v>28.232974835666056</v>
      </c>
      <c r="AF379" s="175">
        <f t="shared" si="57"/>
        <v>27.80442438986816</v>
      </c>
      <c r="AG379" s="175">
        <f t="shared" si="57"/>
        <v>27.378870345923065</v>
      </c>
      <c r="AH379" s="175">
        <f t="shared" si="57"/>
        <v>26.956281387289739</v>
      </c>
      <c r="AI379" s="175">
        <f t="shared" si="57"/>
        <v>26.536626632313602</v>
      </c>
      <c r="AJ379" s="175">
        <f t="shared" si="57"/>
        <v>26.119875626703678</v>
      </c>
      <c r="AK379" s="175">
        <f t="shared" si="57"/>
        <v>25.705998336165376</v>
      </c>
      <c r="AL379" s="175">
        <f t="shared" si="57"/>
        <v>25.294965139185106</v>
      </c>
      <c r="AM379" s="175">
        <f t="shared" si="57"/>
        <v>24.886746819963179</v>
      </c>
      <c r="AN379" s="175">
        <f t="shared" si="57"/>
        <v>24.481314561491374</v>
      </c>
      <c r="AO379" s="175">
        <f t="shared" si="57"/>
        <v>24.078639938771797</v>
      </c>
      <c r="AP379" s="175">
        <f t="shared" si="57"/>
        <v>23.678694912173579</v>
      </c>
      <c r="AQ379" s="175">
        <f t="shared" si="57"/>
        <v>23.281451820924268</v>
      </c>
    </row>
    <row r="380" spans="7:43" ht="14.25" customHeight="1" thickBot="1" x14ac:dyDescent="0.2">
      <c r="G380" s="22"/>
      <c r="H380" s="253"/>
      <c r="J380" s="241"/>
      <c r="K380" s="144" t="s">
        <v>156</v>
      </c>
      <c r="L380" s="176">
        <f t="shared" si="57"/>
        <v>67.908997839955276</v>
      </c>
      <c r="M380" s="176">
        <f t="shared" si="57"/>
        <v>66.086611879119417</v>
      </c>
      <c r="N380" s="176">
        <f t="shared" si="57"/>
        <v>65.037093069941861</v>
      </c>
      <c r="O380" s="176">
        <f t="shared" si="57"/>
        <v>63.987574260764326</v>
      </c>
      <c r="P380" s="176">
        <f t="shared" si="57"/>
        <v>62.93805545158677</v>
      </c>
      <c r="Q380" s="176">
        <f t="shared" si="57"/>
        <v>61.888536642409221</v>
      </c>
      <c r="R380" s="176">
        <f t="shared" si="57"/>
        <v>60.839017833231672</v>
      </c>
      <c r="S380" s="176">
        <f t="shared" si="57"/>
        <v>59.789499024054123</v>
      </c>
      <c r="T380" s="176">
        <f t="shared" si="57"/>
        <v>58.739980214876567</v>
      </c>
      <c r="U380" s="176">
        <f t="shared" si="57"/>
        <v>57.690461405699025</v>
      </c>
      <c r="V380" s="176">
        <f t="shared" si="57"/>
        <v>56.640942596521484</v>
      </c>
      <c r="W380" s="176">
        <f t="shared" si="57"/>
        <v>55.591423787343935</v>
      </c>
      <c r="X380" s="176">
        <f t="shared" si="57"/>
        <v>54.26698618890903</v>
      </c>
      <c r="Y380" s="176">
        <f t="shared" si="57"/>
        <v>52.958087931475106</v>
      </c>
      <c r="Z380" s="176">
        <f t="shared" si="57"/>
        <v>51.664457130413851</v>
      </c>
      <c r="AA380" s="176">
        <f t="shared" si="57"/>
        <v>50.385828207038294</v>
      </c>
      <c r="AB380" s="176">
        <f t="shared" si="57"/>
        <v>49.121941706836012</v>
      </c>
      <c r="AC380" s="176">
        <f t="shared" si="57"/>
        <v>47.872544123953745</v>
      </c>
      <c r="AD380" s="176">
        <f t="shared" si="57"/>
        <v>46.637387731683653</v>
      </c>
      <c r="AE380" s="176">
        <f t="shared" si="57"/>
        <v>45.416230418713425</v>
      </c>
      <c r="AF380" s="176">
        <f t="shared" si="57"/>
        <v>44.208835530912673</v>
      </c>
      <c r="AG380" s="176">
        <f t="shared" si="57"/>
        <v>43.014971718438602</v>
      </c>
      <c r="AH380" s="176">
        <f t="shared" si="57"/>
        <v>41.83441278795344</v>
      </c>
      <c r="AI380" s="176">
        <f t="shared" si="57"/>
        <v>40.666937559755247</v>
      </c>
      <c r="AJ380" s="176">
        <f t="shared" si="57"/>
        <v>39.512329729632725</v>
      </c>
      <c r="AK380" s="176">
        <f t="shared" si="57"/>
        <v>38.370377735262707</v>
      </c>
      <c r="AL380" s="176">
        <f t="shared" si="57"/>
        <v>37.240874626976925</v>
      </c>
      <c r="AM380" s="176">
        <f t="shared" si="57"/>
        <v>36.123617942732515</v>
      </c>
      <c r="AN380" s="176">
        <f t="shared" si="57"/>
        <v>35.018409587127245</v>
      </c>
      <c r="AO380" s="176">
        <f t="shared" si="57"/>
        <v>33.925055714307888</v>
      </c>
      <c r="AP380" s="176">
        <f t="shared" si="57"/>
        <v>32.843366614626284</v>
      </c>
      <c r="AQ380" s="176">
        <f t="shared" si="57"/>
        <v>31.773156604903789</v>
      </c>
    </row>
    <row r="381" spans="7:43" ht="14.25" customHeight="1" thickTop="1" x14ac:dyDescent="0.15">
      <c r="G381" s="22"/>
      <c r="H381" s="253"/>
      <c r="J381" s="241"/>
      <c r="K381" s="140" t="s">
        <v>157</v>
      </c>
      <c r="L381" s="174">
        <f t="shared" ref="L381:AQ383" si="58" xml:space="preserve"> ((L90 * L397 * $N$45 * (L220 * 1 + L349) +L252) * 1000 / (L124 * 8760)) + L284 + 0</f>
        <v>64.283845173504048</v>
      </c>
      <c r="M381" s="174">
        <f t="shared" si="58"/>
        <v>61.442858022995523</v>
      </c>
      <c r="N381" s="174">
        <f t="shared" si="58"/>
        <v>56.880939286855032</v>
      </c>
      <c r="O381" s="174">
        <f t="shared" si="58"/>
        <v>52.476160084189488</v>
      </c>
      <c r="P381" s="174">
        <f t="shared" si="58"/>
        <v>48.220538658455787</v>
      </c>
      <c r="Q381" s="174">
        <f t="shared" si="58"/>
        <v>44.106624820821082</v>
      </c>
      <c r="R381" s="174">
        <f t="shared" si="58"/>
        <v>40.12745642328796</v>
      </c>
      <c r="S381" s="174">
        <f t="shared" si="58"/>
        <v>36.27652003988895</v>
      </c>
      <c r="T381" s="174">
        <f t="shared" si="58"/>
        <v>32.547715388846861</v>
      </c>
      <c r="U381" s="174">
        <f t="shared" si="58"/>
        <v>28.93532308692896</v>
      </c>
      <c r="V381" s="174">
        <f t="shared" si="58"/>
        <v>25.43397537748519</v>
      </c>
      <c r="W381" s="174">
        <f t="shared" si="58"/>
        <v>22.038629517076007</v>
      </c>
      <c r="X381" s="174">
        <f t="shared" si="58"/>
        <v>21.735544952433074</v>
      </c>
      <c r="Y381" s="174">
        <f t="shared" si="58"/>
        <v>21.433772442182526</v>
      </c>
      <c r="Z381" s="174">
        <f t="shared" si="58"/>
        <v>21.133303484892028</v>
      </c>
      <c r="AA381" s="174">
        <f t="shared" si="58"/>
        <v>20.834129652417442</v>
      </c>
      <c r="AB381" s="174">
        <f t="shared" si="58"/>
        <v>20.536242589114782</v>
      </c>
      <c r="AC381" s="174">
        <f t="shared" si="58"/>
        <v>20.239634011062343</v>
      </c>
      <c r="AD381" s="174">
        <f t="shared" si="58"/>
        <v>19.944295705292795</v>
      </c>
      <c r="AE381" s="174">
        <f t="shared" si="58"/>
        <v>19.650219529035084</v>
      </c>
      <c r="AF381" s="174">
        <f t="shared" si="58"/>
        <v>19.357397408966097</v>
      </c>
      <c r="AG381" s="174">
        <f t="shared" si="58"/>
        <v>19.065821340471874</v>
      </c>
      <c r="AH381" s="174">
        <f t="shared" si="58"/>
        <v>18.775483386918186</v>
      </c>
      <c r="AI381" s="174">
        <f t="shared" si="58"/>
        <v>18.486375678930393</v>
      </c>
      <c r="AJ381" s="174">
        <f t="shared" si="58"/>
        <v>18.19849041368251</v>
      </c>
      <c r="AK381" s="174">
        <f t="shared" si="58"/>
        <v>17.911819854195166</v>
      </c>
      <c r="AL381" s="174">
        <f t="shared" si="58"/>
        <v>17.626356328642505</v>
      </c>
      <c r="AM381" s="174">
        <f t="shared" si="58"/>
        <v>17.342092229667799</v>
      </c>
      <c r="AN381" s="174">
        <f t="shared" si="58"/>
        <v>17.059020013707663</v>
      </c>
      <c r="AO381" s="174">
        <f t="shared" si="58"/>
        <v>16.777132200324761</v>
      </c>
      <c r="AP381" s="174">
        <f t="shared" si="58"/>
        <v>16.496421371548891</v>
      </c>
      <c r="AQ381" s="174">
        <f t="shared" si="58"/>
        <v>16.216880171226247</v>
      </c>
    </row>
    <row r="382" spans="7:43" ht="14.25" customHeight="1" x14ac:dyDescent="0.15">
      <c r="G382" s="22"/>
      <c r="H382" s="253"/>
      <c r="J382" s="241"/>
      <c r="K382" s="19" t="s">
        <v>158</v>
      </c>
      <c r="L382" s="175">
        <f t="shared" si="58"/>
        <v>64.283845173504048</v>
      </c>
      <c r="M382" s="175">
        <f t="shared" si="58"/>
        <v>61.890768228045658</v>
      </c>
      <c r="N382" s="175">
        <f t="shared" si="58"/>
        <v>58.406900146945198</v>
      </c>
      <c r="O382" s="175">
        <f t="shared" si="58"/>
        <v>54.995874896467569</v>
      </c>
      <c r="P382" s="175">
        <f t="shared" si="58"/>
        <v>51.655431549786243</v>
      </c>
      <c r="Q382" s="175">
        <f t="shared" si="58"/>
        <v>48.383401789406101</v>
      </c>
      <c r="R382" s="175">
        <f t="shared" si="58"/>
        <v>45.177705213538836</v>
      </c>
      <c r="S382" s="175">
        <f t="shared" si="58"/>
        <v>42.036344925072356</v>
      </c>
      <c r="T382" s="175">
        <f t="shared" si="58"/>
        <v>38.957403383481491</v>
      </c>
      <c r="U382" s="175">
        <f t="shared" si="58"/>
        <v>35.939038501573499</v>
      </c>
      <c r="V382" s="175">
        <f t="shared" si="58"/>
        <v>32.979479970373141</v>
      </c>
      <c r="W382" s="175">
        <f t="shared" si="58"/>
        <v>30.077025796740543</v>
      </c>
      <c r="X382" s="175">
        <f t="shared" si="58"/>
        <v>29.647541791654554</v>
      </c>
      <c r="Y382" s="175">
        <f t="shared" si="58"/>
        <v>29.221147117568211</v>
      </c>
      <c r="Z382" s="175">
        <f t="shared" si="58"/>
        <v>28.797808561031886</v>
      </c>
      <c r="AA382" s="175">
        <f t="shared" si="58"/>
        <v>28.377493383000321</v>
      </c>
      <c r="AB382" s="175">
        <f t="shared" si="58"/>
        <v>27.960169310392558</v>
      </c>
      <c r="AC382" s="175">
        <f t="shared" si="58"/>
        <v>27.545804527831457</v>
      </c>
      <c r="AD382" s="175">
        <f t="shared" si="58"/>
        <v>27.134367669558255</v>
      </c>
      <c r="AE382" s="175">
        <f t="shared" si="58"/>
        <v>26.725827811518013</v>
      </c>
      <c r="AF382" s="175">
        <f t="shared" si="58"/>
        <v>26.320154463611544</v>
      </c>
      <c r="AG382" s="175">
        <f t="shared" si="58"/>
        <v>25.917317562109968</v>
      </c>
      <c r="AH382" s="175">
        <f t="shared" si="58"/>
        <v>25.517287462227777</v>
      </c>
      <c r="AI382" s="175">
        <f t="shared" si="58"/>
        <v>25.120034930850579</v>
      </c>
      <c r="AJ382" s="175">
        <f t="shared" si="58"/>
        <v>24.72553113941386</v>
      </c>
      <c r="AK382" s="175">
        <f t="shared" si="58"/>
        <v>24.33374765692902</v>
      </c>
      <c r="AL382" s="175">
        <f t="shared" si="58"/>
        <v>23.944656443153164</v>
      </c>
      <c r="AM382" s="175">
        <f t="shared" si="58"/>
        <v>23.558229841899298</v>
      </c>
      <c r="AN382" s="175">
        <f t="shared" si="58"/>
        <v>23.174440574483381</v>
      </c>
      <c r="AO382" s="175">
        <f t="shared" si="58"/>
        <v>22.793261733305222</v>
      </c>
      <c r="AP382" s="175">
        <f t="shared" si="58"/>
        <v>22.414666775559784</v>
      </c>
      <c r="AQ382" s="175">
        <f t="shared" si="58"/>
        <v>22.038629517076007</v>
      </c>
    </row>
    <row r="383" spans="7:43" ht="14.25" customHeight="1" thickBot="1" x14ac:dyDescent="0.2">
      <c r="G383" s="22"/>
      <c r="H383" s="253"/>
      <c r="J383" s="241"/>
      <c r="K383" s="144" t="s">
        <v>159</v>
      </c>
      <c r="L383" s="176">
        <f t="shared" si="58"/>
        <v>64.283845173504048</v>
      </c>
      <c r="M383" s="176">
        <f t="shared" si="58"/>
        <v>62.558742747035708</v>
      </c>
      <c r="N383" s="176">
        <f t="shared" si="58"/>
        <v>61.565249884795954</v>
      </c>
      <c r="O383" s="176">
        <f t="shared" si="58"/>
        <v>60.571757022556213</v>
      </c>
      <c r="P383" s="176">
        <f t="shared" si="58"/>
        <v>59.578264160316465</v>
      </c>
      <c r="Q383" s="176">
        <f t="shared" si="58"/>
        <v>58.584771298076717</v>
      </c>
      <c r="R383" s="176">
        <f t="shared" si="58"/>
        <v>57.591278435836976</v>
      </c>
      <c r="S383" s="176">
        <f t="shared" si="58"/>
        <v>56.597785573597228</v>
      </c>
      <c r="T383" s="176">
        <f t="shared" si="58"/>
        <v>55.604292711357481</v>
      </c>
      <c r="U383" s="176">
        <f t="shared" si="58"/>
        <v>54.61079984911774</v>
      </c>
      <c r="V383" s="176">
        <f t="shared" si="58"/>
        <v>53.617306986877999</v>
      </c>
      <c r="W383" s="176">
        <f t="shared" si="58"/>
        <v>52.623814124638251</v>
      </c>
      <c r="X383" s="176">
        <f t="shared" si="58"/>
        <v>51.370078327794211</v>
      </c>
      <c r="Y383" s="176">
        <f t="shared" si="58"/>
        <v>50.131052342945324</v>
      </c>
      <c r="Z383" s="176">
        <f t="shared" si="58"/>
        <v>48.906478799346807</v>
      </c>
      <c r="AA383" s="176">
        <f t="shared" si="58"/>
        <v>47.696106295568264</v>
      </c>
      <c r="AB383" s="176">
        <f t="shared" si="58"/>
        <v>46.499689227430025</v>
      </c>
      <c r="AC383" s="176">
        <f t="shared" si="58"/>
        <v>45.316987621857244</v>
      </c>
      <c r="AD383" s="176">
        <f t="shared" si="58"/>
        <v>44.147766976415205</v>
      </c>
      <c r="AE383" s="176">
        <f t="shared" si="58"/>
        <v>42.991798104300841</v>
      </c>
      <c r="AF383" s="176">
        <f t="shared" si="58"/>
        <v>41.848856984574908</v>
      </c>
      <c r="AG383" s="176">
        <f t="shared" si="58"/>
        <v>40.718724617429636</v>
      </c>
      <c r="AH383" s="176">
        <f t="shared" si="58"/>
        <v>39.601186884295032</v>
      </c>
      <c r="AI383" s="176">
        <f t="shared" si="58"/>
        <v>38.496034412596551</v>
      </c>
      <c r="AJ383" s="176">
        <f t="shared" si="58"/>
        <v>37.403062444984307</v>
      </c>
      <c r="AK383" s="176">
        <f t="shared" si="58"/>
        <v>36.32207071286269</v>
      </c>
      <c r="AL383" s="176">
        <f t="shared" si="58"/>
        <v>35.252863314055894</v>
      </c>
      <c r="AM383" s="176">
        <f t="shared" si="58"/>
        <v>34.195248594452821</v>
      </c>
      <c r="AN383" s="176">
        <f t="shared" si="58"/>
        <v>33.149039033480754</v>
      </c>
      <c r="AO383" s="176">
        <f t="shared" si="58"/>
        <v>32.114051133264432</v>
      </c>
      <c r="AP383" s="176">
        <f t="shared" si="58"/>
        <v>31.090105311332611</v>
      </c>
      <c r="AQ383" s="176">
        <f t="shared" si="58"/>
        <v>30.077025796740543</v>
      </c>
    </row>
    <row r="384" spans="7:43" ht="14.25" customHeight="1" thickTop="1" x14ac:dyDescent="0.15">
      <c r="G384" s="22"/>
      <c r="H384" s="253"/>
      <c r="J384" s="241"/>
      <c r="K384" s="140" t="s">
        <v>160</v>
      </c>
      <c r="L384" s="174">
        <f t="shared" ref="L384:AQ386" si="59" xml:space="preserve"> ((L90 * L397 * $N$45 * (L223 * 1 + L352) +L255) * 1000 / (L127 * 8760)) + L287 + 0</f>
        <v>61.952727674563405</v>
      </c>
      <c r="M384" s="174">
        <f t="shared" si="59"/>
        <v>59.214762906162569</v>
      </c>
      <c r="N384" s="174">
        <f t="shared" si="59"/>
        <v>54.818272491334518</v>
      </c>
      <c r="O384" s="174">
        <f t="shared" si="59"/>
        <v>50.573223277604612</v>
      </c>
      <c r="P384" s="174">
        <f t="shared" si="59"/>
        <v>46.471922949926245</v>
      </c>
      <c r="Q384" s="174">
        <f t="shared" si="59"/>
        <v>42.507191484785913</v>
      </c>
      <c r="R384" s="174">
        <f t="shared" si="59"/>
        <v>38.67231920173824</v>
      </c>
      <c r="S384" s="174">
        <f t="shared" si="59"/>
        <v>34.961028870413742</v>
      </c>
      <c r="T384" s="174">
        <f t="shared" si="59"/>
        <v>31.367441422834119</v>
      </c>
      <c r="U384" s="174">
        <f t="shared" si="59"/>
        <v>27.886044877086547</v>
      </c>
      <c r="V384" s="174">
        <f t="shared" si="59"/>
        <v>24.51166612684754</v>
      </c>
      <c r="W384" s="174">
        <f t="shared" si="59"/>
        <v>21.239445293088409</v>
      </c>
      <c r="X384" s="174">
        <f t="shared" si="59"/>
        <v>20.947351448281712</v>
      </c>
      <c r="Y384" s="174">
        <f t="shared" si="59"/>
        <v>20.65652207899365</v>
      </c>
      <c r="Z384" s="174">
        <f t="shared" si="59"/>
        <v>20.366948992078328</v>
      </c>
      <c r="AA384" s="174">
        <f t="shared" si="59"/>
        <v>20.078624065020403</v>
      </c>
      <c r="AB384" s="174">
        <f t="shared" si="59"/>
        <v>19.791539245175624</v>
      </c>
      <c r="AC384" s="174">
        <f t="shared" si="59"/>
        <v>19.50568654902116</v>
      </c>
      <c r="AD384" s="174">
        <f t="shared" si="59"/>
        <v>19.221058061415548</v>
      </c>
      <c r="AE384" s="174">
        <f t="shared" si="59"/>
        <v>18.937645934868083</v>
      </c>
      <c r="AF384" s="174">
        <f t="shared" si="59"/>
        <v>18.655442388817608</v>
      </c>
      <c r="AG384" s="174">
        <f t="shared" si="59"/>
        <v>18.374439708920551</v>
      </c>
      <c r="AH384" s="174">
        <f t="shared" si="59"/>
        <v>18.094630246347897</v>
      </c>
      <c r="AI384" s="174">
        <f t="shared" si="59"/>
        <v>17.816006417091224</v>
      </c>
      <c r="AJ384" s="174">
        <f t="shared" si="59"/>
        <v>17.538560701277497</v>
      </c>
      <c r="AK384" s="174">
        <f t="shared" si="59"/>
        <v>17.262285642492522</v>
      </c>
      <c r="AL384" s="174">
        <f t="shared" si="59"/>
        <v>16.987173847112953</v>
      </c>
      <c r="AM384" s="174">
        <f t="shared" si="59"/>
        <v>16.71321798364675</v>
      </c>
      <c r="AN384" s="174">
        <f t="shared" si="59"/>
        <v>16.440410782081873</v>
      </c>
      <c r="AO384" s="174">
        <f t="shared" si="59"/>
        <v>16.168745033243205</v>
      </c>
      <c r="AP384" s="174">
        <f t="shared" si="59"/>
        <v>15.898213588157519</v>
      </c>
      <c r="AQ384" s="174">
        <f t="shared" si="59"/>
        <v>15.628809357426352</v>
      </c>
    </row>
    <row r="385" spans="7:43" ht="14.25" customHeight="1" x14ac:dyDescent="0.15">
      <c r="G385" s="22"/>
      <c r="H385" s="253"/>
      <c r="J385" s="241"/>
      <c r="K385" s="19" t="s">
        <v>161</v>
      </c>
      <c r="L385" s="175">
        <f t="shared" si="59"/>
        <v>61.952727674563405</v>
      </c>
      <c r="M385" s="175">
        <f t="shared" si="59"/>
        <v>59.646430596252237</v>
      </c>
      <c r="N385" s="175">
        <f t="shared" si="59"/>
        <v>56.288897612654644</v>
      </c>
      <c r="O385" s="175">
        <f t="shared" si="59"/>
        <v>53.001565968700625</v>
      </c>
      <c r="P385" s="175">
        <f t="shared" si="59"/>
        <v>49.782256725286643</v>
      </c>
      <c r="Q385" s="175">
        <f t="shared" si="59"/>
        <v>46.628880194359247</v>
      </c>
      <c r="R385" s="175">
        <f t="shared" si="59"/>
        <v>43.539431415494931</v>
      </c>
      <c r="S385" s="175">
        <f t="shared" si="59"/>
        <v>40.51198590482614</v>
      </c>
      <c r="T385" s="175">
        <f t="shared" si="59"/>
        <v>37.544695657373737</v>
      </c>
      <c r="U385" s="175">
        <f t="shared" si="59"/>
        <v>34.635785385335652</v>
      </c>
      <c r="V385" s="175">
        <f t="shared" si="59"/>
        <v>31.783548976242322</v>
      </c>
      <c r="W385" s="175">
        <f t="shared" si="59"/>
        <v>28.986346156130466</v>
      </c>
      <c r="X385" s="175">
        <f t="shared" si="59"/>
        <v>28.572436478887951</v>
      </c>
      <c r="Y385" s="175">
        <f t="shared" si="59"/>
        <v>28.161504104599246</v>
      </c>
      <c r="Z385" s="175">
        <f t="shared" si="59"/>
        <v>27.753517024230138</v>
      </c>
      <c r="AA385" s="175">
        <f t="shared" si="59"/>
        <v>27.348443685947508</v>
      </c>
      <c r="AB385" s="175">
        <f t="shared" si="59"/>
        <v>26.946252986985325</v>
      </c>
      <c r="AC385" s="175">
        <f t="shared" si="59"/>
        <v>26.546914265683718</v>
      </c>
      <c r="AD385" s="175">
        <f t="shared" si="59"/>
        <v>26.150397293696738</v>
      </c>
      <c r="AE385" s="175">
        <f t="shared" si="59"/>
        <v>25.756672268364809</v>
      </c>
      <c r="AF385" s="175">
        <f t="shared" si="59"/>
        <v>25.365709805247604</v>
      </c>
      <c r="AG385" s="175">
        <f t="shared" si="59"/>
        <v>24.977480930813716</v>
      </c>
      <c r="AH385" s="175">
        <f t="shared" si="59"/>
        <v>24.591957075282984</v>
      </c>
      <c r="AI385" s="175">
        <f t="shared" si="59"/>
        <v>24.209110065618006</v>
      </c>
      <c r="AJ385" s="175">
        <f t="shared" si="59"/>
        <v>23.828912118661105</v>
      </c>
      <c r="AK385" s="175">
        <f t="shared" si="59"/>
        <v>23.451335834413257</v>
      </c>
      <c r="AL385" s="175">
        <f t="shared" si="59"/>
        <v>23.076354189451603</v>
      </c>
      <c r="AM385" s="175">
        <f t="shared" si="59"/>
        <v>22.703940530482189</v>
      </c>
      <c r="AN385" s="175">
        <f t="shared" si="59"/>
        <v>22.334068568024684</v>
      </c>
      <c r="AO385" s="175">
        <f t="shared" si="59"/>
        <v>21.966712370226023</v>
      </c>
      <c r="AP385" s="175">
        <f t="shared" si="59"/>
        <v>21.601846356799786</v>
      </c>
      <c r="AQ385" s="175">
        <f t="shared" si="59"/>
        <v>21.239445293088409</v>
      </c>
    </row>
    <row r="386" spans="7:43" ht="14.25" customHeight="1" thickBot="1" x14ac:dyDescent="0.2">
      <c r="G386" s="22"/>
      <c r="H386" s="253"/>
      <c r="J386" s="251"/>
      <c r="K386" s="144" t="s">
        <v>162</v>
      </c>
      <c r="L386" s="176">
        <f t="shared" si="59"/>
        <v>61.952727674563405</v>
      </c>
      <c r="M386" s="176">
        <f t="shared" si="59"/>
        <v>60.290182434009367</v>
      </c>
      <c r="N386" s="176">
        <f t="shared" si="59"/>
        <v>59.332716486307618</v>
      </c>
      <c r="O386" s="176">
        <f t="shared" si="59"/>
        <v>58.375250538605876</v>
      </c>
      <c r="P386" s="176">
        <f t="shared" si="59"/>
        <v>57.41778459090412</v>
      </c>
      <c r="Q386" s="176">
        <f t="shared" si="59"/>
        <v>56.46031864320237</v>
      </c>
      <c r="R386" s="176">
        <f t="shared" si="59"/>
        <v>55.502852695500628</v>
      </c>
      <c r="S386" s="176">
        <f t="shared" si="59"/>
        <v>54.545386747798879</v>
      </c>
      <c r="T386" s="176">
        <f t="shared" si="59"/>
        <v>53.587920800097123</v>
      </c>
      <c r="U386" s="176">
        <f t="shared" si="59"/>
        <v>52.630454852395381</v>
      </c>
      <c r="V386" s="176">
        <f t="shared" si="59"/>
        <v>51.672988904693639</v>
      </c>
      <c r="W386" s="176">
        <f t="shared" si="59"/>
        <v>50.71552295699189</v>
      </c>
      <c r="X386" s="176">
        <f t="shared" si="59"/>
        <v>49.507251233542696</v>
      </c>
      <c r="Y386" s="176">
        <f t="shared" si="59"/>
        <v>48.313155901910463</v>
      </c>
      <c r="Z386" s="176">
        <f t="shared" si="59"/>
        <v>47.132988924355367</v>
      </c>
      <c r="AA386" s="176">
        <f t="shared" si="59"/>
        <v>45.966508015987444</v>
      </c>
      <c r="AB386" s="176">
        <f t="shared" si="59"/>
        <v>44.813476478942455</v>
      </c>
      <c r="AC386" s="176">
        <f t="shared" si="59"/>
        <v>43.673663042260856</v>
      </c>
      <c r="AD386" s="176">
        <f t="shared" si="59"/>
        <v>42.546841707242088</v>
      </c>
      <c r="AE386" s="176">
        <f t="shared" si="59"/>
        <v>41.432791598057094</v>
      </c>
      <c r="AF386" s="176">
        <f t="shared" si="59"/>
        <v>40.331296817411548</v>
      </c>
      <c r="AG386" s="176">
        <f t="shared" si="59"/>
        <v>39.242146307061873</v>
      </c>
      <c r="AH386" s="176">
        <f t="shared" si="59"/>
        <v>38.165133712994574</v>
      </c>
      <c r="AI386" s="176">
        <f t="shared" si="59"/>
        <v>37.100057255088046</v>
      </c>
      <c r="AJ386" s="176">
        <f t="shared" si="59"/>
        <v>36.046719601084085</v>
      </c>
      <c r="AK386" s="176">
        <f t="shared" si="59"/>
        <v>35.004927744703522</v>
      </c>
      <c r="AL386" s="176">
        <f t="shared" si="59"/>
        <v>33.974492887748077</v>
      </c>
      <c r="AM386" s="176">
        <f t="shared" si="59"/>
        <v>32.955230326037075</v>
      </c>
      <c r="AN386" s="176">
        <f t="shared" si="59"/>
        <v>31.946959339034237</v>
      </c>
      <c r="AO386" s="176">
        <f t="shared" si="59"/>
        <v>30.949503083026102</v>
      </c>
      <c r="AP386" s="176">
        <f t="shared" si="59"/>
        <v>29.962688487719412</v>
      </c>
      <c r="AQ386" s="176">
        <f t="shared" si="59"/>
        <v>28.986346156130466</v>
      </c>
    </row>
    <row r="387" spans="7:43" ht="14.25" customHeight="1" thickTop="1" thickBot="1" x14ac:dyDescent="0.2">
      <c r="G387" s="22"/>
    </row>
    <row r="388" spans="7:43" ht="14.25" customHeight="1" x14ac:dyDescent="0.15">
      <c r="G388" s="22"/>
      <c r="H388" s="170"/>
      <c r="I388" s="170"/>
      <c r="J388" s="170"/>
      <c r="K388" s="170"/>
      <c r="L388" s="170"/>
      <c r="M388" s="170"/>
      <c r="N388" s="170"/>
      <c r="O388" s="170"/>
      <c r="P388" s="170"/>
      <c r="Q388" s="170"/>
      <c r="R388" s="170"/>
      <c r="S388" s="170"/>
      <c r="T388" s="170"/>
      <c r="U388" s="170"/>
      <c r="V388" s="170"/>
      <c r="W388" s="170"/>
      <c r="X388" s="170"/>
      <c r="Y388" s="170"/>
      <c r="Z388" s="170"/>
      <c r="AA388" s="170"/>
      <c r="AB388" s="170"/>
      <c r="AC388" s="170"/>
      <c r="AD388" s="170"/>
      <c r="AE388" s="170"/>
      <c r="AF388" s="170"/>
      <c r="AG388" s="170"/>
      <c r="AH388" s="170"/>
      <c r="AI388" s="170"/>
      <c r="AJ388" s="170"/>
      <c r="AK388" s="170"/>
      <c r="AL388" s="170"/>
      <c r="AM388" s="170"/>
      <c r="AN388" s="170"/>
      <c r="AO388" s="170"/>
      <c r="AP388" s="170"/>
      <c r="AQ388" s="170"/>
    </row>
    <row r="389" spans="7:43" ht="14.25" customHeight="1" x14ac:dyDescent="0.15">
      <c r="G389" s="22"/>
      <c r="L389" s="128">
        <v>2019</v>
      </c>
      <c r="M389" s="128">
        <v>2020</v>
      </c>
      <c r="N389" s="128">
        <v>2021</v>
      </c>
      <c r="O389" s="128">
        <v>2022</v>
      </c>
      <c r="P389" s="128">
        <v>2023</v>
      </c>
      <c r="Q389" s="128">
        <v>2024</v>
      </c>
      <c r="R389" s="128">
        <v>2025</v>
      </c>
      <c r="S389" s="128">
        <v>2026</v>
      </c>
      <c r="T389" s="128">
        <v>2027</v>
      </c>
      <c r="U389" s="128">
        <v>2028</v>
      </c>
      <c r="V389" s="128">
        <v>2029</v>
      </c>
      <c r="W389" s="128">
        <v>2030</v>
      </c>
      <c r="X389" s="128">
        <v>2031</v>
      </c>
      <c r="Y389" s="128">
        <v>2032</v>
      </c>
      <c r="Z389" s="128">
        <v>2033</v>
      </c>
      <c r="AA389" s="128">
        <v>2034</v>
      </c>
      <c r="AB389" s="128">
        <v>2035</v>
      </c>
      <c r="AC389" s="128">
        <v>2036</v>
      </c>
      <c r="AD389" s="128">
        <v>2037</v>
      </c>
      <c r="AE389" s="128">
        <v>2038</v>
      </c>
      <c r="AF389" s="128">
        <v>2039</v>
      </c>
      <c r="AG389" s="128">
        <v>2040</v>
      </c>
      <c r="AH389" s="128">
        <v>2041</v>
      </c>
      <c r="AI389" s="128">
        <v>2042</v>
      </c>
      <c r="AJ389" s="128">
        <v>2043</v>
      </c>
      <c r="AK389" s="128">
        <v>2044</v>
      </c>
      <c r="AL389" s="128">
        <v>2045</v>
      </c>
      <c r="AM389" s="128">
        <v>2046</v>
      </c>
      <c r="AN389" s="128">
        <v>2047</v>
      </c>
      <c r="AO389" s="128">
        <v>2048</v>
      </c>
      <c r="AP389" s="128">
        <v>2049</v>
      </c>
      <c r="AQ389" s="128">
        <v>2050</v>
      </c>
    </row>
    <row r="390" spans="7:43" ht="14.25" customHeight="1" x14ac:dyDescent="0.15">
      <c r="G390" s="22"/>
      <c r="H390" s="239" t="s">
        <v>172</v>
      </c>
      <c r="J390" s="240" t="s">
        <v>173</v>
      </c>
      <c r="K390" s="19" t="s">
        <v>174</v>
      </c>
      <c r="L390" s="177">
        <v>0.116085097876559</v>
      </c>
      <c r="M390" s="177">
        <v>0.116085097876559</v>
      </c>
      <c r="N390" s="177">
        <v>0.116085097876559</v>
      </c>
      <c r="O390" s="177">
        <v>0.116085097876559</v>
      </c>
      <c r="P390" s="177">
        <v>0.116085097876559</v>
      </c>
      <c r="Q390" s="177">
        <v>0.116085097876559</v>
      </c>
      <c r="R390" s="177">
        <v>0.116085097876559</v>
      </c>
      <c r="S390" s="177">
        <v>0.116085097876559</v>
      </c>
      <c r="T390" s="177">
        <v>0.116085097876559</v>
      </c>
      <c r="U390" s="177">
        <v>0.116085097876559</v>
      </c>
      <c r="V390" s="177">
        <v>0.116085097876559</v>
      </c>
      <c r="W390" s="177">
        <v>0.116085097876559</v>
      </c>
      <c r="X390" s="177">
        <v>0.116085097876559</v>
      </c>
      <c r="Y390" s="177">
        <v>0.116085097876559</v>
      </c>
      <c r="Z390" s="177">
        <v>0.116085097876559</v>
      </c>
      <c r="AA390" s="177">
        <v>0.116085097876559</v>
      </c>
      <c r="AB390" s="177">
        <v>0.116085097876559</v>
      </c>
      <c r="AC390" s="177">
        <v>0.116085097876559</v>
      </c>
      <c r="AD390" s="177">
        <v>0.116085097876559</v>
      </c>
      <c r="AE390" s="177">
        <v>0.116085097876559</v>
      </c>
      <c r="AF390" s="177">
        <v>0.116085097876559</v>
      </c>
      <c r="AG390" s="177">
        <v>0.116085097876559</v>
      </c>
      <c r="AH390" s="177">
        <v>0.116085097876559</v>
      </c>
      <c r="AI390" s="177">
        <v>0.116085097876559</v>
      </c>
      <c r="AJ390" s="177">
        <v>0.116085097876559</v>
      </c>
      <c r="AK390" s="177">
        <v>0.116085097876559</v>
      </c>
      <c r="AL390" s="177">
        <v>0.116085097876559</v>
      </c>
      <c r="AM390" s="177">
        <v>0.116085097876559</v>
      </c>
      <c r="AN390" s="177">
        <v>0.116085097876559</v>
      </c>
      <c r="AO390" s="177">
        <v>0.116085097876559</v>
      </c>
      <c r="AP390" s="177">
        <v>0.116085097876559</v>
      </c>
      <c r="AQ390" s="177">
        <v>0.116085097876559</v>
      </c>
    </row>
    <row r="391" spans="7:43" ht="14.25" customHeight="1" x14ac:dyDescent="0.15">
      <c r="G391" s="22"/>
      <c r="H391" s="239"/>
      <c r="J391" s="241"/>
      <c r="K391" s="19" t="s">
        <v>175</v>
      </c>
      <c r="L391" s="177">
        <v>0.116085097876559</v>
      </c>
      <c r="M391" s="177">
        <v>0.116085097876559</v>
      </c>
      <c r="N391" s="177">
        <v>0.116085097876559</v>
      </c>
      <c r="O391" s="177">
        <v>0.116085097876559</v>
      </c>
      <c r="P391" s="177">
        <v>0.116085097876559</v>
      </c>
      <c r="Q391" s="177">
        <v>0.116085097876559</v>
      </c>
      <c r="R391" s="177">
        <v>0.116085097876559</v>
      </c>
      <c r="S391" s="177">
        <v>0.116085097876559</v>
      </c>
      <c r="T391" s="177">
        <v>0.116085097876559</v>
      </c>
      <c r="U391" s="177">
        <v>0.116085097876559</v>
      </c>
      <c r="V391" s="177">
        <v>0.116085097876559</v>
      </c>
      <c r="W391" s="177">
        <v>0.116085097876559</v>
      </c>
      <c r="X391" s="177">
        <v>0.116085097876559</v>
      </c>
      <c r="Y391" s="177">
        <v>0.116085097876559</v>
      </c>
      <c r="Z391" s="177">
        <v>0.116085097876559</v>
      </c>
      <c r="AA391" s="177">
        <v>0.116085097876559</v>
      </c>
      <c r="AB391" s="177">
        <v>0.116085097876559</v>
      </c>
      <c r="AC391" s="177">
        <v>0.116085097876559</v>
      </c>
      <c r="AD391" s="177">
        <v>0.116085097876559</v>
      </c>
      <c r="AE391" s="177">
        <v>0.116085097876559</v>
      </c>
      <c r="AF391" s="177">
        <v>0.116085097876559</v>
      </c>
      <c r="AG391" s="177">
        <v>0.116085097876559</v>
      </c>
      <c r="AH391" s="177">
        <v>0.116085097876559</v>
      </c>
      <c r="AI391" s="177">
        <v>0.116085097876559</v>
      </c>
      <c r="AJ391" s="177">
        <v>0.116085097876559</v>
      </c>
      <c r="AK391" s="177">
        <v>0.116085097876559</v>
      </c>
      <c r="AL391" s="177">
        <v>0.116085097876559</v>
      </c>
      <c r="AM391" s="177">
        <v>0.116085097876559</v>
      </c>
      <c r="AN391" s="177">
        <v>0.116085097876559</v>
      </c>
      <c r="AO391" s="177">
        <v>0.116085097876559</v>
      </c>
      <c r="AP391" s="177">
        <v>0.116085097876559</v>
      </c>
      <c r="AQ391" s="177">
        <v>0.116085097876559</v>
      </c>
    </row>
    <row r="392" spans="7:43" ht="14.25" customHeight="1" x14ac:dyDescent="0.15">
      <c r="G392" s="22"/>
      <c r="H392" s="239"/>
      <c r="J392" s="241"/>
      <c r="K392" s="19" t="s">
        <v>176</v>
      </c>
      <c r="L392" s="177">
        <v>0.116085097876559</v>
      </c>
      <c r="M392" s="177">
        <v>0.116085097876559</v>
      </c>
      <c r="N392" s="177">
        <v>0.116085097876559</v>
      </c>
      <c r="O392" s="177">
        <v>0.116085097876559</v>
      </c>
      <c r="P392" s="177">
        <v>0.116085097876559</v>
      </c>
      <c r="Q392" s="177">
        <v>0.116085097876559</v>
      </c>
      <c r="R392" s="177">
        <v>0.116085097876559</v>
      </c>
      <c r="S392" s="177">
        <v>0.116085097876559</v>
      </c>
      <c r="T392" s="177">
        <v>0.116085097876559</v>
      </c>
      <c r="U392" s="177">
        <v>0.116085097876559</v>
      </c>
      <c r="V392" s="177">
        <v>0.116085097876559</v>
      </c>
      <c r="W392" s="177">
        <v>0.116085097876559</v>
      </c>
      <c r="X392" s="177">
        <v>0.116085097876559</v>
      </c>
      <c r="Y392" s="177">
        <v>0.116085097876559</v>
      </c>
      <c r="Z392" s="177">
        <v>0.116085097876559</v>
      </c>
      <c r="AA392" s="177">
        <v>0.116085097876559</v>
      </c>
      <c r="AB392" s="177">
        <v>0.116085097876559</v>
      </c>
      <c r="AC392" s="177">
        <v>0.116085097876559</v>
      </c>
      <c r="AD392" s="177">
        <v>0.116085097876559</v>
      </c>
      <c r="AE392" s="177">
        <v>0.116085097876559</v>
      </c>
      <c r="AF392" s="177">
        <v>0.116085097876559</v>
      </c>
      <c r="AG392" s="177">
        <v>0.116085097876559</v>
      </c>
      <c r="AH392" s="177">
        <v>0.116085097876559</v>
      </c>
      <c r="AI392" s="177">
        <v>0.116085097876559</v>
      </c>
      <c r="AJ392" s="177">
        <v>0.116085097876559</v>
      </c>
      <c r="AK392" s="177">
        <v>0.116085097876559</v>
      </c>
      <c r="AL392" s="177">
        <v>0.116085097876559</v>
      </c>
      <c r="AM392" s="177">
        <v>0.116085097876559</v>
      </c>
      <c r="AN392" s="177">
        <v>0.116085097876559</v>
      </c>
      <c r="AO392" s="177">
        <v>0.116085097876559</v>
      </c>
      <c r="AP392" s="177">
        <v>0.116085097876559</v>
      </c>
      <c r="AQ392" s="177">
        <v>0.116085097876559</v>
      </c>
    </row>
    <row r="393" spans="7:43" ht="14.25" customHeight="1" x14ac:dyDescent="0.15">
      <c r="G393" s="22"/>
      <c r="H393" s="239"/>
      <c r="J393" s="241"/>
      <c r="K393" s="19" t="s">
        <v>177</v>
      </c>
      <c r="L393" s="177">
        <v>0</v>
      </c>
      <c r="M393" s="177">
        <v>0</v>
      </c>
      <c r="N393" s="177">
        <v>0</v>
      </c>
      <c r="O393" s="177">
        <v>0</v>
      </c>
      <c r="P393" s="177">
        <v>0</v>
      </c>
      <c r="Q393" s="177">
        <v>0</v>
      </c>
      <c r="R393" s="177">
        <v>0</v>
      </c>
      <c r="S393" s="177">
        <v>0</v>
      </c>
      <c r="T393" s="177">
        <v>0</v>
      </c>
      <c r="U393" s="177">
        <v>0</v>
      </c>
      <c r="V393" s="177">
        <v>0</v>
      </c>
      <c r="W393" s="177">
        <v>0</v>
      </c>
      <c r="X393" s="177">
        <v>0</v>
      </c>
      <c r="Y393" s="177">
        <v>0</v>
      </c>
      <c r="Z393" s="177">
        <v>0</v>
      </c>
      <c r="AA393" s="177">
        <v>0</v>
      </c>
      <c r="AB393" s="177">
        <v>0</v>
      </c>
      <c r="AC393" s="177">
        <v>0</v>
      </c>
      <c r="AD393" s="177">
        <v>0</v>
      </c>
      <c r="AE393" s="177">
        <v>0</v>
      </c>
      <c r="AF393" s="177">
        <v>0</v>
      </c>
      <c r="AG393" s="177">
        <v>0</v>
      </c>
      <c r="AH393" s="177">
        <v>0</v>
      </c>
      <c r="AI393" s="177">
        <v>0</v>
      </c>
      <c r="AJ393" s="177">
        <v>0</v>
      </c>
      <c r="AK393" s="177">
        <v>0</v>
      </c>
      <c r="AL393" s="177">
        <v>0</v>
      </c>
      <c r="AM393" s="177">
        <v>0</v>
      </c>
      <c r="AN393" s="177">
        <v>0</v>
      </c>
      <c r="AO393" s="177">
        <v>0</v>
      </c>
      <c r="AP393" s="177">
        <v>0</v>
      </c>
      <c r="AQ393" s="177">
        <v>0</v>
      </c>
    </row>
    <row r="394" spans="7:43" ht="14.25" customHeight="1" x14ac:dyDescent="0.15">
      <c r="G394" s="22"/>
      <c r="H394" s="239"/>
      <c r="J394" s="241"/>
      <c r="K394" s="19" t="s">
        <v>178</v>
      </c>
      <c r="L394" s="178">
        <f t="shared" ref="L394:AQ394" si="60">SUMPRODUCT($I$401:$I$406,L401:L406)</f>
        <v>0.88881178975855901</v>
      </c>
      <c r="M394" s="178">
        <f t="shared" si="60"/>
        <v>0.88881178975855901</v>
      </c>
      <c r="N394" s="178">
        <f t="shared" si="60"/>
        <v>0.88881178975855901</v>
      </c>
      <c r="O394" s="178">
        <f t="shared" si="60"/>
        <v>0.88881178975855901</v>
      </c>
      <c r="P394" s="178">
        <f t="shared" si="60"/>
        <v>0.88881178975855901</v>
      </c>
      <c r="Q394" s="178">
        <f t="shared" si="60"/>
        <v>0.88881178975855901</v>
      </c>
      <c r="R394" s="178">
        <f t="shared" si="60"/>
        <v>0.88881178975855901</v>
      </c>
      <c r="S394" s="178">
        <f t="shared" si="60"/>
        <v>0.88881178975855901</v>
      </c>
      <c r="T394" s="178">
        <f t="shared" si="60"/>
        <v>0.88881178975855901</v>
      </c>
      <c r="U394" s="178">
        <f t="shared" si="60"/>
        <v>0.88881178975855901</v>
      </c>
      <c r="V394" s="178">
        <f t="shared" si="60"/>
        <v>0.88881178975855901</v>
      </c>
      <c r="W394" s="178">
        <f t="shared" si="60"/>
        <v>0.88881178975855901</v>
      </c>
      <c r="X394" s="178">
        <f t="shared" si="60"/>
        <v>0.88881178975855901</v>
      </c>
      <c r="Y394" s="178">
        <f t="shared" si="60"/>
        <v>0.88881178975855901</v>
      </c>
      <c r="Z394" s="178">
        <f t="shared" si="60"/>
        <v>0.88881178975855901</v>
      </c>
      <c r="AA394" s="178">
        <f t="shared" si="60"/>
        <v>0.88881178975855901</v>
      </c>
      <c r="AB394" s="178">
        <f t="shared" si="60"/>
        <v>0.88881178975855901</v>
      </c>
      <c r="AC394" s="178">
        <f t="shared" si="60"/>
        <v>0.88881178975855901</v>
      </c>
      <c r="AD394" s="178">
        <f t="shared" si="60"/>
        <v>0.88881178975855901</v>
      </c>
      <c r="AE394" s="178">
        <f t="shared" si="60"/>
        <v>0.88881178975855901</v>
      </c>
      <c r="AF394" s="178">
        <f t="shared" si="60"/>
        <v>0.88881178975855901</v>
      </c>
      <c r="AG394" s="178">
        <f t="shared" si="60"/>
        <v>0.88881178975855901</v>
      </c>
      <c r="AH394" s="178">
        <f t="shared" si="60"/>
        <v>0.88881178975855901</v>
      </c>
      <c r="AI394" s="178">
        <f t="shared" si="60"/>
        <v>0.88881178975855901</v>
      </c>
      <c r="AJ394" s="178">
        <f t="shared" si="60"/>
        <v>0.88881178975855901</v>
      </c>
      <c r="AK394" s="178">
        <f t="shared" si="60"/>
        <v>0.88881178975855901</v>
      </c>
      <c r="AL394" s="178">
        <f t="shared" si="60"/>
        <v>0.88881178975855901</v>
      </c>
      <c r="AM394" s="178">
        <f t="shared" si="60"/>
        <v>0.88881178975855901</v>
      </c>
      <c r="AN394" s="178">
        <f t="shared" si="60"/>
        <v>0.88881178975855901</v>
      </c>
      <c r="AO394" s="178">
        <f t="shared" si="60"/>
        <v>0.88881178975855901</v>
      </c>
      <c r="AP394" s="178">
        <f t="shared" si="60"/>
        <v>0.88881178975855901</v>
      </c>
      <c r="AQ394" s="178">
        <f t="shared" si="60"/>
        <v>0.88881178975855901</v>
      </c>
    </row>
    <row r="395" spans="7:43" ht="14.25" customHeight="1" x14ac:dyDescent="0.15">
      <c r="G395" s="22"/>
      <c r="H395" s="239"/>
      <c r="J395" s="241"/>
      <c r="K395" s="19" t="s">
        <v>179</v>
      </c>
      <c r="L395" s="178">
        <f t="shared" ref="L395:AQ395" si="61">SUMPRODUCT($I$401:$I$406,L408:L413)</f>
        <v>0.88881178975855901</v>
      </c>
      <c r="M395" s="178">
        <f t="shared" si="61"/>
        <v>0.88881178975855901</v>
      </c>
      <c r="N395" s="178">
        <f t="shared" si="61"/>
        <v>0.88881178975855901</v>
      </c>
      <c r="O395" s="178">
        <f t="shared" si="61"/>
        <v>0.88881178975855901</v>
      </c>
      <c r="P395" s="178">
        <f t="shared" si="61"/>
        <v>0.88881178975855901</v>
      </c>
      <c r="Q395" s="178">
        <f t="shared" si="61"/>
        <v>0.88881178975855901</v>
      </c>
      <c r="R395" s="178">
        <f t="shared" si="61"/>
        <v>0.88881178975855901</v>
      </c>
      <c r="S395" s="178">
        <f t="shared" si="61"/>
        <v>0.88881178975855901</v>
      </c>
      <c r="T395" s="178">
        <f t="shared" si="61"/>
        <v>0.88881178975855901</v>
      </c>
      <c r="U395" s="178">
        <f t="shared" si="61"/>
        <v>0.88881178975855901</v>
      </c>
      <c r="V395" s="178">
        <f t="shared" si="61"/>
        <v>0.88881178975855901</v>
      </c>
      <c r="W395" s="178">
        <f t="shared" si="61"/>
        <v>0.88881178975855901</v>
      </c>
      <c r="X395" s="178">
        <f t="shared" si="61"/>
        <v>0.88881178975855901</v>
      </c>
      <c r="Y395" s="178">
        <f t="shared" si="61"/>
        <v>0.88881178975855901</v>
      </c>
      <c r="Z395" s="178">
        <f t="shared" si="61"/>
        <v>0.88881178975855901</v>
      </c>
      <c r="AA395" s="178">
        <f t="shared" si="61"/>
        <v>0.88881178975855901</v>
      </c>
      <c r="AB395" s="178">
        <f t="shared" si="61"/>
        <v>0.88881178975855901</v>
      </c>
      <c r="AC395" s="178">
        <f t="shared" si="61"/>
        <v>0.88881178975855901</v>
      </c>
      <c r="AD395" s="178">
        <f t="shared" si="61"/>
        <v>0.88881178975855901</v>
      </c>
      <c r="AE395" s="178">
        <f t="shared" si="61"/>
        <v>0.88881178975855901</v>
      </c>
      <c r="AF395" s="178">
        <f t="shared" si="61"/>
        <v>0.88881178975855901</v>
      </c>
      <c r="AG395" s="178">
        <f t="shared" si="61"/>
        <v>0.88881178975855901</v>
      </c>
      <c r="AH395" s="178">
        <f t="shared" si="61"/>
        <v>0.88881178975855901</v>
      </c>
      <c r="AI395" s="178">
        <f t="shared" si="61"/>
        <v>0.88881178975855901</v>
      </c>
      <c r="AJ395" s="178">
        <f t="shared" si="61"/>
        <v>0.88881178975855901</v>
      </c>
      <c r="AK395" s="178">
        <f t="shared" si="61"/>
        <v>0.88881178975855901</v>
      </c>
      <c r="AL395" s="178">
        <f t="shared" si="61"/>
        <v>0.88881178975855901</v>
      </c>
      <c r="AM395" s="178">
        <f t="shared" si="61"/>
        <v>0.88881178975855901</v>
      </c>
      <c r="AN395" s="178">
        <f t="shared" si="61"/>
        <v>0.88881178975855901</v>
      </c>
      <c r="AO395" s="178">
        <f t="shared" si="61"/>
        <v>0.88881178975855901</v>
      </c>
      <c r="AP395" s="178">
        <f t="shared" si="61"/>
        <v>0.88881178975855901</v>
      </c>
      <c r="AQ395" s="178">
        <f t="shared" si="61"/>
        <v>0.88881178975855901</v>
      </c>
    </row>
    <row r="396" spans="7:43" ht="14.25" customHeight="1" x14ac:dyDescent="0.15">
      <c r="G396" s="22"/>
      <c r="H396" s="239"/>
      <c r="J396" s="241"/>
      <c r="K396" s="19" t="s">
        <v>180</v>
      </c>
      <c r="L396" s="178">
        <f t="shared" ref="L396:AQ396" si="62">SUMPRODUCT($I$401:$I$406,L415:L420)</f>
        <v>0.88881178975855901</v>
      </c>
      <c r="M396" s="178">
        <f t="shared" si="62"/>
        <v>0.88881178975855901</v>
      </c>
      <c r="N396" s="178">
        <f t="shared" si="62"/>
        <v>0.88881178975855901</v>
      </c>
      <c r="O396" s="178">
        <f t="shared" si="62"/>
        <v>0.88881178975855901</v>
      </c>
      <c r="P396" s="178">
        <f t="shared" si="62"/>
        <v>0.88881178975855901</v>
      </c>
      <c r="Q396" s="178">
        <f t="shared" si="62"/>
        <v>0.88881178975855901</v>
      </c>
      <c r="R396" s="178">
        <f t="shared" si="62"/>
        <v>0.88881178975855901</v>
      </c>
      <c r="S396" s="178">
        <f t="shared" si="62"/>
        <v>0.88881178975855901</v>
      </c>
      <c r="T396" s="178">
        <f t="shared" si="62"/>
        <v>0.88881178975855901</v>
      </c>
      <c r="U396" s="178">
        <f t="shared" si="62"/>
        <v>0.88881178975855901</v>
      </c>
      <c r="V396" s="178">
        <f t="shared" si="62"/>
        <v>0.88881178975855901</v>
      </c>
      <c r="W396" s="178">
        <f t="shared" si="62"/>
        <v>0.88881178975855901</v>
      </c>
      <c r="X396" s="178">
        <f t="shared" si="62"/>
        <v>0.88881178975855901</v>
      </c>
      <c r="Y396" s="178">
        <f t="shared" si="62"/>
        <v>0.88881178975855901</v>
      </c>
      <c r="Z396" s="178">
        <f t="shared" si="62"/>
        <v>0.88881178975855901</v>
      </c>
      <c r="AA396" s="178">
        <f t="shared" si="62"/>
        <v>0.88881178975855901</v>
      </c>
      <c r="AB396" s="178">
        <f t="shared" si="62"/>
        <v>0.88881178975855901</v>
      </c>
      <c r="AC396" s="178">
        <f t="shared" si="62"/>
        <v>0.88881178975855901</v>
      </c>
      <c r="AD396" s="178">
        <f t="shared" si="62"/>
        <v>0.88881178975855901</v>
      </c>
      <c r="AE396" s="178">
        <f t="shared" si="62"/>
        <v>0.88881178975855901</v>
      </c>
      <c r="AF396" s="178">
        <f t="shared" si="62"/>
        <v>0.88881178975855901</v>
      </c>
      <c r="AG396" s="178">
        <f t="shared" si="62"/>
        <v>0.88881178975855901</v>
      </c>
      <c r="AH396" s="178">
        <f t="shared" si="62"/>
        <v>0.88881178975855901</v>
      </c>
      <c r="AI396" s="178">
        <f t="shared" si="62"/>
        <v>0.88881178975855901</v>
      </c>
      <c r="AJ396" s="178">
        <f t="shared" si="62"/>
        <v>0.88881178975855901</v>
      </c>
      <c r="AK396" s="178">
        <f t="shared" si="62"/>
        <v>0.88881178975855901</v>
      </c>
      <c r="AL396" s="178">
        <f t="shared" si="62"/>
        <v>0.88881178975855901</v>
      </c>
      <c r="AM396" s="178">
        <f t="shared" si="62"/>
        <v>0.88881178975855901</v>
      </c>
      <c r="AN396" s="178">
        <f t="shared" si="62"/>
        <v>0.88881178975855901</v>
      </c>
      <c r="AO396" s="178">
        <f t="shared" si="62"/>
        <v>0.88881178975855901</v>
      </c>
      <c r="AP396" s="178">
        <f t="shared" si="62"/>
        <v>0.88881178975855901</v>
      </c>
      <c r="AQ396" s="178">
        <f t="shared" si="62"/>
        <v>0.88881178975855901</v>
      </c>
    </row>
    <row r="397" spans="7:43" ht="14.25" customHeight="1" x14ac:dyDescent="0.15">
      <c r="G397" s="22"/>
      <c r="H397" s="239"/>
      <c r="J397" s="241"/>
      <c r="K397" s="19" t="s">
        <v>181</v>
      </c>
      <c r="L397" s="178">
        <f t="shared" ref="L397:AQ399" si="63">(1-L$80*L394*(1-L$393/2)-L$393)/(1-L$80)</f>
        <v>1.0385400556371494</v>
      </c>
      <c r="M397" s="178">
        <f t="shared" si="63"/>
        <v>1.0385400556371494</v>
      </c>
      <c r="N397" s="178">
        <f t="shared" si="63"/>
        <v>1.0385400556371494</v>
      </c>
      <c r="O397" s="178">
        <f t="shared" si="63"/>
        <v>1.0385400556371494</v>
      </c>
      <c r="P397" s="178">
        <f t="shared" si="63"/>
        <v>1.0385400556371494</v>
      </c>
      <c r="Q397" s="178">
        <f t="shared" si="63"/>
        <v>1.0385400556371494</v>
      </c>
      <c r="R397" s="178">
        <f t="shared" si="63"/>
        <v>1.0385400556371494</v>
      </c>
      <c r="S397" s="178">
        <f t="shared" si="63"/>
        <v>1.0385400556371494</v>
      </c>
      <c r="T397" s="178">
        <f t="shared" si="63"/>
        <v>1.0385400556371494</v>
      </c>
      <c r="U397" s="178">
        <f t="shared" si="63"/>
        <v>1.0385400556371494</v>
      </c>
      <c r="V397" s="178">
        <f t="shared" si="63"/>
        <v>1.0385400556371494</v>
      </c>
      <c r="W397" s="178">
        <f t="shared" si="63"/>
        <v>1.0385400556371494</v>
      </c>
      <c r="X397" s="178">
        <f t="shared" si="63"/>
        <v>1.0385400556371494</v>
      </c>
      <c r="Y397" s="178">
        <f t="shared" si="63"/>
        <v>1.0385400556371494</v>
      </c>
      <c r="Z397" s="178">
        <f t="shared" si="63"/>
        <v>1.0385400556371494</v>
      </c>
      <c r="AA397" s="178">
        <f t="shared" si="63"/>
        <v>1.0385400556371494</v>
      </c>
      <c r="AB397" s="178">
        <f t="shared" si="63"/>
        <v>1.0385400556371494</v>
      </c>
      <c r="AC397" s="178">
        <f t="shared" si="63"/>
        <v>1.0385400556371494</v>
      </c>
      <c r="AD397" s="178">
        <f t="shared" si="63"/>
        <v>1.0385400556371494</v>
      </c>
      <c r="AE397" s="178">
        <f t="shared" si="63"/>
        <v>1.0385400556371494</v>
      </c>
      <c r="AF397" s="178">
        <f t="shared" si="63"/>
        <v>1.0385400556371494</v>
      </c>
      <c r="AG397" s="178">
        <f t="shared" si="63"/>
        <v>1.0385400556371494</v>
      </c>
      <c r="AH397" s="178">
        <f t="shared" si="63"/>
        <v>1.0385400556371494</v>
      </c>
      <c r="AI397" s="178">
        <f t="shared" si="63"/>
        <v>1.0385400556371494</v>
      </c>
      <c r="AJ397" s="178">
        <f t="shared" si="63"/>
        <v>1.0385400556371494</v>
      </c>
      <c r="AK397" s="178">
        <f t="shared" si="63"/>
        <v>1.0385400556371494</v>
      </c>
      <c r="AL397" s="178">
        <f t="shared" si="63"/>
        <v>1.0385400556371494</v>
      </c>
      <c r="AM397" s="178">
        <f t="shared" si="63"/>
        <v>1.0385400556371494</v>
      </c>
      <c r="AN397" s="178">
        <f t="shared" si="63"/>
        <v>1.0385400556371494</v>
      </c>
      <c r="AO397" s="178">
        <f t="shared" si="63"/>
        <v>1.0385400556371494</v>
      </c>
      <c r="AP397" s="178">
        <f t="shared" si="63"/>
        <v>1.0385400556371494</v>
      </c>
      <c r="AQ397" s="178">
        <f t="shared" si="63"/>
        <v>1.0385400556371494</v>
      </c>
    </row>
    <row r="398" spans="7:43" ht="14.25" customHeight="1" x14ac:dyDescent="0.15">
      <c r="G398" s="22"/>
      <c r="H398" s="239"/>
      <c r="J398" s="241"/>
      <c r="K398" s="19" t="s">
        <v>182</v>
      </c>
      <c r="L398" s="178">
        <f t="shared" si="63"/>
        <v>1.0385400556371494</v>
      </c>
      <c r="M398" s="178">
        <f t="shared" si="63"/>
        <v>1.0385400556371494</v>
      </c>
      <c r="N398" s="178">
        <f t="shared" si="63"/>
        <v>1.0385400556371494</v>
      </c>
      <c r="O398" s="178">
        <f t="shared" si="63"/>
        <v>1.0385400556371494</v>
      </c>
      <c r="P398" s="178">
        <f t="shared" si="63"/>
        <v>1.0385400556371494</v>
      </c>
      <c r="Q398" s="178">
        <f t="shared" si="63"/>
        <v>1.0385400556371494</v>
      </c>
      <c r="R398" s="178">
        <f t="shared" si="63"/>
        <v>1.0385400556371494</v>
      </c>
      <c r="S398" s="178">
        <f t="shared" si="63"/>
        <v>1.0385400556371494</v>
      </c>
      <c r="T398" s="178">
        <f t="shared" si="63"/>
        <v>1.0385400556371494</v>
      </c>
      <c r="U398" s="178">
        <f t="shared" si="63"/>
        <v>1.0385400556371494</v>
      </c>
      <c r="V398" s="178">
        <f t="shared" si="63"/>
        <v>1.0385400556371494</v>
      </c>
      <c r="W398" s="178">
        <f t="shared" si="63"/>
        <v>1.0385400556371494</v>
      </c>
      <c r="X398" s="178">
        <f t="shared" si="63"/>
        <v>1.0385400556371494</v>
      </c>
      <c r="Y398" s="178">
        <f t="shared" si="63"/>
        <v>1.0385400556371494</v>
      </c>
      <c r="Z398" s="178">
        <f t="shared" si="63"/>
        <v>1.0385400556371494</v>
      </c>
      <c r="AA398" s="178">
        <f t="shared" si="63"/>
        <v>1.0385400556371494</v>
      </c>
      <c r="AB398" s="178">
        <f t="shared" si="63"/>
        <v>1.0385400556371494</v>
      </c>
      <c r="AC398" s="178">
        <f t="shared" si="63"/>
        <v>1.0385400556371494</v>
      </c>
      <c r="AD398" s="178">
        <f t="shared" si="63"/>
        <v>1.0385400556371494</v>
      </c>
      <c r="AE398" s="178">
        <f t="shared" si="63"/>
        <v>1.0385400556371494</v>
      </c>
      <c r="AF398" s="178">
        <f t="shared" si="63"/>
        <v>1.0385400556371494</v>
      </c>
      <c r="AG398" s="178">
        <f t="shared" si="63"/>
        <v>1.0385400556371494</v>
      </c>
      <c r="AH398" s="178">
        <f t="shared" si="63"/>
        <v>1.0385400556371494</v>
      </c>
      <c r="AI398" s="178">
        <f t="shared" si="63"/>
        <v>1.0385400556371494</v>
      </c>
      <c r="AJ398" s="178">
        <f t="shared" si="63"/>
        <v>1.0385400556371494</v>
      </c>
      <c r="AK398" s="178">
        <f t="shared" si="63"/>
        <v>1.0385400556371494</v>
      </c>
      <c r="AL398" s="178">
        <f t="shared" si="63"/>
        <v>1.0385400556371494</v>
      </c>
      <c r="AM398" s="178">
        <f t="shared" si="63"/>
        <v>1.0385400556371494</v>
      </c>
      <c r="AN398" s="178">
        <f t="shared" si="63"/>
        <v>1.0385400556371494</v>
      </c>
      <c r="AO398" s="178">
        <f t="shared" si="63"/>
        <v>1.0385400556371494</v>
      </c>
      <c r="AP398" s="178">
        <f t="shared" si="63"/>
        <v>1.0385400556371494</v>
      </c>
      <c r="AQ398" s="178">
        <f t="shared" si="63"/>
        <v>1.0385400556371494</v>
      </c>
    </row>
    <row r="399" spans="7:43" ht="14.25" customHeight="1" x14ac:dyDescent="0.15">
      <c r="G399" s="22"/>
      <c r="H399" s="239"/>
      <c r="J399" s="241"/>
      <c r="K399" s="19" t="s">
        <v>183</v>
      </c>
      <c r="L399" s="178">
        <f t="shared" si="63"/>
        <v>1.0385400556371494</v>
      </c>
      <c r="M399" s="178">
        <f t="shared" si="63"/>
        <v>1.0385400556371494</v>
      </c>
      <c r="N399" s="178">
        <f t="shared" si="63"/>
        <v>1.0385400556371494</v>
      </c>
      <c r="O399" s="178">
        <f t="shared" si="63"/>
        <v>1.0385400556371494</v>
      </c>
      <c r="P399" s="178">
        <f t="shared" si="63"/>
        <v>1.0385400556371494</v>
      </c>
      <c r="Q399" s="178">
        <f t="shared" si="63"/>
        <v>1.0385400556371494</v>
      </c>
      <c r="R399" s="178">
        <f t="shared" si="63"/>
        <v>1.0385400556371494</v>
      </c>
      <c r="S399" s="178">
        <f t="shared" si="63"/>
        <v>1.0385400556371494</v>
      </c>
      <c r="T399" s="178">
        <f t="shared" si="63"/>
        <v>1.0385400556371494</v>
      </c>
      <c r="U399" s="178">
        <f t="shared" si="63"/>
        <v>1.0385400556371494</v>
      </c>
      <c r="V399" s="178">
        <f t="shared" si="63"/>
        <v>1.0385400556371494</v>
      </c>
      <c r="W399" s="178">
        <f t="shared" si="63"/>
        <v>1.0385400556371494</v>
      </c>
      <c r="X399" s="178">
        <f t="shared" si="63"/>
        <v>1.0385400556371494</v>
      </c>
      <c r="Y399" s="178">
        <f t="shared" si="63"/>
        <v>1.0385400556371494</v>
      </c>
      <c r="Z399" s="178">
        <f t="shared" si="63"/>
        <v>1.0385400556371494</v>
      </c>
      <c r="AA399" s="178">
        <f t="shared" si="63"/>
        <v>1.0385400556371494</v>
      </c>
      <c r="AB399" s="178">
        <f t="shared" si="63"/>
        <v>1.0385400556371494</v>
      </c>
      <c r="AC399" s="178">
        <f t="shared" si="63"/>
        <v>1.0385400556371494</v>
      </c>
      <c r="AD399" s="178">
        <f t="shared" si="63"/>
        <v>1.0385400556371494</v>
      </c>
      <c r="AE399" s="178">
        <f t="shared" si="63"/>
        <v>1.0385400556371494</v>
      </c>
      <c r="AF399" s="178">
        <f t="shared" si="63"/>
        <v>1.0385400556371494</v>
      </c>
      <c r="AG399" s="178">
        <f t="shared" si="63"/>
        <v>1.0385400556371494</v>
      </c>
      <c r="AH399" s="178">
        <f t="shared" si="63"/>
        <v>1.0385400556371494</v>
      </c>
      <c r="AI399" s="178">
        <f t="shared" si="63"/>
        <v>1.0385400556371494</v>
      </c>
      <c r="AJ399" s="178">
        <f t="shared" si="63"/>
        <v>1.0385400556371494</v>
      </c>
      <c r="AK399" s="178">
        <f t="shared" si="63"/>
        <v>1.0385400556371494</v>
      </c>
      <c r="AL399" s="178">
        <f t="shared" si="63"/>
        <v>1.0385400556371494</v>
      </c>
      <c r="AM399" s="178">
        <f t="shared" si="63"/>
        <v>1.0385400556371494</v>
      </c>
      <c r="AN399" s="178">
        <f t="shared" si="63"/>
        <v>1.0385400556371494</v>
      </c>
      <c r="AO399" s="178">
        <f t="shared" si="63"/>
        <v>1.0385400556371494</v>
      </c>
      <c r="AP399" s="178">
        <f t="shared" si="63"/>
        <v>1.0385400556371494</v>
      </c>
      <c r="AQ399" s="178">
        <f t="shared" si="63"/>
        <v>1.0385400556371494</v>
      </c>
    </row>
    <row r="400" spans="7:43" ht="14.25" customHeight="1" x14ac:dyDescent="0.15">
      <c r="G400" s="22"/>
      <c r="H400" s="179"/>
      <c r="I400" s="8" t="s">
        <v>184</v>
      </c>
      <c r="J400" s="180"/>
      <c r="K400" s="181" t="s">
        <v>185</v>
      </c>
      <c r="L400" s="128">
        <v>2019</v>
      </c>
      <c r="M400" s="128">
        <v>2020</v>
      </c>
      <c r="N400" s="128">
        <v>2021</v>
      </c>
      <c r="O400" s="128">
        <v>2022</v>
      </c>
      <c r="P400" s="128">
        <v>2023</v>
      </c>
      <c r="Q400" s="128">
        <v>2024</v>
      </c>
      <c r="R400" s="128">
        <v>2025</v>
      </c>
      <c r="S400" s="128">
        <v>2026</v>
      </c>
      <c r="T400" s="128">
        <v>2027</v>
      </c>
      <c r="U400" s="128">
        <v>2028</v>
      </c>
      <c r="V400" s="128">
        <v>2029</v>
      </c>
      <c r="W400" s="128">
        <v>2030</v>
      </c>
      <c r="X400" s="128">
        <v>2031</v>
      </c>
      <c r="Y400" s="128">
        <v>2032</v>
      </c>
      <c r="Z400" s="128">
        <v>2033</v>
      </c>
      <c r="AA400" s="128">
        <v>2034</v>
      </c>
      <c r="AB400" s="128">
        <v>2035</v>
      </c>
      <c r="AC400" s="128">
        <v>2036</v>
      </c>
      <c r="AD400" s="128">
        <v>2037</v>
      </c>
      <c r="AE400" s="128">
        <v>2038</v>
      </c>
      <c r="AF400" s="128">
        <v>2039</v>
      </c>
      <c r="AG400" s="128">
        <v>2040</v>
      </c>
      <c r="AH400" s="128">
        <v>2041</v>
      </c>
      <c r="AI400" s="128">
        <v>2042</v>
      </c>
      <c r="AJ400" s="128">
        <v>2043</v>
      </c>
      <c r="AK400" s="128">
        <v>2044</v>
      </c>
      <c r="AL400" s="128">
        <v>2045</v>
      </c>
      <c r="AM400" s="128">
        <v>2046</v>
      </c>
      <c r="AN400" s="128">
        <v>2047</v>
      </c>
      <c r="AO400" s="128">
        <v>2048</v>
      </c>
      <c r="AP400" s="128">
        <v>2049</v>
      </c>
      <c r="AQ400" s="128">
        <v>2050</v>
      </c>
    </row>
    <row r="401" spans="7:43" ht="14.25" customHeight="1" x14ac:dyDescent="0.15">
      <c r="G401" s="22"/>
      <c r="H401" s="179"/>
      <c r="I401" s="8">
        <v>0.2</v>
      </c>
      <c r="J401" s="242" t="s">
        <v>186</v>
      </c>
      <c r="K401" s="182">
        <v>1</v>
      </c>
      <c r="L401" s="183">
        <f t="shared" ref="L401:AA406" si="64">1/((1+L$84)*(1+L$63))^$K401</f>
        <v>0.95808077014855164</v>
      </c>
      <c r="M401" s="183">
        <f t="shared" si="64"/>
        <v>0.95808077014855164</v>
      </c>
      <c r="N401" s="183">
        <f t="shared" si="64"/>
        <v>0.95808077014855164</v>
      </c>
      <c r="O401" s="183">
        <f t="shared" si="64"/>
        <v>0.95808077014855164</v>
      </c>
      <c r="P401" s="183">
        <f t="shared" si="64"/>
        <v>0.95808077014855164</v>
      </c>
      <c r="Q401" s="183">
        <f t="shared" si="64"/>
        <v>0.95808077014855164</v>
      </c>
      <c r="R401" s="183">
        <f t="shared" si="64"/>
        <v>0.95808077014855164</v>
      </c>
      <c r="S401" s="183">
        <f t="shared" si="64"/>
        <v>0.95808077014855164</v>
      </c>
      <c r="T401" s="183">
        <f t="shared" si="64"/>
        <v>0.95808077014855164</v>
      </c>
      <c r="U401" s="183">
        <f t="shared" si="64"/>
        <v>0.95808077014855164</v>
      </c>
      <c r="V401" s="183">
        <f t="shared" si="64"/>
        <v>0.95808077014855164</v>
      </c>
      <c r="W401" s="183">
        <f t="shared" si="64"/>
        <v>0.95808077014855164</v>
      </c>
      <c r="X401" s="183">
        <f t="shared" si="64"/>
        <v>0.95808077014855164</v>
      </c>
      <c r="Y401" s="183">
        <f t="shared" si="64"/>
        <v>0.95808077014855164</v>
      </c>
      <c r="Z401" s="183">
        <f t="shared" si="64"/>
        <v>0.95808077014855164</v>
      </c>
      <c r="AA401" s="183">
        <f t="shared" si="64"/>
        <v>0.95808077014855164</v>
      </c>
      <c r="AB401" s="183">
        <f t="shared" ref="AB401:AQ406" si="65">1/((1+AB$84)*(1+AB$63))^$K401</f>
        <v>0.95808077014855164</v>
      </c>
      <c r="AC401" s="183">
        <f t="shared" si="65"/>
        <v>0.95808077014855164</v>
      </c>
      <c r="AD401" s="183">
        <f t="shared" si="65"/>
        <v>0.95808077014855164</v>
      </c>
      <c r="AE401" s="183">
        <f t="shared" si="65"/>
        <v>0.95808077014855164</v>
      </c>
      <c r="AF401" s="183">
        <f t="shared" si="65"/>
        <v>0.95808077014855164</v>
      </c>
      <c r="AG401" s="183">
        <f t="shared" si="65"/>
        <v>0.95808077014855164</v>
      </c>
      <c r="AH401" s="183">
        <f t="shared" si="65"/>
        <v>0.95808077014855164</v>
      </c>
      <c r="AI401" s="183">
        <f t="shared" si="65"/>
        <v>0.95808077014855164</v>
      </c>
      <c r="AJ401" s="183">
        <f t="shared" si="65"/>
        <v>0.95808077014855164</v>
      </c>
      <c r="AK401" s="183">
        <f t="shared" si="65"/>
        <v>0.95808077014855164</v>
      </c>
      <c r="AL401" s="183">
        <f t="shared" si="65"/>
        <v>0.95808077014855164</v>
      </c>
      <c r="AM401" s="183">
        <f t="shared" si="65"/>
        <v>0.95808077014855164</v>
      </c>
      <c r="AN401" s="183">
        <f t="shared" si="65"/>
        <v>0.95808077014855164</v>
      </c>
      <c r="AO401" s="183">
        <f t="shared" si="65"/>
        <v>0.95808077014855164</v>
      </c>
      <c r="AP401" s="183">
        <f t="shared" si="65"/>
        <v>0.95808077014855164</v>
      </c>
      <c r="AQ401" s="183">
        <f t="shared" si="65"/>
        <v>0.95808077014855164</v>
      </c>
    </row>
    <row r="402" spans="7:43" ht="14.25" customHeight="1" x14ac:dyDescent="0.15">
      <c r="G402" s="22"/>
      <c r="H402" s="179"/>
      <c r="I402" s="8">
        <v>0.32</v>
      </c>
      <c r="J402" s="242"/>
      <c r="K402" s="182">
        <v>2</v>
      </c>
      <c r="L402" s="183">
        <f t="shared" si="64"/>
        <v>0.91791876212844192</v>
      </c>
      <c r="M402" s="183">
        <f t="shared" si="64"/>
        <v>0.91791876212844192</v>
      </c>
      <c r="N402" s="183">
        <f t="shared" si="64"/>
        <v>0.91791876212844192</v>
      </c>
      <c r="O402" s="183">
        <f t="shared" si="64"/>
        <v>0.91791876212844192</v>
      </c>
      <c r="P402" s="183">
        <f t="shared" si="64"/>
        <v>0.91791876212844192</v>
      </c>
      <c r="Q402" s="183">
        <f t="shared" si="64"/>
        <v>0.91791876212844192</v>
      </c>
      <c r="R402" s="183">
        <f t="shared" si="64"/>
        <v>0.91791876212844192</v>
      </c>
      <c r="S402" s="183">
        <f t="shared" si="64"/>
        <v>0.91791876212844192</v>
      </c>
      <c r="T402" s="183">
        <f t="shared" si="64"/>
        <v>0.91791876212844192</v>
      </c>
      <c r="U402" s="183">
        <f t="shared" si="64"/>
        <v>0.91791876212844192</v>
      </c>
      <c r="V402" s="183">
        <f t="shared" si="64"/>
        <v>0.91791876212844192</v>
      </c>
      <c r="W402" s="183">
        <f t="shared" si="64"/>
        <v>0.91791876212844192</v>
      </c>
      <c r="X402" s="183">
        <f t="shared" si="64"/>
        <v>0.91791876212844192</v>
      </c>
      <c r="Y402" s="183">
        <f t="shared" si="64"/>
        <v>0.91791876212844192</v>
      </c>
      <c r="Z402" s="183">
        <f t="shared" si="64"/>
        <v>0.91791876212844192</v>
      </c>
      <c r="AA402" s="183">
        <f t="shared" si="64"/>
        <v>0.91791876212844192</v>
      </c>
      <c r="AB402" s="183">
        <f t="shared" si="65"/>
        <v>0.91791876212844192</v>
      </c>
      <c r="AC402" s="183">
        <f t="shared" si="65"/>
        <v>0.91791876212844192</v>
      </c>
      <c r="AD402" s="183">
        <f t="shared" si="65"/>
        <v>0.91791876212844192</v>
      </c>
      <c r="AE402" s="183">
        <f t="shared" si="65"/>
        <v>0.91791876212844192</v>
      </c>
      <c r="AF402" s="183">
        <f t="shared" si="65"/>
        <v>0.91791876212844192</v>
      </c>
      <c r="AG402" s="183">
        <f t="shared" si="65"/>
        <v>0.91791876212844192</v>
      </c>
      <c r="AH402" s="183">
        <f t="shared" si="65"/>
        <v>0.91791876212844192</v>
      </c>
      <c r="AI402" s="183">
        <f t="shared" si="65"/>
        <v>0.91791876212844192</v>
      </c>
      <c r="AJ402" s="183">
        <f t="shared" si="65"/>
        <v>0.91791876212844192</v>
      </c>
      <c r="AK402" s="183">
        <f t="shared" si="65"/>
        <v>0.91791876212844192</v>
      </c>
      <c r="AL402" s="183">
        <f t="shared" si="65"/>
        <v>0.91791876212844192</v>
      </c>
      <c r="AM402" s="183">
        <f t="shared" si="65"/>
        <v>0.91791876212844192</v>
      </c>
      <c r="AN402" s="183">
        <f t="shared" si="65"/>
        <v>0.91791876212844192</v>
      </c>
      <c r="AO402" s="183">
        <f t="shared" si="65"/>
        <v>0.91791876212844192</v>
      </c>
      <c r="AP402" s="183">
        <f t="shared" si="65"/>
        <v>0.91791876212844192</v>
      </c>
      <c r="AQ402" s="183">
        <f t="shared" si="65"/>
        <v>0.91791876212844192</v>
      </c>
    </row>
    <row r="403" spans="7:43" ht="14.25" customHeight="1" x14ac:dyDescent="0.15">
      <c r="G403" s="22"/>
      <c r="H403" s="179"/>
      <c r="I403" s="8">
        <v>0.192</v>
      </c>
      <c r="J403" s="242"/>
      <c r="K403" s="182">
        <v>3</v>
      </c>
      <c r="L403" s="183">
        <f t="shared" si="64"/>
        <v>0.87944031455382288</v>
      </c>
      <c r="M403" s="183">
        <f t="shared" si="64"/>
        <v>0.87944031455382288</v>
      </c>
      <c r="N403" s="183">
        <f t="shared" si="64"/>
        <v>0.87944031455382288</v>
      </c>
      <c r="O403" s="183">
        <f t="shared" si="64"/>
        <v>0.87944031455382288</v>
      </c>
      <c r="P403" s="183">
        <f t="shared" si="64"/>
        <v>0.87944031455382288</v>
      </c>
      <c r="Q403" s="183">
        <f t="shared" si="64"/>
        <v>0.87944031455382288</v>
      </c>
      <c r="R403" s="183">
        <f t="shared" si="64"/>
        <v>0.87944031455382288</v>
      </c>
      <c r="S403" s="183">
        <f t="shared" si="64"/>
        <v>0.87944031455382288</v>
      </c>
      <c r="T403" s="183">
        <f t="shared" si="64"/>
        <v>0.87944031455382288</v>
      </c>
      <c r="U403" s="183">
        <f t="shared" si="64"/>
        <v>0.87944031455382288</v>
      </c>
      <c r="V403" s="183">
        <f t="shared" si="64"/>
        <v>0.87944031455382288</v>
      </c>
      <c r="W403" s="183">
        <f t="shared" si="64"/>
        <v>0.87944031455382288</v>
      </c>
      <c r="X403" s="183">
        <f t="shared" si="64"/>
        <v>0.87944031455382288</v>
      </c>
      <c r="Y403" s="183">
        <f t="shared" si="64"/>
        <v>0.87944031455382288</v>
      </c>
      <c r="Z403" s="183">
        <f t="shared" si="64"/>
        <v>0.87944031455382288</v>
      </c>
      <c r="AA403" s="183">
        <f t="shared" si="64"/>
        <v>0.87944031455382288</v>
      </c>
      <c r="AB403" s="183">
        <f t="shared" si="65"/>
        <v>0.87944031455382288</v>
      </c>
      <c r="AC403" s="183">
        <f t="shared" si="65"/>
        <v>0.87944031455382288</v>
      </c>
      <c r="AD403" s="183">
        <f t="shared" si="65"/>
        <v>0.87944031455382288</v>
      </c>
      <c r="AE403" s="183">
        <f t="shared" si="65"/>
        <v>0.87944031455382288</v>
      </c>
      <c r="AF403" s="183">
        <f t="shared" si="65"/>
        <v>0.87944031455382288</v>
      </c>
      <c r="AG403" s="183">
        <f t="shared" si="65"/>
        <v>0.87944031455382288</v>
      </c>
      <c r="AH403" s="183">
        <f t="shared" si="65"/>
        <v>0.87944031455382288</v>
      </c>
      <c r="AI403" s="183">
        <f t="shared" si="65"/>
        <v>0.87944031455382288</v>
      </c>
      <c r="AJ403" s="183">
        <f t="shared" si="65"/>
        <v>0.87944031455382288</v>
      </c>
      <c r="AK403" s="183">
        <f t="shared" si="65"/>
        <v>0.87944031455382288</v>
      </c>
      <c r="AL403" s="183">
        <f t="shared" si="65"/>
        <v>0.87944031455382288</v>
      </c>
      <c r="AM403" s="183">
        <f t="shared" si="65"/>
        <v>0.87944031455382288</v>
      </c>
      <c r="AN403" s="183">
        <f t="shared" si="65"/>
        <v>0.87944031455382288</v>
      </c>
      <c r="AO403" s="183">
        <f t="shared" si="65"/>
        <v>0.87944031455382288</v>
      </c>
      <c r="AP403" s="183">
        <f t="shared" si="65"/>
        <v>0.87944031455382288</v>
      </c>
      <c r="AQ403" s="183">
        <f t="shared" si="65"/>
        <v>0.87944031455382288</v>
      </c>
    </row>
    <row r="404" spans="7:43" ht="14.25" customHeight="1" x14ac:dyDescent="0.15">
      <c r="G404" s="22"/>
      <c r="H404" s="179"/>
      <c r="I404" s="8">
        <v>0.1152</v>
      </c>
      <c r="J404" s="242"/>
      <c r="K404" s="182">
        <v>4</v>
      </c>
      <c r="L404" s="183">
        <f t="shared" si="64"/>
        <v>0.84257485386741116</v>
      </c>
      <c r="M404" s="183">
        <f t="shared" si="64"/>
        <v>0.84257485386741116</v>
      </c>
      <c r="N404" s="183">
        <f t="shared" si="64"/>
        <v>0.84257485386741116</v>
      </c>
      <c r="O404" s="183">
        <f t="shared" si="64"/>
        <v>0.84257485386741116</v>
      </c>
      <c r="P404" s="183">
        <f t="shared" si="64"/>
        <v>0.84257485386741116</v>
      </c>
      <c r="Q404" s="183">
        <f t="shared" si="64"/>
        <v>0.84257485386741116</v>
      </c>
      <c r="R404" s="183">
        <f t="shared" si="64"/>
        <v>0.84257485386741116</v>
      </c>
      <c r="S404" s="183">
        <f t="shared" si="64"/>
        <v>0.84257485386741116</v>
      </c>
      <c r="T404" s="183">
        <f t="shared" si="64"/>
        <v>0.84257485386741116</v>
      </c>
      <c r="U404" s="183">
        <f t="shared" si="64"/>
        <v>0.84257485386741116</v>
      </c>
      <c r="V404" s="183">
        <f t="shared" si="64"/>
        <v>0.84257485386741116</v>
      </c>
      <c r="W404" s="183">
        <f t="shared" si="64"/>
        <v>0.84257485386741116</v>
      </c>
      <c r="X404" s="183">
        <f t="shared" si="64"/>
        <v>0.84257485386741116</v>
      </c>
      <c r="Y404" s="183">
        <f t="shared" si="64"/>
        <v>0.84257485386741116</v>
      </c>
      <c r="Z404" s="183">
        <f t="shared" si="64"/>
        <v>0.84257485386741116</v>
      </c>
      <c r="AA404" s="183">
        <f t="shared" si="64"/>
        <v>0.84257485386741116</v>
      </c>
      <c r="AB404" s="183">
        <f t="shared" si="65"/>
        <v>0.84257485386741116</v>
      </c>
      <c r="AC404" s="183">
        <f t="shared" si="65"/>
        <v>0.84257485386741116</v>
      </c>
      <c r="AD404" s="183">
        <f t="shared" si="65"/>
        <v>0.84257485386741116</v>
      </c>
      <c r="AE404" s="183">
        <f t="shared" si="65"/>
        <v>0.84257485386741116</v>
      </c>
      <c r="AF404" s="183">
        <f t="shared" si="65"/>
        <v>0.84257485386741116</v>
      </c>
      <c r="AG404" s="183">
        <f t="shared" si="65"/>
        <v>0.84257485386741116</v>
      </c>
      <c r="AH404" s="183">
        <f t="shared" si="65"/>
        <v>0.84257485386741116</v>
      </c>
      <c r="AI404" s="183">
        <f t="shared" si="65"/>
        <v>0.84257485386741116</v>
      </c>
      <c r="AJ404" s="183">
        <f t="shared" si="65"/>
        <v>0.84257485386741116</v>
      </c>
      <c r="AK404" s="183">
        <f t="shared" si="65"/>
        <v>0.84257485386741116</v>
      </c>
      <c r="AL404" s="183">
        <f t="shared" si="65"/>
        <v>0.84257485386741116</v>
      </c>
      <c r="AM404" s="183">
        <f t="shared" si="65"/>
        <v>0.84257485386741116</v>
      </c>
      <c r="AN404" s="183">
        <f t="shared" si="65"/>
        <v>0.84257485386741116</v>
      </c>
      <c r="AO404" s="183">
        <f t="shared" si="65"/>
        <v>0.84257485386741116</v>
      </c>
      <c r="AP404" s="183">
        <f t="shared" si="65"/>
        <v>0.84257485386741116</v>
      </c>
      <c r="AQ404" s="183">
        <f t="shared" si="65"/>
        <v>0.84257485386741116</v>
      </c>
    </row>
    <row r="405" spans="7:43" ht="14.25" customHeight="1" x14ac:dyDescent="0.15">
      <c r="G405" s="22"/>
      <c r="H405" s="179"/>
      <c r="I405" s="8">
        <v>0.1152</v>
      </c>
      <c r="J405" s="242"/>
      <c r="K405" s="182">
        <v>5</v>
      </c>
      <c r="L405" s="183">
        <f t="shared" si="64"/>
        <v>0.80725476490109271</v>
      </c>
      <c r="M405" s="183">
        <f t="shared" si="64"/>
        <v>0.80725476490109271</v>
      </c>
      <c r="N405" s="183">
        <f t="shared" si="64"/>
        <v>0.80725476490109271</v>
      </c>
      <c r="O405" s="183">
        <f t="shared" si="64"/>
        <v>0.80725476490109271</v>
      </c>
      <c r="P405" s="183">
        <f t="shared" si="64"/>
        <v>0.80725476490109271</v>
      </c>
      <c r="Q405" s="183">
        <f t="shared" si="64"/>
        <v>0.80725476490109271</v>
      </c>
      <c r="R405" s="183">
        <f t="shared" si="64"/>
        <v>0.80725476490109271</v>
      </c>
      <c r="S405" s="183">
        <f t="shared" si="64"/>
        <v>0.80725476490109271</v>
      </c>
      <c r="T405" s="183">
        <f t="shared" si="64"/>
        <v>0.80725476490109271</v>
      </c>
      <c r="U405" s="183">
        <f t="shared" si="64"/>
        <v>0.80725476490109271</v>
      </c>
      <c r="V405" s="183">
        <f t="shared" si="64"/>
        <v>0.80725476490109271</v>
      </c>
      <c r="W405" s="183">
        <f t="shared" si="64"/>
        <v>0.80725476490109271</v>
      </c>
      <c r="X405" s="183">
        <f t="shared" si="64"/>
        <v>0.80725476490109271</v>
      </c>
      <c r="Y405" s="183">
        <f t="shared" si="64"/>
        <v>0.80725476490109271</v>
      </c>
      <c r="Z405" s="183">
        <f t="shared" si="64"/>
        <v>0.80725476490109271</v>
      </c>
      <c r="AA405" s="183">
        <f t="shared" si="64"/>
        <v>0.80725476490109271</v>
      </c>
      <c r="AB405" s="183">
        <f t="shared" si="65"/>
        <v>0.80725476490109271</v>
      </c>
      <c r="AC405" s="183">
        <f t="shared" si="65"/>
        <v>0.80725476490109271</v>
      </c>
      <c r="AD405" s="183">
        <f t="shared" si="65"/>
        <v>0.80725476490109271</v>
      </c>
      <c r="AE405" s="183">
        <f t="shared" si="65"/>
        <v>0.80725476490109271</v>
      </c>
      <c r="AF405" s="183">
        <f t="shared" si="65"/>
        <v>0.80725476490109271</v>
      </c>
      <c r="AG405" s="183">
        <f t="shared" si="65"/>
        <v>0.80725476490109271</v>
      </c>
      <c r="AH405" s="183">
        <f t="shared" si="65"/>
        <v>0.80725476490109271</v>
      </c>
      <c r="AI405" s="183">
        <f t="shared" si="65"/>
        <v>0.80725476490109271</v>
      </c>
      <c r="AJ405" s="183">
        <f t="shared" si="65"/>
        <v>0.80725476490109271</v>
      </c>
      <c r="AK405" s="183">
        <f t="shared" si="65"/>
        <v>0.80725476490109271</v>
      </c>
      <c r="AL405" s="183">
        <f t="shared" si="65"/>
        <v>0.80725476490109271</v>
      </c>
      <c r="AM405" s="183">
        <f t="shared" si="65"/>
        <v>0.80725476490109271</v>
      </c>
      <c r="AN405" s="183">
        <f t="shared" si="65"/>
        <v>0.80725476490109271</v>
      </c>
      <c r="AO405" s="183">
        <f t="shared" si="65"/>
        <v>0.80725476490109271</v>
      </c>
      <c r="AP405" s="183">
        <f t="shared" si="65"/>
        <v>0.80725476490109271</v>
      </c>
      <c r="AQ405" s="183">
        <f t="shared" si="65"/>
        <v>0.80725476490109271</v>
      </c>
    </row>
    <row r="406" spans="7:43" ht="14.25" customHeight="1" x14ac:dyDescent="0.15">
      <c r="G406" s="22"/>
      <c r="H406" s="179"/>
      <c r="I406" s="8">
        <v>5.7599999999999998E-2</v>
      </c>
      <c r="J406" s="242"/>
      <c r="K406" s="182">
        <v>6</v>
      </c>
      <c r="L406" s="183">
        <f t="shared" si="64"/>
        <v>0.77341526686252693</v>
      </c>
      <c r="M406" s="183">
        <f t="shared" si="64"/>
        <v>0.77341526686252693</v>
      </c>
      <c r="N406" s="183">
        <f t="shared" si="64"/>
        <v>0.77341526686252693</v>
      </c>
      <c r="O406" s="183">
        <f t="shared" si="64"/>
        <v>0.77341526686252693</v>
      </c>
      <c r="P406" s="183">
        <f t="shared" si="64"/>
        <v>0.77341526686252693</v>
      </c>
      <c r="Q406" s="183">
        <f t="shared" si="64"/>
        <v>0.77341526686252693</v>
      </c>
      <c r="R406" s="183">
        <f t="shared" si="64"/>
        <v>0.77341526686252693</v>
      </c>
      <c r="S406" s="183">
        <f t="shared" si="64"/>
        <v>0.77341526686252693</v>
      </c>
      <c r="T406" s="183">
        <f t="shared" si="64"/>
        <v>0.77341526686252693</v>
      </c>
      <c r="U406" s="183">
        <f t="shared" si="64"/>
        <v>0.77341526686252693</v>
      </c>
      <c r="V406" s="183">
        <f t="shared" si="64"/>
        <v>0.77341526686252693</v>
      </c>
      <c r="W406" s="183">
        <f t="shared" si="64"/>
        <v>0.77341526686252693</v>
      </c>
      <c r="X406" s="183">
        <f t="shared" si="64"/>
        <v>0.77341526686252693</v>
      </c>
      <c r="Y406" s="183">
        <f t="shared" si="64"/>
        <v>0.77341526686252693</v>
      </c>
      <c r="Z406" s="183">
        <f t="shared" si="64"/>
        <v>0.77341526686252693</v>
      </c>
      <c r="AA406" s="183">
        <f t="shared" si="64"/>
        <v>0.77341526686252693</v>
      </c>
      <c r="AB406" s="183">
        <f t="shared" si="65"/>
        <v>0.77341526686252693</v>
      </c>
      <c r="AC406" s="183">
        <f t="shared" si="65"/>
        <v>0.77341526686252693</v>
      </c>
      <c r="AD406" s="183">
        <f t="shared" si="65"/>
        <v>0.77341526686252693</v>
      </c>
      <c r="AE406" s="183">
        <f t="shared" si="65"/>
        <v>0.77341526686252693</v>
      </c>
      <c r="AF406" s="183">
        <f t="shared" si="65"/>
        <v>0.77341526686252693</v>
      </c>
      <c r="AG406" s="183">
        <f t="shared" si="65"/>
        <v>0.77341526686252693</v>
      </c>
      <c r="AH406" s="183">
        <f t="shared" si="65"/>
        <v>0.77341526686252693</v>
      </c>
      <c r="AI406" s="183">
        <f t="shared" si="65"/>
        <v>0.77341526686252693</v>
      </c>
      <c r="AJ406" s="183">
        <f t="shared" si="65"/>
        <v>0.77341526686252693</v>
      </c>
      <c r="AK406" s="183">
        <f t="shared" si="65"/>
        <v>0.77341526686252693</v>
      </c>
      <c r="AL406" s="183">
        <f t="shared" si="65"/>
        <v>0.77341526686252693</v>
      </c>
      <c r="AM406" s="183">
        <f t="shared" si="65"/>
        <v>0.77341526686252693</v>
      </c>
      <c r="AN406" s="183">
        <f t="shared" si="65"/>
        <v>0.77341526686252693</v>
      </c>
      <c r="AO406" s="183">
        <f t="shared" si="65"/>
        <v>0.77341526686252693</v>
      </c>
      <c r="AP406" s="183">
        <f t="shared" si="65"/>
        <v>0.77341526686252693</v>
      </c>
      <c r="AQ406" s="183">
        <f t="shared" si="65"/>
        <v>0.77341526686252693</v>
      </c>
    </row>
    <row r="407" spans="7:43" ht="14.25" customHeight="1" x14ac:dyDescent="0.15">
      <c r="G407" s="22"/>
      <c r="H407" s="179"/>
      <c r="I407" s="8"/>
      <c r="J407" s="242"/>
      <c r="K407" s="181" t="s">
        <v>187</v>
      </c>
      <c r="L407" s="128">
        <v>2019</v>
      </c>
      <c r="M407" s="128">
        <v>2020</v>
      </c>
      <c r="N407" s="128">
        <v>2021</v>
      </c>
      <c r="O407" s="128">
        <v>2022</v>
      </c>
      <c r="P407" s="128">
        <v>2023</v>
      </c>
      <c r="Q407" s="128">
        <v>2024</v>
      </c>
      <c r="R407" s="128">
        <v>2025</v>
      </c>
      <c r="S407" s="128">
        <v>2026</v>
      </c>
      <c r="T407" s="128">
        <v>2027</v>
      </c>
      <c r="U407" s="128">
        <v>2028</v>
      </c>
      <c r="V407" s="128">
        <v>2029</v>
      </c>
      <c r="W407" s="128">
        <v>2030</v>
      </c>
      <c r="X407" s="128">
        <v>2031</v>
      </c>
      <c r="Y407" s="128">
        <v>2032</v>
      </c>
      <c r="Z407" s="128">
        <v>2033</v>
      </c>
      <c r="AA407" s="128">
        <v>2034</v>
      </c>
      <c r="AB407" s="128">
        <v>2035</v>
      </c>
      <c r="AC407" s="128">
        <v>2036</v>
      </c>
      <c r="AD407" s="128">
        <v>2037</v>
      </c>
      <c r="AE407" s="128">
        <v>2038</v>
      </c>
      <c r="AF407" s="128">
        <v>2039</v>
      </c>
      <c r="AG407" s="128">
        <v>2040</v>
      </c>
      <c r="AH407" s="128">
        <v>2041</v>
      </c>
      <c r="AI407" s="128">
        <v>2042</v>
      </c>
      <c r="AJ407" s="128">
        <v>2043</v>
      </c>
      <c r="AK407" s="128">
        <v>2044</v>
      </c>
      <c r="AL407" s="128">
        <v>2045</v>
      </c>
      <c r="AM407" s="128">
        <v>2046</v>
      </c>
      <c r="AN407" s="128">
        <v>2047</v>
      </c>
      <c r="AO407" s="128">
        <v>2048</v>
      </c>
      <c r="AP407" s="128">
        <v>2049</v>
      </c>
      <c r="AQ407" s="128">
        <v>2050</v>
      </c>
    </row>
    <row r="408" spans="7:43" ht="14.25" customHeight="1" x14ac:dyDescent="0.15">
      <c r="G408" s="22"/>
      <c r="H408" s="179"/>
      <c r="J408" s="242"/>
      <c r="K408" s="182">
        <v>1</v>
      </c>
      <c r="L408" s="183">
        <f t="shared" ref="L408:AA413" si="66">1/((1+L$85)*(1+L$63))^$K408</f>
        <v>0.95808077014855164</v>
      </c>
      <c r="M408" s="183">
        <f t="shared" si="66"/>
        <v>0.95808077014855164</v>
      </c>
      <c r="N408" s="183">
        <f t="shared" si="66"/>
        <v>0.95808077014855164</v>
      </c>
      <c r="O408" s="183">
        <f t="shared" si="66"/>
        <v>0.95808077014855164</v>
      </c>
      <c r="P408" s="183">
        <f t="shared" si="66"/>
        <v>0.95808077014855164</v>
      </c>
      <c r="Q408" s="183">
        <f t="shared" si="66"/>
        <v>0.95808077014855164</v>
      </c>
      <c r="R408" s="183">
        <f t="shared" si="66"/>
        <v>0.95808077014855164</v>
      </c>
      <c r="S408" s="183">
        <f t="shared" si="66"/>
        <v>0.95808077014855164</v>
      </c>
      <c r="T408" s="183">
        <f t="shared" si="66"/>
        <v>0.95808077014855164</v>
      </c>
      <c r="U408" s="183">
        <f t="shared" si="66"/>
        <v>0.95808077014855164</v>
      </c>
      <c r="V408" s="183">
        <f t="shared" si="66"/>
        <v>0.95808077014855164</v>
      </c>
      <c r="W408" s="183">
        <f t="shared" si="66"/>
        <v>0.95808077014855164</v>
      </c>
      <c r="X408" s="183">
        <f t="shared" si="66"/>
        <v>0.95808077014855164</v>
      </c>
      <c r="Y408" s="183">
        <f t="shared" si="66"/>
        <v>0.95808077014855164</v>
      </c>
      <c r="Z408" s="183">
        <f t="shared" si="66"/>
        <v>0.95808077014855164</v>
      </c>
      <c r="AA408" s="183">
        <f t="shared" si="66"/>
        <v>0.95808077014855164</v>
      </c>
      <c r="AB408" s="183">
        <f t="shared" ref="AB408:AQ413" si="67">1/((1+AB$85)*(1+AB$63))^$K408</f>
        <v>0.95808077014855164</v>
      </c>
      <c r="AC408" s="183">
        <f t="shared" si="67"/>
        <v>0.95808077014855164</v>
      </c>
      <c r="AD408" s="183">
        <f t="shared" si="67"/>
        <v>0.95808077014855164</v>
      </c>
      <c r="AE408" s="183">
        <f t="shared" si="67"/>
        <v>0.95808077014855164</v>
      </c>
      <c r="AF408" s="183">
        <f t="shared" si="67"/>
        <v>0.95808077014855164</v>
      </c>
      <c r="AG408" s="183">
        <f t="shared" si="67"/>
        <v>0.95808077014855164</v>
      </c>
      <c r="AH408" s="183">
        <f t="shared" si="67"/>
        <v>0.95808077014855164</v>
      </c>
      <c r="AI408" s="183">
        <f t="shared" si="67"/>
        <v>0.95808077014855164</v>
      </c>
      <c r="AJ408" s="183">
        <f t="shared" si="67"/>
        <v>0.95808077014855164</v>
      </c>
      <c r="AK408" s="183">
        <f t="shared" si="67"/>
        <v>0.95808077014855164</v>
      </c>
      <c r="AL408" s="183">
        <f t="shared" si="67"/>
        <v>0.95808077014855164</v>
      </c>
      <c r="AM408" s="183">
        <f t="shared" si="67"/>
        <v>0.95808077014855164</v>
      </c>
      <c r="AN408" s="183">
        <f t="shared" si="67"/>
        <v>0.95808077014855164</v>
      </c>
      <c r="AO408" s="183">
        <f t="shared" si="67"/>
        <v>0.95808077014855164</v>
      </c>
      <c r="AP408" s="183">
        <f t="shared" si="67"/>
        <v>0.95808077014855164</v>
      </c>
      <c r="AQ408" s="183">
        <f t="shared" si="67"/>
        <v>0.95808077014855164</v>
      </c>
    </row>
    <row r="409" spans="7:43" ht="14.25" customHeight="1" x14ac:dyDescent="0.15">
      <c r="G409" s="22"/>
      <c r="H409" s="179"/>
      <c r="J409" s="242"/>
      <c r="K409" s="182">
        <v>2</v>
      </c>
      <c r="L409" s="183">
        <f t="shared" si="66"/>
        <v>0.91791876212844192</v>
      </c>
      <c r="M409" s="183">
        <f t="shared" si="66"/>
        <v>0.91791876212844192</v>
      </c>
      <c r="N409" s="183">
        <f t="shared" si="66"/>
        <v>0.91791876212844192</v>
      </c>
      <c r="O409" s="183">
        <f t="shared" si="66"/>
        <v>0.91791876212844192</v>
      </c>
      <c r="P409" s="183">
        <f t="shared" si="66"/>
        <v>0.91791876212844192</v>
      </c>
      <c r="Q409" s="183">
        <f t="shared" si="66"/>
        <v>0.91791876212844192</v>
      </c>
      <c r="R409" s="183">
        <f t="shared" si="66"/>
        <v>0.91791876212844192</v>
      </c>
      <c r="S409" s="183">
        <f t="shared" si="66"/>
        <v>0.91791876212844192</v>
      </c>
      <c r="T409" s="183">
        <f t="shared" si="66"/>
        <v>0.91791876212844192</v>
      </c>
      <c r="U409" s="183">
        <f t="shared" si="66"/>
        <v>0.91791876212844192</v>
      </c>
      <c r="V409" s="183">
        <f t="shared" si="66"/>
        <v>0.91791876212844192</v>
      </c>
      <c r="W409" s="183">
        <f t="shared" si="66"/>
        <v>0.91791876212844192</v>
      </c>
      <c r="X409" s="183">
        <f t="shared" si="66"/>
        <v>0.91791876212844192</v>
      </c>
      <c r="Y409" s="183">
        <f t="shared" si="66"/>
        <v>0.91791876212844192</v>
      </c>
      <c r="Z409" s="183">
        <f t="shared" si="66"/>
        <v>0.91791876212844192</v>
      </c>
      <c r="AA409" s="183">
        <f t="shared" si="66"/>
        <v>0.91791876212844192</v>
      </c>
      <c r="AB409" s="183">
        <f t="shared" si="67"/>
        <v>0.91791876212844192</v>
      </c>
      <c r="AC409" s="183">
        <f t="shared" si="67"/>
        <v>0.91791876212844192</v>
      </c>
      <c r="AD409" s="183">
        <f t="shared" si="67"/>
        <v>0.91791876212844192</v>
      </c>
      <c r="AE409" s="183">
        <f t="shared" si="67"/>
        <v>0.91791876212844192</v>
      </c>
      <c r="AF409" s="183">
        <f t="shared" si="67"/>
        <v>0.91791876212844192</v>
      </c>
      <c r="AG409" s="183">
        <f t="shared" si="67"/>
        <v>0.91791876212844192</v>
      </c>
      <c r="AH409" s="183">
        <f t="shared" si="67"/>
        <v>0.91791876212844192</v>
      </c>
      <c r="AI409" s="183">
        <f t="shared" si="67"/>
        <v>0.91791876212844192</v>
      </c>
      <c r="AJ409" s="183">
        <f t="shared" si="67"/>
        <v>0.91791876212844192</v>
      </c>
      <c r="AK409" s="183">
        <f t="shared" si="67"/>
        <v>0.91791876212844192</v>
      </c>
      <c r="AL409" s="183">
        <f t="shared" si="67"/>
        <v>0.91791876212844192</v>
      </c>
      <c r="AM409" s="183">
        <f t="shared" si="67"/>
        <v>0.91791876212844192</v>
      </c>
      <c r="AN409" s="183">
        <f t="shared" si="67"/>
        <v>0.91791876212844192</v>
      </c>
      <c r="AO409" s="183">
        <f t="shared" si="67"/>
        <v>0.91791876212844192</v>
      </c>
      <c r="AP409" s="183">
        <f t="shared" si="67"/>
        <v>0.91791876212844192</v>
      </c>
      <c r="AQ409" s="183">
        <f t="shared" si="67"/>
        <v>0.91791876212844192</v>
      </c>
    </row>
    <row r="410" spans="7:43" ht="14.25" customHeight="1" x14ac:dyDescent="0.15">
      <c r="G410" s="22"/>
      <c r="H410" s="179"/>
      <c r="J410" s="242"/>
      <c r="K410" s="182">
        <v>3</v>
      </c>
      <c r="L410" s="183">
        <f t="shared" si="66"/>
        <v>0.87944031455382288</v>
      </c>
      <c r="M410" s="183">
        <f t="shared" si="66"/>
        <v>0.87944031455382288</v>
      </c>
      <c r="N410" s="183">
        <f t="shared" si="66"/>
        <v>0.87944031455382288</v>
      </c>
      <c r="O410" s="183">
        <f t="shared" si="66"/>
        <v>0.87944031455382288</v>
      </c>
      <c r="P410" s="183">
        <f t="shared" si="66"/>
        <v>0.87944031455382288</v>
      </c>
      <c r="Q410" s="183">
        <f t="shared" si="66"/>
        <v>0.87944031455382288</v>
      </c>
      <c r="R410" s="183">
        <f t="shared" si="66"/>
        <v>0.87944031455382288</v>
      </c>
      <c r="S410" s="183">
        <f t="shared" si="66"/>
        <v>0.87944031455382288</v>
      </c>
      <c r="T410" s="183">
        <f t="shared" si="66"/>
        <v>0.87944031455382288</v>
      </c>
      <c r="U410" s="183">
        <f t="shared" si="66"/>
        <v>0.87944031455382288</v>
      </c>
      <c r="V410" s="183">
        <f t="shared" si="66"/>
        <v>0.87944031455382288</v>
      </c>
      <c r="W410" s="183">
        <f t="shared" si="66"/>
        <v>0.87944031455382288</v>
      </c>
      <c r="X410" s="183">
        <f t="shared" si="66"/>
        <v>0.87944031455382288</v>
      </c>
      <c r="Y410" s="183">
        <f t="shared" si="66"/>
        <v>0.87944031455382288</v>
      </c>
      <c r="Z410" s="183">
        <f t="shared" si="66"/>
        <v>0.87944031455382288</v>
      </c>
      <c r="AA410" s="183">
        <f t="shared" si="66"/>
        <v>0.87944031455382288</v>
      </c>
      <c r="AB410" s="183">
        <f t="shared" si="67"/>
        <v>0.87944031455382288</v>
      </c>
      <c r="AC410" s="183">
        <f t="shared" si="67"/>
        <v>0.87944031455382288</v>
      </c>
      <c r="AD410" s="183">
        <f t="shared" si="67"/>
        <v>0.87944031455382288</v>
      </c>
      <c r="AE410" s="183">
        <f t="shared" si="67"/>
        <v>0.87944031455382288</v>
      </c>
      <c r="AF410" s="183">
        <f t="shared" si="67"/>
        <v>0.87944031455382288</v>
      </c>
      <c r="AG410" s="183">
        <f t="shared" si="67"/>
        <v>0.87944031455382288</v>
      </c>
      <c r="AH410" s="183">
        <f t="shared" si="67"/>
        <v>0.87944031455382288</v>
      </c>
      <c r="AI410" s="183">
        <f t="shared" si="67"/>
        <v>0.87944031455382288</v>
      </c>
      <c r="AJ410" s="183">
        <f t="shared" si="67"/>
        <v>0.87944031455382288</v>
      </c>
      <c r="AK410" s="183">
        <f t="shared" si="67"/>
        <v>0.87944031455382288</v>
      </c>
      <c r="AL410" s="183">
        <f t="shared" si="67"/>
        <v>0.87944031455382288</v>
      </c>
      <c r="AM410" s="183">
        <f t="shared" si="67"/>
        <v>0.87944031455382288</v>
      </c>
      <c r="AN410" s="183">
        <f t="shared" si="67"/>
        <v>0.87944031455382288</v>
      </c>
      <c r="AO410" s="183">
        <f t="shared" si="67"/>
        <v>0.87944031455382288</v>
      </c>
      <c r="AP410" s="183">
        <f t="shared" si="67"/>
        <v>0.87944031455382288</v>
      </c>
      <c r="AQ410" s="183">
        <f t="shared" si="67"/>
        <v>0.87944031455382288</v>
      </c>
    </row>
    <row r="411" spans="7:43" ht="14.25" customHeight="1" x14ac:dyDescent="0.15">
      <c r="G411" s="22"/>
      <c r="H411" s="179"/>
      <c r="J411" s="242"/>
      <c r="K411" s="182">
        <v>4</v>
      </c>
      <c r="L411" s="183">
        <f t="shared" si="66"/>
        <v>0.84257485386741116</v>
      </c>
      <c r="M411" s="183">
        <f t="shared" si="66"/>
        <v>0.84257485386741116</v>
      </c>
      <c r="N411" s="183">
        <f t="shared" si="66"/>
        <v>0.84257485386741116</v>
      </c>
      <c r="O411" s="183">
        <f t="shared" si="66"/>
        <v>0.84257485386741116</v>
      </c>
      <c r="P411" s="183">
        <f t="shared" si="66"/>
        <v>0.84257485386741116</v>
      </c>
      <c r="Q411" s="183">
        <f t="shared" si="66"/>
        <v>0.84257485386741116</v>
      </c>
      <c r="R411" s="183">
        <f t="shared" si="66"/>
        <v>0.84257485386741116</v>
      </c>
      <c r="S411" s="183">
        <f t="shared" si="66"/>
        <v>0.84257485386741116</v>
      </c>
      <c r="T411" s="183">
        <f t="shared" si="66"/>
        <v>0.84257485386741116</v>
      </c>
      <c r="U411" s="183">
        <f t="shared" si="66"/>
        <v>0.84257485386741116</v>
      </c>
      <c r="V411" s="183">
        <f t="shared" si="66"/>
        <v>0.84257485386741116</v>
      </c>
      <c r="W411" s="183">
        <f t="shared" si="66"/>
        <v>0.84257485386741116</v>
      </c>
      <c r="X411" s="183">
        <f t="shared" si="66"/>
        <v>0.84257485386741116</v>
      </c>
      <c r="Y411" s="183">
        <f t="shared" si="66"/>
        <v>0.84257485386741116</v>
      </c>
      <c r="Z411" s="183">
        <f t="shared" si="66"/>
        <v>0.84257485386741116</v>
      </c>
      <c r="AA411" s="183">
        <f t="shared" si="66"/>
        <v>0.84257485386741116</v>
      </c>
      <c r="AB411" s="183">
        <f t="shared" si="67"/>
        <v>0.84257485386741116</v>
      </c>
      <c r="AC411" s="183">
        <f t="shared" si="67"/>
        <v>0.84257485386741116</v>
      </c>
      <c r="AD411" s="183">
        <f t="shared" si="67"/>
        <v>0.84257485386741116</v>
      </c>
      <c r="AE411" s="183">
        <f t="shared" si="67"/>
        <v>0.84257485386741116</v>
      </c>
      <c r="AF411" s="183">
        <f t="shared" si="67"/>
        <v>0.84257485386741116</v>
      </c>
      <c r="AG411" s="183">
        <f t="shared" si="67"/>
        <v>0.84257485386741116</v>
      </c>
      <c r="AH411" s="183">
        <f t="shared" si="67"/>
        <v>0.84257485386741116</v>
      </c>
      <c r="AI411" s="183">
        <f t="shared" si="67"/>
        <v>0.84257485386741116</v>
      </c>
      <c r="AJ411" s="183">
        <f t="shared" si="67"/>
        <v>0.84257485386741116</v>
      </c>
      <c r="AK411" s="183">
        <f t="shared" si="67"/>
        <v>0.84257485386741116</v>
      </c>
      <c r="AL411" s="183">
        <f t="shared" si="67"/>
        <v>0.84257485386741116</v>
      </c>
      <c r="AM411" s="183">
        <f t="shared" si="67"/>
        <v>0.84257485386741116</v>
      </c>
      <c r="AN411" s="183">
        <f t="shared" si="67"/>
        <v>0.84257485386741116</v>
      </c>
      <c r="AO411" s="183">
        <f t="shared" si="67"/>
        <v>0.84257485386741116</v>
      </c>
      <c r="AP411" s="183">
        <f t="shared" si="67"/>
        <v>0.84257485386741116</v>
      </c>
      <c r="AQ411" s="183">
        <f t="shared" si="67"/>
        <v>0.84257485386741116</v>
      </c>
    </row>
    <row r="412" spans="7:43" ht="14.25" customHeight="1" x14ac:dyDescent="0.15">
      <c r="G412" s="22"/>
      <c r="H412" s="179"/>
      <c r="J412" s="242"/>
      <c r="K412" s="182">
        <v>5</v>
      </c>
      <c r="L412" s="183">
        <f t="shared" si="66"/>
        <v>0.80725476490109271</v>
      </c>
      <c r="M412" s="183">
        <f t="shared" si="66"/>
        <v>0.80725476490109271</v>
      </c>
      <c r="N412" s="183">
        <f t="shared" si="66"/>
        <v>0.80725476490109271</v>
      </c>
      <c r="O412" s="183">
        <f t="shared" si="66"/>
        <v>0.80725476490109271</v>
      </c>
      <c r="P412" s="183">
        <f t="shared" si="66"/>
        <v>0.80725476490109271</v>
      </c>
      <c r="Q412" s="183">
        <f t="shared" si="66"/>
        <v>0.80725476490109271</v>
      </c>
      <c r="R412" s="183">
        <f t="shared" si="66"/>
        <v>0.80725476490109271</v>
      </c>
      <c r="S412" s="183">
        <f t="shared" si="66"/>
        <v>0.80725476490109271</v>
      </c>
      <c r="T412" s="183">
        <f t="shared" si="66"/>
        <v>0.80725476490109271</v>
      </c>
      <c r="U412" s="183">
        <f t="shared" si="66"/>
        <v>0.80725476490109271</v>
      </c>
      <c r="V412" s="183">
        <f t="shared" si="66"/>
        <v>0.80725476490109271</v>
      </c>
      <c r="W412" s="183">
        <f t="shared" si="66"/>
        <v>0.80725476490109271</v>
      </c>
      <c r="X412" s="183">
        <f t="shared" si="66"/>
        <v>0.80725476490109271</v>
      </c>
      <c r="Y412" s="183">
        <f t="shared" si="66"/>
        <v>0.80725476490109271</v>
      </c>
      <c r="Z412" s="183">
        <f t="shared" si="66"/>
        <v>0.80725476490109271</v>
      </c>
      <c r="AA412" s="183">
        <f t="shared" si="66"/>
        <v>0.80725476490109271</v>
      </c>
      <c r="AB412" s="183">
        <f t="shared" si="67"/>
        <v>0.80725476490109271</v>
      </c>
      <c r="AC412" s="183">
        <f t="shared" si="67"/>
        <v>0.80725476490109271</v>
      </c>
      <c r="AD412" s="183">
        <f t="shared" si="67"/>
        <v>0.80725476490109271</v>
      </c>
      <c r="AE412" s="183">
        <f t="shared" si="67"/>
        <v>0.80725476490109271</v>
      </c>
      <c r="AF412" s="183">
        <f t="shared" si="67"/>
        <v>0.80725476490109271</v>
      </c>
      <c r="AG412" s="183">
        <f t="shared" si="67"/>
        <v>0.80725476490109271</v>
      </c>
      <c r="AH412" s="183">
        <f t="shared" si="67"/>
        <v>0.80725476490109271</v>
      </c>
      <c r="AI412" s="183">
        <f t="shared" si="67"/>
        <v>0.80725476490109271</v>
      </c>
      <c r="AJ412" s="183">
        <f t="shared" si="67"/>
        <v>0.80725476490109271</v>
      </c>
      <c r="AK412" s="183">
        <f t="shared" si="67"/>
        <v>0.80725476490109271</v>
      </c>
      <c r="AL412" s="183">
        <f t="shared" si="67"/>
        <v>0.80725476490109271</v>
      </c>
      <c r="AM412" s="183">
        <f t="shared" si="67"/>
        <v>0.80725476490109271</v>
      </c>
      <c r="AN412" s="183">
        <f t="shared" si="67"/>
        <v>0.80725476490109271</v>
      </c>
      <c r="AO412" s="183">
        <f t="shared" si="67"/>
        <v>0.80725476490109271</v>
      </c>
      <c r="AP412" s="183">
        <f t="shared" si="67"/>
        <v>0.80725476490109271</v>
      </c>
      <c r="AQ412" s="183">
        <f t="shared" si="67"/>
        <v>0.80725476490109271</v>
      </c>
    </row>
    <row r="413" spans="7:43" ht="14.25" customHeight="1" x14ac:dyDescent="0.15">
      <c r="G413" s="22"/>
      <c r="H413" s="179"/>
      <c r="J413" s="242"/>
      <c r="K413" s="182">
        <v>6</v>
      </c>
      <c r="L413" s="183">
        <f t="shared" si="66"/>
        <v>0.77341526686252693</v>
      </c>
      <c r="M413" s="183">
        <f t="shared" si="66"/>
        <v>0.77341526686252693</v>
      </c>
      <c r="N413" s="183">
        <f t="shared" si="66"/>
        <v>0.77341526686252693</v>
      </c>
      <c r="O413" s="183">
        <f t="shared" si="66"/>
        <v>0.77341526686252693</v>
      </c>
      <c r="P413" s="183">
        <f t="shared" si="66"/>
        <v>0.77341526686252693</v>
      </c>
      <c r="Q413" s="183">
        <f t="shared" si="66"/>
        <v>0.77341526686252693</v>
      </c>
      <c r="R413" s="183">
        <f t="shared" si="66"/>
        <v>0.77341526686252693</v>
      </c>
      <c r="S413" s="183">
        <f t="shared" si="66"/>
        <v>0.77341526686252693</v>
      </c>
      <c r="T413" s="183">
        <f t="shared" si="66"/>
        <v>0.77341526686252693</v>
      </c>
      <c r="U413" s="183">
        <f t="shared" si="66"/>
        <v>0.77341526686252693</v>
      </c>
      <c r="V413" s="183">
        <f t="shared" si="66"/>
        <v>0.77341526686252693</v>
      </c>
      <c r="W413" s="183">
        <f t="shared" si="66"/>
        <v>0.77341526686252693</v>
      </c>
      <c r="X413" s="183">
        <f t="shared" si="66"/>
        <v>0.77341526686252693</v>
      </c>
      <c r="Y413" s="183">
        <f t="shared" si="66"/>
        <v>0.77341526686252693</v>
      </c>
      <c r="Z413" s="183">
        <f t="shared" si="66"/>
        <v>0.77341526686252693</v>
      </c>
      <c r="AA413" s="183">
        <f t="shared" si="66"/>
        <v>0.77341526686252693</v>
      </c>
      <c r="AB413" s="183">
        <f t="shared" si="67"/>
        <v>0.77341526686252693</v>
      </c>
      <c r="AC413" s="183">
        <f t="shared" si="67"/>
        <v>0.77341526686252693</v>
      </c>
      <c r="AD413" s="183">
        <f t="shared" si="67"/>
        <v>0.77341526686252693</v>
      </c>
      <c r="AE413" s="183">
        <f t="shared" si="67"/>
        <v>0.77341526686252693</v>
      </c>
      <c r="AF413" s="183">
        <f t="shared" si="67"/>
        <v>0.77341526686252693</v>
      </c>
      <c r="AG413" s="183">
        <f t="shared" si="67"/>
        <v>0.77341526686252693</v>
      </c>
      <c r="AH413" s="183">
        <f t="shared" si="67"/>
        <v>0.77341526686252693</v>
      </c>
      <c r="AI413" s="183">
        <f t="shared" si="67"/>
        <v>0.77341526686252693</v>
      </c>
      <c r="AJ413" s="183">
        <f t="shared" si="67"/>
        <v>0.77341526686252693</v>
      </c>
      <c r="AK413" s="183">
        <f t="shared" si="67"/>
        <v>0.77341526686252693</v>
      </c>
      <c r="AL413" s="183">
        <f t="shared" si="67"/>
        <v>0.77341526686252693</v>
      </c>
      <c r="AM413" s="183">
        <f t="shared" si="67"/>
        <v>0.77341526686252693</v>
      </c>
      <c r="AN413" s="183">
        <f t="shared" si="67"/>
        <v>0.77341526686252693</v>
      </c>
      <c r="AO413" s="183">
        <f t="shared" si="67"/>
        <v>0.77341526686252693</v>
      </c>
      <c r="AP413" s="183">
        <f t="shared" si="67"/>
        <v>0.77341526686252693</v>
      </c>
      <c r="AQ413" s="183">
        <f t="shared" si="67"/>
        <v>0.77341526686252693</v>
      </c>
    </row>
    <row r="414" spans="7:43" ht="14.25" customHeight="1" x14ac:dyDescent="0.15">
      <c r="G414" s="22"/>
      <c r="H414" s="179"/>
      <c r="J414" s="242"/>
      <c r="K414" s="182" t="s">
        <v>188</v>
      </c>
      <c r="L414" s="128">
        <v>2019</v>
      </c>
      <c r="M414" s="128">
        <v>2020</v>
      </c>
      <c r="N414" s="128">
        <v>2021</v>
      </c>
      <c r="O414" s="128">
        <v>2022</v>
      </c>
      <c r="P414" s="128">
        <v>2023</v>
      </c>
      <c r="Q414" s="128">
        <v>2024</v>
      </c>
      <c r="R414" s="128">
        <v>2025</v>
      </c>
      <c r="S414" s="128">
        <v>2026</v>
      </c>
      <c r="T414" s="128">
        <v>2027</v>
      </c>
      <c r="U414" s="128">
        <v>2028</v>
      </c>
      <c r="V414" s="128">
        <v>2029</v>
      </c>
      <c r="W414" s="128">
        <v>2030</v>
      </c>
      <c r="X414" s="128">
        <v>2031</v>
      </c>
      <c r="Y414" s="128">
        <v>2032</v>
      </c>
      <c r="Z414" s="128">
        <v>2033</v>
      </c>
      <c r="AA414" s="128">
        <v>2034</v>
      </c>
      <c r="AB414" s="128">
        <v>2035</v>
      </c>
      <c r="AC414" s="128">
        <v>2036</v>
      </c>
      <c r="AD414" s="128">
        <v>2037</v>
      </c>
      <c r="AE414" s="128">
        <v>2038</v>
      </c>
      <c r="AF414" s="128">
        <v>2039</v>
      </c>
      <c r="AG414" s="128">
        <v>2040</v>
      </c>
      <c r="AH414" s="128">
        <v>2041</v>
      </c>
      <c r="AI414" s="128">
        <v>2042</v>
      </c>
      <c r="AJ414" s="128">
        <v>2043</v>
      </c>
      <c r="AK414" s="128">
        <v>2044</v>
      </c>
      <c r="AL414" s="128">
        <v>2045</v>
      </c>
      <c r="AM414" s="128">
        <v>2046</v>
      </c>
      <c r="AN414" s="128">
        <v>2047</v>
      </c>
      <c r="AO414" s="128">
        <v>2048</v>
      </c>
      <c r="AP414" s="128">
        <v>2049</v>
      </c>
      <c r="AQ414" s="128">
        <v>2050</v>
      </c>
    </row>
    <row r="415" spans="7:43" ht="14.25" customHeight="1" x14ac:dyDescent="0.15">
      <c r="G415" s="22"/>
      <c r="H415" s="179"/>
      <c r="J415" s="242"/>
      <c r="K415" s="182">
        <v>1</v>
      </c>
      <c r="L415" s="183">
        <f t="shared" ref="L415:AA420" si="68">1/((1+L$86)*(1+L$63))^$K415</f>
        <v>0.95808077014855164</v>
      </c>
      <c r="M415" s="183">
        <f t="shared" si="68"/>
        <v>0.95808077014855164</v>
      </c>
      <c r="N415" s="183">
        <f t="shared" si="68"/>
        <v>0.95808077014855164</v>
      </c>
      <c r="O415" s="183">
        <f t="shared" si="68"/>
        <v>0.95808077014855164</v>
      </c>
      <c r="P415" s="183">
        <f t="shared" si="68"/>
        <v>0.95808077014855164</v>
      </c>
      <c r="Q415" s="183">
        <f t="shared" si="68"/>
        <v>0.95808077014855164</v>
      </c>
      <c r="R415" s="183">
        <f t="shared" si="68"/>
        <v>0.95808077014855164</v>
      </c>
      <c r="S415" s="183">
        <f t="shared" si="68"/>
        <v>0.95808077014855164</v>
      </c>
      <c r="T415" s="183">
        <f t="shared" si="68"/>
        <v>0.95808077014855164</v>
      </c>
      <c r="U415" s="183">
        <f t="shared" si="68"/>
        <v>0.95808077014855164</v>
      </c>
      <c r="V415" s="183">
        <f t="shared" si="68"/>
        <v>0.95808077014855164</v>
      </c>
      <c r="W415" s="183">
        <f t="shared" si="68"/>
        <v>0.95808077014855164</v>
      </c>
      <c r="X415" s="183">
        <f t="shared" si="68"/>
        <v>0.95808077014855164</v>
      </c>
      <c r="Y415" s="183">
        <f t="shared" si="68"/>
        <v>0.95808077014855164</v>
      </c>
      <c r="Z415" s="183">
        <f t="shared" si="68"/>
        <v>0.95808077014855164</v>
      </c>
      <c r="AA415" s="183">
        <f t="shared" si="68"/>
        <v>0.95808077014855164</v>
      </c>
      <c r="AB415" s="183">
        <f t="shared" ref="AB415:AQ420" si="69">1/((1+AB$86)*(1+AB$63))^$K415</f>
        <v>0.95808077014855164</v>
      </c>
      <c r="AC415" s="183">
        <f t="shared" si="69"/>
        <v>0.95808077014855164</v>
      </c>
      <c r="AD415" s="183">
        <f t="shared" si="69"/>
        <v>0.95808077014855164</v>
      </c>
      <c r="AE415" s="183">
        <f t="shared" si="69"/>
        <v>0.95808077014855164</v>
      </c>
      <c r="AF415" s="183">
        <f t="shared" si="69"/>
        <v>0.95808077014855164</v>
      </c>
      <c r="AG415" s="183">
        <f t="shared" si="69"/>
        <v>0.95808077014855164</v>
      </c>
      <c r="AH415" s="183">
        <f t="shared" si="69"/>
        <v>0.95808077014855164</v>
      </c>
      <c r="AI415" s="183">
        <f t="shared" si="69"/>
        <v>0.95808077014855164</v>
      </c>
      <c r="AJ415" s="183">
        <f t="shared" si="69"/>
        <v>0.95808077014855164</v>
      </c>
      <c r="AK415" s="183">
        <f t="shared" si="69"/>
        <v>0.95808077014855164</v>
      </c>
      <c r="AL415" s="183">
        <f t="shared" si="69"/>
        <v>0.95808077014855164</v>
      </c>
      <c r="AM415" s="183">
        <f t="shared" si="69"/>
        <v>0.95808077014855164</v>
      </c>
      <c r="AN415" s="183">
        <f t="shared" si="69"/>
        <v>0.95808077014855164</v>
      </c>
      <c r="AO415" s="183">
        <f t="shared" si="69"/>
        <v>0.95808077014855164</v>
      </c>
      <c r="AP415" s="183">
        <f t="shared" si="69"/>
        <v>0.95808077014855164</v>
      </c>
      <c r="AQ415" s="183">
        <f t="shared" si="69"/>
        <v>0.95808077014855164</v>
      </c>
    </row>
    <row r="416" spans="7:43" ht="14.25" customHeight="1" x14ac:dyDescent="0.15">
      <c r="G416" s="22"/>
      <c r="H416" s="179"/>
      <c r="J416" s="242"/>
      <c r="K416" s="182">
        <v>2</v>
      </c>
      <c r="L416" s="183">
        <f t="shared" si="68"/>
        <v>0.91791876212844192</v>
      </c>
      <c r="M416" s="183">
        <f t="shared" si="68"/>
        <v>0.91791876212844192</v>
      </c>
      <c r="N416" s="183">
        <f t="shared" si="68"/>
        <v>0.91791876212844192</v>
      </c>
      <c r="O416" s="183">
        <f t="shared" si="68"/>
        <v>0.91791876212844192</v>
      </c>
      <c r="P416" s="183">
        <f t="shared" si="68"/>
        <v>0.91791876212844192</v>
      </c>
      <c r="Q416" s="183">
        <f t="shared" si="68"/>
        <v>0.91791876212844192</v>
      </c>
      <c r="R416" s="183">
        <f t="shared" si="68"/>
        <v>0.91791876212844192</v>
      </c>
      <c r="S416" s="183">
        <f t="shared" si="68"/>
        <v>0.91791876212844192</v>
      </c>
      <c r="T416" s="183">
        <f t="shared" si="68"/>
        <v>0.91791876212844192</v>
      </c>
      <c r="U416" s="183">
        <f t="shared" si="68"/>
        <v>0.91791876212844192</v>
      </c>
      <c r="V416" s="183">
        <f t="shared" si="68"/>
        <v>0.91791876212844192</v>
      </c>
      <c r="W416" s="183">
        <f t="shared" si="68"/>
        <v>0.91791876212844192</v>
      </c>
      <c r="X416" s="183">
        <f t="shared" si="68"/>
        <v>0.91791876212844192</v>
      </c>
      <c r="Y416" s="183">
        <f t="shared" si="68"/>
        <v>0.91791876212844192</v>
      </c>
      <c r="Z416" s="183">
        <f t="shared" si="68"/>
        <v>0.91791876212844192</v>
      </c>
      <c r="AA416" s="183">
        <f t="shared" si="68"/>
        <v>0.91791876212844192</v>
      </c>
      <c r="AB416" s="183">
        <f t="shared" si="69"/>
        <v>0.91791876212844192</v>
      </c>
      <c r="AC416" s="183">
        <f t="shared" si="69"/>
        <v>0.91791876212844192</v>
      </c>
      <c r="AD416" s="183">
        <f t="shared" si="69"/>
        <v>0.91791876212844192</v>
      </c>
      <c r="AE416" s="183">
        <f t="shared" si="69"/>
        <v>0.91791876212844192</v>
      </c>
      <c r="AF416" s="183">
        <f t="shared" si="69"/>
        <v>0.91791876212844192</v>
      </c>
      <c r="AG416" s="183">
        <f t="shared" si="69"/>
        <v>0.91791876212844192</v>
      </c>
      <c r="AH416" s="183">
        <f t="shared" si="69"/>
        <v>0.91791876212844192</v>
      </c>
      <c r="AI416" s="183">
        <f t="shared" si="69"/>
        <v>0.91791876212844192</v>
      </c>
      <c r="AJ416" s="183">
        <f t="shared" si="69"/>
        <v>0.91791876212844192</v>
      </c>
      <c r="AK416" s="183">
        <f t="shared" si="69"/>
        <v>0.91791876212844192</v>
      </c>
      <c r="AL416" s="183">
        <f t="shared" si="69"/>
        <v>0.91791876212844192</v>
      </c>
      <c r="AM416" s="183">
        <f t="shared" si="69"/>
        <v>0.91791876212844192</v>
      </c>
      <c r="AN416" s="183">
        <f t="shared" si="69"/>
        <v>0.91791876212844192</v>
      </c>
      <c r="AO416" s="183">
        <f t="shared" si="69"/>
        <v>0.91791876212844192</v>
      </c>
      <c r="AP416" s="183">
        <f t="shared" si="69"/>
        <v>0.91791876212844192</v>
      </c>
      <c r="AQ416" s="183">
        <f t="shared" si="69"/>
        <v>0.91791876212844192</v>
      </c>
    </row>
    <row r="417" spans="3:43" ht="14.25" customHeight="1" x14ac:dyDescent="0.15">
      <c r="G417" s="22"/>
      <c r="H417" s="179"/>
      <c r="J417" s="242"/>
      <c r="K417" s="182">
        <v>3</v>
      </c>
      <c r="L417" s="183">
        <f t="shared" si="68"/>
        <v>0.87944031455382288</v>
      </c>
      <c r="M417" s="183">
        <f t="shared" si="68"/>
        <v>0.87944031455382288</v>
      </c>
      <c r="N417" s="183">
        <f t="shared" si="68"/>
        <v>0.87944031455382288</v>
      </c>
      <c r="O417" s="183">
        <f t="shared" si="68"/>
        <v>0.87944031455382288</v>
      </c>
      <c r="P417" s="183">
        <f t="shared" si="68"/>
        <v>0.87944031455382288</v>
      </c>
      <c r="Q417" s="183">
        <f t="shared" si="68"/>
        <v>0.87944031455382288</v>
      </c>
      <c r="R417" s="183">
        <f t="shared" si="68"/>
        <v>0.87944031455382288</v>
      </c>
      <c r="S417" s="183">
        <f t="shared" si="68"/>
        <v>0.87944031455382288</v>
      </c>
      <c r="T417" s="183">
        <f t="shared" si="68"/>
        <v>0.87944031455382288</v>
      </c>
      <c r="U417" s="183">
        <f t="shared" si="68"/>
        <v>0.87944031455382288</v>
      </c>
      <c r="V417" s="183">
        <f t="shared" si="68"/>
        <v>0.87944031455382288</v>
      </c>
      <c r="W417" s="183">
        <f t="shared" si="68"/>
        <v>0.87944031455382288</v>
      </c>
      <c r="X417" s="183">
        <f t="shared" si="68"/>
        <v>0.87944031455382288</v>
      </c>
      <c r="Y417" s="183">
        <f t="shared" si="68"/>
        <v>0.87944031455382288</v>
      </c>
      <c r="Z417" s="183">
        <f t="shared" si="68"/>
        <v>0.87944031455382288</v>
      </c>
      <c r="AA417" s="183">
        <f t="shared" si="68"/>
        <v>0.87944031455382288</v>
      </c>
      <c r="AB417" s="183">
        <f t="shared" si="69"/>
        <v>0.87944031455382288</v>
      </c>
      <c r="AC417" s="183">
        <f t="shared" si="69"/>
        <v>0.87944031455382288</v>
      </c>
      <c r="AD417" s="183">
        <f t="shared" si="69"/>
        <v>0.87944031455382288</v>
      </c>
      <c r="AE417" s="183">
        <f t="shared" si="69"/>
        <v>0.87944031455382288</v>
      </c>
      <c r="AF417" s="183">
        <f t="shared" si="69"/>
        <v>0.87944031455382288</v>
      </c>
      <c r="AG417" s="183">
        <f t="shared" si="69"/>
        <v>0.87944031455382288</v>
      </c>
      <c r="AH417" s="183">
        <f t="shared" si="69"/>
        <v>0.87944031455382288</v>
      </c>
      <c r="AI417" s="183">
        <f t="shared" si="69"/>
        <v>0.87944031455382288</v>
      </c>
      <c r="AJ417" s="183">
        <f t="shared" si="69"/>
        <v>0.87944031455382288</v>
      </c>
      <c r="AK417" s="183">
        <f t="shared" si="69"/>
        <v>0.87944031455382288</v>
      </c>
      <c r="AL417" s="183">
        <f t="shared" si="69"/>
        <v>0.87944031455382288</v>
      </c>
      <c r="AM417" s="183">
        <f t="shared" si="69"/>
        <v>0.87944031455382288</v>
      </c>
      <c r="AN417" s="183">
        <f t="shared" si="69"/>
        <v>0.87944031455382288</v>
      </c>
      <c r="AO417" s="183">
        <f t="shared" si="69"/>
        <v>0.87944031455382288</v>
      </c>
      <c r="AP417" s="183">
        <f t="shared" si="69"/>
        <v>0.87944031455382288</v>
      </c>
      <c r="AQ417" s="183">
        <f t="shared" si="69"/>
        <v>0.87944031455382288</v>
      </c>
    </row>
    <row r="418" spans="3:43" ht="14.25" customHeight="1" x14ac:dyDescent="0.15">
      <c r="G418" s="22"/>
      <c r="H418" s="179"/>
      <c r="J418" s="242"/>
      <c r="K418" s="182">
        <v>4</v>
      </c>
      <c r="L418" s="183">
        <f t="shared" si="68"/>
        <v>0.84257485386741116</v>
      </c>
      <c r="M418" s="183">
        <f t="shared" si="68"/>
        <v>0.84257485386741116</v>
      </c>
      <c r="N418" s="183">
        <f t="shared" si="68"/>
        <v>0.84257485386741116</v>
      </c>
      <c r="O418" s="183">
        <f t="shared" si="68"/>
        <v>0.84257485386741116</v>
      </c>
      <c r="P418" s="183">
        <f t="shared" si="68"/>
        <v>0.84257485386741116</v>
      </c>
      <c r="Q418" s="183">
        <f t="shared" si="68"/>
        <v>0.84257485386741116</v>
      </c>
      <c r="R418" s="183">
        <f t="shared" si="68"/>
        <v>0.84257485386741116</v>
      </c>
      <c r="S418" s="183">
        <f t="shared" si="68"/>
        <v>0.84257485386741116</v>
      </c>
      <c r="T418" s="183">
        <f t="shared" si="68"/>
        <v>0.84257485386741116</v>
      </c>
      <c r="U418" s="183">
        <f t="shared" si="68"/>
        <v>0.84257485386741116</v>
      </c>
      <c r="V418" s="183">
        <f t="shared" si="68"/>
        <v>0.84257485386741116</v>
      </c>
      <c r="W418" s="183">
        <f t="shared" si="68"/>
        <v>0.84257485386741116</v>
      </c>
      <c r="X418" s="183">
        <f t="shared" si="68"/>
        <v>0.84257485386741116</v>
      </c>
      <c r="Y418" s="183">
        <f t="shared" si="68"/>
        <v>0.84257485386741116</v>
      </c>
      <c r="Z418" s="183">
        <f t="shared" si="68"/>
        <v>0.84257485386741116</v>
      </c>
      <c r="AA418" s="183">
        <f t="shared" si="68"/>
        <v>0.84257485386741116</v>
      </c>
      <c r="AB418" s="183">
        <f t="shared" si="69"/>
        <v>0.84257485386741116</v>
      </c>
      <c r="AC418" s="183">
        <f t="shared" si="69"/>
        <v>0.84257485386741116</v>
      </c>
      <c r="AD418" s="183">
        <f t="shared" si="69"/>
        <v>0.84257485386741116</v>
      </c>
      <c r="AE418" s="183">
        <f t="shared" si="69"/>
        <v>0.84257485386741116</v>
      </c>
      <c r="AF418" s="183">
        <f t="shared" si="69"/>
        <v>0.84257485386741116</v>
      </c>
      <c r="AG418" s="183">
        <f t="shared" si="69"/>
        <v>0.84257485386741116</v>
      </c>
      <c r="AH418" s="183">
        <f t="shared" si="69"/>
        <v>0.84257485386741116</v>
      </c>
      <c r="AI418" s="183">
        <f t="shared" si="69"/>
        <v>0.84257485386741116</v>
      </c>
      <c r="AJ418" s="183">
        <f t="shared" si="69"/>
        <v>0.84257485386741116</v>
      </c>
      <c r="AK418" s="183">
        <f t="shared" si="69"/>
        <v>0.84257485386741116</v>
      </c>
      <c r="AL418" s="183">
        <f t="shared" si="69"/>
        <v>0.84257485386741116</v>
      </c>
      <c r="AM418" s="183">
        <f t="shared" si="69"/>
        <v>0.84257485386741116</v>
      </c>
      <c r="AN418" s="183">
        <f t="shared" si="69"/>
        <v>0.84257485386741116</v>
      </c>
      <c r="AO418" s="183">
        <f t="shared" si="69"/>
        <v>0.84257485386741116</v>
      </c>
      <c r="AP418" s="183">
        <f t="shared" si="69"/>
        <v>0.84257485386741116</v>
      </c>
      <c r="AQ418" s="183">
        <f t="shared" si="69"/>
        <v>0.84257485386741116</v>
      </c>
    </row>
    <row r="419" spans="3:43" ht="14.25" customHeight="1" x14ac:dyDescent="0.15">
      <c r="G419" s="22"/>
      <c r="H419" s="179"/>
      <c r="J419" s="242"/>
      <c r="K419" s="182">
        <v>5</v>
      </c>
      <c r="L419" s="183">
        <f t="shared" si="68"/>
        <v>0.80725476490109271</v>
      </c>
      <c r="M419" s="183">
        <f t="shared" si="68"/>
        <v>0.80725476490109271</v>
      </c>
      <c r="N419" s="183">
        <f t="shared" si="68"/>
        <v>0.80725476490109271</v>
      </c>
      <c r="O419" s="183">
        <f t="shared" si="68"/>
        <v>0.80725476490109271</v>
      </c>
      <c r="P419" s="183">
        <f t="shared" si="68"/>
        <v>0.80725476490109271</v>
      </c>
      <c r="Q419" s="183">
        <f t="shared" si="68"/>
        <v>0.80725476490109271</v>
      </c>
      <c r="R419" s="183">
        <f t="shared" si="68"/>
        <v>0.80725476490109271</v>
      </c>
      <c r="S419" s="183">
        <f t="shared" si="68"/>
        <v>0.80725476490109271</v>
      </c>
      <c r="T419" s="183">
        <f t="shared" si="68"/>
        <v>0.80725476490109271</v>
      </c>
      <c r="U419" s="183">
        <f t="shared" si="68"/>
        <v>0.80725476490109271</v>
      </c>
      <c r="V419" s="183">
        <f t="shared" si="68"/>
        <v>0.80725476490109271</v>
      </c>
      <c r="W419" s="183">
        <f t="shared" si="68"/>
        <v>0.80725476490109271</v>
      </c>
      <c r="X419" s="183">
        <f t="shared" si="68"/>
        <v>0.80725476490109271</v>
      </c>
      <c r="Y419" s="183">
        <f t="shared" si="68"/>
        <v>0.80725476490109271</v>
      </c>
      <c r="Z419" s="183">
        <f t="shared" si="68"/>
        <v>0.80725476490109271</v>
      </c>
      <c r="AA419" s="183">
        <f t="shared" si="68"/>
        <v>0.80725476490109271</v>
      </c>
      <c r="AB419" s="183">
        <f t="shared" si="69"/>
        <v>0.80725476490109271</v>
      </c>
      <c r="AC419" s="183">
        <f t="shared" si="69"/>
        <v>0.80725476490109271</v>
      </c>
      <c r="AD419" s="183">
        <f t="shared" si="69"/>
        <v>0.80725476490109271</v>
      </c>
      <c r="AE419" s="183">
        <f t="shared" si="69"/>
        <v>0.80725476490109271</v>
      </c>
      <c r="AF419" s="183">
        <f t="shared" si="69"/>
        <v>0.80725476490109271</v>
      </c>
      <c r="AG419" s="183">
        <f t="shared" si="69"/>
        <v>0.80725476490109271</v>
      </c>
      <c r="AH419" s="183">
        <f t="shared" si="69"/>
        <v>0.80725476490109271</v>
      </c>
      <c r="AI419" s="183">
        <f t="shared" si="69"/>
        <v>0.80725476490109271</v>
      </c>
      <c r="AJ419" s="183">
        <f t="shared" si="69"/>
        <v>0.80725476490109271</v>
      </c>
      <c r="AK419" s="183">
        <f t="shared" si="69"/>
        <v>0.80725476490109271</v>
      </c>
      <c r="AL419" s="183">
        <f t="shared" si="69"/>
        <v>0.80725476490109271</v>
      </c>
      <c r="AM419" s="183">
        <f t="shared" si="69"/>
        <v>0.80725476490109271</v>
      </c>
      <c r="AN419" s="183">
        <f t="shared" si="69"/>
        <v>0.80725476490109271</v>
      </c>
      <c r="AO419" s="183">
        <f t="shared" si="69"/>
        <v>0.80725476490109271</v>
      </c>
      <c r="AP419" s="183">
        <f t="shared" si="69"/>
        <v>0.80725476490109271</v>
      </c>
      <c r="AQ419" s="183">
        <f t="shared" si="69"/>
        <v>0.80725476490109271</v>
      </c>
    </row>
    <row r="420" spans="3:43" ht="14.25" customHeight="1" x14ac:dyDescent="0.15">
      <c r="G420" s="133"/>
      <c r="H420" s="134"/>
      <c r="I420" s="134"/>
      <c r="J420" s="243"/>
      <c r="K420" s="182">
        <v>6</v>
      </c>
      <c r="L420" s="183">
        <f t="shared" si="68"/>
        <v>0.77341526686252693</v>
      </c>
      <c r="M420" s="183">
        <f t="shared" si="68"/>
        <v>0.77341526686252693</v>
      </c>
      <c r="N420" s="183">
        <f t="shared" si="68"/>
        <v>0.77341526686252693</v>
      </c>
      <c r="O420" s="183">
        <f t="shared" si="68"/>
        <v>0.77341526686252693</v>
      </c>
      <c r="P420" s="183">
        <f t="shared" si="68"/>
        <v>0.77341526686252693</v>
      </c>
      <c r="Q420" s="183">
        <f t="shared" si="68"/>
        <v>0.77341526686252693</v>
      </c>
      <c r="R420" s="183">
        <f t="shared" si="68"/>
        <v>0.77341526686252693</v>
      </c>
      <c r="S420" s="183">
        <f t="shared" si="68"/>
        <v>0.77341526686252693</v>
      </c>
      <c r="T420" s="183">
        <f t="shared" si="68"/>
        <v>0.77341526686252693</v>
      </c>
      <c r="U420" s="183">
        <f t="shared" si="68"/>
        <v>0.77341526686252693</v>
      </c>
      <c r="V420" s="183">
        <f t="shared" si="68"/>
        <v>0.77341526686252693</v>
      </c>
      <c r="W420" s="183">
        <f t="shared" si="68"/>
        <v>0.77341526686252693</v>
      </c>
      <c r="X420" s="183">
        <f t="shared" si="68"/>
        <v>0.77341526686252693</v>
      </c>
      <c r="Y420" s="183">
        <f t="shared" si="68"/>
        <v>0.77341526686252693</v>
      </c>
      <c r="Z420" s="183">
        <f t="shared" si="68"/>
        <v>0.77341526686252693</v>
      </c>
      <c r="AA420" s="183">
        <f t="shared" si="68"/>
        <v>0.77341526686252693</v>
      </c>
      <c r="AB420" s="183">
        <f t="shared" si="69"/>
        <v>0.77341526686252693</v>
      </c>
      <c r="AC420" s="183">
        <f t="shared" si="69"/>
        <v>0.77341526686252693</v>
      </c>
      <c r="AD420" s="183">
        <f t="shared" si="69"/>
        <v>0.77341526686252693</v>
      </c>
      <c r="AE420" s="183">
        <f t="shared" si="69"/>
        <v>0.77341526686252693</v>
      </c>
      <c r="AF420" s="183">
        <f t="shared" si="69"/>
        <v>0.77341526686252693</v>
      </c>
      <c r="AG420" s="183">
        <f t="shared" si="69"/>
        <v>0.77341526686252693</v>
      </c>
      <c r="AH420" s="183">
        <f t="shared" si="69"/>
        <v>0.77341526686252693</v>
      </c>
      <c r="AI420" s="183">
        <f t="shared" si="69"/>
        <v>0.77341526686252693</v>
      </c>
      <c r="AJ420" s="183">
        <f t="shared" si="69"/>
        <v>0.77341526686252693</v>
      </c>
      <c r="AK420" s="183">
        <f t="shared" si="69"/>
        <v>0.77341526686252693</v>
      </c>
      <c r="AL420" s="183">
        <f t="shared" si="69"/>
        <v>0.77341526686252693</v>
      </c>
      <c r="AM420" s="183">
        <f t="shared" si="69"/>
        <v>0.77341526686252693</v>
      </c>
      <c r="AN420" s="183">
        <f t="shared" si="69"/>
        <v>0.77341526686252693</v>
      </c>
      <c r="AO420" s="183">
        <f t="shared" si="69"/>
        <v>0.77341526686252693</v>
      </c>
      <c r="AP420" s="183">
        <f t="shared" si="69"/>
        <v>0.77341526686252693</v>
      </c>
      <c r="AQ420" s="183">
        <f t="shared" si="69"/>
        <v>0.77341526686252693</v>
      </c>
    </row>
    <row r="421" spans="3:43" ht="14.25" customHeight="1" x14ac:dyDescent="0.15">
      <c r="G421" s="22"/>
      <c r="J421" s="184" t="s">
        <v>189</v>
      </c>
      <c r="K421" s="182" t="s">
        <v>190</v>
      </c>
      <c r="L421" s="185">
        <v>0</v>
      </c>
      <c r="M421" s="185">
        <v>0</v>
      </c>
      <c r="N421" s="185">
        <v>0</v>
      </c>
      <c r="O421" s="185">
        <v>0</v>
      </c>
      <c r="P421" s="185">
        <v>0</v>
      </c>
      <c r="Q421" s="185">
        <v>0</v>
      </c>
      <c r="R421" s="185">
        <v>0</v>
      </c>
      <c r="S421" s="185">
        <v>0</v>
      </c>
      <c r="T421" s="185">
        <v>0</v>
      </c>
      <c r="U421" s="185">
        <v>0</v>
      </c>
      <c r="V421" s="185">
        <v>0</v>
      </c>
      <c r="W421" s="185">
        <v>0</v>
      </c>
      <c r="X421" s="185">
        <v>0</v>
      </c>
      <c r="Y421" s="185">
        <v>0</v>
      </c>
      <c r="Z421" s="185">
        <v>0</v>
      </c>
      <c r="AA421" s="185">
        <v>0</v>
      </c>
      <c r="AB421" s="185">
        <v>0</v>
      </c>
      <c r="AC421" s="185">
        <v>0</v>
      </c>
      <c r="AD421" s="185">
        <v>0</v>
      </c>
      <c r="AE421" s="185">
        <v>0</v>
      </c>
      <c r="AF421" s="185">
        <v>0</v>
      </c>
      <c r="AG421" s="185">
        <v>0</v>
      </c>
      <c r="AH421" s="185">
        <v>0</v>
      </c>
      <c r="AI421" s="185">
        <v>0</v>
      </c>
      <c r="AJ421" s="185">
        <v>0</v>
      </c>
      <c r="AK421" s="185">
        <v>0</v>
      </c>
      <c r="AL421" s="185">
        <v>0</v>
      </c>
      <c r="AM421" s="185">
        <v>0</v>
      </c>
      <c r="AN421" s="185">
        <v>0</v>
      </c>
      <c r="AO421" s="185">
        <v>0</v>
      </c>
      <c r="AP421" s="185">
        <v>0</v>
      </c>
      <c r="AQ421" s="185">
        <v>0</v>
      </c>
    </row>
    <row r="422" spans="3:43" ht="14.25" customHeight="1" x14ac:dyDescent="0.15">
      <c r="G422" s="22"/>
    </row>
    <row r="423" spans="3:43" ht="14.25" customHeight="1" x14ac:dyDescent="0.15">
      <c r="G423" s="22"/>
      <c r="J423" s="134"/>
      <c r="K423" s="134"/>
      <c r="L423" s="134"/>
      <c r="M423" s="134"/>
      <c r="N423" s="134"/>
      <c r="O423" s="134"/>
      <c r="P423" s="134"/>
      <c r="Q423" s="134"/>
      <c r="R423" s="134"/>
      <c r="S423" s="134"/>
      <c r="T423" s="134"/>
      <c r="U423" s="134"/>
      <c r="V423" s="134"/>
      <c r="W423" s="134"/>
      <c r="X423" s="134"/>
      <c r="Y423" s="134"/>
      <c r="Z423" s="134"/>
      <c r="AA423" s="134"/>
      <c r="AB423" s="134"/>
      <c r="AC423" s="134"/>
      <c r="AD423" s="134"/>
      <c r="AE423" s="134"/>
      <c r="AF423" s="134"/>
      <c r="AG423" s="134"/>
      <c r="AH423" s="134"/>
      <c r="AI423" s="134"/>
      <c r="AJ423" s="134"/>
      <c r="AK423" s="134"/>
      <c r="AL423" s="134"/>
      <c r="AM423" s="134"/>
      <c r="AN423" s="134"/>
      <c r="AO423" s="134"/>
      <c r="AP423" s="134"/>
      <c r="AQ423" s="134"/>
    </row>
    <row r="424" spans="3:43" ht="14.25" customHeight="1" x14ac:dyDescent="0.15">
      <c r="G424" s="22"/>
    </row>
    <row r="426" spans="3:43" ht="14.25" customHeight="1" x14ac:dyDescent="0.15">
      <c r="C426" s="21" t="s">
        <v>61</v>
      </c>
      <c r="G426" s="244" t="s">
        <v>191</v>
      </c>
      <c r="H426" s="244"/>
      <c r="I426" s="244"/>
      <c r="J426" s="244"/>
      <c r="K426" s="244"/>
      <c r="L426" s="244"/>
      <c r="M426" s="244"/>
      <c r="N426" s="244"/>
      <c r="O426" s="244"/>
      <c r="P426" s="244"/>
      <c r="Q426" s="244"/>
      <c r="R426" s="244"/>
      <c r="S426" s="244"/>
      <c r="T426" s="244"/>
      <c r="U426" s="244"/>
      <c r="V426" s="244"/>
      <c r="W426" s="244"/>
      <c r="X426" s="244"/>
      <c r="Y426" s="244"/>
      <c r="Z426" s="244"/>
      <c r="AA426" s="244"/>
      <c r="AB426" s="244"/>
    </row>
    <row r="428" spans="3:43" ht="14.25" customHeight="1" thickBot="1" x14ac:dyDescent="0.2">
      <c r="I428" s="186"/>
      <c r="J428" s="186"/>
      <c r="K428" s="186"/>
      <c r="L428" s="186"/>
      <c r="M428" s="186"/>
    </row>
    <row r="429" spans="3:43" ht="14.25" customHeight="1" x14ac:dyDescent="0.15">
      <c r="I429" s="231" t="s">
        <v>192</v>
      </c>
      <c r="J429" s="232"/>
      <c r="K429" s="232"/>
      <c r="L429" s="232"/>
      <c r="M429" s="232"/>
      <c r="N429" s="245"/>
      <c r="O429" s="245"/>
      <c r="P429" s="245"/>
      <c r="Q429" s="245"/>
      <c r="R429" s="245"/>
      <c r="S429" s="245"/>
      <c r="T429" s="245"/>
      <c r="U429" s="245"/>
      <c r="V429" s="245"/>
      <c r="W429" s="245"/>
      <c r="X429" s="245"/>
      <c r="Y429" s="245"/>
      <c r="Z429" s="245"/>
      <c r="AA429" s="245"/>
      <c r="AB429" s="246"/>
    </row>
    <row r="430" spans="3:43" ht="14.25" customHeight="1" x14ac:dyDescent="0.15">
      <c r="I430" s="225" t="s">
        <v>193</v>
      </c>
      <c r="J430" s="226"/>
      <c r="K430" s="226"/>
      <c r="L430" s="226"/>
      <c r="M430" s="226"/>
      <c r="N430" s="187" t="s">
        <v>194</v>
      </c>
      <c r="O430" s="188"/>
      <c r="P430" s="188"/>
      <c r="Q430" s="188"/>
      <c r="R430" s="188"/>
      <c r="S430" s="188"/>
      <c r="T430" s="188"/>
      <c r="U430" s="188"/>
      <c r="V430" s="188"/>
      <c r="W430" s="188"/>
      <c r="X430" s="188"/>
      <c r="Y430" s="188"/>
      <c r="Z430" s="188"/>
      <c r="AA430" s="188"/>
      <c r="AB430" s="189"/>
    </row>
    <row r="431" spans="3:43" ht="14.25" customHeight="1" x14ac:dyDescent="0.15">
      <c r="I431" s="225" t="s">
        <v>132</v>
      </c>
      <c r="J431" s="226"/>
      <c r="K431" s="226"/>
      <c r="L431" s="226"/>
      <c r="M431" s="226"/>
      <c r="N431" s="247" t="s">
        <v>195</v>
      </c>
      <c r="O431" s="248"/>
      <c r="P431" s="248"/>
      <c r="Q431" s="248"/>
      <c r="R431" s="248"/>
      <c r="S431" s="248"/>
      <c r="T431" s="248"/>
      <c r="U431" s="248"/>
      <c r="V431" s="248"/>
      <c r="W431" s="248"/>
      <c r="X431" s="248"/>
      <c r="Y431" s="248"/>
      <c r="Z431" s="248"/>
      <c r="AA431" s="248"/>
      <c r="AB431" s="249"/>
    </row>
    <row r="432" spans="3:43" ht="14.25" customHeight="1" x14ac:dyDescent="0.15">
      <c r="I432" s="225" t="s">
        <v>12</v>
      </c>
      <c r="J432" s="226"/>
      <c r="K432" s="226"/>
      <c r="L432" s="226"/>
      <c r="M432" s="226"/>
      <c r="N432" s="190" t="s">
        <v>196</v>
      </c>
      <c r="O432" s="191"/>
      <c r="P432" s="191"/>
      <c r="Q432" s="191"/>
      <c r="R432" s="191"/>
      <c r="S432" s="191"/>
      <c r="T432" s="191"/>
      <c r="U432" s="191"/>
      <c r="V432" s="191"/>
      <c r="W432" s="191"/>
      <c r="X432" s="191"/>
      <c r="Y432" s="191"/>
      <c r="Z432" s="191"/>
      <c r="AA432" s="191"/>
      <c r="AB432" s="192"/>
      <c r="AC432" s="16" t="s">
        <v>197</v>
      </c>
    </row>
    <row r="433" spans="9:29" ht="14.25" customHeight="1" x14ac:dyDescent="0.15">
      <c r="I433" s="225" t="s">
        <v>198</v>
      </c>
      <c r="J433" s="226"/>
      <c r="K433" s="226"/>
      <c r="L433" s="226"/>
      <c r="M433" s="226"/>
      <c r="N433" s="190" t="s">
        <v>199</v>
      </c>
      <c r="O433" s="191"/>
      <c r="P433" s="191"/>
      <c r="Q433" s="191"/>
      <c r="R433" s="191"/>
      <c r="S433" s="191"/>
      <c r="T433" s="191"/>
      <c r="U433" s="191"/>
      <c r="V433" s="191"/>
      <c r="W433" s="191"/>
      <c r="X433" s="191"/>
      <c r="Y433" s="191"/>
      <c r="Z433" s="191"/>
      <c r="AA433" s="191"/>
      <c r="AB433" s="192"/>
      <c r="AC433" s="16" t="s">
        <v>200</v>
      </c>
    </row>
    <row r="434" spans="9:29" ht="14.25" customHeight="1" x14ac:dyDescent="0.15">
      <c r="I434" s="225" t="s">
        <v>201</v>
      </c>
      <c r="J434" s="226"/>
      <c r="K434" s="226"/>
      <c r="L434" s="226"/>
      <c r="M434" s="226"/>
      <c r="N434" s="227" t="s">
        <v>202</v>
      </c>
      <c r="O434" s="228"/>
      <c r="P434" s="228"/>
      <c r="Q434" s="228"/>
      <c r="R434" s="228"/>
      <c r="S434" s="228"/>
      <c r="T434" s="228"/>
      <c r="U434" s="228"/>
      <c r="V434" s="228"/>
      <c r="W434" s="228"/>
      <c r="X434" s="228"/>
      <c r="Y434" s="228"/>
      <c r="Z434" s="228"/>
      <c r="AA434" s="228"/>
      <c r="AB434" s="229"/>
    </row>
    <row r="435" spans="9:29" ht="14.25" customHeight="1" x14ac:dyDescent="0.15">
      <c r="I435" s="225" t="s">
        <v>203</v>
      </c>
      <c r="J435" s="226"/>
      <c r="K435" s="226"/>
      <c r="L435" s="226"/>
      <c r="M435" s="226"/>
      <c r="N435" s="227" t="s">
        <v>202</v>
      </c>
      <c r="O435" s="228"/>
      <c r="P435" s="228"/>
      <c r="Q435" s="228"/>
      <c r="R435" s="228"/>
      <c r="S435" s="228"/>
      <c r="T435" s="228"/>
      <c r="U435" s="228"/>
      <c r="V435" s="228"/>
      <c r="W435" s="228"/>
      <c r="X435" s="228"/>
      <c r="Y435" s="228"/>
      <c r="Z435" s="228"/>
      <c r="AA435" s="228"/>
      <c r="AB435" s="229"/>
    </row>
    <row r="436" spans="9:29" ht="14.25" customHeight="1" thickBot="1" x14ac:dyDescent="0.2">
      <c r="I436" s="220" t="s">
        <v>204</v>
      </c>
      <c r="J436" s="221"/>
      <c r="K436" s="221"/>
      <c r="L436" s="221"/>
      <c r="M436" s="221"/>
      <c r="N436" s="222" t="s">
        <v>202</v>
      </c>
      <c r="O436" s="223"/>
      <c r="P436" s="223"/>
      <c r="Q436" s="223"/>
      <c r="R436" s="223"/>
      <c r="S436" s="223"/>
      <c r="T436" s="223"/>
      <c r="U436" s="223"/>
      <c r="V436" s="223"/>
      <c r="W436" s="223"/>
      <c r="X436" s="223"/>
      <c r="Y436" s="223"/>
      <c r="Z436" s="223"/>
      <c r="AA436" s="223"/>
      <c r="AB436" s="224"/>
    </row>
    <row r="437" spans="9:29" ht="14.25" customHeight="1" thickBot="1" x14ac:dyDescent="0.2">
      <c r="I437" s="230"/>
      <c r="J437" s="230"/>
      <c r="K437" s="230"/>
      <c r="L437" s="230"/>
      <c r="M437" s="230"/>
      <c r="N437" s="193"/>
      <c r="O437" s="193"/>
      <c r="P437" s="193"/>
      <c r="Q437" s="193"/>
      <c r="R437" s="193"/>
      <c r="S437" s="193"/>
      <c r="T437" s="193"/>
      <c r="U437" s="193"/>
      <c r="V437" s="193"/>
      <c r="W437" s="193"/>
      <c r="X437" s="193"/>
      <c r="Y437" s="193"/>
      <c r="Z437" s="193"/>
      <c r="AA437" s="193"/>
      <c r="AB437" s="193"/>
    </row>
    <row r="438" spans="9:29" ht="14.25" customHeight="1" x14ac:dyDescent="0.15">
      <c r="I438" s="231" t="s">
        <v>205</v>
      </c>
      <c r="J438" s="232"/>
      <c r="K438" s="232"/>
      <c r="L438" s="232"/>
      <c r="M438" s="232"/>
      <c r="N438" s="233"/>
      <c r="O438" s="234"/>
      <c r="P438" s="234"/>
      <c r="Q438" s="234"/>
      <c r="R438" s="234"/>
      <c r="S438" s="234"/>
      <c r="T438" s="234"/>
      <c r="U438" s="234"/>
      <c r="V438" s="234"/>
      <c r="W438" s="234"/>
      <c r="X438" s="234"/>
      <c r="Y438" s="234"/>
      <c r="Z438" s="234"/>
      <c r="AA438" s="234"/>
      <c r="AB438" s="235"/>
    </row>
    <row r="439" spans="9:29" ht="14.25" customHeight="1" x14ac:dyDescent="0.15">
      <c r="I439" s="225" t="s">
        <v>132</v>
      </c>
      <c r="J439" s="226"/>
      <c r="K439" s="226"/>
      <c r="L439" s="226"/>
      <c r="M439" s="226"/>
      <c r="N439" s="194" t="s">
        <v>206</v>
      </c>
      <c r="O439" s="188"/>
      <c r="P439" s="188"/>
      <c r="Q439" s="188"/>
      <c r="R439" s="188"/>
      <c r="S439" s="188"/>
      <c r="T439" s="188"/>
      <c r="U439" s="188"/>
      <c r="V439" s="188"/>
      <c r="W439" s="188"/>
      <c r="X439" s="188"/>
      <c r="Y439" s="188"/>
      <c r="Z439" s="188"/>
      <c r="AA439" s="188"/>
      <c r="AB439" s="189"/>
    </row>
    <row r="440" spans="9:29" ht="14.25" customHeight="1" x14ac:dyDescent="0.15">
      <c r="I440" s="225" t="s">
        <v>12</v>
      </c>
      <c r="J440" s="226"/>
      <c r="K440" s="226"/>
      <c r="L440" s="226"/>
      <c r="M440" s="226"/>
      <c r="N440" s="194" t="s">
        <v>207</v>
      </c>
      <c r="O440" s="188"/>
      <c r="P440" s="188"/>
      <c r="Q440" s="188"/>
      <c r="R440" s="188"/>
      <c r="S440" s="188"/>
      <c r="T440" s="188"/>
      <c r="U440" s="188"/>
      <c r="V440" s="188"/>
      <c r="W440" s="188"/>
      <c r="X440" s="188"/>
      <c r="Y440" s="188"/>
      <c r="Z440" s="188"/>
      <c r="AA440" s="188"/>
      <c r="AB440" s="189"/>
    </row>
    <row r="441" spans="9:29" ht="27.75" customHeight="1" x14ac:dyDescent="0.2">
      <c r="I441" s="236" t="s">
        <v>198</v>
      </c>
      <c r="J441" s="237"/>
      <c r="K441" s="237"/>
      <c r="L441" s="237"/>
      <c r="M441" s="238"/>
      <c r="N441" s="195" t="s">
        <v>199</v>
      </c>
      <c r="O441"/>
      <c r="P441"/>
      <c r="Q441"/>
      <c r="R441"/>
      <c r="S441"/>
      <c r="T441"/>
      <c r="U441"/>
      <c r="V441"/>
      <c r="W441"/>
      <c r="X441"/>
      <c r="Y441"/>
      <c r="Z441"/>
      <c r="AA441"/>
      <c r="AB441"/>
      <c r="AC441" s="16" t="s">
        <v>200</v>
      </c>
    </row>
    <row r="442" spans="9:29" ht="14.25" customHeight="1" x14ac:dyDescent="0.15">
      <c r="I442" s="225" t="s">
        <v>201</v>
      </c>
      <c r="J442" s="226"/>
      <c r="K442" s="226"/>
      <c r="L442" s="226"/>
      <c r="M442" s="226"/>
      <c r="N442" s="227" t="s">
        <v>202</v>
      </c>
      <c r="O442" s="228"/>
      <c r="P442" s="228"/>
      <c r="Q442" s="228"/>
      <c r="R442" s="228"/>
      <c r="S442" s="228"/>
      <c r="T442" s="228"/>
      <c r="U442" s="228"/>
      <c r="V442" s="228"/>
      <c r="W442" s="228"/>
      <c r="X442" s="228"/>
      <c r="Y442" s="228"/>
      <c r="Z442" s="228"/>
      <c r="AA442" s="228"/>
      <c r="AB442" s="229"/>
    </row>
    <row r="443" spans="9:29" ht="14.25" customHeight="1" thickBot="1" x14ac:dyDescent="0.2">
      <c r="I443" s="220" t="s">
        <v>208</v>
      </c>
      <c r="J443" s="221"/>
      <c r="K443" s="221"/>
      <c r="L443" s="221"/>
      <c r="M443" s="221"/>
      <c r="N443" s="222" t="s">
        <v>202</v>
      </c>
      <c r="O443" s="223"/>
      <c r="P443" s="223"/>
      <c r="Q443" s="223"/>
      <c r="R443" s="223"/>
      <c r="S443" s="223"/>
      <c r="T443" s="223"/>
      <c r="U443" s="223"/>
      <c r="V443" s="223"/>
      <c r="W443" s="223"/>
      <c r="X443" s="223"/>
      <c r="Y443" s="223"/>
      <c r="Z443" s="223"/>
      <c r="AA443" s="223"/>
      <c r="AB443" s="224"/>
    </row>
    <row r="493" spans="12:46" ht="14.25" customHeight="1" x14ac:dyDescent="0.15">
      <c r="L493" s="16">
        <v>0</v>
      </c>
      <c r="M493" s="16">
        <v>0</v>
      </c>
      <c r="N493" s="16">
        <v>0</v>
      </c>
      <c r="O493" s="16">
        <v>0</v>
      </c>
      <c r="P493" s="16">
        <v>0</v>
      </c>
      <c r="Q493" s="16">
        <v>0</v>
      </c>
      <c r="R493" s="16">
        <v>0</v>
      </c>
      <c r="S493" s="16">
        <v>0</v>
      </c>
      <c r="T493" s="16">
        <v>0</v>
      </c>
      <c r="U493" s="16">
        <v>0</v>
      </c>
      <c r="V493" s="16">
        <v>0</v>
      </c>
      <c r="W493" s="16">
        <v>0</v>
      </c>
      <c r="X493" s="16">
        <v>0</v>
      </c>
      <c r="Y493" s="16">
        <v>0</v>
      </c>
      <c r="Z493" s="16">
        <v>0</v>
      </c>
      <c r="AA493" s="16">
        <v>0</v>
      </c>
      <c r="AB493" s="16">
        <v>0</v>
      </c>
      <c r="AC493" s="16">
        <v>0</v>
      </c>
      <c r="AD493" s="16">
        <v>0</v>
      </c>
      <c r="AE493" s="16">
        <v>0</v>
      </c>
      <c r="AF493" s="16">
        <v>0</v>
      </c>
      <c r="AG493" s="16">
        <v>0</v>
      </c>
      <c r="AH493" s="16">
        <v>0</v>
      </c>
      <c r="AI493" s="16">
        <v>0</v>
      </c>
      <c r="AJ493" s="16">
        <v>0</v>
      </c>
      <c r="AK493" s="16">
        <v>0</v>
      </c>
      <c r="AL493" s="16">
        <v>0</v>
      </c>
      <c r="AM493" s="16">
        <v>0</v>
      </c>
      <c r="AN493" s="16">
        <v>0</v>
      </c>
      <c r="AO493" s="16">
        <v>0</v>
      </c>
      <c r="AP493" s="16">
        <v>0</v>
      </c>
      <c r="AQ493" s="16">
        <v>0</v>
      </c>
      <c r="AR493" s="16">
        <v>0</v>
      </c>
      <c r="AS493" s="16">
        <v>0</v>
      </c>
      <c r="AT493" s="16">
        <v>0</v>
      </c>
    </row>
  </sheetData>
  <mergeCells count="55">
    <mergeCell ref="G7:X7"/>
    <mergeCell ref="H9:H30"/>
    <mergeCell ref="J14:O14"/>
    <mergeCell ref="J15:O15"/>
    <mergeCell ref="J16:O16"/>
    <mergeCell ref="J17:O17"/>
    <mergeCell ref="L26:Q30"/>
    <mergeCell ref="H32:H92"/>
    <mergeCell ref="Y39:AA39"/>
    <mergeCell ref="Y42:AA42"/>
    <mergeCell ref="M53:M56"/>
    <mergeCell ref="N53:N56"/>
    <mergeCell ref="O53:O56"/>
    <mergeCell ref="J63:J90"/>
    <mergeCell ref="G97:T97"/>
    <mergeCell ref="H100:H289"/>
    <mergeCell ref="J100:J129"/>
    <mergeCell ref="J132:J161"/>
    <mergeCell ref="J164:J193"/>
    <mergeCell ref="J196:J225"/>
    <mergeCell ref="J228:J257"/>
    <mergeCell ref="J260:J289"/>
    <mergeCell ref="H292:H322"/>
    <mergeCell ref="J293:J322"/>
    <mergeCell ref="H325:H354"/>
    <mergeCell ref="J325:J354"/>
    <mergeCell ref="H357:H386"/>
    <mergeCell ref="J357:J386"/>
    <mergeCell ref="I434:M434"/>
    <mergeCell ref="N434:AB434"/>
    <mergeCell ref="H390:H399"/>
    <mergeCell ref="J390:J399"/>
    <mergeCell ref="J401:J420"/>
    <mergeCell ref="G426:AB426"/>
    <mergeCell ref="I429:M429"/>
    <mergeCell ref="N429:AB429"/>
    <mergeCell ref="I430:M430"/>
    <mergeCell ref="I431:M431"/>
    <mergeCell ref="N431:AB431"/>
    <mergeCell ref="I432:M432"/>
    <mergeCell ref="I433:M433"/>
    <mergeCell ref="I443:M443"/>
    <mergeCell ref="N443:AB443"/>
    <mergeCell ref="I435:M435"/>
    <mergeCell ref="N435:AB435"/>
    <mergeCell ref="I436:M436"/>
    <mergeCell ref="N436:AB436"/>
    <mergeCell ref="I437:M437"/>
    <mergeCell ref="I438:M438"/>
    <mergeCell ref="N438:AB438"/>
    <mergeCell ref="I439:M439"/>
    <mergeCell ref="I440:M440"/>
    <mergeCell ref="I441:M441"/>
    <mergeCell ref="I442:M442"/>
    <mergeCell ref="N442:AB442"/>
  </mergeCells>
  <hyperlinks>
    <hyperlink ref="L1" r:id="rId1" xr:uid="{6588CA1C-A63C-455E-8FC7-A446477999AA}"/>
    <hyperlink ref="N430" r:id="rId2" location="ZZDGWR57" xr:uid="{9DD077B6-2C5F-421B-BD42-774ACF71FC66}"/>
    <hyperlink ref="N432" r:id="rId3" location="7YHPYQX2" xr:uid="{441B8B51-0E60-43E4-B80F-E0D40032C016}"/>
    <hyperlink ref="N433" r:id="rId4" location="7YHPYQX2" xr:uid="{039DA89A-0230-4F6D-B5DC-3FE8E449D9EB}"/>
    <hyperlink ref="N431:AB431" r:id="rId5" display="NREL. PVWATTS v5. Representative of national range of capacity factors." xr:uid="{6BC9F845-4786-4F1D-A5C0-8E21CC591F73}"/>
    <hyperlink ref="N441" r:id="rId6" location="7YHPYQX2" xr:uid="{B31EBC62-1202-469A-BF11-B80BEE1A02D1}"/>
  </hyperlinks>
  <pageMargins left="0.7" right="0.7" top="0.75" bottom="0.75" header="0.3" footer="0.3"/>
  <pageSetup orientation="portrait" r:id="rId7"/>
  <drawing r:id="rId8"/>
  <legacyDrawing r:id="rId9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10" name="Button 1">
              <controlPr defaultSize="0" print="0" autoFill="0" autoPict="0" macro="[1]!Module4.CurrentCostsJump">
                <anchor moveWithCells="1" sizeWithCells="1">
                  <from>
                    <xdr:col>9</xdr:col>
                    <xdr:colOff>800100</xdr:colOff>
                    <xdr:row>2</xdr:row>
                    <xdr:rowOff>114300</xdr:rowOff>
                  </from>
                  <to>
                    <xdr:col>11</xdr:col>
                    <xdr:colOff>381000</xdr:colOff>
                    <xdr:row>4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11" name="Button 2">
              <controlPr defaultSize="0" print="0" autoFill="0" autoPict="0" macro="[1]!Module4.HistoricTrendsJump">
                <anchor moveWithCells="1" sizeWithCells="1">
                  <from>
                    <xdr:col>14</xdr:col>
                    <xdr:colOff>114300</xdr:colOff>
                    <xdr:row>2</xdr:row>
                    <xdr:rowOff>114300</xdr:rowOff>
                  </from>
                  <to>
                    <xdr:col>16</xdr:col>
                    <xdr:colOff>114300</xdr:colOff>
                    <xdr:row>4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12" name="Button 3">
              <controlPr defaultSize="0" print="0" autoFill="0" autoPict="0" macro="[1]!Module4.FutureProjectionsJump">
                <anchor moveWithCells="1" sizeWithCells="1">
                  <from>
                    <xdr:col>11</xdr:col>
                    <xdr:colOff>685800</xdr:colOff>
                    <xdr:row>2</xdr:row>
                    <xdr:rowOff>114300</xdr:rowOff>
                  </from>
                  <to>
                    <xdr:col>13</xdr:col>
                    <xdr:colOff>762000</xdr:colOff>
                    <xdr:row>4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13" name="Button 4">
              <controlPr defaultSize="0" print="0" autoFill="0" autoPict="0">
                <anchor moveWithCells="1" sizeWithCells="1">
                  <from>
                    <xdr:col>9</xdr:col>
                    <xdr:colOff>800100</xdr:colOff>
                    <xdr:row>2</xdr:row>
                    <xdr:rowOff>114300</xdr:rowOff>
                  </from>
                  <to>
                    <xdr:col>11</xdr:col>
                    <xdr:colOff>381000</xdr:colOff>
                    <xdr:row>4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14" name="Button 5">
              <controlPr defaultSize="0" print="0" autoFill="0" autoPict="0">
                <anchor moveWithCells="1" sizeWithCells="1">
                  <from>
                    <xdr:col>14</xdr:col>
                    <xdr:colOff>114300</xdr:colOff>
                    <xdr:row>2</xdr:row>
                    <xdr:rowOff>114300</xdr:rowOff>
                  </from>
                  <to>
                    <xdr:col>16</xdr:col>
                    <xdr:colOff>114300</xdr:colOff>
                    <xdr:row>4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15" name="Button 6">
              <controlPr defaultSize="0" print="0" autoFill="0" autoPict="0">
                <anchor moveWithCells="1" sizeWithCells="1">
                  <from>
                    <xdr:col>11</xdr:col>
                    <xdr:colOff>685800</xdr:colOff>
                    <xdr:row>2</xdr:row>
                    <xdr:rowOff>114300</xdr:rowOff>
                  </from>
                  <to>
                    <xdr:col>13</xdr:col>
                    <xdr:colOff>762000</xdr:colOff>
                    <xdr:row>4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16" name="Button 7">
              <controlPr defaultSize="0" print="0" autoFill="0" autoPict="0" macro="[1]!Module4.CurrentCostsJump">
                <anchor moveWithCells="1" sizeWithCells="1">
                  <from>
                    <xdr:col>9</xdr:col>
                    <xdr:colOff>800100</xdr:colOff>
                    <xdr:row>2</xdr:row>
                    <xdr:rowOff>114300</xdr:rowOff>
                  </from>
                  <to>
                    <xdr:col>11</xdr:col>
                    <xdr:colOff>381000</xdr:colOff>
                    <xdr:row>4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7" name="Button 8">
              <controlPr defaultSize="0" print="0" autoFill="0" autoPict="0" macro="[1]!Module4.HistoricTrendsJump">
                <anchor moveWithCells="1" sizeWithCells="1">
                  <from>
                    <xdr:col>14</xdr:col>
                    <xdr:colOff>114300</xdr:colOff>
                    <xdr:row>2</xdr:row>
                    <xdr:rowOff>114300</xdr:rowOff>
                  </from>
                  <to>
                    <xdr:col>16</xdr:col>
                    <xdr:colOff>114300</xdr:colOff>
                    <xdr:row>4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8" name="Button 9">
              <controlPr defaultSize="0" print="0" autoFill="0" autoPict="0" macro="[1]!Module4.FutureProjectionsJump">
                <anchor moveWithCells="1" sizeWithCells="1">
                  <from>
                    <xdr:col>11</xdr:col>
                    <xdr:colOff>685800</xdr:colOff>
                    <xdr:row>2</xdr:row>
                    <xdr:rowOff>114300</xdr:rowOff>
                  </from>
                  <to>
                    <xdr:col>13</xdr:col>
                    <xdr:colOff>762000</xdr:colOff>
                    <xdr:row>4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9" name="Button 10">
              <controlPr defaultSize="0" print="0" autoFill="0" autoPict="0" macro="[1]!CurrentCostsJump">
                <anchor moveWithCells="1" sizeWithCells="1">
                  <from>
                    <xdr:col>9</xdr:col>
                    <xdr:colOff>800100</xdr:colOff>
                    <xdr:row>2</xdr:row>
                    <xdr:rowOff>114300</xdr:rowOff>
                  </from>
                  <to>
                    <xdr:col>11</xdr:col>
                    <xdr:colOff>381000</xdr:colOff>
                    <xdr:row>4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20" name="Button 11">
              <controlPr defaultSize="0" print="0" autoFill="0" autoPict="0" macro="[1]!HistoricTrendsJump">
                <anchor moveWithCells="1" sizeWithCells="1">
                  <from>
                    <xdr:col>14</xdr:col>
                    <xdr:colOff>114300</xdr:colOff>
                    <xdr:row>2</xdr:row>
                    <xdr:rowOff>114300</xdr:rowOff>
                  </from>
                  <to>
                    <xdr:col>16</xdr:col>
                    <xdr:colOff>114300</xdr:colOff>
                    <xdr:row>4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21" name="Button 12">
              <controlPr defaultSize="0" print="0" autoFill="0" autoPict="0" macro="[1]!FutureProjectionsJump">
                <anchor moveWithCells="1" sizeWithCells="1">
                  <from>
                    <xdr:col>11</xdr:col>
                    <xdr:colOff>685800</xdr:colOff>
                    <xdr:row>2</xdr:row>
                    <xdr:rowOff>114300</xdr:rowOff>
                  </from>
                  <to>
                    <xdr:col>13</xdr:col>
                    <xdr:colOff>762000</xdr:colOff>
                    <xdr:row>4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22" name="RD Button">
              <controlPr defaultSize="0" autoFill="0" autoLine="0" autoPict="0" macro="[1]!DPV_RD">
                <anchor moveWithCells="1">
                  <from>
                    <xdr:col>15</xdr:col>
                    <xdr:colOff>139700</xdr:colOff>
                    <xdr:row>33</xdr:row>
                    <xdr:rowOff>101600</xdr:rowOff>
                  </from>
                  <to>
                    <xdr:col>18</xdr:col>
                    <xdr:colOff>444500</xdr:colOff>
                    <xdr:row>34</xdr:row>
                    <xdr:rowOff>127000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23" name="Market Button">
              <controlPr defaultSize="0" autoFill="0" autoLine="0" autoPict="0" macro="[1]!DPV_Market">
                <anchor moveWithCells="1">
                  <from>
                    <xdr:col>15</xdr:col>
                    <xdr:colOff>139700</xdr:colOff>
                    <xdr:row>35</xdr:row>
                    <xdr:rowOff>165100</xdr:rowOff>
                  </from>
                  <to>
                    <xdr:col>18</xdr:col>
                    <xdr:colOff>25400</xdr:colOff>
                    <xdr:row>36</xdr:row>
                    <xdr:rowOff>101600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24" name="20 year">
              <controlPr defaultSize="0" autoFill="0" autoLine="0" autoPict="0" macro="[1]!ThisWorkbook.TwentyYearButton_Click">
                <anchor moveWithCells="1">
                  <from>
                    <xdr:col>14</xdr:col>
                    <xdr:colOff>342900</xdr:colOff>
                    <xdr:row>42</xdr:row>
                    <xdr:rowOff>76200</xdr:rowOff>
                  </from>
                  <to>
                    <xdr:col>15</xdr:col>
                    <xdr:colOff>431800</xdr:colOff>
                    <xdr:row>43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25" name="30 year">
              <controlPr defaultSize="0" autoFill="0" autoLine="0" autoPict="0" macro="[1]!ThisWorkbook.ThirtyYearButton_Click">
                <anchor moveWithCells="1">
                  <from>
                    <xdr:col>14</xdr:col>
                    <xdr:colOff>342900</xdr:colOff>
                    <xdr:row>43</xdr:row>
                    <xdr:rowOff>63500</xdr:rowOff>
                  </from>
                  <to>
                    <xdr:col>15</xdr:col>
                    <xdr:colOff>419100</xdr:colOff>
                    <xdr:row>44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26" name="Tech Life">
              <controlPr defaultSize="0" autoFill="0" autoLine="0" autoPict="0" macro="[1]!ThisWorkbook.TechLifeButton_Click">
                <anchor moveWithCells="1">
                  <from>
                    <xdr:col>14</xdr:col>
                    <xdr:colOff>342900</xdr:colOff>
                    <xdr:row>44</xdr:row>
                    <xdr:rowOff>38100</xdr:rowOff>
                  </from>
                  <to>
                    <xdr:col>15</xdr:col>
                    <xdr:colOff>863600</xdr:colOff>
                    <xdr:row>45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27" name="Custom CRP">
              <controlPr defaultSize="0" autoFill="0" autoLine="0" autoPict="0" macro="[1]!ThisWorkbook.CustomLifeButton_Click">
                <anchor moveWithCells="1">
                  <from>
                    <xdr:col>14</xdr:col>
                    <xdr:colOff>342900</xdr:colOff>
                    <xdr:row>45</xdr:row>
                    <xdr:rowOff>38100</xdr:rowOff>
                  </from>
                  <to>
                    <xdr:col>15</xdr:col>
                    <xdr:colOff>431800</xdr:colOff>
                    <xdr:row>45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28" name="Group Box 19">
              <controlPr defaultSize="0" autoFill="0" autoPict="0">
                <anchor moveWithCells="1">
                  <from>
                    <xdr:col>14</xdr:col>
                    <xdr:colOff>63500</xdr:colOff>
                    <xdr:row>39</xdr:row>
                    <xdr:rowOff>165100</xdr:rowOff>
                  </from>
                  <to>
                    <xdr:col>17</xdr:col>
                    <xdr:colOff>139700</xdr:colOff>
                    <xdr:row>46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29" name="Button 20">
              <controlPr defaultSize="0" print="0" autoFill="0" autoPict="0" macro="[1]!ThisWorkbook.ApplyAllFinances">
                <anchor moveWithCells="1" sizeWithCells="1">
                  <from>
                    <xdr:col>18</xdr:col>
                    <xdr:colOff>584200</xdr:colOff>
                    <xdr:row>34</xdr:row>
                    <xdr:rowOff>63500</xdr:rowOff>
                  </from>
                  <to>
                    <xdr:col>21</xdr:col>
                    <xdr:colOff>495300</xdr:colOff>
                    <xdr:row>36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30" name="Button 21">
              <controlPr defaultSize="0" print="0" autoFill="0" autoPict="0" macro="[1]!ThisWorkbook.ApplyAll">
                <anchor moveWithCells="1" sizeWithCells="1">
                  <from>
                    <xdr:col>19</xdr:col>
                    <xdr:colOff>101600</xdr:colOff>
                    <xdr:row>40</xdr:row>
                    <xdr:rowOff>25400</xdr:rowOff>
                  </from>
                  <to>
                    <xdr:col>22</xdr:col>
                    <xdr:colOff>406400</xdr:colOff>
                    <xdr:row>43</xdr:row>
                    <xdr:rowOff>101600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E657D-B26A-44C0-9C99-4C181CD4AEE8}">
  <sheetPr>
    <tabColor rgb="FFF6A01A"/>
  </sheetPr>
  <dimension ref="A1:DE460"/>
  <sheetViews>
    <sheetView showGridLines="0" zoomScale="85" zoomScaleNormal="85" workbookViewId="0">
      <pane xSplit="5" ySplit="5" topLeftCell="AM106" activePane="bottomRight" state="frozen"/>
      <selection activeCell="F6" sqref="F6"/>
      <selection pane="topRight" activeCell="F6" sqref="F6"/>
      <selection pane="bottomLeft" activeCell="F6" sqref="F6"/>
      <selection pane="bottomRight" activeCell="BK1" sqref="BK1:BK1048576"/>
    </sheetView>
  </sheetViews>
  <sheetFormatPr baseColWidth="10" defaultColWidth="9.5" defaultRowHeight="14.25" customHeight="1" x14ac:dyDescent="0.15"/>
  <cols>
    <col min="1" max="1" width="9.5" style="16"/>
    <col min="2" max="7" width="1.5" style="16" customWidth="1"/>
    <col min="8" max="8" width="5.5" style="16" customWidth="1"/>
    <col min="9" max="9" width="8.5" style="16" customWidth="1"/>
    <col min="10" max="10" width="20.5" style="16" customWidth="1"/>
    <col min="11" max="11" width="57.5" style="16" bestFit="1" customWidth="1"/>
    <col min="12" max="12" width="15.33203125" style="16" customWidth="1"/>
    <col min="13" max="15" width="11.5" style="16" customWidth="1"/>
    <col min="16" max="16" width="13.5" style="16" customWidth="1"/>
    <col min="17" max="17" width="12.5" style="16" customWidth="1"/>
    <col min="18" max="20" width="11.5" style="16" customWidth="1"/>
    <col min="21" max="21" width="18.5" style="16" customWidth="1"/>
    <col min="22" max="24" width="11.5" style="16" customWidth="1"/>
    <col min="25" max="25" width="13" style="16" bestFit="1" customWidth="1"/>
    <col min="26" max="46" width="11.5" style="16" customWidth="1"/>
    <col min="47" max="16384" width="9.5" style="16"/>
  </cols>
  <sheetData>
    <row r="1" spans="1:109" ht="18" x14ac:dyDescent="0.2">
      <c r="A1" s="15" t="s">
        <v>256</v>
      </c>
      <c r="B1" s="15"/>
      <c r="C1" s="15"/>
      <c r="D1" s="15"/>
      <c r="E1" s="15"/>
      <c r="F1" s="15"/>
      <c r="G1" s="15"/>
      <c r="H1" s="15"/>
      <c r="I1" s="15"/>
      <c r="J1" s="15"/>
      <c r="M1" s="13" t="s">
        <v>255</v>
      </c>
    </row>
    <row r="2" spans="1:109" ht="14.25" customHeight="1" x14ac:dyDescent="0.2">
      <c r="A2"/>
      <c r="B2"/>
      <c r="C2"/>
      <c r="D2"/>
      <c r="E2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8" t="s">
        <v>58</v>
      </c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</row>
    <row r="3" spans="1:109" ht="14.25" customHeight="1" x14ac:dyDescent="0.2">
      <c r="A3"/>
      <c r="B3"/>
      <c r="C3"/>
      <c r="D3"/>
      <c r="E3"/>
      <c r="U3" s="20" t="s">
        <v>60</v>
      </c>
    </row>
    <row r="4" spans="1:109" ht="14.25" customHeight="1" x14ac:dyDescent="0.15">
      <c r="J4" s="19"/>
      <c r="U4" s="301" t="s">
        <v>254</v>
      </c>
    </row>
    <row r="5" spans="1:109" ht="14.25" customHeight="1" x14ac:dyDescent="0.15">
      <c r="U5" s="302"/>
    </row>
    <row r="7" spans="1:109" ht="14.25" customHeight="1" x14ac:dyDescent="0.2">
      <c r="B7" s="21" t="s">
        <v>61</v>
      </c>
      <c r="G7" s="244" t="s">
        <v>62</v>
      </c>
      <c r="H7" s="268"/>
      <c r="I7" s="268"/>
      <c r="J7" s="268"/>
      <c r="K7" s="268"/>
      <c r="L7" s="268"/>
      <c r="M7" s="268"/>
      <c r="N7" s="268"/>
      <c r="O7" s="268"/>
      <c r="P7" s="268"/>
      <c r="Q7" s="268"/>
      <c r="R7" s="268"/>
      <c r="S7" s="268"/>
      <c r="T7" s="268"/>
      <c r="U7" s="268"/>
      <c r="V7" s="268"/>
      <c r="W7" s="268"/>
      <c r="X7" s="268"/>
      <c r="Y7" s="269"/>
    </row>
    <row r="8" spans="1:109" ht="14.25" customHeight="1" thickBot="1" x14ac:dyDescent="0.2">
      <c r="G8" s="22"/>
    </row>
    <row r="9" spans="1:109" ht="14.25" customHeight="1" thickBot="1" x14ac:dyDescent="0.25">
      <c r="A9"/>
      <c r="G9" s="22"/>
      <c r="H9" s="270" t="s">
        <v>63</v>
      </c>
      <c r="J9" s="303" t="s">
        <v>253</v>
      </c>
      <c r="K9" s="304"/>
      <c r="L9" s="305"/>
      <c r="M9" s="25">
        <v>2020</v>
      </c>
      <c r="N9" s="26"/>
      <c r="O9" s="26"/>
      <c r="P9" s="27"/>
    </row>
    <row r="10" spans="1:109" ht="14.25" customHeight="1" thickBot="1" x14ac:dyDescent="0.2">
      <c r="G10" s="22"/>
      <c r="H10" s="271"/>
      <c r="J10" s="23" t="s">
        <v>252</v>
      </c>
      <c r="Q10" s="216"/>
    </row>
    <row r="11" spans="1:109" ht="14.25" customHeight="1" thickBot="1" x14ac:dyDescent="0.25">
      <c r="G11" s="22"/>
      <c r="H11" s="271"/>
      <c r="J11" s="29" t="s">
        <v>66</v>
      </c>
      <c r="K11" s="30"/>
      <c r="L11" s="30"/>
      <c r="M11" s="30"/>
      <c r="N11" s="30"/>
      <c r="O11" s="30"/>
      <c r="P11" s="31"/>
      <c r="W11" s="32"/>
      <c r="X11" s="33"/>
      <c r="Y11" s="33"/>
      <c r="Z11" s="33"/>
      <c r="AA11" s="33"/>
    </row>
    <row r="12" spans="1:109" s="35" customFormat="1" ht="14.25" customHeight="1" thickBot="1" x14ac:dyDescent="0.25">
      <c r="A12"/>
      <c r="B12"/>
      <c r="C12"/>
      <c r="D12"/>
      <c r="E12"/>
      <c r="F12"/>
      <c r="G12"/>
      <c r="H12" s="271"/>
      <c r="I12"/>
      <c r="J12" s="34"/>
      <c r="K12" s="30"/>
      <c r="L12" s="30"/>
      <c r="M12" s="30"/>
      <c r="N12" s="30"/>
      <c r="O12" s="30"/>
      <c r="P12" s="31"/>
      <c r="V12"/>
      <c r="W12" s="32"/>
      <c r="X12" s="33"/>
      <c r="Y12" s="33"/>
      <c r="Z12" s="33"/>
      <c r="AA12" s="33"/>
    </row>
    <row r="13" spans="1:109" s="35" customFormat="1" ht="14.25" customHeight="1" thickBot="1" x14ac:dyDescent="0.25">
      <c r="A13"/>
      <c r="B13"/>
      <c r="C13"/>
      <c r="D13"/>
      <c r="E13"/>
      <c r="F13"/>
      <c r="G13"/>
      <c r="H13" s="271"/>
      <c r="I13"/>
      <c r="J13" s="34"/>
      <c r="K13" s="30"/>
      <c r="L13" s="30"/>
      <c r="M13" s="30"/>
      <c r="N13" s="30"/>
      <c r="O13" s="30"/>
      <c r="P13" s="31"/>
      <c r="V13"/>
      <c r="W13" s="32"/>
      <c r="X13" s="33"/>
      <c r="Y13" s="33"/>
      <c r="Z13" s="33"/>
      <c r="AA13" s="33"/>
    </row>
    <row r="14" spans="1:109" ht="14.25" customHeight="1" x14ac:dyDescent="0.2">
      <c r="G14" s="22"/>
      <c r="H14" s="271"/>
      <c r="J14" s="273" t="s">
        <v>251</v>
      </c>
      <c r="K14" s="274"/>
      <c r="L14" s="274"/>
      <c r="M14" s="274"/>
      <c r="N14" s="274"/>
      <c r="O14" s="274"/>
      <c r="P14" s="275"/>
      <c r="W14" s="33"/>
      <c r="X14" s="33"/>
      <c r="Y14" s="33"/>
      <c r="Z14" s="33"/>
      <c r="AA14" s="33"/>
    </row>
    <row r="15" spans="1:109" ht="14.25" customHeight="1" x14ac:dyDescent="0.2">
      <c r="G15" s="22"/>
      <c r="H15" s="271"/>
      <c r="J15" s="276" t="s">
        <v>17</v>
      </c>
      <c r="K15" s="277"/>
      <c r="L15" s="277"/>
      <c r="M15" s="277"/>
      <c r="N15" s="277"/>
      <c r="O15" s="277"/>
      <c r="P15" s="278"/>
      <c r="W15" s="33"/>
      <c r="X15" s="33"/>
      <c r="Y15" s="33"/>
      <c r="Z15" s="33"/>
      <c r="AA15" s="33"/>
    </row>
    <row r="16" spans="1:109" ht="14.25" customHeight="1" x14ac:dyDescent="0.2">
      <c r="G16" s="22"/>
      <c r="H16" s="271"/>
      <c r="J16" s="276" t="s">
        <v>18</v>
      </c>
      <c r="K16" s="279"/>
      <c r="L16" s="279"/>
      <c r="M16" s="279"/>
      <c r="N16" s="279"/>
      <c r="O16" s="279"/>
      <c r="P16" s="280"/>
      <c r="W16" s="33"/>
      <c r="X16" s="33"/>
      <c r="Y16" s="33"/>
      <c r="Z16" s="33"/>
      <c r="AA16" s="33"/>
    </row>
    <row r="17" spans="7:27" ht="14.25" customHeight="1" x14ac:dyDescent="0.2">
      <c r="G17" s="22"/>
      <c r="H17" s="271"/>
      <c r="J17" s="281" t="s">
        <v>250</v>
      </c>
      <c r="K17" s="282"/>
      <c r="L17" s="282"/>
      <c r="M17" s="282"/>
      <c r="N17" s="282"/>
      <c r="O17" s="282"/>
      <c r="P17" s="283"/>
      <c r="V17" s="36"/>
      <c r="W17" s="33"/>
      <c r="X17" s="33"/>
      <c r="Y17" s="33"/>
      <c r="Z17" s="33"/>
      <c r="AA17" s="33"/>
    </row>
    <row r="18" spans="7:27" ht="14.25" customHeight="1" x14ac:dyDescent="0.2">
      <c r="G18" s="22"/>
      <c r="H18" s="271"/>
      <c r="J18" s="37"/>
      <c r="K18" s="38"/>
      <c r="L18" s="38"/>
      <c r="M18" s="38"/>
      <c r="N18" s="38"/>
      <c r="O18" s="38"/>
      <c r="P18" s="39"/>
      <c r="V18" s="38"/>
      <c r="W18" s="33"/>
      <c r="X18" s="33"/>
      <c r="Y18" s="33"/>
      <c r="Z18" s="33"/>
      <c r="AA18" s="33"/>
    </row>
    <row r="19" spans="7:27" ht="14.25" customHeight="1" thickBot="1" x14ac:dyDescent="0.25">
      <c r="G19" s="22"/>
      <c r="H19" s="271"/>
      <c r="J19" s="40"/>
      <c r="K19" s="41"/>
      <c r="L19" s="41"/>
      <c r="M19" s="41"/>
      <c r="N19" s="41"/>
      <c r="O19" s="41"/>
      <c r="P19" s="42"/>
      <c r="V19" s="38"/>
      <c r="W19" s="33"/>
      <c r="X19" s="33"/>
      <c r="Y19" s="33"/>
      <c r="Z19" s="33"/>
      <c r="AA19" s="33"/>
    </row>
    <row r="20" spans="7:27" ht="14.25" customHeight="1" x14ac:dyDescent="0.2">
      <c r="G20" s="22"/>
      <c r="H20" s="271"/>
      <c r="J20" s="43"/>
      <c r="K20" s="44"/>
      <c r="L20" s="44"/>
      <c r="M20" s="44"/>
      <c r="N20" s="45"/>
      <c r="O20" s="46" t="s">
        <v>69</v>
      </c>
      <c r="P20" s="47" t="s">
        <v>69</v>
      </c>
      <c r="W20" s="33"/>
      <c r="X20" s="33"/>
      <c r="Y20" s="33"/>
      <c r="Z20" s="33"/>
      <c r="AA20" s="33"/>
    </row>
    <row r="21" spans="7:27" ht="14.25" customHeight="1" x14ac:dyDescent="0.2">
      <c r="G21" s="22"/>
      <c r="H21" s="271"/>
      <c r="J21" s="48"/>
      <c r="K21" s="49"/>
      <c r="L21" s="49"/>
      <c r="M21" s="49"/>
      <c r="N21" s="50"/>
      <c r="O21" s="46" t="s">
        <v>70</v>
      </c>
      <c r="P21" s="47" t="s">
        <v>71</v>
      </c>
      <c r="W21" s="33"/>
      <c r="X21" s="33"/>
      <c r="Y21" s="33"/>
      <c r="Z21" s="33"/>
      <c r="AA21" s="33"/>
    </row>
    <row r="22" spans="7:27" ht="14.25" customHeight="1" thickBot="1" x14ac:dyDescent="0.25">
      <c r="G22" s="22"/>
      <c r="H22" s="271"/>
      <c r="J22" s="51"/>
      <c r="K22" s="52"/>
      <c r="L22" s="52"/>
      <c r="M22" s="52"/>
      <c r="N22" s="53"/>
      <c r="O22" s="46" t="s">
        <v>72</v>
      </c>
      <c r="P22" s="54" t="s">
        <v>73</v>
      </c>
      <c r="W22" s="33"/>
      <c r="X22" s="33"/>
      <c r="Y22" s="33"/>
      <c r="Z22" s="33"/>
      <c r="AA22" s="33"/>
    </row>
    <row r="23" spans="7:27" ht="14.25" customHeight="1" thickBot="1" x14ac:dyDescent="0.25">
      <c r="G23" s="22"/>
      <c r="H23" s="271"/>
      <c r="J23" s="55"/>
      <c r="K23" s="56"/>
      <c r="L23" s="56"/>
      <c r="M23" s="56"/>
      <c r="N23" s="57"/>
      <c r="O23" s="58">
        <v>386</v>
      </c>
      <c r="P23" s="58">
        <v>506000</v>
      </c>
      <c r="W23" s="33"/>
      <c r="X23" s="33"/>
      <c r="Y23" s="33"/>
      <c r="Z23" s="33"/>
      <c r="AA23" s="33"/>
    </row>
    <row r="24" spans="7:27" ht="14.25" customHeight="1" x14ac:dyDescent="0.2">
      <c r="G24" s="22"/>
      <c r="H24" s="271"/>
      <c r="J24" s="51"/>
      <c r="K24" s="52"/>
      <c r="L24" s="52"/>
      <c r="M24" s="52"/>
      <c r="N24" s="52"/>
      <c r="O24" s="59"/>
      <c r="P24" s="60"/>
      <c r="W24" s="33"/>
      <c r="X24" s="33"/>
      <c r="Y24" s="33"/>
      <c r="Z24" s="33"/>
      <c r="AA24" s="33"/>
    </row>
    <row r="25" spans="7:27" ht="14.25" customHeight="1" thickBot="1" x14ac:dyDescent="0.25">
      <c r="G25" s="22"/>
      <c r="H25" s="272"/>
      <c r="J25" s="51"/>
      <c r="K25" s="52"/>
      <c r="L25" s="215"/>
      <c r="M25" s="52"/>
      <c r="N25" s="52"/>
      <c r="O25" s="59"/>
      <c r="P25" s="60"/>
      <c r="W25" s="33"/>
      <c r="X25" s="33"/>
      <c r="Y25" s="33"/>
      <c r="Z25" s="33"/>
      <c r="AA25" s="33"/>
    </row>
    <row r="26" spans="7:27" ht="14.25" customHeight="1" x14ac:dyDescent="0.2">
      <c r="G26" s="22"/>
      <c r="H26" s="272"/>
      <c r="J26" s="61"/>
      <c r="K26" s="62"/>
      <c r="M26" s="284" t="s">
        <v>74</v>
      </c>
      <c r="N26" s="285"/>
      <c r="O26" s="285"/>
      <c r="P26" s="285"/>
      <c r="Q26" s="286"/>
      <c r="R26" s="287"/>
      <c r="W26" s="33"/>
      <c r="X26" s="33"/>
      <c r="Y26" s="33"/>
      <c r="Z26" s="33"/>
      <c r="AA26" s="33"/>
    </row>
    <row r="27" spans="7:27" ht="14.25" customHeight="1" x14ac:dyDescent="0.2">
      <c r="G27" s="22"/>
      <c r="H27" s="272"/>
      <c r="J27" s="63"/>
      <c r="M27" s="288"/>
      <c r="N27" s="289"/>
      <c r="O27" s="289"/>
      <c r="P27" s="289"/>
      <c r="Q27" s="268"/>
      <c r="R27" s="290"/>
      <c r="W27" s="33"/>
      <c r="X27" s="33"/>
      <c r="Y27" s="33"/>
      <c r="Z27" s="33"/>
      <c r="AA27" s="33"/>
    </row>
    <row r="28" spans="7:27" ht="14.25" customHeight="1" x14ac:dyDescent="0.2">
      <c r="G28" s="22"/>
      <c r="H28" s="272"/>
      <c r="J28" s="63"/>
      <c r="M28" s="288"/>
      <c r="N28" s="289"/>
      <c r="O28" s="289"/>
      <c r="P28" s="289"/>
      <c r="Q28" s="268"/>
      <c r="R28" s="290"/>
      <c r="W28" s="33"/>
      <c r="X28" s="33"/>
      <c r="Y28" s="33"/>
      <c r="Z28" s="33"/>
      <c r="AA28" s="33"/>
    </row>
    <row r="29" spans="7:27" ht="14.25" customHeight="1" x14ac:dyDescent="0.2">
      <c r="G29" s="22"/>
      <c r="H29" s="272"/>
      <c r="J29" s="63"/>
      <c r="M29" s="288"/>
      <c r="N29" s="289"/>
      <c r="O29" s="289"/>
      <c r="P29" s="289"/>
      <c r="Q29" s="268"/>
      <c r="R29" s="290"/>
      <c r="W29" s="33"/>
      <c r="X29" s="33"/>
      <c r="Y29" s="33"/>
      <c r="Z29" s="33"/>
      <c r="AA29" s="33"/>
    </row>
    <row r="30" spans="7:27" ht="14.25" customHeight="1" thickBot="1" x14ac:dyDescent="0.25">
      <c r="G30" s="22"/>
      <c r="H30" s="272"/>
      <c r="J30" s="64"/>
      <c r="K30" s="65"/>
      <c r="L30" s="65"/>
      <c r="M30" s="291"/>
      <c r="N30" s="292"/>
      <c r="O30" s="292"/>
      <c r="P30" s="292"/>
      <c r="Q30" s="293"/>
      <c r="R30" s="294"/>
      <c r="W30" s="33"/>
      <c r="X30" s="33"/>
      <c r="Y30" s="33"/>
      <c r="Z30" s="33"/>
      <c r="AA30" s="33"/>
    </row>
    <row r="31" spans="7:27" ht="14.25" customHeight="1" thickBot="1" x14ac:dyDescent="0.25">
      <c r="G31" s="22"/>
      <c r="P31" s="28"/>
      <c r="W31" s="33"/>
      <c r="X31" s="33"/>
      <c r="Y31" s="33"/>
      <c r="Z31" s="33"/>
      <c r="AA31" s="33"/>
    </row>
    <row r="32" spans="7:27" ht="14.25" customHeight="1" x14ac:dyDescent="0.2">
      <c r="G32" s="22"/>
      <c r="H32" s="255" t="s">
        <v>75</v>
      </c>
      <c r="J32" s="66" t="s">
        <v>76</v>
      </c>
      <c r="K32" s="67"/>
      <c r="L32" s="67"/>
      <c r="M32" s="67"/>
      <c r="N32" s="67"/>
      <c r="O32" s="68"/>
      <c r="P32" s="69"/>
      <c r="W32" s="33"/>
      <c r="X32" s="33"/>
      <c r="Y32" s="33"/>
      <c r="Z32" s="33"/>
      <c r="AA32" s="33"/>
    </row>
    <row r="33" spans="7:43" ht="14.25" customHeight="1" x14ac:dyDescent="0.15">
      <c r="G33" s="22"/>
      <c r="H33" s="256"/>
      <c r="J33" s="73" t="s">
        <v>78</v>
      </c>
      <c r="K33" s="74"/>
      <c r="L33" s="74"/>
      <c r="M33" s="74"/>
      <c r="N33" s="74"/>
      <c r="O33" s="75">
        <f>S34</f>
        <v>30</v>
      </c>
      <c r="P33" s="69"/>
      <c r="Q33" s="16" t="s">
        <v>249</v>
      </c>
      <c r="S33" s="214" t="str">
        <f>'[2]Financial and CRP Inputs'!$B$5</f>
        <v>Market</v>
      </c>
    </row>
    <row r="34" spans="7:43" ht="14.25" customHeight="1" x14ac:dyDescent="0.15">
      <c r="G34" s="22"/>
      <c r="H34" s="256"/>
      <c r="J34" s="82" t="s">
        <v>89</v>
      </c>
      <c r="K34" s="83"/>
      <c r="L34" s="83"/>
      <c r="M34" s="83"/>
      <c r="N34" s="83"/>
      <c r="O34" s="84">
        <v>5</v>
      </c>
      <c r="P34" s="69"/>
      <c r="Q34" s="16" t="s">
        <v>248</v>
      </c>
      <c r="S34" s="213">
        <f>IF('[2]Financial and CRP Inputs'!$E$5="Custom",'[2]Financial and CRP Inputs'!$J$9,IF('[2]Financial and CRP Inputs'!$E$5="TechLife",'[2]Financial and CRP Inputs'!$I$9,'[2]Financial and CRP Inputs'!$E$5))</f>
        <v>30</v>
      </c>
    </row>
    <row r="35" spans="7:43" ht="14.25" customHeight="1" thickBot="1" x14ac:dyDescent="0.2">
      <c r="G35" s="22"/>
      <c r="H35" s="256"/>
      <c r="J35" s="85" t="s">
        <v>95</v>
      </c>
      <c r="K35" s="86"/>
      <c r="L35" s="86"/>
      <c r="M35" s="212"/>
      <c r="N35" s="212"/>
      <c r="O35" s="76">
        <v>0.02</v>
      </c>
      <c r="P35" s="69"/>
    </row>
    <row r="36" spans="7:43" ht="14.25" customHeight="1" x14ac:dyDescent="0.15">
      <c r="G36" s="22"/>
      <c r="H36" s="256"/>
      <c r="J36" s="92" t="s">
        <v>97</v>
      </c>
      <c r="K36" s="93"/>
      <c r="L36" s="93"/>
      <c r="O36" s="94">
        <v>1</v>
      </c>
      <c r="P36" s="69"/>
      <c r="V36" s="88"/>
    </row>
    <row r="37" spans="7:43" ht="14.25" customHeight="1" x14ac:dyDescent="0.15">
      <c r="G37" s="22"/>
      <c r="H37" s="256"/>
      <c r="J37" s="95" t="s">
        <v>98</v>
      </c>
      <c r="K37" s="96" t="s">
        <v>99</v>
      </c>
      <c r="L37" s="295" t="s">
        <v>101</v>
      </c>
      <c r="M37" s="298" t="s">
        <v>102</v>
      </c>
      <c r="N37" s="211"/>
      <c r="T37" s="88"/>
    </row>
    <row r="38" spans="7:43" ht="14.25" customHeight="1" x14ac:dyDescent="0.15">
      <c r="G38" s="22"/>
      <c r="H38" s="256"/>
      <c r="J38" s="98" t="s">
        <v>104</v>
      </c>
      <c r="K38" s="78" t="s">
        <v>105</v>
      </c>
      <c r="L38" s="296"/>
      <c r="M38" s="299"/>
    </row>
    <row r="39" spans="7:43" ht="14.25" customHeight="1" x14ac:dyDescent="0.15">
      <c r="G39" s="22"/>
      <c r="H39" s="256"/>
      <c r="J39" s="98"/>
      <c r="K39" s="78"/>
      <c r="L39" s="296"/>
      <c r="M39" s="299"/>
    </row>
    <row r="40" spans="7:43" ht="14.25" customHeight="1" x14ac:dyDescent="0.15">
      <c r="G40" s="22"/>
      <c r="H40" s="256"/>
      <c r="J40" s="98"/>
      <c r="K40" s="78"/>
      <c r="L40" s="297"/>
      <c r="M40" s="300"/>
    </row>
    <row r="41" spans="7:43" ht="14.25" customHeight="1" x14ac:dyDescent="0.15">
      <c r="G41" s="22"/>
      <c r="H41" s="256"/>
      <c r="J41" s="107">
        <v>0</v>
      </c>
      <c r="K41" s="108">
        <v>1</v>
      </c>
      <c r="L41" s="108">
        <v>0.8</v>
      </c>
      <c r="M41" s="210">
        <f>1-L41</f>
        <v>0.19999999999999996</v>
      </c>
    </row>
    <row r="42" spans="7:43" ht="14.25" customHeight="1" x14ac:dyDescent="0.15">
      <c r="G42" s="22"/>
      <c r="H42" s="256"/>
      <c r="J42" s="114">
        <v>1</v>
      </c>
      <c r="K42" s="115">
        <v>0</v>
      </c>
      <c r="L42" s="115">
        <v>0.8</v>
      </c>
      <c r="M42" s="209">
        <f>1-L42</f>
        <v>0.19999999999999996</v>
      </c>
    </row>
    <row r="43" spans="7:43" ht="14.25" customHeight="1" thickBot="1" x14ac:dyDescent="0.2">
      <c r="G43" s="22"/>
      <c r="H43" s="256"/>
      <c r="J43" s="120">
        <v>2</v>
      </c>
      <c r="K43" s="121">
        <v>0</v>
      </c>
      <c r="L43" s="121">
        <v>0.8</v>
      </c>
      <c r="M43" s="208">
        <f>1-L43</f>
        <v>0.19999999999999996</v>
      </c>
    </row>
    <row r="44" spans="7:43" ht="14.25" customHeight="1" x14ac:dyDescent="0.15">
      <c r="G44" s="22"/>
      <c r="H44" s="256"/>
    </row>
    <row r="45" spans="7:43" ht="14.25" customHeight="1" x14ac:dyDescent="0.15">
      <c r="G45" s="22"/>
      <c r="H45" s="256"/>
      <c r="M45" s="16" t="s">
        <v>110</v>
      </c>
      <c r="U45" s="127"/>
      <c r="V45" s="88"/>
    </row>
    <row r="46" spans="7:43" ht="14.25" customHeight="1" x14ac:dyDescent="0.15">
      <c r="G46" s="22"/>
      <c r="H46" s="256"/>
      <c r="M46" s="128">
        <v>2020</v>
      </c>
      <c r="N46" s="128">
        <v>2021</v>
      </c>
      <c r="O46" s="128">
        <v>2022</v>
      </c>
      <c r="P46" s="128">
        <v>2023</v>
      </c>
      <c r="Q46" s="128">
        <v>2024</v>
      </c>
      <c r="R46" s="128">
        <v>2025</v>
      </c>
      <c r="S46" s="128">
        <v>2026</v>
      </c>
      <c r="T46" s="128">
        <v>2027</v>
      </c>
      <c r="U46" s="128">
        <v>2028</v>
      </c>
      <c r="V46" s="128">
        <v>2029</v>
      </c>
      <c r="W46" s="128">
        <v>2030</v>
      </c>
      <c r="X46" s="128">
        <v>2031</v>
      </c>
      <c r="Y46" s="128">
        <v>2032</v>
      </c>
      <c r="Z46" s="128">
        <v>2033</v>
      </c>
      <c r="AA46" s="128">
        <v>2034</v>
      </c>
      <c r="AB46" s="128">
        <v>2035</v>
      </c>
      <c r="AC46" s="128">
        <v>2036</v>
      </c>
      <c r="AD46" s="128">
        <v>2037</v>
      </c>
      <c r="AE46" s="128">
        <v>2038</v>
      </c>
      <c r="AF46" s="128">
        <v>2039</v>
      </c>
      <c r="AG46" s="128">
        <v>2040</v>
      </c>
      <c r="AH46" s="128">
        <v>2041</v>
      </c>
      <c r="AI46" s="128">
        <v>2042</v>
      </c>
      <c r="AJ46" s="128">
        <v>2043</v>
      </c>
      <c r="AK46" s="128">
        <v>2044</v>
      </c>
      <c r="AL46" s="128">
        <v>2045</v>
      </c>
      <c r="AM46" s="128">
        <v>2046</v>
      </c>
      <c r="AN46" s="128">
        <v>2047</v>
      </c>
      <c r="AO46" s="128">
        <v>2048</v>
      </c>
      <c r="AP46" s="128">
        <v>2049</v>
      </c>
      <c r="AQ46" s="128">
        <v>2050</v>
      </c>
    </row>
    <row r="47" spans="7:43" ht="14.25" customHeight="1" x14ac:dyDescent="0.15">
      <c r="G47" s="22"/>
      <c r="H47" s="256"/>
      <c r="J47" s="267" t="s">
        <v>62</v>
      </c>
      <c r="K47" s="129" t="s">
        <v>77</v>
      </c>
      <c r="L47" s="129" t="s">
        <v>220</v>
      </c>
      <c r="M47" s="207">
        <f>IF($S$33="Market",'[2]WACC Calc'!F159,'[2]WACC Calc'!F524)</f>
        <v>2.5000000000000001E-2</v>
      </c>
      <c r="N47" s="207">
        <f>IF($S$33="Market",'[2]WACC Calc'!G159,'[2]WACC Calc'!G524)</f>
        <v>2.5000000000000001E-2</v>
      </c>
      <c r="O47" s="207">
        <f>IF($S$33="Market",'[2]WACC Calc'!H159,'[2]WACC Calc'!H524)</f>
        <v>2.5000000000000001E-2</v>
      </c>
      <c r="P47" s="207">
        <f>IF($S$33="Market",'[2]WACC Calc'!I159,'[2]WACC Calc'!I524)</f>
        <v>2.5000000000000001E-2</v>
      </c>
      <c r="Q47" s="207">
        <f>IF($S$33="Market",'[2]WACC Calc'!J159,'[2]WACC Calc'!J524)</f>
        <v>2.5000000000000001E-2</v>
      </c>
      <c r="R47" s="207">
        <f>IF($S$33="Market",'[2]WACC Calc'!K159,'[2]WACC Calc'!K524)</f>
        <v>2.5000000000000001E-2</v>
      </c>
      <c r="S47" s="207">
        <f>IF($S$33="Market",'[2]WACC Calc'!L159,'[2]WACC Calc'!L524)</f>
        <v>2.5000000000000001E-2</v>
      </c>
      <c r="T47" s="207">
        <f>IF($S$33="Market",'[2]WACC Calc'!M159,'[2]WACC Calc'!M524)</f>
        <v>2.5000000000000001E-2</v>
      </c>
      <c r="U47" s="207">
        <f>IF($S$33="Market",'[2]WACC Calc'!N159,'[2]WACC Calc'!N524)</f>
        <v>2.5000000000000001E-2</v>
      </c>
      <c r="V47" s="207">
        <f>IF($S$33="Market",'[2]WACC Calc'!O159,'[2]WACC Calc'!O524)</f>
        <v>2.5000000000000001E-2</v>
      </c>
      <c r="W47" s="207">
        <f>IF($S$33="Market",'[2]WACC Calc'!P159,'[2]WACC Calc'!P524)</f>
        <v>2.5000000000000001E-2</v>
      </c>
      <c r="X47" s="207">
        <f>IF($S$33="Market",'[2]WACC Calc'!Q159,'[2]WACC Calc'!Q524)</f>
        <v>2.5000000000000001E-2</v>
      </c>
      <c r="Y47" s="207">
        <f>IF($S$33="Market",'[2]WACC Calc'!R159,'[2]WACC Calc'!R524)</f>
        <v>2.5000000000000001E-2</v>
      </c>
      <c r="Z47" s="207">
        <f>IF($S$33="Market",'[2]WACC Calc'!S159,'[2]WACC Calc'!S524)</f>
        <v>2.5000000000000001E-2</v>
      </c>
      <c r="AA47" s="207">
        <f>IF($S$33="Market",'[2]WACC Calc'!T159,'[2]WACC Calc'!T524)</f>
        <v>2.5000000000000001E-2</v>
      </c>
      <c r="AB47" s="207">
        <f>IF($S$33="Market",'[2]WACC Calc'!U159,'[2]WACC Calc'!U524)</f>
        <v>2.5000000000000001E-2</v>
      </c>
      <c r="AC47" s="207">
        <f>IF($S$33="Market",'[2]WACC Calc'!V159,'[2]WACC Calc'!V524)</f>
        <v>2.5000000000000001E-2</v>
      </c>
      <c r="AD47" s="207">
        <f>IF($S$33="Market",'[2]WACC Calc'!W159,'[2]WACC Calc'!W524)</f>
        <v>2.5000000000000001E-2</v>
      </c>
      <c r="AE47" s="207">
        <f>IF($S$33="Market",'[2]WACC Calc'!X159,'[2]WACC Calc'!X524)</f>
        <v>2.5000000000000001E-2</v>
      </c>
      <c r="AF47" s="207">
        <f>IF($S$33="Market",'[2]WACC Calc'!Y159,'[2]WACC Calc'!Y524)</f>
        <v>2.5000000000000001E-2</v>
      </c>
      <c r="AG47" s="207">
        <f>IF($S$33="Market",'[2]WACC Calc'!Z159,'[2]WACC Calc'!Z524)</f>
        <v>2.5000000000000001E-2</v>
      </c>
      <c r="AH47" s="207">
        <f>IF($S$33="Market",'[2]WACC Calc'!AA159,'[2]WACC Calc'!AA524)</f>
        <v>2.5000000000000001E-2</v>
      </c>
      <c r="AI47" s="207">
        <f>IF($S$33="Market",'[2]WACC Calc'!AB159,'[2]WACC Calc'!AB524)</f>
        <v>2.5000000000000001E-2</v>
      </c>
      <c r="AJ47" s="207">
        <f>IF($S$33="Market",'[2]WACC Calc'!AC159,'[2]WACC Calc'!AC524)</f>
        <v>2.5000000000000001E-2</v>
      </c>
      <c r="AK47" s="207">
        <f>IF($S$33="Market",'[2]WACC Calc'!AD159,'[2]WACC Calc'!AD524)</f>
        <v>2.5000000000000001E-2</v>
      </c>
      <c r="AL47" s="207">
        <f>IF($S$33="Market",'[2]WACC Calc'!AE159,'[2]WACC Calc'!AE524)</f>
        <v>2.5000000000000001E-2</v>
      </c>
      <c r="AM47" s="207">
        <f>IF($S$33="Market",'[2]WACC Calc'!AF159,'[2]WACC Calc'!AF524)</f>
        <v>2.5000000000000001E-2</v>
      </c>
      <c r="AN47" s="207">
        <f>IF($S$33="Market",'[2]WACC Calc'!AG159,'[2]WACC Calc'!AG524)</f>
        <v>2.5000000000000001E-2</v>
      </c>
      <c r="AO47" s="207">
        <f>IF($S$33="Market",'[2]WACC Calc'!AH159,'[2]WACC Calc'!AH524)</f>
        <v>2.5000000000000001E-2</v>
      </c>
      <c r="AP47" s="207">
        <f>IF($S$33="Market",'[2]WACC Calc'!AI159,'[2]WACC Calc'!AI524)</f>
        <v>2.5000000000000001E-2</v>
      </c>
      <c r="AQ47" s="207">
        <f>IF($S$33="Market",'[2]WACC Calc'!AJ159,'[2]WACC Calc'!AJ524)</f>
        <v>2.5000000000000001E-2</v>
      </c>
    </row>
    <row r="48" spans="7:43" ht="14.25" customHeight="1" x14ac:dyDescent="0.15">
      <c r="G48" s="22"/>
      <c r="H48" s="256"/>
      <c r="J48" s="267"/>
      <c r="K48" s="129" t="s">
        <v>247</v>
      </c>
      <c r="L48" s="129" t="s">
        <v>219</v>
      </c>
      <c r="M48" s="207">
        <f>IF($S$33="Market",'[2]WACC Calc'!F160,'[2]WACC Calc'!F525)</f>
        <v>0.04</v>
      </c>
      <c r="N48" s="207">
        <f>IF($S$33="Market",'[2]WACC Calc'!G160,'[2]WACC Calc'!G525)</f>
        <v>0.04</v>
      </c>
      <c r="O48" s="207">
        <f>IF($S$33="Market",'[2]WACC Calc'!H160,'[2]WACC Calc'!H525)</f>
        <v>0.04</v>
      </c>
      <c r="P48" s="207">
        <f>IF($S$33="Market",'[2]WACC Calc'!I160,'[2]WACC Calc'!I525)</f>
        <v>0.04</v>
      </c>
      <c r="Q48" s="207">
        <f>IF($S$33="Market",'[2]WACC Calc'!J160,'[2]WACC Calc'!J525)</f>
        <v>0.04</v>
      </c>
      <c r="R48" s="207">
        <f>IF($S$33="Market",'[2]WACC Calc'!K160,'[2]WACC Calc'!K525)</f>
        <v>0.04</v>
      </c>
      <c r="S48" s="207">
        <f>IF($S$33="Market",'[2]WACC Calc'!L160,'[2]WACC Calc'!L525)</f>
        <v>4.2000000000000003E-2</v>
      </c>
      <c r="T48" s="207">
        <f>IF($S$33="Market",'[2]WACC Calc'!M160,'[2]WACC Calc'!M525)</f>
        <v>4.4000000000000004E-2</v>
      </c>
      <c r="U48" s="207">
        <f>IF($S$33="Market",'[2]WACC Calc'!N160,'[2]WACC Calc'!N525)</f>
        <v>4.6000000000000006E-2</v>
      </c>
      <c r="V48" s="207">
        <f>IF($S$33="Market",'[2]WACC Calc'!O160,'[2]WACC Calc'!O525)</f>
        <v>4.8000000000000008E-2</v>
      </c>
      <c r="W48" s="207">
        <f>IF($S$33="Market",'[2]WACC Calc'!P160,'[2]WACC Calc'!P525)</f>
        <v>0.05</v>
      </c>
      <c r="X48" s="207">
        <f>IF($S$33="Market",'[2]WACC Calc'!Q160,'[2]WACC Calc'!Q525)</f>
        <v>0.05</v>
      </c>
      <c r="Y48" s="207">
        <f>IF($S$33="Market",'[2]WACC Calc'!R160,'[2]WACC Calc'!R525)</f>
        <v>0.05</v>
      </c>
      <c r="Z48" s="207">
        <f>IF($S$33="Market",'[2]WACC Calc'!S160,'[2]WACC Calc'!S525)</f>
        <v>0.05</v>
      </c>
      <c r="AA48" s="207">
        <f>IF($S$33="Market",'[2]WACC Calc'!T160,'[2]WACC Calc'!T525)</f>
        <v>0.05</v>
      </c>
      <c r="AB48" s="207">
        <f>IF($S$33="Market",'[2]WACC Calc'!U160,'[2]WACC Calc'!U525)</f>
        <v>0.05</v>
      </c>
      <c r="AC48" s="207">
        <f>IF($S$33="Market",'[2]WACC Calc'!V160,'[2]WACC Calc'!V525)</f>
        <v>0.05</v>
      </c>
      <c r="AD48" s="207">
        <f>IF($S$33="Market",'[2]WACC Calc'!W160,'[2]WACC Calc'!W525)</f>
        <v>0.05</v>
      </c>
      <c r="AE48" s="207">
        <f>IF($S$33="Market",'[2]WACC Calc'!X160,'[2]WACC Calc'!X525)</f>
        <v>0.05</v>
      </c>
      <c r="AF48" s="207">
        <f>IF($S$33="Market",'[2]WACC Calc'!Y160,'[2]WACC Calc'!Y525)</f>
        <v>0.05</v>
      </c>
      <c r="AG48" s="207">
        <f>IF($S$33="Market",'[2]WACC Calc'!Z160,'[2]WACC Calc'!Z525)</f>
        <v>0.05</v>
      </c>
      <c r="AH48" s="207">
        <f>IF($S$33="Market",'[2]WACC Calc'!AA160,'[2]WACC Calc'!AA525)</f>
        <v>0.05</v>
      </c>
      <c r="AI48" s="207">
        <f>IF($S$33="Market",'[2]WACC Calc'!AB160,'[2]WACC Calc'!AB525)</f>
        <v>0.05</v>
      </c>
      <c r="AJ48" s="207">
        <f>IF($S$33="Market",'[2]WACC Calc'!AC160,'[2]WACC Calc'!AC525)</f>
        <v>0.05</v>
      </c>
      <c r="AK48" s="207">
        <f>IF($S$33="Market",'[2]WACC Calc'!AD160,'[2]WACC Calc'!AD525)</f>
        <v>0.05</v>
      </c>
      <c r="AL48" s="207">
        <f>IF($S$33="Market",'[2]WACC Calc'!AE160,'[2]WACC Calc'!AE525)</f>
        <v>0.05</v>
      </c>
      <c r="AM48" s="207">
        <f>IF($S$33="Market",'[2]WACC Calc'!AF160,'[2]WACC Calc'!AF525)</f>
        <v>0.05</v>
      </c>
      <c r="AN48" s="207">
        <f>IF($S$33="Market",'[2]WACC Calc'!AG160,'[2]WACC Calc'!AG525)</f>
        <v>0.05</v>
      </c>
      <c r="AO48" s="207">
        <f>IF($S$33="Market",'[2]WACC Calc'!AH160,'[2]WACC Calc'!AH525)</f>
        <v>0.05</v>
      </c>
      <c r="AP48" s="207">
        <f>IF($S$33="Market",'[2]WACC Calc'!AI160,'[2]WACC Calc'!AI525)</f>
        <v>0.05</v>
      </c>
      <c r="AQ48" s="207">
        <f>IF($S$33="Market",'[2]WACC Calc'!AJ160,'[2]WACC Calc'!AJ525)</f>
        <v>0.05</v>
      </c>
    </row>
    <row r="49" spans="7:43" ht="14.25" customHeight="1" x14ac:dyDescent="0.15">
      <c r="G49" s="22"/>
      <c r="H49" s="256"/>
      <c r="J49" s="267"/>
      <c r="K49" s="129" t="s">
        <v>247</v>
      </c>
      <c r="L49" s="129" t="s">
        <v>218</v>
      </c>
      <c r="M49" s="207">
        <f>IF($S$33="Market",'[2]WACC Calc'!F161,'[2]WACC Calc'!F526)</f>
        <v>0.04</v>
      </c>
      <c r="N49" s="207">
        <f>IF($S$33="Market",'[2]WACC Calc'!G161,'[2]WACC Calc'!G526)</f>
        <v>0.04</v>
      </c>
      <c r="O49" s="207">
        <f>IF($S$33="Market",'[2]WACC Calc'!H161,'[2]WACC Calc'!H526)</f>
        <v>0.04</v>
      </c>
      <c r="P49" s="207">
        <f>IF($S$33="Market",'[2]WACC Calc'!I161,'[2]WACC Calc'!I526)</f>
        <v>0.04</v>
      </c>
      <c r="Q49" s="207">
        <f>IF($S$33="Market",'[2]WACC Calc'!J161,'[2]WACC Calc'!J526)</f>
        <v>0.04</v>
      </c>
      <c r="R49" s="207">
        <f>IF($S$33="Market",'[2]WACC Calc'!K161,'[2]WACC Calc'!K526)</f>
        <v>0.04</v>
      </c>
      <c r="S49" s="207">
        <f>IF($S$33="Market",'[2]WACC Calc'!L161,'[2]WACC Calc'!L526)</f>
        <v>4.2000000000000003E-2</v>
      </c>
      <c r="T49" s="207">
        <f>IF($S$33="Market",'[2]WACC Calc'!M161,'[2]WACC Calc'!M526)</f>
        <v>4.4000000000000004E-2</v>
      </c>
      <c r="U49" s="207">
        <f>IF($S$33="Market",'[2]WACC Calc'!N161,'[2]WACC Calc'!N526)</f>
        <v>4.6000000000000006E-2</v>
      </c>
      <c r="V49" s="207">
        <f>IF($S$33="Market",'[2]WACC Calc'!O161,'[2]WACC Calc'!O526)</f>
        <v>4.8000000000000008E-2</v>
      </c>
      <c r="W49" s="207">
        <f>IF($S$33="Market",'[2]WACC Calc'!P161,'[2]WACC Calc'!P526)</f>
        <v>0.05</v>
      </c>
      <c r="X49" s="207">
        <f>IF($S$33="Market",'[2]WACC Calc'!Q161,'[2]WACC Calc'!Q526)</f>
        <v>0.05</v>
      </c>
      <c r="Y49" s="207">
        <f>IF($S$33="Market",'[2]WACC Calc'!R161,'[2]WACC Calc'!R526)</f>
        <v>0.05</v>
      </c>
      <c r="Z49" s="207">
        <f>IF($S$33="Market",'[2]WACC Calc'!S161,'[2]WACC Calc'!S526)</f>
        <v>0.05</v>
      </c>
      <c r="AA49" s="207">
        <f>IF($S$33="Market",'[2]WACC Calc'!T161,'[2]WACC Calc'!T526)</f>
        <v>0.05</v>
      </c>
      <c r="AB49" s="207">
        <f>IF($S$33="Market",'[2]WACC Calc'!U161,'[2]WACC Calc'!U526)</f>
        <v>0.05</v>
      </c>
      <c r="AC49" s="207">
        <f>IF($S$33="Market",'[2]WACC Calc'!V161,'[2]WACC Calc'!V526)</f>
        <v>0.05</v>
      </c>
      <c r="AD49" s="207">
        <f>IF($S$33="Market",'[2]WACC Calc'!W161,'[2]WACC Calc'!W526)</f>
        <v>0.05</v>
      </c>
      <c r="AE49" s="207">
        <f>IF($S$33="Market",'[2]WACC Calc'!X161,'[2]WACC Calc'!X526)</f>
        <v>0.05</v>
      </c>
      <c r="AF49" s="207">
        <f>IF($S$33="Market",'[2]WACC Calc'!Y161,'[2]WACC Calc'!Y526)</f>
        <v>0.05</v>
      </c>
      <c r="AG49" s="207">
        <f>IF($S$33="Market",'[2]WACC Calc'!Z161,'[2]WACC Calc'!Z526)</f>
        <v>0.05</v>
      </c>
      <c r="AH49" s="207">
        <f>IF($S$33="Market",'[2]WACC Calc'!AA161,'[2]WACC Calc'!AA526)</f>
        <v>0.05</v>
      </c>
      <c r="AI49" s="207">
        <f>IF($S$33="Market",'[2]WACC Calc'!AB161,'[2]WACC Calc'!AB526)</f>
        <v>0.05</v>
      </c>
      <c r="AJ49" s="207">
        <f>IF($S$33="Market",'[2]WACC Calc'!AC161,'[2]WACC Calc'!AC526)</f>
        <v>0.05</v>
      </c>
      <c r="AK49" s="207">
        <f>IF($S$33="Market",'[2]WACC Calc'!AD161,'[2]WACC Calc'!AD526)</f>
        <v>0.05</v>
      </c>
      <c r="AL49" s="207">
        <f>IF($S$33="Market",'[2]WACC Calc'!AE161,'[2]WACC Calc'!AE526)</f>
        <v>0.05</v>
      </c>
      <c r="AM49" s="207">
        <f>IF($S$33="Market",'[2]WACC Calc'!AF161,'[2]WACC Calc'!AF526)</f>
        <v>0.05</v>
      </c>
      <c r="AN49" s="207">
        <f>IF($S$33="Market",'[2]WACC Calc'!AG161,'[2]WACC Calc'!AG526)</f>
        <v>0.05</v>
      </c>
      <c r="AO49" s="207">
        <f>IF($S$33="Market",'[2]WACC Calc'!AH161,'[2]WACC Calc'!AH526)</f>
        <v>0.05</v>
      </c>
      <c r="AP49" s="207">
        <f>IF($S$33="Market",'[2]WACC Calc'!AI161,'[2]WACC Calc'!AI526)</f>
        <v>0.05</v>
      </c>
      <c r="AQ49" s="207">
        <f>IF($S$33="Market",'[2]WACC Calc'!AJ161,'[2]WACC Calc'!AJ526)</f>
        <v>0.05</v>
      </c>
    </row>
    <row r="50" spans="7:43" ht="14.25" customHeight="1" x14ac:dyDescent="0.15">
      <c r="G50" s="22"/>
      <c r="H50" s="256"/>
      <c r="J50" s="267"/>
      <c r="K50" s="129" t="s">
        <v>247</v>
      </c>
      <c r="L50" s="129" t="s">
        <v>214</v>
      </c>
      <c r="M50" s="207">
        <f>IF($S$33="Market",'[2]WACC Calc'!F162,'[2]WACC Calc'!F527)</f>
        <v>0.04</v>
      </c>
      <c r="N50" s="207">
        <f>IF($S$33="Market",'[2]WACC Calc'!G162,'[2]WACC Calc'!G527)</f>
        <v>0.04</v>
      </c>
      <c r="O50" s="207">
        <f>IF($S$33="Market",'[2]WACC Calc'!H162,'[2]WACC Calc'!H527)</f>
        <v>0.04</v>
      </c>
      <c r="P50" s="207">
        <f>IF($S$33="Market",'[2]WACC Calc'!I162,'[2]WACC Calc'!I527)</f>
        <v>0.04</v>
      </c>
      <c r="Q50" s="207">
        <f>IF($S$33="Market",'[2]WACC Calc'!J162,'[2]WACC Calc'!J527)</f>
        <v>0.04</v>
      </c>
      <c r="R50" s="207">
        <f>IF($S$33="Market",'[2]WACC Calc'!K162,'[2]WACC Calc'!K527)</f>
        <v>0.04</v>
      </c>
      <c r="S50" s="207">
        <f>IF($S$33="Market",'[2]WACC Calc'!L162,'[2]WACC Calc'!L527)</f>
        <v>4.2000000000000003E-2</v>
      </c>
      <c r="T50" s="207">
        <f>IF($S$33="Market",'[2]WACC Calc'!M162,'[2]WACC Calc'!M527)</f>
        <v>4.4000000000000004E-2</v>
      </c>
      <c r="U50" s="207">
        <f>IF($S$33="Market",'[2]WACC Calc'!N162,'[2]WACC Calc'!N527)</f>
        <v>4.6000000000000006E-2</v>
      </c>
      <c r="V50" s="207">
        <f>IF($S$33="Market",'[2]WACC Calc'!O162,'[2]WACC Calc'!O527)</f>
        <v>4.8000000000000008E-2</v>
      </c>
      <c r="W50" s="207">
        <f>IF($S$33="Market",'[2]WACC Calc'!P162,'[2]WACC Calc'!P527)</f>
        <v>0.05</v>
      </c>
      <c r="X50" s="207">
        <f>IF($S$33="Market",'[2]WACC Calc'!Q162,'[2]WACC Calc'!Q527)</f>
        <v>0.05</v>
      </c>
      <c r="Y50" s="207">
        <f>IF($S$33="Market",'[2]WACC Calc'!R162,'[2]WACC Calc'!R527)</f>
        <v>0.05</v>
      </c>
      <c r="Z50" s="207">
        <f>IF($S$33="Market",'[2]WACC Calc'!S162,'[2]WACC Calc'!S527)</f>
        <v>0.05</v>
      </c>
      <c r="AA50" s="207">
        <f>IF($S$33="Market",'[2]WACC Calc'!T162,'[2]WACC Calc'!T527)</f>
        <v>0.05</v>
      </c>
      <c r="AB50" s="207">
        <f>IF($S$33="Market",'[2]WACC Calc'!U162,'[2]WACC Calc'!U527)</f>
        <v>0.05</v>
      </c>
      <c r="AC50" s="207">
        <f>IF($S$33="Market",'[2]WACC Calc'!V162,'[2]WACC Calc'!V527)</f>
        <v>0.05</v>
      </c>
      <c r="AD50" s="207">
        <f>IF($S$33="Market",'[2]WACC Calc'!W162,'[2]WACC Calc'!W527)</f>
        <v>0.05</v>
      </c>
      <c r="AE50" s="207">
        <f>IF($S$33="Market",'[2]WACC Calc'!X162,'[2]WACC Calc'!X527)</f>
        <v>0.05</v>
      </c>
      <c r="AF50" s="207">
        <f>IF($S$33="Market",'[2]WACC Calc'!Y162,'[2]WACC Calc'!Y527)</f>
        <v>0.05</v>
      </c>
      <c r="AG50" s="207">
        <f>IF($S$33="Market",'[2]WACC Calc'!Z162,'[2]WACC Calc'!Z527)</f>
        <v>0.05</v>
      </c>
      <c r="AH50" s="207">
        <f>IF($S$33="Market",'[2]WACC Calc'!AA162,'[2]WACC Calc'!AA527)</f>
        <v>0.05</v>
      </c>
      <c r="AI50" s="207">
        <f>IF($S$33="Market",'[2]WACC Calc'!AB162,'[2]WACC Calc'!AB527)</f>
        <v>0.05</v>
      </c>
      <c r="AJ50" s="207">
        <f>IF($S$33="Market",'[2]WACC Calc'!AC162,'[2]WACC Calc'!AC527)</f>
        <v>0.05</v>
      </c>
      <c r="AK50" s="207">
        <f>IF($S$33="Market",'[2]WACC Calc'!AD162,'[2]WACC Calc'!AD527)</f>
        <v>0.05</v>
      </c>
      <c r="AL50" s="207">
        <f>IF($S$33="Market",'[2]WACC Calc'!AE162,'[2]WACC Calc'!AE527)</f>
        <v>0.05</v>
      </c>
      <c r="AM50" s="207">
        <f>IF($S$33="Market",'[2]WACC Calc'!AF162,'[2]WACC Calc'!AF527)</f>
        <v>0.05</v>
      </c>
      <c r="AN50" s="207">
        <f>IF($S$33="Market",'[2]WACC Calc'!AG162,'[2]WACC Calc'!AG527)</f>
        <v>0.05</v>
      </c>
      <c r="AO50" s="207">
        <f>IF($S$33="Market",'[2]WACC Calc'!AH162,'[2]WACC Calc'!AH527)</f>
        <v>0.05</v>
      </c>
      <c r="AP50" s="207">
        <f>IF($S$33="Market",'[2]WACC Calc'!AI162,'[2]WACC Calc'!AI527)</f>
        <v>0.05</v>
      </c>
      <c r="AQ50" s="207">
        <f>IF($S$33="Market",'[2]WACC Calc'!AJ162,'[2]WACC Calc'!AJ527)</f>
        <v>0.05</v>
      </c>
    </row>
    <row r="51" spans="7:43" ht="14.25" customHeight="1" x14ac:dyDescent="0.2">
      <c r="G51" s="22"/>
      <c r="H51" s="256"/>
      <c r="J51" s="267"/>
      <c r="K51" s="129" t="s">
        <v>246</v>
      </c>
      <c r="L51" s="129" t="s">
        <v>219</v>
      </c>
      <c r="M51" s="206">
        <f t="shared" ref="M51:AQ51" si="0">(1+M48)/(1+M$47) - 1</f>
        <v>1.4634146341463428E-2</v>
      </c>
      <c r="N51" s="206">
        <f t="shared" si="0"/>
        <v>1.4634146341463428E-2</v>
      </c>
      <c r="O51" s="206">
        <f t="shared" si="0"/>
        <v>1.4634146341463428E-2</v>
      </c>
      <c r="P51" s="206">
        <f t="shared" si="0"/>
        <v>1.4634146341463428E-2</v>
      </c>
      <c r="Q51" s="206">
        <f t="shared" si="0"/>
        <v>1.4634146341463428E-2</v>
      </c>
      <c r="R51" s="206">
        <f t="shared" si="0"/>
        <v>1.4634146341463428E-2</v>
      </c>
      <c r="S51" s="206">
        <f t="shared" si="0"/>
        <v>1.6585365853658551E-2</v>
      </c>
      <c r="T51" s="206">
        <f t="shared" si="0"/>
        <v>1.8536585365853675E-2</v>
      </c>
      <c r="U51" s="206">
        <f t="shared" si="0"/>
        <v>2.0487804878048799E-2</v>
      </c>
      <c r="V51" s="206">
        <f t="shared" si="0"/>
        <v>2.2439024390243922E-2</v>
      </c>
      <c r="W51" s="206">
        <f t="shared" si="0"/>
        <v>2.4390243902439046E-2</v>
      </c>
      <c r="X51" s="206">
        <f t="shared" si="0"/>
        <v>2.4390243902439046E-2</v>
      </c>
      <c r="Y51" s="206">
        <f t="shared" si="0"/>
        <v>2.4390243902439046E-2</v>
      </c>
      <c r="Z51" s="206">
        <f t="shared" si="0"/>
        <v>2.4390243902439046E-2</v>
      </c>
      <c r="AA51" s="206">
        <f t="shared" si="0"/>
        <v>2.4390243902439046E-2</v>
      </c>
      <c r="AB51" s="206">
        <f t="shared" si="0"/>
        <v>2.4390243902439046E-2</v>
      </c>
      <c r="AC51" s="206">
        <f t="shared" si="0"/>
        <v>2.4390243902439046E-2</v>
      </c>
      <c r="AD51" s="206">
        <f t="shared" si="0"/>
        <v>2.4390243902439046E-2</v>
      </c>
      <c r="AE51" s="206">
        <f t="shared" si="0"/>
        <v>2.4390243902439046E-2</v>
      </c>
      <c r="AF51" s="206">
        <f t="shared" si="0"/>
        <v>2.4390243902439046E-2</v>
      </c>
      <c r="AG51" s="206">
        <f t="shared" si="0"/>
        <v>2.4390243902439046E-2</v>
      </c>
      <c r="AH51" s="206">
        <f t="shared" si="0"/>
        <v>2.4390243902439046E-2</v>
      </c>
      <c r="AI51" s="206">
        <f t="shared" si="0"/>
        <v>2.4390243902439046E-2</v>
      </c>
      <c r="AJ51" s="206">
        <f t="shared" si="0"/>
        <v>2.4390243902439046E-2</v>
      </c>
      <c r="AK51" s="206">
        <f t="shared" si="0"/>
        <v>2.4390243902439046E-2</v>
      </c>
      <c r="AL51" s="206">
        <f t="shared" si="0"/>
        <v>2.4390243902439046E-2</v>
      </c>
      <c r="AM51" s="206">
        <f t="shared" si="0"/>
        <v>2.4390243902439046E-2</v>
      </c>
      <c r="AN51" s="206">
        <f t="shared" si="0"/>
        <v>2.4390243902439046E-2</v>
      </c>
      <c r="AO51" s="206">
        <f t="shared" si="0"/>
        <v>2.4390243902439046E-2</v>
      </c>
      <c r="AP51" s="206">
        <f t="shared" si="0"/>
        <v>2.4390243902439046E-2</v>
      </c>
      <c r="AQ51" s="206">
        <f t="shared" si="0"/>
        <v>2.4390243902439046E-2</v>
      </c>
    </row>
    <row r="52" spans="7:43" ht="14.25" customHeight="1" x14ac:dyDescent="0.2">
      <c r="G52" s="22"/>
      <c r="H52" s="256"/>
      <c r="J52" s="267"/>
      <c r="K52" s="129" t="s">
        <v>246</v>
      </c>
      <c r="L52" s="129" t="s">
        <v>218</v>
      </c>
      <c r="M52" s="206">
        <f t="shared" ref="M52:AQ52" si="1">(1+M49)/(1+M$47) - 1</f>
        <v>1.4634146341463428E-2</v>
      </c>
      <c r="N52" s="206">
        <f t="shared" si="1"/>
        <v>1.4634146341463428E-2</v>
      </c>
      <c r="O52" s="206">
        <f t="shared" si="1"/>
        <v>1.4634146341463428E-2</v>
      </c>
      <c r="P52" s="206">
        <f t="shared" si="1"/>
        <v>1.4634146341463428E-2</v>
      </c>
      <c r="Q52" s="206">
        <f t="shared" si="1"/>
        <v>1.4634146341463428E-2</v>
      </c>
      <c r="R52" s="206">
        <f t="shared" si="1"/>
        <v>1.4634146341463428E-2</v>
      </c>
      <c r="S52" s="206">
        <f t="shared" si="1"/>
        <v>1.6585365853658551E-2</v>
      </c>
      <c r="T52" s="206">
        <f t="shared" si="1"/>
        <v>1.8536585365853675E-2</v>
      </c>
      <c r="U52" s="206">
        <f t="shared" si="1"/>
        <v>2.0487804878048799E-2</v>
      </c>
      <c r="V52" s="206">
        <f t="shared" si="1"/>
        <v>2.2439024390243922E-2</v>
      </c>
      <c r="W52" s="206">
        <f t="shared" si="1"/>
        <v>2.4390243902439046E-2</v>
      </c>
      <c r="X52" s="206">
        <f t="shared" si="1"/>
        <v>2.4390243902439046E-2</v>
      </c>
      <c r="Y52" s="206">
        <f t="shared" si="1"/>
        <v>2.4390243902439046E-2</v>
      </c>
      <c r="Z52" s="206">
        <f t="shared" si="1"/>
        <v>2.4390243902439046E-2</v>
      </c>
      <c r="AA52" s="206">
        <f t="shared" si="1"/>
        <v>2.4390243902439046E-2</v>
      </c>
      <c r="AB52" s="206">
        <f t="shared" si="1"/>
        <v>2.4390243902439046E-2</v>
      </c>
      <c r="AC52" s="206">
        <f t="shared" si="1"/>
        <v>2.4390243902439046E-2</v>
      </c>
      <c r="AD52" s="206">
        <f t="shared" si="1"/>
        <v>2.4390243902439046E-2</v>
      </c>
      <c r="AE52" s="206">
        <f t="shared" si="1"/>
        <v>2.4390243902439046E-2</v>
      </c>
      <c r="AF52" s="206">
        <f t="shared" si="1"/>
        <v>2.4390243902439046E-2</v>
      </c>
      <c r="AG52" s="206">
        <f t="shared" si="1"/>
        <v>2.4390243902439046E-2</v>
      </c>
      <c r="AH52" s="206">
        <f t="shared" si="1"/>
        <v>2.4390243902439046E-2</v>
      </c>
      <c r="AI52" s="206">
        <f t="shared" si="1"/>
        <v>2.4390243902439046E-2</v>
      </c>
      <c r="AJ52" s="206">
        <f t="shared" si="1"/>
        <v>2.4390243902439046E-2</v>
      </c>
      <c r="AK52" s="206">
        <f t="shared" si="1"/>
        <v>2.4390243902439046E-2</v>
      </c>
      <c r="AL52" s="206">
        <f t="shared" si="1"/>
        <v>2.4390243902439046E-2</v>
      </c>
      <c r="AM52" s="206">
        <f t="shared" si="1"/>
        <v>2.4390243902439046E-2</v>
      </c>
      <c r="AN52" s="206">
        <f t="shared" si="1"/>
        <v>2.4390243902439046E-2</v>
      </c>
      <c r="AO52" s="206">
        <f t="shared" si="1"/>
        <v>2.4390243902439046E-2</v>
      </c>
      <c r="AP52" s="206">
        <f t="shared" si="1"/>
        <v>2.4390243902439046E-2</v>
      </c>
      <c r="AQ52" s="206">
        <f t="shared" si="1"/>
        <v>2.4390243902439046E-2</v>
      </c>
    </row>
    <row r="53" spans="7:43" ht="14.25" customHeight="1" x14ac:dyDescent="0.2">
      <c r="G53" s="22"/>
      <c r="H53" s="256"/>
      <c r="J53" s="267"/>
      <c r="K53" s="129" t="s">
        <v>246</v>
      </c>
      <c r="L53" s="129" t="s">
        <v>214</v>
      </c>
      <c r="M53" s="206">
        <f t="shared" ref="M53:AQ53" si="2">(1+M50)/(1+M$47) - 1</f>
        <v>1.4634146341463428E-2</v>
      </c>
      <c r="N53" s="206">
        <f t="shared" si="2"/>
        <v>1.4634146341463428E-2</v>
      </c>
      <c r="O53" s="206">
        <f t="shared" si="2"/>
        <v>1.4634146341463428E-2</v>
      </c>
      <c r="P53" s="206">
        <f t="shared" si="2"/>
        <v>1.4634146341463428E-2</v>
      </c>
      <c r="Q53" s="206">
        <f t="shared" si="2"/>
        <v>1.4634146341463428E-2</v>
      </c>
      <c r="R53" s="206">
        <f t="shared" si="2"/>
        <v>1.4634146341463428E-2</v>
      </c>
      <c r="S53" s="206">
        <f t="shared" si="2"/>
        <v>1.6585365853658551E-2</v>
      </c>
      <c r="T53" s="206">
        <f t="shared" si="2"/>
        <v>1.8536585365853675E-2</v>
      </c>
      <c r="U53" s="206">
        <f t="shared" si="2"/>
        <v>2.0487804878048799E-2</v>
      </c>
      <c r="V53" s="206">
        <f t="shared" si="2"/>
        <v>2.2439024390243922E-2</v>
      </c>
      <c r="W53" s="206">
        <f t="shared" si="2"/>
        <v>2.4390243902439046E-2</v>
      </c>
      <c r="X53" s="206">
        <f t="shared" si="2"/>
        <v>2.4390243902439046E-2</v>
      </c>
      <c r="Y53" s="206">
        <f t="shared" si="2"/>
        <v>2.4390243902439046E-2</v>
      </c>
      <c r="Z53" s="206">
        <f t="shared" si="2"/>
        <v>2.4390243902439046E-2</v>
      </c>
      <c r="AA53" s="206">
        <f t="shared" si="2"/>
        <v>2.4390243902439046E-2</v>
      </c>
      <c r="AB53" s="206">
        <f t="shared" si="2"/>
        <v>2.4390243902439046E-2</v>
      </c>
      <c r="AC53" s="206">
        <f t="shared" si="2"/>
        <v>2.4390243902439046E-2</v>
      </c>
      <c r="AD53" s="206">
        <f t="shared" si="2"/>
        <v>2.4390243902439046E-2</v>
      </c>
      <c r="AE53" s="206">
        <f t="shared" si="2"/>
        <v>2.4390243902439046E-2</v>
      </c>
      <c r="AF53" s="206">
        <f t="shared" si="2"/>
        <v>2.4390243902439046E-2</v>
      </c>
      <c r="AG53" s="206">
        <f t="shared" si="2"/>
        <v>2.4390243902439046E-2</v>
      </c>
      <c r="AH53" s="206">
        <f t="shared" si="2"/>
        <v>2.4390243902439046E-2</v>
      </c>
      <c r="AI53" s="206">
        <f t="shared" si="2"/>
        <v>2.4390243902439046E-2</v>
      </c>
      <c r="AJ53" s="206">
        <f t="shared" si="2"/>
        <v>2.4390243902439046E-2</v>
      </c>
      <c r="AK53" s="206">
        <f t="shared" si="2"/>
        <v>2.4390243902439046E-2</v>
      </c>
      <c r="AL53" s="206">
        <f t="shared" si="2"/>
        <v>2.4390243902439046E-2</v>
      </c>
      <c r="AM53" s="206">
        <f t="shared" si="2"/>
        <v>2.4390243902439046E-2</v>
      </c>
      <c r="AN53" s="206">
        <f t="shared" si="2"/>
        <v>2.4390243902439046E-2</v>
      </c>
      <c r="AO53" s="206">
        <f t="shared" si="2"/>
        <v>2.4390243902439046E-2</v>
      </c>
      <c r="AP53" s="206">
        <f t="shared" si="2"/>
        <v>2.4390243902439046E-2</v>
      </c>
      <c r="AQ53" s="206">
        <f t="shared" si="2"/>
        <v>2.4390243902439046E-2</v>
      </c>
    </row>
    <row r="54" spans="7:43" ht="14.25" customHeight="1" x14ac:dyDescent="0.15">
      <c r="G54" s="22"/>
      <c r="H54" s="256"/>
      <c r="J54" s="267"/>
      <c r="K54" s="129" t="s">
        <v>245</v>
      </c>
      <c r="L54" s="129" t="s">
        <v>220</v>
      </c>
      <c r="M54" s="207">
        <f>IF($S$33="Market",'[2]WACC Calc'!F166,'[2]WACC Calc'!F531)</f>
        <v>3.5000000000000003E-2</v>
      </c>
      <c r="N54" s="207">
        <f>IF($S$33="Market",'[2]WACC Calc'!G166,'[2]WACC Calc'!G531)</f>
        <v>3.5000000000000003E-2</v>
      </c>
      <c r="O54" s="207">
        <f>IF($S$33="Market",'[2]WACC Calc'!H166,'[2]WACC Calc'!H531)</f>
        <v>3.5000000000000003E-2</v>
      </c>
      <c r="P54" s="207">
        <f>IF($S$33="Market",'[2]WACC Calc'!I166,'[2]WACC Calc'!I531)</f>
        <v>3.5000000000000003E-2</v>
      </c>
      <c r="Q54" s="207">
        <f>IF($S$33="Market",'[2]WACC Calc'!J166,'[2]WACC Calc'!J531)</f>
        <v>3.5000000000000003E-2</v>
      </c>
      <c r="R54" s="207">
        <f>IF($S$33="Market",'[2]WACC Calc'!K166,'[2]WACC Calc'!K531)</f>
        <v>3.5000000000000003E-2</v>
      </c>
      <c r="S54" s="207">
        <f>IF($S$33="Market",'[2]WACC Calc'!L166,'[2]WACC Calc'!L531)</f>
        <v>3.7000000000000005E-2</v>
      </c>
      <c r="T54" s="207">
        <f>IF($S$33="Market",'[2]WACC Calc'!M166,'[2]WACC Calc'!M531)</f>
        <v>3.9000000000000007E-2</v>
      </c>
      <c r="U54" s="207">
        <f>IF($S$33="Market",'[2]WACC Calc'!N166,'[2]WACC Calc'!N531)</f>
        <v>4.1000000000000009E-2</v>
      </c>
      <c r="V54" s="207">
        <f>IF($S$33="Market",'[2]WACC Calc'!O166,'[2]WACC Calc'!O531)</f>
        <v>4.300000000000001E-2</v>
      </c>
      <c r="W54" s="207">
        <f>IF($S$33="Market",'[2]WACC Calc'!P166,'[2]WACC Calc'!P531)</f>
        <v>4.4999999999999998E-2</v>
      </c>
      <c r="X54" s="207">
        <f>IF($S$33="Market",'[2]WACC Calc'!Q166,'[2]WACC Calc'!Q531)</f>
        <v>4.4999999999999998E-2</v>
      </c>
      <c r="Y54" s="207">
        <f>IF($S$33="Market",'[2]WACC Calc'!R166,'[2]WACC Calc'!R531)</f>
        <v>4.4999999999999998E-2</v>
      </c>
      <c r="Z54" s="207">
        <f>IF($S$33="Market",'[2]WACC Calc'!S166,'[2]WACC Calc'!S531)</f>
        <v>4.4999999999999998E-2</v>
      </c>
      <c r="AA54" s="207">
        <f>IF($S$33="Market",'[2]WACC Calc'!T166,'[2]WACC Calc'!T531)</f>
        <v>4.4999999999999998E-2</v>
      </c>
      <c r="AB54" s="207">
        <f>IF($S$33="Market",'[2]WACC Calc'!U166,'[2]WACC Calc'!U531)</f>
        <v>4.4999999999999998E-2</v>
      </c>
      <c r="AC54" s="207">
        <f>IF($S$33="Market",'[2]WACC Calc'!V166,'[2]WACC Calc'!V531)</f>
        <v>4.4999999999999998E-2</v>
      </c>
      <c r="AD54" s="207">
        <f>IF($S$33="Market",'[2]WACC Calc'!W166,'[2]WACC Calc'!W531)</f>
        <v>4.4999999999999998E-2</v>
      </c>
      <c r="AE54" s="207">
        <f>IF($S$33="Market",'[2]WACC Calc'!X166,'[2]WACC Calc'!X531)</f>
        <v>4.4999999999999998E-2</v>
      </c>
      <c r="AF54" s="207">
        <f>IF($S$33="Market",'[2]WACC Calc'!Y166,'[2]WACC Calc'!Y531)</f>
        <v>4.4999999999999998E-2</v>
      </c>
      <c r="AG54" s="207">
        <f>IF($S$33="Market",'[2]WACC Calc'!Z166,'[2]WACC Calc'!Z531)</f>
        <v>4.4999999999999998E-2</v>
      </c>
      <c r="AH54" s="207">
        <f>IF($S$33="Market",'[2]WACC Calc'!AA166,'[2]WACC Calc'!AA531)</f>
        <v>4.4999999999999998E-2</v>
      </c>
      <c r="AI54" s="207">
        <f>IF($S$33="Market",'[2]WACC Calc'!AB166,'[2]WACC Calc'!AB531)</f>
        <v>4.4999999999999998E-2</v>
      </c>
      <c r="AJ54" s="207">
        <f>IF($S$33="Market",'[2]WACC Calc'!AC166,'[2]WACC Calc'!AC531)</f>
        <v>4.4999999999999998E-2</v>
      </c>
      <c r="AK54" s="207">
        <f>IF($S$33="Market",'[2]WACC Calc'!AD166,'[2]WACC Calc'!AD531)</f>
        <v>4.4999999999999998E-2</v>
      </c>
      <c r="AL54" s="207">
        <f>IF($S$33="Market",'[2]WACC Calc'!AE166,'[2]WACC Calc'!AE531)</f>
        <v>4.4999999999999998E-2</v>
      </c>
      <c r="AM54" s="207">
        <f>IF($S$33="Market",'[2]WACC Calc'!AF166,'[2]WACC Calc'!AF531)</f>
        <v>4.4999999999999998E-2</v>
      </c>
      <c r="AN54" s="207">
        <f>IF($S$33="Market",'[2]WACC Calc'!AG166,'[2]WACC Calc'!AG531)</f>
        <v>4.4999999999999998E-2</v>
      </c>
      <c r="AO54" s="207">
        <f>IF($S$33="Market",'[2]WACC Calc'!AH166,'[2]WACC Calc'!AH531)</f>
        <v>4.4999999999999998E-2</v>
      </c>
      <c r="AP54" s="207">
        <f>IF($S$33="Market",'[2]WACC Calc'!AI166,'[2]WACC Calc'!AI531)</f>
        <v>4.4999999999999998E-2</v>
      </c>
      <c r="AQ54" s="207">
        <f>IF($S$33="Market",'[2]WACC Calc'!AJ166,'[2]WACC Calc'!AJ531)</f>
        <v>4.4999999999999998E-2</v>
      </c>
    </row>
    <row r="55" spans="7:43" ht="14.25" customHeight="1" x14ac:dyDescent="0.15">
      <c r="G55" s="22"/>
      <c r="H55" s="256"/>
      <c r="J55" s="267"/>
      <c r="K55" s="129" t="s">
        <v>244</v>
      </c>
      <c r="L55" s="129" t="s">
        <v>219</v>
      </c>
      <c r="M55" s="207">
        <f>IF($S$33="Market",'[2]WACC Calc'!F167,'[2]WACC Calc'!F532)</f>
        <v>8.7499999999999994E-2</v>
      </c>
      <c r="N55" s="207">
        <f>IF($S$33="Market",'[2]WACC Calc'!G167,'[2]WACC Calc'!G532)</f>
        <v>8.7499999999999994E-2</v>
      </c>
      <c r="O55" s="207">
        <f>IF($S$33="Market",'[2]WACC Calc'!H167,'[2]WACC Calc'!H532)</f>
        <v>8.7499999999999994E-2</v>
      </c>
      <c r="P55" s="207">
        <f>IF($S$33="Market",'[2]WACC Calc'!I167,'[2]WACC Calc'!I532)</f>
        <v>8.7499999999999994E-2</v>
      </c>
      <c r="Q55" s="207">
        <f>IF($S$33="Market",'[2]WACC Calc'!J167,'[2]WACC Calc'!J532)</f>
        <v>8.7499999999999994E-2</v>
      </c>
      <c r="R55" s="207">
        <f>IF($S$33="Market",'[2]WACC Calc'!K167,'[2]WACC Calc'!K532)</f>
        <v>8.7499999999999994E-2</v>
      </c>
      <c r="S55" s="207">
        <f>IF($S$33="Market",'[2]WACC Calc'!L167,'[2]WACC Calc'!L532)</f>
        <v>8.7499999999999994E-2</v>
      </c>
      <c r="T55" s="207">
        <f>IF($S$33="Market",'[2]WACC Calc'!M167,'[2]WACC Calc'!M532)</f>
        <v>8.7499999999999994E-2</v>
      </c>
      <c r="U55" s="207">
        <f>IF($S$33="Market",'[2]WACC Calc'!N167,'[2]WACC Calc'!N532)</f>
        <v>8.7499999999999994E-2</v>
      </c>
      <c r="V55" s="207">
        <f>IF($S$33="Market",'[2]WACC Calc'!O167,'[2]WACC Calc'!O532)</f>
        <v>8.7499999999999994E-2</v>
      </c>
      <c r="W55" s="207">
        <f>IF($S$33="Market",'[2]WACC Calc'!P167,'[2]WACC Calc'!P532)</f>
        <v>8.7499999999999994E-2</v>
      </c>
      <c r="X55" s="207">
        <f>IF($S$33="Market",'[2]WACC Calc'!Q167,'[2]WACC Calc'!Q532)</f>
        <v>8.7499999999999994E-2</v>
      </c>
      <c r="Y55" s="207">
        <f>IF($S$33="Market",'[2]WACC Calc'!R167,'[2]WACC Calc'!R532)</f>
        <v>8.7499999999999994E-2</v>
      </c>
      <c r="Z55" s="207">
        <f>IF($S$33="Market",'[2]WACC Calc'!S167,'[2]WACC Calc'!S532)</f>
        <v>8.7499999999999994E-2</v>
      </c>
      <c r="AA55" s="207">
        <f>IF($S$33="Market",'[2]WACC Calc'!T167,'[2]WACC Calc'!T532)</f>
        <v>8.7499999999999994E-2</v>
      </c>
      <c r="AB55" s="207">
        <f>IF($S$33="Market",'[2]WACC Calc'!U167,'[2]WACC Calc'!U532)</f>
        <v>8.7499999999999994E-2</v>
      </c>
      <c r="AC55" s="207">
        <f>IF($S$33="Market",'[2]WACC Calc'!V167,'[2]WACC Calc'!V532)</f>
        <v>8.7499999999999994E-2</v>
      </c>
      <c r="AD55" s="207">
        <f>IF($S$33="Market",'[2]WACC Calc'!W167,'[2]WACC Calc'!W532)</f>
        <v>8.7499999999999994E-2</v>
      </c>
      <c r="AE55" s="207">
        <f>IF($S$33="Market",'[2]WACC Calc'!X167,'[2]WACC Calc'!X532)</f>
        <v>8.7499999999999994E-2</v>
      </c>
      <c r="AF55" s="207">
        <f>IF($S$33="Market",'[2]WACC Calc'!Y167,'[2]WACC Calc'!Y532)</f>
        <v>8.7499999999999994E-2</v>
      </c>
      <c r="AG55" s="207">
        <f>IF($S$33="Market",'[2]WACC Calc'!Z167,'[2]WACC Calc'!Z532)</f>
        <v>8.7499999999999994E-2</v>
      </c>
      <c r="AH55" s="207">
        <f>IF($S$33="Market",'[2]WACC Calc'!AA167,'[2]WACC Calc'!AA532)</f>
        <v>8.7499999999999994E-2</v>
      </c>
      <c r="AI55" s="207">
        <f>IF($S$33="Market",'[2]WACC Calc'!AB167,'[2]WACC Calc'!AB532)</f>
        <v>8.7499999999999994E-2</v>
      </c>
      <c r="AJ55" s="207">
        <f>IF($S$33="Market",'[2]WACC Calc'!AC167,'[2]WACC Calc'!AC532)</f>
        <v>8.7499999999999994E-2</v>
      </c>
      <c r="AK55" s="207">
        <f>IF($S$33="Market",'[2]WACC Calc'!AD167,'[2]WACC Calc'!AD532)</f>
        <v>8.7499999999999994E-2</v>
      </c>
      <c r="AL55" s="207">
        <f>IF($S$33="Market",'[2]WACC Calc'!AE167,'[2]WACC Calc'!AE532)</f>
        <v>8.7499999999999994E-2</v>
      </c>
      <c r="AM55" s="207">
        <f>IF($S$33="Market",'[2]WACC Calc'!AF167,'[2]WACC Calc'!AF532)</f>
        <v>8.7499999999999994E-2</v>
      </c>
      <c r="AN55" s="207">
        <f>IF($S$33="Market",'[2]WACC Calc'!AG167,'[2]WACC Calc'!AG532)</f>
        <v>8.7499999999999994E-2</v>
      </c>
      <c r="AO55" s="207">
        <f>IF($S$33="Market",'[2]WACC Calc'!AH167,'[2]WACC Calc'!AH532)</f>
        <v>8.7499999999999994E-2</v>
      </c>
      <c r="AP55" s="207">
        <f>IF($S$33="Market",'[2]WACC Calc'!AI167,'[2]WACC Calc'!AI532)</f>
        <v>8.7499999999999994E-2</v>
      </c>
      <c r="AQ55" s="207">
        <f>IF($S$33="Market",'[2]WACC Calc'!AJ167,'[2]WACC Calc'!AJ532)</f>
        <v>8.7499999999999994E-2</v>
      </c>
    </row>
    <row r="56" spans="7:43" ht="14.25" customHeight="1" x14ac:dyDescent="0.15">
      <c r="G56" s="22"/>
      <c r="H56" s="256"/>
      <c r="J56" s="267"/>
      <c r="K56" s="129" t="s">
        <v>244</v>
      </c>
      <c r="L56" s="129" t="s">
        <v>218</v>
      </c>
      <c r="M56" s="207">
        <f>IF($S$33="Market",'[2]WACC Calc'!F168,'[2]WACC Calc'!F533)</f>
        <v>8.7499999999999994E-2</v>
      </c>
      <c r="N56" s="207">
        <f>IF($S$33="Market",'[2]WACC Calc'!G168,'[2]WACC Calc'!G533)</f>
        <v>8.7499999999999994E-2</v>
      </c>
      <c r="O56" s="207">
        <f>IF($S$33="Market",'[2]WACC Calc'!H168,'[2]WACC Calc'!H533)</f>
        <v>8.7499999999999994E-2</v>
      </c>
      <c r="P56" s="207">
        <f>IF($S$33="Market",'[2]WACC Calc'!I168,'[2]WACC Calc'!I533)</f>
        <v>8.7499999999999994E-2</v>
      </c>
      <c r="Q56" s="207">
        <f>IF($S$33="Market",'[2]WACC Calc'!J168,'[2]WACC Calc'!J533)</f>
        <v>8.7499999999999994E-2</v>
      </c>
      <c r="R56" s="207">
        <f>IF($S$33="Market",'[2]WACC Calc'!K168,'[2]WACC Calc'!K533)</f>
        <v>8.7499999999999994E-2</v>
      </c>
      <c r="S56" s="207">
        <f>IF($S$33="Market",'[2]WACC Calc'!L168,'[2]WACC Calc'!L533)</f>
        <v>8.7499999999999994E-2</v>
      </c>
      <c r="T56" s="207">
        <f>IF($S$33="Market",'[2]WACC Calc'!M168,'[2]WACC Calc'!M533)</f>
        <v>8.7499999999999994E-2</v>
      </c>
      <c r="U56" s="207">
        <f>IF($S$33="Market",'[2]WACC Calc'!N168,'[2]WACC Calc'!N533)</f>
        <v>8.7499999999999994E-2</v>
      </c>
      <c r="V56" s="207">
        <f>IF($S$33="Market",'[2]WACC Calc'!O168,'[2]WACC Calc'!O533)</f>
        <v>8.7499999999999994E-2</v>
      </c>
      <c r="W56" s="207">
        <f>IF($S$33="Market",'[2]WACC Calc'!P168,'[2]WACC Calc'!P533)</f>
        <v>8.7499999999999994E-2</v>
      </c>
      <c r="X56" s="207">
        <f>IF($S$33="Market",'[2]WACC Calc'!Q168,'[2]WACC Calc'!Q533)</f>
        <v>8.7499999999999994E-2</v>
      </c>
      <c r="Y56" s="207">
        <f>IF($S$33="Market",'[2]WACC Calc'!R168,'[2]WACC Calc'!R533)</f>
        <v>8.7499999999999994E-2</v>
      </c>
      <c r="Z56" s="207">
        <f>IF($S$33="Market",'[2]WACC Calc'!S168,'[2]WACC Calc'!S533)</f>
        <v>8.7499999999999994E-2</v>
      </c>
      <c r="AA56" s="207">
        <f>IF($S$33="Market",'[2]WACC Calc'!T168,'[2]WACC Calc'!T533)</f>
        <v>8.7499999999999994E-2</v>
      </c>
      <c r="AB56" s="207">
        <f>IF($S$33="Market",'[2]WACC Calc'!U168,'[2]WACC Calc'!U533)</f>
        <v>8.7499999999999994E-2</v>
      </c>
      <c r="AC56" s="207">
        <f>IF($S$33="Market",'[2]WACC Calc'!V168,'[2]WACC Calc'!V533)</f>
        <v>8.7499999999999994E-2</v>
      </c>
      <c r="AD56" s="207">
        <f>IF($S$33="Market",'[2]WACC Calc'!W168,'[2]WACC Calc'!W533)</f>
        <v>8.7499999999999994E-2</v>
      </c>
      <c r="AE56" s="207">
        <f>IF($S$33="Market",'[2]WACC Calc'!X168,'[2]WACC Calc'!X533)</f>
        <v>8.7499999999999994E-2</v>
      </c>
      <c r="AF56" s="207">
        <f>IF($S$33="Market",'[2]WACC Calc'!Y168,'[2]WACC Calc'!Y533)</f>
        <v>8.7499999999999994E-2</v>
      </c>
      <c r="AG56" s="207">
        <f>IF($S$33="Market",'[2]WACC Calc'!Z168,'[2]WACC Calc'!Z533)</f>
        <v>8.7499999999999994E-2</v>
      </c>
      <c r="AH56" s="207">
        <f>IF($S$33="Market",'[2]WACC Calc'!AA168,'[2]WACC Calc'!AA533)</f>
        <v>8.7499999999999994E-2</v>
      </c>
      <c r="AI56" s="207">
        <f>IF($S$33="Market",'[2]WACC Calc'!AB168,'[2]WACC Calc'!AB533)</f>
        <v>8.7499999999999994E-2</v>
      </c>
      <c r="AJ56" s="207">
        <f>IF($S$33="Market",'[2]WACC Calc'!AC168,'[2]WACC Calc'!AC533)</f>
        <v>8.7499999999999994E-2</v>
      </c>
      <c r="AK56" s="207">
        <f>IF($S$33="Market",'[2]WACC Calc'!AD168,'[2]WACC Calc'!AD533)</f>
        <v>8.7499999999999994E-2</v>
      </c>
      <c r="AL56" s="207">
        <f>IF($S$33="Market",'[2]WACC Calc'!AE168,'[2]WACC Calc'!AE533)</f>
        <v>8.7499999999999994E-2</v>
      </c>
      <c r="AM56" s="207">
        <f>IF($S$33="Market",'[2]WACC Calc'!AF168,'[2]WACC Calc'!AF533)</f>
        <v>8.7499999999999994E-2</v>
      </c>
      <c r="AN56" s="207">
        <f>IF($S$33="Market",'[2]WACC Calc'!AG168,'[2]WACC Calc'!AG533)</f>
        <v>8.7499999999999994E-2</v>
      </c>
      <c r="AO56" s="207">
        <f>IF($S$33="Market",'[2]WACC Calc'!AH168,'[2]WACC Calc'!AH533)</f>
        <v>8.7499999999999994E-2</v>
      </c>
      <c r="AP56" s="207">
        <f>IF($S$33="Market",'[2]WACC Calc'!AI168,'[2]WACC Calc'!AI533)</f>
        <v>8.7499999999999994E-2</v>
      </c>
      <c r="AQ56" s="207">
        <f>IF($S$33="Market",'[2]WACC Calc'!AJ168,'[2]WACC Calc'!AJ533)</f>
        <v>8.7499999999999994E-2</v>
      </c>
    </row>
    <row r="57" spans="7:43" ht="14.25" customHeight="1" x14ac:dyDescent="0.15">
      <c r="G57" s="22"/>
      <c r="H57" s="256"/>
      <c r="J57" s="267"/>
      <c r="K57" s="129" t="s">
        <v>244</v>
      </c>
      <c r="L57" s="129" t="s">
        <v>214</v>
      </c>
      <c r="M57" s="207">
        <f>IF($S$33="Market",'[2]WACC Calc'!F169,'[2]WACC Calc'!F534)</f>
        <v>8.7499999999999994E-2</v>
      </c>
      <c r="N57" s="207">
        <f>IF($S$33="Market",'[2]WACC Calc'!G169,'[2]WACC Calc'!G534)</f>
        <v>8.7499999999999994E-2</v>
      </c>
      <c r="O57" s="207">
        <f>IF($S$33="Market",'[2]WACC Calc'!H169,'[2]WACC Calc'!H534)</f>
        <v>8.7499999999999994E-2</v>
      </c>
      <c r="P57" s="207">
        <f>IF($S$33="Market",'[2]WACC Calc'!I169,'[2]WACC Calc'!I534)</f>
        <v>8.7499999999999994E-2</v>
      </c>
      <c r="Q57" s="207">
        <f>IF($S$33="Market",'[2]WACC Calc'!J169,'[2]WACC Calc'!J534)</f>
        <v>8.7499999999999994E-2</v>
      </c>
      <c r="R57" s="207">
        <f>IF($S$33="Market",'[2]WACC Calc'!K169,'[2]WACC Calc'!K534)</f>
        <v>8.7499999999999994E-2</v>
      </c>
      <c r="S57" s="207">
        <f>IF($S$33="Market",'[2]WACC Calc'!L169,'[2]WACC Calc'!L534)</f>
        <v>8.7499999999999994E-2</v>
      </c>
      <c r="T57" s="207">
        <f>IF($S$33="Market",'[2]WACC Calc'!M169,'[2]WACC Calc'!M534)</f>
        <v>8.7499999999999994E-2</v>
      </c>
      <c r="U57" s="207">
        <f>IF($S$33="Market",'[2]WACC Calc'!N169,'[2]WACC Calc'!N534)</f>
        <v>8.7499999999999994E-2</v>
      </c>
      <c r="V57" s="207">
        <f>IF($S$33="Market",'[2]WACC Calc'!O169,'[2]WACC Calc'!O534)</f>
        <v>8.7499999999999994E-2</v>
      </c>
      <c r="W57" s="207">
        <f>IF($S$33="Market",'[2]WACC Calc'!P169,'[2]WACC Calc'!P534)</f>
        <v>8.7499999999999994E-2</v>
      </c>
      <c r="X57" s="207">
        <f>IF($S$33="Market",'[2]WACC Calc'!Q169,'[2]WACC Calc'!Q534)</f>
        <v>8.7499999999999994E-2</v>
      </c>
      <c r="Y57" s="207">
        <f>IF($S$33="Market",'[2]WACC Calc'!R169,'[2]WACC Calc'!R534)</f>
        <v>8.7499999999999994E-2</v>
      </c>
      <c r="Z57" s="207">
        <f>IF($S$33="Market",'[2]WACC Calc'!S169,'[2]WACC Calc'!S534)</f>
        <v>8.7499999999999994E-2</v>
      </c>
      <c r="AA57" s="207">
        <f>IF($S$33="Market",'[2]WACC Calc'!T169,'[2]WACC Calc'!T534)</f>
        <v>8.7499999999999994E-2</v>
      </c>
      <c r="AB57" s="207">
        <f>IF($S$33="Market",'[2]WACC Calc'!U169,'[2]WACC Calc'!U534)</f>
        <v>8.7499999999999994E-2</v>
      </c>
      <c r="AC57" s="207">
        <f>IF($S$33="Market",'[2]WACC Calc'!V169,'[2]WACC Calc'!V534)</f>
        <v>8.7499999999999994E-2</v>
      </c>
      <c r="AD57" s="207">
        <f>IF($S$33="Market",'[2]WACC Calc'!W169,'[2]WACC Calc'!W534)</f>
        <v>8.7499999999999994E-2</v>
      </c>
      <c r="AE57" s="207">
        <f>IF($S$33="Market",'[2]WACC Calc'!X169,'[2]WACC Calc'!X534)</f>
        <v>8.7499999999999994E-2</v>
      </c>
      <c r="AF57" s="207">
        <f>IF($S$33="Market",'[2]WACC Calc'!Y169,'[2]WACC Calc'!Y534)</f>
        <v>8.7499999999999994E-2</v>
      </c>
      <c r="AG57" s="207">
        <f>IF($S$33="Market",'[2]WACC Calc'!Z169,'[2]WACC Calc'!Z534)</f>
        <v>8.7499999999999994E-2</v>
      </c>
      <c r="AH57" s="207">
        <f>IF($S$33="Market",'[2]WACC Calc'!AA169,'[2]WACC Calc'!AA534)</f>
        <v>8.7499999999999994E-2</v>
      </c>
      <c r="AI57" s="207">
        <f>IF($S$33="Market",'[2]WACC Calc'!AB169,'[2]WACC Calc'!AB534)</f>
        <v>8.7499999999999994E-2</v>
      </c>
      <c r="AJ57" s="207">
        <f>IF($S$33="Market",'[2]WACC Calc'!AC169,'[2]WACC Calc'!AC534)</f>
        <v>8.7499999999999994E-2</v>
      </c>
      <c r="AK57" s="207">
        <f>IF($S$33="Market",'[2]WACC Calc'!AD169,'[2]WACC Calc'!AD534)</f>
        <v>8.7499999999999994E-2</v>
      </c>
      <c r="AL57" s="207">
        <f>IF($S$33="Market",'[2]WACC Calc'!AE169,'[2]WACC Calc'!AE534)</f>
        <v>8.7499999999999994E-2</v>
      </c>
      <c r="AM57" s="207">
        <f>IF($S$33="Market",'[2]WACC Calc'!AF169,'[2]WACC Calc'!AF534)</f>
        <v>8.7499999999999994E-2</v>
      </c>
      <c r="AN57" s="207">
        <f>IF($S$33="Market",'[2]WACC Calc'!AG169,'[2]WACC Calc'!AG534)</f>
        <v>8.7499999999999994E-2</v>
      </c>
      <c r="AO57" s="207">
        <f>IF($S$33="Market",'[2]WACC Calc'!AH169,'[2]WACC Calc'!AH534)</f>
        <v>8.7499999999999994E-2</v>
      </c>
      <c r="AP57" s="207">
        <f>IF($S$33="Market",'[2]WACC Calc'!AI169,'[2]WACC Calc'!AI534)</f>
        <v>8.7499999999999994E-2</v>
      </c>
      <c r="AQ57" s="207">
        <f>IF($S$33="Market",'[2]WACC Calc'!AJ169,'[2]WACC Calc'!AJ534)</f>
        <v>8.7499999999999994E-2</v>
      </c>
    </row>
    <row r="58" spans="7:43" ht="14.25" customHeight="1" x14ac:dyDescent="0.2">
      <c r="G58" s="22"/>
      <c r="H58" s="256"/>
      <c r="J58" s="267"/>
      <c r="K58" s="129" t="s">
        <v>243</v>
      </c>
      <c r="L58" s="129" t="s">
        <v>219</v>
      </c>
      <c r="M58" s="206">
        <f t="shared" ref="M58:AQ58" si="3">(1+M55)/(1+M$47) - 1</f>
        <v>6.0975609756097615E-2</v>
      </c>
      <c r="N58" s="206">
        <f t="shared" si="3"/>
        <v>6.0975609756097615E-2</v>
      </c>
      <c r="O58" s="206">
        <f t="shared" si="3"/>
        <v>6.0975609756097615E-2</v>
      </c>
      <c r="P58" s="206">
        <f t="shared" si="3"/>
        <v>6.0975609756097615E-2</v>
      </c>
      <c r="Q58" s="206">
        <f t="shared" si="3"/>
        <v>6.0975609756097615E-2</v>
      </c>
      <c r="R58" s="206">
        <f t="shared" si="3"/>
        <v>6.0975609756097615E-2</v>
      </c>
      <c r="S58" s="206">
        <f t="shared" si="3"/>
        <v>6.0975609756097615E-2</v>
      </c>
      <c r="T58" s="206">
        <f t="shared" si="3"/>
        <v>6.0975609756097615E-2</v>
      </c>
      <c r="U58" s="206">
        <f t="shared" si="3"/>
        <v>6.0975609756097615E-2</v>
      </c>
      <c r="V58" s="206">
        <f t="shared" si="3"/>
        <v>6.0975609756097615E-2</v>
      </c>
      <c r="W58" s="206">
        <f t="shared" si="3"/>
        <v>6.0975609756097615E-2</v>
      </c>
      <c r="X58" s="206">
        <f t="shared" si="3"/>
        <v>6.0975609756097615E-2</v>
      </c>
      <c r="Y58" s="206">
        <f t="shared" si="3"/>
        <v>6.0975609756097615E-2</v>
      </c>
      <c r="Z58" s="206">
        <f t="shared" si="3"/>
        <v>6.0975609756097615E-2</v>
      </c>
      <c r="AA58" s="206">
        <f t="shared" si="3"/>
        <v>6.0975609756097615E-2</v>
      </c>
      <c r="AB58" s="206">
        <f t="shared" si="3"/>
        <v>6.0975609756097615E-2</v>
      </c>
      <c r="AC58" s="206">
        <f t="shared" si="3"/>
        <v>6.0975609756097615E-2</v>
      </c>
      <c r="AD58" s="206">
        <f t="shared" si="3"/>
        <v>6.0975609756097615E-2</v>
      </c>
      <c r="AE58" s="206">
        <f t="shared" si="3"/>
        <v>6.0975609756097615E-2</v>
      </c>
      <c r="AF58" s="206">
        <f t="shared" si="3"/>
        <v>6.0975609756097615E-2</v>
      </c>
      <c r="AG58" s="206">
        <f t="shared" si="3"/>
        <v>6.0975609756097615E-2</v>
      </c>
      <c r="AH58" s="206">
        <f t="shared" si="3"/>
        <v>6.0975609756097615E-2</v>
      </c>
      <c r="AI58" s="206">
        <f t="shared" si="3"/>
        <v>6.0975609756097615E-2</v>
      </c>
      <c r="AJ58" s="206">
        <f t="shared" si="3"/>
        <v>6.0975609756097615E-2</v>
      </c>
      <c r="AK58" s="206">
        <f t="shared" si="3"/>
        <v>6.0975609756097615E-2</v>
      </c>
      <c r="AL58" s="206">
        <f t="shared" si="3"/>
        <v>6.0975609756097615E-2</v>
      </c>
      <c r="AM58" s="206">
        <f t="shared" si="3"/>
        <v>6.0975609756097615E-2</v>
      </c>
      <c r="AN58" s="206">
        <f t="shared" si="3"/>
        <v>6.0975609756097615E-2</v>
      </c>
      <c r="AO58" s="206">
        <f t="shared" si="3"/>
        <v>6.0975609756097615E-2</v>
      </c>
      <c r="AP58" s="206">
        <f t="shared" si="3"/>
        <v>6.0975609756097615E-2</v>
      </c>
      <c r="AQ58" s="206">
        <f t="shared" si="3"/>
        <v>6.0975609756097615E-2</v>
      </c>
    </row>
    <row r="59" spans="7:43" ht="14.25" customHeight="1" x14ac:dyDescent="0.2">
      <c r="G59" s="22"/>
      <c r="H59" s="256"/>
      <c r="J59" s="267"/>
      <c r="K59" s="129" t="s">
        <v>243</v>
      </c>
      <c r="L59" s="129" t="s">
        <v>218</v>
      </c>
      <c r="M59" s="206">
        <f t="shared" ref="M59:AQ59" si="4">(1+M56)/(1+M$47) - 1</f>
        <v>6.0975609756097615E-2</v>
      </c>
      <c r="N59" s="206">
        <f t="shared" si="4"/>
        <v>6.0975609756097615E-2</v>
      </c>
      <c r="O59" s="206">
        <f t="shared" si="4"/>
        <v>6.0975609756097615E-2</v>
      </c>
      <c r="P59" s="206">
        <f t="shared" si="4"/>
        <v>6.0975609756097615E-2</v>
      </c>
      <c r="Q59" s="206">
        <f t="shared" si="4"/>
        <v>6.0975609756097615E-2</v>
      </c>
      <c r="R59" s="206">
        <f t="shared" si="4"/>
        <v>6.0975609756097615E-2</v>
      </c>
      <c r="S59" s="206">
        <f t="shared" si="4"/>
        <v>6.0975609756097615E-2</v>
      </c>
      <c r="T59" s="206">
        <f t="shared" si="4"/>
        <v>6.0975609756097615E-2</v>
      </c>
      <c r="U59" s="206">
        <f t="shared" si="4"/>
        <v>6.0975609756097615E-2</v>
      </c>
      <c r="V59" s="206">
        <f t="shared" si="4"/>
        <v>6.0975609756097615E-2</v>
      </c>
      <c r="W59" s="206">
        <f t="shared" si="4"/>
        <v>6.0975609756097615E-2</v>
      </c>
      <c r="X59" s="206">
        <f t="shared" si="4"/>
        <v>6.0975609756097615E-2</v>
      </c>
      <c r="Y59" s="206">
        <f t="shared" si="4"/>
        <v>6.0975609756097615E-2</v>
      </c>
      <c r="Z59" s="206">
        <f t="shared" si="4"/>
        <v>6.0975609756097615E-2</v>
      </c>
      <c r="AA59" s="206">
        <f t="shared" si="4"/>
        <v>6.0975609756097615E-2</v>
      </c>
      <c r="AB59" s="206">
        <f t="shared" si="4"/>
        <v>6.0975609756097615E-2</v>
      </c>
      <c r="AC59" s="206">
        <f t="shared" si="4"/>
        <v>6.0975609756097615E-2</v>
      </c>
      <c r="AD59" s="206">
        <f t="shared" si="4"/>
        <v>6.0975609756097615E-2</v>
      </c>
      <c r="AE59" s="206">
        <f t="shared" si="4"/>
        <v>6.0975609756097615E-2</v>
      </c>
      <c r="AF59" s="206">
        <f t="shared" si="4"/>
        <v>6.0975609756097615E-2</v>
      </c>
      <c r="AG59" s="206">
        <f t="shared" si="4"/>
        <v>6.0975609756097615E-2</v>
      </c>
      <c r="AH59" s="206">
        <f t="shared" si="4"/>
        <v>6.0975609756097615E-2</v>
      </c>
      <c r="AI59" s="206">
        <f t="shared" si="4"/>
        <v>6.0975609756097615E-2</v>
      </c>
      <c r="AJ59" s="206">
        <f t="shared" si="4"/>
        <v>6.0975609756097615E-2</v>
      </c>
      <c r="AK59" s="206">
        <f t="shared" si="4"/>
        <v>6.0975609756097615E-2</v>
      </c>
      <c r="AL59" s="206">
        <f t="shared" si="4"/>
        <v>6.0975609756097615E-2</v>
      </c>
      <c r="AM59" s="206">
        <f t="shared" si="4"/>
        <v>6.0975609756097615E-2</v>
      </c>
      <c r="AN59" s="206">
        <f t="shared" si="4"/>
        <v>6.0975609756097615E-2</v>
      </c>
      <c r="AO59" s="206">
        <f t="shared" si="4"/>
        <v>6.0975609756097615E-2</v>
      </c>
      <c r="AP59" s="206">
        <f t="shared" si="4"/>
        <v>6.0975609756097615E-2</v>
      </c>
      <c r="AQ59" s="206">
        <f t="shared" si="4"/>
        <v>6.0975609756097615E-2</v>
      </c>
    </row>
    <row r="60" spans="7:43" ht="14.25" customHeight="1" x14ac:dyDescent="0.2">
      <c r="G60" s="22"/>
      <c r="H60" s="256"/>
      <c r="J60" s="267"/>
      <c r="K60" s="129" t="s">
        <v>243</v>
      </c>
      <c r="L60" s="129" t="s">
        <v>214</v>
      </c>
      <c r="M60" s="206">
        <f t="shared" ref="M60:AQ60" si="5">(1+M57)/(1+M$47) - 1</f>
        <v>6.0975609756097615E-2</v>
      </c>
      <c r="N60" s="206">
        <f t="shared" si="5"/>
        <v>6.0975609756097615E-2</v>
      </c>
      <c r="O60" s="206">
        <f t="shared" si="5"/>
        <v>6.0975609756097615E-2</v>
      </c>
      <c r="P60" s="206">
        <f t="shared" si="5"/>
        <v>6.0975609756097615E-2</v>
      </c>
      <c r="Q60" s="206">
        <f t="shared" si="5"/>
        <v>6.0975609756097615E-2</v>
      </c>
      <c r="R60" s="206">
        <f t="shared" si="5"/>
        <v>6.0975609756097615E-2</v>
      </c>
      <c r="S60" s="206">
        <f t="shared" si="5"/>
        <v>6.0975609756097615E-2</v>
      </c>
      <c r="T60" s="206">
        <f t="shared" si="5"/>
        <v>6.0975609756097615E-2</v>
      </c>
      <c r="U60" s="206">
        <f t="shared" si="5"/>
        <v>6.0975609756097615E-2</v>
      </c>
      <c r="V60" s="206">
        <f t="shared" si="5"/>
        <v>6.0975609756097615E-2</v>
      </c>
      <c r="W60" s="206">
        <f t="shared" si="5"/>
        <v>6.0975609756097615E-2</v>
      </c>
      <c r="X60" s="206">
        <f t="shared" si="5"/>
        <v>6.0975609756097615E-2</v>
      </c>
      <c r="Y60" s="206">
        <f t="shared" si="5"/>
        <v>6.0975609756097615E-2</v>
      </c>
      <c r="Z60" s="206">
        <f t="shared" si="5"/>
        <v>6.0975609756097615E-2</v>
      </c>
      <c r="AA60" s="206">
        <f t="shared" si="5"/>
        <v>6.0975609756097615E-2</v>
      </c>
      <c r="AB60" s="206">
        <f t="shared" si="5"/>
        <v>6.0975609756097615E-2</v>
      </c>
      <c r="AC60" s="206">
        <f t="shared" si="5"/>
        <v>6.0975609756097615E-2</v>
      </c>
      <c r="AD60" s="206">
        <f t="shared" si="5"/>
        <v>6.0975609756097615E-2</v>
      </c>
      <c r="AE60" s="206">
        <f t="shared" si="5"/>
        <v>6.0975609756097615E-2</v>
      </c>
      <c r="AF60" s="206">
        <f t="shared" si="5"/>
        <v>6.0975609756097615E-2</v>
      </c>
      <c r="AG60" s="206">
        <f t="shared" si="5"/>
        <v>6.0975609756097615E-2</v>
      </c>
      <c r="AH60" s="206">
        <f t="shared" si="5"/>
        <v>6.0975609756097615E-2</v>
      </c>
      <c r="AI60" s="206">
        <f t="shared" si="5"/>
        <v>6.0975609756097615E-2</v>
      </c>
      <c r="AJ60" s="206">
        <f t="shared" si="5"/>
        <v>6.0975609756097615E-2</v>
      </c>
      <c r="AK60" s="206">
        <f t="shared" si="5"/>
        <v>6.0975609756097615E-2</v>
      </c>
      <c r="AL60" s="206">
        <f t="shared" si="5"/>
        <v>6.0975609756097615E-2</v>
      </c>
      <c r="AM60" s="206">
        <f t="shared" si="5"/>
        <v>6.0975609756097615E-2</v>
      </c>
      <c r="AN60" s="206">
        <f t="shared" si="5"/>
        <v>6.0975609756097615E-2</v>
      </c>
      <c r="AO60" s="206">
        <f t="shared" si="5"/>
        <v>6.0975609756097615E-2</v>
      </c>
      <c r="AP60" s="206">
        <f t="shared" si="5"/>
        <v>6.0975609756097615E-2</v>
      </c>
      <c r="AQ60" s="206">
        <f t="shared" si="5"/>
        <v>6.0975609756097615E-2</v>
      </c>
    </row>
    <row r="61" spans="7:43" ht="14.25" customHeight="1" x14ac:dyDescent="0.15">
      <c r="G61" s="22"/>
      <c r="H61" s="256"/>
      <c r="J61" s="267"/>
      <c r="K61" s="129" t="s">
        <v>242</v>
      </c>
      <c r="L61" s="129" t="s">
        <v>219</v>
      </c>
      <c r="M61" s="207">
        <f>IF($S$33="Market",'[2]WACC Calc'!F173,'[2]WACC Calc'!F538)</f>
        <v>0.53788825591742551</v>
      </c>
      <c r="N61" s="207">
        <f>IF($S$33="Market",'[2]WACC Calc'!G173,'[2]WACC Calc'!G538)</f>
        <v>0.53788825591742551</v>
      </c>
      <c r="O61" s="207">
        <f>IF($S$33="Market",'[2]WACC Calc'!H173,'[2]WACC Calc'!H538)</f>
        <v>0.53788825591742551</v>
      </c>
      <c r="P61" s="207">
        <f>IF($S$33="Market",'[2]WACC Calc'!I173,'[2]WACC Calc'!I538)</f>
        <v>0.53788825591742551</v>
      </c>
      <c r="Q61" s="207">
        <f>IF($S$33="Market",'[2]WACC Calc'!J173,'[2]WACC Calc'!J538)</f>
        <v>0.56721612450973258</v>
      </c>
      <c r="R61" s="207">
        <f>IF($S$33="Market",'[2]WACC Calc'!K173,'[2]WACC Calc'!K538)</f>
        <v>0.56721612450973258</v>
      </c>
      <c r="S61" s="207">
        <f>IF($S$33="Market",'[2]WACC Calc'!L173,'[2]WACC Calc'!L538)</f>
        <v>0.68452759887896109</v>
      </c>
      <c r="T61" s="207">
        <f>IF($S$33="Market",'[2]WACC Calc'!M173,'[2]WACC Calc'!M538)</f>
        <v>0.68086539406096958</v>
      </c>
      <c r="U61" s="207">
        <f>IF($S$33="Market",'[2]WACC Calc'!N173,'[2]WACC Calc'!N538)</f>
        <v>0.67720318924297807</v>
      </c>
      <c r="V61" s="207">
        <f>IF($S$33="Market",'[2]WACC Calc'!O173,'[2]WACC Calc'!O538)</f>
        <v>0.67354098442498656</v>
      </c>
      <c r="W61" s="207">
        <f>IF($S$33="Market",'[2]WACC Calc'!P173,'[2]WACC Calc'!P538)</f>
        <v>0.66987877960699493</v>
      </c>
      <c r="X61" s="207">
        <f>IF($S$33="Market",'[2]WACC Calc'!Q173,'[2]WACC Calc'!Q538)</f>
        <v>0.66987877960699493</v>
      </c>
      <c r="Y61" s="207">
        <f>IF($S$33="Market",'[2]WACC Calc'!R173,'[2]WACC Calc'!R538)</f>
        <v>0.66987877960699493</v>
      </c>
      <c r="Z61" s="207">
        <f>IF($S$33="Market",'[2]WACC Calc'!S173,'[2]WACC Calc'!S538)</f>
        <v>0.66987877960699493</v>
      </c>
      <c r="AA61" s="207">
        <f>IF($S$33="Market",'[2]WACC Calc'!T173,'[2]WACC Calc'!T538)</f>
        <v>0.66987877960699493</v>
      </c>
      <c r="AB61" s="207">
        <f>IF($S$33="Market",'[2]WACC Calc'!U173,'[2]WACC Calc'!U538)</f>
        <v>0.66987877960699493</v>
      </c>
      <c r="AC61" s="207">
        <f>IF($S$33="Market",'[2]WACC Calc'!V173,'[2]WACC Calc'!V538)</f>
        <v>0.66987877960699493</v>
      </c>
      <c r="AD61" s="207">
        <f>IF($S$33="Market",'[2]WACC Calc'!W173,'[2]WACC Calc'!W538)</f>
        <v>0.66987877960699493</v>
      </c>
      <c r="AE61" s="207">
        <f>IF($S$33="Market",'[2]WACC Calc'!X173,'[2]WACC Calc'!X538)</f>
        <v>0.66987877960699493</v>
      </c>
      <c r="AF61" s="207">
        <f>IF($S$33="Market",'[2]WACC Calc'!Y173,'[2]WACC Calc'!Y538)</f>
        <v>0.66987877960699493</v>
      </c>
      <c r="AG61" s="207">
        <f>IF($S$33="Market",'[2]WACC Calc'!Z173,'[2]WACC Calc'!Z538)</f>
        <v>0.66987877960699493</v>
      </c>
      <c r="AH61" s="207">
        <f>IF($S$33="Market",'[2]WACC Calc'!AA173,'[2]WACC Calc'!AA538)</f>
        <v>0.66987877960699493</v>
      </c>
      <c r="AI61" s="207">
        <f>IF($S$33="Market",'[2]WACC Calc'!AB173,'[2]WACC Calc'!AB538)</f>
        <v>0.66987877960699493</v>
      </c>
      <c r="AJ61" s="207">
        <f>IF($S$33="Market",'[2]WACC Calc'!AC173,'[2]WACC Calc'!AC538)</f>
        <v>0.66987877960699493</v>
      </c>
      <c r="AK61" s="207">
        <f>IF($S$33="Market",'[2]WACC Calc'!AD173,'[2]WACC Calc'!AD538)</f>
        <v>0.66987877960699493</v>
      </c>
      <c r="AL61" s="207">
        <f>IF($S$33="Market",'[2]WACC Calc'!AE173,'[2]WACC Calc'!AE538)</f>
        <v>0.66987877960699493</v>
      </c>
      <c r="AM61" s="207">
        <f>IF($S$33="Market",'[2]WACC Calc'!AF173,'[2]WACC Calc'!AF538)</f>
        <v>0.66987877960699493</v>
      </c>
      <c r="AN61" s="207">
        <f>IF($S$33="Market",'[2]WACC Calc'!AG173,'[2]WACC Calc'!AG538)</f>
        <v>0.66987877960699493</v>
      </c>
      <c r="AO61" s="207">
        <f>IF($S$33="Market",'[2]WACC Calc'!AH173,'[2]WACC Calc'!AH538)</f>
        <v>0.66987877960699493</v>
      </c>
      <c r="AP61" s="207">
        <f>IF($S$33="Market",'[2]WACC Calc'!AI173,'[2]WACC Calc'!AI538)</f>
        <v>0.66987877960699493</v>
      </c>
      <c r="AQ61" s="207">
        <f>IF($S$33="Market",'[2]WACC Calc'!AJ173,'[2]WACC Calc'!AJ538)</f>
        <v>0.66987877960699493</v>
      </c>
    </row>
    <row r="62" spans="7:43" ht="14.25" customHeight="1" x14ac:dyDescent="0.15">
      <c r="G62" s="22"/>
      <c r="H62" s="256"/>
      <c r="J62" s="267"/>
      <c r="K62" s="129" t="s">
        <v>242</v>
      </c>
      <c r="L62" s="129" t="s">
        <v>218</v>
      </c>
      <c r="M62" s="207">
        <f>IF($S$33="Market",'[2]WACC Calc'!F174,'[2]WACC Calc'!F539)</f>
        <v>0.53788825591742551</v>
      </c>
      <c r="N62" s="207">
        <f>IF($S$33="Market",'[2]WACC Calc'!G174,'[2]WACC Calc'!G539)</f>
        <v>0.53788825591742551</v>
      </c>
      <c r="O62" s="207">
        <f>IF($S$33="Market",'[2]WACC Calc'!H174,'[2]WACC Calc'!H539)</f>
        <v>0.53788825591742551</v>
      </c>
      <c r="P62" s="207">
        <f>IF($S$33="Market",'[2]WACC Calc'!I174,'[2]WACC Calc'!I539)</f>
        <v>0.53788825591742551</v>
      </c>
      <c r="Q62" s="207">
        <f>IF($S$33="Market",'[2]WACC Calc'!J174,'[2]WACC Calc'!J539)</f>
        <v>0.56721612450973258</v>
      </c>
      <c r="R62" s="207">
        <f>IF($S$33="Market",'[2]WACC Calc'!K174,'[2]WACC Calc'!K539)</f>
        <v>0.56721612450973258</v>
      </c>
      <c r="S62" s="207">
        <f>IF($S$33="Market",'[2]WACC Calc'!L174,'[2]WACC Calc'!L539)</f>
        <v>0.68452759887896109</v>
      </c>
      <c r="T62" s="207">
        <f>IF($S$33="Market",'[2]WACC Calc'!M174,'[2]WACC Calc'!M539)</f>
        <v>0.68086539406096958</v>
      </c>
      <c r="U62" s="207">
        <f>IF($S$33="Market",'[2]WACC Calc'!N174,'[2]WACC Calc'!N539)</f>
        <v>0.67720318924297807</v>
      </c>
      <c r="V62" s="207">
        <f>IF($S$33="Market",'[2]WACC Calc'!O174,'[2]WACC Calc'!O539)</f>
        <v>0.67354098442498656</v>
      </c>
      <c r="W62" s="207">
        <f>IF($S$33="Market",'[2]WACC Calc'!P174,'[2]WACC Calc'!P539)</f>
        <v>0.66987877960699493</v>
      </c>
      <c r="X62" s="207">
        <f>IF($S$33="Market",'[2]WACC Calc'!Q174,'[2]WACC Calc'!Q539)</f>
        <v>0.66987877960699493</v>
      </c>
      <c r="Y62" s="207">
        <f>IF($S$33="Market",'[2]WACC Calc'!R174,'[2]WACC Calc'!R539)</f>
        <v>0.66987877960699493</v>
      </c>
      <c r="Z62" s="207">
        <f>IF($S$33="Market",'[2]WACC Calc'!S174,'[2]WACC Calc'!S539)</f>
        <v>0.66987877960699493</v>
      </c>
      <c r="AA62" s="207">
        <f>IF($S$33="Market",'[2]WACC Calc'!T174,'[2]WACC Calc'!T539)</f>
        <v>0.66987877960699493</v>
      </c>
      <c r="AB62" s="207">
        <f>IF($S$33="Market",'[2]WACC Calc'!U174,'[2]WACC Calc'!U539)</f>
        <v>0.66987877960699493</v>
      </c>
      <c r="AC62" s="207">
        <f>IF($S$33="Market",'[2]WACC Calc'!V174,'[2]WACC Calc'!V539)</f>
        <v>0.66987877960699493</v>
      </c>
      <c r="AD62" s="207">
        <f>IF($S$33="Market",'[2]WACC Calc'!W174,'[2]WACC Calc'!W539)</f>
        <v>0.66987877960699493</v>
      </c>
      <c r="AE62" s="207">
        <f>IF($S$33="Market",'[2]WACC Calc'!X174,'[2]WACC Calc'!X539)</f>
        <v>0.66987877960699493</v>
      </c>
      <c r="AF62" s="207">
        <f>IF($S$33="Market",'[2]WACC Calc'!Y174,'[2]WACC Calc'!Y539)</f>
        <v>0.66987877960699493</v>
      </c>
      <c r="AG62" s="207">
        <f>IF($S$33="Market",'[2]WACC Calc'!Z174,'[2]WACC Calc'!Z539)</f>
        <v>0.66987877960699493</v>
      </c>
      <c r="AH62" s="207">
        <f>IF($S$33="Market",'[2]WACC Calc'!AA174,'[2]WACC Calc'!AA539)</f>
        <v>0.66987877960699493</v>
      </c>
      <c r="AI62" s="207">
        <f>IF($S$33="Market",'[2]WACC Calc'!AB174,'[2]WACC Calc'!AB539)</f>
        <v>0.66987877960699493</v>
      </c>
      <c r="AJ62" s="207">
        <f>IF($S$33="Market",'[2]WACC Calc'!AC174,'[2]WACC Calc'!AC539)</f>
        <v>0.66987877960699493</v>
      </c>
      <c r="AK62" s="207">
        <f>IF($S$33="Market",'[2]WACC Calc'!AD174,'[2]WACC Calc'!AD539)</f>
        <v>0.66987877960699493</v>
      </c>
      <c r="AL62" s="207">
        <f>IF($S$33="Market",'[2]WACC Calc'!AE174,'[2]WACC Calc'!AE539)</f>
        <v>0.66987877960699493</v>
      </c>
      <c r="AM62" s="207">
        <f>IF($S$33="Market",'[2]WACC Calc'!AF174,'[2]WACC Calc'!AF539)</f>
        <v>0.66987877960699493</v>
      </c>
      <c r="AN62" s="207">
        <f>IF($S$33="Market",'[2]WACC Calc'!AG174,'[2]WACC Calc'!AG539)</f>
        <v>0.66987877960699493</v>
      </c>
      <c r="AO62" s="207">
        <f>IF($S$33="Market",'[2]WACC Calc'!AH174,'[2]WACC Calc'!AH539)</f>
        <v>0.66987877960699493</v>
      </c>
      <c r="AP62" s="207">
        <f>IF($S$33="Market",'[2]WACC Calc'!AI174,'[2]WACC Calc'!AI539)</f>
        <v>0.66987877960699493</v>
      </c>
      <c r="AQ62" s="207">
        <f>IF($S$33="Market",'[2]WACC Calc'!AJ174,'[2]WACC Calc'!AJ539)</f>
        <v>0.66987877960699493</v>
      </c>
    </row>
    <row r="63" spans="7:43" ht="14.25" customHeight="1" x14ac:dyDescent="0.15">
      <c r="G63" s="22"/>
      <c r="H63" s="256"/>
      <c r="J63" s="267"/>
      <c r="K63" s="129" t="s">
        <v>242</v>
      </c>
      <c r="L63" s="129" t="s">
        <v>214</v>
      </c>
      <c r="M63" s="207">
        <f>IF($S$33="Market",'[2]WACC Calc'!F175,'[2]WACC Calc'!F540)</f>
        <v>0.53788825591742551</v>
      </c>
      <c r="N63" s="207">
        <f>IF($S$33="Market",'[2]WACC Calc'!G175,'[2]WACC Calc'!G540)</f>
        <v>0.53788825591742551</v>
      </c>
      <c r="O63" s="207">
        <f>IF($S$33="Market",'[2]WACC Calc'!H175,'[2]WACC Calc'!H540)</f>
        <v>0.53788825591742551</v>
      </c>
      <c r="P63" s="207">
        <f>IF($S$33="Market",'[2]WACC Calc'!I175,'[2]WACC Calc'!I540)</f>
        <v>0.53788825591742551</v>
      </c>
      <c r="Q63" s="207">
        <f>IF($S$33="Market",'[2]WACC Calc'!J175,'[2]WACC Calc'!J540)</f>
        <v>0.56721612450973258</v>
      </c>
      <c r="R63" s="207">
        <f>IF($S$33="Market",'[2]WACC Calc'!K175,'[2]WACC Calc'!K540)</f>
        <v>0.56721612450973258</v>
      </c>
      <c r="S63" s="207">
        <f>IF($S$33="Market",'[2]WACC Calc'!L175,'[2]WACC Calc'!L540)</f>
        <v>0.68452759887896109</v>
      </c>
      <c r="T63" s="207">
        <f>IF($S$33="Market",'[2]WACC Calc'!M175,'[2]WACC Calc'!M540)</f>
        <v>0.68086539406096958</v>
      </c>
      <c r="U63" s="207">
        <f>IF($S$33="Market",'[2]WACC Calc'!N175,'[2]WACC Calc'!N540)</f>
        <v>0.67720318924297807</v>
      </c>
      <c r="V63" s="207">
        <f>IF($S$33="Market",'[2]WACC Calc'!O175,'[2]WACC Calc'!O540)</f>
        <v>0.67354098442498656</v>
      </c>
      <c r="W63" s="207">
        <f>IF($S$33="Market",'[2]WACC Calc'!P175,'[2]WACC Calc'!P540)</f>
        <v>0.66987877960699493</v>
      </c>
      <c r="X63" s="207">
        <f>IF($S$33="Market",'[2]WACC Calc'!Q175,'[2]WACC Calc'!Q540)</f>
        <v>0.66987877960699493</v>
      </c>
      <c r="Y63" s="207">
        <f>IF($S$33="Market",'[2]WACC Calc'!R175,'[2]WACC Calc'!R540)</f>
        <v>0.66987877960699493</v>
      </c>
      <c r="Z63" s="207">
        <f>IF($S$33="Market",'[2]WACC Calc'!S175,'[2]WACC Calc'!S540)</f>
        <v>0.66987877960699493</v>
      </c>
      <c r="AA63" s="207">
        <f>IF($S$33="Market",'[2]WACC Calc'!T175,'[2]WACC Calc'!T540)</f>
        <v>0.66987877960699493</v>
      </c>
      <c r="AB63" s="207">
        <f>IF($S$33="Market",'[2]WACC Calc'!U175,'[2]WACC Calc'!U540)</f>
        <v>0.66987877960699493</v>
      </c>
      <c r="AC63" s="207">
        <f>IF($S$33="Market",'[2]WACC Calc'!V175,'[2]WACC Calc'!V540)</f>
        <v>0.66987877960699493</v>
      </c>
      <c r="AD63" s="207">
        <f>IF($S$33="Market",'[2]WACC Calc'!W175,'[2]WACC Calc'!W540)</f>
        <v>0.66987877960699493</v>
      </c>
      <c r="AE63" s="207">
        <f>IF($S$33="Market",'[2]WACC Calc'!X175,'[2]WACC Calc'!X540)</f>
        <v>0.66987877960699493</v>
      </c>
      <c r="AF63" s="207">
        <f>IF($S$33="Market",'[2]WACC Calc'!Y175,'[2]WACC Calc'!Y540)</f>
        <v>0.66987877960699493</v>
      </c>
      <c r="AG63" s="207">
        <f>IF($S$33="Market",'[2]WACC Calc'!Z175,'[2]WACC Calc'!Z540)</f>
        <v>0.66987877960699493</v>
      </c>
      <c r="AH63" s="207">
        <f>IF($S$33="Market",'[2]WACC Calc'!AA175,'[2]WACC Calc'!AA540)</f>
        <v>0.66987877960699493</v>
      </c>
      <c r="AI63" s="207">
        <f>IF($S$33="Market",'[2]WACC Calc'!AB175,'[2]WACC Calc'!AB540)</f>
        <v>0.66987877960699493</v>
      </c>
      <c r="AJ63" s="207">
        <f>IF($S$33="Market",'[2]WACC Calc'!AC175,'[2]WACC Calc'!AC540)</f>
        <v>0.66987877960699493</v>
      </c>
      <c r="AK63" s="207">
        <f>IF($S$33="Market",'[2]WACC Calc'!AD175,'[2]WACC Calc'!AD540)</f>
        <v>0.66987877960699493</v>
      </c>
      <c r="AL63" s="207">
        <f>IF($S$33="Market",'[2]WACC Calc'!AE175,'[2]WACC Calc'!AE540)</f>
        <v>0.66987877960699493</v>
      </c>
      <c r="AM63" s="207">
        <f>IF($S$33="Market",'[2]WACC Calc'!AF175,'[2]WACC Calc'!AF540)</f>
        <v>0.66987877960699493</v>
      </c>
      <c r="AN63" s="207">
        <f>IF($S$33="Market",'[2]WACC Calc'!AG175,'[2]WACC Calc'!AG540)</f>
        <v>0.66987877960699493</v>
      </c>
      <c r="AO63" s="207">
        <f>IF($S$33="Market",'[2]WACC Calc'!AH175,'[2]WACC Calc'!AH540)</f>
        <v>0.66987877960699493</v>
      </c>
      <c r="AP63" s="207">
        <f>IF($S$33="Market",'[2]WACC Calc'!AI175,'[2]WACC Calc'!AI540)</f>
        <v>0.66987877960699493</v>
      </c>
      <c r="AQ63" s="207">
        <f>IF($S$33="Market",'[2]WACC Calc'!AJ175,'[2]WACC Calc'!AJ540)</f>
        <v>0.66987877960699493</v>
      </c>
    </row>
    <row r="64" spans="7:43" ht="14.25" customHeight="1" x14ac:dyDescent="0.15">
      <c r="G64" s="22"/>
      <c r="H64" s="256"/>
      <c r="J64" s="267"/>
      <c r="K64" s="129" t="s">
        <v>86</v>
      </c>
      <c r="L64" s="129" t="s">
        <v>220</v>
      </c>
      <c r="M64" s="207">
        <f>IF($S$33="Market",'[2]WACC Calc'!F176,'[2]WACC Calc'!F541)</f>
        <v>0.25739999999999996</v>
      </c>
      <c r="N64" s="207">
        <f>IF($S$33="Market",'[2]WACC Calc'!G176,'[2]WACC Calc'!G541)</f>
        <v>0.25739999999999996</v>
      </c>
      <c r="O64" s="207">
        <f>IF($S$33="Market",'[2]WACC Calc'!H176,'[2]WACC Calc'!H541)</f>
        <v>0.25739999999999996</v>
      </c>
      <c r="P64" s="207">
        <f>IF($S$33="Market",'[2]WACC Calc'!I176,'[2]WACC Calc'!I541)</f>
        <v>0.25739999999999996</v>
      </c>
      <c r="Q64" s="207">
        <f>IF($S$33="Market",'[2]WACC Calc'!J176,'[2]WACC Calc'!J541)</f>
        <v>0.25739999999999996</v>
      </c>
      <c r="R64" s="207">
        <f>IF($S$33="Market",'[2]WACC Calc'!K176,'[2]WACC Calc'!K541)</f>
        <v>0.25739999999999996</v>
      </c>
      <c r="S64" s="207">
        <f>IF($S$33="Market",'[2]WACC Calc'!L176,'[2]WACC Calc'!L541)</f>
        <v>0.25739999999999996</v>
      </c>
      <c r="T64" s="207">
        <f>IF($S$33="Market",'[2]WACC Calc'!M176,'[2]WACC Calc'!M541)</f>
        <v>0.25739999999999996</v>
      </c>
      <c r="U64" s="207">
        <f>IF($S$33="Market",'[2]WACC Calc'!N176,'[2]WACC Calc'!N541)</f>
        <v>0.25739999999999996</v>
      </c>
      <c r="V64" s="207">
        <f>IF($S$33="Market",'[2]WACC Calc'!O176,'[2]WACC Calc'!O541)</f>
        <v>0.25739999999999996</v>
      </c>
      <c r="W64" s="207">
        <f>IF($S$33="Market",'[2]WACC Calc'!P176,'[2]WACC Calc'!P541)</f>
        <v>0.25739999999999996</v>
      </c>
      <c r="X64" s="207">
        <f>IF($S$33="Market",'[2]WACC Calc'!Q176,'[2]WACC Calc'!Q541)</f>
        <v>0.25739999999999996</v>
      </c>
      <c r="Y64" s="207">
        <f>IF($S$33="Market",'[2]WACC Calc'!R176,'[2]WACC Calc'!R541)</f>
        <v>0.25739999999999996</v>
      </c>
      <c r="Z64" s="207">
        <f>IF($S$33="Market",'[2]WACC Calc'!S176,'[2]WACC Calc'!S541)</f>
        <v>0.25739999999999996</v>
      </c>
      <c r="AA64" s="207">
        <f>IF($S$33="Market",'[2]WACC Calc'!T176,'[2]WACC Calc'!T541)</f>
        <v>0.25739999999999996</v>
      </c>
      <c r="AB64" s="207">
        <f>IF($S$33="Market",'[2]WACC Calc'!U176,'[2]WACC Calc'!U541)</f>
        <v>0.25739999999999996</v>
      </c>
      <c r="AC64" s="207">
        <f>IF($S$33="Market",'[2]WACC Calc'!V176,'[2]WACC Calc'!V541)</f>
        <v>0.25739999999999996</v>
      </c>
      <c r="AD64" s="207">
        <f>IF($S$33="Market",'[2]WACC Calc'!W176,'[2]WACC Calc'!W541)</f>
        <v>0.25739999999999996</v>
      </c>
      <c r="AE64" s="207">
        <f>IF($S$33="Market",'[2]WACC Calc'!X176,'[2]WACC Calc'!X541)</f>
        <v>0.25739999999999996</v>
      </c>
      <c r="AF64" s="207">
        <f>IF($S$33="Market",'[2]WACC Calc'!Y176,'[2]WACC Calc'!Y541)</f>
        <v>0.25739999999999996</v>
      </c>
      <c r="AG64" s="207">
        <f>IF($S$33="Market",'[2]WACC Calc'!Z176,'[2]WACC Calc'!Z541)</f>
        <v>0.25739999999999996</v>
      </c>
      <c r="AH64" s="207">
        <f>IF($S$33="Market",'[2]WACC Calc'!AA176,'[2]WACC Calc'!AA541)</f>
        <v>0.25739999999999996</v>
      </c>
      <c r="AI64" s="207">
        <f>IF($S$33="Market",'[2]WACC Calc'!AB176,'[2]WACC Calc'!AB541)</f>
        <v>0.25739999999999996</v>
      </c>
      <c r="AJ64" s="207">
        <f>IF($S$33="Market",'[2]WACC Calc'!AC176,'[2]WACC Calc'!AC541)</f>
        <v>0.25739999999999996</v>
      </c>
      <c r="AK64" s="207">
        <f>IF($S$33="Market",'[2]WACC Calc'!AD176,'[2]WACC Calc'!AD541)</f>
        <v>0.25739999999999996</v>
      </c>
      <c r="AL64" s="207">
        <f>IF($S$33="Market",'[2]WACC Calc'!AE176,'[2]WACC Calc'!AE541)</f>
        <v>0.25739999999999996</v>
      </c>
      <c r="AM64" s="207">
        <f>IF($S$33="Market",'[2]WACC Calc'!AF176,'[2]WACC Calc'!AF541)</f>
        <v>0.25739999999999996</v>
      </c>
      <c r="AN64" s="207">
        <f>IF($S$33="Market",'[2]WACC Calc'!AG176,'[2]WACC Calc'!AG541)</f>
        <v>0.25739999999999996</v>
      </c>
      <c r="AO64" s="207">
        <f>IF($S$33="Market",'[2]WACC Calc'!AH176,'[2]WACC Calc'!AH541)</f>
        <v>0.25739999999999996</v>
      </c>
      <c r="AP64" s="207">
        <f>IF($S$33="Market",'[2]WACC Calc'!AI176,'[2]WACC Calc'!AI541)</f>
        <v>0.25739999999999996</v>
      </c>
      <c r="AQ64" s="207">
        <f>IF($S$33="Market",'[2]WACC Calc'!AJ176,'[2]WACC Calc'!AJ541)</f>
        <v>0.25739999999999996</v>
      </c>
    </row>
    <row r="65" spans="7:44" ht="14.25" customHeight="1" x14ac:dyDescent="0.15">
      <c r="G65" s="22"/>
      <c r="H65" s="256"/>
      <c r="J65" s="267"/>
      <c r="K65" s="129" t="s">
        <v>241</v>
      </c>
      <c r="L65" s="129" t="s">
        <v>219</v>
      </c>
      <c r="M65" s="130">
        <f t="shared" ref="M65:AQ65" si="6">M61*M48*(1-M$64)+(1-M61)*(M55)</f>
        <v>5.6412210360996473E-2</v>
      </c>
      <c r="N65" s="130">
        <f t="shared" si="6"/>
        <v>5.6412210360996473E-2</v>
      </c>
      <c r="O65" s="130">
        <f t="shared" si="6"/>
        <v>5.6412210360996473E-2</v>
      </c>
      <c r="P65" s="130">
        <f t="shared" si="6"/>
        <v>5.6412210360996473E-2</v>
      </c>
      <c r="Q65" s="130">
        <f t="shared" si="6"/>
        <v>5.4717176867835497E-2</v>
      </c>
      <c r="R65" s="130">
        <f t="shared" si="6"/>
        <v>5.4717176867835497E-2</v>
      </c>
      <c r="S65" s="130">
        <f t="shared" si="6"/>
        <v>4.8953703285046599E-2</v>
      </c>
      <c r="T65" s="130">
        <f t="shared" si="6"/>
        <v>5.017114625137091E-2</v>
      </c>
      <c r="U65" s="130">
        <f t="shared" si="6"/>
        <v>5.1377711004503855E-2</v>
      </c>
      <c r="V65" s="130">
        <f t="shared" si="6"/>
        <v>5.2573397544445441E-2</v>
      </c>
      <c r="W65" s="130">
        <f t="shared" si="6"/>
        <v>5.3758205871195661E-2</v>
      </c>
      <c r="X65" s="130">
        <f t="shared" si="6"/>
        <v>5.3758205871195661E-2</v>
      </c>
      <c r="Y65" s="130">
        <f t="shared" si="6"/>
        <v>5.3758205871195661E-2</v>
      </c>
      <c r="Z65" s="130">
        <f t="shared" si="6"/>
        <v>5.3758205871195661E-2</v>
      </c>
      <c r="AA65" s="130">
        <f t="shared" si="6"/>
        <v>5.3758205871195661E-2</v>
      </c>
      <c r="AB65" s="130">
        <f t="shared" si="6"/>
        <v>5.3758205871195661E-2</v>
      </c>
      <c r="AC65" s="130">
        <f t="shared" si="6"/>
        <v>5.3758205871195661E-2</v>
      </c>
      <c r="AD65" s="130">
        <f t="shared" si="6"/>
        <v>5.3758205871195661E-2</v>
      </c>
      <c r="AE65" s="130">
        <f t="shared" si="6"/>
        <v>5.3758205871195661E-2</v>
      </c>
      <c r="AF65" s="130">
        <f t="shared" si="6"/>
        <v>5.3758205871195661E-2</v>
      </c>
      <c r="AG65" s="130">
        <f t="shared" si="6"/>
        <v>5.3758205871195661E-2</v>
      </c>
      <c r="AH65" s="130">
        <f t="shared" si="6"/>
        <v>5.3758205871195661E-2</v>
      </c>
      <c r="AI65" s="130">
        <f t="shared" si="6"/>
        <v>5.3758205871195661E-2</v>
      </c>
      <c r="AJ65" s="130">
        <f t="shared" si="6"/>
        <v>5.3758205871195661E-2</v>
      </c>
      <c r="AK65" s="130">
        <f t="shared" si="6"/>
        <v>5.3758205871195661E-2</v>
      </c>
      <c r="AL65" s="130">
        <f t="shared" si="6"/>
        <v>5.3758205871195661E-2</v>
      </c>
      <c r="AM65" s="130">
        <f t="shared" si="6"/>
        <v>5.3758205871195661E-2</v>
      </c>
      <c r="AN65" s="130">
        <f t="shared" si="6"/>
        <v>5.3758205871195661E-2</v>
      </c>
      <c r="AO65" s="130">
        <f t="shared" si="6"/>
        <v>5.3758205871195661E-2</v>
      </c>
      <c r="AP65" s="130">
        <f t="shared" si="6"/>
        <v>5.3758205871195661E-2</v>
      </c>
      <c r="AQ65" s="130">
        <f t="shared" si="6"/>
        <v>5.3758205871195661E-2</v>
      </c>
    </row>
    <row r="66" spans="7:44" ht="14.25" customHeight="1" x14ac:dyDescent="0.15">
      <c r="G66" s="22"/>
      <c r="H66" s="256"/>
      <c r="J66" s="267"/>
      <c r="K66" s="129" t="s">
        <v>241</v>
      </c>
      <c r="L66" s="129" t="s">
        <v>218</v>
      </c>
      <c r="M66" s="130">
        <f t="shared" ref="M66:AQ66" si="7">M62*M49*(1-M$64)+(1-M62)*(M56)</f>
        <v>5.6412210360996473E-2</v>
      </c>
      <c r="N66" s="130">
        <f t="shared" si="7"/>
        <v>5.6412210360996473E-2</v>
      </c>
      <c r="O66" s="130">
        <f t="shared" si="7"/>
        <v>5.6412210360996473E-2</v>
      </c>
      <c r="P66" s="130">
        <f t="shared" si="7"/>
        <v>5.6412210360996473E-2</v>
      </c>
      <c r="Q66" s="130">
        <f t="shared" si="7"/>
        <v>5.4717176867835497E-2</v>
      </c>
      <c r="R66" s="130">
        <f t="shared" si="7"/>
        <v>5.4717176867835497E-2</v>
      </c>
      <c r="S66" s="130">
        <f t="shared" si="7"/>
        <v>4.8953703285046599E-2</v>
      </c>
      <c r="T66" s="130">
        <f t="shared" si="7"/>
        <v>5.017114625137091E-2</v>
      </c>
      <c r="U66" s="130">
        <f t="shared" si="7"/>
        <v>5.1377711004503855E-2</v>
      </c>
      <c r="V66" s="130">
        <f t="shared" si="7"/>
        <v>5.2573397544445441E-2</v>
      </c>
      <c r="W66" s="130">
        <f t="shared" si="7"/>
        <v>5.3758205871195661E-2</v>
      </c>
      <c r="X66" s="130">
        <f t="shared" si="7"/>
        <v>5.3758205871195661E-2</v>
      </c>
      <c r="Y66" s="130">
        <f t="shared" si="7"/>
        <v>5.3758205871195661E-2</v>
      </c>
      <c r="Z66" s="130">
        <f t="shared" si="7"/>
        <v>5.3758205871195661E-2</v>
      </c>
      <c r="AA66" s="130">
        <f t="shared" si="7"/>
        <v>5.3758205871195661E-2</v>
      </c>
      <c r="AB66" s="130">
        <f t="shared" si="7"/>
        <v>5.3758205871195661E-2</v>
      </c>
      <c r="AC66" s="130">
        <f t="shared" si="7"/>
        <v>5.3758205871195661E-2</v>
      </c>
      <c r="AD66" s="130">
        <f t="shared" si="7"/>
        <v>5.3758205871195661E-2</v>
      </c>
      <c r="AE66" s="130">
        <f t="shared" si="7"/>
        <v>5.3758205871195661E-2</v>
      </c>
      <c r="AF66" s="130">
        <f t="shared" si="7"/>
        <v>5.3758205871195661E-2</v>
      </c>
      <c r="AG66" s="130">
        <f t="shared" si="7"/>
        <v>5.3758205871195661E-2</v>
      </c>
      <c r="AH66" s="130">
        <f t="shared" si="7"/>
        <v>5.3758205871195661E-2</v>
      </c>
      <c r="AI66" s="130">
        <f t="shared" si="7"/>
        <v>5.3758205871195661E-2</v>
      </c>
      <c r="AJ66" s="130">
        <f t="shared" si="7"/>
        <v>5.3758205871195661E-2</v>
      </c>
      <c r="AK66" s="130">
        <f t="shared" si="7"/>
        <v>5.3758205871195661E-2</v>
      </c>
      <c r="AL66" s="130">
        <f t="shared" si="7"/>
        <v>5.3758205871195661E-2</v>
      </c>
      <c r="AM66" s="130">
        <f t="shared" si="7"/>
        <v>5.3758205871195661E-2</v>
      </c>
      <c r="AN66" s="130">
        <f t="shared" si="7"/>
        <v>5.3758205871195661E-2</v>
      </c>
      <c r="AO66" s="130">
        <f t="shared" si="7"/>
        <v>5.3758205871195661E-2</v>
      </c>
      <c r="AP66" s="130">
        <f t="shared" si="7"/>
        <v>5.3758205871195661E-2</v>
      </c>
      <c r="AQ66" s="130">
        <f t="shared" si="7"/>
        <v>5.3758205871195661E-2</v>
      </c>
    </row>
    <row r="67" spans="7:44" ht="14.25" customHeight="1" x14ac:dyDescent="0.15">
      <c r="G67" s="22"/>
      <c r="H67" s="256"/>
      <c r="J67" s="267"/>
      <c r="K67" s="129" t="s">
        <v>241</v>
      </c>
      <c r="L67" s="129" t="s">
        <v>214</v>
      </c>
      <c r="M67" s="130">
        <f t="shared" ref="M67:AQ67" si="8">M63*M50*(1-M$64)+(1-M63)*(M57)</f>
        <v>5.6412210360996473E-2</v>
      </c>
      <c r="N67" s="130">
        <f t="shared" si="8"/>
        <v>5.6412210360996473E-2</v>
      </c>
      <c r="O67" s="130">
        <f t="shared" si="8"/>
        <v>5.6412210360996473E-2</v>
      </c>
      <c r="P67" s="130">
        <f t="shared" si="8"/>
        <v>5.6412210360996473E-2</v>
      </c>
      <c r="Q67" s="130">
        <f t="shared" si="8"/>
        <v>5.4717176867835497E-2</v>
      </c>
      <c r="R67" s="130">
        <f t="shared" si="8"/>
        <v>5.4717176867835497E-2</v>
      </c>
      <c r="S67" s="130">
        <f t="shared" si="8"/>
        <v>4.8953703285046599E-2</v>
      </c>
      <c r="T67" s="130">
        <f t="shared" si="8"/>
        <v>5.017114625137091E-2</v>
      </c>
      <c r="U67" s="130">
        <f t="shared" si="8"/>
        <v>5.1377711004503855E-2</v>
      </c>
      <c r="V67" s="130">
        <f t="shared" si="8"/>
        <v>5.2573397544445441E-2</v>
      </c>
      <c r="W67" s="130">
        <f t="shared" si="8"/>
        <v>5.3758205871195661E-2</v>
      </c>
      <c r="X67" s="130">
        <f t="shared" si="8"/>
        <v>5.3758205871195661E-2</v>
      </c>
      <c r="Y67" s="130">
        <f t="shared" si="8"/>
        <v>5.3758205871195661E-2</v>
      </c>
      <c r="Z67" s="130">
        <f t="shared" si="8"/>
        <v>5.3758205871195661E-2</v>
      </c>
      <c r="AA67" s="130">
        <f t="shared" si="8"/>
        <v>5.3758205871195661E-2</v>
      </c>
      <c r="AB67" s="130">
        <f t="shared" si="8"/>
        <v>5.3758205871195661E-2</v>
      </c>
      <c r="AC67" s="130">
        <f t="shared" si="8"/>
        <v>5.3758205871195661E-2</v>
      </c>
      <c r="AD67" s="130">
        <f t="shared" si="8"/>
        <v>5.3758205871195661E-2</v>
      </c>
      <c r="AE67" s="130">
        <f t="shared" si="8"/>
        <v>5.3758205871195661E-2</v>
      </c>
      <c r="AF67" s="130">
        <f t="shared" si="8"/>
        <v>5.3758205871195661E-2</v>
      </c>
      <c r="AG67" s="130">
        <f t="shared" si="8"/>
        <v>5.3758205871195661E-2</v>
      </c>
      <c r="AH67" s="130">
        <f t="shared" si="8"/>
        <v>5.3758205871195661E-2</v>
      </c>
      <c r="AI67" s="130">
        <f t="shared" si="8"/>
        <v>5.3758205871195661E-2</v>
      </c>
      <c r="AJ67" s="130">
        <f t="shared" si="8"/>
        <v>5.3758205871195661E-2</v>
      </c>
      <c r="AK67" s="130">
        <f t="shared" si="8"/>
        <v>5.3758205871195661E-2</v>
      </c>
      <c r="AL67" s="130">
        <f t="shared" si="8"/>
        <v>5.3758205871195661E-2</v>
      </c>
      <c r="AM67" s="130">
        <f t="shared" si="8"/>
        <v>5.3758205871195661E-2</v>
      </c>
      <c r="AN67" s="130">
        <f t="shared" si="8"/>
        <v>5.3758205871195661E-2</v>
      </c>
      <c r="AO67" s="130">
        <f t="shared" si="8"/>
        <v>5.3758205871195661E-2</v>
      </c>
      <c r="AP67" s="130">
        <f t="shared" si="8"/>
        <v>5.3758205871195661E-2</v>
      </c>
      <c r="AQ67" s="130">
        <f t="shared" si="8"/>
        <v>5.3758205871195661E-2</v>
      </c>
    </row>
    <row r="68" spans="7:44" ht="14.25" customHeight="1" x14ac:dyDescent="0.2">
      <c r="G68" s="22"/>
      <c r="H68" s="256"/>
      <c r="J68" s="267"/>
      <c r="K68" s="129" t="s">
        <v>240</v>
      </c>
      <c r="L68" s="129" t="s">
        <v>219</v>
      </c>
      <c r="M68" s="206">
        <f t="shared" ref="M68:AQ68" si="9">(1+M65)/(1+M$47) - 1</f>
        <v>3.0646058888777139E-2</v>
      </c>
      <c r="N68" s="206">
        <f t="shared" si="9"/>
        <v>3.0646058888777139E-2</v>
      </c>
      <c r="O68" s="206">
        <f t="shared" si="9"/>
        <v>3.0646058888777139E-2</v>
      </c>
      <c r="P68" s="206">
        <f t="shared" si="9"/>
        <v>3.0646058888777139E-2</v>
      </c>
      <c r="Q68" s="206">
        <f t="shared" si="9"/>
        <v>2.8992367675937158E-2</v>
      </c>
      <c r="R68" s="206">
        <f t="shared" si="9"/>
        <v>2.8992367675937158E-2</v>
      </c>
      <c r="S68" s="206">
        <f t="shared" si="9"/>
        <v>2.3369466619557855E-2</v>
      </c>
      <c r="T68" s="206">
        <f t="shared" si="9"/>
        <v>2.4557215854996262E-2</v>
      </c>
      <c r="U68" s="206">
        <f t="shared" si="9"/>
        <v>2.5734352199516142E-2</v>
      </c>
      <c r="V68" s="206">
        <f t="shared" si="9"/>
        <v>2.6900875653117495E-2</v>
      </c>
      <c r="W68" s="206">
        <f t="shared" si="9"/>
        <v>2.8056786215800766E-2</v>
      </c>
      <c r="X68" s="206">
        <f t="shared" si="9"/>
        <v>2.8056786215800766E-2</v>
      </c>
      <c r="Y68" s="206">
        <f t="shared" si="9"/>
        <v>2.8056786215800766E-2</v>
      </c>
      <c r="Z68" s="206">
        <f t="shared" si="9"/>
        <v>2.8056786215800766E-2</v>
      </c>
      <c r="AA68" s="206">
        <f t="shared" si="9"/>
        <v>2.8056786215800766E-2</v>
      </c>
      <c r="AB68" s="206">
        <f t="shared" si="9"/>
        <v>2.8056786215800766E-2</v>
      </c>
      <c r="AC68" s="206">
        <f t="shared" si="9"/>
        <v>2.8056786215800766E-2</v>
      </c>
      <c r="AD68" s="206">
        <f t="shared" si="9"/>
        <v>2.8056786215800766E-2</v>
      </c>
      <c r="AE68" s="206">
        <f t="shared" si="9"/>
        <v>2.8056786215800766E-2</v>
      </c>
      <c r="AF68" s="206">
        <f t="shared" si="9"/>
        <v>2.8056786215800766E-2</v>
      </c>
      <c r="AG68" s="206">
        <f t="shared" si="9"/>
        <v>2.8056786215800766E-2</v>
      </c>
      <c r="AH68" s="206">
        <f t="shared" si="9"/>
        <v>2.8056786215800766E-2</v>
      </c>
      <c r="AI68" s="206">
        <f t="shared" si="9"/>
        <v>2.8056786215800766E-2</v>
      </c>
      <c r="AJ68" s="206">
        <f t="shared" si="9"/>
        <v>2.8056786215800766E-2</v>
      </c>
      <c r="AK68" s="206">
        <f t="shared" si="9"/>
        <v>2.8056786215800766E-2</v>
      </c>
      <c r="AL68" s="206">
        <f t="shared" si="9"/>
        <v>2.8056786215800766E-2</v>
      </c>
      <c r="AM68" s="206">
        <f t="shared" si="9"/>
        <v>2.8056786215800766E-2</v>
      </c>
      <c r="AN68" s="206">
        <f t="shared" si="9"/>
        <v>2.8056786215800766E-2</v>
      </c>
      <c r="AO68" s="206">
        <f t="shared" si="9"/>
        <v>2.8056786215800766E-2</v>
      </c>
      <c r="AP68" s="206">
        <f t="shared" si="9"/>
        <v>2.8056786215800766E-2</v>
      </c>
      <c r="AQ68" s="206">
        <f t="shared" si="9"/>
        <v>2.8056786215800766E-2</v>
      </c>
    </row>
    <row r="69" spans="7:44" ht="14.25" customHeight="1" x14ac:dyDescent="0.2">
      <c r="G69" s="22"/>
      <c r="H69" s="256"/>
      <c r="J69" s="267"/>
      <c r="K69" s="129" t="s">
        <v>240</v>
      </c>
      <c r="L69" s="129" t="s">
        <v>218</v>
      </c>
      <c r="M69" s="206">
        <f t="shared" ref="M69:AQ69" si="10">(1+M66)/(1+M$47) - 1</f>
        <v>3.0646058888777139E-2</v>
      </c>
      <c r="N69" s="206">
        <f t="shared" si="10"/>
        <v>3.0646058888777139E-2</v>
      </c>
      <c r="O69" s="206">
        <f t="shared" si="10"/>
        <v>3.0646058888777139E-2</v>
      </c>
      <c r="P69" s="206">
        <f t="shared" si="10"/>
        <v>3.0646058888777139E-2</v>
      </c>
      <c r="Q69" s="206">
        <f t="shared" si="10"/>
        <v>2.8992367675937158E-2</v>
      </c>
      <c r="R69" s="206">
        <f t="shared" si="10"/>
        <v>2.8992367675937158E-2</v>
      </c>
      <c r="S69" s="206">
        <f t="shared" si="10"/>
        <v>2.3369466619557855E-2</v>
      </c>
      <c r="T69" s="206">
        <f t="shared" si="10"/>
        <v>2.4557215854996262E-2</v>
      </c>
      <c r="U69" s="206">
        <f t="shared" si="10"/>
        <v>2.5734352199516142E-2</v>
      </c>
      <c r="V69" s="206">
        <f t="shared" si="10"/>
        <v>2.6900875653117495E-2</v>
      </c>
      <c r="W69" s="206">
        <f t="shared" si="10"/>
        <v>2.8056786215800766E-2</v>
      </c>
      <c r="X69" s="206">
        <f t="shared" si="10"/>
        <v>2.8056786215800766E-2</v>
      </c>
      <c r="Y69" s="206">
        <f t="shared" si="10"/>
        <v>2.8056786215800766E-2</v>
      </c>
      <c r="Z69" s="206">
        <f t="shared" si="10"/>
        <v>2.8056786215800766E-2</v>
      </c>
      <c r="AA69" s="206">
        <f t="shared" si="10"/>
        <v>2.8056786215800766E-2</v>
      </c>
      <c r="AB69" s="206">
        <f t="shared" si="10"/>
        <v>2.8056786215800766E-2</v>
      </c>
      <c r="AC69" s="206">
        <f t="shared" si="10"/>
        <v>2.8056786215800766E-2</v>
      </c>
      <c r="AD69" s="206">
        <f t="shared" si="10"/>
        <v>2.8056786215800766E-2</v>
      </c>
      <c r="AE69" s="206">
        <f t="shared" si="10"/>
        <v>2.8056786215800766E-2</v>
      </c>
      <c r="AF69" s="206">
        <f t="shared" si="10"/>
        <v>2.8056786215800766E-2</v>
      </c>
      <c r="AG69" s="206">
        <f t="shared" si="10"/>
        <v>2.8056786215800766E-2</v>
      </c>
      <c r="AH69" s="206">
        <f t="shared" si="10"/>
        <v>2.8056786215800766E-2</v>
      </c>
      <c r="AI69" s="206">
        <f t="shared" si="10"/>
        <v>2.8056786215800766E-2</v>
      </c>
      <c r="AJ69" s="206">
        <f t="shared" si="10"/>
        <v>2.8056786215800766E-2</v>
      </c>
      <c r="AK69" s="206">
        <f t="shared" si="10"/>
        <v>2.8056786215800766E-2</v>
      </c>
      <c r="AL69" s="206">
        <f t="shared" si="10"/>
        <v>2.8056786215800766E-2</v>
      </c>
      <c r="AM69" s="206">
        <f t="shared" si="10"/>
        <v>2.8056786215800766E-2</v>
      </c>
      <c r="AN69" s="206">
        <f t="shared" si="10"/>
        <v>2.8056786215800766E-2</v>
      </c>
      <c r="AO69" s="206">
        <f t="shared" si="10"/>
        <v>2.8056786215800766E-2</v>
      </c>
      <c r="AP69" s="206">
        <f t="shared" si="10"/>
        <v>2.8056786215800766E-2</v>
      </c>
      <c r="AQ69" s="206">
        <f t="shared" si="10"/>
        <v>2.8056786215800766E-2</v>
      </c>
    </row>
    <row r="70" spans="7:44" ht="14.25" customHeight="1" x14ac:dyDescent="0.2">
      <c r="G70" s="22"/>
      <c r="H70" s="256"/>
      <c r="J70" s="267"/>
      <c r="K70" s="129" t="s">
        <v>240</v>
      </c>
      <c r="L70" s="129" t="s">
        <v>214</v>
      </c>
      <c r="M70" s="206">
        <f t="shared" ref="M70:AQ70" si="11">(1+M67)/(1+M$47) - 1</f>
        <v>3.0646058888777139E-2</v>
      </c>
      <c r="N70" s="206">
        <f t="shared" si="11"/>
        <v>3.0646058888777139E-2</v>
      </c>
      <c r="O70" s="206">
        <f t="shared" si="11"/>
        <v>3.0646058888777139E-2</v>
      </c>
      <c r="P70" s="206">
        <f t="shared" si="11"/>
        <v>3.0646058888777139E-2</v>
      </c>
      <c r="Q70" s="206">
        <f t="shared" si="11"/>
        <v>2.8992367675937158E-2</v>
      </c>
      <c r="R70" s="206">
        <f t="shared" si="11"/>
        <v>2.8992367675937158E-2</v>
      </c>
      <c r="S70" s="206">
        <f t="shared" si="11"/>
        <v>2.3369466619557855E-2</v>
      </c>
      <c r="T70" s="206">
        <f t="shared" si="11"/>
        <v>2.4557215854996262E-2</v>
      </c>
      <c r="U70" s="206">
        <f t="shared" si="11"/>
        <v>2.5734352199516142E-2</v>
      </c>
      <c r="V70" s="206">
        <f t="shared" si="11"/>
        <v>2.6900875653117495E-2</v>
      </c>
      <c r="W70" s="206">
        <f t="shared" si="11"/>
        <v>2.8056786215800766E-2</v>
      </c>
      <c r="X70" s="206">
        <f t="shared" si="11"/>
        <v>2.8056786215800766E-2</v>
      </c>
      <c r="Y70" s="206">
        <f t="shared" si="11"/>
        <v>2.8056786215800766E-2</v>
      </c>
      <c r="Z70" s="206">
        <f t="shared" si="11"/>
        <v>2.8056786215800766E-2</v>
      </c>
      <c r="AA70" s="206">
        <f t="shared" si="11"/>
        <v>2.8056786215800766E-2</v>
      </c>
      <c r="AB70" s="206">
        <f t="shared" si="11"/>
        <v>2.8056786215800766E-2</v>
      </c>
      <c r="AC70" s="206">
        <f t="shared" si="11"/>
        <v>2.8056786215800766E-2</v>
      </c>
      <c r="AD70" s="206">
        <f t="shared" si="11"/>
        <v>2.8056786215800766E-2</v>
      </c>
      <c r="AE70" s="206">
        <f t="shared" si="11"/>
        <v>2.8056786215800766E-2</v>
      </c>
      <c r="AF70" s="206">
        <f t="shared" si="11"/>
        <v>2.8056786215800766E-2</v>
      </c>
      <c r="AG70" s="206">
        <f t="shared" si="11"/>
        <v>2.8056786215800766E-2</v>
      </c>
      <c r="AH70" s="206">
        <f t="shared" si="11"/>
        <v>2.8056786215800766E-2</v>
      </c>
      <c r="AI70" s="206">
        <f t="shared" si="11"/>
        <v>2.8056786215800766E-2</v>
      </c>
      <c r="AJ70" s="206">
        <f t="shared" si="11"/>
        <v>2.8056786215800766E-2</v>
      </c>
      <c r="AK70" s="206">
        <f t="shared" si="11"/>
        <v>2.8056786215800766E-2</v>
      </c>
      <c r="AL70" s="206">
        <f t="shared" si="11"/>
        <v>2.8056786215800766E-2</v>
      </c>
      <c r="AM70" s="206">
        <f t="shared" si="11"/>
        <v>2.8056786215800766E-2</v>
      </c>
      <c r="AN70" s="206">
        <f t="shared" si="11"/>
        <v>2.8056786215800766E-2</v>
      </c>
      <c r="AO70" s="206">
        <f t="shared" si="11"/>
        <v>2.8056786215800766E-2</v>
      </c>
      <c r="AP70" s="206">
        <f t="shared" si="11"/>
        <v>2.8056786215800766E-2</v>
      </c>
      <c r="AQ70" s="206">
        <f t="shared" si="11"/>
        <v>2.8056786215800766E-2</v>
      </c>
    </row>
    <row r="71" spans="7:44" ht="14.25" customHeight="1" x14ac:dyDescent="0.15">
      <c r="G71" s="22"/>
      <c r="H71" s="256"/>
      <c r="J71" s="267"/>
      <c r="K71" s="131" t="s">
        <v>239</v>
      </c>
      <c r="L71" s="129" t="s">
        <v>219</v>
      </c>
      <c r="M71" s="130">
        <f t="shared" ref="M71:AQ71" si="12" xml:space="preserve"> M65 / (1 - (1 / (1 + M65)^$O$33))</f>
        <v>6.988208237786396E-2</v>
      </c>
      <c r="N71" s="130">
        <f t="shared" si="12"/>
        <v>6.988208237786396E-2</v>
      </c>
      <c r="O71" s="130">
        <f t="shared" si="12"/>
        <v>6.988208237786396E-2</v>
      </c>
      <c r="P71" s="130">
        <f t="shared" si="12"/>
        <v>6.988208237786396E-2</v>
      </c>
      <c r="Q71" s="130">
        <f t="shared" si="12"/>
        <v>6.8590616145038058E-2</v>
      </c>
      <c r="R71" s="130">
        <f t="shared" si="12"/>
        <v>6.8590616145038058E-2</v>
      </c>
      <c r="S71" s="130">
        <f t="shared" si="12"/>
        <v>6.4277637984774427E-2</v>
      </c>
      <c r="T71" s="130">
        <f t="shared" si="12"/>
        <v>6.5178400755293353E-2</v>
      </c>
      <c r="U71" s="130">
        <f t="shared" si="12"/>
        <v>6.6076608843888829E-2</v>
      </c>
      <c r="V71" s="130">
        <f t="shared" si="12"/>
        <v>6.6972052377704594E-2</v>
      </c>
      <c r="W71" s="130">
        <f t="shared" si="12"/>
        <v>6.7864525857757291E-2</v>
      </c>
      <c r="X71" s="130">
        <f t="shared" si="12"/>
        <v>6.7864525857757291E-2</v>
      </c>
      <c r="Y71" s="130">
        <f t="shared" si="12"/>
        <v>6.7864525857757291E-2</v>
      </c>
      <c r="Z71" s="130">
        <f t="shared" si="12"/>
        <v>6.7864525857757291E-2</v>
      </c>
      <c r="AA71" s="130">
        <f t="shared" si="12"/>
        <v>6.7864525857757291E-2</v>
      </c>
      <c r="AB71" s="130">
        <f t="shared" si="12"/>
        <v>6.7864525857757291E-2</v>
      </c>
      <c r="AC71" s="130">
        <f t="shared" si="12"/>
        <v>6.7864525857757291E-2</v>
      </c>
      <c r="AD71" s="130">
        <f t="shared" si="12"/>
        <v>6.7864525857757291E-2</v>
      </c>
      <c r="AE71" s="130">
        <f t="shared" si="12"/>
        <v>6.7864525857757291E-2</v>
      </c>
      <c r="AF71" s="130">
        <f t="shared" si="12"/>
        <v>6.7864525857757291E-2</v>
      </c>
      <c r="AG71" s="130">
        <f t="shared" si="12"/>
        <v>6.7864525857757291E-2</v>
      </c>
      <c r="AH71" s="130">
        <f t="shared" si="12"/>
        <v>6.7864525857757291E-2</v>
      </c>
      <c r="AI71" s="130">
        <f t="shared" si="12"/>
        <v>6.7864525857757291E-2</v>
      </c>
      <c r="AJ71" s="130">
        <f t="shared" si="12"/>
        <v>6.7864525857757291E-2</v>
      </c>
      <c r="AK71" s="130">
        <f t="shared" si="12"/>
        <v>6.7864525857757291E-2</v>
      </c>
      <c r="AL71" s="130">
        <f t="shared" si="12"/>
        <v>6.7864525857757291E-2</v>
      </c>
      <c r="AM71" s="130">
        <f t="shared" si="12"/>
        <v>6.7864525857757291E-2</v>
      </c>
      <c r="AN71" s="130">
        <f t="shared" si="12"/>
        <v>6.7864525857757291E-2</v>
      </c>
      <c r="AO71" s="130">
        <f t="shared" si="12"/>
        <v>6.7864525857757291E-2</v>
      </c>
      <c r="AP71" s="130">
        <f t="shared" si="12"/>
        <v>6.7864525857757291E-2</v>
      </c>
      <c r="AQ71" s="130">
        <f t="shared" si="12"/>
        <v>6.7864525857757291E-2</v>
      </c>
    </row>
    <row r="72" spans="7:44" ht="14.25" customHeight="1" x14ac:dyDescent="0.15">
      <c r="G72" s="22"/>
      <c r="H72" s="256"/>
      <c r="J72" s="267"/>
      <c r="K72" s="131" t="s">
        <v>239</v>
      </c>
      <c r="L72" s="129" t="s">
        <v>218</v>
      </c>
      <c r="M72" s="130">
        <f t="shared" ref="M72:AQ72" si="13" xml:space="preserve"> M66 / (1 - (1 / (1 + M66)^$O$33))</f>
        <v>6.988208237786396E-2</v>
      </c>
      <c r="N72" s="130">
        <f t="shared" si="13"/>
        <v>6.988208237786396E-2</v>
      </c>
      <c r="O72" s="130">
        <f t="shared" si="13"/>
        <v>6.988208237786396E-2</v>
      </c>
      <c r="P72" s="130">
        <f t="shared" si="13"/>
        <v>6.988208237786396E-2</v>
      </c>
      <c r="Q72" s="130">
        <f t="shared" si="13"/>
        <v>6.8590616145038058E-2</v>
      </c>
      <c r="R72" s="130">
        <f t="shared" si="13"/>
        <v>6.8590616145038058E-2</v>
      </c>
      <c r="S72" s="130">
        <f t="shared" si="13"/>
        <v>6.4277637984774427E-2</v>
      </c>
      <c r="T72" s="130">
        <f t="shared" si="13"/>
        <v>6.5178400755293353E-2</v>
      </c>
      <c r="U72" s="130">
        <f t="shared" si="13"/>
        <v>6.6076608843888829E-2</v>
      </c>
      <c r="V72" s="130">
        <f t="shared" si="13"/>
        <v>6.6972052377704594E-2</v>
      </c>
      <c r="W72" s="130">
        <f t="shared" si="13"/>
        <v>6.7864525857757291E-2</v>
      </c>
      <c r="X72" s="130">
        <f t="shared" si="13"/>
        <v>6.7864525857757291E-2</v>
      </c>
      <c r="Y72" s="130">
        <f t="shared" si="13"/>
        <v>6.7864525857757291E-2</v>
      </c>
      <c r="Z72" s="130">
        <f t="shared" si="13"/>
        <v>6.7864525857757291E-2</v>
      </c>
      <c r="AA72" s="130">
        <f t="shared" si="13"/>
        <v>6.7864525857757291E-2</v>
      </c>
      <c r="AB72" s="130">
        <f t="shared" si="13"/>
        <v>6.7864525857757291E-2</v>
      </c>
      <c r="AC72" s="130">
        <f t="shared" si="13"/>
        <v>6.7864525857757291E-2</v>
      </c>
      <c r="AD72" s="130">
        <f t="shared" si="13"/>
        <v>6.7864525857757291E-2</v>
      </c>
      <c r="AE72" s="130">
        <f t="shared" si="13"/>
        <v>6.7864525857757291E-2</v>
      </c>
      <c r="AF72" s="130">
        <f t="shared" si="13"/>
        <v>6.7864525857757291E-2</v>
      </c>
      <c r="AG72" s="130">
        <f t="shared" si="13"/>
        <v>6.7864525857757291E-2</v>
      </c>
      <c r="AH72" s="130">
        <f t="shared" si="13"/>
        <v>6.7864525857757291E-2</v>
      </c>
      <c r="AI72" s="130">
        <f t="shared" si="13"/>
        <v>6.7864525857757291E-2</v>
      </c>
      <c r="AJ72" s="130">
        <f t="shared" si="13"/>
        <v>6.7864525857757291E-2</v>
      </c>
      <c r="AK72" s="130">
        <f t="shared" si="13"/>
        <v>6.7864525857757291E-2</v>
      </c>
      <c r="AL72" s="130">
        <f t="shared" si="13"/>
        <v>6.7864525857757291E-2</v>
      </c>
      <c r="AM72" s="130">
        <f t="shared" si="13"/>
        <v>6.7864525857757291E-2</v>
      </c>
      <c r="AN72" s="130">
        <f t="shared" si="13"/>
        <v>6.7864525857757291E-2</v>
      </c>
      <c r="AO72" s="130">
        <f t="shared" si="13"/>
        <v>6.7864525857757291E-2</v>
      </c>
      <c r="AP72" s="130">
        <f t="shared" si="13"/>
        <v>6.7864525857757291E-2</v>
      </c>
      <c r="AQ72" s="130">
        <f t="shared" si="13"/>
        <v>6.7864525857757291E-2</v>
      </c>
    </row>
    <row r="73" spans="7:44" ht="14.25" customHeight="1" x14ac:dyDescent="0.15">
      <c r="G73" s="22"/>
      <c r="H73" s="256"/>
      <c r="J73" s="267"/>
      <c r="K73" s="131" t="s">
        <v>239</v>
      </c>
      <c r="L73" s="129" t="s">
        <v>214</v>
      </c>
      <c r="M73" s="130">
        <f t="shared" ref="M73:AQ73" si="14" xml:space="preserve"> M67 / (1 - (1 / (1 + M67)^$O$33))</f>
        <v>6.988208237786396E-2</v>
      </c>
      <c r="N73" s="130">
        <f t="shared" si="14"/>
        <v>6.988208237786396E-2</v>
      </c>
      <c r="O73" s="130">
        <f t="shared" si="14"/>
        <v>6.988208237786396E-2</v>
      </c>
      <c r="P73" s="130">
        <f t="shared" si="14"/>
        <v>6.988208237786396E-2</v>
      </c>
      <c r="Q73" s="130">
        <f t="shared" si="14"/>
        <v>6.8590616145038058E-2</v>
      </c>
      <c r="R73" s="130">
        <f t="shared" si="14"/>
        <v>6.8590616145038058E-2</v>
      </c>
      <c r="S73" s="130">
        <f t="shared" si="14"/>
        <v>6.4277637984774427E-2</v>
      </c>
      <c r="T73" s="130">
        <f t="shared" si="14"/>
        <v>6.5178400755293353E-2</v>
      </c>
      <c r="U73" s="130">
        <f t="shared" si="14"/>
        <v>6.6076608843888829E-2</v>
      </c>
      <c r="V73" s="130">
        <f t="shared" si="14"/>
        <v>6.6972052377704594E-2</v>
      </c>
      <c r="W73" s="130">
        <f t="shared" si="14"/>
        <v>6.7864525857757291E-2</v>
      </c>
      <c r="X73" s="130">
        <f t="shared" si="14"/>
        <v>6.7864525857757291E-2</v>
      </c>
      <c r="Y73" s="130">
        <f t="shared" si="14"/>
        <v>6.7864525857757291E-2</v>
      </c>
      <c r="Z73" s="130">
        <f t="shared" si="14"/>
        <v>6.7864525857757291E-2</v>
      </c>
      <c r="AA73" s="130">
        <f t="shared" si="14"/>
        <v>6.7864525857757291E-2</v>
      </c>
      <c r="AB73" s="130">
        <f t="shared" si="14"/>
        <v>6.7864525857757291E-2</v>
      </c>
      <c r="AC73" s="130">
        <f t="shared" si="14"/>
        <v>6.7864525857757291E-2</v>
      </c>
      <c r="AD73" s="130">
        <f t="shared" si="14"/>
        <v>6.7864525857757291E-2</v>
      </c>
      <c r="AE73" s="130">
        <f t="shared" si="14"/>
        <v>6.7864525857757291E-2</v>
      </c>
      <c r="AF73" s="130">
        <f t="shared" si="14"/>
        <v>6.7864525857757291E-2</v>
      </c>
      <c r="AG73" s="130">
        <f t="shared" si="14"/>
        <v>6.7864525857757291E-2</v>
      </c>
      <c r="AH73" s="130">
        <f t="shared" si="14"/>
        <v>6.7864525857757291E-2</v>
      </c>
      <c r="AI73" s="130">
        <f t="shared" si="14"/>
        <v>6.7864525857757291E-2</v>
      </c>
      <c r="AJ73" s="130">
        <f t="shared" si="14"/>
        <v>6.7864525857757291E-2</v>
      </c>
      <c r="AK73" s="130">
        <f t="shared" si="14"/>
        <v>6.7864525857757291E-2</v>
      </c>
      <c r="AL73" s="130">
        <f t="shared" si="14"/>
        <v>6.7864525857757291E-2</v>
      </c>
      <c r="AM73" s="130">
        <f t="shared" si="14"/>
        <v>6.7864525857757291E-2</v>
      </c>
      <c r="AN73" s="130">
        <f t="shared" si="14"/>
        <v>6.7864525857757291E-2</v>
      </c>
      <c r="AO73" s="130">
        <f t="shared" si="14"/>
        <v>6.7864525857757291E-2</v>
      </c>
      <c r="AP73" s="130">
        <f t="shared" si="14"/>
        <v>6.7864525857757291E-2</v>
      </c>
      <c r="AQ73" s="130">
        <f t="shared" si="14"/>
        <v>6.7864525857757291E-2</v>
      </c>
    </row>
    <row r="74" spans="7:44" ht="14.25" customHeight="1" x14ac:dyDescent="0.15">
      <c r="G74" s="22"/>
      <c r="H74" s="256"/>
      <c r="J74" s="267"/>
      <c r="K74" s="131" t="s">
        <v>238</v>
      </c>
      <c r="L74" s="129" t="s">
        <v>219</v>
      </c>
      <c r="M74" s="130">
        <f t="shared" ref="M74:AQ74" si="15" xml:space="preserve"> M68 / (1 - (1 / (1 + M68)^$O$33))</f>
        <v>5.1446249343623393E-2</v>
      </c>
      <c r="N74" s="130">
        <f t="shared" si="15"/>
        <v>5.1446249343623393E-2</v>
      </c>
      <c r="O74" s="130">
        <f t="shared" si="15"/>
        <v>5.1446249343623393E-2</v>
      </c>
      <c r="P74" s="130">
        <f t="shared" si="15"/>
        <v>5.1446249343623393E-2</v>
      </c>
      <c r="Q74" s="130">
        <f t="shared" si="15"/>
        <v>5.035698473491778E-2</v>
      </c>
      <c r="R74" s="130">
        <f t="shared" si="15"/>
        <v>5.035698473491778E-2</v>
      </c>
      <c r="S74" s="130">
        <f t="shared" si="15"/>
        <v>4.6744997829469871E-2</v>
      </c>
      <c r="T74" s="130">
        <f t="shared" si="15"/>
        <v>4.749601536847315E-2</v>
      </c>
      <c r="U74" s="130">
        <f t="shared" si="15"/>
        <v>4.8246681626699379E-2</v>
      </c>
      <c r="V74" s="130">
        <f t="shared" si="15"/>
        <v>4.8996783053879903E-2</v>
      </c>
      <c r="W74" s="130">
        <f t="shared" si="15"/>
        <v>4.974610888936682E-2</v>
      </c>
      <c r="X74" s="130">
        <f t="shared" si="15"/>
        <v>4.974610888936682E-2</v>
      </c>
      <c r="Y74" s="130">
        <f t="shared" si="15"/>
        <v>4.974610888936682E-2</v>
      </c>
      <c r="Z74" s="130">
        <f t="shared" si="15"/>
        <v>4.974610888936682E-2</v>
      </c>
      <c r="AA74" s="130">
        <f t="shared" si="15"/>
        <v>4.974610888936682E-2</v>
      </c>
      <c r="AB74" s="130">
        <f t="shared" si="15"/>
        <v>4.974610888936682E-2</v>
      </c>
      <c r="AC74" s="130">
        <f t="shared" si="15"/>
        <v>4.974610888936682E-2</v>
      </c>
      <c r="AD74" s="130">
        <f t="shared" si="15"/>
        <v>4.974610888936682E-2</v>
      </c>
      <c r="AE74" s="130">
        <f t="shared" si="15"/>
        <v>4.974610888936682E-2</v>
      </c>
      <c r="AF74" s="130">
        <f t="shared" si="15"/>
        <v>4.974610888936682E-2</v>
      </c>
      <c r="AG74" s="130">
        <f t="shared" si="15"/>
        <v>4.974610888936682E-2</v>
      </c>
      <c r="AH74" s="130">
        <f t="shared" si="15"/>
        <v>4.974610888936682E-2</v>
      </c>
      <c r="AI74" s="130">
        <f t="shared" si="15"/>
        <v>4.974610888936682E-2</v>
      </c>
      <c r="AJ74" s="130">
        <f t="shared" si="15"/>
        <v>4.974610888936682E-2</v>
      </c>
      <c r="AK74" s="130">
        <f t="shared" si="15"/>
        <v>4.974610888936682E-2</v>
      </c>
      <c r="AL74" s="130">
        <f t="shared" si="15"/>
        <v>4.974610888936682E-2</v>
      </c>
      <c r="AM74" s="130">
        <f t="shared" si="15"/>
        <v>4.974610888936682E-2</v>
      </c>
      <c r="AN74" s="130">
        <f t="shared" si="15"/>
        <v>4.974610888936682E-2</v>
      </c>
      <c r="AO74" s="130">
        <f t="shared" si="15"/>
        <v>4.974610888936682E-2</v>
      </c>
      <c r="AP74" s="130">
        <f t="shared" si="15"/>
        <v>4.974610888936682E-2</v>
      </c>
      <c r="AQ74" s="130">
        <f t="shared" si="15"/>
        <v>4.974610888936682E-2</v>
      </c>
    </row>
    <row r="75" spans="7:44" ht="14.25" customHeight="1" x14ac:dyDescent="0.15">
      <c r="G75" s="22"/>
      <c r="H75" s="256"/>
      <c r="J75" s="132"/>
      <c r="K75" s="131" t="s">
        <v>238</v>
      </c>
      <c r="L75" s="129" t="s">
        <v>218</v>
      </c>
      <c r="M75" s="130">
        <f t="shared" ref="M75:AQ75" si="16" xml:space="preserve"> M69 / (1 - (1 / (1 + M69)^$O$33))</f>
        <v>5.1446249343623393E-2</v>
      </c>
      <c r="N75" s="130">
        <f t="shared" si="16"/>
        <v>5.1446249343623393E-2</v>
      </c>
      <c r="O75" s="130">
        <f t="shared" si="16"/>
        <v>5.1446249343623393E-2</v>
      </c>
      <c r="P75" s="130">
        <f t="shared" si="16"/>
        <v>5.1446249343623393E-2</v>
      </c>
      <c r="Q75" s="130">
        <f t="shared" si="16"/>
        <v>5.035698473491778E-2</v>
      </c>
      <c r="R75" s="130">
        <f t="shared" si="16"/>
        <v>5.035698473491778E-2</v>
      </c>
      <c r="S75" s="130">
        <f t="shared" si="16"/>
        <v>4.6744997829469871E-2</v>
      </c>
      <c r="T75" s="130">
        <f t="shared" si="16"/>
        <v>4.749601536847315E-2</v>
      </c>
      <c r="U75" s="130">
        <f t="shared" si="16"/>
        <v>4.8246681626699379E-2</v>
      </c>
      <c r="V75" s="130">
        <f t="shared" si="16"/>
        <v>4.8996783053879903E-2</v>
      </c>
      <c r="W75" s="130">
        <f t="shared" si="16"/>
        <v>4.974610888936682E-2</v>
      </c>
      <c r="X75" s="130">
        <f t="shared" si="16"/>
        <v>4.974610888936682E-2</v>
      </c>
      <c r="Y75" s="130">
        <f t="shared" si="16"/>
        <v>4.974610888936682E-2</v>
      </c>
      <c r="Z75" s="130">
        <f t="shared" si="16"/>
        <v>4.974610888936682E-2</v>
      </c>
      <c r="AA75" s="130">
        <f t="shared" si="16"/>
        <v>4.974610888936682E-2</v>
      </c>
      <c r="AB75" s="130">
        <f t="shared" si="16"/>
        <v>4.974610888936682E-2</v>
      </c>
      <c r="AC75" s="130">
        <f t="shared" si="16"/>
        <v>4.974610888936682E-2</v>
      </c>
      <c r="AD75" s="130">
        <f t="shared" si="16"/>
        <v>4.974610888936682E-2</v>
      </c>
      <c r="AE75" s="130">
        <f t="shared" si="16"/>
        <v>4.974610888936682E-2</v>
      </c>
      <c r="AF75" s="130">
        <f t="shared" si="16"/>
        <v>4.974610888936682E-2</v>
      </c>
      <c r="AG75" s="130">
        <f t="shared" si="16"/>
        <v>4.974610888936682E-2</v>
      </c>
      <c r="AH75" s="130">
        <f t="shared" si="16"/>
        <v>4.974610888936682E-2</v>
      </c>
      <c r="AI75" s="130">
        <f t="shared" si="16"/>
        <v>4.974610888936682E-2</v>
      </c>
      <c r="AJ75" s="130">
        <f t="shared" si="16"/>
        <v>4.974610888936682E-2</v>
      </c>
      <c r="AK75" s="130">
        <f t="shared" si="16"/>
        <v>4.974610888936682E-2</v>
      </c>
      <c r="AL75" s="130">
        <f t="shared" si="16"/>
        <v>4.974610888936682E-2</v>
      </c>
      <c r="AM75" s="130">
        <f t="shared" si="16"/>
        <v>4.974610888936682E-2</v>
      </c>
      <c r="AN75" s="130">
        <f t="shared" si="16"/>
        <v>4.974610888936682E-2</v>
      </c>
      <c r="AO75" s="130">
        <f t="shared" si="16"/>
        <v>4.974610888936682E-2</v>
      </c>
      <c r="AP75" s="130">
        <f t="shared" si="16"/>
        <v>4.974610888936682E-2</v>
      </c>
      <c r="AQ75" s="130">
        <f t="shared" si="16"/>
        <v>4.974610888936682E-2</v>
      </c>
    </row>
    <row r="76" spans="7:44" ht="14.25" customHeight="1" x14ac:dyDescent="0.15">
      <c r="G76" s="22"/>
      <c r="H76" s="256"/>
      <c r="J76" s="132"/>
      <c r="K76" s="131" t="s">
        <v>238</v>
      </c>
      <c r="L76" s="129" t="s">
        <v>214</v>
      </c>
      <c r="M76" s="130">
        <f t="shared" ref="M76:AQ76" si="17" xml:space="preserve"> M70 / (1 - (1 / (1 + M70)^$O$33))</f>
        <v>5.1446249343623393E-2</v>
      </c>
      <c r="N76" s="130">
        <f t="shared" si="17"/>
        <v>5.1446249343623393E-2</v>
      </c>
      <c r="O76" s="130">
        <f t="shared" si="17"/>
        <v>5.1446249343623393E-2</v>
      </c>
      <c r="P76" s="130">
        <f t="shared" si="17"/>
        <v>5.1446249343623393E-2</v>
      </c>
      <c r="Q76" s="130">
        <f t="shared" si="17"/>
        <v>5.035698473491778E-2</v>
      </c>
      <c r="R76" s="130">
        <f t="shared" si="17"/>
        <v>5.035698473491778E-2</v>
      </c>
      <c r="S76" s="130">
        <f t="shared" si="17"/>
        <v>4.6744997829469871E-2</v>
      </c>
      <c r="T76" s="130">
        <f t="shared" si="17"/>
        <v>4.749601536847315E-2</v>
      </c>
      <c r="U76" s="130">
        <f t="shared" si="17"/>
        <v>4.8246681626699379E-2</v>
      </c>
      <c r="V76" s="130">
        <f t="shared" si="17"/>
        <v>4.8996783053879903E-2</v>
      </c>
      <c r="W76" s="130">
        <f t="shared" si="17"/>
        <v>4.974610888936682E-2</v>
      </c>
      <c r="X76" s="130">
        <f t="shared" si="17"/>
        <v>4.974610888936682E-2</v>
      </c>
      <c r="Y76" s="130">
        <f t="shared" si="17"/>
        <v>4.974610888936682E-2</v>
      </c>
      <c r="Z76" s="130">
        <f t="shared" si="17"/>
        <v>4.974610888936682E-2</v>
      </c>
      <c r="AA76" s="130">
        <f t="shared" si="17"/>
        <v>4.974610888936682E-2</v>
      </c>
      <c r="AB76" s="130">
        <f t="shared" si="17"/>
        <v>4.974610888936682E-2</v>
      </c>
      <c r="AC76" s="130">
        <f t="shared" si="17"/>
        <v>4.974610888936682E-2</v>
      </c>
      <c r="AD76" s="130">
        <f t="shared" si="17"/>
        <v>4.974610888936682E-2</v>
      </c>
      <c r="AE76" s="130">
        <f t="shared" si="17"/>
        <v>4.974610888936682E-2</v>
      </c>
      <c r="AF76" s="130">
        <f t="shared" si="17"/>
        <v>4.974610888936682E-2</v>
      </c>
      <c r="AG76" s="130">
        <f t="shared" si="17"/>
        <v>4.974610888936682E-2</v>
      </c>
      <c r="AH76" s="130">
        <f t="shared" si="17"/>
        <v>4.974610888936682E-2</v>
      </c>
      <c r="AI76" s="130">
        <f t="shared" si="17"/>
        <v>4.974610888936682E-2</v>
      </c>
      <c r="AJ76" s="130">
        <f t="shared" si="17"/>
        <v>4.974610888936682E-2</v>
      </c>
      <c r="AK76" s="130">
        <f t="shared" si="17"/>
        <v>4.974610888936682E-2</v>
      </c>
      <c r="AL76" s="130">
        <f t="shared" si="17"/>
        <v>4.974610888936682E-2</v>
      </c>
      <c r="AM76" s="130">
        <f t="shared" si="17"/>
        <v>4.974610888936682E-2</v>
      </c>
      <c r="AN76" s="130">
        <f t="shared" si="17"/>
        <v>4.974610888936682E-2</v>
      </c>
      <c r="AO76" s="130">
        <f t="shared" si="17"/>
        <v>4.974610888936682E-2</v>
      </c>
      <c r="AP76" s="130">
        <f t="shared" si="17"/>
        <v>4.974610888936682E-2</v>
      </c>
      <c r="AQ76" s="130">
        <f t="shared" si="17"/>
        <v>4.974610888936682E-2</v>
      </c>
    </row>
    <row r="77" spans="7:44" ht="14.25" customHeight="1" x14ac:dyDescent="0.15">
      <c r="G77" s="133"/>
      <c r="H77" s="134"/>
      <c r="I77" s="134"/>
      <c r="J77" s="134"/>
      <c r="K77" s="134"/>
      <c r="L77" s="134"/>
      <c r="M77" s="134"/>
      <c r="N77" s="134"/>
      <c r="O77" s="134"/>
      <c r="P77" s="134"/>
      <c r="Q77" s="134"/>
      <c r="R77" s="134"/>
      <c r="S77" s="134"/>
      <c r="T77" s="134"/>
      <c r="U77" s="135"/>
    </row>
    <row r="80" spans="7:44" ht="14.25" customHeight="1" x14ac:dyDescent="0.15">
      <c r="G80" s="136"/>
      <c r="H80" s="137"/>
      <c r="I80" s="137"/>
      <c r="J80" s="137"/>
      <c r="K80" s="137"/>
      <c r="L80" s="137"/>
      <c r="M80" s="137"/>
      <c r="N80" s="137"/>
      <c r="O80" s="137"/>
      <c r="P80" s="137"/>
      <c r="Q80" s="137"/>
      <c r="R80" s="137"/>
      <c r="S80" s="137"/>
      <c r="T80" s="137"/>
      <c r="U80" s="137"/>
      <c r="V80" s="137"/>
      <c r="W80" s="137"/>
      <c r="X80" s="137"/>
      <c r="Y80" s="137"/>
      <c r="Z80" s="137"/>
      <c r="AA80" s="137"/>
      <c r="AB80" s="137"/>
      <c r="AC80" s="137"/>
      <c r="AD80" s="137"/>
      <c r="AE80" s="137"/>
      <c r="AF80" s="137"/>
      <c r="AG80" s="137"/>
      <c r="AH80" s="137"/>
      <c r="AI80" s="137"/>
      <c r="AJ80" s="137"/>
      <c r="AK80" s="137"/>
      <c r="AL80" s="137"/>
      <c r="AM80" s="137"/>
      <c r="AN80" s="137"/>
      <c r="AO80" s="137"/>
      <c r="AP80" s="137"/>
      <c r="AQ80" s="137"/>
      <c r="AR80" s="137"/>
    </row>
    <row r="81" spans="4:44" ht="14.25" customHeight="1" x14ac:dyDescent="0.15">
      <c r="D81" s="21" t="s">
        <v>61</v>
      </c>
      <c r="G81" s="244" t="s">
        <v>129</v>
      </c>
      <c r="H81" s="244"/>
      <c r="I81" s="244"/>
      <c r="J81" s="244"/>
      <c r="K81" s="244"/>
      <c r="L81" s="244"/>
      <c r="M81" s="244"/>
      <c r="N81" s="244"/>
      <c r="O81" s="244"/>
      <c r="P81" s="244"/>
      <c r="Q81" s="244"/>
      <c r="R81" s="244"/>
      <c r="S81" s="244"/>
      <c r="T81" s="244"/>
      <c r="U81" s="244"/>
      <c r="V81" s="138"/>
      <c r="W81" s="138"/>
      <c r="X81" s="138"/>
      <c r="Y81" s="138"/>
      <c r="Z81" s="139"/>
      <c r="AA81" s="139"/>
      <c r="AB81" s="139"/>
      <c r="AC81" s="139"/>
      <c r="AD81" s="139"/>
      <c r="AE81" s="139"/>
      <c r="AF81" s="139"/>
      <c r="AG81" s="139"/>
      <c r="AH81" s="139"/>
      <c r="AI81" s="139"/>
      <c r="AJ81" s="139"/>
      <c r="AK81" s="139"/>
      <c r="AL81" s="139"/>
      <c r="AM81" s="139"/>
      <c r="AN81" s="139"/>
      <c r="AO81" s="139"/>
      <c r="AP81" s="139"/>
      <c r="AQ81" s="139"/>
      <c r="AR81" s="139"/>
    </row>
    <row r="82" spans="4:44" ht="14.25" customHeight="1" x14ac:dyDescent="0.15">
      <c r="G82" s="22"/>
      <c r="M82" s="16" t="s">
        <v>130</v>
      </c>
    </row>
    <row r="83" spans="4:44" ht="14.25" customHeight="1" x14ac:dyDescent="0.15">
      <c r="G83" s="22"/>
      <c r="M83" s="128">
        <v>2020</v>
      </c>
      <c r="N83" s="128">
        <v>2021</v>
      </c>
      <c r="O83" s="128">
        <v>2022</v>
      </c>
      <c r="P83" s="128">
        <v>2023</v>
      </c>
      <c r="Q83" s="128">
        <v>2024</v>
      </c>
      <c r="R83" s="128">
        <v>2025</v>
      </c>
      <c r="S83" s="128">
        <v>2026</v>
      </c>
      <c r="T83" s="128">
        <v>2027</v>
      </c>
      <c r="U83" s="128">
        <v>2028</v>
      </c>
      <c r="V83" s="128">
        <v>2029</v>
      </c>
      <c r="W83" s="128">
        <v>2030</v>
      </c>
      <c r="X83" s="128">
        <v>2031</v>
      </c>
      <c r="Y83" s="128">
        <v>2032</v>
      </c>
      <c r="Z83" s="128">
        <v>2033</v>
      </c>
      <c r="AA83" s="128">
        <v>2034</v>
      </c>
      <c r="AB83" s="128">
        <v>2035</v>
      </c>
      <c r="AC83" s="128">
        <v>2036</v>
      </c>
      <c r="AD83" s="128">
        <v>2037</v>
      </c>
      <c r="AE83" s="128">
        <v>2038</v>
      </c>
      <c r="AF83" s="128">
        <v>2039</v>
      </c>
      <c r="AG83" s="128">
        <v>2040</v>
      </c>
      <c r="AH83" s="128">
        <v>2041</v>
      </c>
      <c r="AI83" s="128">
        <v>2042</v>
      </c>
      <c r="AJ83" s="128">
        <v>2043</v>
      </c>
      <c r="AK83" s="128">
        <v>2044</v>
      </c>
      <c r="AL83" s="128">
        <v>2045</v>
      </c>
      <c r="AM83" s="128">
        <v>2046</v>
      </c>
      <c r="AN83" s="128">
        <v>2047</v>
      </c>
      <c r="AO83" s="128">
        <v>2048</v>
      </c>
      <c r="AP83" s="128">
        <v>2049</v>
      </c>
      <c r="AQ83" s="128">
        <v>2050</v>
      </c>
    </row>
    <row r="84" spans="4:44" ht="14.25" customHeight="1" x14ac:dyDescent="0.15">
      <c r="G84" s="22"/>
      <c r="H84" s="254" t="s">
        <v>131</v>
      </c>
      <c r="J84" s="240" t="s">
        <v>132</v>
      </c>
      <c r="K84" s="140" t="s">
        <v>237</v>
      </c>
      <c r="L84" s="140" t="s">
        <v>219</v>
      </c>
      <c r="M84" s="141">
        <v>0.12191978029569846</v>
      </c>
      <c r="N84" s="141">
        <v>0.12409451102742743</v>
      </c>
      <c r="O84" s="141">
        <v>0.12626924175915641</v>
      </c>
      <c r="P84" s="141">
        <v>0.12844397249088538</v>
      </c>
      <c r="Q84" s="141">
        <v>0.13061870322261435</v>
      </c>
      <c r="R84" s="141">
        <v>0.13279343395434332</v>
      </c>
      <c r="S84" s="141">
        <v>0.13496816468607228</v>
      </c>
      <c r="T84" s="141">
        <v>0.13714289541780125</v>
      </c>
      <c r="U84" s="141">
        <v>0.13931762614953022</v>
      </c>
      <c r="V84" s="141">
        <v>0.14149235688125919</v>
      </c>
      <c r="W84" s="141">
        <v>0.14366708761298816</v>
      </c>
      <c r="X84" s="141">
        <v>0.14397940736866857</v>
      </c>
      <c r="Y84" s="141">
        <v>0.14429172712434898</v>
      </c>
      <c r="Z84" s="141">
        <v>0.1446040468800294</v>
      </c>
      <c r="AA84" s="141">
        <v>0.14491636663570981</v>
      </c>
      <c r="AB84" s="141">
        <v>0.14522868639139022</v>
      </c>
      <c r="AC84" s="141">
        <v>0.14554100614707063</v>
      </c>
      <c r="AD84" s="141">
        <v>0.14585332590275105</v>
      </c>
      <c r="AE84" s="141">
        <v>0.14616564565843146</v>
      </c>
      <c r="AF84" s="141">
        <v>0.14647796541411187</v>
      </c>
      <c r="AG84" s="141">
        <v>0.14679028516979228</v>
      </c>
      <c r="AH84" s="141">
        <v>0.1471026049254727</v>
      </c>
      <c r="AI84" s="141">
        <v>0.14741492468115311</v>
      </c>
      <c r="AJ84" s="141">
        <v>0.14772724443683352</v>
      </c>
      <c r="AK84" s="141">
        <v>0.14803956419251393</v>
      </c>
      <c r="AL84" s="141">
        <v>0.14835188394819435</v>
      </c>
      <c r="AM84" s="141">
        <v>0.14866420370387476</v>
      </c>
      <c r="AN84" s="141">
        <v>0.14897652345955517</v>
      </c>
      <c r="AO84" s="141">
        <v>0.14928884321523558</v>
      </c>
      <c r="AP84" s="141">
        <v>0.149601162970916</v>
      </c>
      <c r="AQ84" s="142">
        <v>0.14991348272659633</v>
      </c>
    </row>
    <row r="85" spans="4:44" ht="14.25" customHeight="1" x14ac:dyDescent="0.15">
      <c r="G85" s="22"/>
      <c r="H85" s="254"/>
      <c r="J85" s="241"/>
      <c r="K85" s="19" t="s">
        <v>237</v>
      </c>
      <c r="L85" s="129" t="s">
        <v>218</v>
      </c>
      <c r="M85" s="141">
        <v>0.12103743361693858</v>
      </c>
      <c r="N85" s="141">
        <v>0.12232981766990768</v>
      </c>
      <c r="O85" s="141">
        <v>0.12362220172287677</v>
      </c>
      <c r="P85" s="141">
        <v>0.12491458577584587</v>
      </c>
      <c r="Q85" s="141">
        <v>0.12620696982881496</v>
      </c>
      <c r="R85" s="141">
        <v>0.12749935388178404</v>
      </c>
      <c r="S85" s="141">
        <v>0.12879173793475313</v>
      </c>
      <c r="T85" s="141">
        <v>0.13008412198772221</v>
      </c>
      <c r="U85" s="141">
        <v>0.13137650604069129</v>
      </c>
      <c r="V85" s="141">
        <v>0.13266889009366037</v>
      </c>
      <c r="W85" s="141">
        <v>0.13396127414662951</v>
      </c>
      <c r="X85" s="141">
        <v>0.13444656481994743</v>
      </c>
      <c r="Y85" s="141">
        <v>0.13493185549326536</v>
      </c>
      <c r="Z85" s="141">
        <v>0.13541714616658329</v>
      </c>
      <c r="AA85" s="141">
        <v>0.13590243683990122</v>
      </c>
      <c r="AB85" s="141">
        <v>0.13638772751321915</v>
      </c>
      <c r="AC85" s="141">
        <v>0.13687301818653708</v>
      </c>
      <c r="AD85" s="141">
        <v>0.13735830885985501</v>
      </c>
      <c r="AE85" s="141">
        <v>0.13784359953317293</v>
      </c>
      <c r="AF85" s="141">
        <v>0.13832889020649086</v>
      </c>
      <c r="AG85" s="141">
        <v>0.13881418087980879</v>
      </c>
      <c r="AH85" s="141">
        <v>0.13929947155312672</v>
      </c>
      <c r="AI85" s="141">
        <v>0.13978476222644465</v>
      </c>
      <c r="AJ85" s="141">
        <v>0.14027005289976258</v>
      </c>
      <c r="AK85" s="141">
        <v>0.1407553435730805</v>
      </c>
      <c r="AL85" s="141">
        <v>0.14124063424639843</v>
      </c>
      <c r="AM85" s="141">
        <v>0.14172592491971636</v>
      </c>
      <c r="AN85" s="141">
        <v>0.14221121559303429</v>
      </c>
      <c r="AO85" s="141">
        <v>0.14269650626635222</v>
      </c>
      <c r="AP85" s="141">
        <v>0.14318179693967015</v>
      </c>
      <c r="AQ85" s="143">
        <v>0.14366708761298816</v>
      </c>
    </row>
    <row r="86" spans="4:44" ht="14.25" customHeight="1" thickBot="1" x14ac:dyDescent="0.2">
      <c r="G86" s="22"/>
      <c r="H86" s="254"/>
      <c r="J86" s="241"/>
      <c r="K86" s="144" t="s">
        <v>237</v>
      </c>
      <c r="L86" s="144" t="s">
        <v>214</v>
      </c>
      <c r="M86" s="145">
        <v>0.11974504956396949</v>
      </c>
      <c r="N86" s="145">
        <v>0.11974504956396949</v>
      </c>
      <c r="O86" s="145">
        <v>0.11974504956396949</v>
      </c>
      <c r="P86" s="145">
        <v>0.11974504956396949</v>
      </c>
      <c r="Q86" s="145">
        <v>0.11974504956396949</v>
      </c>
      <c r="R86" s="145">
        <v>0.11974504956396949</v>
      </c>
      <c r="S86" s="145">
        <v>0.11974504956396949</v>
      </c>
      <c r="T86" s="145">
        <v>0.11974504956396949</v>
      </c>
      <c r="U86" s="145">
        <v>0.11974504956396949</v>
      </c>
      <c r="V86" s="145">
        <v>0.11974504956396949</v>
      </c>
      <c r="W86" s="141">
        <v>0.11974504956396949</v>
      </c>
      <c r="X86" s="145">
        <v>0.12045586079310248</v>
      </c>
      <c r="Y86" s="145">
        <v>0.12116667202223548</v>
      </c>
      <c r="Z86" s="145">
        <v>0.12187748325136848</v>
      </c>
      <c r="AA86" s="145">
        <v>0.12258829448050147</v>
      </c>
      <c r="AB86" s="145">
        <v>0.12329910570963447</v>
      </c>
      <c r="AC86" s="145">
        <v>0.12400991693876746</v>
      </c>
      <c r="AD86" s="145">
        <v>0.12472072816790046</v>
      </c>
      <c r="AE86" s="145">
        <v>0.12543153939703347</v>
      </c>
      <c r="AF86" s="145">
        <v>0.12614235062616647</v>
      </c>
      <c r="AG86" s="145">
        <v>0.12685316185529946</v>
      </c>
      <c r="AH86" s="145">
        <v>0.12756397308443246</v>
      </c>
      <c r="AI86" s="145">
        <v>0.12827478431356545</v>
      </c>
      <c r="AJ86" s="145">
        <v>0.12898559554269845</v>
      </c>
      <c r="AK86" s="145">
        <v>0.12969640677183145</v>
      </c>
      <c r="AL86" s="145">
        <v>0.13040721800096444</v>
      </c>
      <c r="AM86" s="145">
        <v>0.13111802923009744</v>
      </c>
      <c r="AN86" s="145">
        <v>0.13182884045923043</v>
      </c>
      <c r="AO86" s="145">
        <v>0.13253965168836343</v>
      </c>
      <c r="AP86" s="145">
        <v>0.13325046291749643</v>
      </c>
      <c r="AQ86" s="146">
        <v>0.13396127414662951</v>
      </c>
    </row>
    <row r="87" spans="4:44" ht="14.25" customHeight="1" thickTop="1" x14ac:dyDescent="0.15">
      <c r="G87" s="22"/>
      <c r="H87" s="254"/>
      <c r="J87" s="241"/>
      <c r="K87" s="140" t="s">
        <v>236</v>
      </c>
      <c r="L87" s="140" t="s">
        <v>219</v>
      </c>
      <c r="M87" s="141">
        <v>0.13402935499411567</v>
      </c>
      <c r="N87" s="141">
        <v>0.13642008893862065</v>
      </c>
      <c r="O87" s="141">
        <v>0.13881082288312563</v>
      </c>
      <c r="P87" s="141">
        <v>0.14120155682763061</v>
      </c>
      <c r="Q87" s="141">
        <v>0.14359229077213559</v>
      </c>
      <c r="R87" s="141">
        <v>0.14598302471664057</v>
      </c>
      <c r="S87" s="141">
        <v>0.14837375866114555</v>
      </c>
      <c r="T87" s="141">
        <v>0.15076449260565053</v>
      </c>
      <c r="U87" s="141">
        <v>0.15315522655015551</v>
      </c>
      <c r="V87" s="141">
        <v>0.15554596049466049</v>
      </c>
      <c r="W87" s="141">
        <v>0.15793669443916541</v>
      </c>
      <c r="X87" s="141">
        <v>0.15828003507925056</v>
      </c>
      <c r="Y87" s="141">
        <v>0.15862337571933571</v>
      </c>
      <c r="Z87" s="141">
        <v>0.15896671635942086</v>
      </c>
      <c r="AA87" s="141">
        <v>0.15931005699950601</v>
      </c>
      <c r="AB87" s="141">
        <v>0.15965339763959116</v>
      </c>
      <c r="AC87" s="141">
        <v>0.15999673827967631</v>
      </c>
      <c r="AD87" s="141">
        <v>0.16034007891976146</v>
      </c>
      <c r="AE87" s="141">
        <v>0.16068341955984661</v>
      </c>
      <c r="AF87" s="141">
        <v>0.16102676019993176</v>
      </c>
      <c r="AG87" s="141">
        <v>0.16137010084001691</v>
      </c>
      <c r="AH87" s="141">
        <v>0.16171344148010205</v>
      </c>
      <c r="AI87" s="141">
        <v>0.1620567821201872</v>
      </c>
      <c r="AJ87" s="141">
        <v>0.16240012276027235</v>
      </c>
      <c r="AK87" s="141">
        <v>0.1627434634003575</v>
      </c>
      <c r="AL87" s="141">
        <v>0.16308680404044265</v>
      </c>
      <c r="AM87" s="141">
        <v>0.1634301446805278</v>
      </c>
      <c r="AN87" s="141">
        <v>0.16377348532061295</v>
      </c>
      <c r="AO87" s="141">
        <v>0.1641168259606981</v>
      </c>
      <c r="AP87" s="141">
        <v>0.16446016660078325</v>
      </c>
      <c r="AQ87" s="142">
        <v>0.16480350724086826</v>
      </c>
    </row>
    <row r="88" spans="4:44" ht="14.25" customHeight="1" x14ac:dyDescent="0.15">
      <c r="G88" s="22"/>
      <c r="H88" s="254"/>
      <c r="J88" s="241"/>
      <c r="K88" s="19" t="s">
        <v>236</v>
      </c>
      <c r="L88" s="129" t="s">
        <v>218</v>
      </c>
      <c r="M88" s="141">
        <v>0.13305937000932844</v>
      </c>
      <c r="N88" s="141">
        <v>0.13448011896904619</v>
      </c>
      <c r="O88" s="141">
        <v>0.13590086792876394</v>
      </c>
      <c r="P88" s="141">
        <v>0.13732161688848168</v>
      </c>
      <c r="Q88" s="141">
        <v>0.13874236584819943</v>
      </c>
      <c r="R88" s="141">
        <v>0.14016311480791718</v>
      </c>
      <c r="S88" s="141">
        <v>0.14158386376763493</v>
      </c>
      <c r="T88" s="141">
        <v>0.14300461272735268</v>
      </c>
      <c r="U88" s="141">
        <v>0.14442536168707043</v>
      </c>
      <c r="V88" s="141">
        <v>0.14584611064678818</v>
      </c>
      <c r="W88" s="141">
        <v>0.14726685960650579</v>
      </c>
      <c r="X88" s="141">
        <v>0.14780035134813876</v>
      </c>
      <c r="Y88" s="141">
        <v>0.14833384308977174</v>
      </c>
      <c r="Z88" s="141">
        <v>0.14886733483140471</v>
      </c>
      <c r="AA88" s="141">
        <v>0.14940082657303769</v>
      </c>
      <c r="AB88" s="141">
        <v>0.14993431831467066</v>
      </c>
      <c r="AC88" s="141">
        <v>0.15046781005630364</v>
      </c>
      <c r="AD88" s="141">
        <v>0.15100130179793661</v>
      </c>
      <c r="AE88" s="141">
        <v>0.15153479353956958</v>
      </c>
      <c r="AF88" s="141">
        <v>0.15206828528120256</v>
      </c>
      <c r="AG88" s="141">
        <v>0.15260177702283553</v>
      </c>
      <c r="AH88" s="141">
        <v>0.15313526876446851</v>
      </c>
      <c r="AI88" s="141">
        <v>0.15366876050610148</v>
      </c>
      <c r="AJ88" s="141">
        <v>0.15420225224773446</v>
      </c>
      <c r="AK88" s="141">
        <v>0.15473574398936743</v>
      </c>
      <c r="AL88" s="141">
        <v>0.1552692357310004</v>
      </c>
      <c r="AM88" s="141">
        <v>0.15580272747263338</v>
      </c>
      <c r="AN88" s="141">
        <v>0.15633621921426635</v>
      </c>
      <c r="AO88" s="141">
        <v>0.15686971095589933</v>
      </c>
      <c r="AP88" s="141">
        <v>0.1574032026975323</v>
      </c>
      <c r="AQ88" s="143">
        <v>0.15793669443916541</v>
      </c>
    </row>
    <row r="89" spans="4:44" ht="14.25" customHeight="1" thickBot="1" x14ac:dyDescent="0.2">
      <c r="G89" s="22"/>
      <c r="H89" s="254"/>
      <c r="J89" s="241"/>
      <c r="K89" s="144" t="s">
        <v>236</v>
      </c>
      <c r="L89" s="144" t="s">
        <v>214</v>
      </c>
      <c r="M89" s="145">
        <v>0.13163862104961069</v>
      </c>
      <c r="N89" s="145">
        <v>0.13163862104961069</v>
      </c>
      <c r="O89" s="145">
        <v>0.13163862104961069</v>
      </c>
      <c r="P89" s="145">
        <v>0.13163862104961069</v>
      </c>
      <c r="Q89" s="145">
        <v>0.13163862104961069</v>
      </c>
      <c r="R89" s="145">
        <v>0.13163862104961069</v>
      </c>
      <c r="S89" s="145">
        <v>0.13163862104961069</v>
      </c>
      <c r="T89" s="145">
        <v>0.13163862104961069</v>
      </c>
      <c r="U89" s="145">
        <v>0.13163862104961069</v>
      </c>
      <c r="V89" s="145">
        <v>0.13163862104961069</v>
      </c>
      <c r="W89" s="145">
        <v>0.13163862104961069</v>
      </c>
      <c r="X89" s="145">
        <v>0.13242003297745544</v>
      </c>
      <c r="Y89" s="145">
        <v>0.1332014449053002</v>
      </c>
      <c r="Z89" s="145">
        <v>0.13398285683314495</v>
      </c>
      <c r="AA89" s="145">
        <v>0.13476426876098971</v>
      </c>
      <c r="AB89" s="145">
        <v>0.13554568068883446</v>
      </c>
      <c r="AC89" s="145">
        <v>0.13632709261667922</v>
      </c>
      <c r="AD89" s="145">
        <v>0.13710850454452397</v>
      </c>
      <c r="AE89" s="145">
        <v>0.13788991647236873</v>
      </c>
      <c r="AF89" s="145">
        <v>0.13867132840021348</v>
      </c>
      <c r="AG89" s="145">
        <v>0.13945274032805824</v>
      </c>
      <c r="AH89" s="145">
        <v>0.14023415225590299</v>
      </c>
      <c r="AI89" s="145">
        <v>0.14101556418374775</v>
      </c>
      <c r="AJ89" s="145">
        <v>0.1417969761115925</v>
      </c>
      <c r="AK89" s="145">
        <v>0.14257838803943726</v>
      </c>
      <c r="AL89" s="145">
        <v>0.14335979996728201</v>
      </c>
      <c r="AM89" s="145">
        <v>0.14414121189512677</v>
      </c>
      <c r="AN89" s="145">
        <v>0.14492262382297152</v>
      </c>
      <c r="AO89" s="145">
        <v>0.14570403575081628</v>
      </c>
      <c r="AP89" s="145">
        <v>0.14648544767866103</v>
      </c>
      <c r="AQ89" s="146">
        <v>0.14726685960650579</v>
      </c>
    </row>
    <row r="90" spans="4:44" ht="14.25" customHeight="1" thickTop="1" x14ac:dyDescent="0.15">
      <c r="G90" s="22"/>
      <c r="H90" s="254"/>
      <c r="J90" s="241"/>
      <c r="K90" s="140" t="s">
        <v>235</v>
      </c>
      <c r="L90" s="140" t="s">
        <v>219</v>
      </c>
      <c r="M90" s="141">
        <v>0.13962985494043542</v>
      </c>
      <c r="N90" s="141">
        <v>0.14212048718952042</v>
      </c>
      <c r="O90" s="141">
        <v>0.14461111943860541</v>
      </c>
      <c r="P90" s="141">
        <v>0.14710175168769041</v>
      </c>
      <c r="Q90" s="141">
        <v>0.1495923839367754</v>
      </c>
      <c r="R90" s="141">
        <v>0.1520830161858604</v>
      </c>
      <c r="S90" s="141">
        <v>0.15457364843494539</v>
      </c>
      <c r="T90" s="141">
        <v>0.15706428068403039</v>
      </c>
      <c r="U90" s="141">
        <v>0.15955491293311538</v>
      </c>
      <c r="V90" s="141">
        <v>0.16204554518220038</v>
      </c>
      <c r="W90" s="141">
        <v>0.16453617743128526</v>
      </c>
      <c r="X90" s="141">
        <v>0.16489386477352719</v>
      </c>
      <c r="Y90" s="141">
        <v>0.16525155211576911</v>
      </c>
      <c r="Z90" s="141">
        <v>0.16560923945801104</v>
      </c>
      <c r="AA90" s="141">
        <v>0.16596692680025296</v>
      </c>
      <c r="AB90" s="141">
        <v>0.16632461414249489</v>
      </c>
      <c r="AC90" s="141">
        <v>0.16668230148473681</v>
      </c>
      <c r="AD90" s="141">
        <v>0.16703998882697874</v>
      </c>
      <c r="AE90" s="141">
        <v>0.16739767616922066</v>
      </c>
      <c r="AF90" s="141">
        <v>0.16775536351146259</v>
      </c>
      <c r="AG90" s="141">
        <v>0.16811305085370451</v>
      </c>
      <c r="AH90" s="141">
        <v>0.16847073819594643</v>
      </c>
      <c r="AI90" s="141">
        <v>0.16882842553818836</v>
      </c>
      <c r="AJ90" s="141">
        <v>0.16918611288043028</v>
      </c>
      <c r="AK90" s="141">
        <v>0.16954380022267221</v>
      </c>
      <c r="AL90" s="141">
        <v>0.16990148756491413</v>
      </c>
      <c r="AM90" s="141">
        <v>0.17025917490715606</v>
      </c>
      <c r="AN90" s="141">
        <v>0.17061686224939798</v>
      </c>
      <c r="AO90" s="141">
        <v>0.17097454959163991</v>
      </c>
      <c r="AP90" s="141">
        <v>0.17133223693388183</v>
      </c>
      <c r="AQ90" s="142">
        <v>0.17168992427612376</v>
      </c>
    </row>
    <row r="91" spans="4:44" ht="14.25" customHeight="1" x14ac:dyDescent="0.15">
      <c r="G91" s="22"/>
      <c r="H91" s="254"/>
      <c r="J91" s="241"/>
      <c r="K91" s="19" t="s">
        <v>235</v>
      </c>
      <c r="L91" s="129" t="s">
        <v>218</v>
      </c>
      <c r="M91" s="141">
        <v>0.13861933852986111</v>
      </c>
      <c r="N91" s="141">
        <v>0.14009945436837179</v>
      </c>
      <c r="O91" s="141">
        <v>0.14157957020688247</v>
      </c>
      <c r="P91" s="141">
        <v>0.14305968604539315</v>
      </c>
      <c r="Q91" s="141">
        <v>0.14453980188390383</v>
      </c>
      <c r="R91" s="141">
        <v>0.14601991772241452</v>
      </c>
      <c r="S91" s="141">
        <v>0.1475000335609252</v>
      </c>
      <c r="T91" s="141">
        <v>0.14898014939943588</v>
      </c>
      <c r="U91" s="141">
        <v>0.15046026523794656</v>
      </c>
      <c r="V91" s="141">
        <v>0.15194038107645724</v>
      </c>
      <c r="W91" s="141">
        <v>0.15342049691496795</v>
      </c>
      <c r="X91" s="141">
        <v>0.15397628094078381</v>
      </c>
      <c r="Y91" s="141">
        <v>0.15453206496659966</v>
      </c>
      <c r="Z91" s="141">
        <v>0.15508784899241551</v>
      </c>
      <c r="AA91" s="141">
        <v>0.15564363301823136</v>
      </c>
      <c r="AB91" s="141">
        <v>0.15619941704404722</v>
      </c>
      <c r="AC91" s="141">
        <v>0.15675520106986307</v>
      </c>
      <c r="AD91" s="141">
        <v>0.15731098509567892</v>
      </c>
      <c r="AE91" s="141">
        <v>0.15786676912149478</v>
      </c>
      <c r="AF91" s="141">
        <v>0.15842255314731063</v>
      </c>
      <c r="AG91" s="141">
        <v>0.15897833717312648</v>
      </c>
      <c r="AH91" s="141">
        <v>0.15953412119894234</v>
      </c>
      <c r="AI91" s="141">
        <v>0.16008990522475819</v>
      </c>
      <c r="AJ91" s="141">
        <v>0.16064568925057404</v>
      </c>
      <c r="AK91" s="141">
        <v>0.16120147327638989</v>
      </c>
      <c r="AL91" s="141">
        <v>0.16175725730220575</v>
      </c>
      <c r="AM91" s="141">
        <v>0.1623130413280216</v>
      </c>
      <c r="AN91" s="141">
        <v>0.16286882535383745</v>
      </c>
      <c r="AO91" s="141">
        <v>0.16342460937965331</v>
      </c>
      <c r="AP91" s="141">
        <v>0.16398039340546916</v>
      </c>
      <c r="AQ91" s="143">
        <v>0.16453617743128526</v>
      </c>
    </row>
    <row r="92" spans="4:44" ht="14.25" customHeight="1" thickBot="1" x14ac:dyDescent="0.2">
      <c r="G92" s="22"/>
      <c r="H92" s="254"/>
      <c r="J92" s="241"/>
      <c r="K92" s="144" t="s">
        <v>235</v>
      </c>
      <c r="L92" s="144" t="s">
        <v>214</v>
      </c>
      <c r="M92" s="145">
        <v>0.13713922269135043</v>
      </c>
      <c r="N92" s="145">
        <v>0.13713922269135043</v>
      </c>
      <c r="O92" s="145">
        <v>0.13713922269135043</v>
      </c>
      <c r="P92" s="145">
        <v>0.13713922269135043</v>
      </c>
      <c r="Q92" s="145">
        <v>0.13713922269135043</v>
      </c>
      <c r="R92" s="145">
        <v>0.13713922269135043</v>
      </c>
      <c r="S92" s="145">
        <v>0.13713922269135043</v>
      </c>
      <c r="T92" s="145">
        <v>0.13713922269135043</v>
      </c>
      <c r="U92" s="145">
        <v>0.13713922269135043</v>
      </c>
      <c r="V92" s="145">
        <v>0.13713922269135043</v>
      </c>
      <c r="W92" s="145">
        <v>0.13713922269135043</v>
      </c>
      <c r="X92" s="145">
        <v>0.13795328640253129</v>
      </c>
      <c r="Y92" s="145">
        <v>0.13876735011371216</v>
      </c>
      <c r="Z92" s="145">
        <v>0.13958141382489303</v>
      </c>
      <c r="AA92" s="145">
        <v>0.1403954775360739</v>
      </c>
      <c r="AB92" s="145">
        <v>0.14120954124725477</v>
      </c>
      <c r="AC92" s="145">
        <v>0.14202360495843563</v>
      </c>
      <c r="AD92" s="145">
        <v>0.1428376686696165</v>
      </c>
      <c r="AE92" s="145">
        <v>0.14365173238079737</v>
      </c>
      <c r="AF92" s="145">
        <v>0.14446579609197824</v>
      </c>
      <c r="AG92" s="145">
        <v>0.14527985980315911</v>
      </c>
      <c r="AH92" s="145">
        <v>0.14609392351433997</v>
      </c>
      <c r="AI92" s="145">
        <v>0.14690798722552084</v>
      </c>
      <c r="AJ92" s="145">
        <v>0.14772205093670171</v>
      </c>
      <c r="AK92" s="145">
        <v>0.14853611464788258</v>
      </c>
      <c r="AL92" s="145">
        <v>0.14935017835906345</v>
      </c>
      <c r="AM92" s="145">
        <v>0.15016424207024431</v>
      </c>
      <c r="AN92" s="145">
        <v>0.15097830578142518</v>
      </c>
      <c r="AO92" s="145">
        <v>0.15179236949260605</v>
      </c>
      <c r="AP92" s="145">
        <v>0.15260643320378692</v>
      </c>
      <c r="AQ92" s="146">
        <v>0.15342049691496795</v>
      </c>
    </row>
    <row r="93" spans="4:44" ht="14.25" customHeight="1" thickTop="1" x14ac:dyDescent="0.15">
      <c r="G93" s="22"/>
      <c r="H93" s="254"/>
      <c r="J93" s="241"/>
      <c r="K93" s="140" t="s">
        <v>234</v>
      </c>
      <c r="L93" s="140" t="s">
        <v>219</v>
      </c>
      <c r="M93" s="141">
        <v>0.14702028633116587</v>
      </c>
      <c r="N93" s="141">
        <v>0.14964274459098656</v>
      </c>
      <c r="O93" s="141">
        <v>0.15226520285080725</v>
      </c>
      <c r="P93" s="141">
        <v>0.15488766111062793</v>
      </c>
      <c r="Q93" s="141">
        <v>0.15751011937044862</v>
      </c>
      <c r="R93" s="141">
        <v>0.16013257763026931</v>
      </c>
      <c r="S93" s="141">
        <v>0.16275503589008999</v>
      </c>
      <c r="T93" s="141">
        <v>0.16537749414991068</v>
      </c>
      <c r="U93" s="141">
        <v>0.16799995240973137</v>
      </c>
      <c r="V93" s="141">
        <v>0.17062241066955205</v>
      </c>
      <c r="W93" s="141">
        <v>0.17324486892937285</v>
      </c>
      <c r="X93" s="141">
        <v>0.17362148820965409</v>
      </c>
      <c r="Y93" s="141">
        <v>0.17399810748993533</v>
      </c>
      <c r="Z93" s="141">
        <v>0.17437472677021656</v>
      </c>
      <c r="AA93" s="141">
        <v>0.1747513460504978</v>
      </c>
      <c r="AB93" s="141">
        <v>0.17512796533077904</v>
      </c>
      <c r="AC93" s="141">
        <v>0.17550458461106028</v>
      </c>
      <c r="AD93" s="141">
        <v>0.17588120389134151</v>
      </c>
      <c r="AE93" s="141">
        <v>0.17625782317162275</v>
      </c>
      <c r="AF93" s="141">
        <v>0.17663444245190399</v>
      </c>
      <c r="AG93" s="141">
        <v>0.17701106173218523</v>
      </c>
      <c r="AH93" s="141">
        <v>0.17738768101246646</v>
      </c>
      <c r="AI93" s="141">
        <v>0.1777643002927477</v>
      </c>
      <c r="AJ93" s="141">
        <v>0.17814091957302894</v>
      </c>
      <c r="AK93" s="141">
        <v>0.17851753885331018</v>
      </c>
      <c r="AL93" s="141">
        <v>0.17889415813359141</v>
      </c>
      <c r="AM93" s="141">
        <v>0.17927077741387265</v>
      </c>
      <c r="AN93" s="141">
        <v>0.17964739669415389</v>
      </c>
      <c r="AO93" s="141">
        <v>0.18002401597443513</v>
      </c>
      <c r="AP93" s="141">
        <v>0.18040063525471636</v>
      </c>
      <c r="AQ93" s="142">
        <v>0.18077725453499777</v>
      </c>
    </row>
    <row r="94" spans="4:44" ht="14.25" customHeight="1" x14ac:dyDescent="0.15">
      <c r="G94" s="22"/>
      <c r="H94" s="254"/>
      <c r="J94" s="241"/>
      <c r="K94" s="19" t="s">
        <v>234</v>
      </c>
      <c r="L94" s="129" t="s">
        <v>218</v>
      </c>
      <c r="M94" s="141">
        <v>0.14595628456672696</v>
      </c>
      <c r="N94" s="141">
        <v>0.14751474106210874</v>
      </c>
      <c r="O94" s="141">
        <v>0.14907319755749052</v>
      </c>
      <c r="P94" s="141">
        <v>0.15063165405287229</v>
      </c>
      <c r="Q94" s="141">
        <v>0.15219011054825407</v>
      </c>
      <c r="R94" s="141">
        <v>0.15374856704363585</v>
      </c>
      <c r="S94" s="141">
        <v>0.15530702353901762</v>
      </c>
      <c r="T94" s="141">
        <v>0.1568654800343994</v>
      </c>
      <c r="U94" s="141">
        <v>0.15842393652978118</v>
      </c>
      <c r="V94" s="141">
        <v>0.15998239302516296</v>
      </c>
      <c r="W94" s="141">
        <v>0.16154084952054459</v>
      </c>
      <c r="X94" s="141">
        <v>0.162126050490986</v>
      </c>
      <c r="Y94" s="141">
        <v>0.1627112514614274</v>
      </c>
      <c r="Z94" s="141">
        <v>0.1632964524318688</v>
      </c>
      <c r="AA94" s="141">
        <v>0.1638816534023102</v>
      </c>
      <c r="AB94" s="141">
        <v>0.1644668543727516</v>
      </c>
      <c r="AC94" s="141">
        <v>0.165052055343193</v>
      </c>
      <c r="AD94" s="141">
        <v>0.16563725631363441</v>
      </c>
      <c r="AE94" s="141">
        <v>0.16622245728407581</v>
      </c>
      <c r="AF94" s="141">
        <v>0.16680765825451721</v>
      </c>
      <c r="AG94" s="141">
        <v>0.16739285922495861</v>
      </c>
      <c r="AH94" s="141">
        <v>0.16797806019540001</v>
      </c>
      <c r="AI94" s="141">
        <v>0.16856326116584142</v>
      </c>
      <c r="AJ94" s="141">
        <v>0.16914846213628282</v>
      </c>
      <c r="AK94" s="141">
        <v>0.16973366310672422</v>
      </c>
      <c r="AL94" s="141">
        <v>0.17031886407716562</v>
      </c>
      <c r="AM94" s="141">
        <v>0.17090406504760702</v>
      </c>
      <c r="AN94" s="141">
        <v>0.17148926601804843</v>
      </c>
      <c r="AO94" s="141">
        <v>0.17207446698848983</v>
      </c>
      <c r="AP94" s="141">
        <v>0.17265966795893123</v>
      </c>
      <c r="AQ94" s="143">
        <v>0.17324486892937285</v>
      </c>
    </row>
    <row r="95" spans="4:44" ht="14.25" customHeight="1" thickBot="1" x14ac:dyDescent="0.2">
      <c r="G95" s="22"/>
      <c r="H95" s="254"/>
      <c r="J95" s="241"/>
      <c r="K95" s="144" t="s">
        <v>234</v>
      </c>
      <c r="L95" s="144" t="s">
        <v>214</v>
      </c>
      <c r="M95" s="145">
        <v>0.14439782807134519</v>
      </c>
      <c r="N95" s="145">
        <v>0.14439782807134519</v>
      </c>
      <c r="O95" s="145">
        <v>0.14439782807134519</v>
      </c>
      <c r="P95" s="145">
        <v>0.14439782807134519</v>
      </c>
      <c r="Q95" s="145">
        <v>0.14439782807134519</v>
      </c>
      <c r="R95" s="145">
        <v>0.14439782807134519</v>
      </c>
      <c r="S95" s="145">
        <v>0.14439782807134519</v>
      </c>
      <c r="T95" s="145">
        <v>0.14439782807134519</v>
      </c>
      <c r="U95" s="145">
        <v>0.14439782807134519</v>
      </c>
      <c r="V95" s="145">
        <v>0.14439782807134519</v>
      </c>
      <c r="W95" s="145">
        <v>0.14439782807134519</v>
      </c>
      <c r="X95" s="145">
        <v>0.14525497914380517</v>
      </c>
      <c r="Y95" s="145">
        <v>0.14611213021626515</v>
      </c>
      <c r="Z95" s="145">
        <v>0.14696928128872513</v>
      </c>
      <c r="AA95" s="145">
        <v>0.14782643236118512</v>
      </c>
      <c r="AB95" s="145">
        <v>0.1486835834336451</v>
      </c>
      <c r="AC95" s="145">
        <v>0.14954073450610508</v>
      </c>
      <c r="AD95" s="145">
        <v>0.15039788557856507</v>
      </c>
      <c r="AE95" s="145">
        <v>0.15125503665102505</v>
      </c>
      <c r="AF95" s="145">
        <v>0.15211218772348503</v>
      </c>
      <c r="AG95" s="145">
        <v>0.15296933879594501</v>
      </c>
      <c r="AH95" s="145">
        <v>0.153826489868405</v>
      </c>
      <c r="AI95" s="145">
        <v>0.15468364094086498</v>
      </c>
      <c r="AJ95" s="145">
        <v>0.15554079201332496</v>
      </c>
      <c r="AK95" s="145">
        <v>0.15639794308578495</v>
      </c>
      <c r="AL95" s="145">
        <v>0.15725509415824493</v>
      </c>
      <c r="AM95" s="145">
        <v>0.15811224523070491</v>
      </c>
      <c r="AN95" s="145">
        <v>0.15896939630316489</v>
      </c>
      <c r="AO95" s="145">
        <v>0.15982654737562488</v>
      </c>
      <c r="AP95" s="145">
        <v>0.16068369844808486</v>
      </c>
      <c r="AQ95" s="146">
        <v>0.16154084952054459</v>
      </c>
    </row>
    <row r="96" spans="4:44" ht="14.25" customHeight="1" thickTop="1" x14ac:dyDescent="0.15">
      <c r="G96" s="22"/>
      <c r="H96" s="254"/>
      <c r="J96" s="241"/>
      <c r="K96" s="140" t="s">
        <v>233</v>
      </c>
      <c r="L96" s="140" t="s">
        <v>219</v>
      </c>
      <c r="M96" s="141">
        <v>0.15430339646551175</v>
      </c>
      <c r="N96" s="141">
        <v>0.15705576640490826</v>
      </c>
      <c r="O96" s="141">
        <v>0.15980813634430477</v>
      </c>
      <c r="P96" s="141">
        <v>0.16256050628370128</v>
      </c>
      <c r="Q96" s="141">
        <v>0.16531287622309779</v>
      </c>
      <c r="R96" s="141">
        <v>0.1680652461624943</v>
      </c>
      <c r="S96" s="141">
        <v>0.17081761610189081</v>
      </c>
      <c r="T96" s="141">
        <v>0.17356998604128732</v>
      </c>
      <c r="U96" s="141">
        <v>0.17632235598068383</v>
      </c>
      <c r="V96" s="141">
        <v>0.17907472592008034</v>
      </c>
      <c r="W96" s="141">
        <v>0.18182709585947687</v>
      </c>
      <c r="X96" s="141">
        <v>0.18222237215482356</v>
      </c>
      <c r="Y96" s="141">
        <v>0.18261764845017026</v>
      </c>
      <c r="Z96" s="141">
        <v>0.18301292474551695</v>
      </c>
      <c r="AA96" s="141">
        <v>0.18340820104086364</v>
      </c>
      <c r="AB96" s="141">
        <v>0.18380347733621033</v>
      </c>
      <c r="AC96" s="141">
        <v>0.18419875363155702</v>
      </c>
      <c r="AD96" s="141">
        <v>0.18459402992690371</v>
      </c>
      <c r="AE96" s="141">
        <v>0.1849893062222504</v>
      </c>
      <c r="AF96" s="141">
        <v>0.1853845825175971</v>
      </c>
      <c r="AG96" s="141">
        <v>0.18577985881294379</v>
      </c>
      <c r="AH96" s="141">
        <v>0.18617513510829048</v>
      </c>
      <c r="AI96" s="141">
        <v>0.18657041140363717</v>
      </c>
      <c r="AJ96" s="141">
        <v>0.18696568769898386</v>
      </c>
      <c r="AK96" s="141">
        <v>0.18736096399433055</v>
      </c>
      <c r="AL96" s="141">
        <v>0.18775624028967725</v>
      </c>
      <c r="AM96" s="141">
        <v>0.18815151658502394</v>
      </c>
      <c r="AN96" s="141">
        <v>0.18854679288037063</v>
      </c>
      <c r="AO96" s="141">
        <v>0.18894206917571732</v>
      </c>
      <c r="AP96" s="141">
        <v>0.18933734547106401</v>
      </c>
      <c r="AQ96" s="142">
        <v>0.18973262176641065</v>
      </c>
    </row>
    <row r="97" spans="7:43" ht="14.25" customHeight="1" x14ac:dyDescent="0.15">
      <c r="G97" s="22"/>
      <c r="H97" s="254"/>
      <c r="J97" s="241"/>
      <c r="K97" s="19" t="s">
        <v>233</v>
      </c>
      <c r="L97" s="129" t="s">
        <v>218</v>
      </c>
      <c r="M97" s="141">
        <v>0.1531866860427854</v>
      </c>
      <c r="N97" s="141">
        <v>0.15482234555945557</v>
      </c>
      <c r="O97" s="141">
        <v>0.15645800507612573</v>
      </c>
      <c r="P97" s="141">
        <v>0.15809366459279589</v>
      </c>
      <c r="Q97" s="141">
        <v>0.15972932410946605</v>
      </c>
      <c r="R97" s="141">
        <v>0.16136498362613622</v>
      </c>
      <c r="S97" s="141">
        <v>0.16300064314280638</v>
      </c>
      <c r="T97" s="141">
        <v>0.16463630265947654</v>
      </c>
      <c r="U97" s="141">
        <v>0.1662719621761467</v>
      </c>
      <c r="V97" s="141">
        <v>0.16790762169281687</v>
      </c>
      <c r="W97" s="141">
        <v>0.16954328120948706</v>
      </c>
      <c r="X97" s="141">
        <v>0.17015747194198655</v>
      </c>
      <c r="Y97" s="141">
        <v>0.17077166267448604</v>
      </c>
      <c r="Z97" s="141">
        <v>0.17138585340698553</v>
      </c>
      <c r="AA97" s="141">
        <v>0.17200004413948503</v>
      </c>
      <c r="AB97" s="141">
        <v>0.17261423487198452</v>
      </c>
      <c r="AC97" s="141">
        <v>0.17322842560448401</v>
      </c>
      <c r="AD97" s="141">
        <v>0.1738426163369835</v>
      </c>
      <c r="AE97" s="141">
        <v>0.17445680706948299</v>
      </c>
      <c r="AF97" s="141">
        <v>0.17507099780198249</v>
      </c>
      <c r="AG97" s="141">
        <v>0.17568518853448198</v>
      </c>
      <c r="AH97" s="141">
        <v>0.17629937926698147</v>
      </c>
      <c r="AI97" s="141">
        <v>0.17691356999948096</v>
      </c>
      <c r="AJ97" s="141">
        <v>0.17752776073198046</v>
      </c>
      <c r="AK97" s="141">
        <v>0.17814195146447995</v>
      </c>
      <c r="AL97" s="141">
        <v>0.17875614219697944</v>
      </c>
      <c r="AM97" s="141">
        <v>0.17937033292947893</v>
      </c>
      <c r="AN97" s="141">
        <v>0.17998452366197842</v>
      </c>
      <c r="AO97" s="141">
        <v>0.18059871439447792</v>
      </c>
      <c r="AP97" s="141">
        <v>0.18121290512697741</v>
      </c>
      <c r="AQ97" s="143">
        <v>0.18182709585947687</v>
      </c>
    </row>
    <row r="98" spans="7:43" ht="14.25" customHeight="1" thickBot="1" x14ac:dyDescent="0.2">
      <c r="G98" s="22"/>
      <c r="H98" s="254"/>
      <c r="J98" s="241"/>
      <c r="K98" s="144" t="s">
        <v>233</v>
      </c>
      <c r="L98" s="144" t="s">
        <v>214</v>
      </c>
      <c r="M98" s="145">
        <v>0.15155102652611524</v>
      </c>
      <c r="N98" s="145">
        <v>0.15155102652611524</v>
      </c>
      <c r="O98" s="145">
        <v>0.15155102652611524</v>
      </c>
      <c r="P98" s="145">
        <v>0.15155102652611524</v>
      </c>
      <c r="Q98" s="145">
        <v>0.15155102652611524</v>
      </c>
      <c r="R98" s="145">
        <v>0.15155102652611524</v>
      </c>
      <c r="S98" s="145">
        <v>0.15155102652611524</v>
      </c>
      <c r="T98" s="145">
        <v>0.15155102652611524</v>
      </c>
      <c r="U98" s="145">
        <v>0.15155102652611524</v>
      </c>
      <c r="V98" s="145">
        <v>0.15155102652611524</v>
      </c>
      <c r="W98" s="145">
        <v>0.15155102652611524</v>
      </c>
      <c r="X98" s="145">
        <v>0.15245063926028382</v>
      </c>
      <c r="Y98" s="145">
        <v>0.1533502519944524</v>
      </c>
      <c r="Z98" s="145">
        <v>0.15424986472862098</v>
      </c>
      <c r="AA98" s="145">
        <v>0.15514947746278956</v>
      </c>
      <c r="AB98" s="145">
        <v>0.15604909019695815</v>
      </c>
      <c r="AC98" s="145">
        <v>0.15694870293112673</v>
      </c>
      <c r="AD98" s="145">
        <v>0.15784831566529531</v>
      </c>
      <c r="AE98" s="145">
        <v>0.15874792839946389</v>
      </c>
      <c r="AF98" s="145">
        <v>0.15964754113363247</v>
      </c>
      <c r="AG98" s="145">
        <v>0.16054715386780105</v>
      </c>
      <c r="AH98" s="145">
        <v>0.16144676660196963</v>
      </c>
      <c r="AI98" s="145">
        <v>0.16234637933613821</v>
      </c>
      <c r="AJ98" s="145">
        <v>0.16324599207030679</v>
      </c>
      <c r="AK98" s="145">
        <v>0.16414560480447538</v>
      </c>
      <c r="AL98" s="145">
        <v>0.16504521753864396</v>
      </c>
      <c r="AM98" s="145">
        <v>0.16594483027281254</v>
      </c>
      <c r="AN98" s="145">
        <v>0.16684444300698112</v>
      </c>
      <c r="AO98" s="145">
        <v>0.1677440557411497</v>
      </c>
      <c r="AP98" s="145">
        <v>0.16864366847531828</v>
      </c>
      <c r="AQ98" s="146">
        <v>0.16954328120948706</v>
      </c>
    </row>
    <row r="99" spans="7:43" ht="14.25" customHeight="1" thickTop="1" x14ac:dyDescent="0.15">
      <c r="G99" s="22"/>
      <c r="H99" s="254"/>
      <c r="J99" s="241"/>
      <c r="K99" s="140" t="s">
        <v>232</v>
      </c>
      <c r="L99" s="140" t="s">
        <v>219</v>
      </c>
      <c r="M99" s="141">
        <v>0.15637705582675099</v>
      </c>
      <c r="N99" s="141">
        <v>0.15916641443795357</v>
      </c>
      <c r="O99" s="141">
        <v>0.16195577304915615</v>
      </c>
      <c r="P99" s="141">
        <v>0.16474513166035873</v>
      </c>
      <c r="Q99" s="141">
        <v>0.16753449027156131</v>
      </c>
      <c r="R99" s="141">
        <v>0.17032384888276389</v>
      </c>
      <c r="S99" s="141">
        <v>0.17311320749396647</v>
      </c>
      <c r="T99" s="141">
        <v>0.17590256610516905</v>
      </c>
      <c r="U99" s="141">
        <v>0.17869192471637163</v>
      </c>
      <c r="V99" s="141">
        <v>0.18148128332757421</v>
      </c>
      <c r="W99" s="141">
        <v>0.18427064193877668</v>
      </c>
      <c r="X99" s="141">
        <v>0.1846712302908175</v>
      </c>
      <c r="Y99" s="141">
        <v>0.18507181864285832</v>
      </c>
      <c r="Z99" s="141">
        <v>0.18547240699489914</v>
      </c>
      <c r="AA99" s="141">
        <v>0.18587299534693996</v>
      </c>
      <c r="AB99" s="141">
        <v>0.18627358369898078</v>
      </c>
      <c r="AC99" s="141">
        <v>0.1866741720510216</v>
      </c>
      <c r="AD99" s="141">
        <v>0.18707476040306242</v>
      </c>
      <c r="AE99" s="141">
        <v>0.18747534875510324</v>
      </c>
      <c r="AF99" s="141">
        <v>0.18787593710714406</v>
      </c>
      <c r="AG99" s="141">
        <v>0.18827652545918488</v>
      </c>
      <c r="AH99" s="141">
        <v>0.18867711381122571</v>
      </c>
      <c r="AI99" s="141">
        <v>0.18907770216326653</v>
      </c>
      <c r="AJ99" s="141">
        <v>0.18947829051530735</v>
      </c>
      <c r="AK99" s="141">
        <v>0.18987887886734817</v>
      </c>
      <c r="AL99" s="141">
        <v>0.19027946721938899</v>
      </c>
      <c r="AM99" s="141">
        <v>0.19068005557142981</v>
      </c>
      <c r="AN99" s="141">
        <v>0.19108064392347063</v>
      </c>
      <c r="AO99" s="141">
        <v>0.19148123227551145</v>
      </c>
      <c r="AP99" s="141">
        <v>0.19188182062755227</v>
      </c>
      <c r="AQ99" s="142">
        <v>0.19228240897959306</v>
      </c>
    </row>
    <row r="100" spans="7:43" ht="14.25" customHeight="1" x14ac:dyDescent="0.15">
      <c r="G100" s="22"/>
      <c r="H100" s="254"/>
      <c r="J100" s="241"/>
      <c r="K100" s="19" t="s">
        <v>232</v>
      </c>
      <c r="L100" s="129" t="s">
        <v>218</v>
      </c>
      <c r="M100" s="141">
        <v>0.15524533810622743</v>
      </c>
      <c r="N100" s="141">
        <v>0.15690297899690644</v>
      </c>
      <c r="O100" s="141">
        <v>0.15856061988758546</v>
      </c>
      <c r="P100" s="141">
        <v>0.16021826077826448</v>
      </c>
      <c r="Q100" s="141">
        <v>0.1618759016689435</v>
      </c>
      <c r="R100" s="141">
        <v>0.16353354255962252</v>
      </c>
      <c r="S100" s="141">
        <v>0.16519118345030154</v>
      </c>
      <c r="T100" s="141">
        <v>0.16684882434098056</v>
      </c>
      <c r="U100" s="141">
        <v>0.16850646523165957</v>
      </c>
      <c r="V100" s="141">
        <v>0.17016410612233859</v>
      </c>
      <c r="W100" s="141">
        <v>0.1718217470130175</v>
      </c>
      <c r="X100" s="141">
        <v>0.17244419175930545</v>
      </c>
      <c r="Y100" s="141">
        <v>0.1730666365055934</v>
      </c>
      <c r="Z100" s="141">
        <v>0.17368908125188134</v>
      </c>
      <c r="AA100" s="141">
        <v>0.17431152599816929</v>
      </c>
      <c r="AB100" s="141">
        <v>0.17493397074445724</v>
      </c>
      <c r="AC100" s="141">
        <v>0.17555641549074519</v>
      </c>
      <c r="AD100" s="141">
        <v>0.17617886023703314</v>
      </c>
      <c r="AE100" s="141">
        <v>0.17680130498332108</v>
      </c>
      <c r="AF100" s="141">
        <v>0.17742374972960903</v>
      </c>
      <c r="AG100" s="141">
        <v>0.17804619447589698</v>
      </c>
      <c r="AH100" s="141">
        <v>0.17866863922218493</v>
      </c>
      <c r="AI100" s="141">
        <v>0.17929108396847288</v>
      </c>
      <c r="AJ100" s="141">
        <v>0.17991352871476082</v>
      </c>
      <c r="AK100" s="141">
        <v>0.18053597346104877</v>
      </c>
      <c r="AL100" s="141">
        <v>0.18115841820733672</v>
      </c>
      <c r="AM100" s="141">
        <v>0.18178086295362467</v>
      </c>
      <c r="AN100" s="141">
        <v>0.18240330769991261</v>
      </c>
      <c r="AO100" s="141">
        <v>0.18302575244620056</v>
      </c>
      <c r="AP100" s="141">
        <v>0.18364819719248851</v>
      </c>
      <c r="AQ100" s="143">
        <v>0.18427064193877668</v>
      </c>
    </row>
    <row r="101" spans="7:43" ht="14.25" customHeight="1" thickBot="1" x14ac:dyDescent="0.2">
      <c r="G101" s="22"/>
      <c r="H101" s="254"/>
      <c r="J101" s="241"/>
      <c r="K101" s="144" t="s">
        <v>232</v>
      </c>
      <c r="L101" s="144" t="s">
        <v>214</v>
      </c>
      <c r="M101" s="145">
        <v>0.15358769721554841</v>
      </c>
      <c r="N101" s="145">
        <v>0.15358769721554841</v>
      </c>
      <c r="O101" s="145">
        <v>0.15358769721554841</v>
      </c>
      <c r="P101" s="145">
        <v>0.15358769721554841</v>
      </c>
      <c r="Q101" s="145">
        <v>0.15358769721554841</v>
      </c>
      <c r="R101" s="145">
        <v>0.15358769721554841</v>
      </c>
      <c r="S101" s="145">
        <v>0.15358769721554841</v>
      </c>
      <c r="T101" s="145">
        <v>0.15358769721554841</v>
      </c>
      <c r="U101" s="145">
        <v>0.15358769721554841</v>
      </c>
      <c r="V101" s="145">
        <v>0.15358769721554841</v>
      </c>
      <c r="W101" s="145">
        <v>0.15358769721554841</v>
      </c>
      <c r="X101" s="145">
        <v>0.15449939970542187</v>
      </c>
      <c r="Y101" s="145">
        <v>0.15541110219529533</v>
      </c>
      <c r="Z101" s="145">
        <v>0.15632280468516879</v>
      </c>
      <c r="AA101" s="145">
        <v>0.15723450717504225</v>
      </c>
      <c r="AB101" s="145">
        <v>0.15814620966491572</v>
      </c>
      <c r="AC101" s="145">
        <v>0.15905791215478918</v>
      </c>
      <c r="AD101" s="145">
        <v>0.15996961464466264</v>
      </c>
      <c r="AE101" s="145">
        <v>0.1608813171345361</v>
      </c>
      <c r="AF101" s="145">
        <v>0.16179301962440956</v>
      </c>
      <c r="AG101" s="145">
        <v>0.16270472211428302</v>
      </c>
      <c r="AH101" s="145">
        <v>0.16361642460415649</v>
      </c>
      <c r="AI101" s="145">
        <v>0.16452812709402995</v>
      </c>
      <c r="AJ101" s="145">
        <v>0.16543982958390341</v>
      </c>
      <c r="AK101" s="145">
        <v>0.16635153207377687</v>
      </c>
      <c r="AL101" s="145">
        <v>0.16726323456365033</v>
      </c>
      <c r="AM101" s="145">
        <v>0.16817493705352379</v>
      </c>
      <c r="AN101" s="145">
        <v>0.16908663954339725</v>
      </c>
      <c r="AO101" s="145">
        <v>0.16999834203327072</v>
      </c>
      <c r="AP101" s="145">
        <v>0.17091004452314418</v>
      </c>
      <c r="AQ101" s="146">
        <v>0.1718217470130175</v>
      </c>
    </row>
    <row r="102" spans="7:43" ht="14.25" customHeight="1" thickTop="1" x14ac:dyDescent="0.15">
      <c r="G102" s="22"/>
      <c r="H102" s="254"/>
      <c r="J102" s="241"/>
      <c r="K102" s="140" t="s">
        <v>231</v>
      </c>
      <c r="L102" s="140" t="s">
        <v>219</v>
      </c>
      <c r="M102" s="141">
        <v>0.16386904445602404</v>
      </c>
      <c r="N102" s="141">
        <v>0.16679204059408509</v>
      </c>
      <c r="O102" s="141">
        <v>0.16971503673214614</v>
      </c>
      <c r="P102" s="141">
        <v>0.17263803287020718</v>
      </c>
      <c r="Q102" s="141">
        <v>0.17556102900826823</v>
      </c>
      <c r="R102" s="141">
        <v>0.17848402514632927</v>
      </c>
      <c r="S102" s="141">
        <v>0.18140702128439032</v>
      </c>
      <c r="T102" s="141">
        <v>0.18433001742245136</v>
      </c>
      <c r="U102" s="141">
        <v>0.18725301356051241</v>
      </c>
      <c r="V102" s="141">
        <v>0.19017600969857346</v>
      </c>
      <c r="W102" s="141">
        <v>0.19309900583663436</v>
      </c>
      <c r="X102" s="141">
        <v>0.19351878628410529</v>
      </c>
      <c r="Y102" s="141">
        <v>0.19393856673157622</v>
      </c>
      <c r="Z102" s="141">
        <v>0.19435834717904715</v>
      </c>
      <c r="AA102" s="141">
        <v>0.19477812762651808</v>
      </c>
      <c r="AB102" s="141">
        <v>0.19519790807398901</v>
      </c>
      <c r="AC102" s="141">
        <v>0.19561768852145994</v>
      </c>
      <c r="AD102" s="141">
        <v>0.19603746896893087</v>
      </c>
      <c r="AE102" s="141">
        <v>0.1964572494164018</v>
      </c>
      <c r="AF102" s="141">
        <v>0.19687702986387273</v>
      </c>
      <c r="AG102" s="141">
        <v>0.19729681031134366</v>
      </c>
      <c r="AH102" s="141">
        <v>0.19771659075881459</v>
      </c>
      <c r="AI102" s="141">
        <v>0.19813637120628552</v>
      </c>
      <c r="AJ102" s="141">
        <v>0.19855615165375645</v>
      </c>
      <c r="AK102" s="141">
        <v>0.19897593210122738</v>
      </c>
      <c r="AL102" s="141">
        <v>0.19939571254869831</v>
      </c>
      <c r="AM102" s="141">
        <v>0.19981549299616924</v>
      </c>
      <c r="AN102" s="141">
        <v>0.20023527344364017</v>
      </c>
      <c r="AO102" s="141">
        <v>0.2006550538911111</v>
      </c>
      <c r="AP102" s="141">
        <v>0.20107483433858203</v>
      </c>
      <c r="AQ102" s="142">
        <v>0.20149461478605324</v>
      </c>
    </row>
    <row r="103" spans="7:43" ht="14.25" customHeight="1" x14ac:dyDescent="0.15">
      <c r="G103" s="22"/>
      <c r="H103" s="254"/>
      <c r="J103" s="241"/>
      <c r="K103" s="19" t="s">
        <v>231</v>
      </c>
      <c r="L103" s="129" t="s">
        <v>218</v>
      </c>
      <c r="M103" s="141">
        <v>0.16268310640088116</v>
      </c>
      <c r="N103" s="141">
        <v>0.16442016448379931</v>
      </c>
      <c r="O103" s="141">
        <v>0.16615722256671747</v>
      </c>
      <c r="P103" s="141">
        <v>0.16789428064963563</v>
      </c>
      <c r="Q103" s="141">
        <v>0.16963133873255379</v>
      </c>
      <c r="R103" s="141">
        <v>0.17136839681547195</v>
      </c>
      <c r="S103" s="141">
        <v>0.1731054548983901</v>
      </c>
      <c r="T103" s="141">
        <v>0.17484251298130826</v>
      </c>
      <c r="U103" s="141">
        <v>0.17657957106422642</v>
      </c>
      <c r="V103" s="141">
        <v>0.17831662914714458</v>
      </c>
      <c r="W103" s="141">
        <v>0.18005368723006271</v>
      </c>
      <c r="X103" s="141">
        <v>0.18070595316039129</v>
      </c>
      <c r="Y103" s="141">
        <v>0.18135821909071986</v>
      </c>
      <c r="Z103" s="141">
        <v>0.18201048502104844</v>
      </c>
      <c r="AA103" s="141">
        <v>0.18266275095137702</v>
      </c>
      <c r="AB103" s="141">
        <v>0.18331501688170559</v>
      </c>
      <c r="AC103" s="141">
        <v>0.18396728281203417</v>
      </c>
      <c r="AD103" s="141">
        <v>0.18461954874236275</v>
      </c>
      <c r="AE103" s="141">
        <v>0.18527181467269133</v>
      </c>
      <c r="AF103" s="141">
        <v>0.1859240806030199</v>
      </c>
      <c r="AG103" s="141">
        <v>0.18657634653334848</v>
      </c>
      <c r="AH103" s="141">
        <v>0.18722861246367706</v>
      </c>
      <c r="AI103" s="141">
        <v>0.18788087839400563</v>
      </c>
      <c r="AJ103" s="141">
        <v>0.18853314432433421</v>
      </c>
      <c r="AK103" s="141">
        <v>0.18918541025466279</v>
      </c>
      <c r="AL103" s="141">
        <v>0.18983767618499137</v>
      </c>
      <c r="AM103" s="141">
        <v>0.19048994211531994</v>
      </c>
      <c r="AN103" s="141">
        <v>0.19114220804564852</v>
      </c>
      <c r="AO103" s="141">
        <v>0.1917944739759771</v>
      </c>
      <c r="AP103" s="141">
        <v>0.19244673990630567</v>
      </c>
      <c r="AQ103" s="143">
        <v>0.19309900583663436</v>
      </c>
    </row>
    <row r="104" spans="7:43" ht="14.25" customHeight="1" thickBot="1" x14ac:dyDescent="0.2">
      <c r="G104" s="22"/>
      <c r="H104" s="254"/>
      <c r="J104" s="241"/>
      <c r="K104" s="144" t="s">
        <v>231</v>
      </c>
      <c r="L104" s="144" t="s">
        <v>214</v>
      </c>
      <c r="M104" s="145">
        <v>0.160946048317963</v>
      </c>
      <c r="N104" s="145">
        <v>0.160946048317963</v>
      </c>
      <c r="O104" s="145">
        <v>0.160946048317963</v>
      </c>
      <c r="P104" s="145">
        <v>0.160946048317963</v>
      </c>
      <c r="Q104" s="145">
        <v>0.160946048317963</v>
      </c>
      <c r="R104" s="145">
        <v>0.160946048317963</v>
      </c>
      <c r="S104" s="145">
        <v>0.160946048317963</v>
      </c>
      <c r="T104" s="145">
        <v>0.160946048317963</v>
      </c>
      <c r="U104" s="145">
        <v>0.160946048317963</v>
      </c>
      <c r="V104" s="145">
        <v>0.160946048317963</v>
      </c>
      <c r="W104" s="145">
        <v>0.160946048317963</v>
      </c>
      <c r="X104" s="145">
        <v>0.16190143026356799</v>
      </c>
      <c r="Y104" s="145">
        <v>0.16285681220917297</v>
      </c>
      <c r="Z104" s="145">
        <v>0.16381219415477796</v>
      </c>
      <c r="AA104" s="145">
        <v>0.16476757610038295</v>
      </c>
      <c r="AB104" s="145">
        <v>0.16572295804598794</v>
      </c>
      <c r="AC104" s="145">
        <v>0.16667833999159293</v>
      </c>
      <c r="AD104" s="145">
        <v>0.16763372193719792</v>
      </c>
      <c r="AE104" s="145">
        <v>0.1685891038828029</v>
      </c>
      <c r="AF104" s="145">
        <v>0.16954448582840789</v>
      </c>
      <c r="AG104" s="145">
        <v>0.17049986777401288</v>
      </c>
      <c r="AH104" s="145">
        <v>0.17145524971961787</v>
      </c>
      <c r="AI104" s="145">
        <v>0.17241063166522286</v>
      </c>
      <c r="AJ104" s="145">
        <v>0.17336601361082785</v>
      </c>
      <c r="AK104" s="145">
        <v>0.17432139555643283</v>
      </c>
      <c r="AL104" s="145">
        <v>0.17527677750203782</v>
      </c>
      <c r="AM104" s="145">
        <v>0.17623215944764281</v>
      </c>
      <c r="AN104" s="145">
        <v>0.1771875413932478</v>
      </c>
      <c r="AO104" s="145">
        <v>0.17814292333885279</v>
      </c>
      <c r="AP104" s="145">
        <v>0.17909830528445778</v>
      </c>
      <c r="AQ104" s="146">
        <v>0.18005368723006271</v>
      </c>
    </row>
    <row r="105" spans="7:43" ht="14.25" customHeight="1" thickTop="1" x14ac:dyDescent="0.15">
      <c r="G105" s="22"/>
      <c r="H105" s="254"/>
      <c r="J105" s="241"/>
      <c r="K105" s="140" t="s">
        <v>230</v>
      </c>
      <c r="L105" s="140" t="s">
        <v>219</v>
      </c>
      <c r="M105" s="141">
        <v>0.17301098684863317</v>
      </c>
      <c r="N105" s="141">
        <v>0.17609705138314868</v>
      </c>
      <c r="O105" s="141">
        <v>0.1791831159176642</v>
      </c>
      <c r="P105" s="141">
        <v>0.18226918045217971</v>
      </c>
      <c r="Q105" s="141">
        <v>0.18535524498669523</v>
      </c>
      <c r="R105" s="141">
        <v>0.18844130952121074</v>
      </c>
      <c r="S105" s="141">
        <v>0.19152737405572626</v>
      </c>
      <c r="T105" s="141">
        <v>0.19461343859024177</v>
      </c>
      <c r="U105" s="141">
        <v>0.19769950312475729</v>
      </c>
      <c r="V105" s="141">
        <v>0.2007855676592728</v>
      </c>
      <c r="W105" s="141">
        <v>0.20387163219378834</v>
      </c>
      <c r="X105" s="141">
        <v>0.20431483139420961</v>
      </c>
      <c r="Y105" s="141">
        <v>0.20475803059463088</v>
      </c>
      <c r="Z105" s="141">
        <v>0.20520122979505215</v>
      </c>
      <c r="AA105" s="141">
        <v>0.20564442899547342</v>
      </c>
      <c r="AB105" s="141">
        <v>0.20608762819589468</v>
      </c>
      <c r="AC105" s="141">
        <v>0.20653082739631595</v>
      </c>
      <c r="AD105" s="141">
        <v>0.20697402659673722</v>
      </c>
      <c r="AE105" s="141">
        <v>0.20741722579715849</v>
      </c>
      <c r="AF105" s="141">
        <v>0.20786042499757976</v>
      </c>
      <c r="AG105" s="141">
        <v>0.20830362419800103</v>
      </c>
      <c r="AH105" s="141">
        <v>0.20874682339842229</v>
      </c>
      <c r="AI105" s="141">
        <v>0.20919002259884356</v>
      </c>
      <c r="AJ105" s="141">
        <v>0.20963322179926483</v>
      </c>
      <c r="AK105" s="141">
        <v>0.2100764209996861</v>
      </c>
      <c r="AL105" s="141">
        <v>0.21051962020010737</v>
      </c>
      <c r="AM105" s="141">
        <v>0.21096281940052863</v>
      </c>
      <c r="AN105" s="141">
        <v>0.2114060186009499</v>
      </c>
      <c r="AO105" s="141">
        <v>0.21184921780137117</v>
      </c>
      <c r="AP105" s="141">
        <v>0.21229241700179244</v>
      </c>
      <c r="AQ105" s="142">
        <v>0.21273561620221393</v>
      </c>
    </row>
    <row r="106" spans="7:43" ht="14.25" customHeight="1" x14ac:dyDescent="0.15">
      <c r="G106" s="22"/>
      <c r="H106" s="254"/>
      <c r="J106" s="241"/>
      <c r="K106" s="19" t="s">
        <v>230</v>
      </c>
      <c r="L106" s="129" t="s">
        <v>218</v>
      </c>
      <c r="M106" s="141">
        <v>0.17175888756445945</v>
      </c>
      <c r="N106" s="141">
        <v>0.17359285281480125</v>
      </c>
      <c r="O106" s="141">
        <v>0.17542681806514304</v>
      </c>
      <c r="P106" s="141">
        <v>0.17726078331548484</v>
      </c>
      <c r="Q106" s="141">
        <v>0.17909474856582663</v>
      </c>
      <c r="R106" s="141">
        <v>0.18092871381616843</v>
      </c>
      <c r="S106" s="141">
        <v>0.18276267906651023</v>
      </c>
      <c r="T106" s="141">
        <v>0.18459664431685202</v>
      </c>
      <c r="U106" s="141">
        <v>0.18643060956719382</v>
      </c>
      <c r="V106" s="141">
        <v>0.18826457481753561</v>
      </c>
      <c r="W106" s="141">
        <v>0.19009854006787755</v>
      </c>
      <c r="X106" s="141">
        <v>0.1907871946741731</v>
      </c>
      <c r="Y106" s="141">
        <v>0.19147584928046865</v>
      </c>
      <c r="Z106" s="141">
        <v>0.1921645038867642</v>
      </c>
      <c r="AA106" s="141">
        <v>0.19285315849305976</v>
      </c>
      <c r="AB106" s="141">
        <v>0.19354181309935531</v>
      </c>
      <c r="AC106" s="141">
        <v>0.19423046770565086</v>
      </c>
      <c r="AD106" s="141">
        <v>0.19491912231194641</v>
      </c>
      <c r="AE106" s="141">
        <v>0.19560777691824197</v>
      </c>
      <c r="AF106" s="141">
        <v>0.19629643152453752</v>
      </c>
      <c r="AG106" s="141">
        <v>0.19698508613083307</v>
      </c>
      <c r="AH106" s="141">
        <v>0.19767374073712862</v>
      </c>
      <c r="AI106" s="141">
        <v>0.19836239534342417</v>
      </c>
      <c r="AJ106" s="141">
        <v>0.19905104994971973</v>
      </c>
      <c r="AK106" s="141">
        <v>0.19973970455601528</v>
      </c>
      <c r="AL106" s="141">
        <v>0.20042835916231083</v>
      </c>
      <c r="AM106" s="141">
        <v>0.20111701376860638</v>
      </c>
      <c r="AN106" s="141">
        <v>0.20180566837490194</v>
      </c>
      <c r="AO106" s="141">
        <v>0.20249432298119749</v>
      </c>
      <c r="AP106" s="141">
        <v>0.20318297758749304</v>
      </c>
      <c r="AQ106" s="143">
        <v>0.20387163219378834</v>
      </c>
    </row>
    <row r="107" spans="7:43" ht="14.25" customHeight="1" thickBot="1" x14ac:dyDescent="0.2">
      <c r="G107" s="22"/>
      <c r="H107" s="254"/>
      <c r="J107" s="241"/>
      <c r="K107" s="144" t="s">
        <v>230</v>
      </c>
      <c r="L107" s="144" t="s">
        <v>214</v>
      </c>
      <c r="M107" s="145">
        <v>0.16992492231411765</v>
      </c>
      <c r="N107" s="145">
        <v>0.16992492231411765</v>
      </c>
      <c r="O107" s="145">
        <v>0.16992492231411765</v>
      </c>
      <c r="P107" s="145">
        <v>0.16992492231411765</v>
      </c>
      <c r="Q107" s="145">
        <v>0.16992492231411765</v>
      </c>
      <c r="R107" s="145">
        <v>0.16992492231411765</v>
      </c>
      <c r="S107" s="145">
        <v>0.16992492231411765</v>
      </c>
      <c r="T107" s="145">
        <v>0.16992492231411765</v>
      </c>
      <c r="U107" s="145">
        <v>0.16992492231411765</v>
      </c>
      <c r="V107" s="145">
        <v>0.16992492231411765</v>
      </c>
      <c r="W107" s="145">
        <v>0.16992492231411765</v>
      </c>
      <c r="X107" s="145">
        <v>0.17093360320180565</v>
      </c>
      <c r="Y107" s="145">
        <v>0.17194228408949364</v>
      </c>
      <c r="Z107" s="145">
        <v>0.17295096497718163</v>
      </c>
      <c r="AA107" s="145">
        <v>0.17395964586486962</v>
      </c>
      <c r="AB107" s="145">
        <v>0.17496832675255761</v>
      </c>
      <c r="AC107" s="145">
        <v>0.1759770076402456</v>
      </c>
      <c r="AD107" s="145">
        <v>0.17698568852793359</v>
      </c>
      <c r="AE107" s="145">
        <v>0.17799436941562158</v>
      </c>
      <c r="AF107" s="145">
        <v>0.17900305030330957</v>
      </c>
      <c r="AG107" s="145">
        <v>0.18001173119099756</v>
      </c>
      <c r="AH107" s="145">
        <v>0.18102041207868555</v>
      </c>
      <c r="AI107" s="145">
        <v>0.18202909296637354</v>
      </c>
      <c r="AJ107" s="145">
        <v>0.18303777385406153</v>
      </c>
      <c r="AK107" s="145">
        <v>0.18404645474174952</v>
      </c>
      <c r="AL107" s="145">
        <v>0.18505513562943751</v>
      </c>
      <c r="AM107" s="145">
        <v>0.1860638165171255</v>
      </c>
      <c r="AN107" s="145">
        <v>0.18707249740481349</v>
      </c>
      <c r="AO107" s="145">
        <v>0.18808117829250148</v>
      </c>
      <c r="AP107" s="145">
        <v>0.18908985918018947</v>
      </c>
      <c r="AQ107" s="146">
        <v>0.19009854006787755</v>
      </c>
    </row>
    <row r="108" spans="7:43" ht="14.25" customHeight="1" thickTop="1" x14ac:dyDescent="0.15">
      <c r="G108" s="22"/>
      <c r="H108" s="254"/>
      <c r="J108" s="241"/>
      <c r="K108" s="140" t="s">
        <v>229</v>
      </c>
      <c r="L108" s="140" t="s">
        <v>219</v>
      </c>
      <c r="M108" s="141">
        <v>0.18276757870474997</v>
      </c>
      <c r="N108" s="141">
        <v>0.18602767537822582</v>
      </c>
      <c r="O108" s="141">
        <v>0.18928777205170166</v>
      </c>
      <c r="P108" s="141">
        <v>0.19254786872517751</v>
      </c>
      <c r="Q108" s="141">
        <v>0.19580796539865336</v>
      </c>
      <c r="R108" s="141">
        <v>0.19906806207212921</v>
      </c>
      <c r="S108" s="141">
        <v>0.20232815874560506</v>
      </c>
      <c r="T108" s="141">
        <v>0.20558825541908091</v>
      </c>
      <c r="U108" s="141">
        <v>0.20884835209255675</v>
      </c>
      <c r="V108" s="141">
        <v>0.2121084487660326</v>
      </c>
      <c r="W108" s="141">
        <v>0.21536854543950842</v>
      </c>
      <c r="X108" s="141">
        <v>0.21583673792959432</v>
      </c>
      <c r="Y108" s="141">
        <v>0.21630493041968021</v>
      </c>
      <c r="Z108" s="141">
        <v>0.21677312290976611</v>
      </c>
      <c r="AA108" s="141">
        <v>0.217241315399852</v>
      </c>
      <c r="AB108" s="141">
        <v>0.2177095078899379</v>
      </c>
      <c r="AC108" s="141">
        <v>0.21817770038002379</v>
      </c>
      <c r="AD108" s="141">
        <v>0.21864589287010969</v>
      </c>
      <c r="AE108" s="141">
        <v>0.21911408536019558</v>
      </c>
      <c r="AF108" s="141">
        <v>0.21958227785028148</v>
      </c>
      <c r="AG108" s="141">
        <v>0.22005047034036737</v>
      </c>
      <c r="AH108" s="141">
        <v>0.22051866283045327</v>
      </c>
      <c r="AI108" s="141">
        <v>0.22098685532053916</v>
      </c>
      <c r="AJ108" s="141">
        <v>0.22145504781062506</v>
      </c>
      <c r="AK108" s="141">
        <v>0.22192324030071095</v>
      </c>
      <c r="AL108" s="141">
        <v>0.22239143279079684</v>
      </c>
      <c r="AM108" s="141">
        <v>0.22285962528088274</v>
      </c>
      <c r="AN108" s="141">
        <v>0.22332781777096863</v>
      </c>
      <c r="AO108" s="141">
        <v>0.22379601026105453</v>
      </c>
      <c r="AP108" s="141">
        <v>0.22426420275114042</v>
      </c>
      <c r="AQ108" s="142">
        <v>0.22473239524122618</v>
      </c>
    </row>
    <row r="109" spans="7:43" ht="14.25" customHeight="1" x14ac:dyDescent="0.15">
      <c r="G109" s="22"/>
      <c r="H109" s="254"/>
      <c r="J109" s="241"/>
      <c r="K109" s="19" t="s">
        <v>229</v>
      </c>
      <c r="L109" s="129" t="s">
        <v>218</v>
      </c>
      <c r="M109" s="141">
        <v>0.18144486990668621</v>
      </c>
      <c r="N109" s="141">
        <v>0.1833822577820983</v>
      </c>
      <c r="O109" s="141">
        <v>0.18531964565751038</v>
      </c>
      <c r="P109" s="141">
        <v>0.18725703353292247</v>
      </c>
      <c r="Q109" s="141">
        <v>0.18919442140833456</v>
      </c>
      <c r="R109" s="141">
        <v>0.19113180928374665</v>
      </c>
      <c r="S109" s="141">
        <v>0.19306919715915874</v>
      </c>
      <c r="T109" s="141">
        <v>0.19500658503457083</v>
      </c>
      <c r="U109" s="141">
        <v>0.19694397290998292</v>
      </c>
      <c r="V109" s="141">
        <v>0.19888136078539501</v>
      </c>
      <c r="W109" s="141">
        <v>0.20081874866080715</v>
      </c>
      <c r="X109" s="141">
        <v>0.20154623849974221</v>
      </c>
      <c r="Y109" s="141">
        <v>0.20227372833867727</v>
      </c>
      <c r="Z109" s="141">
        <v>0.20300121817761232</v>
      </c>
      <c r="AA109" s="141">
        <v>0.20372870801654738</v>
      </c>
      <c r="AB109" s="141">
        <v>0.20445619785548244</v>
      </c>
      <c r="AC109" s="141">
        <v>0.2051836876944175</v>
      </c>
      <c r="AD109" s="141">
        <v>0.20591117753335256</v>
      </c>
      <c r="AE109" s="141">
        <v>0.20663866737228762</v>
      </c>
      <c r="AF109" s="141">
        <v>0.20736615721122267</v>
      </c>
      <c r="AG109" s="141">
        <v>0.20809364705015773</v>
      </c>
      <c r="AH109" s="141">
        <v>0.20882113688909279</v>
      </c>
      <c r="AI109" s="141">
        <v>0.20954862672802785</v>
      </c>
      <c r="AJ109" s="141">
        <v>0.21027611656696291</v>
      </c>
      <c r="AK109" s="141">
        <v>0.21100360640589796</v>
      </c>
      <c r="AL109" s="141">
        <v>0.21173109624483302</v>
      </c>
      <c r="AM109" s="141">
        <v>0.21245858608376808</v>
      </c>
      <c r="AN109" s="141">
        <v>0.21318607592270314</v>
      </c>
      <c r="AO109" s="141">
        <v>0.2139135657616382</v>
      </c>
      <c r="AP109" s="141">
        <v>0.21464105560057326</v>
      </c>
      <c r="AQ109" s="143">
        <v>0.21536854543950842</v>
      </c>
    </row>
    <row r="110" spans="7:43" ht="14.25" customHeight="1" thickBot="1" x14ac:dyDescent="0.2">
      <c r="G110" s="22"/>
      <c r="H110" s="254"/>
      <c r="J110" s="241"/>
      <c r="K110" s="144" t="s">
        <v>229</v>
      </c>
      <c r="L110" s="144" t="s">
        <v>214</v>
      </c>
      <c r="M110" s="145">
        <v>0.17950748203127412</v>
      </c>
      <c r="N110" s="145">
        <v>0.17950748203127412</v>
      </c>
      <c r="O110" s="145">
        <v>0.17950748203127412</v>
      </c>
      <c r="P110" s="145">
        <v>0.17950748203127412</v>
      </c>
      <c r="Q110" s="145">
        <v>0.17950748203127412</v>
      </c>
      <c r="R110" s="145">
        <v>0.17950748203127412</v>
      </c>
      <c r="S110" s="145">
        <v>0.17950748203127412</v>
      </c>
      <c r="T110" s="145">
        <v>0.17950748203127412</v>
      </c>
      <c r="U110" s="145">
        <v>0.17950748203127412</v>
      </c>
      <c r="V110" s="145">
        <v>0.17950748203127412</v>
      </c>
      <c r="W110" s="145">
        <v>0.17950748203127412</v>
      </c>
      <c r="X110" s="145">
        <v>0.18057304536275076</v>
      </c>
      <c r="Y110" s="145">
        <v>0.1816386086942274</v>
      </c>
      <c r="Z110" s="145">
        <v>0.18270417202570405</v>
      </c>
      <c r="AA110" s="145">
        <v>0.18376973535718069</v>
      </c>
      <c r="AB110" s="145">
        <v>0.18483529868865733</v>
      </c>
      <c r="AC110" s="145">
        <v>0.18590086202013398</v>
      </c>
      <c r="AD110" s="145">
        <v>0.18696642535161062</v>
      </c>
      <c r="AE110" s="145">
        <v>0.18803198868308726</v>
      </c>
      <c r="AF110" s="145">
        <v>0.18909755201456391</v>
      </c>
      <c r="AG110" s="145">
        <v>0.19016311534604055</v>
      </c>
      <c r="AH110" s="145">
        <v>0.19122867867751719</v>
      </c>
      <c r="AI110" s="145">
        <v>0.19229424200899384</v>
      </c>
      <c r="AJ110" s="145">
        <v>0.19335980534047048</v>
      </c>
      <c r="AK110" s="145">
        <v>0.19442536867194712</v>
      </c>
      <c r="AL110" s="145">
        <v>0.19549093200342377</v>
      </c>
      <c r="AM110" s="145">
        <v>0.19655649533490041</v>
      </c>
      <c r="AN110" s="145">
        <v>0.19762205866637705</v>
      </c>
      <c r="AO110" s="145">
        <v>0.1986876219978537</v>
      </c>
      <c r="AP110" s="145">
        <v>0.19975318532933034</v>
      </c>
      <c r="AQ110" s="146">
        <v>0.20081874866080715</v>
      </c>
    </row>
    <row r="111" spans="7:43" ht="14.25" customHeight="1" thickTop="1" x14ac:dyDescent="0.15">
      <c r="G111" s="22"/>
      <c r="H111" s="254"/>
      <c r="J111" s="241"/>
      <c r="K111" s="140" t="s">
        <v>228</v>
      </c>
      <c r="L111" s="140" t="s">
        <v>219</v>
      </c>
      <c r="M111" s="141">
        <v>0.18964463992464817</v>
      </c>
      <c r="N111" s="141">
        <v>0.19302740542464766</v>
      </c>
      <c r="O111" s="141">
        <v>0.19641017092464716</v>
      </c>
      <c r="P111" s="141">
        <v>0.19979293642464666</v>
      </c>
      <c r="Q111" s="141">
        <v>0.20317570192464615</v>
      </c>
      <c r="R111" s="141">
        <v>0.20655846742464565</v>
      </c>
      <c r="S111" s="141">
        <v>0.20994123292464514</v>
      </c>
      <c r="T111" s="141">
        <v>0.21332399842464464</v>
      </c>
      <c r="U111" s="141">
        <v>0.21670676392464414</v>
      </c>
      <c r="V111" s="141">
        <v>0.22008952942464363</v>
      </c>
      <c r="W111" s="141">
        <v>0.2234722949246431</v>
      </c>
      <c r="X111" s="141">
        <v>0.22395810426143581</v>
      </c>
      <c r="Y111" s="141">
        <v>0.22444391359822852</v>
      </c>
      <c r="Z111" s="141">
        <v>0.22492972293502123</v>
      </c>
      <c r="AA111" s="141">
        <v>0.22541553227181393</v>
      </c>
      <c r="AB111" s="141">
        <v>0.22590134160860664</v>
      </c>
      <c r="AC111" s="141">
        <v>0.22638715094539935</v>
      </c>
      <c r="AD111" s="141">
        <v>0.22687296028219206</v>
      </c>
      <c r="AE111" s="141">
        <v>0.22735876961898477</v>
      </c>
      <c r="AF111" s="141">
        <v>0.22784457895577748</v>
      </c>
      <c r="AG111" s="141">
        <v>0.22833038829257019</v>
      </c>
      <c r="AH111" s="141">
        <v>0.22881619762936289</v>
      </c>
      <c r="AI111" s="141">
        <v>0.2293020069661556</v>
      </c>
      <c r="AJ111" s="141">
        <v>0.22978781630294831</v>
      </c>
      <c r="AK111" s="141">
        <v>0.23027362563974102</v>
      </c>
      <c r="AL111" s="141">
        <v>0.23075943497653373</v>
      </c>
      <c r="AM111" s="141">
        <v>0.23124524431332644</v>
      </c>
      <c r="AN111" s="141">
        <v>0.23173105365011915</v>
      </c>
      <c r="AO111" s="141">
        <v>0.23221686298691185</v>
      </c>
      <c r="AP111" s="141">
        <v>0.23270267232370456</v>
      </c>
      <c r="AQ111" s="142">
        <v>0.23318848166049716</v>
      </c>
    </row>
    <row r="112" spans="7:43" ht="14.25" customHeight="1" x14ac:dyDescent="0.15">
      <c r="G112" s="22"/>
      <c r="H112" s="254"/>
      <c r="J112" s="241"/>
      <c r="K112" s="19" t="s">
        <v>228</v>
      </c>
      <c r="L112" s="129" t="s">
        <v>218</v>
      </c>
      <c r="M112" s="141">
        <v>0.18827216108834871</v>
      </c>
      <c r="N112" s="141">
        <v>0.19028244775204875</v>
      </c>
      <c r="O112" s="141">
        <v>0.19229273441574879</v>
      </c>
      <c r="P112" s="141">
        <v>0.19430302107944883</v>
      </c>
      <c r="Q112" s="141">
        <v>0.19631330774314887</v>
      </c>
      <c r="R112" s="141">
        <v>0.19832359440684891</v>
      </c>
      <c r="S112" s="141">
        <v>0.20033388107054895</v>
      </c>
      <c r="T112" s="141">
        <v>0.20234416773424899</v>
      </c>
      <c r="U112" s="141">
        <v>0.20435445439794903</v>
      </c>
      <c r="V112" s="141">
        <v>0.20636474106164907</v>
      </c>
      <c r="W112" s="141">
        <v>0.20837502772534908</v>
      </c>
      <c r="X112" s="141">
        <v>0.20912989108531377</v>
      </c>
      <c r="Y112" s="141">
        <v>0.20988475444527846</v>
      </c>
      <c r="Z112" s="141">
        <v>0.21063961780524315</v>
      </c>
      <c r="AA112" s="141">
        <v>0.21139448116520784</v>
      </c>
      <c r="AB112" s="141">
        <v>0.21214934452517253</v>
      </c>
      <c r="AC112" s="141">
        <v>0.21290420788513723</v>
      </c>
      <c r="AD112" s="141">
        <v>0.21365907124510192</v>
      </c>
      <c r="AE112" s="141">
        <v>0.21441393460506661</v>
      </c>
      <c r="AF112" s="141">
        <v>0.2151687979650313</v>
      </c>
      <c r="AG112" s="141">
        <v>0.21592366132499599</v>
      </c>
      <c r="AH112" s="141">
        <v>0.21667852468496068</v>
      </c>
      <c r="AI112" s="141">
        <v>0.21743338804492537</v>
      </c>
      <c r="AJ112" s="141">
        <v>0.21818825140489007</v>
      </c>
      <c r="AK112" s="141">
        <v>0.21894311476485476</v>
      </c>
      <c r="AL112" s="141">
        <v>0.21969797812481945</v>
      </c>
      <c r="AM112" s="141">
        <v>0.22045284148478414</v>
      </c>
      <c r="AN112" s="141">
        <v>0.22120770484474883</v>
      </c>
      <c r="AO112" s="141">
        <v>0.22196256820471352</v>
      </c>
      <c r="AP112" s="141">
        <v>0.22271743156467821</v>
      </c>
      <c r="AQ112" s="143">
        <v>0.2234722949246431</v>
      </c>
    </row>
    <row r="113" spans="7:45" ht="14.25" customHeight="1" thickBot="1" x14ac:dyDescent="0.2">
      <c r="G113" s="22"/>
      <c r="H113" s="254"/>
      <c r="J113" s="251"/>
      <c r="K113" s="144" t="s">
        <v>228</v>
      </c>
      <c r="L113" s="144" t="s">
        <v>214</v>
      </c>
      <c r="M113" s="145">
        <v>0.18626187442464867</v>
      </c>
      <c r="N113" s="145">
        <v>0.18626187442464867</v>
      </c>
      <c r="O113" s="145">
        <v>0.18626187442464867</v>
      </c>
      <c r="P113" s="145">
        <v>0.18626187442464867</v>
      </c>
      <c r="Q113" s="145">
        <v>0.18626187442464867</v>
      </c>
      <c r="R113" s="145">
        <v>0.18626187442464867</v>
      </c>
      <c r="S113" s="145">
        <v>0.18626187442464867</v>
      </c>
      <c r="T113" s="145">
        <v>0.18626187442464867</v>
      </c>
      <c r="U113" s="145">
        <v>0.18626187442464867</v>
      </c>
      <c r="V113" s="145">
        <v>0.18626187442464867</v>
      </c>
      <c r="W113" s="145">
        <v>0.18626187442464867</v>
      </c>
      <c r="X113" s="145">
        <v>0.18736753208968368</v>
      </c>
      <c r="Y113" s="145">
        <v>0.18847318975471869</v>
      </c>
      <c r="Z113" s="145">
        <v>0.1895788474197537</v>
      </c>
      <c r="AA113" s="145">
        <v>0.19068450508478871</v>
      </c>
      <c r="AB113" s="145">
        <v>0.19179016274982372</v>
      </c>
      <c r="AC113" s="145">
        <v>0.19289582041485873</v>
      </c>
      <c r="AD113" s="145">
        <v>0.19400147807989374</v>
      </c>
      <c r="AE113" s="145">
        <v>0.19510713574492874</v>
      </c>
      <c r="AF113" s="145">
        <v>0.19621279340996375</v>
      </c>
      <c r="AG113" s="145">
        <v>0.19731845107499876</v>
      </c>
      <c r="AH113" s="145">
        <v>0.19842410874003377</v>
      </c>
      <c r="AI113" s="145">
        <v>0.19952976640506878</v>
      </c>
      <c r="AJ113" s="145">
        <v>0.20063542407010379</v>
      </c>
      <c r="AK113" s="145">
        <v>0.2017410817351388</v>
      </c>
      <c r="AL113" s="145">
        <v>0.20284673940017381</v>
      </c>
      <c r="AM113" s="145">
        <v>0.20395239706520882</v>
      </c>
      <c r="AN113" s="145">
        <v>0.20505805473024383</v>
      </c>
      <c r="AO113" s="145">
        <v>0.20616371239527884</v>
      </c>
      <c r="AP113" s="145">
        <v>0.20726937006031385</v>
      </c>
      <c r="AQ113" s="146">
        <v>0.20837502772534908</v>
      </c>
    </row>
    <row r="114" spans="7:45" ht="14.25" customHeight="1" thickTop="1" x14ac:dyDescent="0.15">
      <c r="G114" s="22"/>
      <c r="H114" s="254"/>
      <c r="J114" s="147"/>
      <c r="K114" s="19"/>
      <c r="L114" s="19"/>
      <c r="M114" s="81"/>
      <c r="N114" s="81"/>
      <c r="O114" s="81"/>
      <c r="P114" s="81"/>
      <c r="Q114" s="81"/>
      <c r="R114" s="81"/>
      <c r="S114" s="81"/>
      <c r="T114" s="81"/>
      <c r="U114" s="81"/>
      <c r="V114" s="81"/>
      <c r="W114" s="81"/>
      <c r="X114" s="81"/>
      <c r="Y114" s="81"/>
      <c r="Z114" s="81"/>
      <c r="AA114" s="81"/>
      <c r="AB114" s="81"/>
      <c r="AC114" s="81"/>
      <c r="AD114" s="81"/>
      <c r="AE114" s="81"/>
      <c r="AF114" s="81"/>
      <c r="AG114" s="81"/>
      <c r="AH114" s="81"/>
      <c r="AI114" s="81"/>
      <c r="AJ114" s="81"/>
      <c r="AK114" s="81"/>
      <c r="AL114" s="81"/>
      <c r="AM114" s="81"/>
      <c r="AN114" s="81"/>
      <c r="AO114" s="81"/>
      <c r="AP114" s="81"/>
      <c r="AQ114" s="81"/>
    </row>
    <row r="115" spans="7:45" ht="14.25" customHeight="1" x14ac:dyDescent="0.15">
      <c r="G115" s="22"/>
      <c r="H115" s="254"/>
      <c r="J115" s="78"/>
      <c r="M115" s="128">
        <v>2020</v>
      </c>
      <c r="N115" s="128">
        <v>2021</v>
      </c>
      <c r="O115" s="128">
        <v>2022</v>
      </c>
      <c r="P115" s="128">
        <v>2023</v>
      </c>
      <c r="Q115" s="128">
        <v>2024</v>
      </c>
      <c r="R115" s="128">
        <v>2025</v>
      </c>
      <c r="S115" s="128">
        <v>2026</v>
      </c>
      <c r="T115" s="128">
        <v>2027</v>
      </c>
      <c r="U115" s="128">
        <v>2028</v>
      </c>
      <c r="V115" s="128">
        <v>2029</v>
      </c>
      <c r="W115" s="128">
        <v>2030</v>
      </c>
      <c r="X115" s="128">
        <v>2031</v>
      </c>
      <c r="Y115" s="128">
        <v>2032</v>
      </c>
      <c r="Z115" s="128">
        <v>2033</v>
      </c>
      <c r="AA115" s="128">
        <v>2034</v>
      </c>
      <c r="AB115" s="128">
        <v>2035</v>
      </c>
      <c r="AC115" s="128">
        <v>2036</v>
      </c>
      <c r="AD115" s="128">
        <v>2037</v>
      </c>
      <c r="AE115" s="128">
        <v>2038</v>
      </c>
      <c r="AF115" s="128">
        <v>2039</v>
      </c>
      <c r="AG115" s="128">
        <v>2040</v>
      </c>
      <c r="AH115" s="128">
        <v>2041</v>
      </c>
      <c r="AI115" s="128">
        <v>2042</v>
      </c>
      <c r="AJ115" s="128">
        <v>2043</v>
      </c>
      <c r="AK115" s="128">
        <v>2044</v>
      </c>
      <c r="AL115" s="128">
        <v>2045</v>
      </c>
      <c r="AM115" s="128">
        <v>2046</v>
      </c>
      <c r="AN115" s="128">
        <v>2047</v>
      </c>
      <c r="AO115" s="128">
        <v>2048</v>
      </c>
      <c r="AP115" s="128">
        <v>2049</v>
      </c>
      <c r="AQ115" s="128">
        <v>2050</v>
      </c>
    </row>
    <row r="116" spans="7:45" ht="14.25" customHeight="1" x14ac:dyDescent="0.15">
      <c r="G116" s="22"/>
      <c r="H116" s="254"/>
      <c r="J116" s="240" t="s">
        <v>163</v>
      </c>
      <c r="K116" s="140" t="s">
        <v>237</v>
      </c>
      <c r="L116" s="140" t="s">
        <v>219</v>
      </c>
      <c r="M116" s="148">
        <f t="shared" ref="M116:AQ116" si="18">M84*8760</f>
        <v>1068.0172753903184</v>
      </c>
      <c r="N116" s="148">
        <f t="shared" si="18"/>
        <v>1087.0679166002642</v>
      </c>
      <c r="O116" s="148">
        <f t="shared" si="18"/>
        <v>1106.1185578102102</v>
      </c>
      <c r="P116" s="148">
        <f t="shared" si="18"/>
        <v>1125.1691990201559</v>
      </c>
      <c r="Q116" s="148">
        <f t="shared" si="18"/>
        <v>1144.2198402301017</v>
      </c>
      <c r="R116" s="148">
        <f t="shared" si="18"/>
        <v>1163.2704814400474</v>
      </c>
      <c r="S116" s="148">
        <f t="shared" si="18"/>
        <v>1182.3211226499932</v>
      </c>
      <c r="T116" s="148">
        <f t="shared" si="18"/>
        <v>1201.3717638599389</v>
      </c>
      <c r="U116" s="148">
        <f t="shared" si="18"/>
        <v>1220.4224050698847</v>
      </c>
      <c r="V116" s="148">
        <f t="shared" si="18"/>
        <v>1239.4730462798304</v>
      </c>
      <c r="W116" s="148">
        <f t="shared" si="18"/>
        <v>1258.5236874897762</v>
      </c>
      <c r="X116" s="148">
        <f t="shared" si="18"/>
        <v>1261.2596085495368</v>
      </c>
      <c r="Y116" s="148">
        <f t="shared" si="18"/>
        <v>1263.9955296092971</v>
      </c>
      <c r="Z116" s="148">
        <f t="shared" si="18"/>
        <v>1266.7314506690575</v>
      </c>
      <c r="AA116" s="148">
        <f t="shared" si="18"/>
        <v>1269.4673717288179</v>
      </c>
      <c r="AB116" s="148">
        <f t="shared" si="18"/>
        <v>1272.2032927885784</v>
      </c>
      <c r="AC116" s="148">
        <f t="shared" si="18"/>
        <v>1274.9392138483388</v>
      </c>
      <c r="AD116" s="148">
        <f t="shared" si="18"/>
        <v>1277.6751349080992</v>
      </c>
      <c r="AE116" s="148">
        <f t="shared" si="18"/>
        <v>1280.4110559678595</v>
      </c>
      <c r="AF116" s="148">
        <f t="shared" si="18"/>
        <v>1283.1469770276201</v>
      </c>
      <c r="AG116" s="148">
        <f t="shared" si="18"/>
        <v>1285.8828980873805</v>
      </c>
      <c r="AH116" s="148">
        <f t="shared" si="18"/>
        <v>1288.6188191471408</v>
      </c>
      <c r="AI116" s="148">
        <f t="shared" si="18"/>
        <v>1291.3547402069012</v>
      </c>
      <c r="AJ116" s="148">
        <f t="shared" si="18"/>
        <v>1294.0906612666618</v>
      </c>
      <c r="AK116" s="148">
        <f t="shared" si="18"/>
        <v>1296.8265823264221</v>
      </c>
      <c r="AL116" s="148">
        <f t="shared" si="18"/>
        <v>1299.5625033861825</v>
      </c>
      <c r="AM116" s="148">
        <f t="shared" si="18"/>
        <v>1302.2984244459428</v>
      </c>
      <c r="AN116" s="148">
        <f t="shared" si="18"/>
        <v>1305.0343455057034</v>
      </c>
      <c r="AO116" s="148">
        <f t="shared" si="18"/>
        <v>1307.7702665654638</v>
      </c>
      <c r="AP116" s="148">
        <f t="shared" si="18"/>
        <v>1310.5061876252241</v>
      </c>
      <c r="AQ116" s="148">
        <f t="shared" si="18"/>
        <v>1313.2421086849838</v>
      </c>
    </row>
    <row r="117" spans="7:45" ht="14.25" customHeight="1" x14ac:dyDescent="0.15">
      <c r="G117" s="22"/>
      <c r="H117" s="254"/>
      <c r="J117" s="241"/>
      <c r="K117" s="19" t="s">
        <v>237</v>
      </c>
      <c r="L117" s="129" t="s">
        <v>218</v>
      </c>
      <c r="M117" s="149">
        <f t="shared" ref="M117:AQ117" si="19">M85*8760</f>
        <v>1060.2879184843821</v>
      </c>
      <c r="N117" s="149">
        <f t="shared" si="19"/>
        <v>1071.6092027883913</v>
      </c>
      <c r="O117" s="149">
        <f t="shared" si="19"/>
        <v>1082.9304870924004</v>
      </c>
      <c r="P117" s="149">
        <f t="shared" si="19"/>
        <v>1094.2517713964098</v>
      </c>
      <c r="Q117" s="149">
        <f t="shared" si="19"/>
        <v>1105.573055700419</v>
      </c>
      <c r="R117" s="149">
        <f t="shared" si="19"/>
        <v>1116.8943400044282</v>
      </c>
      <c r="S117" s="149">
        <f t="shared" si="19"/>
        <v>1128.2156243084373</v>
      </c>
      <c r="T117" s="149">
        <f t="shared" si="19"/>
        <v>1139.5369086124465</v>
      </c>
      <c r="U117" s="149">
        <f t="shared" si="19"/>
        <v>1150.8581929164557</v>
      </c>
      <c r="V117" s="149">
        <f t="shared" si="19"/>
        <v>1162.1794772204648</v>
      </c>
      <c r="W117" s="149">
        <f t="shared" si="19"/>
        <v>1173.5007615244745</v>
      </c>
      <c r="X117" s="149">
        <f t="shared" si="19"/>
        <v>1177.7519078227394</v>
      </c>
      <c r="Y117" s="149">
        <f t="shared" si="19"/>
        <v>1182.0030541210047</v>
      </c>
      <c r="Z117" s="149">
        <f t="shared" si="19"/>
        <v>1186.2542004192696</v>
      </c>
      <c r="AA117" s="149">
        <f t="shared" si="19"/>
        <v>1190.5053467175346</v>
      </c>
      <c r="AB117" s="149">
        <f t="shared" si="19"/>
        <v>1194.7564930157998</v>
      </c>
      <c r="AC117" s="149">
        <f t="shared" si="19"/>
        <v>1199.0076393140648</v>
      </c>
      <c r="AD117" s="149">
        <f t="shared" si="19"/>
        <v>1203.2587856123298</v>
      </c>
      <c r="AE117" s="149">
        <f t="shared" si="19"/>
        <v>1207.5099319105948</v>
      </c>
      <c r="AF117" s="149">
        <f t="shared" si="19"/>
        <v>1211.76107820886</v>
      </c>
      <c r="AG117" s="149">
        <f t="shared" si="19"/>
        <v>1216.012224507125</v>
      </c>
      <c r="AH117" s="149">
        <f t="shared" si="19"/>
        <v>1220.26337080539</v>
      </c>
      <c r="AI117" s="149">
        <f t="shared" si="19"/>
        <v>1224.5145171036552</v>
      </c>
      <c r="AJ117" s="149">
        <f t="shared" si="19"/>
        <v>1228.7656634019202</v>
      </c>
      <c r="AK117" s="149">
        <f t="shared" si="19"/>
        <v>1233.0168097001851</v>
      </c>
      <c r="AL117" s="149">
        <f t="shared" si="19"/>
        <v>1237.2679559984504</v>
      </c>
      <c r="AM117" s="149">
        <f t="shared" si="19"/>
        <v>1241.5191022967153</v>
      </c>
      <c r="AN117" s="149">
        <f t="shared" si="19"/>
        <v>1245.7702485949803</v>
      </c>
      <c r="AO117" s="149">
        <f t="shared" si="19"/>
        <v>1250.0213948932455</v>
      </c>
      <c r="AP117" s="149">
        <f t="shared" si="19"/>
        <v>1254.2725411915105</v>
      </c>
      <c r="AQ117" s="149">
        <f t="shared" si="19"/>
        <v>1258.5236874897762</v>
      </c>
    </row>
    <row r="118" spans="7:45" ht="14.25" customHeight="1" thickBot="1" x14ac:dyDescent="0.2">
      <c r="G118" s="22"/>
      <c r="H118" s="254"/>
      <c r="J118" s="241"/>
      <c r="K118" s="144" t="s">
        <v>237</v>
      </c>
      <c r="L118" s="144" t="s">
        <v>214</v>
      </c>
      <c r="M118" s="150">
        <f t="shared" ref="M118:AQ118" si="20">M86*8760</f>
        <v>1048.9666341803727</v>
      </c>
      <c r="N118" s="150">
        <f t="shared" si="20"/>
        <v>1048.9666341803727</v>
      </c>
      <c r="O118" s="150">
        <f t="shared" si="20"/>
        <v>1048.9666341803727</v>
      </c>
      <c r="P118" s="150">
        <f t="shared" si="20"/>
        <v>1048.9666341803727</v>
      </c>
      <c r="Q118" s="150">
        <f t="shared" si="20"/>
        <v>1048.9666341803727</v>
      </c>
      <c r="R118" s="150">
        <f t="shared" si="20"/>
        <v>1048.9666341803727</v>
      </c>
      <c r="S118" s="150">
        <f t="shared" si="20"/>
        <v>1048.9666341803727</v>
      </c>
      <c r="T118" s="150">
        <f t="shared" si="20"/>
        <v>1048.9666341803727</v>
      </c>
      <c r="U118" s="150">
        <f t="shared" si="20"/>
        <v>1048.9666341803727</v>
      </c>
      <c r="V118" s="150">
        <f t="shared" si="20"/>
        <v>1048.9666341803727</v>
      </c>
      <c r="W118" s="150">
        <f t="shared" si="20"/>
        <v>1048.9666341803727</v>
      </c>
      <c r="X118" s="150">
        <f t="shared" si="20"/>
        <v>1055.1933405475777</v>
      </c>
      <c r="Y118" s="150">
        <f t="shared" si="20"/>
        <v>1061.4200469147829</v>
      </c>
      <c r="Z118" s="150">
        <f t="shared" si="20"/>
        <v>1067.6467532819879</v>
      </c>
      <c r="AA118" s="150">
        <f t="shared" si="20"/>
        <v>1073.8734596491929</v>
      </c>
      <c r="AB118" s="150">
        <f t="shared" si="20"/>
        <v>1080.1001660163979</v>
      </c>
      <c r="AC118" s="150">
        <f t="shared" si="20"/>
        <v>1086.3268723836029</v>
      </c>
      <c r="AD118" s="150">
        <f t="shared" si="20"/>
        <v>1092.5535787508081</v>
      </c>
      <c r="AE118" s="150">
        <f t="shared" si="20"/>
        <v>1098.7802851180131</v>
      </c>
      <c r="AF118" s="150">
        <f t="shared" si="20"/>
        <v>1105.0069914852184</v>
      </c>
      <c r="AG118" s="150">
        <f t="shared" si="20"/>
        <v>1111.2336978524233</v>
      </c>
      <c r="AH118" s="150">
        <f t="shared" si="20"/>
        <v>1117.4604042196283</v>
      </c>
      <c r="AI118" s="150">
        <f t="shared" si="20"/>
        <v>1123.6871105868333</v>
      </c>
      <c r="AJ118" s="150">
        <f t="shared" si="20"/>
        <v>1129.9138169540383</v>
      </c>
      <c r="AK118" s="150">
        <f t="shared" si="20"/>
        <v>1136.1405233212436</v>
      </c>
      <c r="AL118" s="150">
        <f t="shared" si="20"/>
        <v>1142.3672296884486</v>
      </c>
      <c r="AM118" s="150">
        <f t="shared" si="20"/>
        <v>1148.5939360556536</v>
      </c>
      <c r="AN118" s="150">
        <f t="shared" si="20"/>
        <v>1154.8206424228586</v>
      </c>
      <c r="AO118" s="150">
        <f t="shared" si="20"/>
        <v>1161.0473487900636</v>
      </c>
      <c r="AP118" s="150">
        <f t="shared" si="20"/>
        <v>1167.2740551572688</v>
      </c>
      <c r="AQ118" s="150">
        <f t="shared" si="20"/>
        <v>1173.5007615244745</v>
      </c>
    </row>
    <row r="119" spans="7:45" ht="14.25" customHeight="1" thickTop="1" x14ac:dyDescent="0.15">
      <c r="G119" s="22"/>
      <c r="H119" s="254"/>
      <c r="J119" s="241"/>
      <c r="K119" s="140" t="s">
        <v>236</v>
      </c>
      <c r="L119" s="140" t="s">
        <v>219</v>
      </c>
      <c r="M119" s="151">
        <f t="shared" ref="M119:AQ119" si="21">M87*8760</f>
        <v>1174.0971497484531</v>
      </c>
      <c r="N119" s="151">
        <f t="shared" si="21"/>
        <v>1195.0399791023169</v>
      </c>
      <c r="O119" s="151">
        <f t="shared" si="21"/>
        <v>1215.9828084561805</v>
      </c>
      <c r="P119" s="151">
        <f t="shared" si="21"/>
        <v>1236.9256378100442</v>
      </c>
      <c r="Q119" s="151">
        <f t="shared" si="21"/>
        <v>1257.8684671639078</v>
      </c>
      <c r="R119" s="151">
        <f t="shared" si="21"/>
        <v>1278.8112965177713</v>
      </c>
      <c r="S119" s="151">
        <f t="shared" si="21"/>
        <v>1299.7541258716351</v>
      </c>
      <c r="T119" s="151">
        <f t="shared" si="21"/>
        <v>1320.6969552254986</v>
      </c>
      <c r="U119" s="151">
        <f t="shared" si="21"/>
        <v>1341.6397845793622</v>
      </c>
      <c r="V119" s="151">
        <f t="shared" si="21"/>
        <v>1362.582613933226</v>
      </c>
      <c r="W119" s="151">
        <f t="shared" si="21"/>
        <v>1383.525443287089</v>
      </c>
      <c r="X119" s="151">
        <f t="shared" si="21"/>
        <v>1386.5331072942349</v>
      </c>
      <c r="Y119" s="151">
        <f t="shared" si="21"/>
        <v>1389.5407713013808</v>
      </c>
      <c r="Z119" s="151">
        <f t="shared" si="21"/>
        <v>1392.5484353085267</v>
      </c>
      <c r="AA119" s="151">
        <f t="shared" si="21"/>
        <v>1395.5560993156726</v>
      </c>
      <c r="AB119" s="151">
        <f t="shared" si="21"/>
        <v>1398.5637633228187</v>
      </c>
      <c r="AC119" s="151">
        <f t="shared" si="21"/>
        <v>1401.5714273299645</v>
      </c>
      <c r="AD119" s="151">
        <f t="shared" si="21"/>
        <v>1404.5790913371104</v>
      </c>
      <c r="AE119" s="151">
        <f t="shared" si="21"/>
        <v>1407.5867553442563</v>
      </c>
      <c r="AF119" s="151">
        <f t="shared" si="21"/>
        <v>1410.5944193514022</v>
      </c>
      <c r="AG119" s="151">
        <f t="shared" si="21"/>
        <v>1413.602083358548</v>
      </c>
      <c r="AH119" s="151">
        <f t="shared" si="21"/>
        <v>1416.6097473656939</v>
      </c>
      <c r="AI119" s="151">
        <f t="shared" si="21"/>
        <v>1419.6174113728398</v>
      </c>
      <c r="AJ119" s="151">
        <f t="shared" si="21"/>
        <v>1422.6250753799859</v>
      </c>
      <c r="AK119" s="151">
        <f t="shared" si="21"/>
        <v>1425.6327393871318</v>
      </c>
      <c r="AL119" s="151">
        <f t="shared" si="21"/>
        <v>1428.6404033942777</v>
      </c>
      <c r="AM119" s="151">
        <f t="shared" si="21"/>
        <v>1431.6480674014235</v>
      </c>
      <c r="AN119" s="151">
        <f t="shared" si="21"/>
        <v>1434.6557314085694</v>
      </c>
      <c r="AO119" s="151">
        <f t="shared" si="21"/>
        <v>1437.6633954157153</v>
      </c>
      <c r="AP119" s="151">
        <f t="shared" si="21"/>
        <v>1440.6710594228612</v>
      </c>
      <c r="AQ119" s="151">
        <f t="shared" si="21"/>
        <v>1443.6787234300059</v>
      </c>
    </row>
    <row r="120" spans="7:45" ht="14.25" customHeight="1" x14ac:dyDescent="0.15">
      <c r="G120" s="22"/>
      <c r="H120" s="254"/>
      <c r="J120" s="241"/>
      <c r="K120" s="19" t="s">
        <v>236</v>
      </c>
      <c r="L120" s="129" t="s">
        <v>218</v>
      </c>
      <c r="M120" s="149">
        <f t="shared" ref="M120:AQ120" si="22">M88*8760</f>
        <v>1165.6000812817172</v>
      </c>
      <c r="N120" s="149">
        <f t="shared" si="22"/>
        <v>1178.0458421688445</v>
      </c>
      <c r="O120" s="149">
        <f t="shared" si="22"/>
        <v>1190.4916030559721</v>
      </c>
      <c r="P120" s="149">
        <f t="shared" si="22"/>
        <v>1202.9373639430996</v>
      </c>
      <c r="Q120" s="149">
        <f t="shared" si="22"/>
        <v>1215.383124830227</v>
      </c>
      <c r="R120" s="149">
        <f t="shared" si="22"/>
        <v>1227.8288857173545</v>
      </c>
      <c r="S120" s="149">
        <f t="shared" si="22"/>
        <v>1240.2746466044821</v>
      </c>
      <c r="T120" s="149">
        <f t="shared" si="22"/>
        <v>1252.7204074916094</v>
      </c>
      <c r="U120" s="149">
        <f t="shared" si="22"/>
        <v>1265.166168378737</v>
      </c>
      <c r="V120" s="149">
        <f t="shared" si="22"/>
        <v>1277.6119292658645</v>
      </c>
      <c r="W120" s="149">
        <f t="shared" si="22"/>
        <v>1290.0576901529907</v>
      </c>
      <c r="X120" s="149">
        <f t="shared" si="22"/>
        <v>1294.7310778096955</v>
      </c>
      <c r="Y120" s="149">
        <f t="shared" si="22"/>
        <v>1299.4044654664003</v>
      </c>
      <c r="Z120" s="149">
        <f t="shared" si="22"/>
        <v>1304.0778531231053</v>
      </c>
      <c r="AA120" s="149">
        <f t="shared" si="22"/>
        <v>1308.7512407798101</v>
      </c>
      <c r="AB120" s="149">
        <f t="shared" si="22"/>
        <v>1313.4246284365149</v>
      </c>
      <c r="AC120" s="149">
        <f t="shared" si="22"/>
        <v>1318.0980160932199</v>
      </c>
      <c r="AD120" s="149">
        <f t="shared" si="22"/>
        <v>1322.7714037499247</v>
      </c>
      <c r="AE120" s="149">
        <f t="shared" si="22"/>
        <v>1327.4447914066295</v>
      </c>
      <c r="AF120" s="149">
        <f t="shared" si="22"/>
        <v>1332.1181790633343</v>
      </c>
      <c r="AG120" s="149">
        <f t="shared" si="22"/>
        <v>1336.7915667200393</v>
      </c>
      <c r="AH120" s="149">
        <f t="shared" si="22"/>
        <v>1341.4649543767441</v>
      </c>
      <c r="AI120" s="149">
        <f t="shared" si="22"/>
        <v>1346.1383420334489</v>
      </c>
      <c r="AJ120" s="149">
        <f t="shared" si="22"/>
        <v>1350.8117296901539</v>
      </c>
      <c r="AK120" s="149">
        <f t="shared" si="22"/>
        <v>1355.4851173468587</v>
      </c>
      <c r="AL120" s="149">
        <f t="shared" si="22"/>
        <v>1360.1585050035635</v>
      </c>
      <c r="AM120" s="149">
        <f t="shared" si="22"/>
        <v>1364.8318926602683</v>
      </c>
      <c r="AN120" s="149">
        <f t="shared" si="22"/>
        <v>1369.5052803169733</v>
      </c>
      <c r="AO120" s="149">
        <f t="shared" si="22"/>
        <v>1374.1786679736781</v>
      </c>
      <c r="AP120" s="149">
        <f t="shared" si="22"/>
        <v>1378.8520556303829</v>
      </c>
      <c r="AQ120" s="149">
        <f t="shared" si="22"/>
        <v>1383.525443287089</v>
      </c>
    </row>
    <row r="121" spans="7:45" ht="14.25" customHeight="1" thickBot="1" x14ac:dyDescent="0.2">
      <c r="G121" s="22"/>
      <c r="H121" s="254"/>
      <c r="J121" s="241"/>
      <c r="K121" s="144" t="s">
        <v>236</v>
      </c>
      <c r="L121" s="144" t="s">
        <v>214</v>
      </c>
      <c r="M121" s="150">
        <f t="shared" ref="M121:AQ121" si="23">M89*8760</f>
        <v>1153.1543203945896</v>
      </c>
      <c r="N121" s="150">
        <f t="shared" si="23"/>
        <v>1153.1543203945896</v>
      </c>
      <c r="O121" s="150">
        <f t="shared" si="23"/>
        <v>1153.1543203945896</v>
      </c>
      <c r="P121" s="150">
        <f t="shared" si="23"/>
        <v>1153.1543203945896</v>
      </c>
      <c r="Q121" s="150">
        <f t="shared" si="23"/>
        <v>1153.1543203945896</v>
      </c>
      <c r="R121" s="150">
        <f t="shared" si="23"/>
        <v>1153.1543203945896</v>
      </c>
      <c r="S121" s="150">
        <f t="shared" si="23"/>
        <v>1153.1543203945896</v>
      </c>
      <c r="T121" s="150">
        <f t="shared" si="23"/>
        <v>1153.1543203945896</v>
      </c>
      <c r="U121" s="150">
        <f t="shared" si="23"/>
        <v>1153.1543203945896</v>
      </c>
      <c r="V121" s="150">
        <f t="shared" si="23"/>
        <v>1153.1543203945896</v>
      </c>
      <c r="W121" s="150">
        <f t="shared" si="23"/>
        <v>1153.1543203945896</v>
      </c>
      <c r="X121" s="150">
        <f t="shared" si="23"/>
        <v>1159.9994888825097</v>
      </c>
      <c r="Y121" s="150">
        <f t="shared" si="23"/>
        <v>1166.8446573704298</v>
      </c>
      <c r="Z121" s="150">
        <f t="shared" si="23"/>
        <v>1173.6898258583499</v>
      </c>
      <c r="AA121" s="150">
        <f t="shared" si="23"/>
        <v>1180.5349943462697</v>
      </c>
      <c r="AB121" s="150">
        <f t="shared" si="23"/>
        <v>1187.3801628341898</v>
      </c>
      <c r="AC121" s="150">
        <f t="shared" si="23"/>
        <v>1194.2253313221099</v>
      </c>
      <c r="AD121" s="150">
        <f t="shared" si="23"/>
        <v>1201.07049981003</v>
      </c>
      <c r="AE121" s="150">
        <f t="shared" si="23"/>
        <v>1207.9156682979501</v>
      </c>
      <c r="AF121" s="150">
        <f t="shared" si="23"/>
        <v>1214.7608367858702</v>
      </c>
      <c r="AG121" s="150">
        <f t="shared" si="23"/>
        <v>1221.6060052737901</v>
      </c>
      <c r="AH121" s="150">
        <f t="shared" si="23"/>
        <v>1228.4511737617102</v>
      </c>
      <c r="AI121" s="150">
        <f t="shared" si="23"/>
        <v>1235.2963422496302</v>
      </c>
      <c r="AJ121" s="150">
        <f t="shared" si="23"/>
        <v>1242.1415107375503</v>
      </c>
      <c r="AK121" s="150">
        <f t="shared" si="23"/>
        <v>1248.9866792254704</v>
      </c>
      <c r="AL121" s="150">
        <f t="shared" si="23"/>
        <v>1255.8318477133905</v>
      </c>
      <c r="AM121" s="150">
        <f t="shared" si="23"/>
        <v>1262.6770162013106</v>
      </c>
      <c r="AN121" s="150">
        <f t="shared" si="23"/>
        <v>1269.5221846892305</v>
      </c>
      <c r="AO121" s="150">
        <f t="shared" si="23"/>
        <v>1276.3673531771506</v>
      </c>
      <c r="AP121" s="150">
        <f t="shared" si="23"/>
        <v>1283.2125216650707</v>
      </c>
      <c r="AQ121" s="150">
        <f t="shared" si="23"/>
        <v>1290.0576901529907</v>
      </c>
    </row>
    <row r="122" spans="7:45" ht="14.25" customHeight="1" thickTop="1" x14ac:dyDescent="0.15">
      <c r="G122" s="22"/>
      <c r="H122" s="254"/>
      <c r="J122" s="241"/>
      <c r="K122" s="140" t="s">
        <v>235</v>
      </c>
      <c r="L122" s="140" t="s">
        <v>219</v>
      </c>
      <c r="M122" s="151">
        <f t="shared" ref="M122:AQ122" si="24">M90*8760</f>
        <v>1223.1575292782143</v>
      </c>
      <c r="N122" s="151">
        <f t="shared" si="24"/>
        <v>1244.9754677801989</v>
      </c>
      <c r="O122" s="151">
        <f t="shared" si="24"/>
        <v>1266.7934062821835</v>
      </c>
      <c r="P122" s="151">
        <f t="shared" si="24"/>
        <v>1288.6113447841681</v>
      </c>
      <c r="Q122" s="151">
        <f t="shared" si="24"/>
        <v>1310.4292832861524</v>
      </c>
      <c r="R122" s="151">
        <f t="shared" si="24"/>
        <v>1332.247221788137</v>
      </c>
      <c r="S122" s="151">
        <f t="shared" si="24"/>
        <v>1354.0651602901216</v>
      </c>
      <c r="T122" s="151">
        <f t="shared" si="24"/>
        <v>1375.8830987921062</v>
      </c>
      <c r="U122" s="151">
        <f t="shared" si="24"/>
        <v>1397.7010372940908</v>
      </c>
      <c r="V122" s="151">
        <f t="shared" si="24"/>
        <v>1419.5189757960752</v>
      </c>
      <c r="W122" s="151">
        <f t="shared" si="24"/>
        <v>1441.3369142980589</v>
      </c>
      <c r="X122" s="151">
        <f t="shared" si="24"/>
        <v>1444.4702554160981</v>
      </c>
      <c r="Y122" s="151">
        <f t="shared" si="24"/>
        <v>1447.6035965341375</v>
      </c>
      <c r="Z122" s="151">
        <f t="shared" si="24"/>
        <v>1450.7369376521767</v>
      </c>
      <c r="AA122" s="151">
        <f t="shared" si="24"/>
        <v>1453.8702787702159</v>
      </c>
      <c r="AB122" s="151">
        <f t="shared" si="24"/>
        <v>1457.0036198882551</v>
      </c>
      <c r="AC122" s="151">
        <f t="shared" si="24"/>
        <v>1460.1369610062945</v>
      </c>
      <c r="AD122" s="151">
        <f t="shared" si="24"/>
        <v>1463.2703021243337</v>
      </c>
      <c r="AE122" s="151">
        <f t="shared" si="24"/>
        <v>1466.4036432423729</v>
      </c>
      <c r="AF122" s="151">
        <f t="shared" si="24"/>
        <v>1469.5369843604121</v>
      </c>
      <c r="AG122" s="151">
        <f t="shared" si="24"/>
        <v>1472.6703254784516</v>
      </c>
      <c r="AH122" s="151">
        <f t="shared" si="24"/>
        <v>1475.8036665964908</v>
      </c>
      <c r="AI122" s="151">
        <f t="shared" si="24"/>
        <v>1478.93700771453</v>
      </c>
      <c r="AJ122" s="151">
        <f t="shared" si="24"/>
        <v>1482.0703488325694</v>
      </c>
      <c r="AK122" s="151">
        <f t="shared" si="24"/>
        <v>1485.2036899506086</v>
      </c>
      <c r="AL122" s="151">
        <f t="shared" si="24"/>
        <v>1488.3370310686478</v>
      </c>
      <c r="AM122" s="151">
        <f t="shared" si="24"/>
        <v>1491.470372186687</v>
      </c>
      <c r="AN122" s="151">
        <f t="shared" si="24"/>
        <v>1494.6037133047264</v>
      </c>
      <c r="AO122" s="151">
        <f t="shared" si="24"/>
        <v>1497.7370544227656</v>
      </c>
      <c r="AP122" s="151">
        <f t="shared" si="24"/>
        <v>1500.8703955408048</v>
      </c>
      <c r="AQ122" s="151">
        <f t="shared" si="24"/>
        <v>1504.0037366588442</v>
      </c>
    </row>
    <row r="123" spans="7:45" ht="14.25" customHeight="1" x14ac:dyDescent="0.15">
      <c r="G123" s="22"/>
      <c r="H123" s="254"/>
      <c r="J123" s="241"/>
      <c r="K123" s="19" t="s">
        <v>235</v>
      </c>
      <c r="L123" s="129" t="s">
        <v>218</v>
      </c>
      <c r="M123" s="149">
        <f t="shared" ref="M123:AQ123" si="25">M91*8760</f>
        <v>1214.3054055215832</v>
      </c>
      <c r="N123" s="149">
        <f t="shared" si="25"/>
        <v>1227.2712202669368</v>
      </c>
      <c r="O123" s="149">
        <f t="shared" si="25"/>
        <v>1240.2370350122906</v>
      </c>
      <c r="P123" s="149">
        <f t="shared" si="25"/>
        <v>1253.2028497576441</v>
      </c>
      <c r="Q123" s="149">
        <f t="shared" si="25"/>
        <v>1266.1686645029977</v>
      </c>
      <c r="R123" s="149">
        <f t="shared" si="25"/>
        <v>1279.1344792483512</v>
      </c>
      <c r="S123" s="149">
        <f t="shared" si="25"/>
        <v>1292.1002939937048</v>
      </c>
      <c r="T123" s="149">
        <f t="shared" si="25"/>
        <v>1305.0661087390583</v>
      </c>
      <c r="U123" s="149">
        <f t="shared" si="25"/>
        <v>1318.0319234844119</v>
      </c>
      <c r="V123" s="149">
        <f t="shared" si="25"/>
        <v>1330.9977382297654</v>
      </c>
      <c r="W123" s="149">
        <f t="shared" si="25"/>
        <v>1343.9635529751192</v>
      </c>
      <c r="X123" s="149">
        <f t="shared" si="25"/>
        <v>1348.8322210412662</v>
      </c>
      <c r="Y123" s="149">
        <f t="shared" si="25"/>
        <v>1353.7008891074131</v>
      </c>
      <c r="Z123" s="149">
        <f t="shared" si="25"/>
        <v>1358.5695571735598</v>
      </c>
      <c r="AA123" s="149">
        <f t="shared" si="25"/>
        <v>1363.4382252397068</v>
      </c>
      <c r="AB123" s="149">
        <f t="shared" si="25"/>
        <v>1368.3068933058537</v>
      </c>
      <c r="AC123" s="149">
        <f t="shared" si="25"/>
        <v>1373.1755613720004</v>
      </c>
      <c r="AD123" s="149">
        <f t="shared" si="25"/>
        <v>1378.0442294381473</v>
      </c>
      <c r="AE123" s="149">
        <f t="shared" si="25"/>
        <v>1382.9128975042943</v>
      </c>
      <c r="AF123" s="149">
        <f t="shared" si="25"/>
        <v>1387.7815655704412</v>
      </c>
      <c r="AG123" s="149">
        <f t="shared" si="25"/>
        <v>1392.6502336365879</v>
      </c>
      <c r="AH123" s="149">
        <f t="shared" si="25"/>
        <v>1397.5189017027349</v>
      </c>
      <c r="AI123" s="149">
        <f t="shared" si="25"/>
        <v>1402.3875697688818</v>
      </c>
      <c r="AJ123" s="149">
        <f t="shared" si="25"/>
        <v>1407.2562378350285</v>
      </c>
      <c r="AK123" s="149">
        <f t="shared" si="25"/>
        <v>1412.1249059011755</v>
      </c>
      <c r="AL123" s="149">
        <f t="shared" si="25"/>
        <v>1416.9935739673224</v>
      </c>
      <c r="AM123" s="149">
        <f t="shared" si="25"/>
        <v>1421.8622420334693</v>
      </c>
      <c r="AN123" s="149">
        <f t="shared" si="25"/>
        <v>1426.730910099616</v>
      </c>
      <c r="AO123" s="149">
        <f t="shared" si="25"/>
        <v>1431.599578165763</v>
      </c>
      <c r="AP123" s="149">
        <f t="shared" si="25"/>
        <v>1436.4682462319099</v>
      </c>
      <c r="AQ123" s="149">
        <f t="shared" si="25"/>
        <v>1441.3369142980589</v>
      </c>
    </row>
    <row r="124" spans="7:45" ht="14.25" customHeight="1" thickBot="1" x14ac:dyDescent="0.2">
      <c r="G124" s="22"/>
      <c r="H124" s="254"/>
      <c r="J124" s="241"/>
      <c r="K124" s="144" t="s">
        <v>235</v>
      </c>
      <c r="L124" s="144" t="s">
        <v>214</v>
      </c>
      <c r="M124" s="152">
        <f t="shared" ref="M124:AQ124" si="26">M92*8760</f>
        <v>1201.3395907762297</v>
      </c>
      <c r="N124" s="152">
        <f t="shared" si="26"/>
        <v>1201.3395907762297</v>
      </c>
      <c r="O124" s="152">
        <f t="shared" si="26"/>
        <v>1201.3395907762297</v>
      </c>
      <c r="P124" s="152">
        <f t="shared" si="26"/>
        <v>1201.3395907762297</v>
      </c>
      <c r="Q124" s="152">
        <f t="shared" si="26"/>
        <v>1201.3395907762297</v>
      </c>
      <c r="R124" s="152">
        <f t="shared" si="26"/>
        <v>1201.3395907762297</v>
      </c>
      <c r="S124" s="152">
        <f t="shared" si="26"/>
        <v>1201.3395907762297</v>
      </c>
      <c r="T124" s="152">
        <f t="shared" si="26"/>
        <v>1201.3395907762297</v>
      </c>
      <c r="U124" s="152">
        <f t="shared" si="26"/>
        <v>1201.3395907762297</v>
      </c>
      <c r="V124" s="152">
        <f t="shared" si="26"/>
        <v>1201.3395907762297</v>
      </c>
      <c r="W124" s="152">
        <f t="shared" si="26"/>
        <v>1201.3395907762297</v>
      </c>
      <c r="X124" s="152">
        <f t="shared" si="26"/>
        <v>1208.4707888861742</v>
      </c>
      <c r="Y124" s="152">
        <f t="shared" si="26"/>
        <v>1215.6019869961185</v>
      </c>
      <c r="Z124" s="152">
        <f t="shared" si="26"/>
        <v>1222.733185106063</v>
      </c>
      <c r="AA124" s="152">
        <f t="shared" si="26"/>
        <v>1229.8643832160074</v>
      </c>
      <c r="AB124" s="152">
        <f t="shared" si="26"/>
        <v>1236.9955813259517</v>
      </c>
      <c r="AC124" s="152">
        <f t="shared" si="26"/>
        <v>1244.1267794358962</v>
      </c>
      <c r="AD124" s="152">
        <f t="shared" si="26"/>
        <v>1251.2579775458405</v>
      </c>
      <c r="AE124" s="152">
        <f t="shared" si="26"/>
        <v>1258.389175655785</v>
      </c>
      <c r="AF124" s="152">
        <f t="shared" si="26"/>
        <v>1265.5203737657293</v>
      </c>
      <c r="AG124" s="152">
        <f t="shared" si="26"/>
        <v>1272.6515718756739</v>
      </c>
      <c r="AH124" s="152">
        <f t="shared" si="26"/>
        <v>1279.7827699856182</v>
      </c>
      <c r="AI124" s="152">
        <f t="shared" si="26"/>
        <v>1286.9139680955625</v>
      </c>
      <c r="AJ124" s="152">
        <f t="shared" si="26"/>
        <v>1294.045166205507</v>
      </c>
      <c r="AK124" s="152">
        <f t="shared" si="26"/>
        <v>1301.1763643154513</v>
      </c>
      <c r="AL124" s="152">
        <f t="shared" si="26"/>
        <v>1308.3075624253959</v>
      </c>
      <c r="AM124" s="152">
        <f t="shared" si="26"/>
        <v>1315.4387605353402</v>
      </c>
      <c r="AN124" s="152">
        <f t="shared" si="26"/>
        <v>1322.5699586452845</v>
      </c>
      <c r="AO124" s="152">
        <f t="shared" si="26"/>
        <v>1329.701156755229</v>
      </c>
      <c r="AP124" s="152">
        <f t="shared" si="26"/>
        <v>1336.8323548651733</v>
      </c>
      <c r="AQ124" s="152">
        <f t="shared" si="26"/>
        <v>1343.9635529751192</v>
      </c>
      <c r="AR124" s="153"/>
      <c r="AS124" s="153"/>
    </row>
    <row r="125" spans="7:45" ht="14.25" customHeight="1" thickTop="1" x14ac:dyDescent="0.15">
      <c r="G125" s="22"/>
      <c r="H125" s="254"/>
      <c r="J125" s="241"/>
      <c r="K125" s="140" t="s">
        <v>234</v>
      </c>
      <c r="L125" s="140" t="s">
        <v>219</v>
      </c>
      <c r="M125" s="151">
        <f t="shared" ref="M125:AQ125" si="27">M93*8760</f>
        <v>1287.8977082610131</v>
      </c>
      <c r="N125" s="151">
        <f t="shared" si="27"/>
        <v>1310.8704426170423</v>
      </c>
      <c r="O125" s="151">
        <f t="shared" si="27"/>
        <v>1333.8431769730714</v>
      </c>
      <c r="P125" s="151">
        <f t="shared" si="27"/>
        <v>1356.8159113291008</v>
      </c>
      <c r="Q125" s="151">
        <f t="shared" si="27"/>
        <v>1379.7886456851299</v>
      </c>
      <c r="R125" s="151">
        <f t="shared" si="27"/>
        <v>1402.7613800411591</v>
      </c>
      <c r="S125" s="151">
        <f t="shared" si="27"/>
        <v>1425.7341143971883</v>
      </c>
      <c r="T125" s="151">
        <f t="shared" si="27"/>
        <v>1448.7068487532176</v>
      </c>
      <c r="U125" s="151">
        <f t="shared" si="27"/>
        <v>1471.6795831092468</v>
      </c>
      <c r="V125" s="151">
        <f t="shared" si="27"/>
        <v>1494.6523174652759</v>
      </c>
      <c r="W125" s="151">
        <f t="shared" si="27"/>
        <v>1517.6250518213062</v>
      </c>
      <c r="X125" s="151">
        <f t="shared" si="27"/>
        <v>1520.9242367165698</v>
      </c>
      <c r="Y125" s="151">
        <f t="shared" si="27"/>
        <v>1524.2234216118334</v>
      </c>
      <c r="Z125" s="151">
        <f t="shared" si="27"/>
        <v>1527.5226065070972</v>
      </c>
      <c r="AA125" s="151">
        <f t="shared" si="27"/>
        <v>1530.8217914023608</v>
      </c>
      <c r="AB125" s="151">
        <f t="shared" si="27"/>
        <v>1534.1209762976243</v>
      </c>
      <c r="AC125" s="151">
        <f t="shared" si="27"/>
        <v>1537.4201611928879</v>
      </c>
      <c r="AD125" s="151">
        <f t="shared" si="27"/>
        <v>1540.7193460881517</v>
      </c>
      <c r="AE125" s="151">
        <f t="shared" si="27"/>
        <v>1544.0185309834153</v>
      </c>
      <c r="AF125" s="151">
        <f t="shared" si="27"/>
        <v>1547.3177158786789</v>
      </c>
      <c r="AG125" s="151">
        <f t="shared" si="27"/>
        <v>1550.6169007739427</v>
      </c>
      <c r="AH125" s="151">
        <f t="shared" si="27"/>
        <v>1553.9160856692063</v>
      </c>
      <c r="AI125" s="151">
        <f t="shared" si="27"/>
        <v>1557.2152705644698</v>
      </c>
      <c r="AJ125" s="151">
        <f t="shared" si="27"/>
        <v>1560.5144554597334</v>
      </c>
      <c r="AK125" s="151">
        <f t="shared" si="27"/>
        <v>1563.8136403549972</v>
      </c>
      <c r="AL125" s="151">
        <f t="shared" si="27"/>
        <v>1567.1128252502608</v>
      </c>
      <c r="AM125" s="151">
        <f t="shared" si="27"/>
        <v>1570.4120101455244</v>
      </c>
      <c r="AN125" s="151">
        <f t="shared" si="27"/>
        <v>1573.711195040788</v>
      </c>
      <c r="AO125" s="151">
        <f t="shared" si="27"/>
        <v>1577.0103799360518</v>
      </c>
      <c r="AP125" s="151">
        <f t="shared" si="27"/>
        <v>1580.3095648313154</v>
      </c>
      <c r="AQ125" s="151">
        <f t="shared" si="27"/>
        <v>1583.6087497265805</v>
      </c>
    </row>
    <row r="126" spans="7:45" ht="14.25" customHeight="1" x14ac:dyDescent="0.15">
      <c r="G126" s="22"/>
      <c r="H126" s="254"/>
      <c r="J126" s="241"/>
      <c r="K126" s="19" t="s">
        <v>234</v>
      </c>
      <c r="L126" s="129" t="s">
        <v>218</v>
      </c>
      <c r="M126" s="149">
        <f t="shared" ref="M126:AQ126" si="28">M94*8760</f>
        <v>1278.5770528045282</v>
      </c>
      <c r="N126" s="149">
        <f t="shared" si="28"/>
        <v>1292.2291317040726</v>
      </c>
      <c r="O126" s="149">
        <f t="shared" si="28"/>
        <v>1305.8812106036169</v>
      </c>
      <c r="P126" s="149">
        <f t="shared" si="28"/>
        <v>1319.5332895031613</v>
      </c>
      <c r="Q126" s="149">
        <f t="shared" si="28"/>
        <v>1333.1853684027058</v>
      </c>
      <c r="R126" s="149">
        <f t="shared" si="28"/>
        <v>1346.83744730225</v>
      </c>
      <c r="S126" s="149">
        <f t="shared" si="28"/>
        <v>1360.4895262017944</v>
      </c>
      <c r="T126" s="149">
        <f t="shared" si="28"/>
        <v>1374.1416051013387</v>
      </c>
      <c r="U126" s="149">
        <f t="shared" si="28"/>
        <v>1387.7936840008831</v>
      </c>
      <c r="V126" s="149">
        <f t="shared" si="28"/>
        <v>1401.4457629004276</v>
      </c>
      <c r="W126" s="149">
        <f t="shared" si="28"/>
        <v>1415.0978417999706</v>
      </c>
      <c r="X126" s="149">
        <f t="shared" si="28"/>
        <v>1420.2242023010374</v>
      </c>
      <c r="Y126" s="149">
        <f t="shared" si="28"/>
        <v>1425.3505628021039</v>
      </c>
      <c r="Z126" s="149">
        <f t="shared" si="28"/>
        <v>1430.4769233031707</v>
      </c>
      <c r="AA126" s="149">
        <f t="shared" si="28"/>
        <v>1435.6032838042374</v>
      </c>
      <c r="AB126" s="149">
        <f t="shared" si="28"/>
        <v>1440.729644305304</v>
      </c>
      <c r="AC126" s="149">
        <f t="shared" si="28"/>
        <v>1445.8560048063707</v>
      </c>
      <c r="AD126" s="149">
        <f t="shared" si="28"/>
        <v>1450.9823653074375</v>
      </c>
      <c r="AE126" s="149">
        <f t="shared" si="28"/>
        <v>1456.108725808504</v>
      </c>
      <c r="AF126" s="149">
        <f t="shared" si="28"/>
        <v>1461.2350863095708</v>
      </c>
      <c r="AG126" s="149">
        <f t="shared" si="28"/>
        <v>1466.3614468106375</v>
      </c>
      <c r="AH126" s="149">
        <f t="shared" si="28"/>
        <v>1471.487807311704</v>
      </c>
      <c r="AI126" s="149">
        <f t="shared" si="28"/>
        <v>1476.6141678127708</v>
      </c>
      <c r="AJ126" s="149">
        <f t="shared" si="28"/>
        <v>1481.7405283138376</v>
      </c>
      <c r="AK126" s="149">
        <f t="shared" si="28"/>
        <v>1486.8668888149041</v>
      </c>
      <c r="AL126" s="149">
        <f t="shared" si="28"/>
        <v>1491.9932493159708</v>
      </c>
      <c r="AM126" s="149">
        <f t="shared" si="28"/>
        <v>1497.1196098170376</v>
      </c>
      <c r="AN126" s="149">
        <f t="shared" si="28"/>
        <v>1502.2459703181041</v>
      </c>
      <c r="AO126" s="149">
        <f t="shared" si="28"/>
        <v>1507.3723308191709</v>
      </c>
      <c r="AP126" s="149">
        <f t="shared" si="28"/>
        <v>1512.4986913202376</v>
      </c>
      <c r="AQ126" s="149">
        <f t="shared" si="28"/>
        <v>1517.6250518213062</v>
      </c>
    </row>
    <row r="127" spans="7:45" ht="14.25" customHeight="1" thickBot="1" x14ac:dyDescent="0.2">
      <c r="G127" s="22"/>
      <c r="H127" s="254"/>
      <c r="J127" s="241"/>
      <c r="K127" s="144" t="s">
        <v>234</v>
      </c>
      <c r="L127" s="144" t="s">
        <v>214</v>
      </c>
      <c r="M127" s="152">
        <f t="shared" ref="M127:AQ127" si="29">M95*8760</f>
        <v>1264.9249739049837</v>
      </c>
      <c r="N127" s="152">
        <f t="shared" si="29"/>
        <v>1264.9249739049837</v>
      </c>
      <c r="O127" s="152">
        <f t="shared" si="29"/>
        <v>1264.9249739049837</v>
      </c>
      <c r="P127" s="152">
        <f t="shared" si="29"/>
        <v>1264.9249739049837</v>
      </c>
      <c r="Q127" s="152">
        <f t="shared" si="29"/>
        <v>1264.9249739049837</v>
      </c>
      <c r="R127" s="152">
        <f t="shared" si="29"/>
        <v>1264.9249739049837</v>
      </c>
      <c r="S127" s="152">
        <f t="shared" si="29"/>
        <v>1264.9249739049837</v>
      </c>
      <c r="T127" s="152">
        <f t="shared" si="29"/>
        <v>1264.9249739049837</v>
      </c>
      <c r="U127" s="152">
        <f t="shared" si="29"/>
        <v>1264.9249739049837</v>
      </c>
      <c r="V127" s="152">
        <f t="shared" si="29"/>
        <v>1264.9249739049837</v>
      </c>
      <c r="W127" s="152">
        <f t="shared" si="29"/>
        <v>1264.9249739049837</v>
      </c>
      <c r="X127" s="152">
        <f t="shared" si="29"/>
        <v>1272.4336172997332</v>
      </c>
      <c r="Y127" s="152">
        <f t="shared" si="29"/>
        <v>1279.9422606944827</v>
      </c>
      <c r="Z127" s="152">
        <f t="shared" si="29"/>
        <v>1287.4509040892322</v>
      </c>
      <c r="AA127" s="152">
        <f t="shared" si="29"/>
        <v>1294.9595474839816</v>
      </c>
      <c r="AB127" s="152">
        <f t="shared" si="29"/>
        <v>1302.4681908787311</v>
      </c>
      <c r="AC127" s="152">
        <f t="shared" si="29"/>
        <v>1309.9768342734806</v>
      </c>
      <c r="AD127" s="152">
        <f t="shared" si="29"/>
        <v>1317.48547766823</v>
      </c>
      <c r="AE127" s="152">
        <f t="shared" si="29"/>
        <v>1324.9941210629795</v>
      </c>
      <c r="AF127" s="152">
        <f t="shared" si="29"/>
        <v>1332.502764457729</v>
      </c>
      <c r="AG127" s="152">
        <f t="shared" si="29"/>
        <v>1340.0114078524782</v>
      </c>
      <c r="AH127" s="152">
        <f t="shared" si="29"/>
        <v>1347.5200512472277</v>
      </c>
      <c r="AI127" s="152">
        <f t="shared" si="29"/>
        <v>1355.0286946419772</v>
      </c>
      <c r="AJ127" s="152">
        <f t="shared" si="29"/>
        <v>1362.5373380367266</v>
      </c>
      <c r="AK127" s="152">
        <f t="shared" si="29"/>
        <v>1370.0459814314761</v>
      </c>
      <c r="AL127" s="152">
        <f t="shared" si="29"/>
        <v>1377.5546248262256</v>
      </c>
      <c r="AM127" s="152">
        <f t="shared" si="29"/>
        <v>1385.063268220975</v>
      </c>
      <c r="AN127" s="152">
        <f t="shared" si="29"/>
        <v>1392.5719116157245</v>
      </c>
      <c r="AO127" s="152">
        <f t="shared" si="29"/>
        <v>1400.080555010474</v>
      </c>
      <c r="AP127" s="152">
        <f t="shared" si="29"/>
        <v>1407.5891984052234</v>
      </c>
      <c r="AQ127" s="152">
        <f t="shared" si="29"/>
        <v>1415.0978417999706</v>
      </c>
      <c r="AR127" s="153"/>
      <c r="AS127" s="153"/>
    </row>
    <row r="128" spans="7:45" ht="14.25" customHeight="1" thickTop="1" x14ac:dyDescent="0.15">
      <c r="G128" s="22"/>
      <c r="H128" s="254"/>
      <c r="J128" s="241"/>
      <c r="K128" s="140" t="s">
        <v>233</v>
      </c>
      <c r="L128" s="140" t="s">
        <v>219</v>
      </c>
      <c r="M128" s="151">
        <f t="shared" ref="M128:AQ128" si="30">M96*8760</f>
        <v>1351.6977530378829</v>
      </c>
      <c r="N128" s="151">
        <f t="shared" si="30"/>
        <v>1375.8085137069963</v>
      </c>
      <c r="O128" s="151">
        <f t="shared" si="30"/>
        <v>1399.9192743761098</v>
      </c>
      <c r="P128" s="151">
        <f t="shared" si="30"/>
        <v>1424.0300350452233</v>
      </c>
      <c r="Q128" s="151">
        <f t="shared" si="30"/>
        <v>1448.1407957143367</v>
      </c>
      <c r="R128" s="151">
        <f t="shared" si="30"/>
        <v>1472.25155638345</v>
      </c>
      <c r="S128" s="151">
        <f t="shared" si="30"/>
        <v>1496.3623170525634</v>
      </c>
      <c r="T128" s="151">
        <f t="shared" si="30"/>
        <v>1520.4730777216769</v>
      </c>
      <c r="U128" s="151">
        <f t="shared" si="30"/>
        <v>1544.5838383907903</v>
      </c>
      <c r="V128" s="151">
        <f t="shared" si="30"/>
        <v>1568.6945990599038</v>
      </c>
      <c r="W128" s="151">
        <f t="shared" si="30"/>
        <v>1592.8053597290175</v>
      </c>
      <c r="X128" s="151">
        <f t="shared" si="30"/>
        <v>1596.2679800762544</v>
      </c>
      <c r="Y128" s="151">
        <f t="shared" si="30"/>
        <v>1599.7306004234915</v>
      </c>
      <c r="Z128" s="151">
        <f t="shared" si="30"/>
        <v>1603.1932207707284</v>
      </c>
      <c r="AA128" s="151">
        <f t="shared" si="30"/>
        <v>1606.6558411179656</v>
      </c>
      <c r="AB128" s="151">
        <f t="shared" si="30"/>
        <v>1610.1184614652025</v>
      </c>
      <c r="AC128" s="151">
        <f t="shared" si="30"/>
        <v>1613.5810818124396</v>
      </c>
      <c r="AD128" s="151">
        <f t="shared" si="30"/>
        <v>1617.0437021596765</v>
      </c>
      <c r="AE128" s="151">
        <f t="shared" si="30"/>
        <v>1620.5063225069136</v>
      </c>
      <c r="AF128" s="151">
        <f t="shared" si="30"/>
        <v>1623.9689428541506</v>
      </c>
      <c r="AG128" s="151">
        <f t="shared" si="30"/>
        <v>1627.4315632013877</v>
      </c>
      <c r="AH128" s="151">
        <f t="shared" si="30"/>
        <v>1630.8941835486246</v>
      </c>
      <c r="AI128" s="151">
        <f t="shared" si="30"/>
        <v>1634.3568038958615</v>
      </c>
      <c r="AJ128" s="151">
        <f t="shared" si="30"/>
        <v>1637.8194242430986</v>
      </c>
      <c r="AK128" s="151">
        <f t="shared" si="30"/>
        <v>1641.2820445903355</v>
      </c>
      <c r="AL128" s="151">
        <f t="shared" si="30"/>
        <v>1644.7446649375727</v>
      </c>
      <c r="AM128" s="151">
        <f t="shared" si="30"/>
        <v>1648.2072852848096</v>
      </c>
      <c r="AN128" s="151">
        <f t="shared" si="30"/>
        <v>1651.6699056320467</v>
      </c>
      <c r="AO128" s="151">
        <f t="shared" si="30"/>
        <v>1655.1325259792836</v>
      </c>
      <c r="AP128" s="151">
        <f t="shared" si="30"/>
        <v>1658.5951463265208</v>
      </c>
      <c r="AQ128" s="151">
        <f t="shared" si="30"/>
        <v>1662.0577666737572</v>
      </c>
    </row>
    <row r="129" spans="7:45" ht="14.25" customHeight="1" x14ac:dyDescent="0.15">
      <c r="G129" s="22"/>
      <c r="H129" s="254"/>
      <c r="J129" s="241"/>
      <c r="K129" s="19" t="s">
        <v>233</v>
      </c>
      <c r="L129" s="129" t="s">
        <v>218</v>
      </c>
      <c r="M129" s="149">
        <f t="shared" ref="M129:AQ129" si="31">M97*8760</f>
        <v>1341.9153697348002</v>
      </c>
      <c r="N129" s="149">
        <f t="shared" si="31"/>
        <v>1356.2437471008307</v>
      </c>
      <c r="O129" s="149">
        <f t="shared" si="31"/>
        <v>1370.5721244668614</v>
      </c>
      <c r="P129" s="149">
        <f t="shared" si="31"/>
        <v>1384.9005018328919</v>
      </c>
      <c r="Q129" s="149">
        <f t="shared" si="31"/>
        <v>1399.2288791989226</v>
      </c>
      <c r="R129" s="149">
        <f t="shared" si="31"/>
        <v>1413.5572565649531</v>
      </c>
      <c r="S129" s="149">
        <f t="shared" si="31"/>
        <v>1427.8856339309839</v>
      </c>
      <c r="T129" s="149">
        <f t="shared" si="31"/>
        <v>1442.2140112970144</v>
      </c>
      <c r="U129" s="149">
        <f t="shared" si="31"/>
        <v>1456.5423886630451</v>
      </c>
      <c r="V129" s="149">
        <f t="shared" si="31"/>
        <v>1470.8707660290756</v>
      </c>
      <c r="W129" s="149">
        <f t="shared" si="31"/>
        <v>1485.1991433951066</v>
      </c>
      <c r="X129" s="149">
        <f t="shared" si="31"/>
        <v>1490.5794542118022</v>
      </c>
      <c r="Y129" s="149">
        <f t="shared" si="31"/>
        <v>1495.9597650284977</v>
      </c>
      <c r="Z129" s="149">
        <f t="shared" si="31"/>
        <v>1501.3400758451933</v>
      </c>
      <c r="AA129" s="149">
        <f t="shared" si="31"/>
        <v>1506.7203866618888</v>
      </c>
      <c r="AB129" s="149">
        <f t="shared" si="31"/>
        <v>1512.1006974785844</v>
      </c>
      <c r="AC129" s="149">
        <f t="shared" si="31"/>
        <v>1517.4810082952799</v>
      </c>
      <c r="AD129" s="149">
        <f t="shared" si="31"/>
        <v>1522.8613191119755</v>
      </c>
      <c r="AE129" s="149">
        <f t="shared" si="31"/>
        <v>1528.241629928671</v>
      </c>
      <c r="AF129" s="149">
        <f t="shared" si="31"/>
        <v>1533.6219407453666</v>
      </c>
      <c r="AG129" s="149">
        <f t="shared" si="31"/>
        <v>1539.0022515620622</v>
      </c>
      <c r="AH129" s="149">
        <f t="shared" si="31"/>
        <v>1544.3825623787577</v>
      </c>
      <c r="AI129" s="149">
        <f t="shared" si="31"/>
        <v>1549.7628731954533</v>
      </c>
      <c r="AJ129" s="149">
        <f t="shared" si="31"/>
        <v>1555.1431840121488</v>
      </c>
      <c r="AK129" s="149">
        <f t="shared" si="31"/>
        <v>1560.5234948288444</v>
      </c>
      <c r="AL129" s="149">
        <f t="shared" si="31"/>
        <v>1565.9038056455399</v>
      </c>
      <c r="AM129" s="149">
        <f t="shared" si="31"/>
        <v>1571.2841164622355</v>
      </c>
      <c r="AN129" s="149">
        <f t="shared" si="31"/>
        <v>1576.664427278931</v>
      </c>
      <c r="AO129" s="149">
        <f t="shared" si="31"/>
        <v>1582.0447380956266</v>
      </c>
      <c r="AP129" s="149">
        <f t="shared" si="31"/>
        <v>1587.4250489123222</v>
      </c>
      <c r="AQ129" s="149">
        <f t="shared" si="31"/>
        <v>1592.8053597290175</v>
      </c>
    </row>
    <row r="130" spans="7:45" ht="14.25" customHeight="1" thickBot="1" x14ac:dyDescent="0.2">
      <c r="G130" s="22"/>
      <c r="H130" s="254"/>
      <c r="J130" s="241"/>
      <c r="K130" s="144" t="s">
        <v>233</v>
      </c>
      <c r="L130" s="144" t="s">
        <v>214</v>
      </c>
      <c r="M130" s="152">
        <f t="shared" ref="M130:AQ130" si="32">M98*8760</f>
        <v>1327.5869923687694</v>
      </c>
      <c r="N130" s="152">
        <f t="shared" si="32"/>
        <v>1327.5869923687694</v>
      </c>
      <c r="O130" s="152">
        <f t="shared" si="32"/>
        <v>1327.5869923687694</v>
      </c>
      <c r="P130" s="152">
        <f t="shared" si="32"/>
        <v>1327.5869923687694</v>
      </c>
      <c r="Q130" s="152">
        <f t="shared" si="32"/>
        <v>1327.5869923687694</v>
      </c>
      <c r="R130" s="152">
        <f t="shared" si="32"/>
        <v>1327.5869923687694</v>
      </c>
      <c r="S130" s="152">
        <f t="shared" si="32"/>
        <v>1327.5869923687694</v>
      </c>
      <c r="T130" s="152">
        <f t="shared" si="32"/>
        <v>1327.5869923687694</v>
      </c>
      <c r="U130" s="152">
        <f t="shared" si="32"/>
        <v>1327.5869923687694</v>
      </c>
      <c r="V130" s="152">
        <f t="shared" si="32"/>
        <v>1327.5869923687694</v>
      </c>
      <c r="W130" s="152">
        <f t="shared" si="32"/>
        <v>1327.5869923687694</v>
      </c>
      <c r="X130" s="152">
        <f t="shared" si="32"/>
        <v>1335.4675999200863</v>
      </c>
      <c r="Y130" s="152">
        <f t="shared" si="32"/>
        <v>1343.3482074714032</v>
      </c>
      <c r="Z130" s="152">
        <f t="shared" si="32"/>
        <v>1351.2288150227198</v>
      </c>
      <c r="AA130" s="152">
        <f t="shared" si="32"/>
        <v>1359.1094225740367</v>
      </c>
      <c r="AB130" s="152">
        <f t="shared" si="32"/>
        <v>1366.9900301253533</v>
      </c>
      <c r="AC130" s="152">
        <f t="shared" si="32"/>
        <v>1374.8706376766702</v>
      </c>
      <c r="AD130" s="152">
        <f t="shared" si="32"/>
        <v>1382.7512452279868</v>
      </c>
      <c r="AE130" s="152">
        <f t="shared" si="32"/>
        <v>1390.6318527793037</v>
      </c>
      <c r="AF130" s="152">
        <f t="shared" si="32"/>
        <v>1398.5124603306203</v>
      </c>
      <c r="AG130" s="152">
        <f t="shared" si="32"/>
        <v>1406.3930678819372</v>
      </c>
      <c r="AH130" s="152">
        <f t="shared" si="32"/>
        <v>1414.2736754332541</v>
      </c>
      <c r="AI130" s="152">
        <f t="shared" si="32"/>
        <v>1422.1542829845707</v>
      </c>
      <c r="AJ130" s="152">
        <f t="shared" si="32"/>
        <v>1430.0348905358876</v>
      </c>
      <c r="AK130" s="152">
        <f t="shared" si="32"/>
        <v>1437.9154980872042</v>
      </c>
      <c r="AL130" s="152">
        <f t="shared" si="32"/>
        <v>1445.7961056385211</v>
      </c>
      <c r="AM130" s="152">
        <f t="shared" si="32"/>
        <v>1453.6767131898378</v>
      </c>
      <c r="AN130" s="152">
        <f t="shared" si="32"/>
        <v>1461.5573207411546</v>
      </c>
      <c r="AO130" s="152">
        <f t="shared" si="32"/>
        <v>1469.4379282924713</v>
      </c>
      <c r="AP130" s="152">
        <f t="shared" si="32"/>
        <v>1477.3185358437881</v>
      </c>
      <c r="AQ130" s="152">
        <f t="shared" si="32"/>
        <v>1485.1991433951066</v>
      </c>
      <c r="AR130" s="153"/>
      <c r="AS130" s="153"/>
    </row>
    <row r="131" spans="7:45" ht="14.25" customHeight="1" thickTop="1" x14ac:dyDescent="0.15">
      <c r="G131" s="22"/>
      <c r="H131" s="254"/>
      <c r="J131" s="241"/>
      <c r="K131" s="140" t="s">
        <v>232</v>
      </c>
      <c r="L131" s="140" t="s">
        <v>219</v>
      </c>
      <c r="M131" s="148">
        <f t="shared" ref="M131:AQ131" si="33">M99*8760</f>
        <v>1369.8630090423387</v>
      </c>
      <c r="N131" s="148">
        <f t="shared" si="33"/>
        <v>1394.2977904764732</v>
      </c>
      <c r="O131" s="148">
        <f t="shared" si="33"/>
        <v>1418.7325719106079</v>
      </c>
      <c r="P131" s="148">
        <f t="shared" si="33"/>
        <v>1443.1673533447424</v>
      </c>
      <c r="Q131" s="148">
        <f t="shared" si="33"/>
        <v>1467.6021347788771</v>
      </c>
      <c r="R131" s="148">
        <f t="shared" si="33"/>
        <v>1492.0369162130116</v>
      </c>
      <c r="S131" s="148">
        <f t="shared" si="33"/>
        <v>1516.4716976471464</v>
      </c>
      <c r="T131" s="148">
        <f t="shared" si="33"/>
        <v>1540.9064790812808</v>
      </c>
      <c r="U131" s="148">
        <f t="shared" si="33"/>
        <v>1565.3412605154156</v>
      </c>
      <c r="V131" s="148">
        <f t="shared" si="33"/>
        <v>1589.7760419495501</v>
      </c>
      <c r="W131" s="148">
        <f t="shared" si="33"/>
        <v>1614.2108233836836</v>
      </c>
      <c r="X131" s="148">
        <f t="shared" si="33"/>
        <v>1617.7199773475613</v>
      </c>
      <c r="Y131" s="148">
        <f t="shared" si="33"/>
        <v>1621.229131311439</v>
      </c>
      <c r="Z131" s="148">
        <f t="shared" si="33"/>
        <v>1624.7382852753165</v>
      </c>
      <c r="AA131" s="148">
        <f t="shared" si="33"/>
        <v>1628.2474392391941</v>
      </c>
      <c r="AB131" s="148">
        <f t="shared" si="33"/>
        <v>1631.7565932030716</v>
      </c>
      <c r="AC131" s="148">
        <f t="shared" si="33"/>
        <v>1635.2657471669493</v>
      </c>
      <c r="AD131" s="148">
        <f t="shared" si="33"/>
        <v>1638.7749011308267</v>
      </c>
      <c r="AE131" s="148">
        <f t="shared" si="33"/>
        <v>1642.2840550947044</v>
      </c>
      <c r="AF131" s="148">
        <f t="shared" si="33"/>
        <v>1645.7932090585821</v>
      </c>
      <c r="AG131" s="148">
        <f t="shared" si="33"/>
        <v>1649.3023630224595</v>
      </c>
      <c r="AH131" s="148">
        <f t="shared" si="33"/>
        <v>1652.8115169863372</v>
      </c>
      <c r="AI131" s="148">
        <f t="shared" si="33"/>
        <v>1656.3206709502147</v>
      </c>
      <c r="AJ131" s="148">
        <f t="shared" si="33"/>
        <v>1659.8298249140923</v>
      </c>
      <c r="AK131" s="148">
        <f t="shared" si="33"/>
        <v>1663.33897887797</v>
      </c>
      <c r="AL131" s="148">
        <f t="shared" si="33"/>
        <v>1666.8481328418475</v>
      </c>
      <c r="AM131" s="148">
        <f t="shared" si="33"/>
        <v>1670.3572868057252</v>
      </c>
      <c r="AN131" s="148">
        <f t="shared" si="33"/>
        <v>1673.8664407696026</v>
      </c>
      <c r="AO131" s="148">
        <f t="shared" si="33"/>
        <v>1677.3755947334803</v>
      </c>
      <c r="AP131" s="148">
        <f t="shared" si="33"/>
        <v>1680.884748697358</v>
      </c>
      <c r="AQ131" s="148">
        <f t="shared" si="33"/>
        <v>1684.3939026612352</v>
      </c>
    </row>
    <row r="132" spans="7:45" ht="14.25" customHeight="1" x14ac:dyDescent="0.15">
      <c r="G132" s="22"/>
      <c r="H132" s="254"/>
      <c r="J132" s="241"/>
      <c r="K132" s="19" t="s">
        <v>232</v>
      </c>
      <c r="L132" s="129" t="s">
        <v>218</v>
      </c>
      <c r="M132" s="149">
        <f t="shared" ref="M132:AQ132" si="34">M100*8760</f>
        <v>1359.9491618105521</v>
      </c>
      <c r="N132" s="149">
        <f t="shared" si="34"/>
        <v>1374.4700960129005</v>
      </c>
      <c r="O132" s="149">
        <f t="shared" si="34"/>
        <v>1388.9910302152487</v>
      </c>
      <c r="P132" s="149">
        <f t="shared" si="34"/>
        <v>1403.5119644175968</v>
      </c>
      <c r="Q132" s="149">
        <f t="shared" si="34"/>
        <v>1418.0328986199452</v>
      </c>
      <c r="R132" s="149">
        <f t="shared" si="34"/>
        <v>1432.5538328222933</v>
      </c>
      <c r="S132" s="149">
        <f t="shared" si="34"/>
        <v>1447.0747670246415</v>
      </c>
      <c r="T132" s="149">
        <f t="shared" si="34"/>
        <v>1461.5957012269896</v>
      </c>
      <c r="U132" s="149">
        <f t="shared" si="34"/>
        <v>1476.116635429338</v>
      </c>
      <c r="V132" s="149">
        <f t="shared" si="34"/>
        <v>1490.6375696316861</v>
      </c>
      <c r="W132" s="149">
        <f t="shared" si="34"/>
        <v>1505.1585038340334</v>
      </c>
      <c r="X132" s="149">
        <f t="shared" si="34"/>
        <v>1510.6111198115157</v>
      </c>
      <c r="Y132" s="149">
        <f t="shared" si="34"/>
        <v>1516.0637357889982</v>
      </c>
      <c r="Z132" s="149">
        <f t="shared" si="34"/>
        <v>1521.5163517664805</v>
      </c>
      <c r="AA132" s="149">
        <f t="shared" si="34"/>
        <v>1526.968967743963</v>
      </c>
      <c r="AB132" s="149">
        <f t="shared" si="34"/>
        <v>1532.4215837214454</v>
      </c>
      <c r="AC132" s="149">
        <f t="shared" si="34"/>
        <v>1537.8741996989279</v>
      </c>
      <c r="AD132" s="149">
        <f t="shared" si="34"/>
        <v>1543.3268156764102</v>
      </c>
      <c r="AE132" s="149">
        <f t="shared" si="34"/>
        <v>1548.7794316538927</v>
      </c>
      <c r="AF132" s="149">
        <f t="shared" si="34"/>
        <v>1554.2320476313751</v>
      </c>
      <c r="AG132" s="149">
        <f t="shared" si="34"/>
        <v>1559.6846636088576</v>
      </c>
      <c r="AH132" s="149">
        <f t="shared" si="34"/>
        <v>1565.1372795863399</v>
      </c>
      <c r="AI132" s="149">
        <f t="shared" si="34"/>
        <v>1570.5898955638224</v>
      </c>
      <c r="AJ132" s="149">
        <f t="shared" si="34"/>
        <v>1576.0425115413047</v>
      </c>
      <c r="AK132" s="149">
        <f t="shared" si="34"/>
        <v>1581.4951275187873</v>
      </c>
      <c r="AL132" s="149">
        <f t="shared" si="34"/>
        <v>1586.9477434962696</v>
      </c>
      <c r="AM132" s="149">
        <f t="shared" si="34"/>
        <v>1592.4003594737521</v>
      </c>
      <c r="AN132" s="149">
        <f t="shared" si="34"/>
        <v>1597.8529754512344</v>
      </c>
      <c r="AO132" s="149">
        <f t="shared" si="34"/>
        <v>1603.305591428717</v>
      </c>
      <c r="AP132" s="149">
        <f t="shared" si="34"/>
        <v>1608.7582074061993</v>
      </c>
      <c r="AQ132" s="149">
        <f t="shared" si="34"/>
        <v>1614.2108233836836</v>
      </c>
    </row>
    <row r="133" spans="7:45" ht="14.25" customHeight="1" thickBot="1" x14ac:dyDescent="0.2">
      <c r="G133" s="22"/>
      <c r="H133" s="254"/>
      <c r="J133" s="241"/>
      <c r="K133" s="144" t="s">
        <v>232</v>
      </c>
      <c r="L133" s="144" t="s">
        <v>214</v>
      </c>
      <c r="M133" s="150">
        <f t="shared" ref="M133:AQ133" si="35">M101*8760</f>
        <v>1345.428227608204</v>
      </c>
      <c r="N133" s="150">
        <f t="shared" si="35"/>
        <v>1345.428227608204</v>
      </c>
      <c r="O133" s="150">
        <f t="shared" si="35"/>
        <v>1345.428227608204</v>
      </c>
      <c r="P133" s="150">
        <f t="shared" si="35"/>
        <v>1345.428227608204</v>
      </c>
      <c r="Q133" s="150">
        <f t="shared" si="35"/>
        <v>1345.428227608204</v>
      </c>
      <c r="R133" s="150">
        <f t="shared" si="35"/>
        <v>1345.428227608204</v>
      </c>
      <c r="S133" s="150">
        <f t="shared" si="35"/>
        <v>1345.428227608204</v>
      </c>
      <c r="T133" s="150">
        <f t="shared" si="35"/>
        <v>1345.428227608204</v>
      </c>
      <c r="U133" s="150">
        <f t="shared" si="35"/>
        <v>1345.428227608204</v>
      </c>
      <c r="V133" s="150">
        <f t="shared" si="35"/>
        <v>1345.428227608204</v>
      </c>
      <c r="W133" s="150">
        <f t="shared" si="35"/>
        <v>1345.428227608204</v>
      </c>
      <c r="X133" s="150">
        <f t="shared" si="35"/>
        <v>1353.4147414194956</v>
      </c>
      <c r="Y133" s="150">
        <f t="shared" si="35"/>
        <v>1361.401255230787</v>
      </c>
      <c r="Z133" s="150">
        <f t="shared" si="35"/>
        <v>1369.3877690420786</v>
      </c>
      <c r="AA133" s="150">
        <f t="shared" si="35"/>
        <v>1377.3742828533702</v>
      </c>
      <c r="AB133" s="150">
        <f t="shared" si="35"/>
        <v>1385.3607966646616</v>
      </c>
      <c r="AC133" s="150">
        <f t="shared" si="35"/>
        <v>1393.3473104759532</v>
      </c>
      <c r="AD133" s="150">
        <f t="shared" si="35"/>
        <v>1401.3338242872446</v>
      </c>
      <c r="AE133" s="150">
        <f t="shared" si="35"/>
        <v>1409.3203380985362</v>
      </c>
      <c r="AF133" s="150">
        <f t="shared" si="35"/>
        <v>1417.3068519098279</v>
      </c>
      <c r="AG133" s="150">
        <f t="shared" si="35"/>
        <v>1425.2933657211192</v>
      </c>
      <c r="AH133" s="150">
        <f t="shared" si="35"/>
        <v>1433.2798795324109</v>
      </c>
      <c r="AI133" s="150">
        <f t="shared" si="35"/>
        <v>1441.2663933437022</v>
      </c>
      <c r="AJ133" s="150">
        <f t="shared" si="35"/>
        <v>1449.2529071549939</v>
      </c>
      <c r="AK133" s="150">
        <f t="shared" si="35"/>
        <v>1457.2394209662855</v>
      </c>
      <c r="AL133" s="150">
        <f t="shared" si="35"/>
        <v>1465.2259347775769</v>
      </c>
      <c r="AM133" s="150">
        <f t="shared" si="35"/>
        <v>1473.2124485888685</v>
      </c>
      <c r="AN133" s="150">
        <f t="shared" si="35"/>
        <v>1481.1989624001599</v>
      </c>
      <c r="AO133" s="150">
        <f t="shared" si="35"/>
        <v>1489.1854762114515</v>
      </c>
      <c r="AP133" s="150">
        <f t="shared" si="35"/>
        <v>1497.1719900227431</v>
      </c>
      <c r="AQ133" s="150">
        <f t="shared" si="35"/>
        <v>1505.1585038340334</v>
      </c>
    </row>
    <row r="134" spans="7:45" ht="14.25" customHeight="1" thickTop="1" x14ac:dyDescent="0.15">
      <c r="G134" s="22"/>
      <c r="H134" s="254"/>
      <c r="J134" s="241"/>
      <c r="K134" s="140" t="s">
        <v>231</v>
      </c>
      <c r="L134" s="140" t="s">
        <v>219</v>
      </c>
      <c r="M134" s="151">
        <f t="shared" ref="M134:AQ134" si="36">M102*8760</f>
        <v>1435.4928294347706</v>
      </c>
      <c r="N134" s="151">
        <f t="shared" si="36"/>
        <v>1461.0982756041853</v>
      </c>
      <c r="O134" s="151">
        <f t="shared" si="36"/>
        <v>1486.7037217736001</v>
      </c>
      <c r="P134" s="151">
        <f t="shared" si="36"/>
        <v>1512.3091679430149</v>
      </c>
      <c r="Q134" s="151">
        <f t="shared" si="36"/>
        <v>1537.9146141124297</v>
      </c>
      <c r="R134" s="151">
        <f t="shared" si="36"/>
        <v>1563.5200602818445</v>
      </c>
      <c r="S134" s="151">
        <f t="shared" si="36"/>
        <v>1589.1255064512593</v>
      </c>
      <c r="T134" s="151">
        <f t="shared" si="36"/>
        <v>1614.7309526206739</v>
      </c>
      <c r="U134" s="151">
        <f t="shared" si="36"/>
        <v>1640.3363987900887</v>
      </c>
      <c r="V134" s="151">
        <f t="shared" si="36"/>
        <v>1665.9418449595034</v>
      </c>
      <c r="W134" s="151">
        <f t="shared" si="36"/>
        <v>1691.5472911289171</v>
      </c>
      <c r="X134" s="151">
        <f t="shared" si="36"/>
        <v>1695.2245678487623</v>
      </c>
      <c r="Y134" s="151">
        <f t="shared" si="36"/>
        <v>1698.9018445686077</v>
      </c>
      <c r="Z134" s="151">
        <f t="shared" si="36"/>
        <v>1702.5791212884531</v>
      </c>
      <c r="AA134" s="151">
        <f t="shared" si="36"/>
        <v>1706.2563980082984</v>
      </c>
      <c r="AB134" s="151">
        <f t="shared" si="36"/>
        <v>1709.9336747281438</v>
      </c>
      <c r="AC134" s="151">
        <f t="shared" si="36"/>
        <v>1713.610951447989</v>
      </c>
      <c r="AD134" s="151">
        <f t="shared" si="36"/>
        <v>1717.2882281678344</v>
      </c>
      <c r="AE134" s="151">
        <f t="shared" si="36"/>
        <v>1720.9655048876798</v>
      </c>
      <c r="AF134" s="151">
        <f t="shared" si="36"/>
        <v>1724.6427816075252</v>
      </c>
      <c r="AG134" s="151">
        <f t="shared" si="36"/>
        <v>1728.3200583273706</v>
      </c>
      <c r="AH134" s="151">
        <f t="shared" si="36"/>
        <v>1731.9973350472158</v>
      </c>
      <c r="AI134" s="151">
        <f t="shared" si="36"/>
        <v>1735.6746117670612</v>
      </c>
      <c r="AJ134" s="151">
        <f t="shared" si="36"/>
        <v>1739.3518884869065</v>
      </c>
      <c r="AK134" s="151">
        <f t="shared" si="36"/>
        <v>1743.0291652067519</v>
      </c>
      <c r="AL134" s="151">
        <f t="shared" si="36"/>
        <v>1746.7064419265971</v>
      </c>
      <c r="AM134" s="151">
        <f t="shared" si="36"/>
        <v>1750.3837186464425</v>
      </c>
      <c r="AN134" s="151">
        <f t="shared" si="36"/>
        <v>1754.0609953662879</v>
      </c>
      <c r="AO134" s="151">
        <f t="shared" si="36"/>
        <v>1757.7382720861333</v>
      </c>
      <c r="AP134" s="151">
        <f t="shared" si="36"/>
        <v>1761.4155488059787</v>
      </c>
      <c r="AQ134" s="151">
        <f t="shared" si="36"/>
        <v>1765.0928255258264</v>
      </c>
    </row>
    <row r="135" spans="7:45" ht="14.25" customHeight="1" x14ac:dyDescent="0.15">
      <c r="G135" s="22"/>
      <c r="H135" s="254"/>
      <c r="J135" s="241"/>
      <c r="K135" s="19" t="s">
        <v>231</v>
      </c>
      <c r="L135" s="129" t="s">
        <v>218</v>
      </c>
      <c r="M135" s="149">
        <f t="shared" ref="M135:AQ135" si="37">M103*8760</f>
        <v>1425.1040120717189</v>
      </c>
      <c r="N135" s="149">
        <f t="shared" si="37"/>
        <v>1440.320640878082</v>
      </c>
      <c r="O135" s="149">
        <f t="shared" si="37"/>
        <v>1455.5372696844452</v>
      </c>
      <c r="P135" s="149">
        <f t="shared" si="37"/>
        <v>1470.7538984908081</v>
      </c>
      <c r="Q135" s="149">
        <f t="shared" si="37"/>
        <v>1485.9705272971712</v>
      </c>
      <c r="R135" s="149">
        <f t="shared" si="37"/>
        <v>1501.1871561035343</v>
      </c>
      <c r="S135" s="149">
        <f t="shared" si="37"/>
        <v>1516.4037849098972</v>
      </c>
      <c r="T135" s="149">
        <f t="shared" si="37"/>
        <v>1531.6204137162604</v>
      </c>
      <c r="U135" s="149">
        <f t="shared" si="37"/>
        <v>1546.8370425226235</v>
      </c>
      <c r="V135" s="149">
        <f t="shared" si="37"/>
        <v>1562.0536713289864</v>
      </c>
      <c r="W135" s="149">
        <f t="shared" si="37"/>
        <v>1577.2703001353493</v>
      </c>
      <c r="X135" s="149">
        <f t="shared" si="37"/>
        <v>1582.9841496850277</v>
      </c>
      <c r="Y135" s="149">
        <f t="shared" si="37"/>
        <v>1588.697999234706</v>
      </c>
      <c r="Z135" s="149">
        <f t="shared" si="37"/>
        <v>1594.4118487843843</v>
      </c>
      <c r="AA135" s="149">
        <f t="shared" si="37"/>
        <v>1600.1256983340627</v>
      </c>
      <c r="AB135" s="149">
        <f t="shared" si="37"/>
        <v>1605.839547883741</v>
      </c>
      <c r="AC135" s="149">
        <f t="shared" si="37"/>
        <v>1611.5533974334194</v>
      </c>
      <c r="AD135" s="149">
        <f t="shared" si="37"/>
        <v>1617.2672469830977</v>
      </c>
      <c r="AE135" s="149">
        <f t="shared" si="37"/>
        <v>1622.9810965327761</v>
      </c>
      <c r="AF135" s="149">
        <f t="shared" si="37"/>
        <v>1628.6949460824544</v>
      </c>
      <c r="AG135" s="149">
        <f t="shared" si="37"/>
        <v>1634.4087956321328</v>
      </c>
      <c r="AH135" s="149">
        <f t="shared" si="37"/>
        <v>1640.1226451818111</v>
      </c>
      <c r="AI135" s="149">
        <f t="shared" si="37"/>
        <v>1645.8364947314894</v>
      </c>
      <c r="AJ135" s="149">
        <f t="shared" si="37"/>
        <v>1651.5503442811678</v>
      </c>
      <c r="AK135" s="149">
        <f t="shared" si="37"/>
        <v>1657.2641938308461</v>
      </c>
      <c r="AL135" s="149">
        <f t="shared" si="37"/>
        <v>1662.9780433805245</v>
      </c>
      <c r="AM135" s="149">
        <f t="shared" si="37"/>
        <v>1668.6918929302028</v>
      </c>
      <c r="AN135" s="149">
        <f t="shared" si="37"/>
        <v>1674.4057424798809</v>
      </c>
      <c r="AO135" s="149">
        <f t="shared" si="37"/>
        <v>1680.1195920295593</v>
      </c>
      <c r="AP135" s="149">
        <f t="shared" si="37"/>
        <v>1685.8334415792376</v>
      </c>
      <c r="AQ135" s="149">
        <f t="shared" si="37"/>
        <v>1691.5472911289171</v>
      </c>
    </row>
    <row r="136" spans="7:45" ht="14.25" customHeight="1" thickBot="1" x14ac:dyDescent="0.2">
      <c r="G136" s="22"/>
      <c r="H136" s="254"/>
      <c r="J136" s="241"/>
      <c r="K136" s="144" t="s">
        <v>231</v>
      </c>
      <c r="L136" s="144" t="s">
        <v>214</v>
      </c>
      <c r="M136" s="150">
        <f t="shared" ref="M136:AQ136" si="38">M104*8760</f>
        <v>1409.8873832653558</v>
      </c>
      <c r="N136" s="150">
        <f t="shared" si="38"/>
        <v>1409.8873832653558</v>
      </c>
      <c r="O136" s="150">
        <f t="shared" si="38"/>
        <v>1409.8873832653558</v>
      </c>
      <c r="P136" s="150">
        <f t="shared" si="38"/>
        <v>1409.8873832653558</v>
      </c>
      <c r="Q136" s="150">
        <f t="shared" si="38"/>
        <v>1409.8873832653558</v>
      </c>
      <c r="R136" s="150">
        <f t="shared" si="38"/>
        <v>1409.8873832653558</v>
      </c>
      <c r="S136" s="150">
        <f t="shared" si="38"/>
        <v>1409.8873832653558</v>
      </c>
      <c r="T136" s="150">
        <f t="shared" si="38"/>
        <v>1409.8873832653558</v>
      </c>
      <c r="U136" s="150">
        <f t="shared" si="38"/>
        <v>1409.8873832653558</v>
      </c>
      <c r="V136" s="150">
        <f t="shared" si="38"/>
        <v>1409.8873832653558</v>
      </c>
      <c r="W136" s="150">
        <f t="shared" si="38"/>
        <v>1409.8873832653558</v>
      </c>
      <c r="X136" s="150">
        <f t="shared" si="38"/>
        <v>1418.2565291088556</v>
      </c>
      <c r="Y136" s="150">
        <f t="shared" si="38"/>
        <v>1426.6256749523552</v>
      </c>
      <c r="Z136" s="150">
        <f t="shared" si="38"/>
        <v>1434.994820795855</v>
      </c>
      <c r="AA136" s="150">
        <f t="shared" si="38"/>
        <v>1443.3639666393547</v>
      </c>
      <c r="AB136" s="150">
        <f t="shared" si="38"/>
        <v>1451.7331124828543</v>
      </c>
      <c r="AC136" s="150">
        <f t="shared" si="38"/>
        <v>1460.1022583263541</v>
      </c>
      <c r="AD136" s="150">
        <f t="shared" si="38"/>
        <v>1468.4714041698537</v>
      </c>
      <c r="AE136" s="150">
        <f t="shared" si="38"/>
        <v>1476.8405500133535</v>
      </c>
      <c r="AF136" s="150">
        <f t="shared" si="38"/>
        <v>1485.2096958568532</v>
      </c>
      <c r="AG136" s="150">
        <f t="shared" si="38"/>
        <v>1493.5788417003528</v>
      </c>
      <c r="AH136" s="150">
        <f t="shared" si="38"/>
        <v>1501.9479875438526</v>
      </c>
      <c r="AI136" s="150">
        <f t="shared" si="38"/>
        <v>1510.3171333873522</v>
      </c>
      <c r="AJ136" s="150">
        <f t="shared" si="38"/>
        <v>1518.6862792308518</v>
      </c>
      <c r="AK136" s="150">
        <f t="shared" si="38"/>
        <v>1527.0554250743517</v>
      </c>
      <c r="AL136" s="150">
        <f t="shared" si="38"/>
        <v>1535.4245709178513</v>
      </c>
      <c r="AM136" s="150">
        <f t="shared" si="38"/>
        <v>1543.7937167613511</v>
      </c>
      <c r="AN136" s="150">
        <f t="shared" si="38"/>
        <v>1552.1628626048507</v>
      </c>
      <c r="AO136" s="150">
        <f t="shared" si="38"/>
        <v>1560.5320084483503</v>
      </c>
      <c r="AP136" s="150">
        <f t="shared" si="38"/>
        <v>1568.9011542918502</v>
      </c>
      <c r="AQ136" s="150">
        <f t="shared" si="38"/>
        <v>1577.2703001353493</v>
      </c>
    </row>
    <row r="137" spans="7:45" ht="14.25" customHeight="1" thickTop="1" x14ac:dyDescent="0.15">
      <c r="G137" s="22"/>
      <c r="H137" s="254"/>
      <c r="J137" s="241"/>
      <c r="K137" s="140" t="s">
        <v>230</v>
      </c>
      <c r="L137" s="140" t="s">
        <v>219</v>
      </c>
      <c r="M137" s="151">
        <f t="shared" ref="M137:AQ137" si="39">M105*8760</f>
        <v>1515.5762447940265</v>
      </c>
      <c r="N137" s="151">
        <f t="shared" si="39"/>
        <v>1542.6101701163825</v>
      </c>
      <c r="O137" s="151">
        <f t="shared" si="39"/>
        <v>1569.6440954387383</v>
      </c>
      <c r="P137" s="151">
        <f t="shared" si="39"/>
        <v>1596.6780207610943</v>
      </c>
      <c r="Q137" s="151">
        <f t="shared" si="39"/>
        <v>1623.7119460834501</v>
      </c>
      <c r="R137" s="151">
        <f t="shared" si="39"/>
        <v>1650.7458714058062</v>
      </c>
      <c r="S137" s="151">
        <f t="shared" si="39"/>
        <v>1677.779796728162</v>
      </c>
      <c r="T137" s="151">
        <f t="shared" si="39"/>
        <v>1704.813722050518</v>
      </c>
      <c r="U137" s="151">
        <f t="shared" si="39"/>
        <v>1731.8476473728738</v>
      </c>
      <c r="V137" s="151">
        <f t="shared" si="39"/>
        <v>1758.8815726952298</v>
      </c>
      <c r="W137" s="151">
        <f t="shared" si="39"/>
        <v>1785.9154980175858</v>
      </c>
      <c r="X137" s="151">
        <f t="shared" si="39"/>
        <v>1789.7979230132762</v>
      </c>
      <c r="Y137" s="151">
        <f t="shared" si="39"/>
        <v>1793.6803480089666</v>
      </c>
      <c r="Z137" s="151">
        <f t="shared" si="39"/>
        <v>1797.5627730046567</v>
      </c>
      <c r="AA137" s="151">
        <f t="shared" si="39"/>
        <v>1801.4451980003471</v>
      </c>
      <c r="AB137" s="151">
        <f t="shared" si="39"/>
        <v>1805.3276229960375</v>
      </c>
      <c r="AC137" s="151">
        <f t="shared" si="39"/>
        <v>1809.2100479917278</v>
      </c>
      <c r="AD137" s="151">
        <f t="shared" si="39"/>
        <v>1813.092472987418</v>
      </c>
      <c r="AE137" s="151">
        <f t="shared" si="39"/>
        <v>1816.9748979831083</v>
      </c>
      <c r="AF137" s="151">
        <f t="shared" si="39"/>
        <v>1820.8573229787987</v>
      </c>
      <c r="AG137" s="151">
        <f t="shared" si="39"/>
        <v>1824.7397479744891</v>
      </c>
      <c r="AH137" s="151">
        <f t="shared" si="39"/>
        <v>1828.6221729701792</v>
      </c>
      <c r="AI137" s="151">
        <f t="shared" si="39"/>
        <v>1832.5045979658696</v>
      </c>
      <c r="AJ137" s="151">
        <f t="shared" si="39"/>
        <v>1836.38702296156</v>
      </c>
      <c r="AK137" s="151">
        <f t="shared" si="39"/>
        <v>1840.2694479572501</v>
      </c>
      <c r="AL137" s="151">
        <f t="shared" si="39"/>
        <v>1844.1518729529405</v>
      </c>
      <c r="AM137" s="151">
        <f t="shared" si="39"/>
        <v>1848.0342979486309</v>
      </c>
      <c r="AN137" s="151">
        <f t="shared" si="39"/>
        <v>1851.9167229443212</v>
      </c>
      <c r="AO137" s="151">
        <f t="shared" si="39"/>
        <v>1855.7991479400114</v>
      </c>
      <c r="AP137" s="151">
        <f t="shared" si="39"/>
        <v>1859.6815729357018</v>
      </c>
      <c r="AQ137" s="151">
        <f t="shared" si="39"/>
        <v>1863.5639979313939</v>
      </c>
    </row>
    <row r="138" spans="7:45" ht="14.25" customHeight="1" x14ac:dyDescent="0.15">
      <c r="G138" s="22"/>
      <c r="H138" s="254"/>
      <c r="J138" s="241"/>
      <c r="K138" s="19" t="s">
        <v>230</v>
      </c>
      <c r="L138" s="129" t="s">
        <v>218</v>
      </c>
      <c r="M138" s="149">
        <f t="shared" ref="M138:AQ138" si="40">M106*8760</f>
        <v>1504.6078550646648</v>
      </c>
      <c r="N138" s="149">
        <f t="shared" si="40"/>
        <v>1520.673390657659</v>
      </c>
      <c r="O138" s="149">
        <f t="shared" si="40"/>
        <v>1536.7389262506531</v>
      </c>
      <c r="P138" s="149">
        <f t="shared" si="40"/>
        <v>1552.8044618436472</v>
      </c>
      <c r="Q138" s="149">
        <f t="shared" si="40"/>
        <v>1568.8699974366414</v>
      </c>
      <c r="R138" s="149">
        <f t="shared" si="40"/>
        <v>1584.9355330296355</v>
      </c>
      <c r="S138" s="149">
        <f t="shared" si="40"/>
        <v>1601.0010686226296</v>
      </c>
      <c r="T138" s="149">
        <f t="shared" si="40"/>
        <v>1617.0666042156238</v>
      </c>
      <c r="U138" s="149">
        <f t="shared" si="40"/>
        <v>1633.1321398086179</v>
      </c>
      <c r="V138" s="149">
        <f t="shared" si="40"/>
        <v>1649.1976754016121</v>
      </c>
      <c r="W138" s="149">
        <f t="shared" si="40"/>
        <v>1665.2632109946073</v>
      </c>
      <c r="X138" s="149">
        <f t="shared" si="40"/>
        <v>1671.2958253457564</v>
      </c>
      <c r="Y138" s="149">
        <f t="shared" si="40"/>
        <v>1677.3284396969054</v>
      </c>
      <c r="Z138" s="149">
        <f t="shared" si="40"/>
        <v>1683.3610540480545</v>
      </c>
      <c r="AA138" s="149">
        <f t="shared" si="40"/>
        <v>1689.3936683992035</v>
      </c>
      <c r="AB138" s="149">
        <f t="shared" si="40"/>
        <v>1695.4262827503526</v>
      </c>
      <c r="AC138" s="149">
        <f t="shared" si="40"/>
        <v>1701.4588971015016</v>
      </c>
      <c r="AD138" s="149">
        <f t="shared" si="40"/>
        <v>1707.4915114526507</v>
      </c>
      <c r="AE138" s="149">
        <f t="shared" si="40"/>
        <v>1713.5241258037995</v>
      </c>
      <c r="AF138" s="149">
        <f t="shared" si="40"/>
        <v>1719.5567401549486</v>
      </c>
      <c r="AG138" s="149">
        <f t="shared" si="40"/>
        <v>1725.5893545060976</v>
      </c>
      <c r="AH138" s="149">
        <f t="shared" si="40"/>
        <v>1731.6219688572467</v>
      </c>
      <c r="AI138" s="149">
        <f t="shared" si="40"/>
        <v>1737.6545832083957</v>
      </c>
      <c r="AJ138" s="149">
        <f t="shared" si="40"/>
        <v>1743.6871975595448</v>
      </c>
      <c r="AK138" s="149">
        <f t="shared" si="40"/>
        <v>1749.7198119106938</v>
      </c>
      <c r="AL138" s="149">
        <f t="shared" si="40"/>
        <v>1755.7524262618429</v>
      </c>
      <c r="AM138" s="149">
        <f t="shared" si="40"/>
        <v>1761.7850406129919</v>
      </c>
      <c r="AN138" s="149">
        <f t="shared" si="40"/>
        <v>1767.817654964141</v>
      </c>
      <c r="AO138" s="149">
        <f t="shared" si="40"/>
        <v>1773.85026931529</v>
      </c>
      <c r="AP138" s="149">
        <f t="shared" si="40"/>
        <v>1779.8828836664391</v>
      </c>
      <c r="AQ138" s="149">
        <f t="shared" si="40"/>
        <v>1785.9154980175858</v>
      </c>
    </row>
    <row r="139" spans="7:45" ht="14.25" customHeight="1" thickBot="1" x14ac:dyDescent="0.2">
      <c r="G139" s="22"/>
      <c r="H139" s="254"/>
      <c r="J139" s="241"/>
      <c r="K139" s="144" t="s">
        <v>230</v>
      </c>
      <c r="L139" s="144" t="s">
        <v>214</v>
      </c>
      <c r="M139" s="152">
        <f t="shared" ref="M139:AQ139" si="41">M107*8760</f>
        <v>1488.5423194716707</v>
      </c>
      <c r="N139" s="152">
        <f t="shared" si="41"/>
        <v>1488.5423194716707</v>
      </c>
      <c r="O139" s="152">
        <f t="shared" si="41"/>
        <v>1488.5423194716707</v>
      </c>
      <c r="P139" s="152">
        <f t="shared" si="41"/>
        <v>1488.5423194716707</v>
      </c>
      <c r="Q139" s="152">
        <f t="shared" si="41"/>
        <v>1488.5423194716707</v>
      </c>
      <c r="R139" s="152">
        <f t="shared" si="41"/>
        <v>1488.5423194716707</v>
      </c>
      <c r="S139" s="152">
        <f t="shared" si="41"/>
        <v>1488.5423194716707</v>
      </c>
      <c r="T139" s="152">
        <f t="shared" si="41"/>
        <v>1488.5423194716707</v>
      </c>
      <c r="U139" s="152">
        <f t="shared" si="41"/>
        <v>1488.5423194716707</v>
      </c>
      <c r="V139" s="152">
        <f t="shared" si="41"/>
        <v>1488.5423194716707</v>
      </c>
      <c r="W139" s="152">
        <f t="shared" si="41"/>
        <v>1488.5423194716707</v>
      </c>
      <c r="X139" s="152">
        <f t="shared" si="41"/>
        <v>1497.3783640478175</v>
      </c>
      <c r="Y139" s="152">
        <f t="shared" si="41"/>
        <v>1506.2144086239643</v>
      </c>
      <c r="Z139" s="152">
        <f t="shared" si="41"/>
        <v>1515.050453200111</v>
      </c>
      <c r="AA139" s="152">
        <f t="shared" si="41"/>
        <v>1523.8864977762578</v>
      </c>
      <c r="AB139" s="152">
        <f t="shared" si="41"/>
        <v>1532.7225423524046</v>
      </c>
      <c r="AC139" s="152">
        <f t="shared" si="41"/>
        <v>1541.5585869285514</v>
      </c>
      <c r="AD139" s="152">
        <f t="shared" si="41"/>
        <v>1550.3946315046983</v>
      </c>
      <c r="AE139" s="152">
        <f t="shared" si="41"/>
        <v>1559.2306760808451</v>
      </c>
      <c r="AF139" s="152">
        <f t="shared" si="41"/>
        <v>1568.0667206569917</v>
      </c>
      <c r="AG139" s="152">
        <f t="shared" si="41"/>
        <v>1576.9027652331386</v>
      </c>
      <c r="AH139" s="152">
        <f t="shared" si="41"/>
        <v>1585.7388098092854</v>
      </c>
      <c r="AI139" s="152">
        <f t="shared" si="41"/>
        <v>1594.5748543854322</v>
      </c>
      <c r="AJ139" s="152">
        <f t="shared" si="41"/>
        <v>1603.4108989615791</v>
      </c>
      <c r="AK139" s="152">
        <f t="shared" si="41"/>
        <v>1612.2469435377259</v>
      </c>
      <c r="AL139" s="152">
        <f t="shared" si="41"/>
        <v>1621.0829881138725</v>
      </c>
      <c r="AM139" s="152">
        <f t="shared" si="41"/>
        <v>1629.9190326900193</v>
      </c>
      <c r="AN139" s="152">
        <f t="shared" si="41"/>
        <v>1638.7550772661662</v>
      </c>
      <c r="AO139" s="152">
        <f t="shared" si="41"/>
        <v>1647.591121842313</v>
      </c>
      <c r="AP139" s="152">
        <f t="shared" si="41"/>
        <v>1656.4271664184598</v>
      </c>
      <c r="AQ139" s="152">
        <f t="shared" si="41"/>
        <v>1665.2632109946073</v>
      </c>
      <c r="AR139" s="153"/>
      <c r="AS139" s="153"/>
    </row>
    <row r="140" spans="7:45" ht="14.25" customHeight="1" thickTop="1" x14ac:dyDescent="0.15">
      <c r="G140" s="22"/>
      <c r="H140" s="254"/>
      <c r="J140" s="241"/>
      <c r="K140" s="140" t="s">
        <v>229</v>
      </c>
      <c r="L140" s="140" t="s">
        <v>219</v>
      </c>
      <c r="M140" s="151">
        <f t="shared" ref="M140:AQ140" si="42">M108*8760</f>
        <v>1601.0439894536098</v>
      </c>
      <c r="N140" s="151">
        <f t="shared" si="42"/>
        <v>1629.6024363132581</v>
      </c>
      <c r="O140" s="151">
        <f t="shared" si="42"/>
        <v>1658.1608831729066</v>
      </c>
      <c r="P140" s="151">
        <f t="shared" si="42"/>
        <v>1686.719330032555</v>
      </c>
      <c r="Q140" s="151">
        <f t="shared" si="42"/>
        <v>1715.2777768922035</v>
      </c>
      <c r="R140" s="151">
        <f t="shared" si="42"/>
        <v>1743.8362237518518</v>
      </c>
      <c r="S140" s="151">
        <f t="shared" si="42"/>
        <v>1772.3946706115003</v>
      </c>
      <c r="T140" s="151">
        <f t="shared" si="42"/>
        <v>1800.9531174711487</v>
      </c>
      <c r="U140" s="151">
        <f t="shared" si="42"/>
        <v>1829.5115643307972</v>
      </c>
      <c r="V140" s="151">
        <f t="shared" si="42"/>
        <v>1858.0700111904457</v>
      </c>
      <c r="W140" s="151">
        <f t="shared" si="42"/>
        <v>1886.6284580500937</v>
      </c>
      <c r="X140" s="151">
        <f t="shared" si="42"/>
        <v>1890.7298242632462</v>
      </c>
      <c r="Y140" s="151">
        <f t="shared" si="42"/>
        <v>1894.8311904763987</v>
      </c>
      <c r="Z140" s="151">
        <f t="shared" si="42"/>
        <v>1898.9325566895511</v>
      </c>
      <c r="AA140" s="151">
        <f t="shared" si="42"/>
        <v>1903.0339229027036</v>
      </c>
      <c r="AB140" s="151">
        <f t="shared" si="42"/>
        <v>1907.135289115856</v>
      </c>
      <c r="AC140" s="151">
        <f t="shared" si="42"/>
        <v>1911.2366553290085</v>
      </c>
      <c r="AD140" s="151">
        <f t="shared" si="42"/>
        <v>1915.338021542161</v>
      </c>
      <c r="AE140" s="151">
        <f t="shared" si="42"/>
        <v>1919.4393877553132</v>
      </c>
      <c r="AF140" s="151">
        <f t="shared" si="42"/>
        <v>1923.5407539684657</v>
      </c>
      <c r="AG140" s="151">
        <f t="shared" si="42"/>
        <v>1927.6421201816181</v>
      </c>
      <c r="AH140" s="151">
        <f t="shared" si="42"/>
        <v>1931.7434863947706</v>
      </c>
      <c r="AI140" s="151">
        <f t="shared" si="42"/>
        <v>1935.844852607923</v>
      </c>
      <c r="AJ140" s="151">
        <f t="shared" si="42"/>
        <v>1939.9462188210755</v>
      </c>
      <c r="AK140" s="151">
        <f t="shared" si="42"/>
        <v>1944.047585034228</v>
      </c>
      <c r="AL140" s="151">
        <f t="shared" si="42"/>
        <v>1948.1489512473804</v>
      </c>
      <c r="AM140" s="151">
        <f t="shared" si="42"/>
        <v>1952.2503174605329</v>
      </c>
      <c r="AN140" s="151">
        <f t="shared" si="42"/>
        <v>1956.3516836736853</v>
      </c>
      <c r="AO140" s="151">
        <f t="shared" si="42"/>
        <v>1960.4530498868376</v>
      </c>
      <c r="AP140" s="151">
        <f t="shared" si="42"/>
        <v>1964.55441609999</v>
      </c>
      <c r="AQ140" s="151">
        <f t="shared" si="42"/>
        <v>1968.6557823131413</v>
      </c>
    </row>
    <row r="141" spans="7:45" ht="14.25" customHeight="1" x14ac:dyDescent="0.15">
      <c r="G141" s="22"/>
      <c r="H141" s="254"/>
      <c r="J141" s="241"/>
      <c r="K141" s="19" t="s">
        <v>229</v>
      </c>
      <c r="L141" s="129" t="s">
        <v>218</v>
      </c>
      <c r="M141" s="149">
        <f t="shared" ref="M141:AQ141" si="43">M109*8760</f>
        <v>1589.4570603825712</v>
      </c>
      <c r="N141" s="149">
        <f t="shared" si="43"/>
        <v>1606.428578171181</v>
      </c>
      <c r="O141" s="149">
        <f t="shared" si="43"/>
        <v>1623.4000959597909</v>
      </c>
      <c r="P141" s="149">
        <f t="shared" si="43"/>
        <v>1640.3716137484009</v>
      </c>
      <c r="Q141" s="149">
        <f t="shared" si="43"/>
        <v>1657.3431315370108</v>
      </c>
      <c r="R141" s="149">
        <f t="shared" si="43"/>
        <v>1674.3146493256206</v>
      </c>
      <c r="S141" s="149">
        <f t="shared" si="43"/>
        <v>1691.2861671142305</v>
      </c>
      <c r="T141" s="149">
        <f t="shared" si="43"/>
        <v>1708.2576849028405</v>
      </c>
      <c r="U141" s="149">
        <f t="shared" si="43"/>
        <v>1725.2292026914504</v>
      </c>
      <c r="V141" s="149">
        <f t="shared" si="43"/>
        <v>1742.2007204800602</v>
      </c>
      <c r="W141" s="149">
        <f t="shared" si="43"/>
        <v>1759.1722382686705</v>
      </c>
      <c r="X141" s="149">
        <f t="shared" si="43"/>
        <v>1765.5450492577418</v>
      </c>
      <c r="Y141" s="149">
        <f t="shared" si="43"/>
        <v>1771.9178602468128</v>
      </c>
      <c r="Z141" s="149">
        <f t="shared" si="43"/>
        <v>1778.290671235884</v>
      </c>
      <c r="AA141" s="149">
        <f t="shared" si="43"/>
        <v>1784.663482224955</v>
      </c>
      <c r="AB141" s="149">
        <f t="shared" si="43"/>
        <v>1791.0362932140263</v>
      </c>
      <c r="AC141" s="149">
        <f t="shared" si="43"/>
        <v>1797.4091042030973</v>
      </c>
      <c r="AD141" s="149">
        <f t="shared" si="43"/>
        <v>1803.7819151921683</v>
      </c>
      <c r="AE141" s="149">
        <f t="shared" si="43"/>
        <v>1810.1547261812395</v>
      </c>
      <c r="AF141" s="149">
        <f t="shared" si="43"/>
        <v>1816.5275371703106</v>
      </c>
      <c r="AG141" s="149">
        <f t="shared" si="43"/>
        <v>1822.9003481593818</v>
      </c>
      <c r="AH141" s="149">
        <f t="shared" si="43"/>
        <v>1829.2731591484528</v>
      </c>
      <c r="AI141" s="149">
        <f t="shared" si="43"/>
        <v>1835.645970137524</v>
      </c>
      <c r="AJ141" s="149">
        <f t="shared" si="43"/>
        <v>1842.0187811265951</v>
      </c>
      <c r="AK141" s="149">
        <f t="shared" si="43"/>
        <v>1848.3915921156661</v>
      </c>
      <c r="AL141" s="149">
        <f t="shared" si="43"/>
        <v>1854.7644031047373</v>
      </c>
      <c r="AM141" s="149">
        <f t="shared" si="43"/>
        <v>1861.1372140938083</v>
      </c>
      <c r="AN141" s="149">
        <f t="shared" si="43"/>
        <v>1867.5100250828796</v>
      </c>
      <c r="AO141" s="149">
        <f t="shared" si="43"/>
        <v>1873.8828360719506</v>
      </c>
      <c r="AP141" s="149">
        <f t="shared" si="43"/>
        <v>1880.2556470610218</v>
      </c>
      <c r="AQ141" s="149">
        <f t="shared" si="43"/>
        <v>1886.6284580500937</v>
      </c>
    </row>
    <row r="142" spans="7:45" ht="14.25" customHeight="1" thickBot="1" x14ac:dyDescent="0.2">
      <c r="G142" s="22"/>
      <c r="H142" s="254"/>
      <c r="J142" s="241"/>
      <c r="K142" s="144" t="s">
        <v>229</v>
      </c>
      <c r="L142" s="144" t="s">
        <v>214</v>
      </c>
      <c r="M142" s="152">
        <f t="shared" ref="M142:AQ142" si="44">M110*8760</f>
        <v>1572.4855425939613</v>
      </c>
      <c r="N142" s="152">
        <f t="shared" si="44"/>
        <v>1572.4855425939613</v>
      </c>
      <c r="O142" s="152">
        <f t="shared" si="44"/>
        <v>1572.4855425939613</v>
      </c>
      <c r="P142" s="152">
        <f t="shared" si="44"/>
        <v>1572.4855425939613</v>
      </c>
      <c r="Q142" s="152">
        <f t="shared" si="44"/>
        <v>1572.4855425939613</v>
      </c>
      <c r="R142" s="152">
        <f t="shared" si="44"/>
        <v>1572.4855425939613</v>
      </c>
      <c r="S142" s="152">
        <f t="shared" si="44"/>
        <v>1572.4855425939613</v>
      </c>
      <c r="T142" s="152">
        <f t="shared" si="44"/>
        <v>1572.4855425939613</v>
      </c>
      <c r="U142" s="152">
        <f t="shared" si="44"/>
        <v>1572.4855425939613</v>
      </c>
      <c r="V142" s="152">
        <f t="shared" si="44"/>
        <v>1572.4855425939613</v>
      </c>
      <c r="W142" s="152">
        <f t="shared" si="44"/>
        <v>1572.4855425939613</v>
      </c>
      <c r="X142" s="152">
        <f t="shared" si="44"/>
        <v>1581.8198773776967</v>
      </c>
      <c r="Y142" s="152">
        <f t="shared" si="44"/>
        <v>1591.154212161432</v>
      </c>
      <c r="Z142" s="152">
        <f t="shared" si="44"/>
        <v>1600.4885469451674</v>
      </c>
      <c r="AA142" s="152">
        <f t="shared" si="44"/>
        <v>1609.8228817289028</v>
      </c>
      <c r="AB142" s="152">
        <f t="shared" si="44"/>
        <v>1619.1572165126383</v>
      </c>
      <c r="AC142" s="152">
        <f t="shared" si="44"/>
        <v>1628.4915512963737</v>
      </c>
      <c r="AD142" s="152">
        <f t="shared" si="44"/>
        <v>1637.8258860801091</v>
      </c>
      <c r="AE142" s="152">
        <f t="shared" si="44"/>
        <v>1647.1602208638444</v>
      </c>
      <c r="AF142" s="152">
        <f t="shared" si="44"/>
        <v>1656.4945556475798</v>
      </c>
      <c r="AG142" s="152">
        <f t="shared" si="44"/>
        <v>1665.8288904313151</v>
      </c>
      <c r="AH142" s="152">
        <f t="shared" si="44"/>
        <v>1675.1632252150507</v>
      </c>
      <c r="AI142" s="152">
        <f t="shared" si="44"/>
        <v>1684.4975599987861</v>
      </c>
      <c r="AJ142" s="152">
        <f t="shared" si="44"/>
        <v>1693.8318947825214</v>
      </c>
      <c r="AK142" s="152">
        <f t="shared" si="44"/>
        <v>1703.1662295662568</v>
      </c>
      <c r="AL142" s="152">
        <f t="shared" si="44"/>
        <v>1712.5005643499921</v>
      </c>
      <c r="AM142" s="152">
        <f t="shared" si="44"/>
        <v>1721.8348991337275</v>
      </c>
      <c r="AN142" s="152">
        <f t="shared" si="44"/>
        <v>1731.1692339174631</v>
      </c>
      <c r="AO142" s="152">
        <f t="shared" si="44"/>
        <v>1740.5035687011984</v>
      </c>
      <c r="AP142" s="152">
        <f t="shared" si="44"/>
        <v>1749.8379034849338</v>
      </c>
      <c r="AQ142" s="152">
        <f t="shared" si="44"/>
        <v>1759.1722382686705</v>
      </c>
      <c r="AR142" s="153"/>
      <c r="AS142" s="153"/>
    </row>
    <row r="143" spans="7:45" ht="14.25" customHeight="1" thickTop="1" x14ac:dyDescent="0.15">
      <c r="G143" s="22"/>
      <c r="H143" s="254"/>
      <c r="J143" s="241"/>
      <c r="K143" s="140" t="s">
        <v>228</v>
      </c>
      <c r="L143" s="140" t="s">
        <v>219</v>
      </c>
      <c r="M143" s="151">
        <f t="shared" ref="M143:AQ143" si="45">M111*8760</f>
        <v>1661.2870457399179</v>
      </c>
      <c r="N143" s="151">
        <f t="shared" si="45"/>
        <v>1690.9200715199136</v>
      </c>
      <c r="O143" s="151">
        <f t="shared" si="45"/>
        <v>1720.553097299909</v>
      </c>
      <c r="P143" s="151">
        <f t="shared" si="45"/>
        <v>1750.1861230799047</v>
      </c>
      <c r="Q143" s="151">
        <f t="shared" si="45"/>
        <v>1779.8191488599002</v>
      </c>
      <c r="R143" s="151">
        <f t="shared" si="45"/>
        <v>1809.4521746398959</v>
      </c>
      <c r="S143" s="151">
        <f t="shared" si="45"/>
        <v>1839.0852004198914</v>
      </c>
      <c r="T143" s="151">
        <f t="shared" si="45"/>
        <v>1868.7182261998871</v>
      </c>
      <c r="U143" s="151">
        <f t="shared" si="45"/>
        <v>1898.3512519798826</v>
      </c>
      <c r="V143" s="151">
        <f t="shared" si="45"/>
        <v>1927.9842777598783</v>
      </c>
      <c r="W143" s="151">
        <f t="shared" si="45"/>
        <v>1957.6173035398735</v>
      </c>
      <c r="X143" s="151">
        <f t="shared" si="45"/>
        <v>1961.8729933301777</v>
      </c>
      <c r="Y143" s="151">
        <f t="shared" si="45"/>
        <v>1966.1286831204818</v>
      </c>
      <c r="Z143" s="151">
        <f t="shared" si="45"/>
        <v>1970.3843729107859</v>
      </c>
      <c r="AA143" s="151">
        <f t="shared" si="45"/>
        <v>1974.6400627010901</v>
      </c>
      <c r="AB143" s="151">
        <f t="shared" si="45"/>
        <v>1978.8957524913942</v>
      </c>
      <c r="AC143" s="151">
        <f t="shared" si="45"/>
        <v>1983.1514422816983</v>
      </c>
      <c r="AD143" s="151">
        <f t="shared" si="45"/>
        <v>1987.4071320720025</v>
      </c>
      <c r="AE143" s="151">
        <f t="shared" si="45"/>
        <v>1991.6628218623066</v>
      </c>
      <c r="AF143" s="151">
        <f t="shared" si="45"/>
        <v>1995.9185116526107</v>
      </c>
      <c r="AG143" s="151">
        <f t="shared" si="45"/>
        <v>2000.1742014429149</v>
      </c>
      <c r="AH143" s="151">
        <f t="shared" si="45"/>
        <v>2004.429891233219</v>
      </c>
      <c r="AI143" s="151">
        <f t="shared" si="45"/>
        <v>2008.6855810235231</v>
      </c>
      <c r="AJ143" s="151">
        <f t="shared" si="45"/>
        <v>2012.9412708138273</v>
      </c>
      <c r="AK143" s="151">
        <f t="shared" si="45"/>
        <v>2017.1969606041314</v>
      </c>
      <c r="AL143" s="151">
        <f t="shared" si="45"/>
        <v>2021.4526503944355</v>
      </c>
      <c r="AM143" s="151">
        <f t="shared" si="45"/>
        <v>2025.7083401847397</v>
      </c>
      <c r="AN143" s="151">
        <f t="shared" si="45"/>
        <v>2029.9640299750438</v>
      </c>
      <c r="AO143" s="151">
        <f t="shared" si="45"/>
        <v>2034.2197197653479</v>
      </c>
      <c r="AP143" s="151">
        <f t="shared" si="45"/>
        <v>2038.475409555652</v>
      </c>
      <c r="AQ143" s="151">
        <f t="shared" si="45"/>
        <v>2042.731099345955</v>
      </c>
    </row>
    <row r="144" spans="7:45" ht="14.25" customHeight="1" x14ac:dyDescent="0.15">
      <c r="G144" s="22"/>
      <c r="H144" s="254"/>
      <c r="J144" s="241"/>
      <c r="K144" s="19" t="s">
        <v>228</v>
      </c>
      <c r="L144" s="129" t="s">
        <v>218</v>
      </c>
      <c r="M144" s="149">
        <f t="shared" ref="M144:AQ144" si="46">M112*8760</f>
        <v>1649.2641311339346</v>
      </c>
      <c r="N144" s="149">
        <f t="shared" si="46"/>
        <v>1666.874242307947</v>
      </c>
      <c r="O144" s="149">
        <f t="shared" si="46"/>
        <v>1684.4843534819595</v>
      </c>
      <c r="P144" s="149">
        <f t="shared" si="46"/>
        <v>1702.0944646559717</v>
      </c>
      <c r="Q144" s="149">
        <f t="shared" si="46"/>
        <v>1719.7045758299842</v>
      </c>
      <c r="R144" s="149">
        <f t="shared" si="46"/>
        <v>1737.3146870039964</v>
      </c>
      <c r="S144" s="149">
        <f t="shared" si="46"/>
        <v>1754.9247981780088</v>
      </c>
      <c r="T144" s="149">
        <f t="shared" si="46"/>
        <v>1772.534909352021</v>
      </c>
      <c r="U144" s="149">
        <f t="shared" si="46"/>
        <v>1790.1450205260335</v>
      </c>
      <c r="V144" s="149">
        <f t="shared" si="46"/>
        <v>1807.7551317000459</v>
      </c>
      <c r="W144" s="149">
        <f t="shared" si="46"/>
        <v>1825.3652428740579</v>
      </c>
      <c r="X144" s="149">
        <f t="shared" si="46"/>
        <v>1831.9778459073486</v>
      </c>
      <c r="Y144" s="149">
        <f t="shared" si="46"/>
        <v>1838.5904489406394</v>
      </c>
      <c r="Z144" s="149">
        <f t="shared" si="46"/>
        <v>1845.2030519739301</v>
      </c>
      <c r="AA144" s="149">
        <f t="shared" si="46"/>
        <v>1851.8156550072208</v>
      </c>
      <c r="AB144" s="149">
        <f t="shared" si="46"/>
        <v>1858.4282580405113</v>
      </c>
      <c r="AC144" s="149">
        <f t="shared" si="46"/>
        <v>1865.040861073802</v>
      </c>
      <c r="AD144" s="149">
        <f t="shared" si="46"/>
        <v>1871.6534641070928</v>
      </c>
      <c r="AE144" s="149">
        <f t="shared" si="46"/>
        <v>1878.2660671403835</v>
      </c>
      <c r="AF144" s="149">
        <f t="shared" si="46"/>
        <v>1884.8786701736742</v>
      </c>
      <c r="AG144" s="149">
        <f t="shared" si="46"/>
        <v>1891.4912732069649</v>
      </c>
      <c r="AH144" s="149">
        <f t="shared" si="46"/>
        <v>1898.1038762402557</v>
      </c>
      <c r="AI144" s="149">
        <f t="shared" si="46"/>
        <v>1904.7164792735464</v>
      </c>
      <c r="AJ144" s="149">
        <f t="shared" si="46"/>
        <v>1911.3290823068369</v>
      </c>
      <c r="AK144" s="149">
        <f t="shared" si="46"/>
        <v>1917.9416853401276</v>
      </c>
      <c r="AL144" s="149">
        <f t="shared" si="46"/>
        <v>1924.5542883734183</v>
      </c>
      <c r="AM144" s="149">
        <f t="shared" si="46"/>
        <v>1931.1668914067091</v>
      </c>
      <c r="AN144" s="149">
        <f t="shared" si="46"/>
        <v>1937.7794944399998</v>
      </c>
      <c r="AO144" s="149">
        <f t="shared" si="46"/>
        <v>1944.3920974732905</v>
      </c>
      <c r="AP144" s="149">
        <f t="shared" si="46"/>
        <v>1951.0047005065812</v>
      </c>
      <c r="AQ144" s="149">
        <f t="shared" si="46"/>
        <v>1957.6173035398735</v>
      </c>
    </row>
    <row r="145" spans="1:91" ht="14.25" customHeight="1" thickBot="1" x14ac:dyDescent="0.2">
      <c r="G145" s="22"/>
      <c r="H145" s="254"/>
      <c r="J145" s="251"/>
      <c r="K145" s="144" t="s">
        <v>228</v>
      </c>
      <c r="L145" s="144" t="s">
        <v>214</v>
      </c>
      <c r="M145" s="152">
        <f t="shared" ref="M145:AQ145" si="47">M113*8760</f>
        <v>1631.6540199599224</v>
      </c>
      <c r="N145" s="152">
        <f t="shared" si="47"/>
        <v>1631.6540199599224</v>
      </c>
      <c r="O145" s="152">
        <f t="shared" si="47"/>
        <v>1631.6540199599224</v>
      </c>
      <c r="P145" s="152">
        <f t="shared" si="47"/>
        <v>1631.6540199599224</v>
      </c>
      <c r="Q145" s="152">
        <f t="shared" si="47"/>
        <v>1631.6540199599224</v>
      </c>
      <c r="R145" s="152">
        <f t="shared" si="47"/>
        <v>1631.6540199599224</v>
      </c>
      <c r="S145" s="152">
        <f t="shared" si="47"/>
        <v>1631.6540199599224</v>
      </c>
      <c r="T145" s="152">
        <f t="shared" si="47"/>
        <v>1631.6540199599224</v>
      </c>
      <c r="U145" s="152">
        <f t="shared" si="47"/>
        <v>1631.6540199599224</v>
      </c>
      <c r="V145" s="152">
        <f t="shared" si="47"/>
        <v>1631.6540199599224</v>
      </c>
      <c r="W145" s="152">
        <f t="shared" si="47"/>
        <v>1631.6540199599224</v>
      </c>
      <c r="X145" s="152">
        <f t="shared" si="47"/>
        <v>1641.3395811056291</v>
      </c>
      <c r="Y145" s="152">
        <f t="shared" si="47"/>
        <v>1651.0251422513356</v>
      </c>
      <c r="Z145" s="152">
        <f t="shared" si="47"/>
        <v>1660.7107033970424</v>
      </c>
      <c r="AA145" s="152">
        <f t="shared" si="47"/>
        <v>1670.3962645427491</v>
      </c>
      <c r="AB145" s="152">
        <f t="shared" si="47"/>
        <v>1680.0818256884559</v>
      </c>
      <c r="AC145" s="152">
        <f t="shared" si="47"/>
        <v>1689.7673868341624</v>
      </c>
      <c r="AD145" s="152">
        <f t="shared" si="47"/>
        <v>1699.4529479798691</v>
      </c>
      <c r="AE145" s="152">
        <f t="shared" si="47"/>
        <v>1709.1385091255759</v>
      </c>
      <c r="AF145" s="152">
        <f t="shared" si="47"/>
        <v>1718.8240702712824</v>
      </c>
      <c r="AG145" s="152">
        <f t="shared" si="47"/>
        <v>1728.5096314169891</v>
      </c>
      <c r="AH145" s="152">
        <f t="shared" si="47"/>
        <v>1738.1951925626959</v>
      </c>
      <c r="AI145" s="152">
        <f t="shared" si="47"/>
        <v>1747.8807537084026</v>
      </c>
      <c r="AJ145" s="152">
        <f t="shared" si="47"/>
        <v>1757.5663148541091</v>
      </c>
      <c r="AK145" s="152">
        <f t="shared" si="47"/>
        <v>1767.2518759998159</v>
      </c>
      <c r="AL145" s="152">
        <f t="shared" si="47"/>
        <v>1776.9374371455226</v>
      </c>
      <c r="AM145" s="152">
        <f t="shared" si="47"/>
        <v>1786.6229982912294</v>
      </c>
      <c r="AN145" s="152">
        <f t="shared" si="47"/>
        <v>1796.3085594369359</v>
      </c>
      <c r="AO145" s="152">
        <f t="shared" si="47"/>
        <v>1805.9941205826426</v>
      </c>
      <c r="AP145" s="152">
        <f t="shared" si="47"/>
        <v>1815.6796817283494</v>
      </c>
      <c r="AQ145" s="152">
        <f t="shared" si="47"/>
        <v>1825.3652428740579</v>
      </c>
      <c r="AR145" s="153"/>
      <c r="AS145" s="153"/>
    </row>
    <row r="146" spans="1:91" ht="14.25" customHeight="1" thickTop="1" x14ac:dyDescent="0.15">
      <c r="G146" s="22"/>
      <c r="H146" s="254"/>
      <c r="J146" s="147"/>
      <c r="K146" s="19"/>
      <c r="L146" s="19"/>
      <c r="M146" s="154"/>
      <c r="N146" s="154"/>
      <c r="O146" s="154"/>
      <c r="P146" s="154"/>
      <c r="Q146" s="154"/>
      <c r="R146" s="154"/>
      <c r="S146" s="154"/>
      <c r="T146" s="154"/>
      <c r="U146" s="154"/>
      <c r="V146" s="154"/>
      <c r="W146" s="154"/>
      <c r="X146" s="154"/>
      <c r="Y146" s="154"/>
      <c r="Z146" s="154"/>
      <c r="AA146" s="154"/>
      <c r="AB146" s="154"/>
      <c r="AC146" s="154"/>
      <c r="AD146" s="154"/>
      <c r="AE146" s="154"/>
      <c r="AF146" s="154"/>
      <c r="AG146" s="154"/>
      <c r="AH146" s="154"/>
      <c r="AI146" s="154"/>
      <c r="AJ146" s="154"/>
      <c r="AK146" s="154"/>
      <c r="AL146" s="154"/>
      <c r="AM146" s="154"/>
      <c r="AN146" s="154"/>
      <c r="AO146" s="154"/>
      <c r="AP146" s="154"/>
      <c r="AQ146" s="154"/>
    </row>
    <row r="147" spans="1:91" ht="14.25" customHeight="1" x14ac:dyDescent="0.15">
      <c r="G147" s="22"/>
      <c r="H147" s="254"/>
      <c r="J147" s="78"/>
      <c r="M147" s="128">
        <v>2020</v>
      </c>
      <c r="N147" s="128">
        <v>2021</v>
      </c>
      <c r="O147" s="128">
        <v>2022</v>
      </c>
      <c r="P147" s="128">
        <v>2023</v>
      </c>
      <c r="Q147" s="128">
        <v>2024</v>
      </c>
      <c r="R147" s="128">
        <v>2025</v>
      </c>
      <c r="S147" s="128">
        <v>2026</v>
      </c>
      <c r="T147" s="128">
        <v>2027</v>
      </c>
      <c r="U147" s="128">
        <v>2028</v>
      </c>
      <c r="V147" s="128">
        <v>2029</v>
      </c>
      <c r="W147" s="128">
        <v>2030</v>
      </c>
      <c r="X147" s="128">
        <v>2031</v>
      </c>
      <c r="Y147" s="128">
        <v>2032</v>
      </c>
      <c r="Z147" s="128">
        <v>2033</v>
      </c>
      <c r="AA147" s="128">
        <v>2034</v>
      </c>
      <c r="AB147" s="128">
        <v>2035</v>
      </c>
      <c r="AC147" s="128">
        <v>2036</v>
      </c>
      <c r="AD147" s="128">
        <v>2037</v>
      </c>
      <c r="AE147" s="128">
        <v>2038</v>
      </c>
      <c r="AF147" s="128">
        <v>2039</v>
      </c>
      <c r="AG147" s="128">
        <v>2040</v>
      </c>
      <c r="AH147" s="128">
        <v>2041</v>
      </c>
      <c r="AI147" s="128">
        <v>2042</v>
      </c>
      <c r="AJ147" s="128">
        <v>2043</v>
      </c>
      <c r="AK147" s="128">
        <v>2044</v>
      </c>
      <c r="AL147" s="128">
        <v>2045</v>
      </c>
      <c r="AM147" s="128">
        <v>2046</v>
      </c>
      <c r="AN147" s="128">
        <v>2047</v>
      </c>
      <c r="AO147" s="128">
        <v>2048</v>
      </c>
      <c r="AP147" s="128">
        <v>2049</v>
      </c>
      <c r="AQ147" s="128">
        <v>2050</v>
      </c>
      <c r="AR147" s="16">
        <f>AQ147+1</f>
        <v>2051</v>
      </c>
      <c r="AS147" s="16">
        <f t="shared" ref="AS147:BK147" si="48">AR147+1</f>
        <v>2052</v>
      </c>
      <c r="AT147" s="16">
        <f t="shared" si="48"/>
        <v>2053</v>
      </c>
      <c r="AU147" s="16">
        <f t="shared" si="48"/>
        <v>2054</v>
      </c>
      <c r="AV147" s="16">
        <f t="shared" si="48"/>
        <v>2055</v>
      </c>
      <c r="AW147" s="16">
        <f t="shared" si="48"/>
        <v>2056</v>
      </c>
      <c r="AX147" s="16">
        <f t="shared" si="48"/>
        <v>2057</v>
      </c>
      <c r="AY147" s="16">
        <f t="shared" si="48"/>
        <v>2058</v>
      </c>
      <c r="AZ147" s="16">
        <f t="shared" si="48"/>
        <v>2059</v>
      </c>
      <c r="BA147" s="16">
        <f t="shared" si="48"/>
        <v>2060</v>
      </c>
      <c r="BB147" s="16">
        <f t="shared" si="48"/>
        <v>2061</v>
      </c>
      <c r="BC147" s="16">
        <f t="shared" si="48"/>
        <v>2062</v>
      </c>
      <c r="BD147" s="16">
        <f t="shared" si="48"/>
        <v>2063</v>
      </c>
      <c r="BE147" s="16">
        <f t="shared" si="48"/>
        <v>2064</v>
      </c>
      <c r="BF147" s="16">
        <f>BE147+1</f>
        <v>2065</v>
      </c>
      <c r="BG147" s="16">
        <f t="shared" si="48"/>
        <v>2066</v>
      </c>
      <c r="BH147" s="16">
        <f t="shared" si="48"/>
        <v>2067</v>
      </c>
      <c r="BI147" s="16">
        <f t="shared" si="48"/>
        <v>2068</v>
      </c>
      <c r="BJ147" s="16">
        <f>BI147+1</f>
        <v>2069</v>
      </c>
      <c r="BK147" s="16">
        <f t="shared" si="48"/>
        <v>2070</v>
      </c>
    </row>
    <row r="148" spans="1:91" ht="14.25" customHeight="1" x14ac:dyDescent="0.15">
      <c r="G148" s="22"/>
      <c r="H148" s="254"/>
      <c r="J148" s="240" t="s">
        <v>164</v>
      </c>
      <c r="K148" s="140" t="s">
        <v>237</v>
      </c>
      <c r="L148" s="140" t="s">
        <v>219</v>
      </c>
      <c r="M148" s="174">
        <f t="shared" ref="M148:AQ148" si="49" xml:space="preserve"> M$375*(M180+M277)</f>
        <v>1783.5622892746699</v>
      </c>
      <c r="N148" s="174">
        <f t="shared" si="49"/>
        <v>1597.9941896466974</v>
      </c>
      <c r="O148" s="174">
        <f t="shared" si="49"/>
        <v>1499.2068350584677</v>
      </c>
      <c r="P148" s="174">
        <f t="shared" si="49"/>
        <v>1400.4194804702381</v>
      </c>
      <c r="Q148" s="174">
        <f t="shared" si="49"/>
        <v>1301.6321258820085</v>
      </c>
      <c r="R148" s="174">
        <f t="shared" si="49"/>
        <v>1202.8447712937786</v>
      </c>
      <c r="S148" s="174">
        <f t="shared" si="49"/>
        <v>1104.9045489680545</v>
      </c>
      <c r="T148" s="174">
        <f t="shared" si="49"/>
        <v>1006.8119860805766</v>
      </c>
      <c r="U148" s="174">
        <f t="shared" si="49"/>
        <v>908.56730374280482</v>
      </c>
      <c r="V148" s="174">
        <f t="shared" si="49"/>
        <v>810.17072221452861</v>
      </c>
      <c r="W148" s="174">
        <f t="shared" si="49"/>
        <v>711.62246090897838</v>
      </c>
      <c r="X148" s="174">
        <f t="shared" si="49"/>
        <v>702.45062184695848</v>
      </c>
      <c r="Y148" s="174">
        <f t="shared" si="49"/>
        <v>693.2787827849387</v>
      </c>
      <c r="Z148" s="174">
        <f t="shared" si="49"/>
        <v>684.1069437229188</v>
      </c>
      <c r="AA148" s="174">
        <f t="shared" si="49"/>
        <v>674.9351046608989</v>
      </c>
      <c r="AB148" s="174">
        <f t="shared" si="49"/>
        <v>665.76326559887912</v>
      </c>
      <c r="AC148" s="174">
        <f t="shared" si="49"/>
        <v>656.59142653685922</v>
      </c>
      <c r="AD148" s="174">
        <f t="shared" si="49"/>
        <v>647.41958747483943</v>
      </c>
      <c r="AE148" s="174">
        <f t="shared" si="49"/>
        <v>638.24774841281953</v>
      </c>
      <c r="AF148" s="174">
        <f t="shared" si="49"/>
        <v>629.07590935079963</v>
      </c>
      <c r="AG148" s="174">
        <f t="shared" si="49"/>
        <v>619.90407028877985</v>
      </c>
      <c r="AH148" s="174">
        <f t="shared" si="49"/>
        <v>610.73223122675995</v>
      </c>
      <c r="AI148" s="174">
        <f t="shared" si="49"/>
        <v>601.56039216474016</v>
      </c>
      <c r="AJ148" s="174">
        <f t="shared" si="49"/>
        <v>592.38855310272027</v>
      </c>
      <c r="AK148" s="174">
        <f t="shared" si="49"/>
        <v>583.21671404070037</v>
      </c>
      <c r="AL148" s="174">
        <f t="shared" si="49"/>
        <v>574.04487497868058</v>
      </c>
      <c r="AM148" s="174">
        <f t="shared" si="49"/>
        <v>564.87303591666068</v>
      </c>
      <c r="AN148" s="174">
        <f t="shared" si="49"/>
        <v>555.7011968546409</v>
      </c>
      <c r="AO148" s="174">
        <f t="shared" si="49"/>
        <v>546.529357792621</v>
      </c>
      <c r="AP148" s="174">
        <f t="shared" si="49"/>
        <v>537.3575187306011</v>
      </c>
      <c r="AQ148" s="174">
        <f t="shared" si="49"/>
        <v>528.18567966858086</v>
      </c>
    </row>
    <row r="149" spans="1:91" s="197" customFormat="1" ht="14.25" customHeight="1" x14ac:dyDescent="0.15">
      <c r="G149" s="198"/>
      <c r="H149" s="254"/>
      <c r="J149" s="241"/>
      <c r="K149" s="199" t="s">
        <v>237</v>
      </c>
      <c r="L149" s="217" t="s">
        <v>218</v>
      </c>
      <c r="M149" s="218">
        <f t="shared" ref="M149:BK149" si="50" xml:space="preserve"> M$376*(M181+M278)</f>
        <v>1783.5622892746699</v>
      </c>
      <c r="N149" s="218">
        <f t="shared" si="50"/>
        <v>1597.9941896466974</v>
      </c>
      <c r="O149" s="218">
        <f t="shared" si="50"/>
        <v>1523.0418654408463</v>
      </c>
      <c r="P149" s="218">
        <f t="shared" si="50"/>
        <v>1448.0895412349953</v>
      </c>
      <c r="Q149" s="218">
        <f t="shared" si="50"/>
        <v>1373.1372170291443</v>
      </c>
      <c r="R149" s="218">
        <f t="shared" si="50"/>
        <v>1298.1848928232932</v>
      </c>
      <c r="S149" s="218">
        <f t="shared" si="50"/>
        <v>1224.1711427873574</v>
      </c>
      <c r="T149" s="218">
        <f t="shared" si="50"/>
        <v>1150.0415231884244</v>
      </c>
      <c r="U149" s="218">
        <f t="shared" si="50"/>
        <v>1075.7962026119585</v>
      </c>
      <c r="V149" s="218">
        <f t="shared" si="50"/>
        <v>1001.4353489932919</v>
      </c>
      <c r="W149" s="218">
        <f t="shared" si="50"/>
        <v>926.95912962152659</v>
      </c>
      <c r="X149" s="218">
        <f t="shared" si="50"/>
        <v>916.19229618589918</v>
      </c>
      <c r="Y149" s="218">
        <f t="shared" si="50"/>
        <v>905.42546275027178</v>
      </c>
      <c r="Z149" s="218">
        <f t="shared" si="50"/>
        <v>894.65862931464449</v>
      </c>
      <c r="AA149" s="218">
        <f t="shared" si="50"/>
        <v>883.89179587901708</v>
      </c>
      <c r="AB149" s="218">
        <f t="shared" si="50"/>
        <v>873.12496244338979</v>
      </c>
      <c r="AC149" s="218">
        <f t="shared" si="50"/>
        <v>862.35812900776239</v>
      </c>
      <c r="AD149" s="218">
        <f t="shared" si="50"/>
        <v>851.59129557213498</v>
      </c>
      <c r="AE149" s="218">
        <f t="shared" si="50"/>
        <v>840.82446213650769</v>
      </c>
      <c r="AF149" s="218">
        <f t="shared" si="50"/>
        <v>830.05762870088029</v>
      </c>
      <c r="AG149" s="218">
        <f t="shared" si="50"/>
        <v>819.29079526525288</v>
      </c>
      <c r="AH149" s="218">
        <f t="shared" si="50"/>
        <v>808.52396182962559</v>
      </c>
      <c r="AI149" s="218">
        <f t="shared" si="50"/>
        <v>797.75712839399819</v>
      </c>
      <c r="AJ149" s="218">
        <f t="shared" si="50"/>
        <v>786.99029495837078</v>
      </c>
      <c r="AK149" s="218">
        <f t="shared" si="50"/>
        <v>776.22346152274349</v>
      </c>
      <c r="AL149" s="218">
        <f t="shared" si="50"/>
        <v>765.45662808711609</v>
      </c>
      <c r="AM149" s="218">
        <f t="shared" si="50"/>
        <v>754.6897946514888</v>
      </c>
      <c r="AN149" s="218">
        <f t="shared" si="50"/>
        <v>743.92296121586139</v>
      </c>
      <c r="AO149" s="218">
        <f t="shared" si="50"/>
        <v>733.15612778023399</v>
      </c>
      <c r="AP149" s="218">
        <f t="shared" si="50"/>
        <v>722.3892943446067</v>
      </c>
      <c r="AQ149" s="218">
        <f t="shared" si="50"/>
        <v>711.62246090897838</v>
      </c>
      <c r="AR149" s="218">
        <f t="shared" si="50"/>
        <v>701.01610147696294</v>
      </c>
      <c r="AS149" s="218">
        <f t="shared" si="50"/>
        <v>690.56782426772804</v>
      </c>
      <c r="AT149" s="218">
        <f t="shared" si="50"/>
        <v>680.27527314868018</v>
      </c>
      <c r="AU149" s="218">
        <f t="shared" si="50"/>
        <v>670.13612710414543</v>
      </c>
      <c r="AV149" s="218">
        <f t="shared" si="50"/>
        <v>660.1480997119711</v>
      </c>
      <c r="AW149" s="218">
        <f t="shared" si="50"/>
        <v>650.30893862792732</v>
      </c>
      <c r="AX149" s="218">
        <f t="shared" si="50"/>
        <v>640.61642507779288</v>
      </c>
      <c r="AY149" s="218">
        <f t="shared" si="50"/>
        <v>631.06837335701266</v>
      </c>
      <c r="AZ149" s="218">
        <f t="shared" si="50"/>
        <v>621.66263033781092</v>
      </c>
      <c r="BA149" s="218">
        <f t="shared" si="50"/>
        <v>612.39707498365203</v>
      </c>
      <c r="BB149" s="218">
        <f t="shared" si="50"/>
        <v>603.26961787093694</v>
      </c>
      <c r="BC149" s="218">
        <f t="shared" si="50"/>
        <v>594.27820071782912</v>
      </c>
      <c r="BD149" s="218">
        <f t="shared" si="50"/>
        <v>585.42079592010316</v>
      </c>
      <c r="BE149" s="218">
        <f t="shared" si="50"/>
        <v>576.69540609391083</v>
      </c>
      <c r="BF149" s="218">
        <f t="shared" si="50"/>
        <v>568.10006362536217</v>
      </c>
      <c r="BG149" s="218">
        <f t="shared" si="50"/>
        <v>559.63283022681981</v>
      </c>
      <c r="BH149" s="218">
        <f t="shared" si="50"/>
        <v>551.29179649980688</v>
      </c>
      <c r="BI149" s="218">
        <f t="shared" si="50"/>
        <v>543.07508150442902</v>
      </c>
      <c r="BJ149" s="218">
        <f t="shared" si="50"/>
        <v>534.98083233521425</v>
      </c>
      <c r="BK149" s="218">
        <f t="shared" si="50"/>
        <v>527.00722370327446</v>
      </c>
    </row>
    <row r="150" spans="1:91" ht="14.25" customHeight="1" thickBot="1" x14ac:dyDescent="0.2">
      <c r="G150" s="22"/>
      <c r="H150" s="254"/>
      <c r="J150" s="241"/>
      <c r="K150" s="144" t="s">
        <v>237</v>
      </c>
      <c r="L150" s="144" t="s">
        <v>214</v>
      </c>
      <c r="M150" s="176">
        <f t="shared" ref="M150:AQ150" si="51" xml:space="preserve"> M$377*(M182+M279)</f>
        <v>1783.5622892746699</v>
      </c>
      <c r="N150" s="176">
        <f t="shared" si="51"/>
        <v>1597.9941896466974</v>
      </c>
      <c r="O150" s="176">
        <f t="shared" si="51"/>
        <v>1585.804672762361</v>
      </c>
      <c r="P150" s="176">
        <f t="shared" si="51"/>
        <v>1573.6151558780246</v>
      </c>
      <c r="Q150" s="176">
        <f t="shared" si="51"/>
        <v>1561.4256389936879</v>
      </c>
      <c r="R150" s="176">
        <f t="shared" si="51"/>
        <v>1549.2361221093515</v>
      </c>
      <c r="S150" s="176">
        <f t="shared" si="51"/>
        <v>1538.2259657805068</v>
      </c>
      <c r="T150" s="176">
        <f t="shared" si="51"/>
        <v>1527.1959759427853</v>
      </c>
      <c r="U150" s="176">
        <f t="shared" si="51"/>
        <v>1516.1461828693084</v>
      </c>
      <c r="V150" s="176">
        <f t="shared" si="51"/>
        <v>1505.0766167137556</v>
      </c>
      <c r="W150" s="176">
        <f t="shared" si="51"/>
        <v>1493.9873075110906</v>
      </c>
      <c r="X150" s="176">
        <f t="shared" si="51"/>
        <v>1465.6358986166126</v>
      </c>
      <c r="Y150" s="176">
        <f t="shared" si="51"/>
        <v>1437.2844897221344</v>
      </c>
      <c r="Z150" s="176">
        <f t="shared" si="51"/>
        <v>1408.9330808276563</v>
      </c>
      <c r="AA150" s="176">
        <f t="shared" si="51"/>
        <v>1380.5816719331781</v>
      </c>
      <c r="AB150" s="176">
        <f t="shared" si="51"/>
        <v>1352.2302630387001</v>
      </c>
      <c r="AC150" s="176">
        <f t="shared" si="51"/>
        <v>1323.8788541442218</v>
      </c>
      <c r="AD150" s="176">
        <f t="shared" si="51"/>
        <v>1295.5274452497438</v>
      </c>
      <c r="AE150" s="176">
        <f t="shared" si="51"/>
        <v>1267.1760363552658</v>
      </c>
      <c r="AF150" s="176">
        <f t="shared" si="51"/>
        <v>1238.8246274607875</v>
      </c>
      <c r="AG150" s="176">
        <f t="shared" si="51"/>
        <v>1210.4732185663095</v>
      </c>
      <c r="AH150" s="176">
        <f t="shared" si="51"/>
        <v>1182.1218096718312</v>
      </c>
      <c r="AI150" s="176">
        <f t="shared" si="51"/>
        <v>1153.7704007773532</v>
      </c>
      <c r="AJ150" s="176">
        <f t="shared" si="51"/>
        <v>1125.4189918828749</v>
      </c>
      <c r="AK150" s="176">
        <f t="shared" si="51"/>
        <v>1097.0675829883969</v>
      </c>
      <c r="AL150" s="176">
        <f t="shared" si="51"/>
        <v>1068.7161740939187</v>
      </c>
      <c r="AM150" s="176">
        <f t="shared" si="51"/>
        <v>1040.3647651994404</v>
      </c>
      <c r="AN150" s="176">
        <f t="shared" si="51"/>
        <v>1012.0133563049623</v>
      </c>
      <c r="AO150" s="176">
        <f t="shared" si="51"/>
        <v>983.661947410484</v>
      </c>
      <c r="AP150" s="176">
        <f t="shared" si="51"/>
        <v>955.31053851600575</v>
      </c>
      <c r="AQ150" s="176">
        <f t="shared" si="51"/>
        <v>926.95912962152659</v>
      </c>
    </row>
    <row r="151" spans="1:91" ht="14.25" customHeight="1" thickTop="1" x14ac:dyDescent="0.15">
      <c r="G151" s="22"/>
      <c r="H151" s="254"/>
      <c r="J151" s="241"/>
      <c r="K151" s="140" t="s">
        <v>236</v>
      </c>
      <c r="L151" s="140" t="s">
        <v>219</v>
      </c>
      <c r="M151" s="174">
        <f t="shared" ref="M151:AQ151" si="52" xml:space="preserve"> M$375*(M183+M280)</f>
        <v>1783.5622892746699</v>
      </c>
      <c r="N151" s="174">
        <f t="shared" si="52"/>
        <v>1597.9941896466974</v>
      </c>
      <c r="O151" s="174">
        <f t="shared" si="52"/>
        <v>1499.2068350584677</v>
      </c>
      <c r="P151" s="174">
        <f t="shared" si="52"/>
        <v>1400.4194804702381</v>
      </c>
      <c r="Q151" s="174">
        <f t="shared" si="52"/>
        <v>1301.6321258820085</v>
      </c>
      <c r="R151" s="174">
        <f t="shared" si="52"/>
        <v>1202.8447712937786</v>
      </c>
      <c r="S151" s="174">
        <f t="shared" si="52"/>
        <v>1104.9045489680545</v>
      </c>
      <c r="T151" s="174">
        <f t="shared" si="52"/>
        <v>1006.8119860805766</v>
      </c>
      <c r="U151" s="174">
        <f t="shared" si="52"/>
        <v>908.56730374280482</v>
      </c>
      <c r="V151" s="174">
        <f t="shared" si="52"/>
        <v>810.17072221452861</v>
      </c>
      <c r="W151" s="174">
        <f t="shared" si="52"/>
        <v>711.62246090897838</v>
      </c>
      <c r="X151" s="174">
        <f t="shared" si="52"/>
        <v>702.45062184695848</v>
      </c>
      <c r="Y151" s="174">
        <f t="shared" si="52"/>
        <v>693.2787827849387</v>
      </c>
      <c r="Z151" s="174">
        <f t="shared" si="52"/>
        <v>684.1069437229188</v>
      </c>
      <c r="AA151" s="174">
        <f t="shared" si="52"/>
        <v>674.9351046608989</v>
      </c>
      <c r="AB151" s="174">
        <f t="shared" si="52"/>
        <v>665.76326559887912</v>
      </c>
      <c r="AC151" s="174">
        <f t="shared" si="52"/>
        <v>656.59142653685922</v>
      </c>
      <c r="AD151" s="174">
        <f t="shared" si="52"/>
        <v>647.41958747483943</v>
      </c>
      <c r="AE151" s="174">
        <f t="shared" si="52"/>
        <v>638.24774841281953</v>
      </c>
      <c r="AF151" s="174">
        <f t="shared" si="52"/>
        <v>629.07590935079963</v>
      </c>
      <c r="AG151" s="174">
        <f t="shared" si="52"/>
        <v>619.90407028877985</v>
      </c>
      <c r="AH151" s="174">
        <f t="shared" si="52"/>
        <v>610.73223122675995</v>
      </c>
      <c r="AI151" s="174">
        <f t="shared" si="52"/>
        <v>601.56039216474016</v>
      </c>
      <c r="AJ151" s="174">
        <f t="shared" si="52"/>
        <v>592.38855310272027</v>
      </c>
      <c r="AK151" s="174">
        <f t="shared" si="52"/>
        <v>583.21671404070037</v>
      </c>
      <c r="AL151" s="174">
        <f t="shared" si="52"/>
        <v>574.04487497868058</v>
      </c>
      <c r="AM151" s="174">
        <f t="shared" si="52"/>
        <v>564.87303591666068</v>
      </c>
      <c r="AN151" s="174">
        <f t="shared" si="52"/>
        <v>555.7011968546409</v>
      </c>
      <c r="AO151" s="174">
        <f t="shared" si="52"/>
        <v>546.529357792621</v>
      </c>
      <c r="AP151" s="174">
        <f t="shared" si="52"/>
        <v>537.3575187306011</v>
      </c>
      <c r="AQ151" s="174">
        <f t="shared" si="52"/>
        <v>528.18567966858086</v>
      </c>
    </row>
    <row r="152" spans="1:91" ht="14.25" customHeight="1" x14ac:dyDescent="0.15">
      <c r="G152" s="22"/>
      <c r="H152" s="254"/>
      <c r="J152" s="241"/>
      <c r="K152" s="19" t="s">
        <v>236</v>
      </c>
      <c r="L152" s="129" t="s">
        <v>218</v>
      </c>
      <c r="M152" s="175">
        <f t="shared" ref="M152:AQ152" si="53" xml:space="preserve"> M$376*(M184+M281)</f>
        <v>1783.5622892746699</v>
      </c>
      <c r="N152" s="175">
        <f t="shared" si="53"/>
        <v>1597.9941896466974</v>
      </c>
      <c r="O152" s="175">
        <f t="shared" si="53"/>
        <v>1523.0418654408463</v>
      </c>
      <c r="P152" s="175">
        <f t="shared" si="53"/>
        <v>1448.0895412349953</v>
      </c>
      <c r="Q152" s="175">
        <f t="shared" si="53"/>
        <v>1373.1372170291443</v>
      </c>
      <c r="R152" s="175">
        <f t="shared" si="53"/>
        <v>1298.1848928232932</v>
      </c>
      <c r="S152" s="175">
        <f t="shared" si="53"/>
        <v>1224.1711427873574</v>
      </c>
      <c r="T152" s="175">
        <f t="shared" si="53"/>
        <v>1150.0415231884244</v>
      </c>
      <c r="U152" s="175">
        <f t="shared" si="53"/>
        <v>1075.7962026119585</v>
      </c>
      <c r="V152" s="175">
        <f t="shared" si="53"/>
        <v>1001.4353489932919</v>
      </c>
      <c r="W152" s="175">
        <f t="shared" si="53"/>
        <v>926.95912962152659</v>
      </c>
      <c r="X152" s="175">
        <f t="shared" si="53"/>
        <v>916.19229618589918</v>
      </c>
      <c r="Y152" s="175">
        <f t="shared" si="53"/>
        <v>905.42546275027178</v>
      </c>
      <c r="Z152" s="175">
        <f t="shared" si="53"/>
        <v>894.65862931464449</v>
      </c>
      <c r="AA152" s="175">
        <f t="shared" si="53"/>
        <v>883.89179587901708</v>
      </c>
      <c r="AB152" s="175">
        <f t="shared" si="53"/>
        <v>873.12496244338979</v>
      </c>
      <c r="AC152" s="175">
        <f t="shared" si="53"/>
        <v>862.35812900776239</v>
      </c>
      <c r="AD152" s="175">
        <f t="shared" si="53"/>
        <v>851.59129557213498</v>
      </c>
      <c r="AE152" s="175">
        <f t="shared" si="53"/>
        <v>840.82446213650769</v>
      </c>
      <c r="AF152" s="175">
        <f t="shared" si="53"/>
        <v>830.05762870088029</v>
      </c>
      <c r="AG152" s="175">
        <f t="shared" si="53"/>
        <v>819.29079526525288</v>
      </c>
      <c r="AH152" s="175">
        <f t="shared" si="53"/>
        <v>808.52396182962559</v>
      </c>
      <c r="AI152" s="175">
        <f t="shared" si="53"/>
        <v>797.75712839399819</v>
      </c>
      <c r="AJ152" s="175">
        <f t="shared" si="53"/>
        <v>786.99029495837078</v>
      </c>
      <c r="AK152" s="175">
        <f t="shared" si="53"/>
        <v>776.22346152274349</v>
      </c>
      <c r="AL152" s="175">
        <f t="shared" si="53"/>
        <v>765.45662808711609</v>
      </c>
      <c r="AM152" s="175">
        <f t="shared" si="53"/>
        <v>754.6897946514888</v>
      </c>
      <c r="AN152" s="175">
        <f t="shared" si="53"/>
        <v>743.92296121586139</v>
      </c>
      <c r="AO152" s="175">
        <f t="shared" si="53"/>
        <v>733.15612778023399</v>
      </c>
      <c r="AP152" s="175">
        <f t="shared" si="53"/>
        <v>722.3892943446067</v>
      </c>
      <c r="AQ152" s="175">
        <f t="shared" si="53"/>
        <v>711.62246090897838</v>
      </c>
    </row>
    <row r="153" spans="1:91" ht="14.25" customHeight="1" thickBot="1" x14ac:dyDescent="0.2">
      <c r="G153" s="22"/>
      <c r="H153" s="254"/>
      <c r="J153" s="241"/>
      <c r="K153" s="144" t="s">
        <v>236</v>
      </c>
      <c r="L153" s="144" t="s">
        <v>214</v>
      </c>
      <c r="M153" s="176">
        <f t="shared" ref="M153:AQ153" si="54" xml:space="preserve"> M$377*(M185+M282)</f>
        <v>1783.5622892746699</v>
      </c>
      <c r="N153" s="176">
        <f t="shared" si="54"/>
        <v>1597.9941896466974</v>
      </c>
      <c r="O153" s="176">
        <f t="shared" si="54"/>
        <v>1585.804672762361</v>
      </c>
      <c r="P153" s="176">
        <f t="shared" si="54"/>
        <v>1573.6151558780246</v>
      </c>
      <c r="Q153" s="176">
        <f t="shared" si="54"/>
        <v>1561.4256389936879</v>
      </c>
      <c r="R153" s="176">
        <f t="shared" si="54"/>
        <v>1549.2361221093515</v>
      </c>
      <c r="S153" s="176">
        <f t="shared" si="54"/>
        <v>1538.2259657805068</v>
      </c>
      <c r="T153" s="176">
        <f t="shared" si="54"/>
        <v>1527.1959759427853</v>
      </c>
      <c r="U153" s="176">
        <f t="shared" si="54"/>
        <v>1516.1461828693084</v>
      </c>
      <c r="V153" s="176">
        <f t="shared" si="54"/>
        <v>1505.0766167137556</v>
      </c>
      <c r="W153" s="176">
        <f t="shared" si="54"/>
        <v>1493.9873075110906</v>
      </c>
      <c r="X153" s="176">
        <f t="shared" si="54"/>
        <v>1465.6358986166126</v>
      </c>
      <c r="Y153" s="176">
        <f t="shared" si="54"/>
        <v>1437.2844897221344</v>
      </c>
      <c r="Z153" s="176">
        <f t="shared" si="54"/>
        <v>1408.9330808276563</v>
      </c>
      <c r="AA153" s="176">
        <f t="shared" si="54"/>
        <v>1380.5816719331781</v>
      </c>
      <c r="AB153" s="176">
        <f t="shared" si="54"/>
        <v>1352.2302630387001</v>
      </c>
      <c r="AC153" s="176">
        <f t="shared" si="54"/>
        <v>1323.8788541442218</v>
      </c>
      <c r="AD153" s="176">
        <f t="shared" si="54"/>
        <v>1295.5274452497438</v>
      </c>
      <c r="AE153" s="176">
        <f t="shared" si="54"/>
        <v>1267.1760363552658</v>
      </c>
      <c r="AF153" s="176">
        <f t="shared" si="54"/>
        <v>1238.8246274607875</v>
      </c>
      <c r="AG153" s="176">
        <f t="shared" si="54"/>
        <v>1210.4732185663095</v>
      </c>
      <c r="AH153" s="176">
        <f t="shared" si="54"/>
        <v>1182.1218096718312</v>
      </c>
      <c r="AI153" s="176">
        <f t="shared" si="54"/>
        <v>1153.7704007773532</v>
      </c>
      <c r="AJ153" s="176">
        <f t="shared" si="54"/>
        <v>1125.4189918828749</v>
      </c>
      <c r="AK153" s="176">
        <f t="shared" si="54"/>
        <v>1097.0675829883969</v>
      </c>
      <c r="AL153" s="176">
        <f t="shared" si="54"/>
        <v>1068.7161740939187</v>
      </c>
      <c r="AM153" s="176">
        <f t="shared" si="54"/>
        <v>1040.3647651994404</v>
      </c>
      <c r="AN153" s="176">
        <f t="shared" si="54"/>
        <v>1012.0133563049623</v>
      </c>
      <c r="AO153" s="176">
        <f t="shared" si="54"/>
        <v>983.661947410484</v>
      </c>
      <c r="AP153" s="176">
        <f t="shared" si="54"/>
        <v>955.31053851600575</v>
      </c>
      <c r="AQ153" s="176">
        <f t="shared" si="54"/>
        <v>926.95912962152659</v>
      </c>
      <c r="AT153" s="153"/>
      <c r="AU153" s="153"/>
    </row>
    <row r="154" spans="1:91" ht="14.25" customHeight="1" thickTop="1" thickBot="1" x14ac:dyDescent="0.2">
      <c r="G154" s="22"/>
      <c r="H154" s="254"/>
      <c r="J154" s="241"/>
      <c r="K154" s="140" t="s">
        <v>235</v>
      </c>
      <c r="L154" s="140" t="s">
        <v>219</v>
      </c>
      <c r="M154" s="174">
        <f t="shared" ref="M154:AQ154" si="55" xml:space="preserve"> M$375*(M186+M283)</f>
        <v>1783.5622892746699</v>
      </c>
      <c r="N154" s="174">
        <f t="shared" si="55"/>
        <v>1597.9941896466974</v>
      </c>
      <c r="O154" s="174">
        <f t="shared" si="55"/>
        <v>1499.2068350584677</v>
      </c>
      <c r="P154" s="174">
        <f t="shared" si="55"/>
        <v>1400.4194804702381</v>
      </c>
      <c r="Q154" s="174">
        <f t="shared" si="55"/>
        <v>1301.6321258820085</v>
      </c>
      <c r="R154" s="174">
        <f t="shared" si="55"/>
        <v>1202.8447712937786</v>
      </c>
      <c r="S154" s="174">
        <f t="shared" si="55"/>
        <v>1104.9045489680545</v>
      </c>
      <c r="T154" s="174">
        <f t="shared" si="55"/>
        <v>1006.8119860805766</v>
      </c>
      <c r="U154" s="174">
        <f t="shared" si="55"/>
        <v>908.56730374280482</v>
      </c>
      <c r="V154" s="174">
        <f t="shared" si="55"/>
        <v>810.17072221452861</v>
      </c>
      <c r="W154" s="174">
        <f t="shared" si="55"/>
        <v>711.62246090897838</v>
      </c>
      <c r="X154" s="174">
        <f t="shared" si="55"/>
        <v>702.45062184695848</v>
      </c>
      <c r="Y154" s="174">
        <f t="shared" si="55"/>
        <v>693.2787827849387</v>
      </c>
      <c r="Z154" s="174">
        <f t="shared" si="55"/>
        <v>684.1069437229188</v>
      </c>
      <c r="AA154" s="174">
        <f t="shared" si="55"/>
        <v>674.9351046608989</v>
      </c>
      <c r="AB154" s="174">
        <f t="shared" si="55"/>
        <v>665.76326559887912</v>
      </c>
      <c r="AC154" s="174">
        <f t="shared" si="55"/>
        <v>656.59142653685922</v>
      </c>
      <c r="AD154" s="174">
        <f t="shared" si="55"/>
        <v>647.41958747483943</v>
      </c>
      <c r="AE154" s="174">
        <f t="shared" si="55"/>
        <v>638.24774841281953</v>
      </c>
      <c r="AF154" s="174">
        <f t="shared" si="55"/>
        <v>629.07590935079963</v>
      </c>
      <c r="AG154" s="174">
        <f t="shared" si="55"/>
        <v>619.90407028877985</v>
      </c>
      <c r="AH154" s="174">
        <f t="shared" si="55"/>
        <v>610.73223122675995</v>
      </c>
      <c r="AI154" s="174">
        <f t="shared" si="55"/>
        <v>601.56039216474016</v>
      </c>
      <c r="AJ154" s="174">
        <f t="shared" si="55"/>
        <v>592.38855310272027</v>
      </c>
      <c r="AK154" s="174">
        <f t="shared" si="55"/>
        <v>583.21671404070037</v>
      </c>
      <c r="AL154" s="174">
        <f t="shared" si="55"/>
        <v>574.04487497868058</v>
      </c>
      <c r="AM154" s="174">
        <f t="shared" si="55"/>
        <v>564.87303591666068</v>
      </c>
      <c r="AN154" s="174">
        <f t="shared" si="55"/>
        <v>555.7011968546409</v>
      </c>
      <c r="AO154" s="174">
        <f t="shared" si="55"/>
        <v>546.529357792621</v>
      </c>
      <c r="AP154" s="174">
        <f t="shared" si="55"/>
        <v>537.3575187306011</v>
      </c>
      <c r="AQ154" s="174">
        <f t="shared" si="55"/>
        <v>528.18567966858086</v>
      </c>
      <c r="AV154" s="153"/>
      <c r="AW154" s="153"/>
      <c r="AX154" s="153"/>
      <c r="AY154" s="153"/>
      <c r="BB154" s="153"/>
    </row>
    <row r="155" spans="1:91" s="153" customFormat="1" ht="14.25" customHeight="1" thickTop="1" thickBot="1" x14ac:dyDescent="0.2">
      <c r="A155" s="16"/>
      <c r="B155" s="16"/>
      <c r="C155" s="16"/>
      <c r="D155" s="16"/>
      <c r="E155" s="16"/>
      <c r="F155" s="16"/>
      <c r="G155" s="22"/>
      <c r="H155" s="254"/>
      <c r="I155" s="16"/>
      <c r="J155" s="241"/>
      <c r="K155" s="19" t="s">
        <v>235</v>
      </c>
      <c r="L155" s="129" t="s">
        <v>218</v>
      </c>
      <c r="M155" s="175">
        <f t="shared" ref="M155:AQ155" si="56" xml:space="preserve"> M$376*(M187+M284)</f>
        <v>1783.5622892746699</v>
      </c>
      <c r="N155" s="175">
        <f t="shared" si="56"/>
        <v>1597.9941896466974</v>
      </c>
      <c r="O155" s="175">
        <f t="shared" si="56"/>
        <v>1523.0418654408463</v>
      </c>
      <c r="P155" s="175">
        <f t="shared" si="56"/>
        <v>1448.0895412349953</v>
      </c>
      <c r="Q155" s="175">
        <f t="shared" si="56"/>
        <v>1373.1372170291443</v>
      </c>
      <c r="R155" s="175">
        <f t="shared" si="56"/>
        <v>1298.1848928232932</v>
      </c>
      <c r="S155" s="175">
        <f t="shared" si="56"/>
        <v>1224.1711427873574</v>
      </c>
      <c r="T155" s="175">
        <f t="shared" si="56"/>
        <v>1150.0415231884244</v>
      </c>
      <c r="U155" s="175">
        <f t="shared" si="56"/>
        <v>1075.7962026119585</v>
      </c>
      <c r="V155" s="175">
        <f t="shared" si="56"/>
        <v>1001.4353489932919</v>
      </c>
      <c r="W155" s="175">
        <f t="shared" si="56"/>
        <v>926.95912962152659</v>
      </c>
      <c r="X155" s="175">
        <f t="shared" si="56"/>
        <v>916.19229618589918</v>
      </c>
      <c r="Y155" s="175">
        <f t="shared" si="56"/>
        <v>905.42546275027178</v>
      </c>
      <c r="Z155" s="175">
        <f t="shared" si="56"/>
        <v>894.65862931464449</v>
      </c>
      <c r="AA155" s="175">
        <f t="shared" si="56"/>
        <v>883.89179587901708</v>
      </c>
      <c r="AB155" s="175">
        <f t="shared" si="56"/>
        <v>873.12496244338979</v>
      </c>
      <c r="AC155" s="175">
        <f t="shared" si="56"/>
        <v>862.35812900776239</v>
      </c>
      <c r="AD155" s="175">
        <f t="shared" si="56"/>
        <v>851.59129557213498</v>
      </c>
      <c r="AE155" s="175">
        <f t="shared" si="56"/>
        <v>840.82446213650769</v>
      </c>
      <c r="AF155" s="175">
        <f t="shared" si="56"/>
        <v>830.05762870088029</v>
      </c>
      <c r="AG155" s="175">
        <f t="shared" si="56"/>
        <v>819.29079526525288</v>
      </c>
      <c r="AH155" s="175">
        <f t="shared" si="56"/>
        <v>808.52396182962559</v>
      </c>
      <c r="AI155" s="175">
        <f t="shared" si="56"/>
        <v>797.75712839399819</v>
      </c>
      <c r="AJ155" s="175">
        <f t="shared" si="56"/>
        <v>786.99029495837078</v>
      </c>
      <c r="AK155" s="175">
        <f t="shared" si="56"/>
        <v>776.22346152274349</v>
      </c>
      <c r="AL155" s="175">
        <f t="shared" si="56"/>
        <v>765.45662808711609</v>
      </c>
      <c r="AM155" s="175">
        <f t="shared" si="56"/>
        <v>754.6897946514888</v>
      </c>
      <c r="AN155" s="175">
        <f t="shared" si="56"/>
        <v>743.92296121586139</v>
      </c>
      <c r="AO155" s="175">
        <f t="shared" si="56"/>
        <v>733.15612778023399</v>
      </c>
      <c r="AP155" s="175">
        <f t="shared" si="56"/>
        <v>722.3892943446067</v>
      </c>
      <c r="AQ155" s="175">
        <f t="shared" si="56"/>
        <v>711.62246090897838</v>
      </c>
      <c r="AR155" s="16"/>
      <c r="AS155" s="16"/>
      <c r="AT155" s="16"/>
      <c r="AU155" s="16"/>
      <c r="AV155" s="155"/>
      <c r="AW155" s="155"/>
      <c r="AX155" s="155"/>
      <c r="AY155" s="155"/>
      <c r="BB155" s="155"/>
      <c r="BC155" s="16"/>
      <c r="BD155" s="16"/>
      <c r="BE155" s="16"/>
      <c r="BF155" s="16"/>
      <c r="BG155" s="16"/>
      <c r="BH155" s="16"/>
      <c r="BI155" s="16"/>
      <c r="BJ155" s="16"/>
      <c r="BK155" s="16"/>
      <c r="BL155" s="16"/>
      <c r="BM155" s="16"/>
      <c r="BN155" s="16"/>
      <c r="BO155" s="16"/>
      <c r="BP155" s="16"/>
      <c r="BQ155" s="16"/>
      <c r="BR155" s="16"/>
      <c r="BS155" s="16"/>
      <c r="BT155" s="16"/>
      <c r="BU155" s="16"/>
      <c r="BV155" s="16"/>
      <c r="BW155" s="16"/>
      <c r="BX155" s="16"/>
      <c r="BY155" s="16"/>
      <c r="BZ155" s="16"/>
      <c r="CA155" s="16"/>
      <c r="CB155" s="16"/>
      <c r="CC155" s="16"/>
      <c r="CD155" s="16"/>
      <c r="CE155" s="16"/>
      <c r="CF155" s="16"/>
      <c r="CG155" s="16"/>
      <c r="CH155" s="16"/>
      <c r="CI155" s="16"/>
      <c r="CJ155" s="16"/>
      <c r="CK155" s="16"/>
      <c r="CL155" s="16"/>
      <c r="CM155" s="16"/>
    </row>
    <row r="156" spans="1:91" s="155" customFormat="1" ht="14.25" customHeight="1" thickTop="1" thickBot="1" x14ac:dyDescent="0.2">
      <c r="A156" s="16"/>
      <c r="B156" s="16"/>
      <c r="C156" s="16"/>
      <c r="D156" s="16"/>
      <c r="E156" s="16"/>
      <c r="F156" s="16"/>
      <c r="G156" s="22"/>
      <c r="H156" s="254"/>
      <c r="I156" s="16"/>
      <c r="J156" s="241"/>
      <c r="K156" s="144" t="s">
        <v>235</v>
      </c>
      <c r="L156" s="144" t="s">
        <v>214</v>
      </c>
      <c r="M156" s="176">
        <f t="shared" ref="M156:AQ156" si="57" xml:space="preserve"> M$377*(M188+M285)</f>
        <v>1783.5622892746699</v>
      </c>
      <c r="N156" s="176">
        <f t="shared" si="57"/>
        <v>1597.9941896466974</v>
      </c>
      <c r="O156" s="176">
        <f t="shared" si="57"/>
        <v>1585.804672762361</v>
      </c>
      <c r="P156" s="176">
        <f t="shared" si="57"/>
        <v>1573.6151558780246</v>
      </c>
      <c r="Q156" s="176">
        <f t="shared" si="57"/>
        <v>1561.4256389936879</v>
      </c>
      <c r="R156" s="176">
        <f t="shared" si="57"/>
        <v>1549.2361221093515</v>
      </c>
      <c r="S156" s="176">
        <f t="shared" si="57"/>
        <v>1538.2259657805068</v>
      </c>
      <c r="T156" s="176">
        <f t="shared" si="57"/>
        <v>1527.1959759427853</v>
      </c>
      <c r="U156" s="176">
        <f t="shared" si="57"/>
        <v>1516.1461828693084</v>
      </c>
      <c r="V156" s="176">
        <f t="shared" si="57"/>
        <v>1505.0766167137556</v>
      </c>
      <c r="W156" s="176">
        <f t="shared" si="57"/>
        <v>1493.9873075110906</v>
      </c>
      <c r="X156" s="176">
        <f t="shared" si="57"/>
        <v>1465.6358986166126</v>
      </c>
      <c r="Y156" s="176">
        <f t="shared" si="57"/>
        <v>1437.2844897221344</v>
      </c>
      <c r="Z156" s="176">
        <f t="shared" si="57"/>
        <v>1408.9330808276563</v>
      </c>
      <c r="AA156" s="176">
        <f t="shared" si="57"/>
        <v>1380.5816719331781</v>
      </c>
      <c r="AB156" s="176">
        <f t="shared" si="57"/>
        <v>1352.2302630387001</v>
      </c>
      <c r="AC156" s="176">
        <f t="shared" si="57"/>
        <v>1323.8788541442218</v>
      </c>
      <c r="AD156" s="176">
        <f t="shared" si="57"/>
        <v>1295.5274452497438</v>
      </c>
      <c r="AE156" s="176">
        <f t="shared" si="57"/>
        <v>1267.1760363552658</v>
      </c>
      <c r="AF156" s="176">
        <f t="shared" si="57"/>
        <v>1238.8246274607875</v>
      </c>
      <c r="AG156" s="176">
        <f t="shared" si="57"/>
        <v>1210.4732185663095</v>
      </c>
      <c r="AH156" s="176">
        <f t="shared" si="57"/>
        <v>1182.1218096718312</v>
      </c>
      <c r="AI156" s="176">
        <f t="shared" si="57"/>
        <v>1153.7704007773532</v>
      </c>
      <c r="AJ156" s="176">
        <f t="shared" si="57"/>
        <v>1125.4189918828749</v>
      </c>
      <c r="AK156" s="176">
        <f t="shared" si="57"/>
        <v>1097.0675829883969</v>
      </c>
      <c r="AL156" s="176">
        <f t="shared" si="57"/>
        <v>1068.7161740939187</v>
      </c>
      <c r="AM156" s="176">
        <f t="shared" si="57"/>
        <v>1040.3647651994404</v>
      </c>
      <c r="AN156" s="176">
        <f t="shared" si="57"/>
        <v>1012.0133563049623</v>
      </c>
      <c r="AO156" s="176">
        <f t="shared" si="57"/>
        <v>983.661947410484</v>
      </c>
      <c r="AP156" s="176">
        <f t="shared" si="57"/>
        <v>955.31053851600575</v>
      </c>
      <c r="AQ156" s="176">
        <f t="shared" si="57"/>
        <v>926.95912962152659</v>
      </c>
      <c r="AR156" s="16"/>
      <c r="AS156" s="16"/>
      <c r="AT156" s="16"/>
      <c r="AU156" s="16"/>
      <c r="AV156" s="16"/>
      <c r="AW156" s="16"/>
      <c r="AX156" s="16"/>
      <c r="AY156" s="16"/>
      <c r="BB156" s="16"/>
      <c r="BC156" s="16"/>
      <c r="BD156" s="16"/>
      <c r="BE156" s="16"/>
      <c r="BF156" s="16"/>
      <c r="BG156" s="153"/>
      <c r="BH156" s="153"/>
      <c r="BI156" s="153"/>
      <c r="BJ156" s="16"/>
      <c r="BK156" s="16"/>
      <c r="BL156" s="16"/>
      <c r="BM156" s="16"/>
      <c r="BN156" s="16"/>
      <c r="BO156" s="16"/>
      <c r="BP156" s="16"/>
      <c r="BQ156" s="16"/>
      <c r="BR156" s="16"/>
      <c r="BS156" s="16"/>
      <c r="BT156" s="16"/>
      <c r="BU156" s="16"/>
      <c r="BV156" s="16"/>
      <c r="BW156" s="16"/>
      <c r="BX156" s="16"/>
      <c r="BY156" s="16"/>
      <c r="BZ156" s="16"/>
      <c r="CA156" s="16"/>
      <c r="CB156" s="16"/>
      <c r="CC156" s="16"/>
      <c r="CD156" s="16"/>
      <c r="CE156" s="16"/>
      <c r="CF156" s="16"/>
      <c r="CG156" s="16"/>
      <c r="CH156" s="16"/>
      <c r="CI156" s="16"/>
      <c r="CJ156" s="16"/>
      <c r="CK156" s="16"/>
      <c r="CL156" s="16"/>
      <c r="CM156" s="16"/>
    </row>
    <row r="157" spans="1:91" ht="14.25" customHeight="1" thickTop="1" thickBot="1" x14ac:dyDescent="0.2">
      <c r="G157" s="22"/>
      <c r="H157" s="254"/>
      <c r="J157" s="241"/>
      <c r="K157" s="140" t="s">
        <v>234</v>
      </c>
      <c r="L157" s="140" t="s">
        <v>219</v>
      </c>
      <c r="M157" s="174">
        <f t="shared" ref="M157:AQ157" si="58" xml:space="preserve"> M$375*(M189+M286)</f>
        <v>1783.5622892746699</v>
      </c>
      <c r="N157" s="174">
        <f t="shared" si="58"/>
        <v>1597.9941896466974</v>
      </c>
      <c r="O157" s="174">
        <f t="shared" si="58"/>
        <v>1499.2068350584677</v>
      </c>
      <c r="P157" s="174">
        <f t="shared" si="58"/>
        <v>1400.4194804702381</v>
      </c>
      <c r="Q157" s="174">
        <f t="shared" si="58"/>
        <v>1301.6321258820085</v>
      </c>
      <c r="R157" s="174">
        <f t="shared" si="58"/>
        <v>1202.8447712937786</v>
      </c>
      <c r="S157" s="174">
        <f t="shared" si="58"/>
        <v>1104.9045489680545</v>
      </c>
      <c r="T157" s="174">
        <f t="shared" si="58"/>
        <v>1006.8119860805766</v>
      </c>
      <c r="U157" s="174">
        <f t="shared" si="58"/>
        <v>908.56730374280482</v>
      </c>
      <c r="V157" s="174">
        <f t="shared" si="58"/>
        <v>810.17072221452861</v>
      </c>
      <c r="W157" s="174">
        <f t="shared" si="58"/>
        <v>711.62246090897838</v>
      </c>
      <c r="X157" s="174">
        <f t="shared" si="58"/>
        <v>702.45062184695848</v>
      </c>
      <c r="Y157" s="174">
        <f t="shared" si="58"/>
        <v>693.2787827849387</v>
      </c>
      <c r="Z157" s="174">
        <f t="shared" si="58"/>
        <v>684.1069437229188</v>
      </c>
      <c r="AA157" s="174">
        <f t="shared" si="58"/>
        <v>674.9351046608989</v>
      </c>
      <c r="AB157" s="174">
        <f t="shared" si="58"/>
        <v>665.76326559887912</v>
      </c>
      <c r="AC157" s="174">
        <f t="shared" si="58"/>
        <v>656.59142653685922</v>
      </c>
      <c r="AD157" s="174">
        <f t="shared" si="58"/>
        <v>647.41958747483943</v>
      </c>
      <c r="AE157" s="174">
        <f t="shared" si="58"/>
        <v>638.24774841281953</v>
      </c>
      <c r="AF157" s="174">
        <f t="shared" si="58"/>
        <v>629.07590935079963</v>
      </c>
      <c r="AG157" s="174">
        <f t="shared" si="58"/>
        <v>619.90407028877985</v>
      </c>
      <c r="AH157" s="174">
        <f t="shared" si="58"/>
        <v>610.73223122675995</v>
      </c>
      <c r="AI157" s="174">
        <f t="shared" si="58"/>
        <v>601.56039216474016</v>
      </c>
      <c r="AJ157" s="174">
        <f t="shared" si="58"/>
        <v>592.38855310272027</v>
      </c>
      <c r="AK157" s="174">
        <f t="shared" si="58"/>
        <v>583.21671404070037</v>
      </c>
      <c r="AL157" s="174">
        <f t="shared" si="58"/>
        <v>574.04487497868058</v>
      </c>
      <c r="AM157" s="174">
        <f t="shared" si="58"/>
        <v>564.87303591666068</v>
      </c>
      <c r="AN157" s="174">
        <f t="shared" si="58"/>
        <v>555.7011968546409</v>
      </c>
      <c r="AO157" s="174">
        <f t="shared" si="58"/>
        <v>546.529357792621</v>
      </c>
      <c r="AP157" s="174">
        <f t="shared" si="58"/>
        <v>537.3575187306011</v>
      </c>
      <c r="AQ157" s="174">
        <f t="shared" si="58"/>
        <v>528.18567966858086</v>
      </c>
      <c r="AV157" s="153"/>
      <c r="AW157" s="153"/>
      <c r="AX157" s="153"/>
      <c r="AY157" s="153"/>
      <c r="BB157" s="153"/>
    </row>
    <row r="158" spans="1:91" s="153" customFormat="1" ht="14.25" customHeight="1" thickTop="1" thickBot="1" x14ac:dyDescent="0.2">
      <c r="A158" s="16"/>
      <c r="B158" s="16"/>
      <c r="C158" s="16"/>
      <c r="D158" s="16"/>
      <c r="E158" s="16"/>
      <c r="F158" s="16"/>
      <c r="G158" s="22"/>
      <c r="H158" s="254"/>
      <c r="I158" s="16"/>
      <c r="J158" s="241"/>
      <c r="K158" s="19" t="s">
        <v>234</v>
      </c>
      <c r="L158" s="129" t="s">
        <v>218</v>
      </c>
      <c r="M158" s="175">
        <f t="shared" ref="M158:AQ158" si="59" xml:space="preserve"> M$376*(M190+M287)</f>
        <v>1783.5622892746699</v>
      </c>
      <c r="N158" s="175">
        <f t="shared" si="59"/>
        <v>1597.9941896466974</v>
      </c>
      <c r="O158" s="175">
        <f t="shared" si="59"/>
        <v>1523.0418654408463</v>
      </c>
      <c r="P158" s="175">
        <f t="shared" si="59"/>
        <v>1448.0895412349953</v>
      </c>
      <c r="Q158" s="175">
        <f t="shared" si="59"/>
        <v>1373.1372170291443</v>
      </c>
      <c r="R158" s="175">
        <f t="shared" si="59"/>
        <v>1298.1848928232932</v>
      </c>
      <c r="S158" s="175">
        <f t="shared" si="59"/>
        <v>1224.1711427873574</v>
      </c>
      <c r="T158" s="175">
        <f t="shared" si="59"/>
        <v>1150.0415231884244</v>
      </c>
      <c r="U158" s="175">
        <f t="shared" si="59"/>
        <v>1075.7962026119585</v>
      </c>
      <c r="V158" s="175">
        <f t="shared" si="59"/>
        <v>1001.4353489932919</v>
      </c>
      <c r="W158" s="175">
        <f t="shared" si="59"/>
        <v>926.95912962152659</v>
      </c>
      <c r="X158" s="175">
        <f t="shared" si="59"/>
        <v>916.19229618589918</v>
      </c>
      <c r="Y158" s="175">
        <f t="shared" si="59"/>
        <v>905.42546275027178</v>
      </c>
      <c r="Z158" s="175">
        <f t="shared" si="59"/>
        <v>894.65862931464449</v>
      </c>
      <c r="AA158" s="175">
        <f t="shared" si="59"/>
        <v>883.89179587901708</v>
      </c>
      <c r="AB158" s="175">
        <f t="shared" si="59"/>
        <v>873.12496244338979</v>
      </c>
      <c r="AC158" s="175">
        <f t="shared" si="59"/>
        <v>862.35812900776239</v>
      </c>
      <c r="AD158" s="175">
        <f t="shared" si="59"/>
        <v>851.59129557213498</v>
      </c>
      <c r="AE158" s="175">
        <f t="shared" si="59"/>
        <v>840.82446213650769</v>
      </c>
      <c r="AF158" s="175">
        <f t="shared" si="59"/>
        <v>830.05762870088029</v>
      </c>
      <c r="AG158" s="175">
        <f t="shared" si="59"/>
        <v>819.29079526525288</v>
      </c>
      <c r="AH158" s="175">
        <f t="shared" si="59"/>
        <v>808.52396182962559</v>
      </c>
      <c r="AI158" s="175">
        <f t="shared" si="59"/>
        <v>797.75712839399819</v>
      </c>
      <c r="AJ158" s="175">
        <f t="shared" si="59"/>
        <v>786.99029495837078</v>
      </c>
      <c r="AK158" s="175">
        <f t="shared" si="59"/>
        <v>776.22346152274349</v>
      </c>
      <c r="AL158" s="175">
        <f t="shared" si="59"/>
        <v>765.45662808711609</v>
      </c>
      <c r="AM158" s="175">
        <f t="shared" si="59"/>
        <v>754.6897946514888</v>
      </c>
      <c r="AN158" s="175">
        <f t="shared" si="59"/>
        <v>743.92296121586139</v>
      </c>
      <c r="AO158" s="175">
        <f t="shared" si="59"/>
        <v>733.15612778023399</v>
      </c>
      <c r="AP158" s="175">
        <f t="shared" si="59"/>
        <v>722.3892943446067</v>
      </c>
      <c r="AQ158" s="175">
        <f t="shared" si="59"/>
        <v>711.62246090897838</v>
      </c>
      <c r="AR158" s="16"/>
      <c r="AS158" s="16"/>
      <c r="AT158" s="16"/>
      <c r="AU158" s="16"/>
      <c r="AV158" s="155"/>
      <c r="AW158" s="155"/>
      <c r="AX158" s="155"/>
      <c r="AY158" s="155"/>
      <c r="BB158" s="155"/>
      <c r="BC158" s="16"/>
      <c r="BD158" s="16"/>
      <c r="BE158" s="16"/>
      <c r="BF158" s="16"/>
      <c r="BG158" s="16"/>
      <c r="BH158" s="16"/>
      <c r="BI158" s="16"/>
      <c r="BJ158" s="16"/>
      <c r="BK158" s="16"/>
      <c r="BL158" s="16"/>
      <c r="BM158" s="16"/>
      <c r="BN158" s="16"/>
      <c r="BO158" s="16"/>
      <c r="BP158" s="16"/>
      <c r="BQ158" s="16"/>
      <c r="BR158" s="16"/>
      <c r="BS158" s="16"/>
      <c r="BT158" s="16"/>
      <c r="BU158" s="16"/>
      <c r="BV158" s="16"/>
      <c r="BW158" s="16"/>
      <c r="BX158" s="16"/>
      <c r="BY158" s="16"/>
      <c r="BZ158" s="16"/>
      <c r="CA158" s="16"/>
      <c r="CB158" s="16"/>
      <c r="CC158" s="16"/>
      <c r="CD158" s="16"/>
      <c r="CE158" s="16"/>
      <c r="CF158" s="16"/>
      <c r="CG158" s="16"/>
      <c r="CH158" s="16"/>
      <c r="CI158" s="16"/>
      <c r="CJ158" s="16"/>
      <c r="CK158" s="16"/>
      <c r="CL158" s="16"/>
      <c r="CM158" s="16"/>
    </row>
    <row r="159" spans="1:91" s="155" customFormat="1" ht="14.25" customHeight="1" thickTop="1" thickBot="1" x14ac:dyDescent="0.2">
      <c r="A159" s="16"/>
      <c r="B159" s="16"/>
      <c r="C159" s="16"/>
      <c r="D159" s="16"/>
      <c r="E159" s="16"/>
      <c r="F159" s="16"/>
      <c r="G159" s="22"/>
      <c r="H159" s="254"/>
      <c r="I159" s="16"/>
      <c r="J159" s="241"/>
      <c r="K159" s="144" t="s">
        <v>234</v>
      </c>
      <c r="L159" s="144" t="s">
        <v>214</v>
      </c>
      <c r="M159" s="176">
        <f t="shared" ref="M159:AQ159" si="60" xml:space="preserve"> M$377*(M191+M288)</f>
        <v>1783.5622892746699</v>
      </c>
      <c r="N159" s="176">
        <f t="shared" si="60"/>
        <v>1597.9941896466974</v>
      </c>
      <c r="O159" s="176">
        <f t="shared" si="60"/>
        <v>1585.804672762361</v>
      </c>
      <c r="P159" s="176">
        <f t="shared" si="60"/>
        <v>1573.6151558780246</v>
      </c>
      <c r="Q159" s="176">
        <f t="shared" si="60"/>
        <v>1561.4256389936879</v>
      </c>
      <c r="R159" s="176">
        <f t="shared" si="60"/>
        <v>1549.2361221093515</v>
      </c>
      <c r="S159" s="176">
        <f t="shared" si="60"/>
        <v>1538.2259657805068</v>
      </c>
      <c r="T159" s="176">
        <f t="shared" si="60"/>
        <v>1527.1959759427853</v>
      </c>
      <c r="U159" s="176">
        <f t="shared" si="60"/>
        <v>1516.1461828693084</v>
      </c>
      <c r="V159" s="176">
        <f t="shared" si="60"/>
        <v>1505.0766167137556</v>
      </c>
      <c r="W159" s="176">
        <f t="shared" si="60"/>
        <v>1493.9873075110906</v>
      </c>
      <c r="X159" s="176">
        <f t="shared" si="60"/>
        <v>1465.6358986166126</v>
      </c>
      <c r="Y159" s="176">
        <f t="shared" si="60"/>
        <v>1437.2844897221344</v>
      </c>
      <c r="Z159" s="176">
        <f t="shared" si="60"/>
        <v>1408.9330808276563</v>
      </c>
      <c r="AA159" s="176">
        <f t="shared" si="60"/>
        <v>1380.5816719331781</v>
      </c>
      <c r="AB159" s="176">
        <f t="shared" si="60"/>
        <v>1352.2302630387001</v>
      </c>
      <c r="AC159" s="176">
        <f t="shared" si="60"/>
        <v>1323.8788541442218</v>
      </c>
      <c r="AD159" s="176">
        <f t="shared" si="60"/>
        <v>1295.5274452497438</v>
      </c>
      <c r="AE159" s="176">
        <f t="shared" si="60"/>
        <v>1267.1760363552658</v>
      </c>
      <c r="AF159" s="176">
        <f t="shared" si="60"/>
        <v>1238.8246274607875</v>
      </c>
      <c r="AG159" s="176">
        <f t="shared" si="60"/>
        <v>1210.4732185663095</v>
      </c>
      <c r="AH159" s="176">
        <f t="shared" si="60"/>
        <v>1182.1218096718312</v>
      </c>
      <c r="AI159" s="176">
        <f t="shared" si="60"/>
        <v>1153.7704007773532</v>
      </c>
      <c r="AJ159" s="176">
        <f t="shared" si="60"/>
        <v>1125.4189918828749</v>
      </c>
      <c r="AK159" s="176">
        <f t="shared" si="60"/>
        <v>1097.0675829883969</v>
      </c>
      <c r="AL159" s="176">
        <f t="shared" si="60"/>
        <v>1068.7161740939187</v>
      </c>
      <c r="AM159" s="176">
        <f t="shared" si="60"/>
        <v>1040.3647651994404</v>
      </c>
      <c r="AN159" s="176">
        <f t="shared" si="60"/>
        <v>1012.0133563049623</v>
      </c>
      <c r="AO159" s="176">
        <f t="shared" si="60"/>
        <v>983.661947410484</v>
      </c>
      <c r="AP159" s="176">
        <f t="shared" si="60"/>
        <v>955.31053851600575</v>
      </c>
      <c r="AQ159" s="176">
        <f t="shared" si="60"/>
        <v>926.95912962152659</v>
      </c>
      <c r="AR159" s="16"/>
      <c r="AS159" s="16"/>
      <c r="AT159" s="16"/>
      <c r="AU159" s="16"/>
      <c r="AV159" s="16"/>
      <c r="AW159" s="16"/>
      <c r="AX159" s="16"/>
      <c r="AY159" s="16"/>
      <c r="BB159" s="16"/>
      <c r="BC159" s="16"/>
      <c r="BD159" s="16"/>
      <c r="BE159" s="16"/>
      <c r="BF159" s="16"/>
      <c r="BG159" s="153"/>
      <c r="BH159" s="153"/>
      <c r="BI159" s="153"/>
      <c r="BJ159" s="16"/>
      <c r="BK159" s="16"/>
      <c r="BL159" s="16"/>
      <c r="BM159" s="16"/>
      <c r="BN159" s="16"/>
      <c r="BO159" s="16"/>
      <c r="BP159" s="16"/>
      <c r="BQ159" s="16"/>
      <c r="BR159" s="16"/>
      <c r="BS159" s="16"/>
      <c r="BT159" s="16"/>
      <c r="BU159" s="16"/>
      <c r="BV159" s="16"/>
      <c r="BW159" s="16"/>
      <c r="BX159" s="16"/>
      <c r="BY159" s="16"/>
      <c r="BZ159" s="16"/>
      <c r="CA159" s="16"/>
      <c r="CB159" s="16"/>
      <c r="CC159" s="16"/>
      <c r="CD159" s="16"/>
      <c r="CE159" s="16"/>
      <c r="CF159" s="16"/>
      <c r="CG159" s="16"/>
      <c r="CH159" s="16"/>
      <c r="CI159" s="16"/>
      <c r="CJ159" s="16"/>
      <c r="CK159" s="16"/>
      <c r="CL159" s="16"/>
      <c r="CM159" s="16"/>
    </row>
    <row r="160" spans="1:91" ht="14.25" customHeight="1" thickTop="1" thickBot="1" x14ac:dyDescent="0.2">
      <c r="G160" s="22"/>
      <c r="H160" s="254"/>
      <c r="J160" s="241"/>
      <c r="K160" s="140" t="s">
        <v>233</v>
      </c>
      <c r="L160" s="140" t="s">
        <v>219</v>
      </c>
      <c r="M160" s="174">
        <f t="shared" ref="M160:AQ160" si="61" xml:space="preserve"> M$375*(M192+M289)</f>
        <v>1783.5622892746699</v>
      </c>
      <c r="N160" s="174">
        <f t="shared" si="61"/>
        <v>1597.9941896466974</v>
      </c>
      <c r="O160" s="174">
        <f t="shared" si="61"/>
        <v>1499.2068350584677</v>
      </c>
      <c r="P160" s="174">
        <f t="shared" si="61"/>
        <v>1400.4194804702381</v>
      </c>
      <c r="Q160" s="174">
        <f t="shared" si="61"/>
        <v>1301.6321258820085</v>
      </c>
      <c r="R160" s="174">
        <f t="shared" si="61"/>
        <v>1202.8447712937786</v>
      </c>
      <c r="S160" s="174">
        <f t="shared" si="61"/>
        <v>1104.9045489680545</v>
      </c>
      <c r="T160" s="174">
        <f t="shared" si="61"/>
        <v>1006.8119860805766</v>
      </c>
      <c r="U160" s="174">
        <f t="shared" si="61"/>
        <v>908.56730374280482</v>
      </c>
      <c r="V160" s="174">
        <f t="shared" si="61"/>
        <v>810.17072221452861</v>
      </c>
      <c r="W160" s="174">
        <f t="shared" si="61"/>
        <v>711.62246090897838</v>
      </c>
      <c r="X160" s="174">
        <f t="shared" si="61"/>
        <v>702.45062184695848</v>
      </c>
      <c r="Y160" s="174">
        <f t="shared" si="61"/>
        <v>693.2787827849387</v>
      </c>
      <c r="Z160" s="174">
        <f t="shared" si="61"/>
        <v>684.1069437229188</v>
      </c>
      <c r="AA160" s="174">
        <f t="shared" si="61"/>
        <v>674.9351046608989</v>
      </c>
      <c r="AB160" s="174">
        <f t="shared" si="61"/>
        <v>665.76326559887912</v>
      </c>
      <c r="AC160" s="174">
        <f t="shared" si="61"/>
        <v>656.59142653685922</v>
      </c>
      <c r="AD160" s="174">
        <f t="shared" si="61"/>
        <v>647.41958747483943</v>
      </c>
      <c r="AE160" s="174">
        <f t="shared" si="61"/>
        <v>638.24774841281953</v>
      </c>
      <c r="AF160" s="174">
        <f t="shared" si="61"/>
        <v>629.07590935079963</v>
      </c>
      <c r="AG160" s="174">
        <f t="shared" si="61"/>
        <v>619.90407028877985</v>
      </c>
      <c r="AH160" s="174">
        <f t="shared" si="61"/>
        <v>610.73223122675995</v>
      </c>
      <c r="AI160" s="174">
        <f t="shared" si="61"/>
        <v>601.56039216474016</v>
      </c>
      <c r="AJ160" s="174">
        <f t="shared" si="61"/>
        <v>592.38855310272027</v>
      </c>
      <c r="AK160" s="174">
        <f t="shared" si="61"/>
        <v>583.21671404070037</v>
      </c>
      <c r="AL160" s="174">
        <f t="shared" si="61"/>
        <v>574.04487497868058</v>
      </c>
      <c r="AM160" s="174">
        <f t="shared" si="61"/>
        <v>564.87303591666068</v>
      </c>
      <c r="AN160" s="174">
        <f t="shared" si="61"/>
        <v>555.7011968546409</v>
      </c>
      <c r="AO160" s="174">
        <f t="shared" si="61"/>
        <v>546.529357792621</v>
      </c>
      <c r="AP160" s="174">
        <f t="shared" si="61"/>
        <v>537.3575187306011</v>
      </c>
      <c r="AQ160" s="174">
        <f t="shared" si="61"/>
        <v>528.18567966858086</v>
      </c>
      <c r="AV160" s="153"/>
      <c r="AW160" s="153"/>
      <c r="AX160" s="153"/>
      <c r="AY160" s="153"/>
      <c r="BB160" s="153"/>
    </row>
    <row r="161" spans="1:91" s="153" customFormat="1" ht="14.25" customHeight="1" thickTop="1" thickBot="1" x14ac:dyDescent="0.2">
      <c r="A161" s="16"/>
      <c r="B161" s="16"/>
      <c r="C161" s="16"/>
      <c r="D161" s="16"/>
      <c r="E161" s="16"/>
      <c r="F161" s="16"/>
      <c r="G161" s="22"/>
      <c r="H161" s="254"/>
      <c r="I161" s="16"/>
      <c r="J161" s="241"/>
      <c r="K161" s="19" t="s">
        <v>233</v>
      </c>
      <c r="L161" s="129" t="s">
        <v>218</v>
      </c>
      <c r="M161" s="175">
        <f t="shared" ref="M161:AQ161" si="62" xml:space="preserve"> M$376*(M193+M290)</f>
        <v>1783.5622892746699</v>
      </c>
      <c r="N161" s="175">
        <f t="shared" si="62"/>
        <v>1597.9941896466974</v>
      </c>
      <c r="O161" s="175">
        <f t="shared" si="62"/>
        <v>1523.0418654408463</v>
      </c>
      <c r="P161" s="175">
        <f t="shared" si="62"/>
        <v>1448.0895412349953</v>
      </c>
      <c r="Q161" s="175">
        <f t="shared" si="62"/>
        <v>1373.1372170291443</v>
      </c>
      <c r="R161" s="175">
        <f t="shared" si="62"/>
        <v>1298.1848928232932</v>
      </c>
      <c r="S161" s="175">
        <f t="shared" si="62"/>
        <v>1224.1711427873574</v>
      </c>
      <c r="T161" s="175">
        <f t="shared" si="62"/>
        <v>1150.0415231884244</v>
      </c>
      <c r="U161" s="175">
        <f t="shared" si="62"/>
        <v>1075.7962026119585</v>
      </c>
      <c r="V161" s="175">
        <f t="shared" si="62"/>
        <v>1001.4353489932919</v>
      </c>
      <c r="W161" s="175">
        <f t="shared" si="62"/>
        <v>926.95912962152659</v>
      </c>
      <c r="X161" s="175">
        <f t="shared" si="62"/>
        <v>916.19229618589918</v>
      </c>
      <c r="Y161" s="175">
        <f t="shared" si="62"/>
        <v>905.42546275027178</v>
      </c>
      <c r="Z161" s="175">
        <f t="shared" si="62"/>
        <v>894.65862931464449</v>
      </c>
      <c r="AA161" s="175">
        <f t="shared" si="62"/>
        <v>883.89179587901708</v>
      </c>
      <c r="AB161" s="175">
        <f t="shared" si="62"/>
        <v>873.12496244338979</v>
      </c>
      <c r="AC161" s="175">
        <f t="shared" si="62"/>
        <v>862.35812900776239</v>
      </c>
      <c r="AD161" s="175">
        <f t="shared" si="62"/>
        <v>851.59129557213498</v>
      </c>
      <c r="AE161" s="175">
        <f t="shared" si="62"/>
        <v>840.82446213650769</v>
      </c>
      <c r="AF161" s="175">
        <f t="shared" si="62"/>
        <v>830.05762870088029</v>
      </c>
      <c r="AG161" s="175">
        <f t="shared" si="62"/>
        <v>819.29079526525288</v>
      </c>
      <c r="AH161" s="175">
        <f t="shared" si="62"/>
        <v>808.52396182962559</v>
      </c>
      <c r="AI161" s="175">
        <f t="shared" si="62"/>
        <v>797.75712839399819</v>
      </c>
      <c r="AJ161" s="175">
        <f t="shared" si="62"/>
        <v>786.99029495837078</v>
      </c>
      <c r="AK161" s="175">
        <f t="shared" si="62"/>
        <v>776.22346152274349</v>
      </c>
      <c r="AL161" s="175">
        <f t="shared" si="62"/>
        <v>765.45662808711609</v>
      </c>
      <c r="AM161" s="175">
        <f t="shared" si="62"/>
        <v>754.6897946514888</v>
      </c>
      <c r="AN161" s="175">
        <f t="shared" si="62"/>
        <v>743.92296121586139</v>
      </c>
      <c r="AO161" s="175">
        <f t="shared" si="62"/>
        <v>733.15612778023399</v>
      </c>
      <c r="AP161" s="175">
        <f t="shared" si="62"/>
        <v>722.3892943446067</v>
      </c>
      <c r="AQ161" s="175">
        <f t="shared" si="62"/>
        <v>711.62246090897838</v>
      </c>
      <c r="AR161" s="16"/>
      <c r="AS161" s="16"/>
      <c r="AT161" s="16"/>
      <c r="AU161" s="16"/>
      <c r="AV161" s="155"/>
      <c r="AW161" s="155"/>
      <c r="AX161" s="155"/>
      <c r="AY161" s="155"/>
      <c r="BB161" s="155"/>
      <c r="BC161" s="16"/>
      <c r="BD161" s="16"/>
      <c r="BE161" s="16"/>
      <c r="BF161" s="16"/>
      <c r="BG161" s="16"/>
      <c r="BH161" s="16"/>
      <c r="BI161" s="16"/>
      <c r="BJ161" s="16"/>
      <c r="BK161" s="16"/>
      <c r="BL161" s="16"/>
      <c r="BM161" s="16"/>
      <c r="BN161" s="16"/>
      <c r="BO161" s="16"/>
      <c r="BP161" s="16"/>
      <c r="BQ161" s="16"/>
      <c r="BR161" s="16"/>
      <c r="BS161" s="16"/>
      <c r="BT161" s="16"/>
      <c r="BU161" s="16"/>
      <c r="BV161" s="16"/>
      <c r="BW161" s="16"/>
      <c r="BX161" s="16"/>
      <c r="BY161" s="16"/>
      <c r="BZ161" s="16"/>
      <c r="CA161" s="16"/>
      <c r="CB161" s="16"/>
      <c r="CC161" s="16"/>
      <c r="CD161" s="16"/>
      <c r="CE161" s="16"/>
      <c r="CF161" s="16"/>
      <c r="CG161" s="16"/>
      <c r="CH161" s="16"/>
      <c r="CI161" s="16"/>
      <c r="CJ161" s="16"/>
      <c r="CK161" s="16"/>
      <c r="CL161" s="16"/>
      <c r="CM161" s="16"/>
    </row>
    <row r="162" spans="1:91" s="155" customFormat="1" ht="14.25" customHeight="1" thickTop="1" thickBot="1" x14ac:dyDescent="0.2">
      <c r="A162" s="16"/>
      <c r="B162" s="16"/>
      <c r="C162" s="16"/>
      <c r="D162" s="16"/>
      <c r="E162" s="16"/>
      <c r="F162" s="16"/>
      <c r="G162" s="22"/>
      <c r="H162" s="254"/>
      <c r="I162" s="16"/>
      <c r="J162" s="241"/>
      <c r="K162" s="144" t="s">
        <v>233</v>
      </c>
      <c r="L162" s="144" t="s">
        <v>214</v>
      </c>
      <c r="M162" s="176">
        <f t="shared" ref="M162:AQ162" si="63" xml:space="preserve"> M$377*(M194+M291)</f>
        <v>1783.5622892746699</v>
      </c>
      <c r="N162" s="176">
        <f t="shared" si="63"/>
        <v>1597.9941896466974</v>
      </c>
      <c r="O162" s="176">
        <f t="shared" si="63"/>
        <v>1585.804672762361</v>
      </c>
      <c r="P162" s="176">
        <f t="shared" si="63"/>
        <v>1573.6151558780246</v>
      </c>
      <c r="Q162" s="176">
        <f t="shared" si="63"/>
        <v>1561.4256389936879</v>
      </c>
      <c r="R162" s="176">
        <f t="shared" si="63"/>
        <v>1549.2361221093515</v>
      </c>
      <c r="S162" s="176">
        <f t="shared" si="63"/>
        <v>1538.2259657805068</v>
      </c>
      <c r="T162" s="176">
        <f t="shared" si="63"/>
        <v>1527.1959759427853</v>
      </c>
      <c r="U162" s="176">
        <f t="shared" si="63"/>
        <v>1516.1461828693084</v>
      </c>
      <c r="V162" s="176">
        <f t="shared" si="63"/>
        <v>1505.0766167137556</v>
      </c>
      <c r="W162" s="176">
        <f t="shared" si="63"/>
        <v>1493.9873075110906</v>
      </c>
      <c r="X162" s="176">
        <f t="shared" si="63"/>
        <v>1465.6358986166126</v>
      </c>
      <c r="Y162" s="176">
        <f t="shared" si="63"/>
        <v>1437.2844897221344</v>
      </c>
      <c r="Z162" s="176">
        <f t="shared" si="63"/>
        <v>1408.9330808276563</v>
      </c>
      <c r="AA162" s="176">
        <f t="shared" si="63"/>
        <v>1380.5816719331781</v>
      </c>
      <c r="AB162" s="176">
        <f t="shared" si="63"/>
        <v>1352.2302630387001</v>
      </c>
      <c r="AC162" s="176">
        <f t="shared" si="63"/>
        <v>1323.8788541442218</v>
      </c>
      <c r="AD162" s="176">
        <f t="shared" si="63"/>
        <v>1295.5274452497438</v>
      </c>
      <c r="AE162" s="176">
        <f t="shared" si="63"/>
        <v>1267.1760363552658</v>
      </c>
      <c r="AF162" s="176">
        <f t="shared" si="63"/>
        <v>1238.8246274607875</v>
      </c>
      <c r="AG162" s="176">
        <f t="shared" si="63"/>
        <v>1210.4732185663095</v>
      </c>
      <c r="AH162" s="176">
        <f t="shared" si="63"/>
        <v>1182.1218096718312</v>
      </c>
      <c r="AI162" s="176">
        <f t="shared" si="63"/>
        <v>1153.7704007773532</v>
      </c>
      <c r="AJ162" s="176">
        <f t="shared" si="63"/>
        <v>1125.4189918828749</v>
      </c>
      <c r="AK162" s="176">
        <f t="shared" si="63"/>
        <v>1097.0675829883969</v>
      </c>
      <c r="AL162" s="176">
        <f t="shared" si="63"/>
        <v>1068.7161740939187</v>
      </c>
      <c r="AM162" s="176">
        <f t="shared" si="63"/>
        <v>1040.3647651994404</v>
      </c>
      <c r="AN162" s="176">
        <f t="shared" si="63"/>
        <v>1012.0133563049623</v>
      </c>
      <c r="AO162" s="176">
        <f t="shared" si="63"/>
        <v>983.661947410484</v>
      </c>
      <c r="AP162" s="176">
        <f t="shared" si="63"/>
        <v>955.31053851600575</v>
      </c>
      <c r="AQ162" s="176">
        <f t="shared" si="63"/>
        <v>926.95912962152659</v>
      </c>
      <c r="AR162" s="16"/>
      <c r="AS162" s="16"/>
      <c r="AT162" s="16"/>
      <c r="AU162" s="16"/>
      <c r="AV162" s="16"/>
      <c r="AW162" s="16"/>
      <c r="AX162" s="16"/>
      <c r="AY162" s="16"/>
      <c r="BB162" s="16"/>
      <c r="BC162" s="16"/>
      <c r="BD162" s="16"/>
      <c r="BE162" s="16"/>
      <c r="BF162" s="16"/>
      <c r="BG162" s="153"/>
      <c r="BH162" s="153"/>
      <c r="BI162" s="153"/>
      <c r="BJ162" s="16"/>
      <c r="BK162" s="16"/>
      <c r="BL162" s="16"/>
      <c r="BM162" s="16"/>
      <c r="BN162" s="16"/>
      <c r="BO162" s="16"/>
      <c r="BP162" s="16"/>
      <c r="BQ162" s="16"/>
      <c r="BR162" s="16"/>
      <c r="BS162" s="16"/>
      <c r="BT162" s="16"/>
      <c r="BU162" s="16"/>
      <c r="BV162" s="16"/>
      <c r="BW162" s="16"/>
      <c r="BX162" s="16"/>
      <c r="BY162" s="16"/>
      <c r="BZ162" s="16"/>
      <c r="CA162" s="16"/>
      <c r="CB162" s="16"/>
      <c r="CC162" s="16"/>
      <c r="CD162" s="16"/>
      <c r="CE162" s="16"/>
      <c r="CF162" s="16"/>
      <c r="CG162" s="16"/>
      <c r="CH162" s="16"/>
      <c r="CI162" s="16"/>
      <c r="CJ162" s="16"/>
      <c r="CK162" s="16"/>
      <c r="CL162" s="16"/>
      <c r="CM162" s="16"/>
    </row>
    <row r="163" spans="1:91" ht="14.25" customHeight="1" thickTop="1" x14ac:dyDescent="0.15">
      <c r="G163" s="22"/>
      <c r="H163" s="254"/>
      <c r="J163" s="241"/>
      <c r="K163" s="140" t="s">
        <v>232</v>
      </c>
      <c r="L163" s="140" t="s">
        <v>219</v>
      </c>
      <c r="M163" s="174">
        <f t="shared" ref="M163:AQ163" si="64" xml:space="preserve"> M$375*(M195+M292)</f>
        <v>1783.5622892746699</v>
      </c>
      <c r="N163" s="174">
        <f t="shared" si="64"/>
        <v>1597.9941896466974</v>
      </c>
      <c r="O163" s="174">
        <f t="shared" si="64"/>
        <v>1499.2068350584677</v>
      </c>
      <c r="P163" s="174">
        <f t="shared" si="64"/>
        <v>1400.4194804702381</v>
      </c>
      <c r="Q163" s="174">
        <f t="shared" si="64"/>
        <v>1301.6321258820085</v>
      </c>
      <c r="R163" s="174">
        <f t="shared" si="64"/>
        <v>1202.8447712937786</v>
      </c>
      <c r="S163" s="174">
        <f t="shared" si="64"/>
        <v>1104.9045489680545</v>
      </c>
      <c r="T163" s="174">
        <f t="shared" si="64"/>
        <v>1006.8119860805766</v>
      </c>
      <c r="U163" s="174">
        <f t="shared" si="64"/>
        <v>908.56730374280482</v>
      </c>
      <c r="V163" s="174">
        <f t="shared" si="64"/>
        <v>810.17072221452861</v>
      </c>
      <c r="W163" s="174">
        <f t="shared" si="64"/>
        <v>711.62246090897838</v>
      </c>
      <c r="X163" s="174">
        <f t="shared" si="64"/>
        <v>702.45062184695848</v>
      </c>
      <c r="Y163" s="174">
        <f t="shared" si="64"/>
        <v>693.2787827849387</v>
      </c>
      <c r="Z163" s="174">
        <f t="shared" si="64"/>
        <v>684.1069437229188</v>
      </c>
      <c r="AA163" s="174">
        <f t="shared" si="64"/>
        <v>674.9351046608989</v>
      </c>
      <c r="AB163" s="174">
        <f t="shared" si="64"/>
        <v>665.76326559887912</v>
      </c>
      <c r="AC163" s="174">
        <f t="shared" si="64"/>
        <v>656.59142653685922</v>
      </c>
      <c r="AD163" s="174">
        <f t="shared" si="64"/>
        <v>647.41958747483943</v>
      </c>
      <c r="AE163" s="174">
        <f t="shared" si="64"/>
        <v>638.24774841281953</v>
      </c>
      <c r="AF163" s="174">
        <f t="shared" si="64"/>
        <v>629.07590935079963</v>
      </c>
      <c r="AG163" s="174">
        <f t="shared" si="64"/>
        <v>619.90407028877985</v>
      </c>
      <c r="AH163" s="174">
        <f t="shared" si="64"/>
        <v>610.73223122675995</v>
      </c>
      <c r="AI163" s="174">
        <f t="shared" si="64"/>
        <v>601.56039216474016</v>
      </c>
      <c r="AJ163" s="174">
        <f t="shared" si="64"/>
        <v>592.38855310272027</v>
      </c>
      <c r="AK163" s="174">
        <f t="shared" si="64"/>
        <v>583.21671404070037</v>
      </c>
      <c r="AL163" s="174">
        <f t="shared" si="64"/>
        <v>574.04487497868058</v>
      </c>
      <c r="AM163" s="174">
        <f t="shared" si="64"/>
        <v>564.87303591666068</v>
      </c>
      <c r="AN163" s="174">
        <f t="shared" si="64"/>
        <v>555.7011968546409</v>
      </c>
      <c r="AO163" s="174">
        <f t="shared" si="64"/>
        <v>546.529357792621</v>
      </c>
      <c r="AP163" s="174">
        <f t="shared" si="64"/>
        <v>537.3575187306011</v>
      </c>
      <c r="AQ163" s="174">
        <f t="shared" si="64"/>
        <v>528.18567966858086</v>
      </c>
    </row>
    <row r="164" spans="1:91" ht="14.25" customHeight="1" x14ac:dyDescent="0.15">
      <c r="G164" s="22"/>
      <c r="H164" s="254"/>
      <c r="J164" s="241"/>
      <c r="K164" s="19" t="s">
        <v>232</v>
      </c>
      <c r="L164" s="129" t="s">
        <v>218</v>
      </c>
      <c r="M164" s="175">
        <f t="shared" ref="M164:AQ164" si="65" xml:space="preserve"> M$376*(M196+M293)</f>
        <v>1783.5622892746699</v>
      </c>
      <c r="N164" s="175">
        <f t="shared" si="65"/>
        <v>1597.9941896466974</v>
      </c>
      <c r="O164" s="175">
        <f t="shared" si="65"/>
        <v>1523.0418654408463</v>
      </c>
      <c r="P164" s="175">
        <f t="shared" si="65"/>
        <v>1448.0895412349953</v>
      </c>
      <c r="Q164" s="175">
        <f t="shared" si="65"/>
        <v>1373.1372170291443</v>
      </c>
      <c r="R164" s="175">
        <f t="shared" si="65"/>
        <v>1298.1848928232932</v>
      </c>
      <c r="S164" s="175">
        <f t="shared" si="65"/>
        <v>1224.1711427873574</v>
      </c>
      <c r="T164" s="175">
        <f t="shared" si="65"/>
        <v>1150.0415231884244</v>
      </c>
      <c r="U164" s="175">
        <f t="shared" si="65"/>
        <v>1075.7962026119585</v>
      </c>
      <c r="V164" s="175">
        <f t="shared" si="65"/>
        <v>1001.4353489932919</v>
      </c>
      <c r="W164" s="175">
        <f t="shared" si="65"/>
        <v>926.95912962152659</v>
      </c>
      <c r="X164" s="175">
        <f t="shared" si="65"/>
        <v>916.19229618589918</v>
      </c>
      <c r="Y164" s="175">
        <f t="shared" si="65"/>
        <v>905.42546275027178</v>
      </c>
      <c r="Z164" s="175">
        <f t="shared" si="65"/>
        <v>894.65862931464449</v>
      </c>
      <c r="AA164" s="175">
        <f t="shared" si="65"/>
        <v>883.89179587901708</v>
      </c>
      <c r="AB164" s="175">
        <f t="shared" si="65"/>
        <v>873.12496244338979</v>
      </c>
      <c r="AC164" s="175">
        <f t="shared" si="65"/>
        <v>862.35812900776239</v>
      </c>
      <c r="AD164" s="175">
        <f t="shared" si="65"/>
        <v>851.59129557213498</v>
      </c>
      <c r="AE164" s="175">
        <f t="shared" si="65"/>
        <v>840.82446213650769</v>
      </c>
      <c r="AF164" s="175">
        <f t="shared" si="65"/>
        <v>830.05762870088029</v>
      </c>
      <c r="AG164" s="175">
        <f t="shared" si="65"/>
        <v>819.29079526525288</v>
      </c>
      <c r="AH164" s="175">
        <f t="shared" si="65"/>
        <v>808.52396182962559</v>
      </c>
      <c r="AI164" s="175">
        <f t="shared" si="65"/>
        <v>797.75712839399819</v>
      </c>
      <c r="AJ164" s="175">
        <f t="shared" si="65"/>
        <v>786.99029495837078</v>
      </c>
      <c r="AK164" s="175">
        <f t="shared" si="65"/>
        <v>776.22346152274349</v>
      </c>
      <c r="AL164" s="175">
        <f t="shared" si="65"/>
        <v>765.45662808711609</v>
      </c>
      <c r="AM164" s="175">
        <f t="shared" si="65"/>
        <v>754.6897946514888</v>
      </c>
      <c r="AN164" s="175">
        <f t="shared" si="65"/>
        <v>743.92296121586139</v>
      </c>
      <c r="AO164" s="175">
        <f t="shared" si="65"/>
        <v>733.15612778023399</v>
      </c>
      <c r="AP164" s="175">
        <f t="shared" si="65"/>
        <v>722.3892943446067</v>
      </c>
      <c r="AQ164" s="175">
        <f t="shared" si="65"/>
        <v>711.62246090897838</v>
      </c>
    </row>
    <row r="165" spans="1:91" ht="14.25" customHeight="1" thickBot="1" x14ac:dyDescent="0.2">
      <c r="G165" s="22"/>
      <c r="H165" s="254"/>
      <c r="J165" s="241"/>
      <c r="K165" s="144" t="s">
        <v>232</v>
      </c>
      <c r="L165" s="144" t="s">
        <v>214</v>
      </c>
      <c r="M165" s="176">
        <f t="shared" ref="M165:AQ165" si="66" xml:space="preserve"> M$377*(M197+M294)</f>
        <v>1783.5622892746699</v>
      </c>
      <c r="N165" s="176">
        <f t="shared" si="66"/>
        <v>1597.9941896466974</v>
      </c>
      <c r="O165" s="176">
        <f t="shared" si="66"/>
        <v>1585.804672762361</v>
      </c>
      <c r="P165" s="176">
        <f t="shared" si="66"/>
        <v>1573.6151558780246</v>
      </c>
      <c r="Q165" s="176">
        <f t="shared" si="66"/>
        <v>1561.4256389936879</v>
      </c>
      <c r="R165" s="176">
        <f t="shared" si="66"/>
        <v>1549.2361221093515</v>
      </c>
      <c r="S165" s="176">
        <f t="shared" si="66"/>
        <v>1538.2259657805068</v>
      </c>
      <c r="T165" s="176">
        <f t="shared" si="66"/>
        <v>1527.1959759427853</v>
      </c>
      <c r="U165" s="176">
        <f t="shared" si="66"/>
        <v>1516.1461828693084</v>
      </c>
      <c r="V165" s="176">
        <f t="shared" si="66"/>
        <v>1505.0766167137556</v>
      </c>
      <c r="W165" s="176">
        <f t="shared" si="66"/>
        <v>1493.9873075110906</v>
      </c>
      <c r="X165" s="176">
        <f t="shared" si="66"/>
        <v>1465.6358986166126</v>
      </c>
      <c r="Y165" s="176">
        <f t="shared" si="66"/>
        <v>1437.2844897221344</v>
      </c>
      <c r="Z165" s="176">
        <f t="shared" si="66"/>
        <v>1408.9330808276563</v>
      </c>
      <c r="AA165" s="176">
        <f t="shared" si="66"/>
        <v>1380.5816719331781</v>
      </c>
      <c r="AB165" s="176">
        <f t="shared" si="66"/>
        <v>1352.2302630387001</v>
      </c>
      <c r="AC165" s="176">
        <f t="shared" si="66"/>
        <v>1323.8788541442218</v>
      </c>
      <c r="AD165" s="176">
        <f t="shared" si="66"/>
        <v>1295.5274452497438</v>
      </c>
      <c r="AE165" s="176">
        <f t="shared" si="66"/>
        <v>1267.1760363552658</v>
      </c>
      <c r="AF165" s="176">
        <f t="shared" si="66"/>
        <v>1238.8246274607875</v>
      </c>
      <c r="AG165" s="176">
        <f t="shared" si="66"/>
        <v>1210.4732185663095</v>
      </c>
      <c r="AH165" s="176">
        <f t="shared" si="66"/>
        <v>1182.1218096718312</v>
      </c>
      <c r="AI165" s="176">
        <f t="shared" si="66"/>
        <v>1153.7704007773532</v>
      </c>
      <c r="AJ165" s="176">
        <f t="shared" si="66"/>
        <v>1125.4189918828749</v>
      </c>
      <c r="AK165" s="176">
        <f t="shared" si="66"/>
        <v>1097.0675829883969</v>
      </c>
      <c r="AL165" s="176">
        <f t="shared" si="66"/>
        <v>1068.7161740939187</v>
      </c>
      <c r="AM165" s="176">
        <f t="shared" si="66"/>
        <v>1040.3647651994404</v>
      </c>
      <c r="AN165" s="176">
        <f t="shared" si="66"/>
        <v>1012.0133563049623</v>
      </c>
      <c r="AO165" s="176">
        <f t="shared" si="66"/>
        <v>983.661947410484</v>
      </c>
      <c r="AP165" s="176">
        <f t="shared" si="66"/>
        <v>955.31053851600575</v>
      </c>
      <c r="AQ165" s="176">
        <f t="shared" si="66"/>
        <v>926.95912962152659</v>
      </c>
    </row>
    <row r="166" spans="1:91" ht="14.25" customHeight="1" thickTop="1" x14ac:dyDescent="0.15">
      <c r="G166" s="22"/>
      <c r="H166" s="254"/>
      <c r="J166" s="241"/>
      <c r="K166" s="140" t="s">
        <v>231</v>
      </c>
      <c r="L166" s="140" t="s">
        <v>219</v>
      </c>
      <c r="M166" s="174">
        <f t="shared" ref="M166:AQ166" si="67" xml:space="preserve"> M$375*(M198+M295)</f>
        <v>1783.5622892746699</v>
      </c>
      <c r="N166" s="174">
        <f t="shared" si="67"/>
        <v>1597.9941896466974</v>
      </c>
      <c r="O166" s="174">
        <f t="shared" si="67"/>
        <v>1499.2068350584677</v>
      </c>
      <c r="P166" s="174">
        <f t="shared" si="67"/>
        <v>1400.4194804702381</v>
      </c>
      <c r="Q166" s="174">
        <f t="shared" si="67"/>
        <v>1301.6321258820085</v>
      </c>
      <c r="R166" s="174">
        <f t="shared" si="67"/>
        <v>1202.8447712937786</v>
      </c>
      <c r="S166" s="174">
        <f t="shared" si="67"/>
        <v>1104.9045489680545</v>
      </c>
      <c r="T166" s="174">
        <f t="shared" si="67"/>
        <v>1006.8119860805766</v>
      </c>
      <c r="U166" s="174">
        <f t="shared" si="67"/>
        <v>908.56730374280482</v>
      </c>
      <c r="V166" s="174">
        <f t="shared" si="67"/>
        <v>810.17072221452861</v>
      </c>
      <c r="W166" s="174">
        <f t="shared" si="67"/>
        <v>711.62246090897838</v>
      </c>
      <c r="X166" s="174">
        <f t="shared" si="67"/>
        <v>702.45062184695848</v>
      </c>
      <c r="Y166" s="174">
        <f t="shared" si="67"/>
        <v>693.2787827849387</v>
      </c>
      <c r="Z166" s="174">
        <f t="shared" si="67"/>
        <v>684.1069437229188</v>
      </c>
      <c r="AA166" s="174">
        <f t="shared" si="67"/>
        <v>674.9351046608989</v>
      </c>
      <c r="AB166" s="174">
        <f t="shared" si="67"/>
        <v>665.76326559887912</v>
      </c>
      <c r="AC166" s="174">
        <f t="shared" si="67"/>
        <v>656.59142653685922</v>
      </c>
      <c r="AD166" s="174">
        <f t="shared" si="67"/>
        <v>647.41958747483943</v>
      </c>
      <c r="AE166" s="174">
        <f t="shared" si="67"/>
        <v>638.24774841281953</v>
      </c>
      <c r="AF166" s="174">
        <f t="shared" si="67"/>
        <v>629.07590935079963</v>
      </c>
      <c r="AG166" s="174">
        <f t="shared" si="67"/>
        <v>619.90407028877985</v>
      </c>
      <c r="AH166" s="174">
        <f t="shared" si="67"/>
        <v>610.73223122675995</v>
      </c>
      <c r="AI166" s="174">
        <f t="shared" si="67"/>
        <v>601.56039216474016</v>
      </c>
      <c r="AJ166" s="174">
        <f t="shared" si="67"/>
        <v>592.38855310272027</v>
      </c>
      <c r="AK166" s="174">
        <f t="shared" si="67"/>
        <v>583.21671404070037</v>
      </c>
      <c r="AL166" s="174">
        <f t="shared" si="67"/>
        <v>574.04487497868058</v>
      </c>
      <c r="AM166" s="174">
        <f t="shared" si="67"/>
        <v>564.87303591666068</v>
      </c>
      <c r="AN166" s="174">
        <f t="shared" si="67"/>
        <v>555.7011968546409</v>
      </c>
      <c r="AO166" s="174">
        <f t="shared" si="67"/>
        <v>546.529357792621</v>
      </c>
      <c r="AP166" s="174">
        <f t="shared" si="67"/>
        <v>537.3575187306011</v>
      </c>
      <c r="AQ166" s="174">
        <f t="shared" si="67"/>
        <v>528.18567966858086</v>
      </c>
    </row>
    <row r="167" spans="1:91" ht="14.25" customHeight="1" x14ac:dyDescent="0.15">
      <c r="G167" s="22"/>
      <c r="H167" s="254"/>
      <c r="J167" s="241"/>
      <c r="K167" s="19" t="s">
        <v>231</v>
      </c>
      <c r="L167" s="129" t="s">
        <v>218</v>
      </c>
      <c r="M167" s="175">
        <f t="shared" ref="M167:AQ167" si="68" xml:space="preserve"> M$376*(M199+M296)</f>
        <v>1783.5622892746699</v>
      </c>
      <c r="N167" s="175">
        <f t="shared" si="68"/>
        <v>1597.9941896466974</v>
      </c>
      <c r="O167" s="175">
        <f t="shared" si="68"/>
        <v>1523.0418654408463</v>
      </c>
      <c r="P167" s="175">
        <f t="shared" si="68"/>
        <v>1448.0895412349953</v>
      </c>
      <c r="Q167" s="175">
        <f t="shared" si="68"/>
        <v>1373.1372170291443</v>
      </c>
      <c r="R167" s="175">
        <f t="shared" si="68"/>
        <v>1298.1848928232932</v>
      </c>
      <c r="S167" s="175">
        <f t="shared" si="68"/>
        <v>1224.1711427873574</v>
      </c>
      <c r="T167" s="175">
        <f t="shared" si="68"/>
        <v>1150.0415231884244</v>
      </c>
      <c r="U167" s="175">
        <f t="shared" si="68"/>
        <v>1075.7962026119585</v>
      </c>
      <c r="V167" s="175">
        <f t="shared" si="68"/>
        <v>1001.4353489932919</v>
      </c>
      <c r="W167" s="175">
        <f t="shared" si="68"/>
        <v>926.95912962152659</v>
      </c>
      <c r="X167" s="175">
        <f t="shared" si="68"/>
        <v>916.19229618589918</v>
      </c>
      <c r="Y167" s="175">
        <f t="shared" si="68"/>
        <v>905.42546275027178</v>
      </c>
      <c r="Z167" s="175">
        <f t="shared" si="68"/>
        <v>894.65862931464449</v>
      </c>
      <c r="AA167" s="175">
        <f t="shared" si="68"/>
        <v>883.89179587901708</v>
      </c>
      <c r="AB167" s="175">
        <f t="shared" si="68"/>
        <v>873.12496244338979</v>
      </c>
      <c r="AC167" s="175">
        <f t="shared" si="68"/>
        <v>862.35812900776239</v>
      </c>
      <c r="AD167" s="175">
        <f t="shared" si="68"/>
        <v>851.59129557213498</v>
      </c>
      <c r="AE167" s="175">
        <f t="shared" si="68"/>
        <v>840.82446213650769</v>
      </c>
      <c r="AF167" s="175">
        <f t="shared" si="68"/>
        <v>830.05762870088029</v>
      </c>
      <c r="AG167" s="175">
        <f t="shared" si="68"/>
        <v>819.29079526525288</v>
      </c>
      <c r="AH167" s="175">
        <f t="shared" si="68"/>
        <v>808.52396182962559</v>
      </c>
      <c r="AI167" s="175">
        <f t="shared" si="68"/>
        <v>797.75712839399819</v>
      </c>
      <c r="AJ167" s="175">
        <f t="shared" si="68"/>
        <v>786.99029495837078</v>
      </c>
      <c r="AK167" s="175">
        <f t="shared" si="68"/>
        <v>776.22346152274349</v>
      </c>
      <c r="AL167" s="175">
        <f t="shared" si="68"/>
        <v>765.45662808711609</v>
      </c>
      <c r="AM167" s="175">
        <f t="shared" si="68"/>
        <v>754.6897946514888</v>
      </c>
      <c r="AN167" s="175">
        <f t="shared" si="68"/>
        <v>743.92296121586139</v>
      </c>
      <c r="AO167" s="175">
        <f t="shared" si="68"/>
        <v>733.15612778023399</v>
      </c>
      <c r="AP167" s="175">
        <f t="shared" si="68"/>
        <v>722.3892943446067</v>
      </c>
      <c r="AQ167" s="175">
        <f t="shared" si="68"/>
        <v>711.62246090897838</v>
      </c>
    </row>
    <row r="168" spans="1:91" ht="14.25" customHeight="1" thickBot="1" x14ac:dyDescent="0.2">
      <c r="G168" s="22"/>
      <c r="H168" s="254"/>
      <c r="J168" s="241"/>
      <c r="K168" s="144" t="s">
        <v>231</v>
      </c>
      <c r="L168" s="144" t="s">
        <v>214</v>
      </c>
      <c r="M168" s="176">
        <f t="shared" ref="M168:AQ168" si="69" xml:space="preserve"> M$377*(M200+M297)</f>
        <v>1783.5622892746699</v>
      </c>
      <c r="N168" s="176">
        <f t="shared" si="69"/>
        <v>1597.9941896466974</v>
      </c>
      <c r="O168" s="176">
        <f t="shared" si="69"/>
        <v>1585.804672762361</v>
      </c>
      <c r="P168" s="176">
        <f t="shared" si="69"/>
        <v>1573.6151558780246</v>
      </c>
      <c r="Q168" s="176">
        <f t="shared" si="69"/>
        <v>1561.4256389936879</v>
      </c>
      <c r="R168" s="176">
        <f t="shared" si="69"/>
        <v>1549.2361221093515</v>
      </c>
      <c r="S168" s="176">
        <f t="shared" si="69"/>
        <v>1538.2259657805068</v>
      </c>
      <c r="T168" s="176">
        <f t="shared" si="69"/>
        <v>1527.1959759427853</v>
      </c>
      <c r="U168" s="176">
        <f t="shared" si="69"/>
        <v>1516.1461828693084</v>
      </c>
      <c r="V168" s="176">
        <f t="shared" si="69"/>
        <v>1505.0766167137556</v>
      </c>
      <c r="W168" s="176">
        <f t="shared" si="69"/>
        <v>1493.9873075110906</v>
      </c>
      <c r="X168" s="176">
        <f t="shared" si="69"/>
        <v>1465.6358986166126</v>
      </c>
      <c r="Y168" s="176">
        <f t="shared" si="69"/>
        <v>1437.2844897221344</v>
      </c>
      <c r="Z168" s="176">
        <f t="shared" si="69"/>
        <v>1408.9330808276563</v>
      </c>
      <c r="AA168" s="176">
        <f t="shared" si="69"/>
        <v>1380.5816719331781</v>
      </c>
      <c r="AB168" s="176">
        <f t="shared" si="69"/>
        <v>1352.2302630387001</v>
      </c>
      <c r="AC168" s="176">
        <f t="shared" si="69"/>
        <v>1323.8788541442218</v>
      </c>
      <c r="AD168" s="176">
        <f t="shared" si="69"/>
        <v>1295.5274452497438</v>
      </c>
      <c r="AE168" s="176">
        <f t="shared" si="69"/>
        <v>1267.1760363552658</v>
      </c>
      <c r="AF168" s="176">
        <f t="shared" si="69"/>
        <v>1238.8246274607875</v>
      </c>
      <c r="AG168" s="176">
        <f t="shared" si="69"/>
        <v>1210.4732185663095</v>
      </c>
      <c r="AH168" s="176">
        <f t="shared" si="69"/>
        <v>1182.1218096718312</v>
      </c>
      <c r="AI168" s="176">
        <f t="shared" si="69"/>
        <v>1153.7704007773532</v>
      </c>
      <c r="AJ168" s="176">
        <f t="shared" si="69"/>
        <v>1125.4189918828749</v>
      </c>
      <c r="AK168" s="176">
        <f t="shared" si="69"/>
        <v>1097.0675829883969</v>
      </c>
      <c r="AL168" s="176">
        <f t="shared" si="69"/>
        <v>1068.7161740939187</v>
      </c>
      <c r="AM168" s="176">
        <f t="shared" si="69"/>
        <v>1040.3647651994404</v>
      </c>
      <c r="AN168" s="176">
        <f t="shared" si="69"/>
        <v>1012.0133563049623</v>
      </c>
      <c r="AO168" s="176">
        <f t="shared" si="69"/>
        <v>983.661947410484</v>
      </c>
      <c r="AP168" s="176">
        <f t="shared" si="69"/>
        <v>955.31053851600575</v>
      </c>
      <c r="AQ168" s="176">
        <f t="shared" si="69"/>
        <v>926.95912962152659</v>
      </c>
      <c r="AT168" s="153"/>
      <c r="AU168" s="153"/>
    </row>
    <row r="169" spans="1:91" ht="14.25" customHeight="1" thickTop="1" thickBot="1" x14ac:dyDescent="0.2">
      <c r="G169" s="22"/>
      <c r="H169" s="254"/>
      <c r="J169" s="241"/>
      <c r="K169" s="140" t="s">
        <v>230</v>
      </c>
      <c r="L169" s="140" t="s">
        <v>219</v>
      </c>
      <c r="M169" s="174">
        <f t="shared" ref="M169:AQ169" si="70" xml:space="preserve"> M$375*(M201+M298)</f>
        <v>1783.5622892746699</v>
      </c>
      <c r="N169" s="174">
        <f t="shared" si="70"/>
        <v>1597.9941896466974</v>
      </c>
      <c r="O169" s="174">
        <f t="shared" si="70"/>
        <v>1499.2068350584677</v>
      </c>
      <c r="P169" s="174">
        <f t="shared" si="70"/>
        <v>1400.4194804702381</v>
      </c>
      <c r="Q169" s="174">
        <f t="shared" si="70"/>
        <v>1301.6321258820085</v>
      </c>
      <c r="R169" s="174">
        <f t="shared" si="70"/>
        <v>1202.8447712937786</v>
      </c>
      <c r="S169" s="174">
        <f t="shared" si="70"/>
        <v>1104.9045489680545</v>
      </c>
      <c r="T169" s="174">
        <f t="shared" si="70"/>
        <v>1006.8119860805766</v>
      </c>
      <c r="U169" s="174">
        <f t="shared" si="70"/>
        <v>908.56730374280482</v>
      </c>
      <c r="V169" s="174">
        <f t="shared" si="70"/>
        <v>810.17072221452861</v>
      </c>
      <c r="W169" s="174">
        <f t="shared" si="70"/>
        <v>711.62246090897838</v>
      </c>
      <c r="X169" s="174">
        <f t="shared" si="70"/>
        <v>702.45062184695848</v>
      </c>
      <c r="Y169" s="174">
        <f t="shared" si="70"/>
        <v>693.2787827849387</v>
      </c>
      <c r="Z169" s="174">
        <f t="shared" si="70"/>
        <v>684.1069437229188</v>
      </c>
      <c r="AA169" s="174">
        <f t="shared" si="70"/>
        <v>674.9351046608989</v>
      </c>
      <c r="AB169" s="174">
        <f t="shared" si="70"/>
        <v>665.76326559887912</v>
      </c>
      <c r="AC169" s="174">
        <f t="shared" si="70"/>
        <v>656.59142653685922</v>
      </c>
      <c r="AD169" s="174">
        <f t="shared" si="70"/>
        <v>647.41958747483943</v>
      </c>
      <c r="AE169" s="174">
        <f t="shared" si="70"/>
        <v>638.24774841281953</v>
      </c>
      <c r="AF169" s="174">
        <f t="shared" si="70"/>
        <v>629.07590935079963</v>
      </c>
      <c r="AG169" s="174">
        <f t="shared" si="70"/>
        <v>619.90407028877985</v>
      </c>
      <c r="AH169" s="174">
        <f t="shared" si="70"/>
        <v>610.73223122675995</v>
      </c>
      <c r="AI169" s="174">
        <f t="shared" si="70"/>
        <v>601.56039216474016</v>
      </c>
      <c r="AJ169" s="174">
        <f t="shared" si="70"/>
        <v>592.38855310272027</v>
      </c>
      <c r="AK169" s="174">
        <f t="shared" si="70"/>
        <v>583.21671404070037</v>
      </c>
      <c r="AL169" s="174">
        <f t="shared" si="70"/>
        <v>574.04487497868058</v>
      </c>
      <c r="AM169" s="174">
        <f t="shared" si="70"/>
        <v>564.87303591666068</v>
      </c>
      <c r="AN169" s="174">
        <f t="shared" si="70"/>
        <v>555.7011968546409</v>
      </c>
      <c r="AO169" s="174">
        <f t="shared" si="70"/>
        <v>546.529357792621</v>
      </c>
      <c r="AP169" s="174">
        <f t="shared" si="70"/>
        <v>537.3575187306011</v>
      </c>
      <c r="AQ169" s="174">
        <f t="shared" si="70"/>
        <v>528.18567966858086</v>
      </c>
      <c r="AV169" s="153"/>
      <c r="AW169" s="153"/>
      <c r="AX169" s="153"/>
      <c r="AY169" s="153"/>
      <c r="BB169" s="153"/>
    </row>
    <row r="170" spans="1:91" s="153" customFormat="1" ht="14.25" customHeight="1" thickTop="1" thickBot="1" x14ac:dyDescent="0.2">
      <c r="A170" s="16"/>
      <c r="B170" s="16"/>
      <c r="C170" s="16"/>
      <c r="D170" s="16"/>
      <c r="E170" s="16"/>
      <c r="F170" s="16"/>
      <c r="G170" s="22"/>
      <c r="H170" s="254"/>
      <c r="I170" s="16"/>
      <c r="J170" s="241"/>
      <c r="K170" s="19" t="s">
        <v>230</v>
      </c>
      <c r="L170" s="129" t="s">
        <v>218</v>
      </c>
      <c r="M170" s="175">
        <f t="shared" ref="M170:AQ170" si="71" xml:space="preserve"> M$376*(M202+M299)</f>
        <v>1783.5622892746699</v>
      </c>
      <c r="N170" s="175">
        <f t="shared" si="71"/>
        <v>1597.9941896466974</v>
      </c>
      <c r="O170" s="175">
        <f t="shared" si="71"/>
        <v>1523.0418654408463</v>
      </c>
      <c r="P170" s="175">
        <f t="shared" si="71"/>
        <v>1448.0895412349953</v>
      </c>
      <c r="Q170" s="175">
        <f t="shared" si="71"/>
        <v>1373.1372170291443</v>
      </c>
      <c r="R170" s="175">
        <f t="shared" si="71"/>
        <v>1298.1848928232932</v>
      </c>
      <c r="S170" s="175">
        <f t="shared" si="71"/>
        <v>1224.1711427873574</v>
      </c>
      <c r="T170" s="175">
        <f t="shared" si="71"/>
        <v>1150.0415231884244</v>
      </c>
      <c r="U170" s="175">
        <f t="shared" si="71"/>
        <v>1075.7962026119585</v>
      </c>
      <c r="V170" s="175">
        <f t="shared" si="71"/>
        <v>1001.4353489932919</v>
      </c>
      <c r="W170" s="175">
        <f t="shared" si="71"/>
        <v>926.95912962152659</v>
      </c>
      <c r="X170" s="175">
        <f t="shared" si="71"/>
        <v>916.19229618589918</v>
      </c>
      <c r="Y170" s="175">
        <f t="shared" si="71"/>
        <v>905.42546275027178</v>
      </c>
      <c r="Z170" s="175">
        <f t="shared" si="71"/>
        <v>894.65862931464449</v>
      </c>
      <c r="AA170" s="175">
        <f t="shared" si="71"/>
        <v>883.89179587901708</v>
      </c>
      <c r="AB170" s="175">
        <f t="shared" si="71"/>
        <v>873.12496244338979</v>
      </c>
      <c r="AC170" s="175">
        <f t="shared" si="71"/>
        <v>862.35812900776239</v>
      </c>
      <c r="AD170" s="175">
        <f t="shared" si="71"/>
        <v>851.59129557213498</v>
      </c>
      <c r="AE170" s="175">
        <f t="shared" si="71"/>
        <v>840.82446213650769</v>
      </c>
      <c r="AF170" s="175">
        <f t="shared" si="71"/>
        <v>830.05762870088029</v>
      </c>
      <c r="AG170" s="175">
        <f t="shared" si="71"/>
        <v>819.29079526525288</v>
      </c>
      <c r="AH170" s="175">
        <f t="shared" si="71"/>
        <v>808.52396182962559</v>
      </c>
      <c r="AI170" s="175">
        <f t="shared" si="71"/>
        <v>797.75712839399819</v>
      </c>
      <c r="AJ170" s="175">
        <f t="shared" si="71"/>
        <v>786.99029495837078</v>
      </c>
      <c r="AK170" s="175">
        <f t="shared" si="71"/>
        <v>776.22346152274349</v>
      </c>
      <c r="AL170" s="175">
        <f t="shared" si="71"/>
        <v>765.45662808711609</v>
      </c>
      <c r="AM170" s="175">
        <f t="shared" si="71"/>
        <v>754.6897946514888</v>
      </c>
      <c r="AN170" s="175">
        <f t="shared" si="71"/>
        <v>743.92296121586139</v>
      </c>
      <c r="AO170" s="175">
        <f t="shared" si="71"/>
        <v>733.15612778023399</v>
      </c>
      <c r="AP170" s="175">
        <f t="shared" si="71"/>
        <v>722.3892943446067</v>
      </c>
      <c r="AQ170" s="175">
        <f t="shared" si="71"/>
        <v>711.62246090897838</v>
      </c>
      <c r="AR170" s="16"/>
      <c r="AS170" s="16"/>
      <c r="AT170" s="16"/>
      <c r="AU170" s="16"/>
      <c r="AV170" s="155"/>
      <c r="AW170" s="155"/>
      <c r="AX170" s="155"/>
      <c r="AY170" s="155"/>
      <c r="BB170" s="155"/>
      <c r="BC170" s="16"/>
      <c r="BD170" s="16"/>
      <c r="BE170" s="16"/>
      <c r="BF170" s="16"/>
      <c r="BG170" s="16"/>
      <c r="BH170" s="16"/>
      <c r="BI170" s="16"/>
      <c r="BJ170" s="16"/>
      <c r="BK170" s="16"/>
      <c r="BL170" s="16"/>
      <c r="BM170" s="16"/>
      <c r="BN170" s="16"/>
      <c r="BO170" s="16"/>
      <c r="BP170" s="16"/>
      <c r="BQ170" s="16"/>
      <c r="BR170" s="16"/>
      <c r="BS170" s="16"/>
      <c r="BT170" s="16"/>
      <c r="BU170" s="16"/>
      <c r="BV170" s="16"/>
      <c r="BW170" s="16"/>
      <c r="BX170" s="16"/>
      <c r="BY170" s="16"/>
      <c r="BZ170" s="16"/>
      <c r="CA170" s="16"/>
      <c r="CB170" s="16"/>
      <c r="CC170" s="16"/>
      <c r="CD170" s="16"/>
      <c r="CE170" s="16"/>
      <c r="CF170" s="16"/>
      <c r="CG170" s="16"/>
      <c r="CH170" s="16"/>
      <c r="CI170" s="16"/>
      <c r="CJ170" s="16"/>
      <c r="CK170" s="16"/>
      <c r="CL170" s="16"/>
      <c r="CM170" s="16"/>
    </row>
    <row r="171" spans="1:91" s="155" customFormat="1" ht="14.25" customHeight="1" thickTop="1" thickBot="1" x14ac:dyDescent="0.2">
      <c r="A171" s="16"/>
      <c r="B171" s="16"/>
      <c r="C171" s="16"/>
      <c r="D171" s="16"/>
      <c r="E171" s="16"/>
      <c r="F171" s="16"/>
      <c r="G171" s="22"/>
      <c r="H171" s="254"/>
      <c r="I171" s="16"/>
      <c r="J171" s="241"/>
      <c r="K171" s="144" t="s">
        <v>230</v>
      </c>
      <c r="L171" s="144" t="s">
        <v>214</v>
      </c>
      <c r="M171" s="176">
        <f t="shared" ref="M171:AQ171" si="72" xml:space="preserve"> M$377*(M203+M300)</f>
        <v>1783.5622892746699</v>
      </c>
      <c r="N171" s="176">
        <f t="shared" si="72"/>
        <v>1597.9941896466974</v>
      </c>
      <c r="O171" s="176">
        <f t="shared" si="72"/>
        <v>1585.804672762361</v>
      </c>
      <c r="P171" s="176">
        <f t="shared" si="72"/>
        <v>1573.6151558780246</v>
      </c>
      <c r="Q171" s="176">
        <f t="shared" si="72"/>
        <v>1561.4256389936879</v>
      </c>
      <c r="R171" s="176">
        <f t="shared" si="72"/>
        <v>1549.2361221093515</v>
      </c>
      <c r="S171" s="176">
        <f t="shared" si="72"/>
        <v>1538.2259657805068</v>
      </c>
      <c r="T171" s="176">
        <f t="shared" si="72"/>
        <v>1527.1959759427853</v>
      </c>
      <c r="U171" s="176">
        <f t="shared" si="72"/>
        <v>1516.1461828693084</v>
      </c>
      <c r="V171" s="176">
        <f t="shared" si="72"/>
        <v>1505.0766167137556</v>
      </c>
      <c r="W171" s="176">
        <f t="shared" si="72"/>
        <v>1493.9873075110906</v>
      </c>
      <c r="X171" s="176">
        <f t="shared" si="72"/>
        <v>1465.6358986166126</v>
      </c>
      <c r="Y171" s="176">
        <f t="shared" si="72"/>
        <v>1437.2844897221344</v>
      </c>
      <c r="Z171" s="176">
        <f t="shared" si="72"/>
        <v>1408.9330808276563</v>
      </c>
      <c r="AA171" s="176">
        <f t="shared" si="72"/>
        <v>1380.5816719331781</v>
      </c>
      <c r="AB171" s="176">
        <f t="shared" si="72"/>
        <v>1352.2302630387001</v>
      </c>
      <c r="AC171" s="176">
        <f t="shared" si="72"/>
        <v>1323.8788541442218</v>
      </c>
      <c r="AD171" s="176">
        <f t="shared" si="72"/>
        <v>1295.5274452497438</v>
      </c>
      <c r="AE171" s="176">
        <f t="shared" si="72"/>
        <v>1267.1760363552658</v>
      </c>
      <c r="AF171" s="176">
        <f t="shared" si="72"/>
        <v>1238.8246274607875</v>
      </c>
      <c r="AG171" s="176">
        <f t="shared" si="72"/>
        <v>1210.4732185663095</v>
      </c>
      <c r="AH171" s="176">
        <f t="shared" si="72"/>
        <v>1182.1218096718312</v>
      </c>
      <c r="AI171" s="176">
        <f t="shared" si="72"/>
        <v>1153.7704007773532</v>
      </c>
      <c r="AJ171" s="176">
        <f t="shared" si="72"/>
        <v>1125.4189918828749</v>
      </c>
      <c r="AK171" s="176">
        <f t="shared" si="72"/>
        <v>1097.0675829883969</v>
      </c>
      <c r="AL171" s="176">
        <f t="shared" si="72"/>
        <v>1068.7161740939187</v>
      </c>
      <c r="AM171" s="176">
        <f t="shared" si="72"/>
        <v>1040.3647651994404</v>
      </c>
      <c r="AN171" s="176">
        <f t="shared" si="72"/>
        <v>1012.0133563049623</v>
      </c>
      <c r="AO171" s="176">
        <f t="shared" si="72"/>
        <v>983.661947410484</v>
      </c>
      <c r="AP171" s="176">
        <f t="shared" si="72"/>
        <v>955.31053851600575</v>
      </c>
      <c r="AQ171" s="176">
        <f t="shared" si="72"/>
        <v>926.95912962152659</v>
      </c>
      <c r="AR171" s="16"/>
      <c r="AS171" s="16"/>
      <c r="AT171" s="16"/>
      <c r="AU171" s="16"/>
      <c r="AV171" s="16"/>
      <c r="AW171" s="16"/>
      <c r="AX171" s="16"/>
      <c r="AY171" s="16"/>
      <c r="BB171" s="16"/>
      <c r="BC171" s="16"/>
      <c r="BD171" s="16"/>
      <c r="BE171" s="16"/>
      <c r="BF171" s="16"/>
      <c r="BG171" s="153"/>
      <c r="BH171" s="153"/>
      <c r="BI171" s="153"/>
      <c r="BJ171" s="16"/>
      <c r="BK171" s="16"/>
      <c r="BL171" s="16"/>
      <c r="BM171" s="16"/>
      <c r="BN171" s="16"/>
      <c r="BO171" s="16"/>
      <c r="BP171" s="16"/>
      <c r="BQ171" s="16"/>
      <c r="BR171" s="16"/>
      <c r="BS171" s="16"/>
      <c r="BT171" s="16"/>
      <c r="BU171" s="16"/>
      <c r="BV171" s="16"/>
      <c r="BW171" s="16"/>
      <c r="BX171" s="16"/>
      <c r="BY171" s="16"/>
      <c r="BZ171" s="16"/>
      <c r="CA171" s="16"/>
      <c r="CB171" s="16"/>
      <c r="CC171" s="16"/>
      <c r="CD171" s="16"/>
      <c r="CE171" s="16"/>
      <c r="CF171" s="16"/>
      <c r="CG171" s="16"/>
      <c r="CH171" s="16"/>
      <c r="CI171" s="16"/>
      <c r="CJ171" s="16"/>
      <c r="CK171" s="16"/>
      <c r="CL171" s="16"/>
      <c r="CM171" s="16"/>
    </row>
    <row r="172" spans="1:91" ht="14.25" customHeight="1" thickTop="1" thickBot="1" x14ac:dyDescent="0.2">
      <c r="G172" s="22"/>
      <c r="H172" s="254"/>
      <c r="J172" s="241"/>
      <c r="K172" s="140" t="s">
        <v>229</v>
      </c>
      <c r="L172" s="140" t="s">
        <v>219</v>
      </c>
      <c r="M172" s="174">
        <f t="shared" ref="M172:AQ172" si="73" xml:space="preserve"> M$375*(M204+M301)</f>
        <v>1783.5622892746699</v>
      </c>
      <c r="N172" s="174">
        <f t="shared" si="73"/>
        <v>1597.9941896466974</v>
      </c>
      <c r="O172" s="174">
        <f t="shared" si="73"/>
        <v>1499.2068350584677</v>
      </c>
      <c r="P172" s="174">
        <f t="shared" si="73"/>
        <v>1400.4194804702381</v>
      </c>
      <c r="Q172" s="174">
        <f t="shared" si="73"/>
        <v>1301.6321258820085</v>
      </c>
      <c r="R172" s="174">
        <f t="shared" si="73"/>
        <v>1202.8447712937786</v>
      </c>
      <c r="S172" s="174">
        <f t="shared" si="73"/>
        <v>1104.9045489680545</v>
      </c>
      <c r="T172" s="174">
        <f t="shared" si="73"/>
        <v>1006.8119860805766</v>
      </c>
      <c r="U172" s="174">
        <f t="shared" si="73"/>
        <v>908.56730374280482</v>
      </c>
      <c r="V172" s="174">
        <f t="shared" si="73"/>
        <v>810.17072221452861</v>
      </c>
      <c r="W172" s="174">
        <f t="shared" si="73"/>
        <v>711.62246090897838</v>
      </c>
      <c r="X172" s="174">
        <f t="shared" si="73"/>
        <v>702.45062184695848</v>
      </c>
      <c r="Y172" s="174">
        <f t="shared" si="73"/>
        <v>693.2787827849387</v>
      </c>
      <c r="Z172" s="174">
        <f t="shared" si="73"/>
        <v>684.1069437229188</v>
      </c>
      <c r="AA172" s="174">
        <f t="shared" si="73"/>
        <v>674.9351046608989</v>
      </c>
      <c r="AB172" s="174">
        <f t="shared" si="73"/>
        <v>665.76326559887912</v>
      </c>
      <c r="AC172" s="174">
        <f t="shared" si="73"/>
        <v>656.59142653685922</v>
      </c>
      <c r="AD172" s="174">
        <f t="shared" si="73"/>
        <v>647.41958747483943</v>
      </c>
      <c r="AE172" s="174">
        <f t="shared" si="73"/>
        <v>638.24774841281953</v>
      </c>
      <c r="AF172" s="174">
        <f t="shared" si="73"/>
        <v>629.07590935079963</v>
      </c>
      <c r="AG172" s="174">
        <f t="shared" si="73"/>
        <v>619.90407028877985</v>
      </c>
      <c r="AH172" s="174">
        <f t="shared" si="73"/>
        <v>610.73223122675995</v>
      </c>
      <c r="AI172" s="174">
        <f t="shared" si="73"/>
        <v>601.56039216474016</v>
      </c>
      <c r="AJ172" s="174">
        <f t="shared" si="73"/>
        <v>592.38855310272027</v>
      </c>
      <c r="AK172" s="174">
        <f t="shared" si="73"/>
        <v>583.21671404070037</v>
      </c>
      <c r="AL172" s="174">
        <f t="shared" si="73"/>
        <v>574.04487497868058</v>
      </c>
      <c r="AM172" s="174">
        <f t="shared" si="73"/>
        <v>564.87303591666068</v>
      </c>
      <c r="AN172" s="174">
        <f t="shared" si="73"/>
        <v>555.7011968546409</v>
      </c>
      <c r="AO172" s="174">
        <f t="shared" si="73"/>
        <v>546.529357792621</v>
      </c>
      <c r="AP172" s="174">
        <f t="shared" si="73"/>
        <v>537.3575187306011</v>
      </c>
      <c r="AQ172" s="174">
        <f t="shared" si="73"/>
        <v>528.18567966858086</v>
      </c>
      <c r="AV172" s="153"/>
      <c r="AW172" s="153"/>
      <c r="AX172" s="153"/>
      <c r="AY172" s="153"/>
      <c r="BB172" s="153"/>
    </row>
    <row r="173" spans="1:91" s="153" customFormat="1" ht="14.25" customHeight="1" thickTop="1" thickBot="1" x14ac:dyDescent="0.2">
      <c r="A173" s="16"/>
      <c r="B173" s="16"/>
      <c r="C173" s="16"/>
      <c r="D173" s="16"/>
      <c r="E173" s="16"/>
      <c r="F173" s="16"/>
      <c r="G173" s="22"/>
      <c r="H173" s="254"/>
      <c r="I173" s="16"/>
      <c r="J173" s="241"/>
      <c r="K173" s="19" t="s">
        <v>229</v>
      </c>
      <c r="L173" s="129" t="s">
        <v>218</v>
      </c>
      <c r="M173" s="175">
        <f t="shared" ref="M173:AQ173" si="74" xml:space="preserve"> M$376*(M205+M302)</f>
        <v>1783.5622892746699</v>
      </c>
      <c r="N173" s="175">
        <f t="shared" si="74"/>
        <v>1597.9941896466974</v>
      </c>
      <c r="O173" s="175">
        <f t="shared" si="74"/>
        <v>1523.0418654408463</v>
      </c>
      <c r="P173" s="175">
        <f t="shared" si="74"/>
        <v>1448.0895412349953</v>
      </c>
      <c r="Q173" s="175">
        <f t="shared" si="74"/>
        <v>1373.1372170291443</v>
      </c>
      <c r="R173" s="175">
        <f t="shared" si="74"/>
        <v>1298.1848928232932</v>
      </c>
      <c r="S173" s="175">
        <f t="shared" si="74"/>
        <v>1224.1711427873574</v>
      </c>
      <c r="T173" s="175">
        <f t="shared" si="74"/>
        <v>1150.0415231884244</v>
      </c>
      <c r="U173" s="175">
        <f t="shared" si="74"/>
        <v>1075.7962026119585</v>
      </c>
      <c r="V173" s="175">
        <f t="shared" si="74"/>
        <v>1001.4353489932919</v>
      </c>
      <c r="W173" s="175">
        <f t="shared" si="74"/>
        <v>926.95912962152659</v>
      </c>
      <c r="X173" s="175">
        <f t="shared" si="74"/>
        <v>916.19229618589918</v>
      </c>
      <c r="Y173" s="175">
        <f t="shared" si="74"/>
        <v>905.42546275027178</v>
      </c>
      <c r="Z173" s="175">
        <f t="shared" si="74"/>
        <v>894.65862931464449</v>
      </c>
      <c r="AA173" s="175">
        <f t="shared" si="74"/>
        <v>883.89179587901708</v>
      </c>
      <c r="AB173" s="175">
        <f t="shared" si="74"/>
        <v>873.12496244338979</v>
      </c>
      <c r="AC173" s="175">
        <f t="shared" si="74"/>
        <v>862.35812900776239</v>
      </c>
      <c r="AD173" s="175">
        <f t="shared" si="74"/>
        <v>851.59129557213498</v>
      </c>
      <c r="AE173" s="175">
        <f t="shared" si="74"/>
        <v>840.82446213650769</v>
      </c>
      <c r="AF173" s="175">
        <f t="shared" si="74"/>
        <v>830.05762870088029</v>
      </c>
      <c r="AG173" s="175">
        <f t="shared" si="74"/>
        <v>819.29079526525288</v>
      </c>
      <c r="AH173" s="175">
        <f t="shared" si="74"/>
        <v>808.52396182962559</v>
      </c>
      <c r="AI173" s="175">
        <f t="shared" si="74"/>
        <v>797.75712839399819</v>
      </c>
      <c r="AJ173" s="175">
        <f t="shared" si="74"/>
        <v>786.99029495837078</v>
      </c>
      <c r="AK173" s="175">
        <f t="shared" si="74"/>
        <v>776.22346152274349</v>
      </c>
      <c r="AL173" s="175">
        <f t="shared" si="74"/>
        <v>765.45662808711609</v>
      </c>
      <c r="AM173" s="175">
        <f t="shared" si="74"/>
        <v>754.6897946514888</v>
      </c>
      <c r="AN173" s="175">
        <f t="shared" si="74"/>
        <v>743.92296121586139</v>
      </c>
      <c r="AO173" s="175">
        <f t="shared" si="74"/>
        <v>733.15612778023399</v>
      </c>
      <c r="AP173" s="175">
        <f t="shared" si="74"/>
        <v>722.3892943446067</v>
      </c>
      <c r="AQ173" s="175">
        <f t="shared" si="74"/>
        <v>711.62246090897838</v>
      </c>
      <c r="AR173" s="16"/>
      <c r="AS173" s="16"/>
      <c r="AT173" s="16"/>
      <c r="AU173" s="16"/>
      <c r="AV173" s="155"/>
      <c r="AW173" s="155"/>
      <c r="AX173" s="155"/>
      <c r="AY173" s="155"/>
      <c r="BB173" s="155"/>
      <c r="BC173" s="16"/>
      <c r="BD173" s="16"/>
      <c r="BE173" s="16"/>
      <c r="BF173" s="16"/>
      <c r="BG173" s="16"/>
      <c r="BH173" s="16"/>
      <c r="BI173" s="16"/>
      <c r="BJ173" s="16"/>
      <c r="BK173" s="16"/>
      <c r="BL173" s="16"/>
      <c r="BM173" s="16"/>
      <c r="BN173" s="16"/>
      <c r="BO173" s="16"/>
      <c r="BP173" s="16"/>
      <c r="BQ173" s="16"/>
      <c r="BR173" s="16"/>
      <c r="BS173" s="16"/>
      <c r="BT173" s="16"/>
      <c r="BU173" s="16"/>
      <c r="BV173" s="16"/>
      <c r="BW173" s="16"/>
      <c r="BX173" s="16"/>
      <c r="BY173" s="16"/>
      <c r="BZ173" s="16"/>
      <c r="CA173" s="16"/>
      <c r="CB173" s="16"/>
      <c r="CC173" s="16"/>
      <c r="CD173" s="16"/>
      <c r="CE173" s="16"/>
      <c r="CF173" s="16"/>
      <c r="CG173" s="16"/>
      <c r="CH173" s="16"/>
      <c r="CI173" s="16"/>
      <c r="CJ173" s="16"/>
      <c r="CK173" s="16"/>
      <c r="CL173" s="16"/>
      <c r="CM173" s="16"/>
    </row>
    <row r="174" spans="1:91" s="155" customFormat="1" ht="14.25" customHeight="1" thickTop="1" thickBot="1" x14ac:dyDescent="0.2">
      <c r="A174" s="16"/>
      <c r="B174" s="16"/>
      <c r="C174" s="16"/>
      <c r="D174" s="16"/>
      <c r="E174" s="16"/>
      <c r="F174" s="16"/>
      <c r="G174" s="22"/>
      <c r="H174" s="254"/>
      <c r="I174" s="16"/>
      <c r="J174" s="241"/>
      <c r="K174" s="144" t="s">
        <v>229</v>
      </c>
      <c r="L174" s="144" t="s">
        <v>214</v>
      </c>
      <c r="M174" s="176">
        <f t="shared" ref="M174:AQ174" si="75" xml:space="preserve"> M$377*(M206+M303)</f>
        <v>1783.5622892746699</v>
      </c>
      <c r="N174" s="176">
        <f t="shared" si="75"/>
        <v>1597.9941896466974</v>
      </c>
      <c r="O174" s="176">
        <f t="shared" si="75"/>
        <v>1585.804672762361</v>
      </c>
      <c r="P174" s="176">
        <f t="shared" si="75"/>
        <v>1573.6151558780246</v>
      </c>
      <c r="Q174" s="176">
        <f t="shared" si="75"/>
        <v>1561.4256389936879</v>
      </c>
      <c r="R174" s="176">
        <f t="shared" si="75"/>
        <v>1549.2361221093515</v>
      </c>
      <c r="S174" s="176">
        <f t="shared" si="75"/>
        <v>1538.2259657805068</v>
      </c>
      <c r="T174" s="176">
        <f t="shared" si="75"/>
        <v>1527.1959759427853</v>
      </c>
      <c r="U174" s="176">
        <f t="shared" si="75"/>
        <v>1516.1461828693084</v>
      </c>
      <c r="V174" s="176">
        <f t="shared" si="75"/>
        <v>1505.0766167137556</v>
      </c>
      <c r="W174" s="176">
        <f t="shared" si="75"/>
        <v>1493.9873075110906</v>
      </c>
      <c r="X174" s="176">
        <f t="shared" si="75"/>
        <v>1465.6358986166126</v>
      </c>
      <c r="Y174" s="176">
        <f t="shared" si="75"/>
        <v>1437.2844897221344</v>
      </c>
      <c r="Z174" s="176">
        <f t="shared" si="75"/>
        <v>1408.9330808276563</v>
      </c>
      <c r="AA174" s="176">
        <f t="shared" si="75"/>
        <v>1380.5816719331781</v>
      </c>
      <c r="AB174" s="176">
        <f t="shared" si="75"/>
        <v>1352.2302630387001</v>
      </c>
      <c r="AC174" s="176">
        <f t="shared" si="75"/>
        <v>1323.8788541442218</v>
      </c>
      <c r="AD174" s="176">
        <f t="shared" si="75"/>
        <v>1295.5274452497438</v>
      </c>
      <c r="AE174" s="176">
        <f t="shared" si="75"/>
        <v>1267.1760363552658</v>
      </c>
      <c r="AF174" s="176">
        <f t="shared" si="75"/>
        <v>1238.8246274607875</v>
      </c>
      <c r="AG174" s="176">
        <f t="shared" si="75"/>
        <v>1210.4732185663095</v>
      </c>
      <c r="AH174" s="176">
        <f t="shared" si="75"/>
        <v>1182.1218096718312</v>
      </c>
      <c r="AI174" s="176">
        <f t="shared" si="75"/>
        <v>1153.7704007773532</v>
      </c>
      <c r="AJ174" s="176">
        <f t="shared" si="75"/>
        <v>1125.4189918828749</v>
      </c>
      <c r="AK174" s="176">
        <f t="shared" si="75"/>
        <v>1097.0675829883969</v>
      </c>
      <c r="AL174" s="176">
        <f t="shared" si="75"/>
        <v>1068.7161740939187</v>
      </c>
      <c r="AM174" s="176">
        <f t="shared" si="75"/>
        <v>1040.3647651994404</v>
      </c>
      <c r="AN174" s="176">
        <f t="shared" si="75"/>
        <v>1012.0133563049623</v>
      </c>
      <c r="AO174" s="176">
        <f t="shared" si="75"/>
        <v>983.661947410484</v>
      </c>
      <c r="AP174" s="176">
        <f t="shared" si="75"/>
        <v>955.31053851600575</v>
      </c>
      <c r="AQ174" s="176">
        <f t="shared" si="75"/>
        <v>926.95912962152659</v>
      </c>
      <c r="AR174" s="16"/>
      <c r="AS174" s="16"/>
      <c r="AT174" s="16"/>
      <c r="AU174" s="16"/>
      <c r="AV174" s="16"/>
      <c r="AW174" s="16"/>
      <c r="AX174" s="16"/>
      <c r="AY174" s="16"/>
      <c r="BB174" s="16"/>
      <c r="BC174" s="16"/>
      <c r="BD174" s="16"/>
      <c r="BE174" s="16"/>
      <c r="BF174" s="16"/>
      <c r="BG174" s="153"/>
      <c r="BH174" s="153"/>
      <c r="BI174" s="153"/>
      <c r="BJ174" s="16"/>
      <c r="BK174" s="16"/>
      <c r="BL174" s="16"/>
      <c r="BM174" s="16"/>
      <c r="BN174" s="16"/>
      <c r="BO174" s="16"/>
      <c r="BP174" s="16"/>
      <c r="BQ174" s="16"/>
      <c r="BR174" s="16"/>
      <c r="BS174" s="16"/>
      <c r="BT174" s="16"/>
      <c r="BU174" s="16"/>
      <c r="BV174" s="16"/>
      <c r="BW174" s="16"/>
      <c r="BX174" s="16"/>
      <c r="BY174" s="16"/>
      <c r="BZ174" s="16"/>
      <c r="CA174" s="16"/>
      <c r="CB174" s="16"/>
      <c r="CC174" s="16"/>
      <c r="CD174" s="16"/>
      <c r="CE174" s="16"/>
      <c r="CF174" s="16"/>
      <c r="CG174" s="16"/>
      <c r="CH174" s="16"/>
      <c r="CI174" s="16"/>
      <c r="CJ174" s="16"/>
      <c r="CK174" s="16"/>
      <c r="CL174" s="16"/>
      <c r="CM174" s="16"/>
    </row>
    <row r="175" spans="1:91" ht="14.25" customHeight="1" thickTop="1" thickBot="1" x14ac:dyDescent="0.2">
      <c r="G175" s="22"/>
      <c r="H175" s="254"/>
      <c r="J175" s="241"/>
      <c r="K175" s="140" t="s">
        <v>228</v>
      </c>
      <c r="L175" s="140" t="s">
        <v>219</v>
      </c>
      <c r="M175" s="174">
        <f t="shared" ref="M175:AQ175" si="76" xml:space="preserve"> M$375*(M207+M304)</f>
        <v>1783.5622892746699</v>
      </c>
      <c r="N175" s="174">
        <f t="shared" si="76"/>
        <v>1597.9941896466974</v>
      </c>
      <c r="O175" s="174">
        <f t="shared" si="76"/>
        <v>1499.2068350584677</v>
      </c>
      <c r="P175" s="174">
        <f t="shared" si="76"/>
        <v>1400.4194804702381</v>
      </c>
      <c r="Q175" s="174">
        <f t="shared" si="76"/>
        <v>1301.6321258820085</v>
      </c>
      <c r="R175" s="174">
        <f t="shared" si="76"/>
        <v>1202.8447712937786</v>
      </c>
      <c r="S175" s="174">
        <f t="shared" si="76"/>
        <v>1104.9045489680545</v>
      </c>
      <c r="T175" s="174">
        <f t="shared" si="76"/>
        <v>1006.8119860805766</v>
      </c>
      <c r="U175" s="174">
        <f t="shared" si="76"/>
        <v>908.56730374280482</v>
      </c>
      <c r="V175" s="174">
        <f t="shared" si="76"/>
        <v>810.17072221452861</v>
      </c>
      <c r="W175" s="174">
        <f t="shared" si="76"/>
        <v>711.62246090897838</v>
      </c>
      <c r="X175" s="174">
        <f t="shared" si="76"/>
        <v>702.45062184695848</v>
      </c>
      <c r="Y175" s="174">
        <f t="shared" si="76"/>
        <v>693.2787827849387</v>
      </c>
      <c r="Z175" s="174">
        <f t="shared" si="76"/>
        <v>684.1069437229188</v>
      </c>
      <c r="AA175" s="174">
        <f t="shared" si="76"/>
        <v>674.9351046608989</v>
      </c>
      <c r="AB175" s="174">
        <f t="shared" si="76"/>
        <v>665.76326559887912</v>
      </c>
      <c r="AC175" s="174">
        <f t="shared" si="76"/>
        <v>656.59142653685922</v>
      </c>
      <c r="AD175" s="174">
        <f t="shared" si="76"/>
        <v>647.41958747483943</v>
      </c>
      <c r="AE175" s="174">
        <f t="shared" si="76"/>
        <v>638.24774841281953</v>
      </c>
      <c r="AF175" s="174">
        <f t="shared" si="76"/>
        <v>629.07590935079963</v>
      </c>
      <c r="AG175" s="174">
        <f t="shared" si="76"/>
        <v>619.90407028877985</v>
      </c>
      <c r="AH175" s="174">
        <f t="shared" si="76"/>
        <v>610.73223122675995</v>
      </c>
      <c r="AI175" s="174">
        <f t="shared" si="76"/>
        <v>601.56039216474016</v>
      </c>
      <c r="AJ175" s="174">
        <f t="shared" si="76"/>
        <v>592.38855310272027</v>
      </c>
      <c r="AK175" s="174">
        <f t="shared" si="76"/>
        <v>583.21671404070037</v>
      </c>
      <c r="AL175" s="174">
        <f t="shared" si="76"/>
        <v>574.04487497868058</v>
      </c>
      <c r="AM175" s="174">
        <f t="shared" si="76"/>
        <v>564.87303591666068</v>
      </c>
      <c r="AN175" s="174">
        <f t="shared" si="76"/>
        <v>555.7011968546409</v>
      </c>
      <c r="AO175" s="174">
        <f t="shared" si="76"/>
        <v>546.529357792621</v>
      </c>
      <c r="AP175" s="174">
        <f t="shared" si="76"/>
        <v>537.3575187306011</v>
      </c>
      <c r="AQ175" s="174">
        <f t="shared" si="76"/>
        <v>528.18567966858086</v>
      </c>
      <c r="AV175" s="153"/>
      <c r="AW175" s="153"/>
      <c r="AX175" s="153"/>
      <c r="AY175" s="153"/>
      <c r="BB175" s="153"/>
    </row>
    <row r="176" spans="1:91" s="153" customFormat="1" ht="14.25" customHeight="1" thickTop="1" thickBot="1" x14ac:dyDescent="0.2">
      <c r="A176" s="16"/>
      <c r="B176" s="16"/>
      <c r="C176" s="16"/>
      <c r="D176" s="16"/>
      <c r="E176" s="16"/>
      <c r="F176" s="16"/>
      <c r="G176" s="22"/>
      <c r="H176" s="254"/>
      <c r="I176" s="16"/>
      <c r="J176" s="241"/>
      <c r="K176" s="19" t="s">
        <v>228</v>
      </c>
      <c r="L176" s="129" t="s">
        <v>218</v>
      </c>
      <c r="M176" s="175">
        <f t="shared" ref="M176:AQ176" si="77" xml:space="preserve"> M$376*(M208+M305)</f>
        <v>1783.5622892746699</v>
      </c>
      <c r="N176" s="175">
        <f t="shared" si="77"/>
        <v>1597.9941896466974</v>
      </c>
      <c r="O176" s="175">
        <f t="shared" si="77"/>
        <v>1523.0418654408463</v>
      </c>
      <c r="P176" s="175">
        <f t="shared" si="77"/>
        <v>1448.0895412349953</v>
      </c>
      <c r="Q176" s="175">
        <f t="shared" si="77"/>
        <v>1373.1372170291443</v>
      </c>
      <c r="R176" s="175">
        <f t="shared" si="77"/>
        <v>1298.1848928232932</v>
      </c>
      <c r="S176" s="175">
        <f t="shared" si="77"/>
        <v>1224.1711427873574</v>
      </c>
      <c r="T176" s="175">
        <f t="shared" si="77"/>
        <v>1150.0415231884244</v>
      </c>
      <c r="U176" s="175">
        <f t="shared" si="77"/>
        <v>1075.7962026119585</v>
      </c>
      <c r="V176" s="175">
        <f t="shared" si="77"/>
        <v>1001.4353489932919</v>
      </c>
      <c r="W176" s="175">
        <f t="shared" si="77"/>
        <v>926.95912962152659</v>
      </c>
      <c r="X176" s="175">
        <f t="shared" si="77"/>
        <v>916.19229618589918</v>
      </c>
      <c r="Y176" s="175">
        <f t="shared" si="77"/>
        <v>905.42546275027178</v>
      </c>
      <c r="Z176" s="175">
        <f t="shared" si="77"/>
        <v>894.65862931464449</v>
      </c>
      <c r="AA176" s="175">
        <f t="shared" si="77"/>
        <v>883.89179587901708</v>
      </c>
      <c r="AB176" s="175">
        <f t="shared" si="77"/>
        <v>873.12496244338979</v>
      </c>
      <c r="AC176" s="175">
        <f t="shared" si="77"/>
        <v>862.35812900776239</v>
      </c>
      <c r="AD176" s="175">
        <f t="shared" si="77"/>
        <v>851.59129557213498</v>
      </c>
      <c r="AE176" s="175">
        <f t="shared" si="77"/>
        <v>840.82446213650769</v>
      </c>
      <c r="AF176" s="175">
        <f t="shared" si="77"/>
        <v>830.05762870088029</v>
      </c>
      <c r="AG176" s="175">
        <f t="shared" si="77"/>
        <v>819.29079526525288</v>
      </c>
      <c r="AH176" s="175">
        <f t="shared" si="77"/>
        <v>808.52396182962559</v>
      </c>
      <c r="AI176" s="175">
        <f t="shared" si="77"/>
        <v>797.75712839399819</v>
      </c>
      <c r="AJ176" s="175">
        <f t="shared" si="77"/>
        <v>786.99029495837078</v>
      </c>
      <c r="AK176" s="175">
        <f t="shared" si="77"/>
        <v>776.22346152274349</v>
      </c>
      <c r="AL176" s="175">
        <f t="shared" si="77"/>
        <v>765.45662808711609</v>
      </c>
      <c r="AM176" s="175">
        <f t="shared" si="77"/>
        <v>754.6897946514888</v>
      </c>
      <c r="AN176" s="175">
        <f t="shared" si="77"/>
        <v>743.92296121586139</v>
      </c>
      <c r="AO176" s="175">
        <f t="shared" si="77"/>
        <v>733.15612778023399</v>
      </c>
      <c r="AP176" s="175">
        <f t="shared" si="77"/>
        <v>722.3892943446067</v>
      </c>
      <c r="AQ176" s="175">
        <f t="shared" si="77"/>
        <v>711.62246090897838</v>
      </c>
      <c r="AR176" s="16"/>
      <c r="AS176" s="16"/>
      <c r="AT176" s="16"/>
      <c r="AU176" s="16"/>
      <c r="AV176" s="155"/>
      <c r="AW176" s="155"/>
      <c r="AX176" s="155"/>
      <c r="AY176" s="155"/>
      <c r="BB176" s="155"/>
      <c r="BC176" s="16"/>
      <c r="BD176" s="16"/>
      <c r="BE176" s="16"/>
      <c r="BF176" s="16"/>
      <c r="BG176" s="16"/>
      <c r="BH176" s="16"/>
      <c r="BI176" s="16"/>
      <c r="BJ176" s="16"/>
      <c r="BK176" s="16"/>
      <c r="BL176" s="16"/>
      <c r="BM176" s="16"/>
      <c r="BN176" s="16"/>
      <c r="BO176" s="16"/>
      <c r="BP176" s="16"/>
      <c r="BQ176" s="16"/>
      <c r="BR176" s="16"/>
      <c r="BS176" s="16"/>
      <c r="BT176" s="16"/>
      <c r="BU176" s="16"/>
      <c r="BV176" s="16"/>
      <c r="BW176" s="16"/>
      <c r="BX176" s="16"/>
      <c r="BY176" s="16"/>
      <c r="BZ176" s="16"/>
      <c r="CA176" s="16"/>
      <c r="CB176" s="16"/>
      <c r="CC176" s="16"/>
      <c r="CD176" s="16"/>
      <c r="CE176" s="16"/>
      <c r="CF176" s="16"/>
      <c r="CG176" s="16"/>
      <c r="CH176" s="16"/>
      <c r="CI176" s="16"/>
      <c r="CJ176" s="16"/>
      <c r="CK176" s="16"/>
      <c r="CL176" s="16"/>
      <c r="CM176" s="16"/>
    </row>
    <row r="177" spans="1:91" s="155" customFormat="1" ht="14.25" customHeight="1" thickTop="1" thickBot="1" x14ac:dyDescent="0.2">
      <c r="A177" s="16"/>
      <c r="B177" s="16"/>
      <c r="C177" s="16"/>
      <c r="D177" s="16"/>
      <c r="E177" s="16"/>
      <c r="F177" s="16"/>
      <c r="G177" s="22"/>
      <c r="H177" s="254"/>
      <c r="I177" s="16"/>
      <c r="J177" s="251"/>
      <c r="K177" s="144" t="s">
        <v>228</v>
      </c>
      <c r="L177" s="144" t="s">
        <v>214</v>
      </c>
      <c r="M177" s="176">
        <f t="shared" ref="M177:AQ177" si="78" xml:space="preserve"> M$377*(M209+M306)</f>
        <v>1783.5622892746699</v>
      </c>
      <c r="N177" s="176">
        <f t="shared" si="78"/>
        <v>1597.9941896466974</v>
      </c>
      <c r="O177" s="176">
        <f t="shared" si="78"/>
        <v>1585.804672762361</v>
      </c>
      <c r="P177" s="176">
        <f t="shared" si="78"/>
        <v>1573.6151558780246</v>
      </c>
      <c r="Q177" s="176">
        <f t="shared" si="78"/>
        <v>1561.4256389936879</v>
      </c>
      <c r="R177" s="176">
        <f t="shared" si="78"/>
        <v>1549.2361221093515</v>
      </c>
      <c r="S177" s="176">
        <f t="shared" si="78"/>
        <v>1538.2259657805068</v>
      </c>
      <c r="T177" s="176">
        <f t="shared" si="78"/>
        <v>1527.1959759427853</v>
      </c>
      <c r="U177" s="176">
        <f t="shared" si="78"/>
        <v>1516.1461828693084</v>
      </c>
      <c r="V177" s="176">
        <f t="shared" si="78"/>
        <v>1505.0766167137556</v>
      </c>
      <c r="W177" s="176">
        <f t="shared" si="78"/>
        <v>1493.9873075110906</v>
      </c>
      <c r="X177" s="176">
        <f t="shared" si="78"/>
        <v>1465.6358986166126</v>
      </c>
      <c r="Y177" s="176">
        <f t="shared" si="78"/>
        <v>1437.2844897221344</v>
      </c>
      <c r="Z177" s="176">
        <f t="shared" si="78"/>
        <v>1408.9330808276563</v>
      </c>
      <c r="AA177" s="176">
        <f t="shared" si="78"/>
        <v>1380.5816719331781</v>
      </c>
      <c r="AB177" s="176">
        <f t="shared" si="78"/>
        <v>1352.2302630387001</v>
      </c>
      <c r="AC177" s="176">
        <f t="shared" si="78"/>
        <v>1323.8788541442218</v>
      </c>
      <c r="AD177" s="176">
        <f t="shared" si="78"/>
        <v>1295.5274452497438</v>
      </c>
      <c r="AE177" s="176">
        <f t="shared" si="78"/>
        <v>1267.1760363552658</v>
      </c>
      <c r="AF177" s="176">
        <f t="shared" si="78"/>
        <v>1238.8246274607875</v>
      </c>
      <c r="AG177" s="176">
        <f t="shared" si="78"/>
        <v>1210.4732185663095</v>
      </c>
      <c r="AH177" s="176">
        <f t="shared" si="78"/>
        <v>1182.1218096718312</v>
      </c>
      <c r="AI177" s="176">
        <f t="shared" si="78"/>
        <v>1153.7704007773532</v>
      </c>
      <c r="AJ177" s="176">
        <f t="shared" si="78"/>
        <v>1125.4189918828749</v>
      </c>
      <c r="AK177" s="176">
        <f t="shared" si="78"/>
        <v>1097.0675829883969</v>
      </c>
      <c r="AL177" s="176">
        <f t="shared" si="78"/>
        <v>1068.7161740939187</v>
      </c>
      <c r="AM177" s="176">
        <f t="shared" si="78"/>
        <v>1040.3647651994404</v>
      </c>
      <c r="AN177" s="176">
        <f t="shared" si="78"/>
        <v>1012.0133563049623</v>
      </c>
      <c r="AO177" s="176">
        <f t="shared" si="78"/>
        <v>983.661947410484</v>
      </c>
      <c r="AP177" s="176">
        <f t="shared" si="78"/>
        <v>955.31053851600575</v>
      </c>
      <c r="AQ177" s="176">
        <f t="shared" si="78"/>
        <v>926.95912962152659</v>
      </c>
      <c r="AR177" s="16"/>
      <c r="AS177" s="16"/>
      <c r="AT177" s="16"/>
      <c r="AU177" s="16"/>
      <c r="AV177" s="16"/>
      <c r="AW177" s="16"/>
      <c r="AX177" s="16"/>
      <c r="AY177" s="16"/>
      <c r="BB177" s="16"/>
      <c r="BC177" s="16"/>
      <c r="BD177" s="16"/>
      <c r="BE177" s="16"/>
      <c r="BF177" s="16"/>
      <c r="BG177" s="153"/>
      <c r="BH177" s="153"/>
      <c r="BI177" s="153"/>
      <c r="BJ177" s="16"/>
      <c r="BK177" s="16"/>
      <c r="BL177" s="16"/>
      <c r="BM177" s="16"/>
      <c r="BN177" s="16"/>
      <c r="BO177" s="16"/>
      <c r="BP177" s="16"/>
      <c r="BQ177" s="16"/>
      <c r="BR177" s="16"/>
      <c r="BS177" s="16"/>
      <c r="BT177" s="16"/>
      <c r="BU177" s="16"/>
      <c r="BV177" s="16"/>
      <c r="BW177" s="16"/>
      <c r="BX177" s="16"/>
      <c r="BY177" s="16"/>
      <c r="BZ177" s="16"/>
      <c r="CA177" s="16"/>
      <c r="CB177" s="16"/>
      <c r="CC177" s="16"/>
      <c r="CD177" s="16"/>
      <c r="CE177" s="16"/>
      <c r="CF177" s="16"/>
      <c r="CG177" s="16"/>
      <c r="CH177" s="16"/>
      <c r="CI177" s="16"/>
      <c r="CJ177" s="16"/>
      <c r="CK177" s="16"/>
      <c r="CL177" s="16"/>
      <c r="CM177" s="16"/>
    </row>
    <row r="178" spans="1:91" ht="14.25" customHeight="1" thickTop="1" thickBot="1" x14ac:dyDescent="0.2">
      <c r="G178" s="22"/>
      <c r="H178" s="254"/>
      <c r="J178" s="147"/>
      <c r="K178" s="19"/>
      <c r="L178" s="19"/>
      <c r="M178" s="156"/>
      <c r="N178" s="156"/>
      <c r="O178" s="156"/>
      <c r="P178" s="156"/>
      <c r="Q178" s="156"/>
      <c r="R178" s="156"/>
      <c r="S178" s="156"/>
      <c r="T178" s="156"/>
      <c r="U178" s="156"/>
      <c r="V178" s="156"/>
      <c r="W178" s="156"/>
      <c r="X178" s="156"/>
      <c r="Y178" s="156"/>
      <c r="Z178" s="156"/>
      <c r="AA178" s="156"/>
      <c r="AB178" s="156"/>
      <c r="AC178" s="156"/>
      <c r="AD178" s="156"/>
      <c r="AE178" s="156"/>
      <c r="AF178" s="156"/>
      <c r="AG178" s="156"/>
      <c r="AH178" s="156"/>
      <c r="AI178" s="156"/>
      <c r="AJ178" s="156"/>
      <c r="AK178" s="156"/>
      <c r="AL178" s="156"/>
      <c r="AM178" s="156"/>
      <c r="AN178" s="156"/>
      <c r="AO178" s="156"/>
      <c r="AP178" s="156"/>
      <c r="AQ178" s="156"/>
    </row>
    <row r="179" spans="1:91" ht="14.25" customHeight="1" thickTop="1" thickBot="1" x14ac:dyDescent="0.2">
      <c r="G179" s="22"/>
      <c r="H179" s="254"/>
      <c r="M179" s="128">
        <v>2020</v>
      </c>
      <c r="N179" s="128">
        <v>2021</v>
      </c>
      <c r="O179" s="128">
        <v>2022</v>
      </c>
      <c r="P179" s="128">
        <v>2023</v>
      </c>
      <c r="Q179" s="128">
        <v>2024</v>
      </c>
      <c r="R179" s="128">
        <v>2025</v>
      </c>
      <c r="S179" s="128">
        <v>2026</v>
      </c>
      <c r="T179" s="128">
        <v>2027</v>
      </c>
      <c r="U179" s="128">
        <v>2028</v>
      </c>
      <c r="V179" s="128">
        <v>2029</v>
      </c>
      <c r="W179" s="128">
        <v>2030</v>
      </c>
      <c r="X179" s="128">
        <v>2031</v>
      </c>
      <c r="Y179" s="128">
        <v>2032</v>
      </c>
      <c r="Z179" s="128">
        <v>2033</v>
      </c>
      <c r="AA179" s="128">
        <v>2034</v>
      </c>
      <c r="AB179" s="128">
        <v>2035</v>
      </c>
      <c r="AC179" s="128">
        <v>2036</v>
      </c>
      <c r="AD179" s="128">
        <v>2037</v>
      </c>
      <c r="AE179" s="128">
        <v>2038</v>
      </c>
      <c r="AF179" s="128">
        <v>2039</v>
      </c>
      <c r="AG179" s="128">
        <v>2040</v>
      </c>
      <c r="AH179" s="128">
        <v>2041</v>
      </c>
      <c r="AI179" s="128">
        <v>2042</v>
      </c>
      <c r="AJ179" s="128">
        <v>2043</v>
      </c>
      <c r="AK179" s="128">
        <v>2044</v>
      </c>
      <c r="AL179" s="128">
        <v>2045</v>
      </c>
      <c r="AM179" s="128">
        <v>2046</v>
      </c>
      <c r="AN179" s="128">
        <v>2047</v>
      </c>
      <c r="AO179" s="128">
        <v>2048</v>
      </c>
      <c r="AP179" s="128">
        <v>2049</v>
      </c>
      <c r="AQ179" s="128">
        <v>2050</v>
      </c>
      <c r="AR179" s="16">
        <f>AQ179+1</f>
        <v>2051</v>
      </c>
      <c r="AS179" s="16">
        <f t="shared" ref="AS179:BK179" si="79">AR179+1</f>
        <v>2052</v>
      </c>
      <c r="AT179" s="16">
        <f t="shared" si="79"/>
        <v>2053</v>
      </c>
      <c r="AU179" s="16">
        <f t="shared" si="79"/>
        <v>2054</v>
      </c>
      <c r="AV179" s="16">
        <f t="shared" si="79"/>
        <v>2055</v>
      </c>
      <c r="AW179" s="16">
        <f t="shared" si="79"/>
        <v>2056</v>
      </c>
      <c r="AX179" s="16">
        <f t="shared" si="79"/>
        <v>2057</v>
      </c>
      <c r="AY179" s="16">
        <f t="shared" si="79"/>
        <v>2058</v>
      </c>
      <c r="AZ179" s="16">
        <f t="shared" si="79"/>
        <v>2059</v>
      </c>
      <c r="BA179" s="16">
        <f t="shared" si="79"/>
        <v>2060</v>
      </c>
      <c r="BB179" s="16">
        <f t="shared" si="79"/>
        <v>2061</v>
      </c>
      <c r="BC179" s="16">
        <f t="shared" si="79"/>
        <v>2062</v>
      </c>
      <c r="BD179" s="16">
        <f t="shared" si="79"/>
        <v>2063</v>
      </c>
      <c r="BE179" s="16">
        <f t="shared" si="79"/>
        <v>2064</v>
      </c>
      <c r="BF179" s="16">
        <f>BE179+1</f>
        <v>2065</v>
      </c>
      <c r="BG179" s="16">
        <f t="shared" si="79"/>
        <v>2066</v>
      </c>
      <c r="BH179" s="16">
        <f t="shared" si="79"/>
        <v>2067</v>
      </c>
      <c r="BI179" s="16">
        <f t="shared" si="79"/>
        <v>2068</v>
      </c>
      <c r="BJ179" s="16">
        <f>BI179+1</f>
        <v>2069</v>
      </c>
      <c r="BK179" s="16">
        <f t="shared" si="79"/>
        <v>2070</v>
      </c>
      <c r="BL179" s="153"/>
      <c r="BM179" s="153"/>
      <c r="BN179" s="153"/>
      <c r="BO179" s="153"/>
      <c r="BP179" s="153"/>
      <c r="BQ179" s="153"/>
      <c r="BR179" s="153"/>
      <c r="BS179" s="153"/>
      <c r="BT179" s="153"/>
      <c r="BU179" s="153"/>
      <c r="BV179" s="153"/>
      <c r="BW179" s="153"/>
      <c r="BX179" s="153"/>
      <c r="BY179" s="153"/>
    </row>
    <row r="180" spans="1:91" ht="14.25" customHeight="1" thickTop="1" x14ac:dyDescent="0.15">
      <c r="G180" s="22"/>
      <c r="H180" s="254"/>
      <c r="J180" s="240" t="s">
        <v>12</v>
      </c>
      <c r="K180" s="140" t="s">
        <v>237</v>
      </c>
      <c r="L180" s="140" t="s">
        <v>219</v>
      </c>
      <c r="M180" s="157">
        <v>1741.1559999999999</v>
      </c>
      <c r="N180" s="157">
        <v>1560</v>
      </c>
      <c r="O180" s="157">
        <v>1463.5614308511908</v>
      </c>
      <c r="P180" s="157">
        <v>1367.1228617023817</v>
      </c>
      <c r="Q180" s="157">
        <v>1270.6842925535725</v>
      </c>
      <c r="R180" s="157">
        <v>1174.2457234047633</v>
      </c>
      <c r="S180" s="157">
        <v>1077.8071542559542</v>
      </c>
      <c r="T180" s="157">
        <v>981.36858510714512</v>
      </c>
      <c r="U180" s="157">
        <v>884.93001595833607</v>
      </c>
      <c r="V180" s="157">
        <v>788.49144680952702</v>
      </c>
      <c r="W180" s="157">
        <v>692.05287766071854</v>
      </c>
      <c r="X180" s="157">
        <v>683.13326372919073</v>
      </c>
      <c r="Y180" s="157">
        <v>674.21364979766292</v>
      </c>
      <c r="Z180" s="157">
        <v>665.29403586613512</v>
      </c>
      <c r="AA180" s="157">
        <v>656.37442193460731</v>
      </c>
      <c r="AB180" s="157">
        <v>647.45480800307951</v>
      </c>
      <c r="AC180" s="157">
        <v>638.5351940715517</v>
      </c>
      <c r="AD180" s="157">
        <v>629.61558014002389</v>
      </c>
      <c r="AE180" s="157">
        <v>620.69596620849609</v>
      </c>
      <c r="AF180" s="157">
        <v>611.77635227696828</v>
      </c>
      <c r="AG180" s="157">
        <v>602.85673834544048</v>
      </c>
      <c r="AH180" s="157">
        <v>593.93712441391267</v>
      </c>
      <c r="AI180" s="157">
        <v>585.01751048238486</v>
      </c>
      <c r="AJ180" s="157">
        <v>576.09789655085706</v>
      </c>
      <c r="AK180" s="157">
        <v>567.17828261932925</v>
      </c>
      <c r="AL180" s="157">
        <v>558.25866868780145</v>
      </c>
      <c r="AM180" s="157">
        <v>549.33905475627364</v>
      </c>
      <c r="AN180" s="157">
        <v>540.41944082474583</v>
      </c>
      <c r="AO180" s="157">
        <v>531.49982689321803</v>
      </c>
      <c r="AP180" s="157">
        <v>522.58021296169022</v>
      </c>
      <c r="AQ180" s="157">
        <v>513.66059903016196</v>
      </c>
    </row>
    <row r="181" spans="1:91" s="197" customFormat="1" ht="14.25" customHeight="1" x14ac:dyDescent="0.15">
      <c r="G181" s="198"/>
      <c r="H181" s="254"/>
      <c r="J181" s="241"/>
      <c r="K181" s="199" t="s">
        <v>237</v>
      </c>
      <c r="L181" s="217" t="s">
        <v>218</v>
      </c>
      <c r="M181" s="218">
        <v>1741.1559999999999</v>
      </c>
      <c r="N181" s="218">
        <v>1560</v>
      </c>
      <c r="O181" s="218">
        <v>1486.8297553779098</v>
      </c>
      <c r="P181" s="218">
        <v>1413.6595107558196</v>
      </c>
      <c r="Q181" s="218">
        <v>1340.4892661337294</v>
      </c>
      <c r="R181" s="218">
        <v>1267.3190215116392</v>
      </c>
      <c r="S181" s="218">
        <v>1194.148776889549</v>
      </c>
      <c r="T181" s="218">
        <v>1120.9785322674588</v>
      </c>
      <c r="U181" s="218">
        <v>1047.8082876453686</v>
      </c>
      <c r="V181" s="218">
        <v>974.63804302327844</v>
      </c>
      <c r="W181" s="218">
        <v>901.46779840118836</v>
      </c>
      <c r="X181" s="218">
        <v>890.99705236416492</v>
      </c>
      <c r="Y181" s="218">
        <v>880.52630632714147</v>
      </c>
      <c r="Z181" s="218">
        <v>870.05556029011802</v>
      </c>
      <c r="AA181" s="218">
        <v>859.58481425309458</v>
      </c>
      <c r="AB181" s="218">
        <v>849.11406821607113</v>
      </c>
      <c r="AC181" s="218">
        <v>838.64332217904769</v>
      </c>
      <c r="AD181" s="218">
        <v>828.17257614202424</v>
      </c>
      <c r="AE181" s="218">
        <v>817.70183010500079</v>
      </c>
      <c r="AF181" s="218">
        <v>807.23108406797735</v>
      </c>
      <c r="AG181" s="218">
        <v>796.7603380309539</v>
      </c>
      <c r="AH181" s="218">
        <v>786.28959199393046</v>
      </c>
      <c r="AI181" s="218">
        <v>775.81884595690701</v>
      </c>
      <c r="AJ181" s="218">
        <v>765.34809991988357</v>
      </c>
      <c r="AK181" s="218">
        <v>754.87735388286012</v>
      </c>
      <c r="AL181" s="218">
        <v>744.40660784583667</v>
      </c>
      <c r="AM181" s="218">
        <v>733.93586180881323</v>
      </c>
      <c r="AN181" s="218">
        <v>723.46511577178978</v>
      </c>
      <c r="AO181" s="218">
        <v>712.99436973476634</v>
      </c>
      <c r="AP181" s="218">
        <v>702.52362369774289</v>
      </c>
      <c r="AQ181" s="218">
        <v>692.05287766071854</v>
      </c>
      <c r="AR181" s="310">
        <f>(AQ181+AQ181*$AT$183)</f>
        <v>681.73819259997106</v>
      </c>
      <c r="AS181" s="310">
        <f t="shared" ref="AS181:BK181" si="80">(AR181+AR181*$AT$183)</f>
        <v>671.57724250852539</v>
      </c>
      <c r="AT181" s="310">
        <f t="shared" si="80"/>
        <v>661.56773604732018</v>
      </c>
      <c r="AU181" s="310">
        <f t="shared" si="80"/>
        <v>651.70741602850046</v>
      </c>
      <c r="AV181" s="310">
        <f t="shared" si="80"/>
        <v>641.99405890641208</v>
      </c>
      <c r="AW181" s="310">
        <f t="shared" si="80"/>
        <v>632.4254742761824</v>
      </c>
      <c r="AX181" s="310">
        <f t="shared" si="80"/>
        <v>622.99950437977407</v>
      </c>
      <c r="AY181" s="310">
        <f t="shared" si="80"/>
        <v>613.71402361940147</v>
      </c>
      <c r="AZ181" s="310">
        <f t="shared" si="80"/>
        <v>604.56693807819852</v>
      </c>
      <c r="BA181" s="310">
        <f t="shared" si="80"/>
        <v>595.55618504803169</v>
      </c>
      <c r="BB181" s="310">
        <f t="shared" si="80"/>
        <v>586.67973256434982</v>
      </c>
      <c r="BC181" s="310">
        <f t="shared" si="80"/>
        <v>577.93557894796743</v>
      </c>
      <c r="BD181" s="310">
        <f t="shared" si="80"/>
        <v>569.32175235367708</v>
      </c>
      <c r="BE181" s="310">
        <f t="shared" si="80"/>
        <v>560.83631032558981</v>
      </c>
      <c r="BF181" s="310">
        <f t="shared" si="80"/>
        <v>552.4773393591023</v>
      </c>
      <c r="BG181" s="310">
        <f t="shared" si="80"/>
        <v>544.24295446939368</v>
      </c>
      <c r="BH181" s="310">
        <f t="shared" si="80"/>
        <v>536.13129876635264</v>
      </c>
      <c r="BI181" s="310">
        <f t="shared" si="80"/>
        <v>528.14054303584101</v>
      </c>
      <c r="BJ181" s="310">
        <f t="shared" si="80"/>
        <v>520.26888532719761</v>
      </c>
      <c r="BK181" s="310">
        <f t="shared" si="80"/>
        <v>512.5145505468904</v>
      </c>
    </row>
    <row r="182" spans="1:91" ht="14.25" customHeight="1" thickBot="1" x14ac:dyDescent="0.2">
      <c r="G182" s="22"/>
      <c r="H182" s="254"/>
      <c r="J182" s="241"/>
      <c r="K182" s="144" t="s">
        <v>237</v>
      </c>
      <c r="L182" s="144" t="s">
        <v>214</v>
      </c>
      <c r="M182" s="158">
        <v>1741.1559999999999</v>
      </c>
      <c r="N182" s="158">
        <v>1560</v>
      </c>
      <c r="O182" s="158">
        <v>1548.1003032033746</v>
      </c>
      <c r="P182" s="158">
        <v>1536.2006064067491</v>
      </c>
      <c r="Q182" s="158">
        <v>1524.3009096101237</v>
      </c>
      <c r="R182" s="158">
        <v>1512.4012128134982</v>
      </c>
      <c r="S182" s="158">
        <v>1500.5015160168728</v>
      </c>
      <c r="T182" s="158">
        <v>1488.6018192202473</v>
      </c>
      <c r="U182" s="158">
        <v>1476.7021224236219</v>
      </c>
      <c r="V182" s="158">
        <v>1464.8024256269964</v>
      </c>
      <c r="W182" s="158">
        <v>1452.9027288303716</v>
      </c>
      <c r="X182" s="158">
        <v>1425.3309823089126</v>
      </c>
      <c r="Y182" s="158">
        <v>1397.7592357874535</v>
      </c>
      <c r="Z182" s="158">
        <v>1370.1874892659944</v>
      </c>
      <c r="AA182" s="158">
        <v>1342.6157427445353</v>
      </c>
      <c r="AB182" s="158">
        <v>1315.0439962230762</v>
      </c>
      <c r="AC182" s="158">
        <v>1287.4722497016171</v>
      </c>
      <c r="AD182" s="158">
        <v>1259.900503180158</v>
      </c>
      <c r="AE182" s="158">
        <v>1232.3287566586989</v>
      </c>
      <c r="AF182" s="158">
        <v>1204.7570101372398</v>
      </c>
      <c r="AG182" s="158">
        <v>1177.1852636157807</v>
      </c>
      <c r="AH182" s="158">
        <v>1149.6135170943217</v>
      </c>
      <c r="AI182" s="158">
        <v>1122.0417705728626</v>
      </c>
      <c r="AJ182" s="158">
        <v>1094.4700240514035</v>
      </c>
      <c r="AK182" s="158">
        <v>1066.8982775299444</v>
      </c>
      <c r="AL182" s="158">
        <v>1039.3265310084853</v>
      </c>
      <c r="AM182" s="158">
        <v>1011.7547844870261</v>
      </c>
      <c r="AN182" s="158">
        <v>984.18303796556688</v>
      </c>
      <c r="AO182" s="158">
        <v>956.61129144410768</v>
      </c>
      <c r="AP182" s="158">
        <v>929.03954492264847</v>
      </c>
      <c r="AQ182" s="158">
        <v>901.46779840118836</v>
      </c>
      <c r="BZ182" s="153"/>
      <c r="CA182" s="153"/>
      <c r="CB182" s="153"/>
      <c r="CC182" s="153"/>
      <c r="CD182" s="153"/>
      <c r="CE182" s="153"/>
      <c r="CF182" s="153"/>
      <c r="CG182" s="153"/>
      <c r="CH182" s="153"/>
      <c r="CI182" s="153"/>
      <c r="CJ182" s="153"/>
      <c r="CK182" s="153"/>
      <c r="CL182" s="153"/>
      <c r="CM182" s="153"/>
    </row>
    <row r="183" spans="1:91" ht="14.25" customHeight="1" thickTop="1" x14ac:dyDescent="0.15">
      <c r="G183" s="22"/>
      <c r="H183" s="254"/>
      <c r="J183" s="241"/>
      <c r="K183" s="140" t="s">
        <v>236</v>
      </c>
      <c r="L183" s="140" t="s">
        <v>219</v>
      </c>
      <c r="M183" s="159">
        <f t="shared" ref="M183:AQ183" si="81">M180</f>
        <v>1741.1559999999999</v>
      </c>
      <c r="N183" s="159">
        <f t="shared" si="81"/>
        <v>1560</v>
      </c>
      <c r="O183" s="159">
        <f t="shared" si="81"/>
        <v>1463.5614308511908</v>
      </c>
      <c r="P183" s="159">
        <f t="shared" si="81"/>
        <v>1367.1228617023817</v>
      </c>
      <c r="Q183" s="159">
        <f t="shared" si="81"/>
        <v>1270.6842925535725</v>
      </c>
      <c r="R183" s="159">
        <f t="shared" si="81"/>
        <v>1174.2457234047633</v>
      </c>
      <c r="S183" s="159">
        <f t="shared" si="81"/>
        <v>1077.8071542559542</v>
      </c>
      <c r="T183" s="159">
        <f t="shared" si="81"/>
        <v>981.36858510714512</v>
      </c>
      <c r="U183" s="159">
        <f t="shared" si="81"/>
        <v>884.93001595833607</v>
      </c>
      <c r="V183" s="159">
        <f t="shared" si="81"/>
        <v>788.49144680952702</v>
      </c>
      <c r="W183" s="159">
        <f t="shared" si="81"/>
        <v>692.05287766071854</v>
      </c>
      <c r="X183" s="159">
        <f t="shared" si="81"/>
        <v>683.13326372919073</v>
      </c>
      <c r="Y183" s="159">
        <f t="shared" si="81"/>
        <v>674.21364979766292</v>
      </c>
      <c r="Z183" s="159">
        <f t="shared" si="81"/>
        <v>665.29403586613512</v>
      </c>
      <c r="AA183" s="159">
        <f t="shared" si="81"/>
        <v>656.37442193460731</v>
      </c>
      <c r="AB183" s="159">
        <f t="shared" si="81"/>
        <v>647.45480800307951</v>
      </c>
      <c r="AC183" s="159">
        <f t="shared" si="81"/>
        <v>638.5351940715517</v>
      </c>
      <c r="AD183" s="159">
        <f t="shared" si="81"/>
        <v>629.61558014002389</v>
      </c>
      <c r="AE183" s="159">
        <f t="shared" si="81"/>
        <v>620.69596620849609</v>
      </c>
      <c r="AF183" s="159">
        <f t="shared" si="81"/>
        <v>611.77635227696828</v>
      </c>
      <c r="AG183" s="159">
        <f t="shared" si="81"/>
        <v>602.85673834544048</v>
      </c>
      <c r="AH183" s="159">
        <f t="shared" si="81"/>
        <v>593.93712441391267</v>
      </c>
      <c r="AI183" s="159">
        <f t="shared" si="81"/>
        <v>585.01751048238486</v>
      </c>
      <c r="AJ183" s="159">
        <f t="shared" si="81"/>
        <v>576.09789655085706</v>
      </c>
      <c r="AK183" s="159">
        <f t="shared" si="81"/>
        <v>567.17828261932925</v>
      </c>
      <c r="AL183" s="159">
        <f t="shared" si="81"/>
        <v>558.25866868780145</v>
      </c>
      <c r="AM183" s="159">
        <f t="shared" si="81"/>
        <v>549.33905475627364</v>
      </c>
      <c r="AN183" s="159">
        <f t="shared" si="81"/>
        <v>540.41944082474583</v>
      </c>
      <c r="AO183" s="159">
        <f t="shared" si="81"/>
        <v>531.49982689321803</v>
      </c>
      <c r="AP183" s="159">
        <f t="shared" si="81"/>
        <v>522.58021296169022</v>
      </c>
      <c r="AQ183" s="159">
        <f t="shared" si="81"/>
        <v>513.66059903016196</v>
      </c>
      <c r="AS183" s="16" t="s">
        <v>261</v>
      </c>
      <c r="AT183" s="311">
        <f>(AQ181-AP181)/AP181</f>
        <v>-1.4904475356873321E-2</v>
      </c>
      <c r="BZ183" s="155"/>
      <c r="CA183" s="155"/>
      <c r="CB183" s="155"/>
      <c r="CC183" s="155"/>
      <c r="CD183" s="155"/>
      <c r="CE183" s="155"/>
      <c r="CF183" s="155"/>
      <c r="CG183" s="155"/>
      <c r="CH183" s="155"/>
      <c r="CI183" s="155"/>
      <c r="CJ183" s="155"/>
      <c r="CK183" s="155"/>
      <c r="CL183" s="155"/>
      <c r="CM183" s="155"/>
    </row>
    <row r="184" spans="1:91" ht="14.25" customHeight="1" x14ac:dyDescent="0.15">
      <c r="G184" s="22"/>
      <c r="H184" s="254"/>
      <c r="J184" s="241"/>
      <c r="K184" s="19" t="s">
        <v>236</v>
      </c>
      <c r="L184" s="129" t="s">
        <v>218</v>
      </c>
      <c r="M184" s="160">
        <f t="shared" ref="M184:AQ184" si="82">M181</f>
        <v>1741.1559999999999</v>
      </c>
      <c r="N184" s="160">
        <f t="shared" si="82"/>
        <v>1560</v>
      </c>
      <c r="O184" s="160">
        <f t="shared" si="82"/>
        <v>1486.8297553779098</v>
      </c>
      <c r="P184" s="160">
        <f t="shared" si="82"/>
        <v>1413.6595107558196</v>
      </c>
      <c r="Q184" s="160">
        <f t="shared" si="82"/>
        <v>1340.4892661337294</v>
      </c>
      <c r="R184" s="160">
        <f t="shared" si="82"/>
        <v>1267.3190215116392</v>
      </c>
      <c r="S184" s="160">
        <f t="shared" si="82"/>
        <v>1194.148776889549</v>
      </c>
      <c r="T184" s="160">
        <f t="shared" si="82"/>
        <v>1120.9785322674588</v>
      </c>
      <c r="U184" s="160">
        <f t="shared" si="82"/>
        <v>1047.8082876453686</v>
      </c>
      <c r="V184" s="160">
        <f t="shared" si="82"/>
        <v>974.63804302327844</v>
      </c>
      <c r="W184" s="160">
        <f t="shared" si="82"/>
        <v>901.46779840118836</v>
      </c>
      <c r="X184" s="160">
        <f t="shared" si="82"/>
        <v>890.99705236416492</v>
      </c>
      <c r="Y184" s="160">
        <f t="shared" si="82"/>
        <v>880.52630632714147</v>
      </c>
      <c r="Z184" s="160">
        <f t="shared" si="82"/>
        <v>870.05556029011802</v>
      </c>
      <c r="AA184" s="160">
        <f t="shared" si="82"/>
        <v>859.58481425309458</v>
      </c>
      <c r="AB184" s="160">
        <f t="shared" si="82"/>
        <v>849.11406821607113</v>
      </c>
      <c r="AC184" s="160">
        <f t="shared" si="82"/>
        <v>838.64332217904769</v>
      </c>
      <c r="AD184" s="160">
        <f t="shared" si="82"/>
        <v>828.17257614202424</v>
      </c>
      <c r="AE184" s="160">
        <f t="shared" si="82"/>
        <v>817.70183010500079</v>
      </c>
      <c r="AF184" s="160">
        <f t="shared" si="82"/>
        <v>807.23108406797735</v>
      </c>
      <c r="AG184" s="160">
        <f t="shared" si="82"/>
        <v>796.7603380309539</v>
      </c>
      <c r="AH184" s="160">
        <f t="shared" si="82"/>
        <v>786.28959199393046</v>
      </c>
      <c r="AI184" s="160">
        <f t="shared" si="82"/>
        <v>775.81884595690701</v>
      </c>
      <c r="AJ184" s="160">
        <f t="shared" si="82"/>
        <v>765.34809991988357</v>
      </c>
      <c r="AK184" s="160">
        <f t="shared" si="82"/>
        <v>754.87735388286012</v>
      </c>
      <c r="AL184" s="160">
        <f t="shared" si="82"/>
        <v>744.40660784583667</v>
      </c>
      <c r="AM184" s="160">
        <f t="shared" si="82"/>
        <v>733.93586180881323</v>
      </c>
      <c r="AN184" s="160">
        <f t="shared" si="82"/>
        <v>723.46511577178978</v>
      </c>
      <c r="AO184" s="160">
        <f t="shared" si="82"/>
        <v>712.99436973476634</v>
      </c>
      <c r="AP184" s="160">
        <f t="shared" si="82"/>
        <v>702.52362369774289</v>
      </c>
      <c r="AQ184" s="160">
        <f t="shared" si="82"/>
        <v>692.05287766071854</v>
      </c>
    </row>
    <row r="185" spans="1:91" ht="14.25" customHeight="1" thickBot="1" x14ac:dyDescent="0.2">
      <c r="G185" s="22"/>
      <c r="H185" s="254"/>
      <c r="J185" s="241"/>
      <c r="K185" s="144" t="s">
        <v>236</v>
      </c>
      <c r="L185" s="144" t="s">
        <v>214</v>
      </c>
      <c r="M185" s="161">
        <f t="shared" ref="M185:AQ185" si="83">M182</f>
        <v>1741.1559999999999</v>
      </c>
      <c r="N185" s="161">
        <f t="shared" si="83"/>
        <v>1560</v>
      </c>
      <c r="O185" s="161">
        <f t="shared" si="83"/>
        <v>1548.1003032033746</v>
      </c>
      <c r="P185" s="161">
        <f t="shared" si="83"/>
        <v>1536.2006064067491</v>
      </c>
      <c r="Q185" s="161">
        <f t="shared" si="83"/>
        <v>1524.3009096101237</v>
      </c>
      <c r="R185" s="161">
        <f t="shared" si="83"/>
        <v>1512.4012128134982</v>
      </c>
      <c r="S185" s="161">
        <f t="shared" si="83"/>
        <v>1500.5015160168728</v>
      </c>
      <c r="T185" s="161">
        <f t="shared" si="83"/>
        <v>1488.6018192202473</v>
      </c>
      <c r="U185" s="161">
        <f t="shared" si="83"/>
        <v>1476.7021224236219</v>
      </c>
      <c r="V185" s="161">
        <f t="shared" si="83"/>
        <v>1464.8024256269964</v>
      </c>
      <c r="W185" s="161">
        <f t="shared" si="83"/>
        <v>1452.9027288303716</v>
      </c>
      <c r="X185" s="161">
        <f t="shared" si="83"/>
        <v>1425.3309823089126</v>
      </c>
      <c r="Y185" s="161">
        <f t="shared" si="83"/>
        <v>1397.7592357874535</v>
      </c>
      <c r="Z185" s="161">
        <f t="shared" si="83"/>
        <v>1370.1874892659944</v>
      </c>
      <c r="AA185" s="161">
        <f t="shared" si="83"/>
        <v>1342.6157427445353</v>
      </c>
      <c r="AB185" s="161">
        <f t="shared" si="83"/>
        <v>1315.0439962230762</v>
      </c>
      <c r="AC185" s="161">
        <f t="shared" si="83"/>
        <v>1287.4722497016171</v>
      </c>
      <c r="AD185" s="161">
        <f t="shared" si="83"/>
        <v>1259.900503180158</v>
      </c>
      <c r="AE185" s="161">
        <f t="shared" si="83"/>
        <v>1232.3287566586989</v>
      </c>
      <c r="AF185" s="161">
        <f t="shared" si="83"/>
        <v>1204.7570101372398</v>
      </c>
      <c r="AG185" s="161">
        <f t="shared" si="83"/>
        <v>1177.1852636157807</v>
      </c>
      <c r="AH185" s="161">
        <f t="shared" si="83"/>
        <v>1149.6135170943217</v>
      </c>
      <c r="AI185" s="161">
        <f t="shared" si="83"/>
        <v>1122.0417705728626</v>
      </c>
      <c r="AJ185" s="161">
        <f t="shared" si="83"/>
        <v>1094.4700240514035</v>
      </c>
      <c r="AK185" s="161">
        <f t="shared" si="83"/>
        <v>1066.8982775299444</v>
      </c>
      <c r="AL185" s="161">
        <f t="shared" si="83"/>
        <v>1039.3265310084853</v>
      </c>
      <c r="AM185" s="161">
        <f t="shared" si="83"/>
        <v>1011.7547844870261</v>
      </c>
      <c r="AN185" s="161">
        <f t="shared" si="83"/>
        <v>984.18303796556688</v>
      </c>
      <c r="AO185" s="161">
        <f t="shared" si="83"/>
        <v>956.61129144410768</v>
      </c>
      <c r="AP185" s="161">
        <f t="shared" si="83"/>
        <v>929.03954492264847</v>
      </c>
      <c r="AQ185" s="161">
        <f t="shared" si="83"/>
        <v>901.46779840118836</v>
      </c>
    </row>
    <row r="186" spans="1:91" ht="14.25" customHeight="1" thickTop="1" x14ac:dyDescent="0.15">
      <c r="G186" s="22"/>
      <c r="H186" s="254"/>
      <c r="J186" s="241"/>
      <c r="K186" s="140" t="s">
        <v>235</v>
      </c>
      <c r="L186" s="140" t="s">
        <v>219</v>
      </c>
      <c r="M186" s="159">
        <f t="shared" ref="M186:AQ186" si="84">M183</f>
        <v>1741.1559999999999</v>
      </c>
      <c r="N186" s="159">
        <f t="shared" si="84"/>
        <v>1560</v>
      </c>
      <c r="O186" s="159">
        <f t="shared" si="84"/>
        <v>1463.5614308511908</v>
      </c>
      <c r="P186" s="159">
        <f t="shared" si="84"/>
        <v>1367.1228617023817</v>
      </c>
      <c r="Q186" s="159">
        <f t="shared" si="84"/>
        <v>1270.6842925535725</v>
      </c>
      <c r="R186" s="159">
        <f t="shared" si="84"/>
        <v>1174.2457234047633</v>
      </c>
      <c r="S186" s="159">
        <f t="shared" si="84"/>
        <v>1077.8071542559542</v>
      </c>
      <c r="T186" s="159">
        <f t="shared" si="84"/>
        <v>981.36858510714512</v>
      </c>
      <c r="U186" s="159">
        <f t="shared" si="84"/>
        <v>884.93001595833607</v>
      </c>
      <c r="V186" s="159">
        <f t="shared" si="84"/>
        <v>788.49144680952702</v>
      </c>
      <c r="W186" s="159">
        <f t="shared" si="84"/>
        <v>692.05287766071854</v>
      </c>
      <c r="X186" s="159">
        <f t="shared" si="84"/>
        <v>683.13326372919073</v>
      </c>
      <c r="Y186" s="159">
        <f t="shared" si="84"/>
        <v>674.21364979766292</v>
      </c>
      <c r="Z186" s="159">
        <f t="shared" si="84"/>
        <v>665.29403586613512</v>
      </c>
      <c r="AA186" s="159">
        <f t="shared" si="84"/>
        <v>656.37442193460731</v>
      </c>
      <c r="AB186" s="159">
        <f t="shared" si="84"/>
        <v>647.45480800307951</v>
      </c>
      <c r="AC186" s="159">
        <f t="shared" si="84"/>
        <v>638.5351940715517</v>
      </c>
      <c r="AD186" s="159">
        <f t="shared" si="84"/>
        <v>629.61558014002389</v>
      </c>
      <c r="AE186" s="159">
        <f t="shared" si="84"/>
        <v>620.69596620849609</v>
      </c>
      <c r="AF186" s="159">
        <f t="shared" si="84"/>
        <v>611.77635227696828</v>
      </c>
      <c r="AG186" s="159">
        <f t="shared" si="84"/>
        <v>602.85673834544048</v>
      </c>
      <c r="AH186" s="159">
        <f t="shared" si="84"/>
        <v>593.93712441391267</v>
      </c>
      <c r="AI186" s="159">
        <f t="shared" si="84"/>
        <v>585.01751048238486</v>
      </c>
      <c r="AJ186" s="159">
        <f t="shared" si="84"/>
        <v>576.09789655085706</v>
      </c>
      <c r="AK186" s="159">
        <f t="shared" si="84"/>
        <v>567.17828261932925</v>
      </c>
      <c r="AL186" s="159">
        <f t="shared" si="84"/>
        <v>558.25866868780145</v>
      </c>
      <c r="AM186" s="159">
        <f t="shared" si="84"/>
        <v>549.33905475627364</v>
      </c>
      <c r="AN186" s="159">
        <f t="shared" si="84"/>
        <v>540.41944082474583</v>
      </c>
      <c r="AO186" s="159">
        <f t="shared" si="84"/>
        <v>531.49982689321803</v>
      </c>
      <c r="AP186" s="159">
        <f t="shared" si="84"/>
        <v>522.58021296169022</v>
      </c>
      <c r="AQ186" s="159">
        <f t="shared" si="84"/>
        <v>513.66059903016196</v>
      </c>
    </row>
    <row r="187" spans="1:91" ht="14.25" customHeight="1" x14ac:dyDescent="0.15">
      <c r="G187" s="22"/>
      <c r="H187" s="254"/>
      <c r="J187" s="241"/>
      <c r="K187" s="19" t="s">
        <v>235</v>
      </c>
      <c r="L187" s="129" t="s">
        <v>218</v>
      </c>
      <c r="M187" s="160">
        <f t="shared" ref="M187:AQ187" si="85">M184</f>
        <v>1741.1559999999999</v>
      </c>
      <c r="N187" s="160">
        <f t="shared" si="85"/>
        <v>1560</v>
      </c>
      <c r="O187" s="160">
        <f t="shared" si="85"/>
        <v>1486.8297553779098</v>
      </c>
      <c r="P187" s="160">
        <f t="shared" si="85"/>
        <v>1413.6595107558196</v>
      </c>
      <c r="Q187" s="160">
        <f t="shared" si="85"/>
        <v>1340.4892661337294</v>
      </c>
      <c r="R187" s="160">
        <f t="shared" si="85"/>
        <v>1267.3190215116392</v>
      </c>
      <c r="S187" s="160">
        <f t="shared" si="85"/>
        <v>1194.148776889549</v>
      </c>
      <c r="T187" s="160">
        <f t="shared" si="85"/>
        <v>1120.9785322674588</v>
      </c>
      <c r="U187" s="160">
        <f t="shared" si="85"/>
        <v>1047.8082876453686</v>
      </c>
      <c r="V187" s="160">
        <f t="shared" si="85"/>
        <v>974.63804302327844</v>
      </c>
      <c r="W187" s="160">
        <f t="shared" si="85"/>
        <v>901.46779840118836</v>
      </c>
      <c r="X187" s="160">
        <f t="shared" si="85"/>
        <v>890.99705236416492</v>
      </c>
      <c r="Y187" s="160">
        <f t="shared" si="85"/>
        <v>880.52630632714147</v>
      </c>
      <c r="Z187" s="160">
        <f t="shared" si="85"/>
        <v>870.05556029011802</v>
      </c>
      <c r="AA187" s="160">
        <f t="shared" si="85"/>
        <v>859.58481425309458</v>
      </c>
      <c r="AB187" s="160">
        <f t="shared" si="85"/>
        <v>849.11406821607113</v>
      </c>
      <c r="AC187" s="160">
        <f t="shared" si="85"/>
        <v>838.64332217904769</v>
      </c>
      <c r="AD187" s="160">
        <f t="shared" si="85"/>
        <v>828.17257614202424</v>
      </c>
      <c r="AE187" s="160">
        <f t="shared" si="85"/>
        <v>817.70183010500079</v>
      </c>
      <c r="AF187" s="160">
        <f t="shared" si="85"/>
        <v>807.23108406797735</v>
      </c>
      <c r="AG187" s="160">
        <f t="shared" si="85"/>
        <v>796.7603380309539</v>
      </c>
      <c r="AH187" s="160">
        <f t="shared" si="85"/>
        <v>786.28959199393046</v>
      </c>
      <c r="AI187" s="160">
        <f t="shared" si="85"/>
        <v>775.81884595690701</v>
      </c>
      <c r="AJ187" s="160">
        <f t="shared" si="85"/>
        <v>765.34809991988357</v>
      </c>
      <c r="AK187" s="160">
        <f t="shared" si="85"/>
        <v>754.87735388286012</v>
      </c>
      <c r="AL187" s="160">
        <f t="shared" si="85"/>
        <v>744.40660784583667</v>
      </c>
      <c r="AM187" s="160">
        <f t="shared" si="85"/>
        <v>733.93586180881323</v>
      </c>
      <c r="AN187" s="160">
        <f t="shared" si="85"/>
        <v>723.46511577178978</v>
      </c>
      <c r="AO187" s="160">
        <f t="shared" si="85"/>
        <v>712.99436973476634</v>
      </c>
      <c r="AP187" s="160">
        <f t="shared" si="85"/>
        <v>702.52362369774289</v>
      </c>
      <c r="AQ187" s="160">
        <f t="shared" si="85"/>
        <v>692.05287766071854</v>
      </c>
    </row>
    <row r="188" spans="1:91" ht="14.25" customHeight="1" thickBot="1" x14ac:dyDescent="0.2">
      <c r="G188" s="22"/>
      <c r="H188" s="254"/>
      <c r="J188" s="241"/>
      <c r="K188" s="144" t="s">
        <v>235</v>
      </c>
      <c r="L188" s="144" t="s">
        <v>214</v>
      </c>
      <c r="M188" s="161">
        <f t="shared" ref="M188:AQ188" si="86">M185</f>
        <v>1741.1559999999999</v>
      </c>
      <c r="N188" s="161">
        <f t="shared" si="86"/>
        <v>1560</v>
      </c>
      <c r="O188" s="161">
        <f t="shared" si="86"/>
        <v>1548.1003032033746</v>
      </c>
      <c r="P188" s="161">
        <f t="shared" si="86"/>
        <v>1536.2006064067491</v>
      </c>
      <c r="Q188" s="161">
        <f t="shared" si="86"/>
        <v>1524.3009096101237</v>
      </c>
      <c r="R188" s="161">
        <f t="shared" si="86"/>
        <v>1512.4012128134982</v>
      </c>
      <c r="S188" s="161">
        <f t="shared" si="86"/>
        <v>1500.5015160168728</v>
      </c>
      <c r="T188" s="161">
        <f t="shared" si="86"/>
        <v>1488.6018192202473</v>
      </c>
      <c r="U188" s="161">
        <f t="shared" si="86"/>
        <v>1476.7021224236219</v>
      </c>
      <c r="V188" s="161">
        <f t="shared" si="86"/>
        <v>1464.8024256269964</v>
      </c>
      <c r="W188" s="161">
        <f t="shared" si="86"/>
        <v>1452.9027288303716</v>
      </c>
      <c r="X188" s="161">
        <f t="shared" si="86"/>
        <v>1425.3309823089126</v>
      </c>
      <c r="Y188" s="161">
        <f t="shared" si="86"/>
        <v>1397.7592357874535</v>
      </c>
      <c r="Z188" s="161">
        <f t="shared" si="86"/>
        <v>1370.1874892659944</v>
      </c>
      <c r="AA188" s="161">
        <f t="shared" si="86"/>
        <v>1342.6157427445353</v>
      </c>
      <c r="AB188" s="161">
        <f t="shared" si="86"/>
        <v>1315.0439962230762</v>
      </c>
      <c r="AC188" s="161">
        <f t="shared" si="86"/>
        <v>1287.4722497016171</v>
      </c>
      <c r="AD188" s="161">
        <f t="shared" si="86"/>
        <v>1259.900503180158</v>
      </c>
      <c r="AE188" s="161">
        <f t="shared" si="86"/>
        <v>1232.3287566586989</v>
      </c>
      <c r="AF188" s="161">
        <f t="shared" si="86"/>
        <v>1204.7570101372398</v>
      </c>
      <c r="AG188" s="161">
        <f t="shared" si="86"/>
        <v>1177.1852636157807</v>
      </c>
      <c r="AH188" s="161">
        <f t="shared" si="86"/>
        <v>1149.6135170943217</v>
      </c>
      <c r="AI188" s="161">
        <f t="shared" si="86"/>
        <v>1122.0417705728626</v>
      </c>
      <c r="AJ188" s="161">
        <f t="shared" si="86"/>
        <v>1094.4700240514035</v>
      </c>
      <c r="AK188" s="161">
        <f t="shared" si="86"/>
        <v>1066.8982775299444</v>
      </c>
      <c r="AL188" s="161">
        <f t="shared" si="86"/>
        <v>1039.3265310084853</v>
      </c>
      <c r="AM188" s="161">
        <f t="shared" si="86"/>
        <v>1011.7547844870261</v>
      </c>
      <c r="AN188" s="161">
        <f t="shared" si="86"/>
        <v>984.18303796556688</v>
      </c>
      <c r="AO188" s="161">
        <f t="shared" si="86"/>
        <v>956.61129144410768</v>
      </c>
      <c r="AP188" s="161">
        <f t="shared" si="86"/>
        <v>929.03954492264847</v>
      </c>
      <c r="AQ188" s="161">
        <f t="shared" si="86"/>
        <v>901.46779840118836</v>
      </c>
    </row>
    <row r="189" spans="1:91" ht="14.25" customHeight="1" thickTop="1" x14ac:dyDescent="0.15">
      <c r="G189" s="22"/>
      <c r="H189" s="254"/>
      <c r="J189" s="241"/>
      <c r="K189" s="140" t="s">
        <v>234</v>
      </c>
      <c r="L189" s="140" t="s">
        <v>219</v>
      </c>
      <c r="M189" s="159">
        <f t="shared" ref="M189:AQ189" si="87">M186</f>
        <v>1741.1559999999999</v>
      </c>
      <c r="N189" s="159">
        <f t="shared" si="87"/>
        <v>1560</v>
      </c>
      <c r="O189" s="159">
        <f t="shared" si="87"/>
        <v>1463.5614308511908</v>
      </c>
      <c r="P189" s="159">
        <f t="shared" si="87"/>
        <v>1367.1228617023817</v>
      </c>
      <c r="Q189" s="159">
        <f t="shared" si="87"/>
        <v>1270.6842925535725</v>
      </c>
      <c r="R189" s="159">
        <f t="shared" si="87"/>
        <v>1174.2457234047633</v>
      </c>
      <c r="S189" s="159">
        <f t="shared" si="87"/>
        <v>1077.8071542559542</v>
      </c>
      <c r="T189" s="159">
        <f t="shared" si="87"/>
        <v>981.36858510714512</v>
      </c>
      <c r="U189" s="159">
        <f t="shared" si="87"/>
        <v>884.93001595833607</v>
      </c>
      <c r="V189" s="159">
        <f t="shared" si="87"/>
        <v>788.49144680952702</v>
      </c>
      <c r="W189" s="159">
        <f t="shared" si="87"/>
        <v>692.05287766071854</v>
      </c>
      <c r="X189" s="159">
        <f t="shared" si="87"/>
        <v>683.13326372919073</v>
      </c>
      <c r="Y189" s="159">
        <f t="shared" si="87"/>
        <v>674.21364979766292</v>
      </c>
      <c r="Z189" s="159">
        <f t="shared" si="87"/>
        <v>665.29403586613512</v>
      </c>
      <c r="AA189" s="159">
        <f t="shared" si="87"/>
        <v>656.37442193460731</v>
      </c>
      <c r="AB189" s="159">
        <f t="shared" si="87"/>
        <v>647.45480800307951</v>
      </c>
      <c r="AC189" s="159">
        <f t="shared" si="87"/>
        <v>638.5351940715517</v>
      </c>
      <c r="AD189" s="159">
        <f t="shared" si="87"/>
        <v>629.61558014002389</v>
      </c>
      <c r="AE189" s="159">
        <f t="shared" si="87"/>
        <v>620.69596620849609</v>
      </c>
      <c r="AF189" s="159">
        <f t="shared" si="87"/>
        <v>611.77635227696828</v>
      </c>
      <c r="AG189" s="159">
        <f t="shared" si="87"/>
        <v>602.85673834544048</v>
      </c>
      <c r="AH189" s="159">
        <f t="shared" si="87"/>
        <v>593.93712441391267</v>
      </c>
      <c r="AI189" s="159">
        <f t="shared" si="87"/>
        <v>585.01751048238486</v>
      </c>
      <c r="AJ189" s="159">
        <f t="shared" si="87"/>
        <v>576.09789655085706</v>
      </c>
      <c r="AK189" s="159">
        <f t="shared" si="87"/>
        <v>567.17828261932925</v>
      </c>
      <c r="AL189" s="159">
        <f t="shared" si="87"/>
        <v>558.25866868780145</v>
      </c>
      <c r="AM189" s="159">
        <f t="shared" si="87"/>
        <v>549.33905475627364</v>
      </c>
      <c r="AN189" s="159">
        <f t="shared" si="87"/>
        <v>540.41944082474583</v>
      </c>
      <c r="AO189" s="159">
        <f t="shared" si="87"/>
        <v>531.49982689321803</v>
      </c>
      <c r="AP189" s="159">
        <f t="shared" si="87"/>
        <v>522.58021296169022</v>
      </c>
      <c r="AQ189" s="159">
        <f t="shared" si="87"/>
        <v>513.66059903016196</v>
      </c>
    </row>
    <row r="190" spans="1:91" ht="14.25" customHeight="1" x14ac:dyDescent="0.15">
      <c r="G190" s="22"/>
      <c r="H190" s="254"/>
      <c r="J190" s="241"/>
      <c r="K190" s="19" t="s">
        <v>234</v>
      </c>
      <c r="L190" s="129" t="s">
        <v>218</v>
      </c>
      <c r="M190" s="160">
        <f t="shared" ref="M190:AQ190" si="88">M187</f>
        <v>1741.1559999999999</v>
      </c>
      <c r="N190" s="160">
        <f t="shared" si="88"/>
        <v>1560</v>
      </c>
      <c r="O190" s="160">
        <f t="shared" si="88"/>
        <v>1486.8297553779098</v>
      </c>
      <c r="P190" s="160">
        <f t="shared" si="88"/>
        <v>1413.6595107558196</v>
      </c>
      <c r="Q190" s="160">
        <f t="shared" si="88"/>
        <v>1340.4892661337294</v>
      </c>
      <c r="R190" s="160">
        <f t="shared" si="88"/>
        <v>1267.3190215116392</v>
      </c>
      <c r="S190" s="160">
        <f t="shared" si="88"/>
        <v>1194.148776889549</v>
      </c>
      <c r="T190" s="160">
        <f t="shared" si="88"/>
        <v>1120.9785322674588</v>
      </c>
      <c r="U190" s="160">
        <f t="shared" si="88"/>
        <v>1047.8082876453686</v>
      </c>
      <c r="V190" s="160">
        <f t="shared" si="88"/>
        <v>974.63804302327844</v>
      </c>
      <c r="W190" s="160">
        <f t="shared" si="88"/>
        <v>901.46779840118836</v>
      </c>
      <c r="X190" s="160">
        <f t="shared" si="88"/>
        <v>890.99705236416492</v>
      </c>
      <c r="Y190" s="160">
        <f t="shared" si="88"/>
        <v>880.52630632714147</v>
      </c>
      <c r="Z190" s="160">
        <f t="shared" si="88"/>
        <v>870.05556029011802</v>
      </c>
      <c r="AA190" s="160">
        <f t="shared" si="88"/>
        <v>859.58481425309458</v>
      </c>
      <c r="AB190" s="160">
        <f t="shared" si="88"/>
        <v>849.11406821607113</v>
      </c>
      <c r="AC190" s="160">
        <f t="shared" si="88"/>
        <v>838.64332217904769</v>
      </c>
      <c r="AD190" s="160">
        <f t="shared" si="88"/>
        <v>828.17257614202424</v>
      </c>
      <c r="AE190" s="160">
        <f t="shared" si="88"/>
        <v>817.70183010500079</v>
      </c>
      <c r="AF190" s="160">
        <f t="shared" si="88"/>
        <v>807.23108406797735</v>
      </c>
      <c r="AG190" s="160">
        <f t="shared" si="88"/>
        <v>796.7603380309539</v>
      </c>
      <c r="AH190" s="160">
        <f t="shared" si="88"/>
        <v>786.28959199393046</v>
      </c>
      <c r="AI190" s="160">
        <f t="shared" si="88"/>
        <v>775.81884595690701</v>
      </c>
      <c r="AJ190" s="160">
        <f t="shared" si="88"/>
        <v>765.34809991988357</v>
      </c>
      <c r="AK190" s="160">
        <f t="shared" si="88"/>
        <v>754.87735388286012</v>
      </c>
      <c r="AL190" s="160">
        <f t="shared" si="88"/>
        <v>744.40660784583667</v>
      </c>
      <c r="AM190" s="160">
        <f t="shared" si="88"/>
        <v>733.93586180881323</v>
      </c>
      <c r="AN190" s="160">
        <f t="shared" si="88"/>
        <v>723.46511577178978</v>
      </c>
      <c r="AO190" s="160">
        <f t="shared" si="88"/>
        <v>712.99436973476634</v>
      </c>
      <c r="AP190" s="160">
        <f t="shared" si="88"/>
        <v>702.52362369774289</v>
      </c>
      <c r="AQ190" s="160">
        <f t="shared" si="88"/>
        <v>692.05287766071854</v>
      </c>
    </row>
    <row r="191" spans="1:91" ht="14.25" customHeight="1" thickBot="1" x14ac:dyDescent="0.2">
      <c r="G191" s="22"/>
      <c r="H191" s="254"/>
      <c r="J191" s="241"/>
      <c r="K191" s="144" t="s">
        <v>234</v>
      </c>
      <c r="L191" s="144" t="s">
        <v>214</v>
      </c>
      <c r="M191" s="161">
        <f t="shared" ref="M191:AQ191" si="89">M188</f>
        <v>1741.1559999999999</v>
      </c>
      <c r="N191" s="161">
        <f t="shared" si="89"/>
        <v>1560</v>
      </c>
      <c r="O191" s="161">
        <f t="shared" si="89"/>
        <v>1548.1003032033746</v>
      </c>
      <c r="P191" s="161">
        <f t="shared" si="89"/>
        <v>1536.2006064067491</v>
      </c>
      <c r="Q191" s="161">
        <f t="shared" si="89"/>
        <v>1524.3009096101237</v>
      </c>
      <c r="R191" s="161">
        <f t="shared" si="89"/>
        <v>1512.4012128134982</v>
      </c>
      <c r="S191" s="161">
        <f t="shared" si="89"/>
        <v>1500.5015160168728</v>
      </c>
      <c r="T191" s="161">
        <f t="shared" si="89"/>
        <v>1488.6018192202473</v>
      </c>
      <c r="U191" s="161">
        <f t="shared" si="89"/>
        <v>1476.7021224236219</v>
      </c>
      <c r="V191" s="161">
        <f t="shared" si="89"/>
        <v>1464.8024256269964</v>
      </c>
      <c r="W191" s="161">
        <f t="shared" si="89"/>
        <v>1452.9027288303716</v>
      </c>
      <c r="X191" s="161">
        <f t="shared" si="89"/>
        <v>1425.3309823089126</v>
      </c>
      <c r="Y191" s="161">
        <f t="shared" si="89"/>
        <v>1397.7592357874535</v>
      </c>
      <c r="Z191" s="161">
        <f t="shared" si="89"/>
        <v>1370.1874892659944</v>
      </c>
      <c r="AA191" s="161">
        <f t="shared" si="89"/>
        <v>1342.6157427445353</v>
      </c>
      <c r="AB191" s="161">
        <f t="shared" si="89"/>
        <v>1315.0439962230762</v>
      </c>
      <c r="AC191" s="161">
        <f t="shared" si="89"/>
        <v>1287.4722497016171</v>
      </c>
      <c r="AD191" s="161">
        <f t="shared" si="89"/>
        <v>1259.900503180158</v>
      </c>
      <c r="AE191" s="161">
        <f t="shared" si="89"/>
        <v>1232.3287566586989</v>
      </c>
      <c r="AF191" s="161">
        <f t="shared" si="89"/>
        <v>1204.7570101372398</v>
      </c>
      <c r="AG191" s="161">
        <f t="shared" si="89"/>
        <v>1177.1852636157807</v>
      </c>
      <c r="AH191" s="161">
        <f t="shared" si="89"/>
        <v>1149.6135170943217</v>
      </c>
      <c r="AI191" s="161">
        <f t="shared" si="89"/>
        <v>1122.0417705728626</v>
      </c>
      <c r="AJ191" s="161">
        <f t="shared" si="89"/>
        <v>1094.4700240514035</v>
      </c>
      <c r="AK191" s="161">
        <f t="shared" si="89"/>
        <v>1066.8982775299444</v>
      </c>
      <c r="AL191" s="161">
        <f t="shared" si="89"/>
        <v>1039.3265310084853</v>
      </c>
      <c r="AM191" s="161">
        <f t="shared" si="89"/>
        <v>1011.7547844870261</v>
      </c>
      <c r="AN191" s="161">
        <f t="shared" si="89"/>
        <v>984.18303796556688</v>
      </c>
      <c r="AO191" s="161">
        <f t="shared" si="89"/>
        <v>956.61129144410768</v>
      </c>
      <c r="AP191" s="161">
        <f t="shared" si="89"/>
        <v>929.03954492264847</v>
      </c>
      <c r="AQ191" s="161">
        <f t="shared" si="89"/>
        <v>901.46779840118836</v>
      </c>
    </row>
    <row r="192" spans="1:91" ht="14.25" customHeight="1" thickTop="1" x14ac:dyDescent="0.15">
      <c r="G192" s="22"/>
      <c r="H192" s="254"/>
      <c r="J192" s="241"/>
      <c r="K192" s="140" t="s">
        <v>233</v>
      </c>
      <c r="L192" s="140" t="s">
        <v>219</v>
      </c>
      <c r="M192" s="159">
        <f t="shared" ref="M192:AQ192" si="90">M189</f>
        <v>1741.1559999999999</v>
      </c>
      <c r="N192" s="159">
        <f t="shared" si="90"/>
        <v>1560</v>
      </c>
      <c r="O192" s="159">
        <f t="shared" si="90"/>
        <v>1463.5614308511908</v>
      </c>
      <c r="P192" s="159">
        <f t="shared" si="90"/>
        <v>1367.1228617023817</v>
      </c>
      <c r="Q192" s="159">
        <f t="shared" si="90"/>
        <v>1270.6842925535725</v>
      </c>
      <c r="R192" s="159">
        <f t="shared" si="90"/>
        <v>1174.2457234047633</v>
      </c>
      <c r="S192" s="159">
        <f t="shared" si="90"/>
        <v>1077.8071542559542</v>
      </c>
      <c r="T192" s="159">
        <f t="shared" si="90"/>
        <v>981.36858510714512</v>
      </c>
      <c r="U192" s="159">
        <f t="shared" si="90"/>
        <v>884.93001595833607</v>
      </c>
      <c r="V192" s="159">
        <f t="shared" si="90"/>
        <v>788.49144680952702</v>
      </c>
      <c r="W192" s="159">
        <f t="shared" si="90"/>
        <v>692.05287766071854</v>
      </c>
      <c r="X192" s="159">
        <f t="shared" si="90"/>
        <v>683.13326372919073</v>
      </c>
      <c r="Y192" s="159">
        <f t="shared" si="90"/>
        <v>674.21364979766292</v>
      </c>
      <c r="Z192" s="159">
        <f t="shared" si="90"/>
        <v>665.29403586613512</v>
      </c>
      <c r="AA192" s="159">
        <f t="shared" si="90"/>
        <v>656.37442193460731</v>
      </c>
      <c r="AB192" s="159">
        <f t="shared" si="90"/>
        <v>647.45480800307951</v>
      </c>
      <c r="AC192" s="159">
        <f t="shared" si="90"/>
        <v>638.5351940715517</v>
      </c>
      <c r="AD192" s="159">
        <f t="shared" si="90"/>
        <v>629.61558014002389</v>
      </c>
      <c r="AE192" s="159">
        <f t="shared" si="90"/>
        <v>620.69596620849609</v>
      </c>
      <c r="AF192" s="159">
        <f t="shared" si="90"/>
        <v>611.77635227696828</v>
      </c>
      <c r="AG192" s="159">
        <f t="shared" si="90"/>
        <v>602.85673834544048</v>
      </c>
      <c r="AH192" s="159">
        <f t="shared" si="90"/>
        <v>593.93712441391267</v>
      </c>
      <c r="AI192" s="159">
        <f t="shared" si="90"/>
        <v>585.01751048238486</v>
      </c>
      <c r="AJ192" s="159">
        <f t="shared" si="90"/>
        <v>576.09789655085706</v>
      </c>
      <c r="AK192" s="159">
        <f t="shared" si="90"/>
        <v>567.17828261932925</v>
      </c>
      <c r="AL192" s="159">
        <f t="shared" si="90"/>
        <v>558.25866868780145</v>
      </c>
      <c r="AM192" s="159">
        <f t="shared" si="90"/>
        <v>549.33905475627364</v>
      </c>
      <c r="AN192" s="159">
        <f t="shared" si="90"/>
        <v>540.41944082474583</v>
      </c>
      <c r="AO192" s="159">
        <f t="shared" si="90"/>
        <v>531.49982689321803</v>
      </c>
      <c r="AP192" s="159">
        <f t="shared" si="90"/>
        <v>522.58021296169022</v>
      </c>
      <c r="AQ192" s="159">
        <f t="shared" si="90"/>
        <v>513.66059903016196</v>
      </c>
    </row>
    <row r="193" spans="7:91" ht="14.25" customHeight="1" x14ac:dyDescent="0.15">
      <c r="G193" s="22"/>
      <c r="H193" s="254"/>
      <c r="J193" s="241"/>
      <c r="K193" s="19" t="s">
        <v>233</v>
      </c>
      <c r="L193" s="129" t="s">
        <v>218</v>
      </c>
      <c r="M193" s="160">
        <f t="shared" ref="M193:AQ193" si="91">M190</f>
        <v>1741.1559999999999</v>
      </c>
      <c r="N193" s="160">
        <f t="shared" si="91"/>
        <v>1560</v>
      </c>
      <c r="O193" s="160">
        <f t="shared" si="91"/>
        <v>1486.8297553779098</v>
      </c>
      <c r="P193" s="160">
        <f t="shared" si="91"/>
        <v>1413.6595107558196</v>
      </c>
      <c r="Q193" s="160">
        <f t="shared" si="91"/>
        <v>1340.4892661337294</v>
      </c>
      <c r="R193" s="160">
        <f t="shared" si="91"/>
        <v>1267.3190215116392</v>
      </c>
      <c r="S193" s="160">
        <f t="shared" si="91"/>
        <v>1194.148776889549</v>
      </c>
      <c r="T193" s="160">
        <f t="shared" si="91"/>
        <v>1120.9785322674588</v>
      </c>
      <c r="U193" s="160">
        <f t="shared" si="91"/>
        <v>1047.8082876453686</v>
      </c>
      <c r="V193" s="160">
        <f t="shared" si="91"/>
        <v>974.63804302327844</v>
      </c>
      <c r="W193" s="160">
        <f t="shared" si="91"/>
        <v>901.46779840118836</v>
      </c>
      <c r="X193" s="160">
        <f t="shared" si="91"/>
        <v>890.99705236416492</v>
      </c>
      <c r="Y193" s="160">
        <f t="shared" si="91"/>
        <v>880.52630632714147</v>
      </c>
      <c r="Z193" s="160">
        <f t="shared" si="91"/>
        <v>870.05556029011802</v>
      </c>
      <c r="AA193" s="160">
        <f t="shared" si="91"/>
        <v>859.58481425309458</v>
      </c>
      <c r="AB193" s="160">
        <f t="shared" si="91"/>
        <v>849.11406821607113</v>
      </c>
      <c r="AC193" s="160">
        <f t="shared" si="91"/>
        <v>838.64332217904769</v>
      </c>
      <c r="AD193" s="160">
        <f t="shared" si="91"/>
        <v>828.17257614202424</v>
      </c>
      <c r="AE193" s="160">
        <f t="shared" si="91"/>
        <v>817.70183010500079</v>
      </c>
      <c r="AF193" s="160">
        <f t="shared" si="91"/>
        <v>807.23108406797735</v>
      </c>
      <c r="AG193" s="160">
        <f t="shared" si="91"/>
        <v>796.7603380309539</v>
      </c>
      <c r="AH193" s="160">
        <f t="shared" si="91"/>
        <v>786.28959199393046</v>
      </c>
      <c r="AI193" s="160">
        <f t="shared" si="91"/>
        <v>775.81884595690701</v>
      </c>
      <c r="AJ193" s="160">
        <f t="shared" si="91"/>
        <v>765.34809991988357</v>
      </c>
      <c r="AK193" s="160">
        <f t="shared" si="91"/>
        <v>754.87735388286012</v>
      </c>
      <c r="AL193" s="160">
        <f t="shared" si="91"/>
        <v>744.40660784583667</v>
      </c>
      <c r="AM193" s="160">
        <f t="shared" si="91"/>
        <v>733.93586180881323</v>
      </c>
      <c r="AN193" s="160">
        <f t="shared" si="91"/>
        <v>723.46511577178978</v>
      </c>
      <c r="AO193" s="160">
        <f t="shared" si="91"/>
        <v>712.99436973476634</v>
      </c>
      <c r="AP193" s="160">
        <f t="shared" si="91"/>
        <v>702.52362369774289</v>
      </c>
      <c r="AQ193" s="160">
        <f t="shared" si="91"/>
        <v>692.05287766071854</v>
      </c>
    </row>
    <row r="194" spans="7:91" ht="14.25" customHeight="1" thickBot="1" x14ac:dyDescent="0.2">
      <c r="G194" s="22"/>
      <c r="H194" s="254"/>
      <c r="J194" s="241"/>
      <c r="K194" s="144" t="s">
        <v>233</v>
      </c>
      <c r="L194" s="144" t="s">
        <v>214</v>
      </c>
      <c r="M194" s="161">
        <f t="shared" ref="M194:AQ194" si="92">M191</f>
        <v>1741.1559999999999</v>
      </c>
      <c r="N194" s="161">
        <f t="shared" si="92"/>
        <v>1560</v>
      </c>
      <c r="O194" s="161">
        <f t="shared" si="92"/>
        <v>1548.1003032033746</v>
      </c>
      <c r="P194" s="161">
        <f t="shared" si="92"/>
        <v>1536.2006064067491</v>
      </c>
      <c r="Q194" s="161">
        <f t="shared" si="92"/>
        <v>1524.3009096101237</v>
      </c>
      <c r="R194" s="161">
        <f t="shared" si="92"/>
        <v>1512.4012128134982</v>
      </c>
      <c r="S194" s="161">
        <f t="shared" si="92"/>
        <v>1500.5015160168728</v>
      </c>
      <c r="T194" s="161">
        <f t="shared" si="92"/>
        <v>1488.6018192202473</v>
      </c>
      <c r="U194" s="161">
        <f t="shared" si="92"/>
        <v>1476.7021224236219</v>
      </c>
      <c r="V194" s="161">
        <f t="shared" si="92"/>
        <v>1464.8024256269964</v>
      </c>
      <c r="W194" s="161">
        <f t="shared" si="92"/>
        <v>1452.9027288303716</v>
      </c>
      <c r="X194" s="161">
        <f t="shared" si="92"/>
        <v>1425.3309823089126</v>
      </c>
      <c r="Y194" s="161">
        <f t="shared" si="92"/>
        <v>1397.7592357874535</v>
      </c>
      <c r="Z194" s="161">
        <f t="shared" si="92"/>
        <v>1370.1874892659944</v>
      </c>
      <c r="AA194" s="161">
        <f t="shared" si="92"/>
        <v>1342.6157427445353</v>
      </c>
      <c r="AB194" s="161">
        <f t="shared" si="92"/>
        <v>1315.0439962230762</v>
      </c>
      <c r="AC194" s="161">
        <f t="shared" si="92"/>
        <v>1287.4722497016171</v>
      </c>
      <c r="AD194" s="161">
        <f t="shared" si="92"/>
        <v>1259.900503180158</v>
      </c>
      <c r="AE194" s="161">
        <f t="shared" si="92"/>
        <v>1232.3287566586989</v>
      </c>
      <c r="AF194" s="161">
        <f t="shared" si="92"/>
        <v>1204.7570101372398</v>
      </c>
      <c r="AG194" s="161">
        <f t="shared" si="92"/>
        <v>1177.1852636157807</v>
      </c>
      <c r="AH194" s="161">
        <f t="shared" si="92"/>
        <v>1149.6135170943217</v>
      </c>
      <c r="AI194" s="161">
        <f t="shared" si="92"/>
        <v>1122.0417705728626</v>
      </c>
      <c r="AJ194" s="161">
        <f t="shared" si="92"/>
        <v>1094.4700240514035</v>
      </c>
      <c r="AK194" s="161">
        <f t="shared" si="92"/>
        <v>1066.8982775299444</v>
      </c>
      <c r="AL194" s="161">
        <f t="shared" si="92"/>
        <v>1039.3265310084853</v>
      </c>
      <c r="AM194" s="161">
        <f t="shared" si="92"/>
        <v>1011.7547844870261</v>
      </c>
      <c r="AN194" s="161">
        <f t="shared" si="92"/>
        <v>984.18303796556688</v>
      </c>
      <c r="AO194" s="161">
        <f t="shared" si="92"/>
        <v>956.61129144410768</v>
      </c>
      <c r="AP194" s="161">
        <f t="shared" si="92"/>
        <v>929.03954492264847</v>
      </c>
      <c r="AQ194" s="161">
        <f t="shared" si="92"/>
        <v>901.46779840118836</v>
      </c>
    </row>
    <row r="195" spans="7:91" ht="14.25" customHeight="1" thickTop="1" x14ac:dyDescent="0.15">
      <c r="G195" s="22"/>
      <c r="H195" s="254"/>
      <c r="J195" s="241"/>
      <c r="K195" s="140" t="s">
        <v>232</v>
      </c>
      <c r="L195" s="140" t="s">
        <v>219</v>
      </c>
      <c r="M195" s="157">
        <f t="shared" ref="M195:AQ195" si="93">M192</f>
        <v>1741.1559999999999</v>
      </c>
      <c r="N195" s="157">
        <f t="shared" si="93"/>
        <v>1560</v>
      </c>
      <c r="O195" s="157">
        <f t="shared" si="93"/>
        <v>1463.5614308511908</v>
      </c>
      <c r="P195" s="157">
        <f t="shared" si="93"/>
        <v>1367.1228617023817</v>
      </c>
      <c r="Q195" s="157">
        <f t="shared" si="93"/>
        <v>1270.6842925535725</v>
      </c>
      <c r="R195" s="157">
        <f t="shared" si="93"/>
        <v>1174.2457234047633</v>
      </c>
      <c r="S195" s="157">
        <f t="shared" si="93"/>
        <v>1077.8071542559542</v>
      </c>
      <c r="T195" s="157">
        <f t="shared" si="93"/>
        <v>981.36858510714512</v>
      </c>
      <c r="U195" s="157">
        <f t="shared" si="93"/>
        <v>884.93001595833607</v>
      </c>
      <c r="V195" s="157">
        <f t="shared" si="93"/>
        <v>788.49144680952702</v>
      </c>
      <c r="W195" s="157">
        <f t="shared" si="93"/>
        <v>692.05287766071854</v>
      </c>
      <c r="X195" s="157">
        <f t="shared" si="93"/>
        <v>683.13326372919073</v>
      </c>
      <c r="Y195" s="157">
        <f t="shared" si="93"/>
        <v>674.21364979766292</v>
      </c>
      <c r="Z195" s="157">
        <f t="shared" si="93"/>
        <v>665.29403586613512</v>
      </c>
      <c r="AA195" s="157">
        <f t="shared" si="93"/>
        <v>656.37442193460731</v>
      </c>
      <c r="AB195" s="157">
        <f t="shared" si="93"/>
        <v>647.45480800307951</v>
      </c>
      <c r="AC195" s="157">
        <f t="shared" si="93"/>
        <v>638.5351940715517</v>
      </c>
      <c r="AD195" s="157">
        <f t="shared" si="93"/>
        <v>629.61558014002389</v>
      </c>
      <c r="AE195" s="157">
        <f t="shared" si="93"/>
        <v>620.69596620849609</v>
      </c>
      <c r="AF195" s="157">
        <f t="shared" si="93"/>
        <v>611.77635227696828</v>
      </c>
      <c r="AG195" s="157">
        <f t="shared" si="93"/>
        <v>602.85673834544048</v>
      </c>
      <c r="AH195" s="157">
        <f t="shared" si="93"/>
        <v>593.93712441391267</v>
      </c>
      <c r="AI195" s="157">
        <f t="shared" si="93"/>
        <v>585.01751048238486</v>
      </c>
      <c r="AJ195" s="157">
        <f t="shared" si="93"/>
        <v>576.09789655085706</v>
      </c>
      <c r="AK195" s="157">
        <f t="shared" si="93"/>
        <v>567.17828261932925</v>
      </c>
      <c r="AL195" s="157">
        <f t="shared" si="93"/>
        <v>558.25866868780145</v>
      </c>
      <c r="AM195" s="157">
        <f t="shared" si="93"/>
        <v>549.33905475627364</v>
      </c>
      <c r="AN195" s="157">
        <f t="shared" si="93"/>
        <v>540.41944082474583</v>
      </c>
      <c r="AO195" s="157">
        <f t="shared" si="93"/>
        <v>531.49982689321803</v>
      </c>
      <c r="AP195" s="157">
        <f t="shared" si="93"/>
        <v>522.58021296169022</v>
      </c>
      <c r="AQ195" s="157">
        <f t="shared" si="93"/>
        <v>513.66059903016196</v>
      </c>
    </row>
    <row r="196" spans="7:91" ht="14.25" customHeight="1" x14ac:dyDescent="0.15">
      <c r="G196" s="22"/>
      <c r="H196" s="254"/>
      <c r="J196" s="241"/>
      <c r="K196" s="19" t="s">
        <v>232</v>
      </c>
      <c r="L196" s="129" t="s">
        <v>218</v>
      </c>
      <c r="M196" s="157">
        <f t="shared" ref="M196:AQ196" si="94">M193</f>
        <v>1741.1559999999999</v>
      </c>
      <c r="N196" s="157">
        <f t="shared" si="94"/>
        <v>1560</v>
      </c>
      <c r="O196" s="157">
        <f t="shared" si="94"/>
        <v>1486.8297553779098</v>
      </c>
      <c r="P196" s="157">
        <f t="shared" si="94"/>
        <v>1413.6595107558196</v>
      </c>
      <c r="Q196" s="157">
        <f t="shared" si="94"/>
        <v>1340.4892661337294</v>
      </c>
      <c r="R196" s="157">
        <f t="shared" si="94"/>
        <v>1267.3190215116392</v>
      </c>
      <c r="S196" s="157">
        <f t="shared" si="94"/>
        <v>1194.148776889549</v>
      </c>
      <c r="T196" s="157">
        <f t="shared" si="94"/>
        <v>1120.9785322674588</v>
      </c>
      <c r="U196" s="157">
        <f t="shared" si="94"/>
        <v>1047.8082876453686</v>
      </c>
      <c r="V196" s="157">
        <f t="shared" si="94"/>
        <v>974.63804302327844</v>
      </c>
      <c r="W196" s="157">
        <f t="shared" si="94"/>
        <v>901.46779840118836</v>
      </c>
      <c r="X196" s="157">
        <f t="shared" si="94"/>
        <v>890.99705236416492</v>
      </c>
      <c r="Y196" s="157">
        <f t="shared" si="94"/>
        <v>880.52630632714147</v>
      </c>
      <c r="Z196" s="157">
        <f t="shared" si="94"/>
        <v>870.05556029011802</v>
      </c>
      <c r="AA196" s="157">
        <f t="shared" si="94"/>
        <v>859.58481425309458</v>
      </c>
      <c r="AB196" s="157">
        <f t="shared" si="94"/>
        <v>849.11406821607113</v>
      </c>
      <c r="AC196" s="157">
        <f t="shared" si="94"/>
        <v>838.64332217904769</v>
      </c>
      <c r="AD196" s="157">
        <f t="shared" si="94"/>
        <v>828.17257614202424</v>
      </c>
      <c r="AE196" s="157">
        <f t="shared" si="94"/>
        <v>817.70183010500079</v>
      </c>
      <c r="AF196" s="157">
        <f t="shared" si="94"/>
        <v>807.23108406797735</v>
      </c>
      <c r="AG196" s="157">
        <f t="shared" si="94"/>
        <v>796.7603380309539</v>
      </c>
      <c r="AH196" s="157">
        <f t="shared" si="94"/>
        <v>786.28959199393046</v>
      </c>
      <c r="AI196" s="157">
        <f t="shared" si="94"/>
        <v>775.81884595690701</v>
      </c>
      <c r="AJ196" s="157">
        <f t="shared" si="94"/>
        <v>765.34809991988357</v>
      </c>
      <c r="AK196" s="157">
        <f t="shared" si="94"/>
        <v>754.87735388286012</v>
      </c>
      <c r="AL196" s="157">
        <f t="shared" si="94"/>
        <v>744.40660784583667</v>
      </c>
      <c r="AM196" s="157">
        <f t="shared" si="94"/>
        <v>733.93586180881323</v>
      </c>
      <c r="AN196" s="157">
        <f t="shared" si="94"/>
        <v>723.46511577178978</v>
      </c>
      <c r="AO196" s="157">
        <f t="shared" si="94"/>
        <v>712.99436973476634</v>
      </c>
      <c r="AP196" s="157">
        <f t="shared" si="94"/>
        <v>702.52362369774289</v>
      </c>
      <c r="AQ196" s="157">
        <f t="shared" si="94"/>
        <v>692.05287766071854</v>
      </c>
    </row>
    <row r="197" spans="7:91" ht="14.25" customHeight="1" thickBot="1" x14ac:dyDescent="0.2">
      <c r="G197" s="22"/>
      <c r="H197" s="254"/>
      <c r="J197" s="241"/>
      <c r="K197" s="144" t="s">
        <v>232</v>
      </c>
      <c r="L197" s="144" t="s">
        <v>214</v>
      </c>
      <c r="M197" s="157">
        <f t="shared" ref="M197:AQ197" si="95">M194</f>
        <v>1741.1559999999999</v>
      </c>
      <c r="N197" s="157">
        <f t="shared" si="95"/>
        <v>1560</v>
      </c>
      <c r="O197" s="157">
        <f t="shared" si="95"/>
        <v>1548.1003032033746</v>
      </c>
      <c r="P197" s="157">
        <f t="shared" si="95"/>
        <v>1536.2006064067491</v>
      </c>
      <c r="Q197" s="157">
        <f t="shared" si="95"/>
        <v>1524.3009096101237</v>
      </c>
      <c r="R197" s="157">
        <f t="shared" si="95"/>
        <v>1512.4012128134982</v>
      </c>
      <c r="S197" s="157">
        <f t="shared" si="95"/>
        <v>1500.5015160168728</v>
      </c>
      <c r="T197" s="157">
        <f t="shared" si="95"/>
        <v>1488.6018192202473</v>
      </c>
      <c r="U197" s="157">
        <f t="shared" si="95"/>
        <v>1476.7021224236219</v>
      </c>
      <c r="V197" s="157">
        <f t="shared" si="95"/>
        <v>1464.8024256269964</v>
      </c>
      <c r="W197" s="157">
        <f t="shared" si="95"/>
        <v>1452.9027288303716</v>
      </c>
      <c r="X197" s="157">
        <f t="shared" si="95"/>
        <v>1425.3309823089126</v>
      </c>
      <c r="Y197" s="157">
        <f t="shared" si="95"/>
        <v>1397.7592357874535</v>
      </c>
      <c r="Z197" s="157">
        <f t="shared" si="95"/>
        <v>1370.1874892659944</v>
      </c>
      <c r="AA197" s="157">
        <f t="shared" si="95"/>
        <v>1342.6157427445353</v>
      </c>
      <c r="AB197" s="157">
        <f t="shared" si="95"/>
        <v>1315.0439962230762</v>
      </c>
      <c r="AC197" s="157">
        <f t="shared" si="95"/>
        <v>1287.4722497016171</v>
      </c>
      <c r="AD197" s="157">
        <f t="shared" si="95"/>
        <v>1259.900503180158</v>
      </c>
      <c r="AE197" s="157">
        <f t="shared" si="95"/>
        <v>1232.3287566586989</v>
      </c>
      <c r="AF197" s="157">
        <f t="shared" si="95"/>
        <v>1204.7570101372398</v>
      </c>
      <c r="AG197" s="157">
        <f t="shared" si="95"/>
        <v>1177.1852636157807</v>
      </c>
      <c r="AH197" s="157">
        <f t="shared" si="95"/>
        <v>1149.6135170943217</v>
      </c>
      <c r="AI197" s="157">
        <f t="shared" si="95"/>
        <v>1122.0417705728626</v>
      </c>
      <c r="AJ197" s="157">
        <f t="shared" si="95"/>
        <v>1094.4700240514035</v>
      </c>
      <c r="AK197" s="157">
        <f t="shared" si="95"/>
        <v>1066.8982775299444</v>
      </c>
      <c r="AL197" s="157">
        <f t="shared" si="95"/>
        <v>1039.3265310084853</v>
      </c>
      <c r="AM197" s="157">
        <f t="shared" si="95"/>
        <v>1011.7547844870261</v>
      </c>
      <c r="AN197" s="157">
        <f t="shared" si="95"/>
        <v>984.18303796556688</v>
      </c>
      <c r="AO197" s="157">
        <f t="shared" si="95"/>
        <v>956.61129144410768</v>
      </c>
      <c r="AP197" s="157">
        <f t="shared" si="95"/>
        <v>929.03954492264847</v>
      </c>
      <c r="AQ197" s="157">
        <f t="shared" si="95"/>
        <v>901.46779840118836</v>
      </c>
      <c r="BZ197" s="153"/>
      <c r="CA197" s="153"/>
      <c r="CB197" s="153"/>
      <c r="CC197" s="153"/>
      <c r="CD197" s="153"/>
      <c r="CE197" s="153"/>
      <c r="CF197" s="153"/>
      <c r="CG197" s="153"/>
      <c r="CH197" s="153"/>
      <c r="CI197" s="153"/>
      <c r="CJ197" s="153"/>
      <c r="CK197" s="153"/>
      <c r="CL197" s="153"/>
      <c r="CM197" s="153"/>
    </row>
    <row r="198" spans="7:91" ht="14.25" customHeight="1" thickTop="1" x14ac:dyDescent="0.15">
      <c r="G198" s="22"/>
      <c r="H198" s="254"/>
      <c r="J198" s="241"/>
      <c r="K198" s="140" t="s">
        <v>231</v>
      </c>
      <c r="L198" s="140" t="s">
        <v>219</v>
      </c>
      <c r="M198" s="159">
        <f t="shared" ref="M198:AQ198" si="96">M195</f>
        <v>1741.1559999999999</v>
      </c>
      <c r="N198" s="159">
        <f t="shared" si="96"/>
        <v>1560</v>
      </c>
      <c r="O198" s="159">
        <f t="shared" si="96"/>
        <v>1463.5614308511908</v>
      </c>
      <c r="P198" s="159">
        <f t="shared" si="96"/>
        <v>1367.1228617023817</v>
      </c>
      <c r="Q198" s="159">
        <f t="shared" si="96"/>
        <v>1270.6842925535725</v>
      </c>
      <c r="R198" s="159">
        <f t="shared" si="96"/>
        <v>1174.2457234047633</v>
      </c>
      <c r="S198" s="159">
        <f t="shared" si="96"/>
        <v>1077.8071542559542</v>
      </c>
      <c r="T198" s="159">
        <f t="shared" si="96"/>
        <v>981.36858510714512</v>
      </c>
      <c r="U198" s="159">
        <f t="shared" si="96"/>
        <v>884.93001595833607</v>
      </c>
      <c r="V198" s="159">
        <f t="shared" si="96"/>
        <v>788.49144680952702</v>
      </c>
      <c r="W198" s="159">
        <f t="shared" si="96"/>
        <v>692.05287766071854</v>
      </c>
      <c r="X198" s="159">
        <f t="shared" si="96"/>
        <v>683.13326372919073</v>
      </c>
      <c r="Y198" s="159">
        <f t="shared" si="96"/>
        <v>674.21364979766292</v>
      </c>
      <c r="Z198" s="159">
        <f t="shared" si="96"/>
        <v>665.29403586613512</v>
      </c>
      <c r="AA198" s="159">
        <f t="shared" si="96"/>
        <v>656.37442193460731</v>
      </c>
      <c r="AB198" s="159">
        <f t="shared" si="96"/>
        <v>647.45480800307951</v>
      </c>
      <c r="AC198" s="159">
        <f t="shared" si="96"/>
        <v>638.5351940715517</v>
      </c>
      <c r="AD198" s="159">
        <f t="shared" si="96"/>
        <v>629.61558014002389</v>
      </c>
      <c r="AE198" s="159">
        <f t="shared" si="96"/>
        <v>620.69596620849609</v>
      </c>
      <c r="AF198" s="159">
        <f t="shared" si="96"/>
        <v>611.77635227696828</v>
      </c>
      <c r="AG198" s="159">
        <f t="shared" si="96"/>
        <v>602.85673834544048</v>
      </c>
      <c r="AH198" s="159">
        <f t="shared" si="96"/>
        <v>593.93712441391267</v>
      </c>
      <c r="AI198" s="159">
        <f t="shared" si="96"/>
        <v>585.01751048238486</v>
      </c>
      <c r="AJ198" s="159">
        <f t="shared" si="96"/>
        <v>576.09789655085706</v>
      </c>
      <c r="AK198" s="159">
        <f t="shared" si="96"/>
        <v>567.17828261932925</v>
      </c>
      <c r="AL198" s="159">
        <f t="shared" si="96"/>
        <v>558.25866868780145</v>
      </c>
      <c r="AM198" s="159">
        <f t="shared" si="96"/>
        <v>549.33905475627364</v>
      </c>
      <c r="AN198" s="159">
        <f t="shared" si="96"/>
        <v>540.41944082474583</v>
      </c>
      <c r="AO198" s="159">
        <f t="shared" si="96"/>
        <v>531.49982689321803</v>
      </c>
      <c r="AP198" s="159">
        <f t="shared" si="96"/>
        <v>522.58021296169022</v>
      </c>
      <c r="AQ198" s="159">
        <f t="shared" si="96"/>
        <v>513.66059903016196</v>
      </c>
      <c r="BZ198" s="155"/>
      <c r="CA198" s="155"/>
      <c r="CB198" s="155"/>
      <c r="CC198" s="155"/>
      <c r="CD198" s="155"/>
      <c r="CE198" s="155"/>
      <c r="CF198" s="155"/>
      <c r="CG198" s="155"/>
      <c r="CH198" s="155"/>
      <c r="CI198" s="155"/>
      <c r="CJ198" s="155"/>
      <c r="CK198" s="155"/>
      <c r="CL198" s="155"/>
      <c r="CM198" s="155"/>
    </row>
    <row r="199" spans="7:91" ht="14.25" customHeight="1" x14ac:dyDescent="0.15">
      <c r="G199" s="22"/>
      <c r="H199" s="254"/>
      <c r="J199" s="241"/>
      <c r="K199" s="19" t="s">
        <v>231</v>
      </c>
      <c r="L199" s="129" t="s">
        <v>218</v>
      </c>
      <c r="M199" s="160">
        <f t="shared" ref="M199:AQ199" si="97">M196</f>
        <v>1741.1559999999999</v>
      </c>
      <c r="N199" s="160">
        <f t="shared" si="97"/>
        <v>1560</v>
      </c>
      <c r="O199" s="160">
        <f t="shared" si="97"/>
        <v>1486.8297553779098</v>
      </c>
      <c r="P199" s="160">
        <f t="shared" si="97"/>
        <v>1413.6595107558196</v>
      </c>
      <c r="Q199" s="160">
        <f t="shared" si="97"/>
        <v>1340.4892661337294</v>
      </c>
      <c r="R199" s="160">
        <f t="shared" si="97"/>
        <v>1267.3190215116392</v>
      </c>
      <c r="S199" s="160">
        <f t="shared" si="97"/>
        <v>1194.148776889549</v>
      </c>
      <c r="T199" s="160">
        <f t="shared" si="97"/>
        <v>1120.9785322674588</v>
      </c>
      <c r="U199" s="160">
        <f t="shared" si="97"/>
        <v>1047.8082876453686</v>
      </c>
      <c r="V199" s="160">
        <f t="shared" si="97"/>
        <v>974.63804302327844</v>
      </c>
      <c r="W199" s="160">
        <f t="shared" si="97"/>
        <v>901.46779840118836</v>
      </c>
      <c r="X199" s="160">
        <f t="shared" si="97"/>
        <v>890.99705236416492</v>
      </c>
      <c r="Y199" s="160">
        <f t="shared" si="97"/>
        <v>880.52630632714147</v>
      </c>
      <c r="Z199" s="160">
        <f t="shared" si="97"/>
        <v>870.05556029011802</v>
      </c>
      <c r="AA199" s="160">
        <f t="shared" si="97"/>
        <v>859.58481425309458</v>
      </c>
      <c r="AB199" s="160">
        <f t="shared" si="97"/>
        <v>849.11406821607113</v>
      </c>
      <c r="AC199" s="160">
        <f t="shared" si="97"/>
        <v>838.64332217904769</v>
      </c>
      <c r="AD199" s="160">
        <f t="shared" si="97"/>
        <v>828.17257614202424</v>
      </c>
      <c r="AE199" s="160">
        <f t="shared" si="97"/>
        <v>817.70183010500079</v>
      </c>
      <c r="AF199" s="160">
        <f t="shared" si="97"/>
        <v>807.23108406797735</v>
      </c>
      <c r="AG199" s="160">
        <f t="shared" si="97"/>
        <v>796.7603380309539</v>
      </c>
      <c r="AH199" s="160">
        <f t="shared" si="97"/>
        <v>786.28959199393046</v>
      </c>
      <c r="AI199" s="160">
        <f t="shared" si="97"/>
        <v>775.81884595690701</v>
      </c>
      <c r="AJ199" s="160">
        <f t="shared" si="97"/>
        <v>765.34809991988357</v>
      </c>
      <c r="AK199" s="160">
        <f t="shared" si="97"/>
        <v>754.87735388286012</v>
      </c>
      <c r="AL199" s="160">
        <f t="shared" si="97"/>
        <v>744.40660784583667</v>
      </c>
      <c r="AM199" s="160">
        <f t="shared" si="97"/>
        <v>733.93586180881323</v>
      </c>
      <c r="AN199" s="160">
        <f t="shared" si="97"/>
        <v>723.46511577178978</v>
      </c>
      <c r="AO199" s="160">
        <f t="shared" si="97"/>
        <v>712.99436973476634</v>
      </c>
      <c r="AP199" s="160">
        <f t="shared" si="97"/>
        <v>702.52362369774289</v>
      </c>
      <c r="AQ199" s="160">
        <f t="shared" si="97"/>
        <v>692.05287766071854</v>
      </c>
    </row>
    <row r="200" spans="7:91" ht="14.25" customHeight="1" thickBot="1" x14ac:dyDescent="0.2">
      <c r="G200" s="22"/>
      <c r="H200" s="254"/>
      <c r="J200" s="241"/>
      <c r="K200" s="144" t="s">
        <v>231</v>
      </c>
      <c r="L200" s="144" t="s">
        <v>214</v>
      </c>
      <c r="M200" s="161">
        <f t="shared" ref="M200:AQ200" si="98">M197</f>
        <v>1741.1559999999999</v>
      </c>
      <c r="N200" s="161">
        <f t="shared" si="98"/>
        <v>1560</v>
      </c>
      <c r="O200" s="161">
        <f t="shared" si="98"/>
        <v>1548.1003032033746</v>
      </c>
      <c r="P200" s="161">
        <f t="shared" si="98"/>
        <v>1536.2006064067491</v>
      </c>
      <c r="Q200" s="161">
        <f t="shared" si="98"/>
        <v>1524.3009096101237</v>
      </c>
      <c r="R200" s="161">
        <f t="shared" si="98"/>
        <v>1512.4012128134982</v>
      </c>
      <c r="S200" s="161">
        <f t="shared" si="98"/>
        <v>1500.5015160168728</v>
      </c>
      <c r="T200" s="161">
        <f t="shared" si="98"/>
        <v>1488.6018192202473</v>
      </c>
      <c r="U200" s="161">
        <f t="shared" si="98"/>
        <v>1476.7021224236219</v>
      </c>
      <c r="V200" s="161">
        <f t="shared" si="98"/>
        <v>1464.8024256269964</v>
      </c>
      <c r="W200" s="161">
        <f t="shared" si="98"/>
        <v>1452.9027288303716</v>
      </c>
      <c r="X200" s="161">
        <f t="shared" si="98"/>
        <v>1425.3309823089126</v>
      </c>
      <c r="Y200" s="161">
        <f t="shared" si="98"/>
        <v>1397.7592357874535</v>
      </c>
      <c r="Z200" s="161">
        <f t="shared" si="98"/>
        <v>1370.1874892659944</v>
      </c>
      <c r="AA200" s="161">
        <f t="shared" si="98"/>
        <v>1342.6157427445353</v>
      </c>
      <c r="AB200" s="161">
        <f t="shared" si="98"/>
        <v>1315.0439962230762</v>
      </c>
      <c r="AC200" s="161">
        <f t="shared" si="98"/>
        <v>1287.4722497016171</v>
      </c>
      <c r="AD200" s="161">
        <f t="shared" si="98"/>
        <v>1259.900503180158</v>
      </c>
      <c r="AE200" s="161">
        <f t="shared" si="98"/>
        <v>1232.3287566586989</v>
      </c>
      <c r="AF200" s="161">
        <f t="shared" si="98"/>
        <v>1204.7570101372398</v>
      </c>
      <c r="AG200" s="161">
        <f t="shared" si="98"/>
        <v>1177.1852636157807</v>
      </c>
      <c r="AH200" s="161">
        <f t="shared" si="98"/>
        <v>1149.6135170943217</v>
      </c>
      <c r="AI200" s="161">
        <f t="shared" si="98"/>
        <v>1122.0417705728626</v>
      </c>
      <c r="AJ200" s="161">
        <f t="shared" si="98"/>
        <v>1094.4700240514035</v>
      </c>
      <c r="AK200" s="161">
        <f t="shared" si="98"/>
        <v>1066.8982775299444</v>
      </c>
      <c r="AL200" s="161">
        <f t="shared" si="98"/>
        <v>1039.3265310084853</v>
      </c>
      <c r="AM200" s="161">
        <f t="shared" si="98"/>
        <v>1011.7547844870261</v>
      </c>
      <c r="AN200" s="161">
        <f t="shared" si="98"/>
        <v>984.18303796556688</v>
      </c>
      <c r="AO200" s="161">
        <f t="shared" si="98"/>
        <v>956.61129144410768</v>
      </c>
      <c r="AP200" s="161">
        <f t="shared" si="98"/>
        <v>929.03954492264847</v>
      </c>
      <c r="AQ200" s="161">
        <f t="shared" si="98"/>
        <v>901.46779840118836</v>
      </c>
    </row>
    <row r="201" spans="7:91" ht="14.25" customHeight="1" thickTop="1" x14ac:dyDescent="0.15">
      <c r="G201" s="22"/>
      <c r="H201" s="254"/>
      <c r="J201" s="241"/>
      <c r="K201" s="140" t="s">
        <v>230</v>
      </c>
      <c r="L201" s="140" t="s">
        <v>219</v>
      </c>
      <c r="M201" s="159">
        <f t="shared" ref="M201:AQ201" si="99">M198</f>
        <v>1741.1559999999999</v>
      </c>
      <c r="N201" s="159">
        <f t="shared" si="99"/>
        <v>1560</v>
      </c>
      <c r="O201" s="159">
        <f t="shared" si="99"/>
        <v>1463.5614308511908</v>
      </c>
      <c r="P201" s="159">
        <f t="shared" si="99"/>
        <v>1367.1228617023817</v>
      </c>
      <c r="Q201" s="159">
        <f t="shared" si="99"/>
        <v>1270.6842925535725</v>
      </c>
      <c r="R201" s="159">
        <f t="shared" si="99"/>
        <v>1174.2457234047633</v>
      </c>
      <c r="S201" s="159">
        <f t="shared" si="99"/>
        <v>1077.8071542559542</v>
      </c>
      <c r="T201" s="159">
        <f t="shared" si="99"/>
        <v>981.36858510714512</v>
      </c>
      <c r="U201" s="159">
        <f t="shared" si="99"/>
        <v>884.93001595833607</v>
      </c>
      <c r="V201" s="159">
        <f t="shared" si="99"/>
        <v>788.49144680952702</v>
      </c>
      <c r="W201" s="159">
        <f t="shared" si="99"/>
        <v>692.05287766071854</v>
      </c>
      <c r="X201" s="159">
        <f t="shared" si="99"/>
        <v>683.13326372919073</v>
      </c>
      <c r="Y201" s="159">
        <f t="shared" si="99"/>
        <v>674.21364979766292</v>
      </c>
      <c r="Z201" s="159">
        <f t="shared" si="99"/>
        <v>665.29403586613512</v>
      </c>
      <c r="AA201" s="159">
        <f t="shared" si="99"/>
        <v>656.37442193460731</v>
      </c>
      <c r="AB201" s="159">
        <f t="shared" si="99"/>
        <v>647.45480800307951</v>
      </c>
      <c r="AC201" s="159">
        <f t="shared" si="99"/>
        <v>638.5351940715517</v>
      </c>
      <c r="AD201" s="159">
        <f t="shared" si="99"/>
        <v>629.61558014002389</v>
      </c>
      <c r="AE201" s="159">
        <f t="shared" si="99"/>
        <v>620.69596620849609</v>
      </c>
      <c r="AF201" s="159">
        <f t="shared" si="99"/>
        <v>611.77635227696828</v>
      </c>
      <c r="AG201" s="159">
        <f t="shared" si="99"/>
        <v>602.85673834544048</v>
      </c>
      <c r="AH201" s="159">
        <f t="shared" si="99"/>
        <v>593.93712441391267</v>
      </c>
      <c r="AI201" s="159">
        <f t="shared" si="99"/>
        <v>585.01751048238486</v>
      </c>
      <c r="AJ201" s="159">
        <f t="shared" si="99"/>
        <v>576.09789655085706</v>
      </c>
      <c r="AK201" s="159">
        <f t="shared" si="99"/>
        <v>567.17828261932925</v>
      </c>
      <c r="AL201" s="159">
        <f t="shared" si="99"/>
        <v>558.25866868780145</v>
      </c>
      <c r="AM201" s="159">
        <f t="shared" si="99"/>
        <v>549.33905475627364</v>
      </c>
      <c r="AN201" s="159">
        <f t="shared" si="99"/>
        <v>540.41944082474583</v>
      </c>
      <c r="AO201" s="159">
        <f t="shared" si="99"/>
        <v>531.49982689321803</v>
      </c>
      <c r="AP201" s="159">
        <f t="shared" si="99"/>
        <v>522.58021296169022</v>
      </c>
      <c r="AQ201" s="159">
        <f t="shared" si="99"/>
        <v>513.66059903016196</v>
      </c>
    </row>
    <row r="202" spans="7:91" ht="14.25" customHeight="1" x14ac:dyDescent="0.15">
      <c r="G202" s="22"/>
      <c r="H202" s="254"/>
      <c r="J202" s="241"/>
      <c r="K202" s="19" t="s">
        <v>230</v>
      </c>
      <c r="L202" s="129" t="s">
        <v>218</v>
      </c>
      <c r="M202" s="160">
        <f t="shared" ref="M202:AQ202" si="100">M199</f>
        <v>1741.1559999999999</v>
      </c>
      <c r="N202" s="160">
        <f t="shared" si="100"/>
        <v>1560</v>
      </c>
      <c r="O202" s="160">
        <f t="shared" si="100"/>
        <v>1486.8297553779098</v>
      </c>
      <c r="P202" s="160">
        <f t="shared" si="100"/>
        <v>1413.6595107558196</v>
      </c>
      <c r="Q202" s="160">
        <f t="shared" si="100"/>
        <v>1340.4892661337294</v>
      </c>
      <c r="R202" s="160">
        <f t="shared" si="100"/>
        <v>1267.3190215116392</v>
      </c>
      <c r="S202" s="160">
        <f t="shared" si="100"/>
        <v>1194.148776889549</v>
      </c>
      <c r="T202" s="160">
        <f t="shared" si="100"/>
        <v>1120.9785322674588</v>
      </c>
      <c r="U202" s="160">
        <f t="shared" si="100"/>
        <v>1047.8082876453686</v>
      </c>
      <c r="V202" s="160">
        <f t="shared" si="100"/>
        <v>974.63804302327844</v>
      </c>
      <c r="W202" s="160">
        <f t="shared" si="100"/>
        <v>901.46779840118836</v>
      </c>
      <c r="X202" s="160">
        <f t="shared" si="100"/>
        <v>890.99705236416492</v>
      </c>
      <c r="Y202" s="160">
        <f t="shared" si="100"/>
        <v>880.52630632714147</v>
      </c>
      <c r="Z202" s="160">
        <f t="shared" si="100"/>
        <v>870.05556029011802</v>
      </c>
      <c r="AA202" s="160">
        <f t="shared" si="100"/>
        <v>859.58481425309458</v>
      </c>
      <c r="AB202" s="160">
        <f t="shared" si="100"/>
        <v>849.11406821607113</v>
      </c>
      <c r="AC202" s="160">
        <f t="shared" si="100"/>
        <v>838.64332217904769</v>
      </c>
      <c r="AD202" s="160">
        <f t="shared" si="100"/>
        <v>828.17257614202424</v>
      </c>
      <c r="AE202" s="160">
        <f t="shared" si="100"/>
        <v>817.70183010500079</v>
      </c>
      <c r="AF202" s="160">
        <f t="shared" si="100"/>
        <v>807.23108406797735</v>
      </c>
      <c r="AG202" s="160">
        <f t="shared" si="100"/>
        <v>796.7603380309539</v>
      </c>
      <c r="AH202" s="160">
        <f t="shared" si="100"/>
        <v>786.28959199393046</v>
      </c>
      <c r="AI202" s="160">
        <f t="shared" si="100"/>
        <v>775.81884595690701</v>
      </c>
      <c r="AJ202" s="160">
        <f t="shared" si="100"/>
        <v>765.34809991988357</v>
      </c>
      <c r="AK202" s="160">
        <f t="shared" si="100"/>
        <v>754.87735388286012</v>
      </c>
      <c r="AL202" s="160">
        <f t="shared" si="100"/>
        <v>744.40660784583667</v>
      </c>
      <c r="AM202" s="160">
        <f t="shared" si="100"/>
        <v>733.93586180881323</v>
      </c>
      <c r="AN202" s="160">
        <f t="shared" si="100"/>
        <v>723.46511577178978</v>
      </c>
      <c r="AO202" s="160">
        <f t="shared" si="100"/>
        <v>712.99436973476634</v>
      </c>
      <c r="AP202" s="160">
        <f t="shared" si="100"/>
        <v>702.52362369774289</v>
      </c>
      <c r="AQ202" s="160">
        <f t="shared" si="100"/>
        <v>692.05287766071854</v>
      </c>
    </row>
    <row r="203" spans="7:91" ht="14.25" customHeight="1" thickBot="1" x14ac:dyDescent="0.2">
      <c r="G203" s="22"/>
      <c r="H203" s="254"/>
      <c r="J203" s="241"/>
      <c r="K203" s="144" t="s">
        <v>230</v>
      </c>
      <c r="L203" s="144" t="s">
        <v>214</v>
      </c>
      <c r="M203" s="161">
        <f t="shared" ref="M203:AQ203" si="101">M200</f>
        <v>1741.1559999999999</v>
      </c>
      <c r="N203" s="161">
        <f t="shared" si="101"/>
        <v>1560</v>
      </c>
      <c r="O203" s="161">
        <f t="shared" si="101"/>
        <v>1548.1003032033746</v>
      </c>
      <c r="P203" s="161">
        <f t="shared" si="101"/>
        <v>1536.2006064067491</v>
      </c>
      <c r="Q203" s="161">
        <f t="shared" si="101"/>
        <v>1524.3009096101237</v>
      </c>
      <c r="R203" s="161">
        <f t="shared" si="101"/>
        <v>1512.4012128134982</v>
      </c>
      <c r="S203" s="161">
        <f t="shared" si="101"/>
        <v>1500.5015160168728</v>
      </c>
      <c r="T203" s="161">
        <f t="shared" si="101"/>
        <v>1488.6018192202473</v>
      </c>
      <c r="U203" s="161">
        <f t="shared" si="101"/>
        <v>1476.7021224236219</v>
      </c>
      <c r="V203" s="161">
        <f t="shared" si="101"/>
        <v>1464.8024256269964</v>
      </c>
      <c r="W203" s="161">
        <f t="shared" si="101"/>
        <v>1452.9027288303716</v>
      </c>
      <c r="X203" s="161">
        <f t="shared" si="101"/>
        <v>1425.3309823089126</v>
      </c>
      <c r="Y203" s="161">
        <f t="shared" si="101"/>
        <v>1397.7592357874535</v>
      </c>
      <c r="Z203" s="161">
        <f t="shared" si="101"/>
        <v>1370.1874892659944</v>
      </c>
      <c r="AA203" s="161">
        <f t="shared" si="101"/>
        <v>1342.6157427445353</v>
      </c>
      <c r="AB203" s="161">
        <f t="shared" si="101"/>
        <v>1315.0439962230762</v>
      </c>
      <c r="AC203" s="161">
        <f t="shared" si="101"/>
        <v>1287.4722497016171</v>
      </c>
      <c r="AD203" s="161">
        <f t="shared" si="101"/>
        <v>1259.900503180158</v>
      </c>
      <c r="AE203" s="161">
        <f t="shared" si="101"/>
        <v>1232.3287566586989</v>
      </c>
      <c r="AF203" s="161">
        <f t="shared" si="101"/>
        <v>1204.7570101372398</v>
      </c>
      <c r="AG203" s="161">
        <f t="shared" si="101"/>
        <v>1177.1852636157807</v>
      </c>
      <c r="AH203" s="161">
        <f t="shared" si="101"/>
        <v>1149.6135170943217</v>
      </c>
      <c r="AI203" s="161">
        <f t="shared" si="101"/>
        <v>1122.0417705728626</v>
      </c>
      <c r="AJ203" s="161">
        <f t="shared" si="101"/>
        <v>1094.4700240514035</v>
      </c>
      <c r="AK203" s="161">
        <f t="shared" si="101"/>
        <v>1066.8982775299444</v>
      </c>
      <c r="AL203" s="161">
        <f t="shared" si="101"/>
        <v>1039.3265310084853</v>
      </c>
      <c r="AM203" s="161">
        <f t="shared" si="101"/>
        <v>1011.7547844870261</v>
      </c>
      <c r="AN203" s="161">
        <f t="shared" si="101"/>
        <v>984.18303796556688</v>
      </c>
      <c r="AO203" s="161">
        <f t="shared" si="101"/>
        <v>956.61129144410768</v>
      </c>
      <c r="AP203" s="161">
        <f t="shared" si="101"/>
        <v>929.03954492264847</v>
      </c>
      <c r="AQ203" s="161">
        <f t="shared" si="101"/>
        <v>901.46779840118836</v>
      </c>
    </row>
    <row r="204" spans="7:91" ht="14.25" customHeight="1" thickTop="1" x14ac:dyDescent="0.15">
      <c r="G204" s="22"/>
      <c r="H204" s="254"/>
      <c r="J204" s="241"/>
      <c r="K204" s="140" t="s">
        <v>229</v>
      </c>
      <c r="L204" s="140" t="s">
        <v>219</v>
      </c>
      <c r="M204" s="159">
        <f t="shared" ref="M204:AQ204" si="102">M201</f>
        <v>1741.1559999999999</v>
      </c>
      <c r="N204" s="159">
        <f t="shared" si="102"/>
        <v>1560</v>
      </c>
      <c r="O204" s="159">
        <f t="shared" si="102"/>
        <v>1463.5614308511908</v>
      </c>
      <c r="P204" s="159">
        <f t="shared" si="102"/>
        <v>1367.1228617023817</v>
      </c>
      <c r="Q204" s="159">
        <f t="shared" si="102"/>
        <v>1270.6842925535725</v>
      </c>
      <c r="R204" s="159">
        <f t="shared" si="102"/>
        <v>1174.2457234047633</v>
      </c>
      <c r="S204" s="159">
        <f t="shared" si="102"/>
        <v>1077.8071542559542</v>
      </c>
      <c r="T204" s="159">
        <f t="shared" si="102"/>
        <v>981.36858510714512</v>
      </c>
      <c r="U204" s="159">
        <f t="shared" si="102"/>
        <v>884.93001595833607</v>
      </c>
      <c r="V204" s="159">
        <f t="shared" si="102"/>
        <v>788.49144680952702</v>
      </c>
      <c r="W204" s="159">
        <f t="shared" si="102"/>
        <v>692.05287766071854</v>
      </c>
      <c r="X204" s="159">
        <f t="shared" si="102"/>
        <v>683.13326372919073</v>
      </c>
      <c r="Y204" s="159">
        <f t="shared" si="102"/>
        <v>674.21364979766292</v>
      </c>
      <c r="Z204" s="159">
        <f t="shared" si="102"/>
        <v>665.29403586613512</v>
      </c>
      <c r="AA204" s="159">
        <f t="shared" si="102"/>
        <v>656.37442193460731</v>
      </c>
      <c r="AB204" s="159">
        <f t="shared" si="102"/>
        <v>647.45480800307951</v>
      </c>
      <c r="AC204" s="159">
        <f t="shared" si="102"/>
        <v>638.5351940715517</v>
      </c>
      <c r="AD204" s="159">
        <f t="shared" si="102"/>
        <v>629.61558014002389</v>
      </c>
      <c r="AE204" s="159">
        <f t="shared" si="102"/>
        <v>620.69596620849609</v>
      </c>
      <c r="AF204" s="159">
        <f t="shared" si="102"/>
        <v>611.77635227696828</v>
      </c>
      <c r="AG204" s="159">
        <f t="shared" si="102"/>
        <v>602.85673834544048</v>
      </c>
      <c r="AH204" s="159">
        <f t="shared" si="102"/>
        <v>593.93712441391267</v>
      </c>
      <c r="AI204" s="159">
        <f t="shared" si="102"/>
        <v>585.01751048238486</v>
      </c>
      <c r="AJ204" s="159">
        <f t="shared" si="102"/>
        <v>576.09789655085706</v>
      </c>
      <c r="AK204" s="159">
        <f t="shared" si="102"/>
        <v>567.17828261932925</v>
      </c>
      <c r="AL204" s="159">
        <f t="shared" si="102"/>
        <v>558.25866868780145</v>
      </c>
      <c r="AM204" s="159">
        <f t="shared" si="102"/>
        <v>549.33905475627364</v>
      </c>
      <c r="AN204" s="159">
        <f t="shared" si="102"/>
        <v>540.41944082474583</v>
      </c>
      <c r="AO204" s="159">
        <f t="shared" si="102"/>
        <v>531.49982689321803</v>
      </c>
      <c r="AP204" s="159">
        <f t="shared" si="102"/>
        <v>522.58021296169022</v>
      </c>
      <c r="AQ204" s="159">
        <f t="shared" si="102"/>
        <v>513.66059903016196</v>
      </c>
    </row>
    <row r="205" spans="7:91" ht="14.25" customHeight="1" x14ac:dyDescent="0.15">
      <c r="G205" s="22"/>
      <c r="H205" s="254"/>
      <c r="J205" s="241"/>
      <c r="K205" s="19" t="s">
        <v>229</v>
      </c>
      <c r="L205" s="129" t="s">
        <v>218</v>
      </c>
      <c r="M205" s="160">
        <f t="shared" ref="M205:AQ205" si="103">M202</f>
        <v>1741.1559999999999</v>
      </c>
      <c r="N205" s="160">
        <f t="shared" si="103"/>
        <v>1560</v>
      </c>
      <c r="O205" s="160">
        <f t="shared" si="103"/>
        <v>1486.8297553779098</v>
      </c>
      <c r="P205" s="160">
        <f t="shared" si="103"/>
        <v>1413.6595107558196</v>
      </c>
      <c r="Q205" s="160">
        <f t="shared" si="103"/>
        <v>1340.4892661337294</v>
      </c>
      <c r="R205" s="160">
        <f t="shared" si="103"/>
        <v>1267.3190215116392</v>
      </c>
      <c r="S205" s="160">
        <f t="shared" si="103"/>
        <v>1194.148776889549</v>
      </c>
      <c r="T205" s="160">
        <f t="shared" si="103"/>
        <v>1120.9785322674588</v>
      </c>
      <c r="U205" s="160">
        <f t="shared" si="103"/>
        <v>1047.8082876453686</v>
      </c>
      <c r="V205" s="160">
        <f t="shared" si="103"/>
        <v>974.63804302327844</v>
      </c>
      <c r="W205" s="160">
        <f t="shared" si="103"/>
        <v>901.46779840118836</v>
      </c>
      <c r="X205" s="160">
        <f t="shared" si="103"/>
        <v>890.99705236416492</v>
      </c>
      <c r="Y205" s="160">
        <f t="shared" si="103"/>
        <v>880.52630632714147</v>
      </c>
      <c r="Z205" s="160">
        <f t="shared" si="103"/>
        <v>870.05556029011802</v>
      </c>
      <c r="AA205" s="160">
        <f t="shared" si="103"/>
        <v>859.58481425309458</v>
      </c>
      <c r="AB205" s="160">
        <f t="shared" si="103"/>
        <v>849.11406821607113</v>
      </c>
      <c r="AC205" s="160">
        <f t="shared" si="103"/>
        <v>838.64332217904769</v>
      </c>
      <c r="AD205" s="160">
        <f t="shared" si="103"/>
        <v>828.17257614202424</v>
      </c>
      <c r="AE205" s="160">
        <f t="shared" si="103"/>
        <v>817.70183010500079</v>
      </c>
      <c r="AF205" s="160">
        <f t="shared" si="103"/>
        <v>807.23108406797735</v>
      </c>
      <c r="AG205" s="160">
        <f t="shared" si="103"/>
        <v>796.7603380309539</v>
      </c>
      <c r="AH205" s="160">
        <f t="shared" si="103"/>
        <v>786.28959199393046</v>
      </c>
      <c r="AI205" s="160">
        <f t="shared" si="103"/>
        <v>775.81884595690701</v>
      </c>
      <c r="AJ205" s="160">
        <f t="shared" si="103"/>
        <v>765.34809991988357</v>
      </c>
      <c r="AK205" s="160">
        <f t="shared" si="103"/>
        <v>754.87735388286012</v>
      </c>
      <c r="AL205" s="160">
        <f t="shared" si="103"/>
        <v>744.40660784583667</v>
      </c>
      <c r="AM205" s="160">
        <f t="shared" si="103"/>
        <v>733.93586180881323</v>
      </c>
      <c r="AN205" s="160">
        <f t="shared" si="103"/>
        <v>723.46511577178978</v>
      </c>
      <c r="AO205" s="160">
        <f t="shared" si="103"/>
        <v>712.99436973476634</v>
      </c>
      <c r="AP205" s="160">
        <f t="shared" si="103"/>
        <v>702.52362369774289</v>
      </c>
      <c r="AQ205" s="160">
        <f t="shared" si="103"/>
        <v>692.05287766071854</v>
      </c>
    </row>
    <row r="206" spans="7:91" ht="14.25" customHeight="1" thickBot="1" x14ac:dyDescent="0.2">
      <c r="G206" s="22"/>
      <c r="H206" s="254"/>
      <c r="J206" s="241"/>
      <c r="K206" s="144" t="s">
        <v>229</v>
      </c>
      <c r="L206" s="144" t="s">
        <v>214</v>
      </c>
      <c r="M206" s="161">
        <f t="shared" ref="M206:AQ206" si="104">M203</f>
        <v>1741.1559999999999</v>
      </c>
      <c r="N206" s="161">
        <f t="shared" si="104"/>
        <v>1560</v>
      </c>
      <c r="O206" s="161">
        <f t="shared" si="104"/>
        <v>1548.1003032033746</v>
      </c>
      <c r="P206" s="161">
        <f t="shared" si="104"/>
        <v>1536.2006064067491</v>
      </c>
      <c r="Q206" s="161">
        <f t="shared" si="104"/>
        <v>1524.3009096101237</v>
      </c>
      <c r="R206" s="161">
        <f t="shared" si="104"/>
        <v>1512.4012128134982</v>
      </c>
      <c r="S206" s="161">
        <f t="shared" si="104"/>
        <v>1500.5015160168728</v>
      </c>
      <c r="T206" s="161">
        <f t="shared" si="104"/>
        <v>1488.6018192202473</v>
      </c>
      <c r="U206" s="161">
        <f t="shared" si="104"/>
        <v>1476.7021224236219</v>
      </c>
      <c r="V206" s="161">
        <f t="shared" si="104"/>
        <v>1464.8024256269964</v>
      </c>
      <c r="W206" s="161">
        <f t="shared" si="104"/>
        <v>1452.9027288303716</v>
      </c>
      <c r="X206" s="161">
        <f t="shared" si="104"/>
        <v>1425.3309823089126</v>
      </c>
      <c r="Y206" s="161">
        <f t="shared" si="104"/>
        <v>1397.7592357874535</v>
      </c>
      <c r="Z206" s="161">
        <f t="shared" si="104"/>
        <v>1370.1874892659944</v>
      </c>
      <c r="AA206" s="161">
        <f t="shared" si="104"/>
        <v>1342.6157427445353</v>
      </c>
      <c r="AB206" s="161">
        <f t="shared" si="104"/>
        <v>1315.0439962230762</v>
      </c>
      <c r="AC206" s="161">
        <f t="shared" si="104"/>
        <v>1287.4722497016171</v>
      </c>
      <c r="AD206" s="161">
        <f t="shared" si="104"/>
        <v>1259.900503180158</v>
      </c>
      <c r="AE206" s="161">
        <f t="shared" si="104"/>
        <v>1232.3287566586989</v>
      </c>
      <c r="AF206" s="161">
        <f t="shared" si="104"/>
        <v>1204.7570101372398</v>
      </c>
      <c r="AG206" s="161">
        <f t="shared" si="104"/>
        <v>1177.1852636157807</v>
      </c>
      <c r="AH206" s="161">
        <f t="shared" si="104"/>
        <v>1149.6135170943217</v>
      </c>
      <c r="AI206" s="161">
        <f t="shared" si="104"/>
        <v>1122.0417705728626</v>
      </c>
      <c r="AJ206" s="161">
        <f t="shared" si="104"/>
        <v>1094.4700240514035</v>
      </c>
      <c r="AK206" s="161">
        <f t="shared" si="104"/>
        <v>1066.8982775299444</v>
      </c>
      <c r="AL206" s="161">
        <f t="shared" si="104"/>
        <v>1039.3265310084853</v>
      </c>
      <c r="AM206" s="161">
        <f t="shared" si="104"/>
        <v>1011.7547844870261</v>
      </c>
      <c r="AN206" s="161">
        <f t="shared" si="104"/>
        <v>984.18303796556688</v>
      </c>
      <c r="AO206" s="161">
        <f t="shared" si="104"/>
        <v>956.61129144410768</v>
      </c>
      <c r="AP206" s="161">
        <f t="shared" si="104"/>
        <v>929.03954492264847</v>
      </c>
      <c r="AQ206" s="161">
        <f t="shared" si="104"/>
        <v>901.46779840118836</v>
      </c>
    </row>
    <row r="207" spans="7:91" ht="14.25" customHeight="1" thickTop="1" x14ac:dyDescent="0.15">
      <c r="G207" s="22"/>
      <c r="H207" s="254"/>
      <c r="J207" s="241"/>
      <c r="K207" s="140" t="s">
        <v>228</v>
      </c>
      <c r="L207" s="140" t="s">
        <v>219</v>
      </c>
      <c r="M207" s="159">
        <f t="shared" ref="M207:AQ207" si="105">M204</f>
        <v>1741.1559999999999</v>
      </c>
      <c r="N207" s="159">
        <f t="shared" si="105"/>
        <v>1560</v>
      </c>
      <c r="O207" s="159">
        <f t="shared" si="105"/>
        <v>1463.5614308511908</v>
      </c>
      <c r="P207" s="159">
        <f t="shared" si="105"/>
        <v>1367.1228617023817</v>
      </c>
      <c r="Q207" s="159">
        <f t="shared" si="105"/>
        <v>1270.6842925535725</v>
      </c>
      <c r="R207" s="159">
        <f t="shared" si="105"/>
        <v>1174.2457234047633</v>
      </c>
      <c r="S207" s="159">
        <f t="shared" si="105"/>
        <v>1077.8071542559542</v>
      </c>
      <c r="T207" s="159">
        <f t="shared" si="105"/>
        <v>981.36858510714512</v>
      </c>
      <c r="U207" s="159">
        <f t="shared" si="105"/>
        <v>884.93001595833607</v>
      </c>
      <c r="V207" s="159">
        <f t="shared" si="105"/>
        <v>788.49144680952702</v>
      </c>
      <c r="W207" s="159">
        <f t="shared" si="105"/>
        <v>692.05287766071854</v>
      </c>
      <c r="X207" s="159">
        <f t="shared" si="105"/>
        <v>683.13326372919073</v>
      </c>
      <c r="Y207" s="159">
        <f t="shared" si="105"/>
        <v>674.21364979766292</v>
      </c>
      <c r="Z207" s="159">
        <f t="shared" si="105"/>
        <v>665.29403586613512</v>
      </c>
      <c r="AA207" s="159">
        <f t="shared" si="105"/>
        <v>656.37442193460731</v>
      </c>
      <c r="AB207" s="159">
        <f t="shared" si="105"/>
        <v>647.45480800307951</v>
      </c>
      <c r="AC207" s="159">
        <f t="shared" si="105"/>
        <v>638.5351940715517</v>
      </c>
      <c r="AD207" s="159">
        <f t="shared" si="105"/>
        <v>629.61558014002389</v>
      </c>
      <c r="AE207" s="159">
        <f t="shared" si="105"/>
        <v>620.69596620849609</v>
      </c>
      <c r="AF207" s="159">
        <f t="shared" si="105"/>
        <v>611.77635227696828</v>
      </c>
      <c r="AG207" s="159">
        <f t="shared" si="105"/>
        <v>602.85673834544048</v>
      </c>
      <c r="AH207" s="159">
        <f t="shared" si="105"/>
        <v>593.93712441391267</v>
      </c>
      <c r="AI207" s="159">
        <f t="shared" si="105"/>
        <v>585.01751048238486</v>
      </c>
      <c r="AJ207" s="159">
        <f t="shared" si="105"/>
        <v>576.09789655085706</v>
      </c>
      <c r="AK207" s="159">
        <f t="shared" si="105"/>
        <v>567.17828261932925</v>
      </c>
      <c r="AL207" s="159">
        <f t="shared" si="105"/>
        <v>558.25866868780145</v>
      </c>
      <c r="AM207" s="159">
        <f t="shared" si="105"/>
        <v>549.33905475627364</v>
      </c>
      <c r="AN207" s="159">
        <f t="shared" si="105"/>
        <v>540.41944082474583</v>
      </c>
      <c r="AO207" s="159">
        <f t="shared" si="105"/>
        <v>531.49982689321803</v>
      </c>
      <c r="AP207" s="159">
        <f t="shared" si="105"/>
        <v>522.58021296169022</v>
      </c>
      <c r="AQ207" s="159">
        <f t="shared" si="105"/>
        <v>513.66059903016196</v>
      </c>
    </row>
    <row r="208" spans="7:91" ht="14.25" customHeight="1" x14ac:dyDescent="0.15">
      <c r="G208" s="22"/>
      <c r="H208" s="254"/>
      <c r="J208" s="241"/>
      <c r="K208" s="19" t="s">
        <v>228</v>
      </c>
      <c r="L208" s="129" t="s">
        <v>218</v>
      </c>
      <c r="M208" s="160">
        <f t="shared" ref="M208:AQ208" si="106">M205</f>
        <v>1741.1559999999999</v>
      </c>
      <c r="N208" s="160">
        <f t="shared" si="106"/>
        <v>1560</v>
      </c>
      <c r="O208" s="160">
        <f t="shared" si="106"/>
        <v>1486.8297553779098</v>
      </c>
      <c r="P208" s="160">
        <f t="shared" si="106"/>
        <v>1413.6595107558196</v>
      </c>
      <c r="Q208" s="160">
        <f t="shared" si="106"/>
        <v>1340.4892661337294</v>
      </c>
      <c r="R208" s="160">
        <f t="shared" si="106"/>
        <v>1267.3190215116392</v>
      </c>
      <c r="S208" s="160">
        <f t="shared" si="106"/>
        <v>1194.148776889549</v>
      </c>
      <c r="T208" s="160">
        <f t="shared" si="106"/>
        <v>1120.9785322674588</v>
      </c>
      <c r="U208" s="160">
        <f t="shared" si="106"/>
        <v>1047.8082876453686</v>
      </c>
      <c r="V208" s="160">
        <f t="shared" si="106"/>
        <v>974.63804302327844</v>
      </c>
      <c r="W208" s="160">
        <f t="shared" si="106"/>
        <v>901.46779840118836</v>
      </c>
      <c r="X208" s="160">
        <f t="shared" si="106"/>
        <v>890.99705236416492</v>
      </c>
      <c r="Y208" s="160">
        <f t="shared" si="106"/>
        <v>880.52630632714147</v>
      </c>
      <c r="Z208" s="160">
        <f t="shared" si="106"/>
        <v>870.05556029011802</v>
      </c>
      <c r="AA208" s="160">
        <f t="shared" si="106"/>
        <v>859.58481425309458</v>
      </c>
      <c r="AB208" s="160">
        <f t="shared" si="106"/>
        <v>849.11406821607113</v>
      </c>
      <c r="AC208" s="160">
        <f t="shared" si="106"/>
        <v>838.64332217904769</v>
      </c>
      <c r="AD208" s="160">
        <f t="shared" si="106"/>
        <v>828.17257614202424</v>
      </c>
      <c r="AE208" s="160">
        <f t="shared" si="106"/>
        <v>817.70183010500079</v>
      </c>
      <c r="AF208" s="160">
        <f t="shared" si="106"/>
        <v>807.23108406797735</v>
      </c>
      <c r="AG208" s="160">
        <f t="shared" si="106"/>
        <v>796.7603380309539</v>
      </c>
      <c r="AH208" s="160">
        <f t="shared" si="106"/>
        <v>786.28959199393046</v>
      </c>
      <c r="AI208" s="160">
        <f t="shared" si="106"/>
        <v>775.81884595690701</v>
      </c>
      <c r="AJ208" s="160">
        <f t="shared" si="106"/>
        <v>765.34809991988357</v>
      </c>
      <c r="AK208" s="160">
        <f t="shared" si="106"/>
        <v>754.87735388286012</v>
      </c>
      <c r="AL208" s="160">
        <f t="shared" si="106"/>
        <v>744.40660784583667</v>
      </c>
      <c r="AM208" s="160">
        <f t="shared" si="106"/>
        <v>733.93586180881323</v>
      </c>
      <c r="AN208" s="160">
        <f t="shared" si="106"/>
        <v>723.46511577178978</v>
      </c>
      <c r="AO208" s="160">
        <f t="shared" si="106"/>
        <v>712.99436973476634</v>
      </c>
      <c r="AP208" s="160">
        <f t="shared" si="106"/>
        <v>702.52362369774289</v>
      </c>
      <c r="AQ208" s="160">
        <f t="shared" si="106"/>
        <v>692.05287766071854</v>
      </c>
    </row>
    <row r="209" spans="7:69" ht="14.25" customHeight="1" thickBot="1" x14ac:dyDescent="0.2">
      <c r="G209" s="22"/>
      <c r="H209" s="254"/>
      <c r="J209" s="251"/>
      <c r="K209" s="144" t="s">
        <v>228</v>
      </c>
      <c r="L209" s="144" t="s">
        <v>214</v>
      </c>
      <c r="M209" s="161">
        <f t="shared" ref="M209:AQ209" si="107">M206</f>
        <v>1741.1559999999999</v>
      </c>
      <c r="N209" s="161">
        <f t="shared" si="107"/>
        <v>1560</v>
      </c>
      <c r="O209" s="161">
        <f t="shared" si="107"/>
        <v>1548.1003032033746</v>
      </c>
      <c r="P209" s="161">
        <f t="shared" si="107"/>
        <v>1536.2006064067491</v>
      </c>
      <c r="Q209" s="161">
        <f t="shared" si="107"/>
        <v>1524.3009096101237</v>
      </c>
      <c r="R209" s="161">
        <f t="shared" si="107"/>
        <v>1512.4012128134982</v>
      </c>
      <c r="S209" s="161">
        <f t="shared" si="107"/>
        <v>1500.5015160168728</v>
      </c>
      <c r="T209" s="161">
        <f t="shared" si="107"/>
        <v>1488.6018192202473</v>
      </c>
      <c r="U209" s="161">
        <f t="shared" si="107"/>
        <v>1476.7021224236219</v>
      </c>
      <c r="V209" s="161">
        <f t="shared" si="107"/>
        <v>1464.8024256269964</v>
      </c>
      <c r="W209" s="161">
        <f t="shared" si="107"/>
        <v>1452.9027288303716</v>
      </c>
      <c r="X209" s="161">
        <f t="shared" si="107"/>
        <v>1425.3309823089126</v>
      </c>
      <c r="Y209" s="161">
        <f t="shared" si="107"/>
        <v>1397.7592357874535</v>
      </c>
      <c r="Z209" s="161">
        <f t="shared" si="107"/>
        <v>1370.1874892659944</v>
      </c>
      <c r="AA209" s="161">
        <f t="shared" si="107"/>
        <v>1342.6157427445353</v>
      </c>
      <c r="AB209" s="161">
        <f t="shared" si="107"/>
        <v>1315.0439962230762</v>
      </c>
      <c r="AC209" s="161">
        <f t="shared" si="107"/>
        <v>1287.4722497016171</v>
      </c>
      <c r="AD209" s="161">
        <f t="shared" si="107"/>
        <v>1259.900503180158</v>
      </c>
      <c r="AE209" s="161">
        <f t="shared" si="107"/>
        <v>1232.3287566586989</v>
      </c>
      <c r="AF209" s="161">
        <f t="shared" si="107"/>
        <v>1204.7570101372398</v>
      </c>
      <c r="AG209" s="161">
        <f t="shared" si="107"/>
        <v>1177.1852636157807</v>
      </c>
      <c r="AH209" s="161">
        <f t="shared" si="107"/>
        <v>1149.6135170943217</v>
      </c>
      <c r="AI209" s="161">
        <f t="shared" si="107"/>
        <v>1122.0417705728626</v>
      </c>
      <c r="AJ209" s="161">
        <f t="shared" si="107"/>
        <v>1094.4700240514035</v>
      </c>
      <c r="AK209" s="161">
        <f t="shared" si="107"/>
        <v>1066.8982775299444</v>
      </c>
      <c r="AL209" s="161">
        <f t="shared" si="107"/>
        <v>1039.3265310084853</v>
      </c>
      <c r="AM209" s="161">
        <f t="shared" si="107"/>
        <v>1011.7547844870261</v>
      </c>
      <c r="AN209" s="161">
        <f t="shared" si="107"/>
        <v>984.18303796556688</v>
      </c>
      <c r="AO209" s="161">
        <f t="shared" si="107"/>
        <v>956.61129144410768</v>
      </c>
      <c r="AP209" s="161">
        <f t="shared" si="107"/>
        <v>929.03954492264847</v>
      </c>
      <c r="AQ209" s="161">
        <f t="shared" si="107"/>
        <v>901.46779840118836</v>
      </c>
    </row>
    <row r="210" spans="7:69" ht="14.25" customHeight="1" thickTop="1" x14ac:dyDescent="0.15">
      <c r="G210" s="22"/>
      <c r="H210" s="254"/>
      <c r="J210" s="147"/>
      <c r="K210" s="19"/>
      <c r="L210" s="19"/>
      <c r="M210" s="162"/>
      <c r="N210" s="162"/>
      <c r="O210" s="162"/>
      <c r="P210" s="162"/>
      <c r="Q210" s="162"/>
      <c r="R210" s="162"/>
      <c r="S210" s="162"/>
      <c r="T210" s="162"/>
      <c r="U210" s="162"/>
      <c r="V210" s="162"/>
      <c r="W210" s="162"/>
      <c r="X210" s="162"/>
      <c r="Y210" s="162"/>
      <c r="Z210" s="162"/>
      <c r="AA210" s="162"/>
      <c r="AB210" s="162"/>
      <c r="AC210" s="162"/>
      <c r="AD210" s="162"/>
      <c r="AE210" s="162"/>
      <c r="AF210" s="162"/>
      <c r="AG210" s="162"/>
      <c r="AH210" s="162"/>
      <c r="AI210" s="162"/>
      <c r="AJ210" s="162"/>
      <c r="AK210" s="162"/>
      <c r="AL210" s="162"/>
      <c r="AM210" s="162"/>
      <c r="AN210" s="162"/>
      <c r="AO210" s="162"/>
      <c r="AP210" s="162"/>
      <c r="AQ210" s="162"/>
    </row>
    <row r="211" spans="7:69" ht="14.25" customHeight="1" x14ac:dyDescent="0.15">
      <c r="G211" s="22"/>
      <c r="H211" s="254"/>
      <c r="M211" s="128">
        <v>2020</v>
      </c>
      <c r="N211" s="128">
        <v>2021</v>
      </c>
      <c r="O211" s="128">
        <v>2022</v>
      </c>
      <c r="P211" s="128">
        <v>2023</v>
      </c>
      <c r="Q211" s="128">
        <v>2024</v>
      </c>
      <c r="R211" s="128">
        <v>2025</v>
      </c>
      <c r="S211" s="128">
        <v>2026</v>
      </c>
      <c r="T211" s="128">
        <v>2027</v>
      </c>
      <c r="U211" s="128">
        <v>2028</v>
      </c>
      <c r="V211" s="128">
        <v>2029</v>
      </c>
      <c r="W211" s="128">
        <v>2030</v>
      </c>
      <c r="X211" s="128">
        <v>2031</v>
      </c>
      <c r="Y211" s="128">
        <v>2032</v>
      </c>
      <c r="Z211" s="128">
        <v>2033</v>
      </c>
      <c r="AA211" s="128">
        <v>2034</v>
      </c>
      <c r="AB211" s="128">
        <v>2035</v>
      </c>
      <c r="AC211" s="128">
        <v>2036</v>
      </c>
      <c r="AD211" s="128">
        <v>2037</v>
      </c>
      <c r="AE211" s="128">
        <v>2038</v>
      </c>
      <c r="AF211" s="128">
        <v>2039</v>
      </c>
      <c r="AG211" s="128">
        <v>2040</v>
      </c>
      <c r="AH211" s="128">
        <v>2041</v>
      </c>
      <c r="AI211" s="128">
        <v>2042</v>
      </c>
      <c r="AJ211" s="128">
        <v>2043</v>
      </c>
      <c r="AK211" s="128">
        <v>2044</v>
      </c>
      <c r="AL211" s="128">
        <v>2045</v>
      </c>
      <c r="AM211" s="128">
        <v>2046</v>
      </c>
      <c r="AN211" s="128">
        <v>2047</v>
      </c>
      <c r="AO211" s="128">
        <v>2048</v>
      </c>
      <c r="AP211" s="128">
        <v>2049</v>
      </c>
      <c r="AQ211" s="128">
        <v>2050</v>
      </c>
    </row>
    <row r="212" spans="7:69" ht="14.25" customHeight="1" x14ac:dyDescent="0.15">
      <c r="G212" s="22"/>
      <c r="H212" s="254"/>
      <c r="J212" s="240" t="s">
        <v>165</v>
      </c>
      <c r="K212" s="140" t="s">
        <v>237</v>
      </c>
      <c r="L212" s="140" t="s">
        <v>219</v>
      </c>
      <c r="M212" s="159">
        <v>18.778165000000001</v>
      </c>
      <c r="N212" s="159">
        <v>17.920008677361601</v>
      </c>
      <c r="O212" s="159">
        <v>16.996816786707239</v>
      </c>
      <c r="P212" s="159">
        <v>16.07362489605288</v>
      </c>
      <c r="Q212" s="159">
        <v>15.150433005398519</v>
      </c>
      <c r="R212" s="159">
        <v>14.22724111474416</v>
      </c>
      <c r="S212" s="159">
        <v>13.304049224089802</v>
      </c>
      <c r="T212" s="159">
        <v>12.380857333435443</v>
      </c>
      <c r="U212" s="159">
        <v>11.457665442781085</v>
      </c>
      <c r="V212" s="159">
        <v>10.534473552126725</v>
      </c>
      <c r="W212" s="159">
        <v>9.611281661472372</v>
      </c>
      <c r="X212" s="159">
        <v>9.5258955413543109</v>
      </c>
      <c r="Y212" s="159">
        <v>9.4405094212362499</v>
      </c>
      <c r="Z212" s="159">
        <v>9.3551233011181907</v>
      </c>
      <c r="AA212" s="159">
        <v>9.2697371810001279</v>
      </c>
      <c r="AB212" s="159">
        <v>9.1843510608820687</v>
      </c>
      <c r="AC212" s="159">
        <v>9.0989649407640076</v>
      </c>
      <c r="AD212" s="159">
        <v>9.0135788206459466</v>
      </c>
      <c r="AE212" s="159">
        <v>8.9281927005278874</v>
      </c>
      <c r="AF212" s="159">
        <v>8.8428065804098246</v>
      </c>
      <c r="AG212" s="159">
        <v>8.7574204602917654</v>
      </c>
      <c r="AH212" s="159">
        <v>8.6720343401737043</v>
      </c>
      <c r="AI212" s="159">
        <v>8.5866482200556433</v>
      </c>
      <c r="AJ212" s="159">
        <v>8.5012620999375823</v>
      </c>
      <c r="AK212" s="159">
        <v>8.4158759798195213</v>
      </c>
      <c r="AL212" s="159">
        <v>8.3304898597014621</v>
      </c>
      <c r="AM212" s="159">
        <v>8.2451037395833993</v>
      </c>
      <c r="AN212" s="159">
        <v>8.15971761946534</v>
      </c>
      <c r="AO212" s="159">
        <v>8.074331499347279</v>
      </c>
      <c r="AP212" s="159">
        <v>7.988945379229218</v>
      </c>
      <c r="AQ212" s="159">
        <v>7.9035592591111534</v>
      </c>
    </row>
    <row r="213" spans="7:69" ht="14.25" customHeight="1" x14ac:dyDescent="0.15">
      <c r="G213" s="22"/>
      <c r="H213" s="254"/>
      <c r="J213" s="241"/>
      <c r="K213" s="19" t="s">
        <v>237</v>
      </c>
      <c r="L213" s="129" t="s">
        <v>218</v>
      </c>
      <c r="M213" s="160">
        <v>18.778165000000001</v>
      </c>
      <c r="N213" s="160">
        <v>17.920008677361601</v>
      </c>
      <c r="O213" s="160">
        <v>17.219560951223354</v>
      </c>
      <c r="P213" s="160">
        <v>16.519113225085107</v>
      </c>
      <c r="Q213" s="160">
        <v>15.81866549894686</v>
      </c>
      <c r="R213" s="160">
        <v>15.118217772808613</v>
      </c>
      <c r="S213" s="160">
        <v>14.417770046670366</v>
      </c>
      <c r="T213" s="160">
        <v>13.717322320532119</v>
      </c>
      <c r="U213" s="160">
        <v>13.016874594393872</v>
      </c>
      <c r="V213" s="160">
        <v>12.316426868255625</v>
      </c>
      <c r="W213" s="160">
        <v>11.615979142117382</v>
      </c>
      <c r="X213" s="160">
        <v>11.515744268085129</v>
      </c>
      <c r="Y213" s="160">
        <v>11.415509394052879</v>
      </c>
      <c r="Z213" s="160">
        <v>11.31527452002063</v>
      </c>
      <c r="AA213" s="160">
        <v>11.21503964598838</v>
      </c>
      <c r="AB213" s="160">
        <v>11.11480477195613</v>
      </c>
      <c r="AC213" s="160">
        <v>11.014569897923881</v>
      </c>
      <c r="AD213" s="160">
        <v>10.914335023891631</v>
      </c>
      <c r="AE213" s="160">
        <v>10.814100149859382</v>
      </c>
      <c r="AF213" s="160">
        <v>10.71386527582713</v>
      </c>
      <c r="AG213" s="160">
        <v>10.613630401794881</v>
      </c>
      <c r="AH213" s="160">
        <v>10.513395527762629</v>
      </c>
      <c r="AI213" s="160">
        <v>10.41316065373038</v>
      </c>
      <c r="AJ213" s="160">
        <v>10.31292577969813</v>
      </c>
      <c r="AK213" s="160">
        <v>10.21269090566588</v>
      </c>
      <c r="AL213" s="160">
        <v>10.112456031633631</v>
      </c>
      <c r="AM213" s="160">
        <v>10.012221157601381</v>
      </c>
      <c r="AN213" s="160">
        <v>9.9119862835691315</v>
      </c>
      <c r="AO213" s="160">
        <v>9.8117514095368801</v>
      </c>
      <c r="AP213" s="160">
        <v>9.7115165355046305</v>
      </c>
      <c r="AQ213" s="160">
        <v>9.611281661472372</v>
      </c>
    </row>
    <row r="214" spans="7:69" ht="14.25" customHeight="1" thickBot="1" x14ac:dyDescent="0.2">
      <c r="G214" s="22"/>
      <c r="H214" s="254"/>
      <c r="J214" s="241"/>
      <c r="K214" s="144" t="s">
        <v>237</v>
      </c>
      <c r="L214" s="144" t="s">
        <v>214</v>
      </c>
      <c r="M214" s="161">
        <v>18.778165000000001</v>
      </c>
      <c r="N214" s="161">
        <v>17.920008677361601</v>
      </c>
      <c r="O214" s="161">
        <v>17.806094673028554</v>
      </c>
      <c r="P214" s="161">
        <v>17.692180668695507</v>
      </c>
      <c r="Q214" s="161">
        <v>17.578266664362459</v>
      </c>
      <c r="R214" s="161">
        <v>17.464352660029412</v>
      </c>
      <c r="S214" s="161">
        <v>17.350438655696365</v>
      </c>
      <c r="T214" s="161">
        <v>17.236524651363318</v>
      </c>
      <c r="U214" s="161">
        <v>17.122610647030271</v>
      </c>
      <c r="V214" s="161">
        <v>17.008696642697224</v>
      </c>
      <c r="W214" s="161">
        <v>16.894782638364184</v>
      </c>
      <c r="X214" s="161">
        <v>16.630842463551847</v>
      </c>
      <c r="Y214" s="161">
        <v>16.366902288739507</v>
      </c>
      <c r="Z214" s="161">
        <v>16.102962113927166</v>
      </c>
      <c r="AA214" s="161">
        <v>15.839021939114826</v>
      </c>
      <c r="AB214" s="161">
        <v>15.575081764302489</v>
      </c>
      <c r="AC214" s="161">
        <v>15.311141589490148</v>
      </c>
      <c r="AD214" s="161">
        <v>15.047201414677808</v>
      </c>
      <c r="AE214" s="161">
        <v>14.783261239865467</v>
      </c>
      <c r="AF214" s="161">
        <v>14.519321065053131</v>
      </c>
      <c r="AG214" s="161">
        <v>14.25538089024079</v>
      </c>
      <c r="AH214" s="161">
        <v>13.99144071542845</v>
      </c>
      <c r="AI214" s="161">
        <v>13.727500540616109</v>
      </c>
      <c r="AJ214" s="161">
        <v>13.463560365803772</v>
      </c>
      <c r="AK214" s="161">
        <v>13.199620190991432</v>
      </c>
      <c r="AL214" s="161">
        <v>12.935680016179091</v>
      </c>
      <c r="AM214" s="161">
        <v>12.671739841366751</v>
      </c>
      <c r="AN214" s="161">
        <v>12.407799666554411</v>
      </c>
      <c r="AO214" s="161">
        <v>12.14385949174207</v>
      </c>
      <c r="AP214" s="161">
        <v>11.87991931692973</v>
      </c>
      <c r="AQ214" s="161">
        <v>11.615979142117382</v>
      </c>
    </row>
    <row r="215" spans="7:69" ht="14.25" customHeight="1" thickTop="1" x14ac:dyDescent="0.2">
      <c r="G215" s="22"/>
      <c r="H215" s="254"/>
      <c r="J215" s="241"/>
      <c r="K215" s="140" t="s">
        <v>236</v>
      </c>
      <c r="L215" s="140" t="s">
        <v>219</v>
      </c>
      <c r="M215" s="159">
        <f t="shared" ref="M215:AQ215" si="108">M212</f>
        <v>18.778165000000001</v>
      </c>
      <c r="N215" s="159">
        <f t="shared" si="108"/>
        <v>17.920008677361601</v>
      </c>
      <c r="O215" s="159">
        <f t="shared" si="108"/>
        <v>16.996816786707239</v>
      </c>
      <c r="P215" s="159">
        <f t="shared" si="108"/>
        <v>16.07362489605288</v>
      </c>
      <c r="Q215" s="159">
        <f t="shared" si="108"/>
        <v>15.150433005398519</v>
      </c>
      <c r="R215" s="159">
        <f t="shared" si="108"/>
        <v>14.22724111474416</v>
      </c>
      <c r="S215" s="159">
        <f t="shared" si="108"/>
        <v>13.304049224089802</v>
      </c>
      <c r="T215" s="159">
        <f t="shared" si="108"/>
        <v>12.380857333435443</v>
      </c>
      <c r="U215" s="159">
        <f t="shared" si="108"/>
        <v>11.457665442781085</v>
      </c>
      <c r="V215" s="159">
        <f t="shared" si="108"/>
        <v>10.534473552126725</v>
      </c>
      <c r="W215" s="159">
        <f t="shared" si="108"/>
        <v>9.611281661472372</v>
      </c>
      <c r="X215" s="159">
        <f t="shared" si="108"/>
        <v>9.5258955413543109</v>
      </c>
      <c r="Y215" s="159">
        <f t="shared" si="108"/>
        <v>9.4405094212362499</v>
      </c>
      <c r="Z215" s="159">
        <f t="shared" si="108"/>
        <v>9.3551233011181907</v>
      </c>
      <c r="AA215" s="159">
        <f t="shared" si="108"/>
        <v>9.2697371810001279</v>
      </c>
      <c r="AB215" s="159">
        <f t="shared" si="108"/>
        <v>9.1843510608820687</v>
      </c>
      <c r="AC215" s="159">
        <f t="shared" si="108"/>
        <v>9.0989649407640076</v>
      </c>
      <c r="AD215" s="159">
        <f t="shared" si="108"/>
        <v>9.0135788206459466</v>
      </c>
      <c r="AE215" s="159">
        <f t="shared" si="108"/>
        <v>8.9281927005278874</v>
      </c>
      <c r="AF215" s="159">
        <f t="shared" si="108"/>
        <v>8.8428065804098246</v>
      </c>
      <c r="AG215" s="159">
        <f t="shared" si="108"/>
        <v>8.7574204602917654</v>
      </c>
      <c r="AH215" s="159">
        <f t="shared" si="108"/>
        <v>8.6720343401737043</v>
      </c>
      <c r="AI215" s="159">
        <f t="shared" si="108"/>
        <v>8.5866482200556433</v>
      </c>
      <c r="AJ215" s="159">
        <f t="shared" si="108"/>
        <v>8.5012620999375823</v>
      </c>
      <c r="AK215" s="159">
        <f t="shared" si="108"/>
        <v>8.4158759798195213</v>
      </c>
      <c r="AL215" s="159">
        <f t="shared" si="108"/>
        <v>8.3304898597014621</v>
      </c>
      <c r="AM215" s="159">
        <f t="shared" si="108"/>
        <v>8.2451037395833993</v>
      </c>
      <c r="AN215" s="159">
        <f t="shared" si="108"/>
        <v>8.15971761946534</v>
      </c>
      <c r="AO215" s="159">
        <f t="shared" si="108"/>
        <v>8.074331499347279</v>
      </c>
      <c r="AP215" s="159">
        <f t="shared" si="108"/>
        <v>7.988945379229218</v>
      </c>
      <c r="AQ215" s="159">
        <f t="shared" si="108"/>
        <v>7.9035592591111534</v>
      </c>
      <c r="AR215"/>
      <c r="AS215"/>
    </row>
    <row r="216" spans="7:69" ht="14.25" customHeight="1" x14ac:dyDescent="0.15">
      <c r="G216" s="22"/>
      <c r="H216" s="254"/>
      <c r="J216" s="241"/>
      <c r="K216" s="19" t="s">
        <v>236</v>
      </c>
      <c r="L216" s="129" t="s">
        <v>218</v>
      </c>
      <c r="M216" s="160">
        <f t="shared" ref="M216:AQ216" si="109">M213</f>
        <v>18.778165000000001</v>
      </c>
      <c r="N216" s="160">
        <f t="shared" si="109"/>
        <v>17.920008677361601</v>
      </c>
      <c r="O216" s="160">
        <f t="shared" si="109"/>
        <v>17.219560951223354</v>
      </c>
      <c r="P216" s="160">
        <f t="shared" si="109"/>
        <v>16.519113225085107</v>
      </c>
      <c r="Q216" s="160">
        <f t="shared" si="109"/>
        <v>15.81866549894686</v>
      </c>
      <c r="R216" s="160">
        <f t="shared" si="109"/>
        <v>15.118217772808613</v>
      </c>
      <c r="S216" s="160">
        <f t="shared" si="109"/>
        <v>14.417770046670366</v>
      </c>
      <c r="T216" s="160">
        <f t="shared" si="109"/>
        <v>13.717322320532119</v>
      </c>
      <c r="U216" s="160">
        <f t="shared" si="109"/>
        <v>13.016874594393872</v>
      </c>
      <c r="V216" s="160">
        <f t="shared" si="109"/>
        <v>12.316426868255625</v>
      </c>
      <c r="W216" s="160">
        <f t="shared" si="109"/>
        <v>11.615979142117382</v>
      </c>
      <c r="X216" s="160">
        <f t="shared" si="109"/>
        <v>11.515744268085129</v>
      </c>
      <c r="Y216" s="160">
        <f t="shared" si="109"/>
        <v>11.415509394052879</v>
      </c>
      <c r="Z216" s="160">
        <f t="shared" si="109"/>
        <v>11.31527452002063</v>
      </c>
      <c r="AA216" s="160">
        <f t="shared" si="109"/>
        <v>11.21503964598838</v>
      </c>
      <c r="AB216" s="160">
        <f t="shared" si="109"/>
        <v>11.11480477195613</v>
      </c>
      <c r="AC216" s="160">
        <f t="shared" si="109"/>
        <v>11.014569897923881</v>
      </c>
      <c r="AD216" s="160">
        <f t="shared" si="109"/>
        <v>10.914335023891631</v>
      </c>
      <c r="AE216" s="160">
        <f t="shared" si="109"/>
        <v>10.814100149859382</v>
      </c>
      <c r="AF216" s="160">
        <f t="shared" si="109"/>
        <v>10.71386527582713</v>
      </c>
      <c r="AG216" s="160">
        <f t="shared" si="109"/>
        <v>10.613630401794881</v>
      </c>
      <c r="AH216" s="160">
        <f t="shared" si="109"/>
        <v>10.513395527762629</v>
      </c>
      <c r="AI216" s="160">
        <f t="shared" si="109"/>
        <v>10.41316065373038</v>
      </c>
      <c r="AJ216" s="160">
        <f t="shared" si="109"/>
        <v>10.31292577969813</v>
      </c>
      <c r="AK216" s="160">
        <f t="shared" si="109"/>
        <v>10.21269090566588</v>
      </c>
      <c r="AL216" s="160">
        <f t="shared" si="109"/>
        <v>10.112456031633631</v>
      </c>
      <c r="AM216" s="160">
        <f t="shared" si="109"/>
        <v>10.012221157601381</v>
      </c>
      <c r="AN216" s="160">
        <f t="shared" si="109"/>
        <v>9.9119862835691315</v>
      </c>
      <c r="AO216" s="160">
        <f t="shared" si="109"/>
        <v>9.8117514095368801</v>
      </c>
      <c r="AP216" s="160">
        <f t="shared" si="109"/>
        <v>9.7115165355046305</v>
      </c>
      <c r="AQ216" s="160">
        <f t="shared" si="109"/>
        <v>9.611281661472372</v>
      </c>
    </row>
    <row r="217" spans="7:69" ht="14.25" customHeight="1" thickBot="1" x14ac:dyDescent="0.25">
      <c r="G217" s="22"/>
      <c r="H217" s="254"/>
      <c r="J217" s="241"/>
      <c r="K217" s="144" t="s">
        <v>236</v>
      </c>
      <c r="L217" s="144" t="s">
        <v>214</v>
      </c>
      <c r="M217" s="161">
        <f t="shared" ref="M217:AQ217" si="110">M214</f>
        <v>18.778165000000001</v>
      </c>
      <c r="N217" s="161">
        <f t="shared" si="110"/>
        <v>17.920008677361601</v>
      </c>
      <c r="O217" s="161">
        <f t="shared" si="110"/>
        <v>17.806094673028554</v>
      </c>
      <c r="P217" s="161">
        <f t="shared" si="110"/>
        <v>17.692180668695507</v>
      </c>
      <c r="Q217" s="161">
        <f t="shared" si="110"/>
        <v>17.578266664362459</v>
      </c>
      <c r="R217" s="161">
        <f t="shared" si="110"/>
        <v>17.464352660029412</v>
      </c>
      <c r="S217" s="161">
        <f t="shared" si="110"/>
        <v>17.350438655696365</v>
      </c>
      <c r="T217" s="161">
        <f t="shared" si="110"/>
        <v>17.236524651363318</v>
      </c>
      <c r="U217" s="161">
        <f t="shared" si="110"/>
        <v>17.122610647030271</v>
      </c>
      <c r="V217" s="161">
        <f t="shared" si="110"/>
        <v>17.008696642697224</v>
      </c>
      <c r="W217" s="161">
        <f t="shared" si="110"/>
        <v>16.894782638364184</v>
      </c>
      <c r="X217" s="161">
        <f t="shared" si="110"/>
        <v>16.630842463551847</v>
      </c>
      <c r="Y217" s="161">
        <f t="shared" si="110"/>
        <v>16.366902288739507</v>
      </c>
      <c r="Z217" s="161">
        <f t="shared" si="110"/>
        <v>16.102962113927166</v>
      </c>
      <c r="AA217" s="161">
        <f t="shared" si="110"/>
        <v>15.839021939114826</v>
      </c>
      <c r="AB217" s="161">
        <f t="shared" si="110"/>
        <v>15.575081764302489</v>
      </c>
      <c r="AC217" s="161">
        <f t="shared" si="110"/>
        <v>15.311141589490148</v>
      </c>
      <c r="AD217" s="161">
        <f t="shared" si="110"/>
        <v>15.047201414677808</v>
      </c>
      <c r="AE217" s="161">
        <f t="shared" si="110"/>
        <v>14.783261239865467</v>
      </c>
      <c r="AF217" s="161">
        <f t="shared" si="110"/>
        <v>14.519321065053131</v>
      </c>
      <c r="AG217" s="161">
        <f t="shared" si="110"/>
        <v>14.25538089024079</v>
      </c>
      <c r="AH217" s="161">
        <f t="shared" si="110"/>
        <v>13.99144071542845</v>
      </c>
      <c r="AI217" s="161">
        <f t="shared" si="110"/>
        <v>13.727500540616109</v>
      </c>
      <c r="AJ217" s="161">
        <f t="shared" si="110"/>
        <v>13.463560365803772</v>
      </c>
      <c r="AK217" s="161">
        <f t="shared" si="110"/>
        <v>13.199620190991432</v>
      </c>
      <c r="AL217" s="161">
        <f t="shared" si="110"/>
        <v>12.935680016179091</v>
      </c>
      <c r="AM217" s="161">
        <f t="shared" si="110"/>
        <v>12.671739841366751</v>
      </c>
      <c r="AN217" s="161">
        <f t="shared" si="110"/>
        <v>12.407799666554411</v>
      </c>
      <c r="AO217" s="161">
        <f t="shared" si="110"/>
        <v>12.14385949174207</v>
      </c>
      <c r="AP217" s="161">
        <f t="shared" si="110"/>
        <v>11.87991931692973</v>
      </c>
      <c r="AQ217" s="161">
        <f t="shared" si="110"/>
        <v>11.615979142117382</v>
      </c>
      <c r="BG217"/>
      <c r="BH217"/>
      <c r="BI217"/>
    </row>
    <row r="218" spans="7:69" ht="14.25" customHeight="1" thickTop="1" x14ac:dyDescent="0.2">
      <c r="G218" s="22"/>
      <c r="H218" s="254"/>
      <c r="J218" s="241"/>
      <c r="K218" s="140" t="s">
        <v>235</v>
      </c>
      <c r="L218" s="140" t="s">
        <v>219</v>
      </c>
      <c r="M218" s="159">
        <f t="shared" ref="M218:AQ218" si="111">M215</f>
        <v>18.778165000000001</v>
      </c>
      <c r="N218" s="159">
        <f t="shared" si="111"/>
        <v>17.920008677361601</v>
      </c>
      <c r="O218" s="159">
        <f t="shared" si="111"/>
        <v>16.996816786707239</v>
      </c>
      <c r="P218" s="159">
        <f t="shared" si="111"/>
        <v>16.07362489605288</v>
      </c>
      <c r="Q218" s="159">
        <f t="shared" si="111"/>
        <v>15.150433005398519</v>
      </c>
      <c r="R218" s="159">
        <f t="shared" si="111"/>
        <v>14.22724111474416</v>
      </c>
      <c r="S218" s="159">
        <f t="shared" si="111"/>
        <v>13.304049224089802</v>
      </c>
      <c r="T218" s="159">
        <f t="shared" si="111"/>
        <v>12.380857333435443</v>
      </c>
      <c r="U218" s="159">
        <f t="shared" si="111"/>
        <v>11.457665442781085</v>
      </c>
      <c r="V218" s="159">
        <f t="shared" si="111"/>
        <v>10.534473552126725</v>
      </c>
      <c r="W218" s="159">
        <f t="shared" si="111"/>
        <v>9.611281661472372</v>
      </c>
      <c r="X218" s="159">
        <f t="shared" si="111"/>
        <v>9.5258955413543109</v>
      </c>
      <c r="Y218" s="159">
        <f t="shared" si="111"/>
        <v>9.4405094212362499</v>
      </c>
      <c r="Z218" s="159">
        <f t="shared" si="111"/>
        <v>9.3551233011181907</v>
      </c>
      <c r="AA218" s="159">
        <f t="shared" si="111"/>
        <v>9.2697371810001279</v>
      </c>
      <c r="AB218" s="159">
        <f t="shared" si="111"/>
        <v>9.1843510608820687</v>
      </c>
      <c r="AC218" s="159">
        <f t="shared" si="111"/>
        <v>9.0989649407640076</v>
      </c>
      <c r="AD218" s="159">
        <f t="shared" si="111"/>
        <v>9.0135788206459466</v>
      </c>
      <c r="AE218" s="159">
        <f t="shared" si="111"/>
        <v>8.9281927005278874</v>
      </c>
      <c r="AF218" s="159">
        <f t="shared" si="111"/>
        <v>8.8428065804098246</v>
      </c>
      <c r="AG218" s="159">
        <f t="shared" si="111"/>
        <v>8.7574204602917654</v>
      </c>
      <c r="AH218" s="159">
        <f t="shared" si="111"/>
        <v>8.6720343401737043</v>
      </c>
      <c r="AI218" s="159">
        <f t="shared" si="111"/>
        <v>8.5866482200556433</v>
      </c>
      <c r="AJ218" s="159">
        <f t="shared" si="111"/>
        <v>8.5012620999375823</v>
      </c>
      <c r="AK218" s="159">
        <f t="shared" si="111"/>
        <v>8.4158759798195213</v>
      </c>
      <c r="AL218" s="159">
        <f t="shared" si="111"/>
        <v>8.3304898597014621</v>
      </c>
      <c r="AM218" s="159">
        <f t="shared" si="111"/>
        <v>8.2451037395833993</v>
      </c>
      <c r="AN218" s="159">
        <f t="shared" si="111"/>
        <v>8.15971761946534</v>
      </c>
      <c r="AO218" s="159">
        <f t="shared" si="111"/>
        <v>8.074331499347279</v>
      </c>
      <c r="AP218" s="159">
        <f t="shared" si="111"/>
        <v>7.988945379229218</v>
      </c>
      <c r="AQ218" s="159">
        <f t="shared" si="111"/>
        <v>7.9035592591111534</v>
      </c>
      <c r="AV218"/>
      <c r="AW218"/>
      <c r="AX218"/>
      <c r="AY218"/>
      <c r="BB218"/>
      <c r="BC218"/>
      <c r="BD218"/>
      <c r="BE218"/>
      <c r="BF218"/>
      <c r="BJ218"/>
      <c r="BK218"/>
      <c r="BL218"/>
      <c r="BM218"/>
      <c r="BN218"/>
      <c r="BO218"/>
      <c r="BP218"/>
      <c r="BQ218"/>
    </row>
    <row r="219" spans="7:69" ht="14.25" customHeight="1" x14ac:dyDescent="0.2">
      <c r="G219" s="22"/>
      <c r="H219" s="254"/>
      <c r="J219" s="241"/>
      <c r="K219" s="19" t="s">
        <v>235</v>
      </c>
      <c r="L219" s="129" t="s">
        <v>218</v>
      </c>
      <c r="M219" s="160">
        <f t="shared" ref="M219:AQ219" si="112">M216</f>
        <v>18.778165000000001</v>
      </c>
      <c r="N219" s="160">
        <f t="shared" si="112"/>
        <v>17.920008677361601</v>
      </c>
      <c r="O219" s="160">
        <f t="shared" si="112"/>
        <v>17.219560951223354</v>
      </c>
      <c r="P219" s="160">
        <f t="shared" si="112"/>
        <v>16.519113225085107</v>
      </c>
      <c r="Q219" s="160">
        <f t="shared" si="112"/>
        <v>15.81866549894686</v>
      </c>
      <c r="R219" s="160">
        <f t="shared" si="112"/>
        <v>15.118217772808613</v>
      </c>
      <c r="S219" s="160">
        <f t="shared" si="112"/>
        <v>14.417770046670366</v>
      </c>
      <c r="T219" s="160">
        <f t="shared" si="112"/>
        <v>13.717322320532119</v>
      </c>
      <c r="U219" s="160">
        <f t="shared" si="112"/>
        <v>13.016874594393872</v>
      </c>
      <c r="V219" s="160">
        <f t="shared" si="112"/>
        <v>12.316426868255625</v>
      </c>
      <c r="W219" s="160">
        <f t="shared" si="112"/>
        <v>11.615979142117382</v>
      </c>
      <c r="X219" s="160">
        <f t="shared" si="112"/>
        <v>11.515744268085129</v>
      </c>
      <c r="Y219" s="160">
        <f t="shared" si="112"/>
        <v>11.415509394052879</v>
      </c>
      <c r="Z219" s="160">
        <f t="shared" si="112"/>
        <v>11.31527452002063</v>
      </c>
      <c r="AA219" s="160">
        <f t="shared" si="112"/>
        <v>11.21503964598838</v>
      </c>
      <c r="AB219" s="160">
        <f t="shared" si="112"/>
        <v>11.11480477195613</v>
      </c>
      <c r="AC219" s="160">
        <f t="shared" si="112"/>
        <v>11.014569897923881</v>
      </c>
      <c r="AD219" s="160">
        <f t="shared" si="112"/>
        <v>10.914335023891631</v>
      </c>
      <c r="AE219" s="160">
        <f t="shared" si="112"/>
        <v>10.814100149859382</v>
      </c>
      <c r="AF219" s="160">
        <f t="shared" si="112"/>
        <v>10.71386527582713</v>
      </c>
      <c r="AG219" s="160">
        <f t="shared" si="112"/>
        <v>10.613630401794881</v>
      </c>
      <c r="AH219" s="160">
        <f t="shared" si="112"/>
        <v>10.513395527762629</v>
      </c>
      <c r="AI219" s="160">
        <f t="shared" si="112"/>
        <v>10.41316065373038</v>
      </c>
      <c r="AJ219" s="160">
        <f t="shared" si="112"/>
        <v>10.31292577969813</v>
      </c>
      <c r="AK219" s="160">
        <f t="shared" si="112"/>
        <v>10.21269090566588</v>
      </c>
      <c r="AL219" s="160">
        <f t="shared" si="112"/>
        <v>10.112456031633631</v>
      </c>
      <c r="AM219" s="160">
        <f t="shared" si="112"/>
        <v>10.012221157601381</v>
      </c>
      <c r="AN219" s="160">
        <f t="shared" si="112"/>
        <v>9.9119862835691315</v>
      </c>
      <c r="AO219" s="160">
        <f t="shared" si="112"/>
        <v>9.8117514095368801</v>
      </c>
      <c r="AP219" s="160">
        <f t="shared" si="112"/>
        <v>9.7115165355046305</v>
      </c>
      <c r="AQ219" s="160">
        <f t="shared" si="112"/>
        <v>9.611281661472372</v>
      </c>
      <c r="AZ219"/>
      <c r="BA219"/>
    </row>
    <row r="220" spans="7:69" ht="14.25" customHeight="1" thickBot="1" x14ac:dyDescent="0.2">
      <c r="G220" s="22"/>
      <c r="H220" s="254"/>
      <c r="J220" s="241"/>
      <c r="K220" s="144" t="s">
        <v>235</v>
      </c>
      <c r="L220" s="144" t="s">
        <v>214</v>
      </c>
      <c r="M220" s="161">
        <f t="shared" ref="M220:AQ220" si="113">M217</f>
        <v>18.778165000000001</v>
      </c>
      <c r="N220" s="161">
        <f t="shared" si="113"/>
        <v>17.920008677361601</v>
      </c>
      <c r="O220" s="161">
        <f t="shared" si="113"/>
        <v>17.806094673028554</v>
      </c>
      <c r="P220" s="161">
        <f t="shared" si="113"/>
        <v>17.692180668695507</v>
      </c>
      <c r="Q220" s="161">
        <f t="shared" si="113"/>
        <v>17.578266664362459</v>
      </c>
      <c r="R220" s="161">
        <f t="shared" si="113"/>
        <v>17.464352660029412</v>
      </c>
      <c r="S220" s="161">
        <f t="shared" si="113"/>
        <v>17.350438655696365</v>
      </c>
      <c r="T220" s="161">
        <f t="shared" si="113"/>
        <v>17.236524651363318</v>
      </c>
      <c r="U220" s="161">
        <f t="shared" si="113"/>
        <v>17.122610647030271</v>
      </c>
      <c r="V220" s="161">
        <f t="shared" si="113"/>
        <v>17.008696642697224</v>
      </c>
      <c r="W220" s="161">
        <f t="shared" si="113"/>
        <v>16.894782638364184</v>
      </c>
      <c r="X220" s="161">
        <f t="shared" si="113"/>
        <v>16.630842463551847</v>
      </c>
      <c r="Y220" s="161">
        <f t="shared" si="113"/>
        <v>16.366902288739507</v>
      </c>
      <c r="Z220" s="161">
        <f t="shared" si="113"/>
        <v>16.102962113927166</v>
      </c>
      <c r="AA220" s="161">
        <f t="shared" si="113"/>
        <v>15.839021939114826</v>
      </c>
      <c r="AB220" s="161">
        <f t="shared" si="113"/>
        <v>15.575081764302489</v>
      </c>
      <c r="AC220" s="161">
        <f t="shared" si="113"/>
        <v>15.311141589490148</v>
      </c>
      <c r="AD220" s="161">
        <f t="shared" si="113"/>
        <v>15.047201414677808</v>
      </c>
      <c r="AE220" s="161">
        <f t="shared" si="113"/>
        <v>14.783261239865467</v>
      </c>
      <c r="AF220" s="161">
        <f t="shared" si="113"/>
        <v>14.519321065053131</v>
      </c>
      <c r="AG220" s="161">
        <f t="shared" si="113"/>
        <v>14.25538089024079</v>
      </c>
      <c r="AH220" s="161">
        <f t="shared" si="113"/>
        <v>13.99144071542845</v>
      </c>
      <c r="AI220" s="161">
        <f t="shared" si="113"/>
        <v>13.727500540616109</v>
      </c>
      <c r="AJ220" s="161">
        <f t="shared" si="113"/>
        <v>13.463560365803772</v>
      </c>
      <c r="AK220" s="161">
        <f t="shared" si="113"/>
        <v>13.199620190991432</v>
      </c>
      <c r="AL220" s="161">
        <f t="shared" si="113"/>
        <v>12.935680016179091</v>
      </c>
      <c r="AM220" s="161">
        <f t="shared" si="113"/>
        <v>12.671739841366751</v>
      </c>
      <c r="AN220" s="161">
        <f t="shared" si="113"/>
        <v>12.407799666554411</v>
      </c>
      <c r="AO220" s="161">
        <f t="shared" si="113"/>
        <v>12.14385949174207</v>
      </c>
      <c r="AP220" s="161">
        <f t="shared" si="113"/>
        <v>11.87991931692973</v>
      </c>
      <c r="AQ220" s="161">
        <f t="shared" si="113"/>
        <v>11.615979142117382</v>
      </c>
    </row>
    <row r="221" spans="7:69" ht="14.25" customHeight="1" thickTop="1" x14ac:dyDescent="0.2">
      <c r="G221" s="22"/>
      <c r="H221" s="254"/>
      <c r="J221" s="241"/>
      <c r="K221" s="140" t="s">
        <v>234</v>
      </c>
      <c r="L221" s="140" t="s">
        <v>219</v>
      </c>
      <c r="M221" s="159">
        <f t="shared" ref="M221:AQ221" si="114">M218</f>
        <v>18.778165000000001</v>
      </c>
      <c r="N221" s="159">
        <f t="shared" si="114"/>
        <v>17.920008677361601</v>
      </c>
      <c r="O221" s="159">
        <f t="shared" si="114"/>
        <v>16.996816786707239</v>
      </c>
      <c r="P221" s="159">
        <f t="shared" si="114"/>
        <v>16.07362489605288</v>
      </c>
      <c r="Q221" s="159">
        <f t="shared" si="114"/>
        <v>15.150433005398519</v>
      </c>
      <c r="R221" s="159">
        <f t="shared" si="114"/>
        <v>14.22724111474416</v>
      </c>
      <c r="S221" s="159">
        <f t="shared" si="114"/>
        <v>13.304049224089802</v>
      </c>
      <c r="T221" s="159">
        <f t="shared" si="114"/>
        <v>12.380857333435443</v>
      </c>
      <c r="U221" s="159">
        <f t="shared" si="114"/>
        <v>11.457665442781085</v>
      </c>
      <c r="V221" s="159">
        <f t="shared" si="114"/>
        <v>10.534473552126725</v>
      </c>
      <c r="W221" s="159">
        <f t="shared" si="114"/>
        <v>9.611281661472372</v>
      </c>
      <c r="X221" s="159">
        <f t="shared" si="114"/>
        <v>9.5258955413543109</v>
      </c>
      <c r="Y221" s="159">
        <f t="shared" si="114"/>
        <v>9.4405094212362499</v>
      </c>
      <c r="Z221" s="159">
        <f t="shared" si="114"/>
        <v>9.3551233011181907</v>
      </c>
      <c r="AA221" s="159">
        <f t="shared" si="114"/>
        <v>9.2697371810001279</v>
      </c>
      <c r="AB221" s="159">
        <f t="shared" si="114"/>
        <v>9.1843510608820687</v>
      </c>
      <c r="AC221" s="159">
        <f t="shared" si="114"/>
        <v>9.0989649407640076</v>
      </c>
      <c r="AD221" s="159">
        <f t="shared" si="114"/>
        <v>9.0135788206459466</v>
      </c>
      <c r="AE221" s="159">
        <f t="shared" si="114"/>
        <v>8.9281927005278874</v>
      </c>
      <c r="AF221" s="159">
        <f t="shared" si="114"/>
        <v>8.8428065804098246</v>
      </c>
      <c r="AG221" s="159">
        <f t="shared" si="114"/>
        <v>8.7574204602917654</v>
      </c>
      <c r="AH221" s="159">
        <f t="shared" si="114"/>
        <v>8.6720343401737043</v>
      </c>
      <c r="AI221" s="159">
        <f t="shared" si="114"/>
        <v>8.5866482200556433</v>
      </c>
      <c r="AJ221" s="159">
        <f t="shared" si="114"/>
        <v>8.5012620999375823</v>
      </c>
      <c r="AK221" s="159">
        <f t="shared" si="114"/>
        <v>8.4158759798195213</v>
      </c>
      <c r="AL221" s="159">
        <f t="shared" si="114"/>
        <v>8.3304898597014621</v>
      </c>
      <c r="AM221" s="159">
        <f t="shared" si="114"/>
        <v>8.2451037395833993</v>
      </c>
      <c r="AN221" s="159">
        <f t="shared" si="114"/>
        <v>8.15971761946534</v>
      </c>
      <c r="AO221" s="159">
        <f t="shared" si="114"/>
        <v>8.074331499347279</v>
      </c>
      <c r="AP221" s="159">
        <f t="shared" si="114"/>
        <v>7.988945379229218</v>
      </c>
      <c r="AQ221" s="159">
        <f t="shared" si="114"/>
        <v>7.9035592591111534</v>
      </c>
      <c r="AV221"/>
      <c r="AW221"/>
      <c r="AX221"/>
      <c r="AY221"/>
      <c r="BB221"/>
      <c r="BC221"/>
      <c r="BD221"/>
      <c r="BE221"/>
      <c r="BF221"/>
      <c r="BJ221"/>
      <c r="BK221"/>
      <c r="BL221"/>
      <c r="BM221"/>
      <c r="BN221"/>
      <c r="BO221"/>
      <c r="BP221"/>
      <c r="BQ221"/>
    </row>
    <row r="222" spans="7:69" ht="14.25" customHeight="1" x14ac:dyDescent="0.2">
      <c r="G222" s="22"/>
      <c r="H222" s="254"/>
      <c r="J222" s="241"/>
      <c r="K222" s="19" t="s">
        <v>234</v>
      </c>
      <c r="L222" s="129" t="s">
        <v>218</v>
      </c>
      <c r="M222" s="160">
        <f t="shared" ref="M222:AQ222" si="115">M219</f>
        <v>18.778165000000001</v>
      </c>
      <c r="N222" s="160">
        <f t="shared" si="115"/>
        <v>17.920008677361601</v>
      </c>
      <c r="O222" s="160">
        <f t="shared" si="115"/>
        <v>17.219560951223354</v>
      </c>
      <c r="P222" s="160">
        <f t="shared" si="115"/>
        <v>16.519113225085107</v>
      </c>
      <c r="Q222" s="160">
        <f t="shared" si="115"/>
        <v>15.81866549894686</v>
      </c>
      <c r="R222" s="160">
        <f t="shared" si="115"/>
        <v>15.118217772808613</v>
      </c>
      <c r="S222" s="160">
        <f t="shared" si="115"/>
        <v>14.417770046670366</v>
      </c>
      <c r="T222" s="160">
        <f t="shared" si="115"/>
        <v>13.717322320532119</v>
      </c>
      <c r="U222" s="160">
        <f t="shared" si="115"/>
        <v>13.016874594393872</v>
      </c>
      <c r="V222" s="160">
        <f t="shared" si="115"/>
        <v>12.316426868255625</v>
      </c>
      <c r="W222" s="160">
        <f t="shared" si="115"/>
        <v>11.615979142117382</v>
      </c>
      <c r="X222" s="160">
        <f t="shared" si="115"/>
        <v>11.515744268085129</v>
      </c>
      <c r="Y222" s="160">
        <f t="shared" si="115"/>
        <v>11.415509394052879</v>
      </c>
      <c r="Z222" s="160">
        <f t="shared" si="115"/>
        <v>11.31527452002063</v>
      </c>
      <c r="AA222" s="160">
        <f t="shared" si="115"/>
        <v>11.21503964598838</v>
      </c>
      <c r="AB222" s="160">
        <f t="shared" si="115"/>
        <v>11.11480477195613</v>
      </c>
      <c r="AC222" s="160">
        <f t="shared" si="115"/>
        <v>11.014569897923881</v>
      </c>
      <c r="AD222" s="160">
        <f t="shared" si="115"/>
        <v>10.914335023891631</v>
      </c>
      <c r="AE222" s="160">
        <f t="shared" si="115"/>
        <v>10.814100149859382</v>
      </c>
      <c r="AF222" s="160">
        <f t="shared" si="115"/>
        <v>10.71386527582713</v>
      </c>
      <c r="AG222" s="160">
        <f t="shared" si="115"/>
        <v>10.613630401794881</v>
      </c>
      <c r="AH222" s="160">
        <f t="shared" si="115"/>
        <v>10.513395527762629</v>
      </c>
      <c r="AI222" s="160">
        <f t="shared" si="115"/>
        <v>10.41316065373038</v>
      </c>
      <c r="AJ222" s="160">
        <f t="shared" si="115"/>
        <v>10.31292577969813</v>
      </c>
      <c r="AK222" s="160">
        <f t="shared" si="115"/>
        <v>10.21269090566588</v>
      </c>
      <c r="AL222" s="160">
        <f t="shared" si="115"/>
        <v>10.112456031633631</v>
      </c>
      <c r="AM222" s="160">
        <f t="shared" si="115"/>
        <v>10.012221157601381</v>
      </c>
      <c r="AN222" s="160">
        <f t="shared" si="115"/>
        <v>9.9119862835691315</v>
      </c>
      <c r="AO222" s="160">
        <f t="shared" si="115"/>
        <v>9.8117514095368801</v>
      </c>
      <c r="AP222" s="160">
        <f t="shared" si="115"/>
        <v>9.7115165355046305</v>
      </c>
      <c r="AQ222" s="160">
        <f t="shared" si="115"/>
        <v>9.611281661472372</v>
      </c>
      <c r="AZ222"/>
      <c r="BA222"/>
    </row>
    <row r="223" spans="7:69" ht="14.25" customHeight="1" thickBot="1" x14ac:dyDescent="0.2">
      <c r="G223" s="22"/>
      <c r="H223" s="254"/>
      <c r="J223" s="241"/>
      <c r="K223" s="144" t="s">
        <v>234</v>
      </c>
      <c r="L223" s="144" t="s">
        <v>214</v>
      </c>
      <c r="M223" s="161">
        <f t="shared" ref="M223:AQ223" si="116">M220</f>
        <v>18.778165000000001</v>
      </c>
      <c r="N223" s="161">
        <f t="shared" si="116"/>
        <v>17.920008677361601</v>
      </c>
      <c r="O223" s="161">
        <f t="shared" si="116"/>
        <v>17.806094673028554</v>
      </c>
      <c r="P223" s="161">
        <f t="shared" si="116"/>
        <v>17.692180668695507</v>
      </c>
      <c r="Q223" s="161">
        <f t="shared" si="116"/>
        <v>17.578266664362459</v>
      </c>
      <c r="R223" s="161">
        <f t="shared" si="116"/>
        <v>17.464352660029412</v>
      </c>
      <c r="S223" s="161">
        <f t="shared" si="116"/>
        <v>17.350438655696365</v>
      </c>
      <c r="T223" s="161">
        <f t="shared" si="116"/>
        <v>17.236524651363318</v>
      </c>
      <c r="U223" s="161">
        <f t="shared" si="116"/>
        <v>17.122610647030271</v>
      </c>
      <c r="V223" s="161">
        <f t="shared" si="116"/>
        <v>17.008696642697224</v>
      </c>
      <c r="W223" s="161">
        <f t="shared" si="116"/>
        <v>16.894782638364184</v>
      </c>
      <c r="X223" s="161">
        <f t="shared" si="116"/>
        <v>16.630842463551847</v>
      </c>
      <c r="Y223" s="161">
        <f t="shared" si="116"/>
        <v>16.366902288739507</v>
      </c>
      <c r="Z223" s="161">
        <f t="shared" si="116"/>
        <v>16.102962113927166</v>
      </c>
      <c r="AA223" s="161">
        <f t="shared" si="116"/>
        <v>15.839021939114826</v>
      </c>
      <c r="AB223" s="161">
        <f t="shared" si="116"/>
        <v>15.575081764302489</v>
      </c>
      <c r="AC223" s="161">
        <f t="shared" si="116"/>
        <v>15.311141589490148</v>
      </c>
      <c r="AD223" s="161">
        <f t="shared" si="116"/>
        <v>15.047201414677808</v>
      </c>
      <c r="AE223" s="161">
        <f t="shared" si="116"/>
        <v>14.783261239865467</v>
      </c>
      <c r="AF223" s="161">
        <f t="shared" si="116"/>
        <v>14.519321065053131</v>
      </c>
      <c r="AG223" s="161">
        <f t="shared" si="116"/>
        <v>14.25538089024079</v>
      </c>
      <c r="AH223" s="161">
        <f t="shared" si="116"/>
        <v>13.99144071542845</v>
      </c>
      <c r="AI223" s="161">
        <f t="shared" si="116"/>
        <v>13.727500540616109</v>
      </c>
      <c r="AJ223" s="161">
        <f t="shared" si="116"/>
        <v>13.463560365803772</v>
      </c>
      <c r="AK223" s="161">
        <f t="shared" si="116"/>
        <v>13.199620190991432</v>
      </c>
      <c r="AL223" s="161">
        <f t="shared" si="116"/>
        <v>12.935680016179091</v>
      </c>
      <c r="AM223" s="161">
        <f t="shared" si="116"/>
        <v>12.671739841366751</v>
      </c>
      <c r="AN223" s="161">
        <f t="shared" si="116"/>
        <v>12.407799666554411</v>
      </c>
      <c r="AO223" s="161">
        <f t="shared" si="116"/>
        <v>12.14385949174207</v>
      </c>
      <c r="AP223" s="161">
        <f t="shared" si="116"/>
        <v>11.87991931692973</v>
      </c>
      <c r="AQ223" s="161">
        <f t="shared" si="116"/>
        <v>11.615979142117382</v>
      </c>
    </row>
    <row r="224" spans="7:69" ht="14.25" customHeight="1" thickTop="1" x14ac:dyDescent="0.2">
      <c r="G224" s="22"/>
      <c r="H224" s="254"/>
      <c r="J224" s="241"/>
      <c r="K224" s="140" t="s">
        <v>233</v>
      </c>
      <c r="L224" s="140" t="s">
        <v>219</v>
      </c>
      <c r="M224" s="159">
        <f t="shared" ref="M224:AQ224" si="117">M221</f>
        <v>18.778165000000001</v>
      </c>
      <c r="N224" s="159">
        <f t="shared" si="117"/>
        <v>17.920008677361601</v>
      </c>
      <c r="O224" s="159">
        <f t="shared" si="117"/>
        <v>16.996816786707239</v>
      </c>
      <c r="P224" s="159">
        <f t="shared" si="117"/>
        <v>16.07362489605288</v>
      </c>
      <c r="Q224" s="159">
        <f t="shared" si="117"/>
        <v>15.150433005398519</v>
      </c>
      <c r="R224" s="159">
        <f t="shared" si="117"/>
        <v>14.22724111474416</v>
      </c>
      <c r="S224" s="159">
        <f t="shared" si="117"/>
        <v>13.304049224089802</v>
      </c>
      <c r="T224" s="159">
        <f t="shared" si="117"/>
        <v>12.380857333435443</v>
      </c>
      <c r="U224" s="159">
        <f t="shared" si="117"/>
        <v>11.457665442781085</v>
      </c>
      <c r="V224" s="159">
        <f t="shared" si="117"/>
        <v>10.534473552126725</v>
      </c>
      <c r="W224" s="159">
        <f t="shared" si="117"/>
        <v>9.611281661472372</v>
      </c>
      <c r="X224" s="159">
        <f t="shared" si="117"/>
        <v>9.5258955413543109</v>
      </c>
      <c r="Y224" s="159">
        <f t="shared" si="117"/>
        <v>9.4405094212362499</v>
      </c>
      <c r="Z224" s="159">
        <f t="shared" si="117"/>
        <v>9.3551233011181907</v>
      </c>
      <c r="AA224" s="159">
        <f t="shared" si="117"/>
        <v>9.2697371810001279</v>
      </c>
      <c r="AB224" s="159">
        <f t="shared" si="117"/>
        <v>9.1843510608820687</v>
      </c>
      <c r="AC224" s="159">
        <f t="shared" si="117"/>
        <v>9.0989649407640076</v>
      </c>
      <c r="AD224" s="159">
        <f t="shared" si="117"/>
        <v>9.0135788206459466</v>
      </c>
      <c r="AE224" s="159">
        <f t="shared" si="117"/>
        <v>8.9281927005278874</v>
      </c>
      <c r="AF224" s="159">
        <f t="shared" si="117"/>
        <v>8.8428065804098246</v>
      </c>
      <c r="AG224" s="159">
        <f t="shared" si="117"/>
        <v>8.7574204602917654</v>
      </c>
      <c r="AH224" s="159">
        <f t="shared" si="117"/>
        <v>8.6720343401737043</v>
      </c>
      <c r="AI224" s="159">
        <f t="shared" si="117"/>
        <v>8.5866482200556433</v>
      </c>
      <c r="AJ224" s="159">
        <f t="shared" si="117"/>
        <v>8.5012620999375823</v>
      </c>
      <c r="AK224" s="159">
        <f t="shared" si="117"/>
        <v>8.4158759798195213</v>
      </c>
      <c r="AL224" s="159">
        <f t="shared" si="117"/>
        <v>8.3304898597014621</v>
      </c>
      <c r="AM224" s="159">
        <f t="shared" si="117"/>
        <v>8.2451037395833993</v>
      </c>
      <c r="AN224" s="159">
        <f t="shared" si="117"/>
        <v>8.15971761946534</v>
      </c>
      <c r="AO224" s="159">
        <f t="shared" si="117"/>
        <v>8.074331499347279</v>
      </c>
      <c r="AP224" s="159">
        <f t="shared" si="117"/>
        <v>7.988945379229218</v>
      </c>
      <c r="AQ224" s="159">
        <f t="shared" si="117"/>
        <v>7.9035592591111534</v>
      </c>
      <c r="AV224"/>
      <c r="AW224"/>
      <c r="AX224"/>
      <c r="AY224"/>
      <c r="BB224"/>
      <c r="BC224"/>
      <c r="BD224"/>
      <c r="BE224"/>
      <c r="BF224"/>
      <c r="BJ224"/>
      <c r="BK224"/>
      <c r="BL224"/>
      <c r="BM224"/>
      <c r="BN224"/>
      <c r="BO224"/>
      <c r="BP224"/>
      <c r="BQ224"/>
    </row>
    <row r="225" spans="7:69" ht="14.25" customHeight="1" x14ac:dyDescent="0.2">
      <c r="G225" s="22"/>
      <c r="H225" s="254"/>
      <c r="J225" s="241"/>
      <c r="K225" s="19" t="s">
        <v>233</v>
      </c>
      <c r="L225" s="129" t="s">
        <v>218</v>
      </c>
      <c r="M225" s="160">
        <f t="shared" ref="M225:AQ225" si="118">M222</f>
        <v>18.778165000000001</v>
      </c>
      <c r="N225" s="160">
        <f t="shared" si="118"/>
        <v>17.920008677361601</v>
      </c>
      <c r="O225" s="160">
        <f t="shared" si="118"/>
        <v>17.219560951223354</v>
      </c>
      <c r="P225" s="160">
        <f t="shared" si="118"/>
        <v>16.519113225085107</v>
      </c>
      <c r="Q225" s="160">
        <f t="shared" si="118"/>
        <v>15.81866549894686</v>
      </c>
      <c r="R225" s="160">
        <f t="shared" si="118"/>
        <v>15.118217772808613</v>
      </c>
      <c r="S225" s="160">
        <f t="shared" si="118"/>
        <v>14.417770046670366</v>
      </c>
      <c r="T225" s="160">
        <f t="shared" si="118"/>
        <v>13.717322320532119</v>
      </c>
      <c r="U225" s="160">
        <f t="shared" si="118"/>
        <v>13.016874594393872</v>
      </c>
      <c r="V225" s="160">
        <f t="shared" si="118"/>
        <v>12.316426868255625</v>
      </c>
      <c r="W225" s="160">
        <f t="shared" si="118"/>
        <v>11.615979142117382</v>
      </c>
      <c r="X225" s="160">
        <f t="shared" si="118"/>
        <v>11.515744268085129</v>
      </c>
      <c r="Y225" s="160">
        <f t="shared" si="118"/>
        <v>11.415509394052879</v>
      </c>
      <c r="Z225" s="160">
        <f t="shared" si="118"/>
        <v>11.31527452002063</v>
      </c>
      <c r="AA225" s="160">
        <f t="shared" si="118"/>
        <v>11.21503964598838</v>
      </c>
      <c r="AB225" s="160">
        <f t="shared" si="118"/>
        <v>11.11480477195613</v>
      </c>
      <c r="AC225" s="160">
        <f t="shared" si="118"/>
        <v>11.014569897923881</v>
      </c>
      <c r="AD225" s="160">
        <f t="shared" si="118"/>
        <v>10.914335023891631</v>
      </c>
      <c r="AE225" s="160">
        <f t="shared" si="118"/>
        <v>10.814100149859382</v>
      </c>
      <c r="AF225" s="160">
        <f t="shared" si="118"/>
        <v>10.71386527582713</v>
      </c>
      <c r="AG225" s="160">
        <f t="shared" si="118"/>
        <v>10.613630401794881</v>
      </c>
      <c r="AH225" s="160">
        <f t="shared" si="118"/>
        <v>10.513395527762629</v>
      </c>
      <c r="AI225" s="160">
        <f t="shared" si="118"/>
        <v>10.41316065373038</v>
      </c>
      <c r="AJ225" s="160">
        <f t="shared" si="118"/>
        <v>10.31292577969813</v>
      </c>
      <c r="AK225" s="160">
        <f t="shared" si="118"/>
        <v>10.21269090566588</v>
      </c>
      <c r="AL225" s="160">
        <f t="shared" si="118"/>
        <v>10.112456031633631</v>
      </c>
      <c r="AM225" s="160">
        <f t="shared" si="118"/>
        <v>10.012221157601381</v>
      </c>
      <c r="AN225" s="160">
        <f t="shared" si="118"/>
        <v>9.9119862835691315</v>
      </c>
      <c r="AO225" s="160">
        <f t="shared" si="118"/>
        <v>9.8117514095368801</v>
      </c>
      <c r="AP225" s="160">
        <f t="shared" si="118"/>
        <v>9.7115165355046305</v>
      </c>
      <c r="AQ225" s="160">
        <f t="shared" si="118"/>
        <v>9.611281661472372</v>
      </c>
      <c r="AZ225"/>
      <c r="BA225"/>
    </row>
    <row r="226" spans="7:69" ht="14.25" customHeight="1" thickBot="1" x14ac:dyDescent="0.2">
      <c r="G226" s="22"/>
      <c r="H226" s="254"/>
      <c r="J226" s="241"/>
      <c r="K226" s="144" t="s">
        <v>233</v>
      </c>
      <c r="L226" s="144" t="s">
        <v>214</v>
      </c>
      <c r="M226" s="161">
        <f t="shared" ref="M226:AQ226" si="119">M223</f>
        <v>18.778165000000001</v>
      </c>
      <c r="N226" s="161">
        <f t="shared" si="119"/>
        <v>17.920008677361601</v>
      </c>
      <c r="O226" s="161">
        <f t="shared" si="119"/>
        <v>17.806094673028554</v>
      </c>
      <c r="P226" s="161">
        <f t="shared" si="119"/>
        <v>17.692180668695507</v>
      </c>
      <c r="Q226" s="161">
        <f t="shared" si="119"/>
        <v>17.578266664362459</v>
      </c>
      <c r="R226" s="161">
        <f t="shared" si="119"/>
        <v>17.464352660029412</v>
      </c>
      <c r="S226" s="161">
        <f t="shared" si="119"/>
        <v>17.350438655696365</v>
      </c>
      <c r="T226" s="161">
        <f t="shared" si="119"/>
        <v>17.236524651363318</v>
      </c>
      <c r="U226" s="161">
        <f t="shared" si="119"/>
        <v>17.122610647030271</v>
      </c>
      <c r="V226" s="161">
        <f t="shared" si="119"/>
        <v>17.008696642697224</v>
      </c>
      <c r="W226" s="161">
        <f t="shared" si="119"/>
        <v>16.894782638364184</v>
      </c>
      <c r="X226" s="161">
        <f t="shared" si="119"/>
        <v>16.630842463551847</v>
      </c>
      <c r="Y226" s="161">
        <f t="shared" si="119"/>
        <v>16.366902288739507</v>
      </c>
      <c r="Z226" s="161">
        <f t="shared" si="119"/>
        <v>16.102962113927166</v>
      </c>
      <c r="AA226" s="161">
        <f t="shared" si="119"/>
        <v>15.839021939114826</v>
      </c>
      <c r="AB226" s="161">
        <f t="shared" si="119"/>
        <v>15.575081764302489</v>
      </c>
      <c r="AC226" s="161">
        <f t="shared" si="119"/>
        <v>15.311141589490148</v>
      </c>
      <c r="AD226" s="161">
        <f t="shared" si="119"/>
        <v>15.047201414677808</v>
      </c>
      <c r="AE226" s="161">
        <f t="shared" si="119"/>
        <v>14.783261239865467</v>
      </c>
      <c r="AF226" s="161">
        <f t="shared" si="119"/>
        <v>14.519321065053131</v>
      </c>
      <c r="AG226" s="161">
        <f t="shared" si="119"/>
        <v>14.25538089024079</v>
      </c>
      <c r="AH226" s="161">
        <f t="shared" si="119"/>
        <v>13.99144071542845</v>
      </c>
      <c r="AI226" s="161">
        <f t="shared" si="119"/>
        <v>13.727500540616109</v>
      </c>
      <c r="AJ226" s="161">
        <f t="shared" si="119"/>
        <v>13.463560365803772</v>
      </c>
      <c r="AK226" s="161">
        <f t="shared" si="119"/>
        <v>13.199620190991432</v>
      </c>
      <c r="AL226" s="161">
        <f t="shared" si="119"/>
        <v>12.935680016179091</v>
      </c>
      <c r="AM226" s="161">
        <f t="shared" si="119"/>
        <v>12.671739841366751</v>
      </c>
      <c r="AN226" s="161">
        <f t="shared" si="119"/>
        <v>12.407799666554411</v>
      </c>
      <c r="AO226" s="161">
        <f t="shared" si="119"/>
        <v>12.14385949174207</v>
      </c>
      <c r="AP226" s="161">
        <f t="shared" si="119"/>
        <v>11.87991931692973</v>
      </c>
      <c r="AQ226" s="161">
        <f t="shared" si="119"/>
        <v>11.615979142117382</v>
      </c>
    </row>
    <row r="227" spans="7:69" ht="14.25" customHeight="1" thickTop="1" x14ac:dyDescent="0.15">
      <c r="G227" s="22"/>
      <c r="H227" s="254"/>
      <c r="J227" s="241"/>
      <c r="K227" s="140" t="s">
        <v>232</v>
      </c>
      <c r="L227" s="140" t="s">
        <v>219</v>
      </c>
      <c r="M227" s="159">
        <f t="shared" ref="M227:AQ227" si="120">M224</f>
        <v>18.778165000000001</v>
      </c>
      <c r="N227" s="159">
        <f t="shared" si="120"/>
        <v>17.920008677361601</v>
      </c>
      <c r="O227" s="159">
        <f t="shared" si="120"/>
        <v>16.996816786707239</v>
      </c>
      <c r="P227" s="159">
        <f t="shared" si="120"/>
        <v>16.07362489605288</v>
      </c>
      <c r="Q227" s="159">
        <f t="shared" si="120"/>
        <v>15.150433005398519</v>
      </c>
      <c r="R227" s="159">
        <f t="shared" si="120"/>
        <v>14.22724111474416</v>
      </c>
      <c r="S227" s="159">
        <f t="shared" si="120"/>
        <v>13.304049224089802</v>
      </c>
      <c r="T227" s="159">
        <f t="shared" si="120"/>
        <v>12.380857333435443</v>
      </c>
      <c r="U227" s="159">
        <f t="shared" si="120"/>
        <v>11.457665442781085</v>
      </c>
      <c r="V227" s="159">
        <f t="shared" si="120"/>
        <v>10.534473552126725</v>
      </c>
      <c r="W227" s="159">
        <f t="shared" si="120"/>
        <v>9.611281661472372</v>
      </c>
      <c r="X227" s="159">
        <f t="shared" si="120"/>
        <v>9.5258955413543109</v>
      </c>
      <c r="Y227" s="159">
        <f t="shared" si="120"/>
        <v>9.4405094212362499</v>
      </c>
      <c r="Z227" s="159">
        <f t="shared" si="120"/>
        <v>9.3551233011181907</v>
      </c>
      <c r="AA227" s="159">
        <f t="shared" si="120"/>
        <v>9.2697371810001279</v>
      </c>
      <c r="AB227" s="159">
        <f t="shared" si="120"/>
        <v>9.1843510608820687</v>
      </c>
      <c r="AC227" s="159">
        <f t="shared" si="120"/>
        <v>9.0989649407640076</v>
      </c>
      <c r="AD227" s="159">
        <f t="shared" si="120"/>
        <v>9.0135788206459466</v>
      </c>
      <c r="AE227" s="159">
        <f t="shared" si="120"/>
        <v>8.9281927005278874</v>
      </c>
      <c r="AF227" s="159">
        <f t="shared" si="120"/>
        <v>8.8428065804098246</v>
      </c>
      <c r="AG227" s="159">
        <f t="shared" si="120"/>
        <v>8.7574204602917654</v>
      </c>
      <c r="AH227" s="159">
        <f t="shared" si="120"/>
        <v>8.6720343401737043</v>
      </c>
      <c r="AI227" s="159">
        <f t="shared" si="120"/>
        <v>8.5866482200556433</v>
      </c>
      <c r="AJ227" s="159">
        <f t="shared" si="120"/>
        <v>8.5012620999375823</v>
      </c>
      <c r="AK227" s="159">
        <f t="shared" si="120"/>
        <v>8.4158759798195213</v>
      </c>
      <c r="AL227" s="159">
        <f t="shared" si="120"/>
        <v>8.3304898597014621</v>
      </c>
      <c r="AM227" s="159">
        <f t="shared" si="120"/>
        <v>8.2451037395833993</v>
      </c>
      <c r="AN227" s="159">
        <f t="shared" si="120"/>
        <v>8.15971761946534</v>
      </c>
      <c r="AO227" s="159">
        <f t="shared" si="120"/>
        <v>8.074331499347279</v>
      </c>
      <c r="AP227" s="159">
        <f t="shared" si="120"/>
        <v>7.988945379229218</v>
      </c>
      <c r="AQ227" s="159">
        <f t="shared" si="120"/>
        <v>7.9035592591111534</v>
      </c>
    </row>
    <row r="228" spans="7:69" ht="14.25" customHeight="1" x14ac:dyDescent="0.15">
      <c r="G228" s="22"/>
      <c r="H228" s="254"/>
      <c r="J228" s="241"/>
      <c r="K228" s="19" t="s">
        <v>232</v>
      </c>
      <c r="L228" s="129" t="s">
        <v>218</v>
      </c>
      <c r="M228" s="160">
        <f t="shared" ref="M228:AQ228" si="121">M225</f>
        <v>18.778165000000001</v>
      </c>
      <c r="N228" s="160">
        <f t="shared" si="121"/>
        <v>17.920008677361601</v>
      </c>
      <c r="O228" s="160">
        <f t="shared" si="121"/>
        <v>17.219560951223354</v>
      </c>
      <c r="P228" s="160">
        <f t="shared" si="121"/>
        <v>16.519113225085107</v>
      </c>
      <c r="Q228" s="160">
        <f t="shared" si="121"/>
        <v>15.81866549894686</v>
      </c>
      <c r="R228" s="160">
        <f t="shared" si="121"/>
        <v>15.118217772808613</v>
      </c>
      <c r="S228" s="160">
        <f t="shared" si="121"/>
        <v>14.417770046670366</v>
      </c>
      <c r="T228" s="160">
        <f t="shared" si="121"/>
        <v>13.717322320532119</v>
      </c>
      <c r="U228" s="160">
        <f t="shared" si="121"/>
        <v>13.016874594393872</v>
      </c>
      <c r="V228" s="160">
        <f t="shared" si="121"/>
        <v>12.316426868255625</v>
      </c>
      <c r="W228" s="160">
        <f t="shared" si="121"/>
        <v>11.615979142117382</v>
      </c>
      <c r="X228" s="160">
        <f t="shared" si="121"/>
        <v>11.515744268085129</v>
      </c>
      <c r="Y228" s="160">
        <f t="shared" si="121"/>
        <v>11.415509394052879</v>
      </c>
      <c r="Z228" s="160">
        <f t="shared" si="121"/>
        <v>11.31527452002063</v>
      </c>
      <c r="AA228" s="160">
        <f t="shared" si="121"/>
        <v>11.21503964598838</v>
      </c>
      <c r="AB228" s="160">
        <f t="shared" si="121"/>
        <v>11.11480477195613</v>
      </c>
      <c r="AC228" s="160">
        <f t="shared" si="121"/>
        <v>11.014569897923881</v>
      </c>
      <c r="AD228" s="160">
        <f t="shared" si="121"/>
        <v>10.914335023891631</v>
      </c>
      <c r="AE228" s="160">
        <f t="shared" si="121"/>
        <v>10.814100149859382</v>
      </c>
      <c r="AF228" s="160">
        <f t="shared" si="121"/>
        <v>10.71386527582713</v>
      </c>
      <c r="AG228" s="160">
        <f t="shared" si="121"/>
        <v>10.613630401794881</v>
      </c>
      <c r="AH228" s="160">
        <f t="shared" si="121"/>
        <v>10.513395527762629</v>
      </c>
      <c r="AI228" s="160">
        <f t="shared" si="121"/>
        <v>10.41316065373038</v>
      </c>
      <c r="AJ228" s="160">
        <f t="shared" si="121"/>
        <v>10.31292577969813</v>
      </c>
      <c r="AK228" s="160">
        <f t="shared" si="121"/>
        <v>10.21269090566588</v>
      </c>
      <c r="AL228" s="160">
        <f t="shared" si="121"/>
        <v>10.112456031633631</v>
      </c>
      <c r="AM228" s="160">
        <f t="shared" si="121"/>
        <v>10.012221157601381</v>
      </c>
      <c r="AN228" s="160">
        <f t="shared" si="121"/>
        <v>9.9119862835691315</v>
      </c>
      <c r="AO228" s="160">
        <f t="shared" si="121"/>
        <v>9.8117514095368801</v>
      </c>
      <c r="AP228" s="160">
        <f t="shared" si="121"/>
        <v>9.7115165355046305</v>
      </c>
      <c r="AQ228" s="160">
        <f t="shared" si="121"/>
        <v>9.611281661472372</v>
      </c>
    </row>
    <row r="229" spans="7:69" ht="14.25" customHeight="1" thickBot="1" x14ac:dyDescent="0.2">
      <c r="G229" s="22"/>
      <c r="H229" s="254"/>
      <c r="J229" s="241"/>
      <c r="K229" s="144" t="s">
        <v>232</v>
      </c>
      <c r="L229" s="144" t="s">
        <v>214</v>
      </c>
      <c r="M229" s="161">
        <f t="shared" ref="M229:AQ229" si="122">M226</f>
        <v>18.778165000000001</v>
      </c>
      <c r="N229" s="161">
        <f t="shared" si="122"/>
        <v>17.920008677361601</v>
      </c>
      <c r="O229" s="161">
        <f t="shared" si="122"/>
        <v>17.806094673028554</v>
      </c>
      <c r="P229" s="161">
        <f t="shared" si="122"/>
        <v>17.692180668695507</v>
      </c>
      <c r="Q229" s="161">
        <f t="shared" si="122"/>
        <v>17.578266664362459</v>
      </c>
      <c r="R229" s="161">
        <f t="shared" si="122"/>
        <v>17.464352660029412</v>
      </c>
      <c r="S229" s="161">
        <f t="shared" si="122"/>
        <v>17.350438655696365</v>
      </c>
      <c r="T229" s="161">
        <f t="shared" si="122"/>
        <v>17.236524651363318</v>
      </c>
      <c r="U229" s="161">
        <f t="shared" si="122"/>
        <v>17.122610647030271</v>
      </c>
      <c r="V229" s="161">
        <f t="shared" si="122"/>
        <v>17.008696642697224</v>
      </c>
      <c r="W229" s="161">
        <f t="shared" si="122"/>
        <v>16.894782638364184</v>
      </c>
      <c r="X229" s="161">
        <f t="shared" si="122"/>
        <v>16.630842463551847</v>
      </c>
      <c r="Y229" s="161">
        <f t="shared" si="122"/>
        <v>16.366902288739507</v>
      </c>
      <c r="Z229" s="161">
        <f t="shared" si="122"/>
        <v>16.102962113927166</v>
      </c>
      <c r="AA229" s="161">
        <f t="shared" si="122"/>
        <v>15.839021939114826</v>
      </c>
      <c r="AB229" s="161">
        <f t="shared" si="122"/>
        <v>15.575081764302489</v>
      </c>
      <c r="AC229" s="161">
        <f t="shared" si="122"/>
        <v>15.311141589490148</v>
      </c>
      <c r="AD229" s="161">
        <f t="shared" si="122"/>
        <v>15.047201414677808</v>
      </c>
      <c r="AE229" s="161">
        <f t="shared" si="122"/>
        <v>14.783261239865467</v>
      </c>
      <c r="AF229" s="161">
        <f t="shared" si="122"/>
        <v>14.519321065053131</v>
      </c>
      <c r="AG229" s="161">
        <f t="shared" si="122"/>
        <v>14.25538089024079</v>
      </c>
      <c r="AH229" s="161">
        <f t="shared" si="122"/>
        <v>13.99144071542845</v>
      </c>
      <c r="AI229" s="161">
        <f t="shared" si="122"/>
        <v>13.727500540616109</v>
      </c>
      <c r="AJ229" s="161">
        <f t="shared" si="122"/>
        <v>13.463560365803772</v>
      </c>
      <c r="AK229" s="161">
        <f t="shared" si="122"/>
        <v>13.199620190991432</v>
      </c>
      <c r="AL229" s="161">
        <f t="shared" si="122"/>
        <v>12.935680016179091</v>
      </c>
      <c r="AM229" s="161">
        <f t="shared" si="122"/>
        <v>12.671739841366751</v>
      </c>
      <c r="AN229" s="161">
        <f t="shared" si="122"/>
        <v>12.407799666554411</v>
      </c>
      <c r="AO229" s="161">
        <f t="shared" si="122"/>
        <v>12.14385949174207</v>
      </c>
      <c r="AP229" s="161">
        <f t="shared" si="122"/>
        <v>11.87991931692973</v>
      </c>
      <c r="AQ229" s="161">
        <f t="shared" si="122"/>
        <v>11.615979142117382</v>
      </c>
    </row>
    <row r="230" spans="7:69" ht="14.25" customHeight="1" thickTop="1" x14ac:dyDescent="0.2">
      <c r="G230" s="22"/>
      <c r="H230" s="254"/>
      <c r="J230" s="241"/>
      <c r="K230" s="140" t="s">
        <v>231</v>
      </c>
      <c r="L230" s="140" t="s">
        <v>219</v>
      </c>
      <c r="M230" s="159">
        <f t="shared" ref="M230:AQ230" si="123">M227</f>
        <v>18.778165000000001</v>
      </c>
      <c r="N230" s="159">
        <f t="shared" si="123"/>
        <v>17.920008677361601</v>
      </c>
      <c r="O230" s="159">
        <f t="shared" si="123"/>
        <v>16.996816786707239</v>
      </c>
      <c r="P230" s="159">
        <f t="shared" si="123"/>
        <v>16.07362489605288</v>
      </c>
      <c r="Q230" s="159">
        <f t="shared" si="123"/>
        <v>15.150433005398519</v>
      </c>
      <c r="R230" s="159">
        <f t="shared" si="123"/>
        <v>14.22724111474416</v>
      </c>
      <c r="S230" s="159">
        <f t="shared" si="123"/>
        <v>13.304049224089802</v>
      </c>
      <c r="T230" s="159">
        <f t="shared" si="123"/>
        <v>12.380857333435443</v>
      </c>
      <c r="U230" s="159">
        <f t="shared" si="123"/>
        <v>11.457665442781085</v>
      </c>
      <c r="V230" s="159">
        <f t="shared" si="123"/>
        <v>10.534473552126725</v>
      </c>
      <c r="W230" s="159">
        <f t="shared" si="123"/>
        <v>9.611281661472372</v>
      </c>
      <c r="X230" s="159">
        <f t="shared" si="123"/>
        <v>9.5258955413543109</v>
      </c>
      <c r="Y230" s="159">
        <f t="shared" si="123"/>
        <v>9.4405094212362499</v>
      </c>
      <c r="Z230" s="159">
        <f t="shared" si="123"/>
        <v>9.3551233011181907</v>
      </c>
      <c r="AA230" s="159">
        <f t="shared" si="123"/>
        <v>9.2697371810001279</v>
      </c>
      <c r="AB230" s="159">
        <f t="shared" si="123"/>
        <v>9.1843510608820687</v>
      </c>
      <c r="AC230" s="159">
        <f t="shared" si="123"/>
        <v>9.0989649407640076</v>
      </c>
      <c r="AD230" s="159">
        <f t="shared" si="123"/>
        <v>9.0135788206459466</v>
      </c>
      <c r="AE230" s="159">
        <f t="shared" si="123"/>
        <v>8.9281927005278874</v>
      </c>
      <c r="AF230" s="159">
        <f t="shared" si="123"/>
        <v>8.8428065804098246</v>
      </c>
      <c r="AG230" s="159">
        <f t="shared" si="123"/>
        <v>8.7574204602917654</v>
      </c>
      <c r="AH230" s="159">
        <f t="shared" si="123"/>
        <v>8.6720343401737043</v>
      </c>
      <c r="AI230" s="159">
        <f t="shared" si="123"/>
        <v>8.5866482200556433</v>
      </c>
      <c r="AJ230" s="159">
        <f t="shared" si="123"/>
        <v>8.5012620999375823</v>
      </c>
      <c r="AK230" s="159">
        <f t="shared" si="123"/>
        <v>8.4158759798195213</v>
      </c>
      <c r="AL230" s="159">
        <f t="shared" si="123"/>
        <v>8.3304898597014621</v>
      </c>
      <c r="AM230" s="159">
        <f t="shared" si="123"/>
        <v>8.2451037395833993</v>
      </c>
      <c r="AN230" s="159">
        <f t="shared" si="123"/>
        <v>8.15971761946534</v>
      </c>
      <c r="AO230" s="159">
        <f t="shared" si="123"/>
        <v>8.074331499347279</v>
      </c>
      <c r="AP230" s="159">
        <f t="shared" si="123"/>
        <v>7.988945379229218</v>
      </c>
      <c r="AQ230" s="159">
        <f t="shared" si="123"/>
        <v>7.9035592591111534</v>
      </c>
      <c r="AR230"/>
      <c r="AS230"/>
    </row>
    <row r="231" spans="7:69" ht="14.25" customHeight="1" x14ac:dyDescent="0.15">
      <c r="G231" s="22"/>
      <c r="H231" s="254"/>
      <c r="J231" s="241"/>
      <c r="K231" s="19" t="s">
        <v>231</v>
      </c>
      <c r="L231" s="129" t="s">
        <v>218</v>
      </c>
      <c r="M231" s="160">
        <f t="shared" ref="M231:AQ231" si="124">M228</f>
        <v>18.778165000000001</v>
      </c>
      <c r="N231" s="160">
        <f t="shared" si="124"/>
        <v>17.920008677361601</v>
      </c>
      <c r="O231" s="160">
        <f t="shared" si="124"/>
        <v>17.219560951223354</v>
      </c>
      <c r="P231" s="160">
        <f t="shared" si="124"/>
        <v>16.519113225085107</v>
      </c>
      <c r="Q231" s="160">
        <f t="shared" si="124"/>
        <v>15.81866549894686</v>
      </c>
      <c r="R231" s="160">
        <f t="shared" si="124"/>
        <v>15.118217772808613</v>
      </c>
      <c r="S231" s="160">
        <f t="shared" si="124"/>
        <v>14.417770046670366</v>
      </c>
      <c r="T231" s="160">
        <f t="shared" si="124"/>
        <v>13.717322320532119</v>
      </c>
      <c r="U231" s="160">
        <f t="shared" si="124"/>
        <v>13.016874594393872</v>
      </c>
      <c r="V231" s="160">
        <f t="shared" si="124"/>
        <v>12.316426868255625</v>
      </c>
      <c r="W231" s="160">
        <f t="shared" si="124"/>
        <v>11.615979142117382</v>
      </c>
      <c r="X231" s="160">
        <f t="shared" si="124"/>
        <v>11.515744268085129</v>
      </c>
      <c r="Y231" s="160">
        <f t="shared" si="124"/>
        <v>11.415509394052879</v>
      </c>
      <c r="Z231" s="160">
        <f t="shared" si="124"/>
        <v>11.31527452002063</v>
      </c>
      <c r="AA231" s="160">
        <f t="shared" si="124"/>
        <v>11.21503964598838</v>
      </c>
      <c r="AB231" s="160">
        <f t="shared" si="124"/>
        <v>11.11480477195613</v>
      </c>
      <c r="AC231" s="160">
        <f t="shared" si="124"/>
        <v>11.014569897923881</v>
      </c>
      <c r="AD231" s="160">
        <f t="shared" si="124"/>
        <v>10.914335023891631</v>
      </c>
      <c r="AE231" s="160">
        <f t="shared" si="124"/>
        <v>10.814100149859382</v>
      </c>
      <c r="AF231" s="160">
        <f t="shared" si="124"/>
        <v>10.71386527582713</v>
      </c>
      <c r="AG231" s="160">
        <f t="shared" si="124"/>
        <v>10.613630401794881</v>
      </c>
      <c r="AH231" s="160">
        <f t="shared" si="124"/>
        <v>10.513395527762629</v>
      </c>
      <c r="AI231" s="160">
        <f t="shared" si="124"/>
        <v>10.41316065373038</v>
      </c>
      <c r="AJ231" s="160">
        <f t="shared" si="124"/>
        <v>10.31292577969813</v>
      </c>
      <c r="AK231" s="160">
        <f t="shared" si="124"/>
        <v>10.21269090566588</v>
      </c>
      <c r="AL231" s="160">
        <f t="shared" si="124"/>
        <v>10.112456031633631</v>
      </c>
      <c r="AM231" s="160">
        <f t="shared" si="124"/>
        <v>10.012221157601381</v>
      </c>
      <c r="AN231" s="160">
        <f t="shared" si="124"/>
        <v>9.9119862835691315</v>
      </c>
      <c r="AO231" s="160">
        <f t="shared" si="124"/>
        <v>9.8117514095368801</v>
      </c>
      <c r="AP231" s="160">
        <f t="shared" si="124"/>
        <v>9.7115165355046305</v>
      </c>
      <c r="AQ231" s="160">
        <f t="shared" si="124"/>
        <v>9.611281661472372</v>
      </c>
    </row>
    <row r="232" spans="7:69" ht="14.25" customHeight="1" thickBot="1" x14ac:dyDescent="0.25">
      <c r="G232" s="22"/>
      <c r="H232" s="254"/>
      <c r="J232" s="241"/>
      <c r="K232" s="144" t="s">
        <v>231</v>
      </c>
      <c r="L232" s="144" t="s">
        <v>214</v>
      </c>
      <c r="M232" s="161">
        <f t="shared" ref="M232:AQ232" si="125">M229</f>
        <v>18.778165000000001</v>
      </c>
      <c r="N232" s="161">
        <f t="shared" si="125"/>
        <v>17.920008677361601</v>
      </c>
      <c r="O232" s="161">
        <f t="shared" si="125"/>
        <v>17.806094673028554</v>
      </c>
      <c r="P232" s="161">
        <f t="shared" si="125"/>
        <v>17.692180668695507</v>
      </c>
      <c r="Q232" s="161">
        <f t="shared" si="125"/>
        <v>17.578266664362459</v>
      </c>
      <c r="R232" s="161">
        <f t="shared" si="125"/>
        <v>17.464352660029412</v>
      </c>
      <c r="S232" s="161">
        <f t="shared" si="125"/>
        <v>17.350438655696365</v>
      </c>
      <c r="T232" s="161">
        <f t="shared" si="125"/>
        <v>17.236524651363318</v>
      </c>
      <c r="U232" s="161">
        <f t="shared" si="125"/>
        <v>17.122610647030271</v>
      </c>
      <c r="V232" s="161">
        <f t="shared" si="125"/>
        <v>17.008696642697224</v>
      </c>
      <c r="W232" s="161">
        <f t="shared" si="125"/>
        <v>16.894782638364184</v>
      </c>
      <c r="X232" s="161">
        <f t="shared" si="125"/>
        <v>16.630842463551847</v>
      </c>
      <c r="Y232" s="161">
        <f t="shared" si="125"/>
        <v>16.366902288739507</v>
      </c>
      <c r="Z232" s="161">
        <f t="shared" si="125"/>
        <v>16.102962113927166</v>
      </c>
      <c r="AA232" s="161">
        <f t="shared" si="125"/>
        <v>15.839021939114826</v>
      </c>
      <c r="AB232" s="161">
        <f t="shared" si="125"/>
        <v>15.575081764302489</v>
      </c>
      <c r="AC232" s="161">
        <f t="shared" si="125"/>
        <v>15.311141589490148</v>
      </c>
      <c r="AD232" s="161">
        <f t="shared" si="125"/>
        <v>15.047201414677808</v>
      </c>
      <c r="AE232" s="161">
        <f t="shared" si="125"/>
        <v>14.783261239865467</v>
      </c>
      <c r="AF232" s="161">
        <f t="shared" si="125"/>
        <v>14.519321065053131</v>
      </c>
      <c r="AG232" s="161">
        <f t="shared" si="125"/>
        <v>14.25538089024079</v>
      </c>
      <c r="AH232" s="161">
        <f t="shared" si="125"/>
        <v>13.99144071542845</v>
      </c>
      <c r="AI232" s="161">
        <f t="shared" si="125"/>
        <v>13.727500540616109</v>
      </c>
      <c r="AJ232" s="161">
        <f t="shared" si="125"/>
        <v>13.463560365803772</v>
      </c>
      <c r="AK232" s="161">
        <f t="shared" si="125"/>
        <v>13.199620190991432</v>
      </c>
      <c r="AL232" s="161">
        <f t="shared" si="125"/>
        <v>12.935680016179091</v>
      </c>
      <c r="AM232" s="161">
        <f t="shared" si="125"/>
        <v>12.671739841366751</v>
      </c>
      <c r="AN232" s="161">
        <f t="shared" si="125"/>
        <v>12.407799666554411</v>
      </c>
      <c r="AO232" s="161">
        <f t="shared" si="125"/>
        <v>12.14385949174207</v>
      </c>
      <c r="AP232" s="161">
        <f t="shared" si="125"/>
        <v>11.87991931692973</v>
      </c>
      <c r="AQ232" s="161">
        <f t="shared" si="125"/>
        <v>11.615979142117382</v>
      </c>
      <c r="BG232"/>
      <c r="BH232"/>
      <c r="BI232"/>
    </row>
    <row r="233" spans="7:69" ht="14.25" customHeight="1" thickTop="1" x14ac:dyDescent="0.2">
      <c r="G233" s="22"/>
      <c r="H233" s="254"/>
      <c r="J233" s="241"/>
      <c r="K233" s="140" t="s">
        <v>230</v>
      </c>
      <c r="L233" s="140" t="s">
        <v>219</v>
      </c>
      <c r="M233" s="159">
        <f t="shared" ref="M233:AQ233" si="126">M230</f>
        <v>18.778165000000001</v>
      </c>
      <c r="N233" s="159">
        <f t="shared" si="126"/>
        <v>17.920008677361601</v>
      </c>
      <c r="O233" s="159">
        <f t="shared" si="126"/>
        <v>16.996816786707239</v>
      </c>
      <c r="P233" s="159">
        <f t="shared" si="126"/>
        <v>16.07362489605288</v>
      </c>
      <c r="Q233" s="159">
        <f t="shared" si="126"/>
        <v>15.150433005398519</v>
      </c>
      <c r="R233" s="159">
        <f t="shared" si="126"/>
        <v>14.22724111474416</v>
      </c>
      <c r="S233" s="159">
        <f t="shared" si="126"/>
        <v>13.304049224089802</v>
      </c>
      <c r="T233" s="159">
        <f t="shared" si="126"/>
        <v>12.380857333435443</v>
      </c>
      <c r="U233" s="159">
        <f t="shared" si="126"/>
        <v>11.457665442781085</v>
      </c>
      <c r="V233" s="159">
        <f t="shared" si="126"/>
        <v>10.534473552126725</v>
      </c>
      <c r="W233" s="159">
        <f t="shared" si="126"/>
        <v>9.611281661472372</v>
      </c>
      <c r="X233" s="159">
        <f t="shared" si="126"/>
        <v>9.5258955413543109</v>
      </c>
      <c r="Y233" s="159">
        <f t="shared" si="126"/>
        <v>9.4405094212362499</v>
      </c>
      <c r="Z233" s="159">
        <f t="shared" si="126"/>
        <v>9.3551233011181907</v>
      </c>
      <c r="AA233" s="159">
        <f t="shared" si="126"/>
        <v>9.2697371810001279</v>
      </c>
      <c r="AB233" s="159">
        <f t="shared" si="126"/>
        <v>9.1843510608820687</v>
      </c>
      <c r="AC233" s="159">
        <f t="shared" si="126"/>
        <v>9.0989649407640076</v>
      </c>
      <c r="AD233" s="159">
        <f t="shared" si="126"/>
        <v>9.0135788206459466</v>
      </c>
      <c r="AE233" s="159">
        <f t="shared" si="126"/>
        <v>8.9281927005278874</v>
      </c>
      <c r="AF233" s="159">
        <f t="shared" si="126"/>
        <v>8.8428065804098246</v>
      </c>
      <c r="AG233" s="159">
        <f t="shared" si="126"/>
        <v>8.7574204602917654</v>
      </c>
      <c r="AH233" s="159">
        <f t="shared" si="126"/>
        <v>8.6720343401737043</v>
      </c>
      <c r="AI233" s="159">
        <f t="shared" si="126"/>
        <v>8.5866482200556433</v>
      </c>
      <c r="AJ233" s="159">
        <f t="shared" si="126"/>
        <v>8.5012620999375823</v>
      </c>
      <c r="AK233" s="159">
        <f t="shared" si="126"/>
        <v>8.4158759798195213</v>
      </c>
      <c r="AL233" s="159">
        <f t="shared" si="126"/>
        <v>8.3304898597014621</v>
      </c>
      <c r="AM233" s="159">
        <f t="shared" si="126"/>
        <v>8.2451037395833993</v>
      </c>
      <c r="AN233" s="159">
        <f t="shared" si="126"/>
        <v>8.15971761946534</v>
      </c>
      <c r="AO233" s="159">
        <f t="shared" si="126"/>
        <v>8.074331499347279</v>
      </c>
      <c r="AP233" s="159">
        <f t="shared" si="126"/>
        <v>7.988945379229218</v>
      </c>
      <c r="AQ233" s="159">
        <f t="shared" si="126"/>
        <v>7.9035592591111534</v>
      </c>
      <c r="AV233"/>
      <c r="AW233"/>
      <c r="AX233"/>
      <c r="AY233"/>
      <c r="BB233"/>
      <c r="BC233"/>
      <c r="BD233"/>
      <c r="BE233"/>
      <c r="BF233"/>
      <c r="BJ233"/>
      <c r="BK233"/>
      <c r="BL233"/>
      <c r="BM233"/>
      <c r="BN233"/>
      <c r="BO233"/>
      <c r="BP233"/>
      <c r="BQ233"/>
    </row>
    <row r="234" spans="7:69" ht="14.25" customHeight="1" x14ac:dyDescent="0.2">
      <c r="G234" s="22"/>
      <c r="H234" s="254"/>
      <c r="J234" s="241"/>
      <c r="K234" s="19" t="s">
        <v>230</v>
      </c>
      <c r="L234" s="129" t="s">
        <v>218</v>
      </c>
      <c r="M234" s="160">
        <f t="shared" ref="M234:AQ234" si="127">M231</f>
        <v>18.778165000000001</v>
      </c>
      <c r="N234" s="160">
        <f t="shared" si="127"/>
        <v>17.920008677361601</v>
      </c>
      <c r="O234" s="160">
        <f t="shared" si="127"/>
        <v>17.219560951223354</v>
      </c>
      <c r="P234" s="160">
        <f t="shared" si="127"/>
        <v>16.519113225085107</v>
      </c>
      <c r="Q234" s="160">
        <f t="shared" si="127"/>
        <v>15.81866549894686</v>
      </c>
      <c r="R234" s="160">
        <f t="shared" si="127"/>
        <v>15.118217772808613</v>
      </c>
      <c r="S234" s="160">
        <f t="shared" si="127"/>
        <v>14.417770046670366</v>
      </c>
      <c r="T234" s="160">
        <f t="shared" si="127"/>
        <v>13.717322320532119</v>
      </c>
      <c r="U234" s="160">
        <f t="shared" si="127"/>
        <v>13.016874594393872</v>
      </c>
      <c r="V234" s="160">
        <f t="shared" si="127"/>
        <v>12.316426868255625</v>
      </c>
      <c r="W234" s="160">
        <f t="shared" si="127"/>
        <v>11.615979142117382</v>
      </c>
      <c r="X234" s="160">
        <f t="shared" si="127"/>
        <v>11.515744268085129</v>
      </c>
      <c r="Y234" s="160">
        <f t="shared" si="127"/>
        <v>11.415509394052879</v>
      </c>
      <c r="Z234" s="160">
        <f t="shared" si="127"/>
        <v>11.31527452002063</v>
      </c>
      <c r="AA234" s="160">
        <f t="shared" si="127"/>
        <v>11.21503964598838</v>
      </c>
      <c r="AB234" s="160">
        <f t="shared" si="127"/>
        <v>11.11480477195613</v>
      </c>
      <c r="AC234" s="160">
        <f t="shared" si="127"/>
        <v>11.014569897923881</v>
      </c>
      <c r="AD234" s="160">
        <f t="shared" si="127"/>
        <v>10.914335023891631</v>
      </c>
      <c r="AE234" s="160">
        <f t="shared" si="127"/>
        <v>10.814100149859382</v>
      </c>
      <c r="AF234" s="160">
        <f t="shared" si="127"/>
        <v>10.71386527582713</v>
      </c>
      <c r="AG234" s="160">
        <f t="shared" si="127"/>
        <v>10.613630401794881</v>
      </c>
      <c r="AH234" s="160">
        <f t="shared" si="127"/>
        <v>10.513395527762629</v>
      </c>
      <c r="AI234" s="160">
        <f t="shared" si="127"/>
        <v>10.41316065373038</v>
      </c>
      <c r="AJ234" s="160">
        <f t="shared" si="127"/>
        <v>10.31292577969813</v>
      </c>
      <c r="AK234" s="160">
        <f t="shared" si="127"/>
        <v>10.21269090566588</v>
      </c>
      <c r="AL234" s="160">
        <f t="shared" si="127"/>
        <v>10.112456031633631</v>
      </c>
      <c r="AM234" s="160">
        <f t="shared" si="127"/>
        <v>10.012221157601381</v>
      </c>
      <c r="AN234" s="160">
        <f t="shared" si="127"/>
        <v>9.9119862835691315</v>
      </c>
      <c r="AO234" s="160">
        <f t="shared" si="127"/>
        <v>9.8117514095368801</v>
      </c>
      <c r="AP234" s="160">
        <f t="shared" si="127"/>
        <v>9.7115165355046305</v>
      </c>
      <c r="AQ234" s="160">
        <f t="shared" si="127"/>
        <v>9.611281661472372</v>
      </c>
      <c r="AZ234"/>
      <c r="BA234"/>
    </row>
    <row r="235" spans="7:69" ht="14.25" customHeight="1" thickBot="1" x14ac:dyDescent="0.2">
      <c r="G235" s="22"/>
      <c r="H235" s="254"/>
      <c r="J235" s="241"/>
      <c r="K235" s="144" t="s">
        <v>230</v>
      </c>
      <c r="L235" s="144" t="s">
        <v>214</v>
      </c>
      <c r="M235" s="161">
        <f t="shared" ref="M235:AQ235" si="128">M232</f>
        <v>18.778165000000001</v>
      </c>
      <c r="N235" s="161">
        <f t="shared" si="128"/>
        <v>17.920008677361601</v>
      </c>
      <c r="O235" s="161">
        <f t="shared" si="128"/>
        <v>17.806094673028554</v>
      </c>
      <c r="P235" s="161">
        <f t="shared" si="128"/>
        <v>17.692180668695507</v>
      </c>
      <c r="Q235" s="161">
        <f t="shared" si="128"/>
        <v>17.578266664362459</v>
      </c>
      <c r="R235" s="161">
        <f t="shared" si="128"/>
        <v>17.464352660029412</v>
      </c>
      <c r="S235" s="161">
        <f t="shared" si="128"/>
        <v>17.350438655696365</v>
      </c>
      <c r="T235" s="161">
        <f t="shared" si="128"/>
        <v>17.236524651363318</v>
      </c>
      <c r="U235" s="161">
        <f t="shared" si="128"/>
        <v>17.122610647030271</v>
      </c>
      <c r="V235" s="161">
        <f t="shared" si="128"/>
        <v>17.008696642697224</v>
      </c>
      <c r="W235" s="161">
        <f t="shared" si="128"/>
        <v>16.894782638364184</v>
      </c>
      <c r="X235" s="161">
        <f t="shared" si="128"/>
        <v>16.630842463551847</v>
      </c>
      <c r="Y235" s="161">
        <f t="shared" si="128"/>
        <v>16.366902288739507</v>
      </c>
      <c r="Z235" s="161">
        <f t="shared" si="128"/>
        <v>16.102962113927166</v>
      </c>
      <c r="AA235" s="161">
        <f t="shared" si="128"/>
        <v>15.839021939114826</v>
      </c>
      <c r="AB235" s="161">
        <f t="shared" si="128"/>
        <v>15.575081764302489</v>
      </c>
      <c r="AC235" s="161">
        <f t="shared" si="128"/>
        <v>15.311141589490148</v>
      </c>
      <c r="AD235" s="161">
        <f t="shared" si="128"/>
        <v>15.047201414677808</v>
      </c>
      <c r="AE235" s="161">
        <f t="shared" si="128"/>
        <v>14.783261239865467</v>
      </c>
      <c r="AF235" s="161">
        <f t="shared" si="128"/>
        <v>14.519321065053131</v>
      </c>
      <c r="AG235" s="161">
        <f t="shared" si="128"/>
        <v>14.25538089024079</v>
      </c>
      <c r="AH235" s="161">
        <f t="shared" si="128"/>
        <v>13.99144071542845</v>
      </c>
      <c r="AI235" s="161">
        <f t="shared" si="128"/>
        <v>13.727500540616109</v>
      </c>
      <c r="AJ235" s="161">
        <f t="shared" si="128"/>
        <v>13.463560365803772</v>
      </c>
      <c r="AK235" s="161">
        <f t="shared" si="128"/>
        <v>13.199620190991432</v>
      </c>
      <c r="AL235" s="161">
        <f t="shared" si="128"/>
        <v>12.935680016179091</v>
      </c>
      <c r="AM235" s="161">
        <f t="shared" si="128"/>
        <v>12.671739841366751</v>
      </c>
      <c r="AN235" s="161">
        <f t="shared" si="128"/>
        <v>12.407799666554411</v>
      </c>
      <c r="AO235" s="161">
        <f t="shared" si="128"/>
        <v>12.14385949174207</v>
      </c>
      <c r="AP235" s="161">
        <f t="shared" si="128"/>
        <v>11.87991931692973</v>
      </c>
      <c r="AQ235" s="161">
        <f t="shared" si="128"/>
        <v>11.615979142117382</v>
      </c>
    </row>
    <row r="236" spans="7:69" ht="14.25" customHeight="1" thickTop="1" x14ac:dyDescent="0.2">
      <c r="G236" s="22"/>
      <c r="H236" s="254"/>
      <c r="J236" s="241"/>
      <c r="K236" s="140" t="s">
        <v>229</v>
      </c>
      <c r="L236" s="140" t="s">
        <v>219</v>
      </c>
      <c r="M236" s="159">
        <f t="shared" ref="M236:AQ236" si="129">M233</f>
        <v>18.778165000000001</v>
      </c>
      <c r="N236" s="159">
        <f t="shared" si="129"/>
        <v>17.920008677361601</v>
      </c>
      <c r="O236" s="159">
        <f t="shared" si="129"/>
        <v>16.996816786707239</v>
      </c>
      <c r="P236" s="159">
        <f t="shared" si="129"/>
        <v>16.07362489605288</v>
      </c>
      <c r="Q236" s="159">
        <f t="shared" si="129"/>
        <v>15.150433005398519</v>
      </c>
      <c r="R236" s="159">
        <f t="shared" si="129"/>
        <v>14.22724111474416</v>
      </c>
      <c r="S236" s="159">
        <f t="shared" si="129"/>
        <v>13.304049224089802</v>
      </c>
      <c r="T236" s="159">
        <f t="shared" si="129"/>
        <v>12.380857333435443</v>
      </c>
      <c r="U236" s="159">
        <f t="shared" si="129"/>
        <v>11.457665442781085</v>
      </c>
      <c r="V236" s="159">
        <f t="shared" si="129"/>
        <v>10.534473552126725</v>
      </c>
      <c r="W236" s="159">
        <f t="shared" si="129"/>
        <v>9.611281661472372</v>
      </c>
      <c r="X236" s="159">
        <f t="shared" si="129"/>
        <v>9.5258955413543109</v>
      </c>
      <c r="Y236" s="159">
        <f t="shared" si="129"/>
        <v>9.4405094212362499</v>
      </c>
      <c r="Z236" s="159">
        <f t="shared" si="129"/>
        <v>9.3551233011181907</v>
      </c>
      <c r="AA236" s="159">
        <f t="shared" si="129"/>
        <v>9.2697371810001279</v>
      </c>
      <c r="AB236" s="159">
        <f t="shared" si="129"/>
        <v>9.1843510608820687</v>
      </c>
      <c r="AC236" s="159">
        <f t="shared" si="129"/>
        <v>9.0989649407640076</v>
      </c>
      <c r="AD236" s="159">
        <f t="shared" si="129"/>
        <v>9.0135788206459466</v>
      </c>
      <c r="AE236" s="159">
        <f t="shared" si="129"/>
        <v>8.9281927005278874</v>
      </c>
      <c r="AF236" s="159">
        <f t="shared" si="129"/>
        <v>8.8428065804098246</v>
      </c>
      <c r="AG236" s="159">
        <f t="shared" si="129"/>
        <v>8.7574204602917654</v>
      </c>
      <c r="AH236" s="159">
        <f t="shared" si="129"/>
        <v>8.6720343401737043</v>
      </c>
      <c r="AI236" s="159">
        <f t="shared" si="129"/>
        <v>8.5866482200556433</v>
      </c>
      <c r="AJ236" s="159">
        <f t="shared" si="129"/>
        <v>8.5012620999375823</v>
      </c>
      <c r="AK236" s="159">
        <f t="shared" si="129"/>
        <v>8.4158759798195213</v>
      </c>
      <c r="AL236" s="159">
        <f t="shared" si="129"/>
        <v>8.3304898597014621</v>
      </c>
      <c r="AM236" s="159">
        <f t="shared" si="129"/>
        <v>8.2451037395833993</v>
      </c>
      <c r="AN236" s="159">
        <f t="shared" si="129"/>
        <v>8.15971761946534</v>
      </c>
      <c r="AO236" s="159">
        <f t="shared" si="129"/>
        <v>8.074331499347279</v>
      </c>
      <c r="AP236" s="159">
        <f t="shared" si="129"/>
        <v>7.988945379229218</v>
      </c>
      <c r="AQ236" s="159">
        <f t="shared" si="129"/>
        <v>7.9035592591111534</v>
      </c>
      <c r="AV236"/>
      <c r="AW236"/>
      <c r="AX236"/>
      <c r="AY236"/>
      <c r="BB236"/>
      <c r="BC236"/>
      <c r="BD236"/>
      <c r="BE236"/>
      <c r="BF236"/>
      <c r="BJ236"/>
      <c r="BK236"/>
      <c r="BL236"/>
      <c r="BM236"/>
      <c r="BN236"/>
      <c r="BO236"/>
      <c r="BP236"/>
      <c r="BQ236"/>
    </row>
    <row r="237" spans="7:69" ht="14.25" customHeight="1" x14ac:dyDescent="0.2">
      <c r="G237" s="22"/>
      <c r="H237" s="254"/>
      <c r="J237" s="241"/>
      <c r="K237" s="19" t="s">
        <v>229</v>
      </c>
      <c r="L237" s="129" t="s">
        <v>218</v>
      </c>
      <c r="M237" s="160">
        <f t="shared" ref="M237:AQ237" si="130">M234</f>
        <v>18.778165000000001</v>
      </c>
      <c r="N237" s="160">
        <f t="shared" si="130"/>
        <v>17.920008677361601</v>
      </c>
      <c r="O237" s="160">
        <f t="shared" si="130"/>
        <v>17.219560951223354</v>
      </c>
      <c r="P237" s="160">
        <f t="shared" si="130"/>
        <v>16.519113225085107</v>
      </c>
      <c r="Q237" s="160">
        <f t="shared" si="130"/>
        <v>15.81866549894686</v>
      </c>
      <c r="R237" s="160">
        <f t="shared" si="130"/>
        <v>15.118217772808613</v>
      </c>
      <c r="S237" s="160">
        <f t="shared" si="130"/>
        <v>14.417770046670366</v>
      </c>
      <c r="T237" s="160">
        <f t="shared" si="130"/>
        <v>13.717322320532119</v>
      </c>
      <c r="U237" s="160">
        <f t="shared" si="130"/>
        <v>13.016874594393872</v>
      </c>
      <c r="V237" s="160">
        <f t="shared" si="130"/>
        <v>12.316426868255625</v>
      </c>
      <c r="W237" s="160">
        <f t="shared" si="130"/>
        <v>11.615979142117382</v>
      </c>
      <c r="X237" s="160">
        <f t="shared" si="130"/>
        <v>11.515744268085129</v>
      </c>
      <c r="Y237" s="160">
        <f t="shared" si="130"/>
        <v>11.415509394052879</v>
      </c>
      <c r="Z237" s="160">
        <f t="shared" si="130"/>
        <v>11.31527452002063</v>
      </c>
      <c r="AA237" s="160">
        <f t="shared" si="130"/>
        <v>11.21503964598838</v>
      </c>
      <c r="AB237" s="160">
        <f t="shared" si="130"/>
        <v>11.11480477195613</v>
      </c>
      <c r="AC237" s="160">
        <f t="shared" si="130"/>
        <v>11.014569897923881</v>
      </c>
      <c r="AD237" s="160">
        <f t="shared" si="130"/>
        <v>10.914335023891631</v>
      </c>
      <c r="AE237" s="160">
        <f t="shared" si="130"/>
        <v>10.814100149859382</v>
      </c>
      <c r="AF237" s="160">
        <f t="shared" si="130"/>
        <v>10.71386527582713</v>
      </c>
      <c r="AG237" s="160">
        <f t="shared" si="130"/>
        <v>10.613630401794881</v>
      </c>
      <c r="AH237" s="160">
        <f t="shared" si="130"/>
        <v>10.513395527762629</v>
      </c>
      <c r="AI237" s="160">
        <f t="shared" si="130"/>
        <v>10.41316065373038</v>
      </c>
      <c r="AJ237" s="160">
        <f t="shared" si="130"/>
        <v>10.31292577969813</v>
      </c>
      <c r="AK237" s="160">
        <f t="shared" si="130"/>
        <v>10.21269090566588</v>
      </c>
      <c r="AL237" s="160">
        <f t="shared" si="130"/>
        <v>10.112456031633631</v>
      </c>
      <c r="AM237" s="160">
        <f t="shared" si="130"/>
        <v>10.012221157601381</v>
      </c>
      <c r="AN237" s="160">
        <f t="shared" si="130"/>
        <v>9.9119862835691315</v>
      </c>
      <c r="AO237" s="160">
        <f t="shared" si="130"/>
        <v>9.8117514095368801</v>
      </c>
      <c r="AP237" s="160">
        <f t="shared" si="130"/>
        <v>9.7115165355046305</v>
      </c>
      <c r="AQ237" s="160">
        <f t="shared" si="130"/>
        <v>9.611281661472372</v>
      </c>
      <c r="AZ237"/>
      <c r="BA237"/>
    </row>
    <row r="238" spans="7:69" ht="14.25" customHeight="1" thickBot="1" x14ac:dyDescent="0.2">
      <c r="G238" s="22"/>
      <c r="H238" s="254"/>
      <c r="J238" s="241"/>
      <c r="K238" s="144" t="s">
        <v>229</v>
      </c>
      <c r="L238" s="144" t="s">
        <v>214</v>
      </c>
      <c r="M238" s="161">
        <f t="shared" ref="M238:AQ238" si="131">M235</f>
        <v>18.778165000000001</v>
      </c>
      <c r="N238" s="161">
        <f t="shared" si="131"/>
        <v>17.920008677361601</v>
      </c>
      <c r="O238" s="161">
        <f t="shared" si="131"/>
        <v>17.806094673028554</v>
      </c>
      <c r="P238" s="161">
        <f t="shared" si="131"/>
        <v>17.692180668695507</v>
      </c>
      <c r="Q238" s="161">
        <f t="shared" si="131"/>
        <v>17.578266664362459</v>
      </c>
      <c r="R238" s="161">
        <f t="shared" si="131"/>
        <v>17.464352660029412</v>
      </c>
      <c r="S238" s="161">
        <f t="shared" si="131"/>
        <v>17.350438655696365</v>
      </c>
      <c r="T238" s="161">
        <f t="shared" si="131"/>
        <v>17.236524651363318</v>
      </c>
      <c r="U238" s="161">
        <f t="shared" si="131"/>
        <v>17.122610647030271</v>
      </c>
      <c r="V238" s="161">
        <f t="shared" si="131"/>
        <v>17.008696642697224</v>
      </c>
      <c r="W238" s="161">
        <f t="shared" si="131"/>
        <v>16.894782638364184</v>
      </c>
      <c r="X238" s="161">
        <f t="shared" si="131"/>
        <v>16.630842463551847</v>
      </c>
      <c r="Y238" s="161">
        <f t="shared" si="131"/>
        <v>16.366902288739507</v>
      </c>
      <c r="Z238" s="161">
        <f t="shared" si="131"/>
        <v>16.102962113927166</v>
      </c>
      <c r="AA238" s="161">
        <f t="shared" si="131"/>
        <v>15.839021939114826</v>
      </c>
      <c r="AB238" s="161">
        <f t="shared" si="131"/>
        <v>15.575081764302489</v>
      </c>
      <c r="AC238" s="161">
        <f t="shared" si="131"/>
        <v>15.311141589490148</v>
      </c>
      <c r="AD238" s="161">
        <f t="shared" si="131"/>
        <v>15.047201414677808</v>
      </c>
      <c r="AE238" s="161">
        <f t="shared" si="131"/>
        <v>14.783261239865467</v>
      </c>
      <c r="AF238" s="161">
        <f t="shared" si="131"/>
        <v>14.519321065053131</v>
      </c>
      <c r="AG238" s="161">
        <f t="shared" si="131"/>
        <v>14.25538089024079</v>
      </c>
      <c r="AH238" s="161">
        <f t="shared" si="131"/>
        <v>13.99144071542845</v>
      </c>
      <c r="AI238" s="161">
        <f t="shared" si="131"/>
        <v>13.727500540616109</v>
      </c>
      <c r="AJ238" s="161">
        <f t="shared" si="131"/>
        <v>13.463560365803772</v>
      </c>
      <c r="AK238" s="161">
        <f t="shared" si="131"/>
        <v>13.199620190991432</v>
      </c>
      <c r="AL238" s="161">
        <f t="shared" si="131"/>
        <v>12.935680016179091</v>
      </c>
      <c r="AM238" s="161">
        <f t="shared" si="131"/>
        <v>12.671739841366751</v>
      </c>
      <c r="AN238" s="161">
        <f t="shared" si="131"/>
        <v>12.407799666554411</v>
      </c>
      <c r="AO238" s="161">
        <f t="shared" si="131"/>
        <v>12.14385949174207</v>
      </c>
      <c r="AP238" s="161">
        <f t="shared" si="131"/>
        <v>11.87991931692973</v>
      </c>
      <c r="AQ238" s="161">
        <f t="shared" si="131"/>
        <v>11.615979142117382</v>
      </c>
    </row>
    <row r="239" spans="7:69" ht="14.25" customHeight="1" thickTop="1" x14ac:dyDescent="0.2">
      <c r="G239" s="22"/>
      <c r="H239" s="254"/>
      <c r="J239" s="241"/>
      <c r="K239" s="140" t="s">
        <v>228</v>
      </c>
      <c r="L239" s="140" t="s">
        <v>219</v>
      </c>
      <c r="M239" s="159">
        <f t="shared" ref="M239:AQ239" si="132">M236</f>
        <v>18.778165000000001</v>
      </c>
      <c r="N239" s="159">
        <f t="shared" si="132"/>
        <v>17.920008677361601</v>
      </c>
      <c r="O239" s="159">
        <f t="shared" si="132"/>
        <v>16.996816786707239</v>
      </c>
      <c r="P239" s="159">
        <f t="shared" si="132"/>
        <v>16.07362489605288</v>
      </c>
      <c r="Q239" s="159">
        <f t="shared" si="132"/>
        <v>15.150433005398519</v>
      </c>
      <c r="R239" s="159">
        <f t="shared" si="132"/>
        <v>14.22724111474416</v>
      </c>
      <c r="S239" s="159">
        <f t="shared" si="132"/>
        <v>13.304049224089802</v>
      </c>
      <c r="T239" s="159">
        <f t="shared" si="132"/>
        <v>12.380857333435443</v>
      </c>
      <c r="U239" s="159">
        <f t="shared" si="132"/>
        <v>11.457665442781085</v>
      </c>
      <c r="V239" s="159">
        <f t="shared" si="132"/>
        <v>10.534473552126725</v>
      </c>
      <c r="W239" s="159">
        <f t="shared" si="132"/>
        <v>9.611281661472372</v>
      </c>
      <c r="X239" s="159">
        <f t="shared" si="132"/>
        <v>9.5258955413543109</v>
      </c>
      <c r="Y239" s="159">
        <f t="shared" si="132"/>
        <v>9.4405094212362499</v>
      </c>
      <c r="Z239" s="159">
        <f t="shared" si="132"/>
        <v>9.3551233011181907</v>
      </c>
      <c r="AA239" s="159">
        <f t="shared" si="132"/>
        <v>9.2697371810001279</v>
      </c>
      <c r="AB239" s="159">
        <f t="shared" si="132"/>
        <v>9.1843510608820687</v>
      </c>
      <c r="AC239" s="159">
        <f t="shared" si="132"/>
        <v>9.0989649407640076</v>
      </c>
      <c r="AD239" s="159">
        <f t="shared" si="132"/>
        <v>9.0135788206459466</v>
      </c>
      <c r="AE239" s="159">
        <f t="shared" si="132"/>
        <v>8.9281927005278874</v>
      </c>
      <c r="AF239" s="159">
        <f t="shared" si="132"/>
        <v>8.8428065804098246</v>
      </c>
      <c r="AG239" s="159">
        <f t="shared" si="132"/>
        <v>8.7574204602917654</v>
      </c>
      <c r="AH239" s="159">
        <f t="shared" si="132"/>
        <v>8.6720343401737043</v>
      </c>
      <c r="AI239" s="159">
        <f t="shared" si="132"/>
        <v>8.5866482200556433</v>
      </c>
      <c r="AJ239" s="159">
        <f t="shared" si="132"/>
        <v>8.5012620999375823</v>
      </c>
      <c r="AK239" s="159">
        <f t="shared" si="132"/>
        <v>8.4158759798195213</v>
      </c>
      <c r="AL239" s="159">
        <f t="shared" si="132"/>
        <v>8.3304898597014621</v>
      </c>
      <c r="AM239" s="159">
        <f t="shared" si="132"/>
        <v>8.2451037395833993</v>
      </c>
      <c r="AN239" s="159">
        <f t="shared" si="132"/>
        <v>8.15971761946534</v>
      </c>
      <c r="AO239" s="159">
        <f t="shared" si="132"/>
        <v>8.074331499347279</v>
      </c>
      <c r="AP239" s="159">
        <f t="shared" si="132"/>
        <v>7.988945379229218</v>
      </c>
      <c r="AQ239" s="159">
        <f t="shared" si="132"/>
        <v>7.9035592591111534</v>
      </c>
      <c r="AV239"/>
      <c r="AW239"/>
      <c r="AX239"/>
      <c r="AY239"/>
      <c r="BB239"/>
      <c r="BC239"/>
      <c r="BD239"/>
      <c r="BE239"/>
      <c r="BF239"/>
      <c r="BJ239"/>
      <c r="BK239"/>
      <c r="BL239"/>
      <c r="BM239"/>
      <c r="BN239"/>
      <c r="BO239"/>
      <c r="BP239"/>
      <c r="BQ239"/>
    </row>
    <row r="240" spans="7:69" ht="14.25" customHeight="1" x14ac:dyDescent="0.2">
      <c r="G240" s="22"/>
      <c r="H240" s="254"/>
      <c r="J240" s="241"/>
      <c r="K240" s="19" t="s">
        <v>228</v>
      </c>
      <c r="L240" s="129" t="s">
        <v>218</v>
      </c>
      <c r="M240" s="160">
        <f t="shared" ref="M240:AQ240" si="133">M237</f>
        <v>18.778165000000001</v>
      </c>
      <c r="N240" s="160">
        <f t="shared" si="133"/>
        <v>17.920008677361601</v>
      </c>
      <c r="O240" s="160">
        <f t="shared" si="133"/>
        <v>17.219560951223354</v>
      </c>
      <c r="P240" s="160">
        <f t="shared" si="133"/>
        <v>16.519113225085107</v>
      </c>
      <c r="Q240" s="160">
        <f t="shared" si="133"/>
        <v>15.81866549894686</v>
      </c>
      <c r="R240" s="160">
        <f t="shared" si="133"/>
        <v>15.118217772808613</v>
      </c>
      <c r="S240" s="160">
        <f t="shared" si="133"/>
        <v>14.417770046670366</v>
      </c>
      <c r="T240" s="160">
        <f t="shared" si="133"/>
        <v>13.717322320532119</v>
      </c>
      <c r="U240" s="160">
        <f t="shared" si="133"/>
        <v>13.016874594393872</v>
      </c>
      <c r="V240" s="160">
        <f t="shared" si="133"/>
        <v>12.316426868255625</v>
      </c>
      <c r="W240" s="160">
        <f t="shared" si="133"/>
        <v>11.615979142117382</v>
      </c>
      <c r="X240" s="160">
        <f t="shared" si="133"/>
        <v>11.515744268085129</v>
      </c>
      <c r="Y240" s="160">
        <f t="shared" si="133"/>
        <v>11.415509394052879</v>
      </c>
      <c r="Z240" s="160">
        <f t="shared" si="133"/>
        <v>11.31527452002063</v>
      </c>
      <c r="AA240" s="160">
        <f t="shared" si="133"/>
        <v>11.21503964598838</v>
      </c>
      <c r="AB240" s="160">
        <f t="shared" si="133"/>
        <v>11.11480477195613</v>
      </c>
      <c r="AC240" s="160">
        <f t="shared" si="133"/>
        <v>11.014569897923881</v>
      </c>
      <c r="AD240" s="160">
        <f t="shared" si="133"/>
        <v>10.914335023891631</v>
      </c>
      <c r="AE240" s="160">
        <f t="shared" si="133"/>
        <v>10.814100149859382</v>
      </c>
      <c r="AF240" s="160">
        <f t="shared" si="133"/>
        <v>10.71386527582713</v>
      </c>
      <c r="AG240" s="160">
        <f t="shared" si="133"/>
        <v>10.613630401794881</v>
      </c>
      <c r="AH240" s="160">
        <f t="shared" si="133"/>
        <v>10.513395527762629</v>
      </c>
      <c r="AI240" s="160">
        <f t="shared" si="133"/>
        <v>10.41316065373038</v>
      </c>
      <c r="AJ240" s="160">
        <f t="shared" si="133"/>
        <v>10.31292577969813</v>
      </c>
      <c r="AK240" s="160">
        <f t="shared" si="133"/>
        <v>10.21269090566588</v>
      </c>
      <c r="AL240" s="160">
        <f t="shared" si="133"/>
        <v>10.112456031633631</v>
      </c>
      <c r="AM240" s="160">
        <f t="shared" si="133"/>
        <v>10.012221157601381</v>
      </c>
      <c r="AN240" s="160">
        <f t="shared" si="133"/>
        <v>9.9119862835691315</v>
      </c>
      <c r="AO240" s="160">
        <f t="shared" si="133"/>
        <v>9.8117514095368801</v>
      </c>
      <c r="AP240" s="160">
        <f t="shared" si="133"/>
        <v>9.7115165355046305</v>
      </c>
      <c r="AQ240" s="160">
        <f t="shared" si="133"/>
        <v>9.611281661472372</v>
      </c>
      <c r="AZ240"/>
      <c r="BA240"/>
    </row>
    <row r="241" spans="1:99" ht="14.25" customHeight="1" thickBot="1" x14ac:dyDescent="0.2">
      <c r="G241" s="22"/>
      <c r="H241" s="254"/>
      <c r="J241" s="251"/>
      <c r="K241" s="144" t="s">
        <v>228</v>
      </c>
      <c r="L241" s="144" t="s">
        <v>214</v>
      </c>
      <c r="M241" s="161">
        <f t="shared" ref="M241:AQ241" si="134">M238</f>
        <v>18.778165000000001</v>
      </c>
      <c r="N241" s="161">
        <f t="shared" si="134"/>
        <v>17.920008677361601</v>
      </c>
      <c r="O241" s="161">
        <f t="shared" si="134"/>
        <v>17.806094673028554</v>
      </c>
      <c r="P241" s="161">
        <f t="shared" si="134"/>
        <v>17.692180668695507</v>
      </c>
      <c r="Q241" s="161">
        <f t="shared" si="134"/>
        <v>17.578266664362459</v>
      </c>
      <c r="R241" s="161">
        <f t="shared" si="134"/>
        <v>17.464352660029412</v>
      </c>
      <c r="S241" s="161">
        <f t="shared" si="134"/>
        <v>17.350438655696365</v>
      </c>
      <c r="T241" s="161">
        <f t="shared" si="134"/>
        <v>17.236524651363318</v>
      </c>
      <c r="U241" s="161">
        <f t="shared" si="134"/>
        <v>17.122610647030271</v>
      </c>
      <c r="V241" s="161">
        <f t="shared" si="134"/>
        <v>17.008696642697224</v>
      </c>
      <c r="W241" s="161">
        <f t="shared" si="134"/>
        <v>16.894782638364184</v>
      </c>
      <c r="X241" s="161">
        <f t="shared" si="134"/>
        <v>16.630842463551847</v>
      </c>
      <c r="Y241" s="161">
        <f t="shared" si="134"/>
        <v>16.366902288739507</v>
      </c>
      <c r="Z241" s="161">
        <f t="shared" si="134"/>
        <v>16.102962113927166</v>
      </c>
      <c r="AA241" s="161">
        <f t="shared" si="134"/>
        <v>15.839021939114826</v>
      </c>
      <c r="AB241" s="161">
        <f t="shared" si="134"/>
        <v>15.575081764302489</v>
      </c>
      <c r="AC241" s="161">
        <f t="shared" si="134"/>
        <v>15.311141589490148</v>
      </c>
      <c r="AD241" s="161">
        <f t="shared" si="134"/>
        <v>15.047201414677808</v>
      </c>
      <c r="AE241" s="161">
        <f t="shared" si="134"/>
        <v>14.783261239865467</v>
      </c>
      <c r="AF241" s="161">
        <f t="shared" si="134"/>
        <v>14.519321065053131</v>
      </c>
      <c r="AG241" s="161">
        <f t="shared" si="134"/>
        <v>14.25538089024079</v>
      </c>
      <c r="AH241" s="161">
        <f t="shared" si="134"/>
        <v>13.99144071542845</v>
      </c>
      <c r="AI241" s="161">
        <f t="shared" si="134"/>
        <v>13.727500540616109</v>
      </c>
      <c r="AJ241" s="161">
        <f t="shared" si="134"/>
        <v>13.463560365803772</v>
      </c>
      <c r="AK241" s="161">
        <f t="shared" si="134"/>
        <v>13.199620190991432</v>
      </c>
      <c r="AL241" s="161">
        <f t="shared" si="134"/>
        <v>12.935680016179091</v>
      </c>
      <c r="AM241" s="161">
        <f t="shared" si="134"/>
        <v>12.671739841366751</v>
      </c>
      <c r="AN241" s="161">
        <f t="shared" si="134"/>
        <v>12.407799666554411</v>
      </c>
      <c r="AO241" s="161">
        <f t="shared" si="134"/>
        <v>12.14385949174207</v>
      </c>
      <c r="AP241" s="161">
        <f t="shared" si="134"/>
        <v>11.87991931692973</v>
      </c>
      <c r="AQ241" s="161">
        <f t="shared" si="134"/>
        <v>11.615979142117382</v>
      </c>
    </row>
    <row r="242" spans="1:99" ht="14.25" customHeight="1" thickTop="1" x14ac:dyDescent="0.15">
      <c r="G242" s="22"/>
      <c r="H242" s="254"/>
      <c r="J242" s="147"/>
      <c r="K242" s="19"/>
      <c r="L242" s="19"/>
      <c r="M242" s="163"/>
      <c r="N242" s="163"/>
      <c r="O242" s="163"/>
      <c r="P242" s="163"/>
      <c r="Q242" s="163"/>
      <c r="R242" s="163"/>
      <c r="S242" s="163"/>
      <c r="T242" s="163"/>
      <c r="U242" s="163"/>
      <c r="V242" s="163"/>
      <c r="W242" s="163"/>
      <c r="X242" s="163"/>
      <c r="Y242" s="163"/>
      <c r="Z242" s="163"/>
      <c r="AA242" s="163"/>
      <c r="AB242" s="163"/>
      <c r="AC242" s="163"/>
      <c r="AD242" s="163"/>
      <c r="AE242" s="163"/>
      <c r="AF242" s="163"/>
      <c r="AG242" s="163"/>
      <c r="AH242" s="163"/>
      <c r="AI242" s="163"/>
      <c r="AJ242" s="163"/>
      <c r="AK242" s="163"/>
      <c r="AL242" s="163"/>
      <c r="AM242" s="163"/>
      <c r="AN242" s="163"/>
      <c r="AO242" s="163"/>
      <c r="AP242" s="163"/>
      <c r="AQ242" s="163"/>
    </row>
    <row r="243" spans="1:99" ht="14.25" customHeight="1" x14ac:dyDescent="0.15">
      <c r="G243" s="22"/>
      <c r="H243" s="254"/>
      <c r="M243" s="128">
        <v>2020</v>
      </c>
      <c r="N243" s="128">
        <v>2021</v>
      </c>
      <c r="O243" s="128">
        <v>2022</v>
      </c>
      <c r="P243" s="128">
        <v>2023</v>
      </c>
      <c r="Q243" s="128">
        <v>2024</v>
      </c>
      <c r="R243" s="128">
        <v>2025</v>
      </c>
      <c r="S243" s="128">
        <v>2026</v>
      </c>
      <c r="T243" s="128">
        <v>2027</v>
      </c>
      <c r="U243" s="128">
        <v>2028</v>
      </c>
      <c r="V243" s="128">
        <v>2029</v>
      </c>
      <c r="W243" s="128">
        <v>2030</v>
      </c>
      <c r="X243" s="128">
        <v>2031</v>
      </c>
      <c r="Y243" s="128">
        <v>2032</v>
      </c>
      <c r="Z243" s="128">
        <v>2033</v>
      </c>
      <c r="AA243" s="128">
        <v>2034</v>
      </c>
      <c r="AB243" s="128">
        <v>2035</v>
      </c>
      <c r="AC243" s="128">
        <v>2036</v>
      </c>
      <c r="AD243" s="128">
        <v>2037</v>
      </c>
      <c r="AE243" s="128">
        <v>2038</v>
      </c>
      <c r="AF243" s="128">
        <v>2039</v>
      </c>
      <c r="AG243" s="128">
        <v>2040</v>
      </c>
      <c r="AH243" s="128">
        <v>2041</v>
      </c>
      <c r="AI243" s="128">
        <v>2042</v>
      </c>
      <c r="AJ243" s="128">
        <v>2043</v>
      </c>
      <c r="AK243" s="128">
        <v>2044</v>
      </c>
      <c r="AL243" s="128">
        <v>2045</v>
      </c>
      <c r="AM243" s="128">
        <v>2046</v>
      </c>
      <c r="AN243" s="128">
        <v>2047</v>
      </c>
      <c r="AO243" s="128">
        <v>2048</v>
      </c>
      <c r="AP243" s="128">
        <v>2049</v>
      </c>
      <c r="AQ243" s="128">
        <v>2050</v>
      </c>
    </row>
    <row r="244" spans="1:99" ht="14.25" customHeight="1" x14ac:dyDescent="0.2">
      <c r="G244" s="22"/>
      <c r="H244" s="254"/>
      <c r="J244" s="240" t="s">
        <v>166</v>
      </c>
      <c r="K244" s="140" t="s">
        <v>237</v>
      </c>
      <c r="L244" s="140" t="s">
        <v>219</v>
      </c>
      <c r="M244" s="164">
        <v>0</v>
      </c>
      <c r="N244" s="164">
        <v>0</v>
      </c>
      <c r="O244" s="164">
        <v>0</v>
      </c>
      <c r="P244" s="164">
        <v>0</v>
      </c>
      <c r="Q244" s="164">
        <v>0</v>
      </c>
      <c r="R244" s="164">
        <v>0</v>
      </c>
      <c r="S244" s="164">
        <v>0</v>
      </c>
      <c r="T244" s="164">
        <v>0</v>
      </c>
      <c r="U244" s="164">
        <v>0</v>
      </c>
      <c r="V244" s="164">
        <v>0</v>
      </c>
      <c r="W244" s="164">
        <v>0</v>
      </c>
      <c r="X244" s="164">
        <v>0</v>
      </c>
      <c r="Y244" s="164">
        <v>0</v>
      </c>
      <c r="Z244" s="164">
        <v>0</v>
      </c>
      <c r="AA244" s="164">
        <v>0</v>
      </c>
      <c r="AB244" s="164">
        <v>0</v>
      </c>
      <c r="AC244" s="164">
        <v>0</v>
      </c>
      <c r="AD244" s="164">
        <v>0</v>
      </c>
      <c r="AE244" s="164">
        <v>0</v>
      </c>
      <c r="AF244" s="164">
        <v>0</v>
      </c>
      <c r="AG244" s="164">
        <v>0</v>
      </c>
      <c r="AH244" s="164">
        <v>0</v>
      </c>
      <c r="AI244" s="164">
        <v>0</v>
      </c>
      <c r="AJ244" s="164">
        <v>0</v>
      </c>
      <c r="AK244" s="164">
        <v>0</v>
      </c>
      <c r="AL244" s="164">
        <v>0</v>
      </c>
      <c r="AM244" s="164">
        <v>0</v>
      </c>
      <c r="AN244" s="164">
        <v>0</v>
      </c>
      <c r="AO244" s="164">
        <v>0</v>
      </c>
      <c r="AP244" s="164">
        <v>0</v>
      </c>
      <c r="AQ244" s="164">
        <v>0</v>
      </c>
      <c r="AT244"/>
      <c r="AU244"/>
    </row>
    <row r="245" spans="1:99" ht="14.25" customHeight="1" x14ac:dyDescent="0.15">
      <c r="G245" s="22"/>
      <c r="H245" s="254"/>
      <c r="J245" s="241"/>
      <c r="K245" s="19" t="s">
        <v>237</v>
      </c>
      <c r="L245" s="129" t="s">
        <v>218</v>
      </c>
      <c r="M245" s="165">
        <v>0</v>
      </c>
      <c r="N245" s="165">
        <v>0</v>
      </c>
      <c r="O245" s="165">
        <v>0</v>
      </c>
      <c r="P245" s="165">
        <v>0</v>
      </c>
      <c r="Q245" s="165">
        <v>0</v>
      </c>
      <c r="R245" s="165">
        <v>0</v>
      </c>
      <c r="S245" s="165">
        <v>0</v>
      </c>
      <c r="T245" s="165">
        <v>0</v>
      </c>
      <c r="U245" s="165">
        <v>0</v>
      </c>
      <c r="V245" s="165">
        <v>0</v>
      </c>
      <c r="W245" s="165">
        <v>0</v>
      </c>
      <c r="X245" s="165">
        <v>0</v>
      </c>
      <c r="Y245" s="165">
        <v>0</v>
      </c>
      <c r="Z245" s="165">
        <v>0</v>
      </c>
      <c r="AA245" s="165">
        <v>0</v>
      </c>
      <c r="AB245" s="165">
        <v>0</v>
      </c>
      <c r="AC245" s="165">
        <v>0</v>
      </c>
      <c r="AD245" s="165">
        <v>0</v>
      </c>
      <c r="AE245" s="165">
        <v>0</v>
      </c>
      <c r="AF245" s="165">
        <v>0</v>
      </c>
      <c r="AG245" s="165">
        <v>0</v>
      </c>
      <c r="AH245" s="165">
        <v>0</v>
      </c>
      <c r="AI245" s="165">
        <v>0</v>
      </c>
      <c r="AJ245" s="165">
        <v>0</v>
      </c>
      <c r="AK245" s="165">
        <v>0</v>
      </c>
      <c r="AL245" s="165">
        <v>0</v>
      </c>
      <c r="AM245" s="165">
        <v>0</v>
      </c>
      <c r="AN245" s="165">
        <v>0</v>
      </c>
      <c r="AO245" s="165">
        <v>0</v>
      </c>
      <c r="AP245" s="165">
        <v>0</v>
      </c>
      <c r="AQ245" s="165">
        <v>0</v>
      </c>
    </row>
    <row r="246" spans="1:99" ht="14.25" customHeight="1" thickBot="1" x14ac:dyDescent="0.2">
      <c r="G246" s="22"/>
      <c r="H246" s="254"/>
      <c r="J246" s="241"/>
      <c r="K246" s="144" t="s">
        <v>237</v>
      </c>
      <c r="L246" s="144" t="s">
        <v>214</v>
      </c>
      <c r="M246" s="166">
        <v>0</v>
      </c>
      <c r="N246" s="166">
        <v>0</v>
      </c>
      <c r="O246" s="166">
        <v>0</v>
      </c>
      <c r="P246" s="166">
        <v>0</v>
      </c>
      <c r="Q246" s="166">
        <v>0</v>
      </c>
      <c r="R246" s="166">
        <v>0</v>
      </c>
      <c r="S246" s="166">
        <v>0</v>
      </c>
      <c r="T246" s="166">
        <v>0</v>
      </c>
      <c r="U246" s="166">
        <v>0</v>
      </c>
      <c r="V246" s="166">
        <v>0</v>
      </c>
      <c r="W246" s="166">
        <v>0</v>
      </c>
      <c r="X246" s="166">
        <v>0</v>
      </c>
      <c r="Y246" s="166">
        <v>0</v>
      </c>
      <c r="Z246" s="166">
        <v>0</v>
      </c>
      <c r="AA246" s="166">
        <v>0</v>
      </c>
      <c r="AB246" s="166">
        <v>0</v>
      </c>
      <c r="AC246" s="166">
        <v>0</v>
      </c>
      <c r="AD246" s="166">
        <v>0</v>
      </c>
      <c r="AE246" s="166">
        <v>0</v>
      </c>
      <c r="AF246" s="166">
        <v>0</v>
      </c>
      <c r="AG246" s="166">
        <v>0</v>
      </c>
      <c r="AH246" s="166">
        <v>0</v>
      </c>
      <c r="AI246" s="166">
        <v>0</v>
      </c>
      <c r="AJ246" s="166">
        <v>0</v>
      </c>
      <c r="AK246" s="166">
        <v>0</v>
      </c>
      <c r="AL246" s="166">
        <v>0</v>
      </c>
      <c r="AM246" s="166">
        <v>0</v>
      </c>
      <c r="AN246" s="166">
        <v>0</v>
      </c>
      <c r="AO246" s="166">
        <v>0</v>
      </c>
      <c r="AP246" s="166">
        <v>0</v>
      </c>
      <c r="AQ246" s="166">
        <v>0</v>
      </c>
    </row>
    <row r="247" spans="1:99" ht="14.25" customHeight="1" thickTop="1" x14ac:dyDescent="0.2">
      <c r="G247" s="22"/>
      <c r="H247" s="254"/>
      <c r="J247" s="241"/>
      <c r="K247" s="140" t="s">
        <v>236</v>
      </c>
      <c r="L247" s="140" t="s">
        <v>219</v>
      </c>
      <c r="M247" s="167">
        <v>0</v>
      </c>
      <c r="N247" s="167">
        <v>0</v>
      </c>
      <c r="O247" s="167">
        <v>0</v>
      </c>
      <c r="P247" s="167">
        <v>0</v>
      </c>
      <c r="Q247" s="167">
        <v>0</v>
      </c>
      <c r="R247" s="167">
        <v>0</v>
      </c>
      <c r="S247" s="167">
        <v>0</v>
      </c>
      <c r="T247" s="167">
        <v>0</v>
      </c>
      <c r="U247" s="167">
        <v>0</v>
      </c>
      <c r="V247" s="167">
        <v>0</v>
      </c>
      <c r="W247" s="167">
        <v>0</v>
      </c>
      <c r="X247" s="167">
        <v>0</v>
      </c>
      <c r="Y247" s="167">
        <v>0</v>
      </c>
      <c r="Z247" s="167">
        <v>0</v>
      </c>
      <c r="AA247" s="167">
        <v>0</v>
      </c>
      <c r="AB247" s="167">
        <v>0</v>
      </c>
      <c r="AC247" s="167">
        <v>0</v>
      </c>
      <c r="AD247" s="167">
        <v>0</v>
      </c>
      <c r="AE247" s="167">
        <v>0</v>
      </c>
      <c r="AF247" s="167">
        <v>0</v>
      </c>
      <c r="AG247" s="167">
        <v>0</v>
      </c>
      <c r="AH247" s="167">
        <v>0</v>
      </c>
      <c r="AI247" s="167">
        <v>0</v>
      </c>
      <c r="AJ247" s="167">
        <v>0</v>
      </c>
      <c r="AK247" s="167">
        <v>0</v>
      </c>
      <c r="AL247" s="167">
        <v>0</v>
      </c>
      <c r="AM247" s="167">
        <v>0</v>
      </c>
      <c r="AN247" s="167">
        <v>0</v>
      </c>
      <c r="AO247" s="167">
        <v>0</v>
      </c>
      <c r="AP247" s="167">
        <v>0</v>
      </c>
      <c r="AQ247" s="167">
        <v>0</v>
      </c>
      <c r="AR247"/>
      <c r="AS247"/>
    </row>
    <row r="248" spans="1:99" ht="14.25" customHeight="1" x14ac:dyDescent="0.2">
      <c r="G248" s="22"/>
      <c r="H248" s="254"/>
      <c r="J248" s="241"/>
      <c r="K248" s="19" t="s">
        <v>236</v>
      </c>
      <c r="L248" s="129" t="s">
        <v>218</v>
      </c>
      <c r="M248" s="165">
        <v>0</v>
      </c>
      <c r="N248" s="165">
        <v>0</v>
      </c>
      <c r="O248" s="165">
        <v>0</v>
      </c>
      <c r="P248" s="165">
        <v>0</v>
      </c>
      <c r="Q248" s="165">
        <v>0</v>
      </c>
      <c r="R248" s="165">
        <v>0</v>
      </c>
      <c r="S248" s="165">
        <v>0</v>
      </c>
      <c r="T248" s="165">
        <v>0</v>
      </c>
      <c r="U248" s="165">
        <v>0</v>
      </c>
      <c r="V248" s="165">
        <v>0</v>
      </c>
      <c r="W248" s="165">
        <v>0</v>
      </c>
      <c r="X248" s="165">
        <v>0</v>
      </c>
      <c r="Y248" s="165">
        <v>0</v>
      </c>
      <c r="Z248" s="165">
        <v>0</v>
      </c>
      <c r="AA248" s="165">
        <v>0</v>
      </c>
      <c r="AB248" s="165">
        <v>0</v>
      </c>
      <c r="AC248" s="165">
        <v>0</v>
      </c>
      <c r="AD248" s="165">
        <v>0</v>
      </c>
      <c r="AE248" s="165">
        <v>0</v>
      </c>
      <c r="AF248" s="165">
        <v>0</v>
      </c>
      <c r="AG248" s="165">
        <v>0</v>
      </c>
      <c r="AH248" s="165">
        <v>0</v>
      </c>
      <c r="AI248" s="165">
        <v>0</v>
      </c>
      <c r="AJ248" s="165">
        <v>0</v>
      </c>
      <c r="AK248" s="165">
        <v>0</v>
      </c>
      <c r="AL248" s="165">
        <v>0</v>
      </c>
      <c r="AM248" s="165">
        <v>0</v>
      </c>
      <c r="AN248" s="165">
        <v>0</v>
      </c>
      <c r="AO248" s="165">
        <v>0</v>
      </c>
      <c r="AP248" s="165">
        <v>0</v>
      </c>
      <c r="AQ248" s="165">
        <v>0</v>
      </c>
      <c r="CN248"/>
      <c r="CO248"/>
      <c r="CP248"/>
      <c r="CQ248"/>
      <c r="CR248"/>
      <c r="CS248"/>
      <c r="CT248"/>
      <c r="CU248"/>
    </row>
    <row r="249" spans="1:99" ht="14.25" customHeight="1" thickBot="1" x14ac:dyDescent="0.25">
      <c r="G249" s="22"/>
      <c r="H249" s="254"/>
      <c r="J249" s="241"/>
      <c r="K249" s="144" t="s">
        <v>236</v>
      </c>
      <c r="L249" s="144" t="s">
        <v>214</v>
      </c>
      <c r="M249" s="166">
        <v>0</v>
      </c>
      <c r="N249" s="166">
        <v>0</v>
      </c>
      <c r="O249" s="166">
        <v>0</v>
      </c>
      <c r="P249" s="166">
        <v>0</v>
      </c>
      <c r="Q249" s="166">
        <v>0</v>
      </c>
      <c r="R249" s="166">
        <v>0</v>
      </c>
      <c r="S249" s="166">
        <v>0</v>
      </c>
      <c r="T249" s="166">
        <v>0</v>
      </c>
      <c r="U249" s="166">
        <v>0</v>
      </c>
      <c r="V249" s="166">
        <v>0</v>
      </c>
      <c r="W249" s="166">
        <v>0</v>
      </c>
      <c r="X249" s="166">
        <v>0</v>
      </c>
      <c r="Y249" s="166">
        <v>0</v>
      </c>
      <c r="Z249" s="166">
        <v>0</v>
      </c>
      <c r="AA249" s="166">
        <v>0</v>
      </c>
      <c r="AB249" s="166">
        <v>0</v>
      </c>
      <c r="AC249" s="166">
        <v>0</v>
      </c>
      <c r="AD249" s="166">
        <v>0</v>
      </c>
      <c r="AE249" s="166">
        <v>0</v>
      </c>
      <c r="AF249" s="166">
        <v>0</v>
      </c>
      <c r="AG249" s="166">
        <v>0</v>
      </c>
      <c r="AH249" s="166">
        <v>0</v>
      </c>
      <c r="AI249" s="166">
        <v>0</v>
      </c>
      <c r="AJ249" s="166">
        <v>0</v>
      </c>
      <c r="AK249" s="166">
        <v>0</v>
      </c>
      <c r="AL249" s="166">
        <v>0</v>
      </c>
      <c r="AM249" s="166">
        <v>0</v>
      </c>
      <c r="AN249" s="166">
        <v>0</v>
      </c>
      <c r="AO249" s="166">
        <v>0</v>
      </c>
      <c r="AP249" s="166">
        <v>0</v>
      </c>
      <c r="AQ249" s="166">
        <v>0</v>
      </c>
      <c r="BG249"/>
      <c r="BH249"/>
      <c r="BI249"/>
    </row>
    <row r="250" spans="1:99" ht="14.25" customHeight="1" thickTop="1" x14ac:dyDescent="0.2">
      <c r="G250" s="22"/>
      <c r="H250" s="254"/>
      <c r="J250" s="241"/>
      <c r="K250" s="140" t="s">
        <v>235</v>
      </c>
      <c r="L250" s="140" t="s">
        <v>219</v>
      </c>
      <c r="M250" s="167">
        <v>0</v>
      </c>
      <c r="N250" s="167">
        <v>0</v>
      </c>
      <c r="O250" s="167">
        <v>0</v>
      </c>
      <c r="P250" s="167">
        <v>0</v>
      </c>
      <c r="Q250" s="167">
        <v>0</v>
      </c>
      <c r="R250" s="167">
        <v>0</v>
      </c>
      <c r="S250" s="167">
        <v>0</v>
      </c>
      <c r="T250" s="167">
        <v>0</v>
      </c>
      <c r="U250" s="167">
        <v>0</v>
      </c>
      <c r="V250" s="167">
        <v>0</v>
      </c>
      <c r="W250" s="167">
        <v>0</v>
      </c>
      <c r="X250" s="167">
        <v>0</v>
      </c>
      <c r="Y250" s="167">
        <v>0</v>
      </c>
      <c r="Z250" s="167">
        <v>0</v>
      </c>
      <c r="AA250" s="167">
        <v>0</v>
      </c>
      <c r="AB250" s="167">
        <v>0</v>
      </c>
      <c r="AC250" s="167">
        <v>0</v>
      </c>
      <c r="AD250" s="167">
        <v>0</v>
      </c>
      <c r="AE250" s="167">
        <v>0</v>
      </c>
      <c r="AF250" s="167">
        <v>0</v>
      </c>
      <c r="AG250" s="167">
        <v>0</v>
      </c>
      <c r="AH250" s="167">
        <v>0</v>
      </c>
      <c r="AI250" s="167">
        <v>0</v>
      </c>
      <c r="AJ250" s="167">
        <v>0</v>
      </c>
      <c r="AK250" s="167">
        <v>0</v>
      </c>
      <c r="AL250" s="167">
        <v>0</v>
      </c>
      <c r="AM250" s="167">
        <v>0</v>
      </c>
      <c r="AN250" s="167">
        <v>0</v>
      </c>
      <c r="AO250" s="167">
        <v>0</v>
      </c>
      <c r="AP250" s="167">
        <v>0</v>
      </c>
      <c r="AQ250" s="167">
        <v>0</v>
      </c>
      <c r="AV250"/>
      <c r="AW250"/>
      <c r="AX250"/>
      <c r="AY250"/>
      <c r="BB250"/>
      <c r="BC250"/>
      <c r="BD250"/>
      <c r="BE250"/>
      <c r="BF250"/>
      <c r="BJ250"/>
      <c r="BK250"/>
      <c r="BL250"/>
      <c r="BM250"/>
      <c r="BN250"/>
      <c r="BO250"/>
      <c r="BP250"/>
      <c r="BQ250"/>
      <c r="BR250"/>
      <c r="BS250"/>
      <c r="BT250"/>
      <c r="BU250"/>
      <c r="BV250"/>
      <c r="BW250"/>
      <c r="BX250"/>
      <c r="BY250"/>
    </row>
    <row r="251" spans="1:99" ht="14.25" customHeight="1" x14ac:dyDescent="0.2">
      <c r="G251" s="22"/>
      <c r="H251" s="254"/>
      <c r="J251" s="241"/>
      <c r="K251" s="19" t="s">
        <v>235</v>
      </c>
      <c r="L251" s="129" t="s">
        <v>218</v>
      </c>
      <c r="M251" s="165">
        <v>0</v>
      </c>
      <c r="N251" s="165">
        <v>0</v>
      </c>
      <c r="O251" s="165">
        <v>0</v>
      </c>
      <c r="P251" s="165">
        <v>0</v>
      </c>
      <c r="Q251" s="165">
        <v>0</v>
      </c>
      <c r="R251" s="165">
        <v>0</v>
      </c>
      <c r="S251" s="165">
        <v>0</v>
      </c>
      <c r="T251" s="165">
        <v>0</v>
      </c>
      <c r="U251" s="165">
        <v>0</v>
      </c>
      <c r="V251" s="165">
        <v>0</v>
      </c>
      <c r="W251" s="165">
        <v>0</v>
      </c>
      <c r="X251" s="165">
        <v>0</v>
      </c>
      <c r="Y251" s="165">
        <v>0</v>
      </c>
      <c r="Z251" s="165">
        <v>0</v>
      </c>
      <c r="AA251" s="165">
        <v>0</v>
      </c>
      <c r="AB251" s="165">
        <v>0</v>
      </c>
      <c r="AC251" s="165">
        <v>0</v>
      </c>
      <c r="AD251" s="165">
        <v>0</v>
      </c>
      <c r="AE251" s="165">
        <v>0</v>
      </c>
      <c r="AF251" s="165">
        <v>0</v>
      </c>
      <c r="AG251" s="165">
        <v>0</v>
      </c>
      <c r="AH251" s="165">
        <v>0</v>
      </c>
      <c r="AI251" s="165">
        <v>0</v>
      </c>
      <c r="AJ251" s="165">
        <v>0</v>
      </c>
      <c r="AK251" s="165">
        <v>0</v>
      </c>
      <c r="AL251" s="165">
        <v>0</v>
      </c>
      <c r="AM251" s="165">
        <v>0</v>
      </c>
      <c r="AN251" s="165">
        <v>0</v>
      </c>
      <c r="AO251" s="165">
        <v>0</v>
      </c>
      <c r="AP251" s="165">
        <v>0</v>
      </c>
      <c r="AQ251" s="165">
        <v>0</v>
      </c>
      <c r="AZ251"/>
      <c r="BA251"/>
    </row>
    <row r="252" spans="1:99" ht="14.25" customHeight="1" thickBot="1" x14ac:dyDescent="0.2">
      <c r="A252" s="16" t="s">
        <v>83</v>
      </c>
      <c r="G252" s="22"/>
      <c r="H252" s="254"/>
      <c r="J252" s="241"/>
      <c r="K252" s="144" t="s">
        <v>235</v>
      </c>
      <c r="L252" s="144" t="s">
        <v>214</v>
      </c>
      <c r="M252" s="168">
        <v>0</v>
      </c>
      <c r="N252" s="168">
        <v>0</v>
      </c>
      <c r="O252" s="168">
        <v>0</v>
      </c>
      <c r="P252" s="168">
        <v>0</v>
      </c>
      <c r="Q252" s="168">
        <v>0</v>
      </c>
      <c r="R252" s="168">
        <v>0</v>
      </c>
      <c r="S252" s="168">
        <v>0</v>
      </c>
      <c r="T252" s="168">
        <v>0</v>
      </c>
      <c r="U252" s="168">
        <v>0</v>
      </c>
      <c r="V252" s="168">
        <v>0</v>
      </c>
      <c r="W252" s="168">
        <v>0</v>
      </c>
      <c r="X252" s="168">
        <v>0</v>
      </c>
      <c r="Y252" s="168">
        <v>0</v>
      </c>
      <c r="Z252" s="168">
        <v>0</v>
      </c>
      <c r="AA252" s="168">
        <v>0</v>
      </c>
      <c r="AB252" s="168">
        <v>0</v>
      </c>
      <c r="AC252" s="168">
        <v>0</v>
      </c>
      <c r="AD252" s="168">
        <v>0</v>
      </c>
      <c r="AE252" s="168">
        <v>0</v>
      </c>
      <c r="AF252" s="168">
        <v>0</v>
      </c>
      <c r="AG252" s="168">
        <v>0</v>
      </c>
      <c r="AH252" s="168">
        <v>0</v>
      </c>
      <c r="AI252" s="168">
        <v>0</v>
      </c>
      <c r="AJ252" s="168">
        <v>0</v>
      </c>
      <c r="AK252" s="168">
        <v>0</v>
      </c>
      <c r="AL252" s="168">
        <v>0</v>
      </c>
      <c r="AM252" s="168">
        <v>0</v>
      </c>
      <c r="AN252" s="168">
        <v>0</v>
      </c>
      <c r="AO252" s="168">
        <v>0</v>
      </c>
      <c r="AP252" s="168">
        <v>0</v>
      </c>
      <c r="AQ252" s="168">
        <v>0</v>
      </c>
    </row>
    <row r="253" spans="1:99" ht="14.25" customHeight="1" thickTop="1" x14ac:dyDescent="0.2">
      <c r="G253" s="22"/>
      <c r="H253" s="254"/>
      <c r="J253" s="241"/>
      <c r="K253" s="140" t="s">
        <v>234</v>
      </c>
      <c r="L253" s="140" t="s">
        <v>219</v>
      </c>
      <c r="M253" s="167">
        <v>0</v>
      </c>
      <c r="N253" s="167">
        <v>0</v>
      </c>
      <c r="O253" s="167">
        <v>0</v>
      </c>
      <c r="P253" s="167">
        <v>0</v>
      </c>
      <c r="Q253" s="167">
        <v>0</v>
      </c>
      <c r="R253" s="167">
        <v>0</v>
      </c>
      <c r="S253" s="167">
        <v>0</v>
      </c>
      <c r="T253" s="167">
        <v>0</v>
      </c>
      <c r="U253" s="167">
        <v>0</v>
      </c>
      <c r="V253" s="167">
        <v>0</v>
      </c>
      <c r="W253" s="167">
        <v>0</v>
      </c>
      <c r="X253" s="167">
        <v>0</v>
      </c>
      <c r="Y253" s="167">
        <v>0</v>
      </c>
      <c r="Z253" s="167">
        <v>0</v>
      </c>
      <c r="AA253" s="167">
        <v>0</v>
      </c>
      <c r="AB253" s="167">
        <v>0</v>
      </c>
      <c r="AC253" s="167">
        <v>0</v>
      </c>
      <c r="AD253" s="167">
        <v>0</v>
      </c>
      <c r="AE253" s="167">
        <v>0</v>
      </c>
      <c r="AF253" s="167">
        <v>0</v>
      </c>
      <c r="AG253" s="167">
        <v>0</v>
      </c>
      <c r="AH253" s="167">
        <v>0</v>
      </c>
      <c r="AI253" s="167">
        <v>0</v>
      </c>
      <c r="AJ253" s="167">
        <v>0</v>
      </c>
      <c r="AK253" s="167">
        <v>0</v>
      </c>
      <c r="AL253" s="167">
        <v>0</v>
      </c>
      <c r="AM253" s="167">
        <v>0</v>
      </c>
      <c r="AN253" s="167">
        <v>0</v>
      </c>
      <c r="AO253" s="167">
        <v>0</v>
      </c>
      <c r="AP253" s="167">
        <v>0</v>
      </c>
      <c r="AQ253" s="167">
        <v>0</v>
      </c>
      <c r="AV253"/>
      <c r="AW253"/>
      <c r="AX253"/>
      <c r="AY253"/>
      <c r="BB253"/>
      <c r="BC253"/>
      <c r="BD253"/>
      <c r="BE253"/>
      <c r="BF253"/>
      <c r="BJ253"/>
      <c r="BK253"/>
      <c r="BL253"/>
      <c r="BM253"/>
      <c r="BN253"/>
      <c r="BO253"/>
      <c r="BP253"/>
      <c r="BQ253"/>
      <c r="BR253"/>
      <c r="BS253"/>
      <c r="BT253"/>
      <c r="BU253"/>
      <c r="BV253"/>
      <c r="BW253"/>
      <c r="BX253"/>
      <c r="BY253"/>
    </row>
    <row r="254" spans="1:99" ht="14.25" customHeight="1" x14ac:dyDescent="0.2">
      <c r="G254" s="22"/>
      <c r="H254" s="254"/>
      <c r="J254" s="241"/>
      <c r="K254" s="19" t="s">
        <v>234</v>
      </c>
      <c r="L254" s="129" t="s">
        <v>218</v>
      </c>
      <c r="M254" s="165">
        <v>0</v>
      </c>
      <c r="N254" s="165">
        <v>0</v>
      </c>
      <c r="O254" s="165">
        <v>0</v>
      </c>
      <c r="P254" s="165">
        <v>0</v>
      </c>
      <c r="Q254" s="165">
        <v>0</v>
      </c>
      <c r="R254" s="165">
        <v>0</v>
      </c>
      <c r="S254" s="165">
        <v>0</v>
      </c>
      <c r="T254" s="165">
        <v>0</v>
      </c>
      <c r="U254" s="165">
        <v>0</v>
      </c>
      <c r="V254" s="165">
        <v>0</v>
      </c>
      <c r="W254" s="165">
        <v>0</v>
      </c>
      <c r="X254" s="165">
        <v>0</v>
      </c>
      <c r="Y254" s="165">
        <v>0</v>
      </c>
      <c r="Z254" s="165">
        <v>0</v>
      </c>
      <c r="AA254" s="165">
        <v>0</v>
      </c>
      <c r="AB254" s="165">
        <v>0</v>
      </c>
      <c r="AC254" s="165">
        <v>0</v>
      </c>
      <c r="AD254" s="165">
        <v>0</v>
      </c>
      <c r="AE254" s="165">
        <v>0</v>
      </c>
      <c r="AF254" s="165">
        <v>0</v>
      </c>
      <c r="AG254" s="165">
        <v>0</v>
      </c>
      <c r="AH254" s="165">
        <v>0</v>
      </c>
      <c r="AI254" s="165">
        <v>0</v>
      </c>
      <c r="AJ254" s="165">
        <v>0</v>
      </c>
      <c r="AK254" s="165">
        <v>0</v>
      </c>
      <c r="AL254" s="165">
        <v>0</v>
      </c>
      <c r="AM254" s="165">
        <v>0</v>
      </c>
      <c r="AN254" s="165">
        <v>0</v>
      </c>
      <c r="AO254" s="165">
        <v>0</v>
      </c>
      <c r="AP254" s="165">
        <v>0</v>
      </c>
      <c r="AQ254" s="165">
        <v>0</v>
      </c>
      <c r="AZ254"/>
      <c r="BA254"/>
    </row>
    <row r="255" spans="1:99" ht="14.25" customHeight="1" thickBot="1" x14ac:dyDescent="0.2">
      <c r="A255" s="16" t="s">
        <v>83</v>
      </c>
      <c r="G255" s="22"/>
      <c r="H255" s="254"/>
      <c r="J255" s="241"/>
      <c r="K255" s="144" t="s">
        <v>234</v>
      </c>
      <c r="L255" s="144" t="s">
        <v>214</v>
      </c>
      <c r="M255" s="168">
        <v>0</v>
      </c>
      <c r="N255" s="168">
        <v>0</v>
      </c>
      <c r="O255" s="168">
        <v>0</v>
      </c>
      <c r="P255" s="168">
        <v>0</v>
      </c>
      <c r="Q255" s="168">
        <v>0</v>
      </c>
      <c r="R255" s="168">
        <v>0</v>
      </c>
      <c r="S255" s="168">
        <v>0</v>
      </c>
      <c r="T255" s="168">
        <v>0</v>
      </c>
      <c r="U255" s="168">
        <v>0</v>
      </c>
      <c r="V255" s="168">
        <v>0</v>
      </c>
      <c r="W255" s="168">
        <v>0</v>
      </c>
      <c r="X255" s="168">
        <v>0</v>
      </c>
      <c r="Y255" s="168">
        <v>0</v>
      </c>
      <c r="Z255" s="168">
        <v>0</v>
      </c>
      <c r="AA255" s="168">
        <v>0</v>
      </c>
      <c r="AB255" s="168">
        <v>0</v>
      </c>
      <c r="AC255" s="168">
        <v>0</v>
      </c>
      <c r="AD255" s="168">
        <v>0</v>
      </c>
      <c r="AE255" s="168">
        <v>0</v>
      </c>
      <c r="AF255" s="168">
        <v>0</v>
      </c>
      <c r="AG255" s="168">
        <v>0</v>
      </c>
      <c r="AH255" s="168">
        <v>0</v>
      </c>
      <c r="AI255" s="168">
        <v>0</v>
      </c>
      <c r="AJ255" s="168">
        <v>0</v>
      </c>
      <c r="AK255" s="168">
        <v>0</v>
      </c>
      <c r="AL255" s="168">
        <v>0</v>
      </c>
      <c r="AM255" s="168">
        <v>0</v>
      </c>
      <c r="AN255" s="168">
        <v>0</v>
      </c>
      <c r="AO255" s="168">
        <v>0</v>
      </c>
      <c r="AP255" s="168">
        <v>0</v>
      </c>
      <c r="AQ255" s="168">
        <v>0</v>
      </c>
    </row>
    <row r="256" spans="1:99" ht="14.25" customHeight="1" thickTop="1" x14ac:dyDescent="0.2">
      <c r="G256" s="22"/>
      <c r="H256" s="254"/>
      <c r="J256" s="241"/>
      <c r="K256" s="140" t="s">
        <v>233</v>
      </c>
      <c r="L256" s="140" t="s">
        <v>219</v>
      </c>
      <c r="M256" s="167">
        <v>0</v>
      </c>
      <c r="N256" s="167">
        <v>0</v>
      </c>
      <c r="O256" s="167">
        <v>0</v>
      </c>
      <c r="P256" s="167">
        <v>0</v>
      </c>
      <c r="Q256" s="167">
        <v>0</v>
      </c>
      <c r="R256" s="167">
        <v>0</v>
      </c>
      <c r="S256" s="167">
        <v>0</v>
      </c>
      <c r="T256" s="167">
        <v>0</v>
      </c>
      <c r="U256" s="167">
        <v>0</v>
      </c>
      <c r="V256" s="167">
        <v>0</v>
      </c>
      <c r="W256" s="167">
        <v>0</v>
      </c>
      <c r="X256" s="167">
        <v>0</v>
      </c>
      <c r="Y256" s="167">
        <v>0</v>
      </c>
      <c r="Z256" s="167">
        <v>0</v>
      </c>
      <c r="AA256" s="167">
        <v>0</v>
      </c>
      <c r="AB256" s="167">
        <v>0</v>
      </c>
      <c r="AC256" s="167">
        <v>0</v>
      </c>
      <c r="AD256" s="167">
        <v>0</v>
      </c>
      <c r="AE256" s="167">
        <v>0</v>
      </c>
      <c r="AF256" s="167">
        <v>0</v>
      </c>
      <c r="AG256" s="167">
        <v>0</v>
      </c>
      <c r="AH256" s="167">
        <v>0</v>
      </c>
      <c r="AI256" s="167">
        <v>0</v>
      </c>
      <c r="AJ256" s="167">
        <v>0</v>
      </c>
      <c r="AK256" s="167">
        <v>0</v>
      </c>
      <c r="AL256" s="167">
        <v>0</v>
      </c>
      <c r="AM256" s="167">
        <v>0</v>
      </c>
      <c r="AN256" s="167">
        <v>0</v>
      </c>
      <c r="AO256" s="167">
        <v>0</v>
      </c>
      <c r="AP256" s="167">
        <v>0</v>
      </c>
      <c r="AQ256" s="167">
        <v>0</v>
      </c>
      <c r="AV256"/>
      <c r="AW256"/>
      <c r="AX256"/>
      <c r="AY256"/>
      <c r="BB256"/>
      <c r="BC256"/>
      <c r="BD256"/>
      <c r="BE256"/>
      <c r="BF256"/>
      <c r="BJ256"/>
      <c r="BK256"/>
      <c r="BL256"/>
      <c r="BM256"/>
      <c r="BN256"/>
      <c r="BO256"/>
      <c r="BP256"/>
      <c r="BQ256"/>
      <c r="BR256"/>
      <c r="BS256"/>
      <c r="BT256"/>
      <c r="BU256"/>
      <c r="BV256"/>
      <c r="BW256"/>
      <c r="BX256"/>
      <c r="BY256"/>
    </row>
    <row r="257" spans="1:99" ht="14.25" customHeight="1" x14ac:dyDescent="0.2">
      <c r="G257" s="22"/>
      <c r="H257" s="254"/>
      <c r="J257" s="241"/>
      <c r="K257" s="19" t="s">
        <v>233</v>
      </c>
      <c r="L257" s="129" t="s">
        <v>218</v>
      </c>
      <c r="M257" s="165">
        <v>0</v>
      </c>
      <c r="N257" s="165">
        <v>0</v>
      </c>
      <c r="O257" s="165">
        <v>0</v>
      </c>
      <c r="P257" s="165">
        <v>0</v>
      </c>
      <c r="Q257" s="165">
        <v>0</v>
      </c>
      <c r="R257" s="165">
        <v>0</v>
      </c>
      <c r="S257" s="165">
        <v>0</v>
      </c>
      <c r="T257" s="165">
        <v>0</v>
      </c>
      <c r="U257" s="165">
        <v>0</v>
      </c>
      <c r="V257" s="165">
        <v>0</v>
      </c>
      <c r="W257" s="165">
        <v>0</v>
      </c>
      <c r="X257" s="165">
        <v>0</v>
      </c>
      <c r="Y257" s="165">
        <v>0</v>
      </c>
      <c r="Z257" s="165">
        <v>0</v>
      </c>
      <c r="AA257" s="165">
        <v>0</v>
      </c>
      <c r="AB257" s="165">
        <v>0</v>
      </c>
      <c r="AC257" s="165">
        <v>0</v>
      </c>
      <c r="AD257" s="165">
        <v>0</v>
      </c>
      <c r="AE257" s="165">
        <v>0</v>
      </c>
      <c r="AF257" s="165">
        <v>0</v>
      </c>
      <c r="AG257" s="165">
        <v>0</v>
      </c>
      <c r="AH257" s="165">
        <v>0</v>
      </c>
      <c r="AI257" s="165">
        <v>0</v>
      </c>
      <c r="AJ257" s="165">
        <v>0</v>
      </c>
      <c r="AK257" s="165">
        <v>0</v>
      </c>
      <c r="AL257" s="165">
        <v>0</v>
      </c>
      <c r="AM257" s="165">
        <v>0</v>
      </c>
      <c r="AN257" s="165">
        <v>0</v>
      </c>
      <c r="AO257" s="165">
        <v>0</v>
      </c>
      <c r="AP257" s="165">
        <v>0</v>
      </c>
      <c r="AQ257" s="165">
        <v>0</v>
      </c>
      <c r="AZ257"/>
      <c r="BA257"/>
    </row>
    <row r="258" spans="1:99" ht="14.25" customHeight="1" x14ac:dyDescent="0.15">
      <c r="A258" s="16" t="s">
        <v>83</v>
      </c>
      <c r="G258" s="22"/>
      <c r="H258" s="254"/>
      <c r="J258" s="241"/>
      <c r="K258" s="144" t="s">
        <v>233</v>
      </c>
      <c r="L258" s="144" t="s">
        <v>214</v>
      </c>
      <c r="M258" s="168">
        <v>0</v>
      </c>
      <c r="N258" s="168">
        <v>0</v>
      </c>
      <c r="O258" s="168">
        <v>0</v>
      </c>
      <c r="P258" s="168">
        <v>0</v>
      </c>
      <c r="Q258" s="168">
        <v>0</v>
      </c>
      <c r="R258" s="168">
        <v>0</v>
      </c>
      <c r="S258" s="168">
        <v>0</v>
      </c>
      <c r="T258" s="168">
        <v>0</v>
      </c>
      <c r="U258" s="168">
        <v>0</v>
      </c>
      <c r="V258" s="168">
        <v>0</v>
      </c>
      <c r="W258" s="168">
        <v>0</v>
      </c>
      <c r="X258" s="168">
        <v>0</v>
      </c>
      <c r="Y258" s="168">
        <v>0</v>
      </c>
      <c r="Z258" s="168">
        <v>0</v>
      </c>
      <c r="AA258" s="168">
        <v>0</v>
      </c>
      <c r="AB258" s="168">
        <v>0</v>
      </c>
      <c r="AC258" s="168">
        <v>0</v>
      </c>
      <c r="AD258" s="168">
        <v>0</v>
      </c>
      <c r="AE258" s="168">
        <v>0</v>
      </c>
      <c r="AF258" s="168">
        <v>0</v>
      </c>
      <c r="AG258" s="168">
        <v>0</v>
      </c>
      <c r="AH258" s="168">
        <v>0</v>
      </c>
      <c r="AI258" s="168">
        <v>0</v>
      </c>
      <c r="AJ258" s="168">
        <v>0</v>
      </c>
      <c r="AK258" s="168">
        <v>0</v>
      </c>
      <c r="AL258" s="168">
        <v>0</v>
      </c>
      <c r="AM258" s="168">
        <v>0</v>
      </c>
      <c r="AN258" s="168">
        <v>0</v>
      </c>
      <c r="AO258" s="168">
        <v>0</v>
      </c>
      <c r="AP258" s="168">
        <v>0</v>
      </c>
      <c r="AQ258" s="168">
        <v>0</v>
      </c>
    </row>
    <row r="259" spans="1:99" ht="14.25" customHeight="1" x14ac:dyDescent="0.2">
      <c r="G259" s="22"/>
      <c r="H259" s="254"/>
      <c r="J259" s="241"/>
      <c r="K259" s="140" t="s">
        <v>232</v>
      </c>
      <c r="L259" s="140" t="s">
        <v>219</v>
      </c>
      <c r="M259" s="164">
        <v>0</v>
      </c>
      <c r="N259" s="164">
        <v>0</v>
      </c>
      <c r="O259" s="164">
        <v>0</v>
      </c>
      <c r="P259" s="164">
        <v>0</v>
      </c>
      <c r="Q259" s="164">
        <v>0</v>
      </c>
      <c r="R259" s="164">
        <v>0</v>
      </c>
      <c r="S259" s="164">
        <v>0</v>
      </c>
      <c r="T259" s="164">
        <v>0</v>
      </c>
      <c r="U259" s="164">
        <v>0</v>
      </c>
      <c r="V259" s="164">
        <v>0</v>
      </c>
      <c r="W259" s="164">
        <v>0</v>
      </c>
      <c r="X259" s="164">
        <v>0</v>
      </c>
      <c r="Y259" s="164">
        <v>0</v>
      </c>
      <c r="Z259" s="164">
        <v>0</v>
      </c>
      <c r="AA259" s="164">
        <v>0</v>
      </c>
      <c r="AB259" s="164">
        <v>0</v>
      </c>
      <c r="AC259" s="164">
        <v>0</v>
      </c>
      <c r="AD259" s="164">
        <v>0</v>
      </c>
      <c r="AE259" s="164">
        <v>0</v>
      </c>
      <c r="AF259" s="164">
        <v>0</v>
      </c>
      <c r="AG259" s="164">
        <v>0</v>
      </c>
      <c r="AH259" s="164">
        <v>0</v>
      </c>
      <c r="AI259" s="164">
        <v>0</v>
      </c>
      <c r="AJ259" s="164">
        <v>0</v>
      </c>
      <c r="AK259" s="164">
        <v>0</v>
      </c>
      <c r="AL259" s="164">
        <v>0</v>
      </c>
      <c r="AM259" s="164">
        <v>0</v>
      </c>
      <c r="AN259" s="164">
        <v>0</v>
      </c>
      <c r="AO259" s="164">
        <v>0</v>
      </c>
      <c r="AP259" s="164">
        <v>0</v>
      </c>
      <c r="AQ259" s="164">
        <v>0</v>
      </c>
      <c r="AT259"/>
      <c r="AU259"/>
    </row>
    <row r="260" spans="1:99" ht="14.25" customHeight="1" x14ac:dyDescent="0.15">
      <c r="G260" s="22"/>
      <c r="H260" s="254"/>
      <c r="J260" s="241"/>
      <c r="K260" s="19" t="s">
        <v>232</v>
      </c>
      <c r="L260" s="129" t="s">
        <v>218</v>
      </c>
      <c r="M260" s="165">
        <v>0</v>
      </c>
      <c r="N260" s="165">
        <v>0</v>
      </c>
      <c r="O260" s="165">
        <v>0</v>
      </c>
      <c r="P260" s="165">
        <v>0</v>
      </c>
      <c r="Q260" s="165">
        <v>0</v>
      </c>
      <c r="R260" s="165">
        <v>0</v>
      </c>
      <c r="S260" s="165">
        <v>0</v>
      </c>
      <c r="T260" s="165">
        <v>0</v>
      </c>
      <c r="U260" s="165">
        <v>0</v>
      </c>
      <c r="V260" s="165">
        <v>0</v>
      </c>
      <c r="W260" s="165">
        <v>0</v>
      </c>
      <c r="X260" s="165">
        <v>0</v>
      </c>
      <c r="Y260" s="165">
        <v>0</v>
      </c>
      <c r="Z260" s="165">
        <v>0</v>
      </c>
      <c r="AA260" s="165">
        <v>0</v>
      </c>
      <c r="AB260" s="165">
        <v>0</v>
      </c>
      <c r="AC260" s="165">
        <v>0</v>
      </c>
      <c r="AD260" s="165">
        <v>0</v>
      </c>
      <c r="AE260" s="165">
        <v>0</v>
      </c>
      <c r="AF260" s="165">
        <v>0</v>
      </c>
      <c r="AG260" s="165">
        <v>0</v>
      </c>
      <c r="AH260" s="165">
        <v>0</v>
      </c>
      <c r="AI260" s="165">
        <v>0</v>
      </c>
      <c r="AJ260" s="165">
        <v>0</v>
      </c>
      <c r="AK260" s="165">
        <v>0</v>
      </c>
      <c r="AL260" s="165">
        <v>0</v>
      </c>
      <c r="AM260" s="165">
        <v>0</v>
      </c>
      <c r="AN260" s="165">
        <v>0</v>
      </c>
      <c r="AO260" s="165">
        <v>0</v>
      </c>
      <c r="AP260" s="165">
        <v>0</v>
      </c>
      <c r="AQ260" s="165">
        <v>0</v>
      </c>
    </row>
    <row r="261" spans="1:99" ht="14.25" customHeight="1" thickBot="1" x14ac:dyDescent="0.2">
      <c r="G261" s="22"/>
      <c r="H261" s="254"/>
      <c r="J261" s="241"/>
      <c r="K261" s="144" t="s">
        <v>232</v>
      </c>
      <c r="L261" s="144" t="s">
        <v>214</v>
      </c>
      <c r="M261" s="166">
        <v>0</v>
      </c>
      <c r="N261" s="166">
        <v>0</v>
      </c>
      <c r="O261" s="166">
        <v>0</v>
      </c>
      <c r="P261" s="166">
        <v>0</v>
      </c>
      <c r="Q261" s="166">
        <v>0</v>
      </c>
      <c r="R261" s="166">
        <v>0</v>
      </c>
      <c r="S261" s="166">
        <v>0</v>
      </c>
      <c r="T261" s="166">
        <v>0</v>
      </c>
      <c r="U261" s="166">
        <v>0</v>
      </c>
      <c r="V261" s="166">
        <v>0</v>
      </c>
      <c r="W261" s="166">
        <v>0</v>
      </c>
      <c r="X261" s="166">
        <v>0</v>
      </c>
      <c r="Y261" s="166">
        <v>0</v>
      </c>
      <c r="Z261" s="166">
        <v>0</v>
      </c>
      <c r="AA261" s="166">
        <v>0</v>
      </c>
      <c r="AB261" s="166">
        <v>0</v>
      </c>
      <c r="AC261" s="166">
        <v>0</v>
      </c>
      <c r="AD261" s="166">
        <v>0</v>
      </c>
      <c r="AE261" s="166">
        <v>0</v>
      </c>
      <c r="AF261" s="166">
        <v>0</v>
      </c>
      <c r="AG261" s="166">
        <v>0</v>
      </c>
      <c r="AH261" s="166">
        <v>0</v>
      </c>
      <c r="AI261" s="166">
        <v>0</v>
      </c>
      <c r="AJ261" s="166">
        <v>0</v>
      </c>
      <c r="AK261" s="166">
        <v>0</v>
      </c>
      <c r="AL261" s="166">
        <v>0</v>
      </c>
      <c r="AM261" s="166">
        <v>0</v>
      </c>
      <c r="AN261" s="166">
        <v>0</v>
      </c>
      <c r="AO261" s="166">
        <v>0</v>
      </c>
      <c r="AP261" s="166">
        <v>0</v>
      </c>
      <c r="AQ261" s="166">
        <v>0</v>
      </c>
    </row>
    <row r="262" spans="1:99" ht="14.25" customHeight="1" thickTop="1" x14ac:dyDescent="0.2">
      <c r="G262" s="22"/>
      <c r="H262" s="254"/>
      <c r="J262" s="241"/>
      <c r="K262" s="140" t="s">
        <v>231</v>
      </c>
      <c r="L262" s="140" t="s">
        <v>219</v>
      </c>
      <c r="M262" s="167">
        <v>0</v>
      </c>
      <c r="N262" s="167">
        <v>0</v>
      </c>
      <c r="O262" s="167">
        <v>0</v>
      </c>
      <c r="P262" s="167">
        <v>0</v>
      </c>
      <c r="Q262" s="167">
        <v>0</v>
      </c>
      <c r="R262" s="167">
        <v>0</v>
      </c>
      <c r="S262" s="167">
        <v>0</v>
      </c>
      <c r="T262" s="167">
        <v>0</v>
      </c>
      <c r="U262" s="167">
        <v>0</v>
      </c>
      <c r="V262" s="167">
        <v>0</v>
      </c>
      <c r="W262" s="167">
        <v>0</v>
      </c>
      <c r="X262" s="167">
        <v>0</v>
      </c>
      <c r="Y262" s="167">
        <v>0</v>
      </c>
      <c r="Z262" s="167">
        <v>0</v>
      </c>
      <c r="AA262" s="167">
        <v>0</v>
      </c>
      <c r="AB262" s="167">
        <v>0</v>
      </c>
      <c r="AC262" s="167">
        <v>0</v>
      </c>
      <c r="AD262" s="167">
        <v>0</v>
      </c>
      <c r="AE262" s="167">
        <v>0</v>
      </c>
      <c r="AF262" s="167">
        <v>0</v>
      </c>
      <c r="AG262" s="167">
        <v>0</v>
      </c>
      <c r="AH262" s="167">
        <v>0</v>
      </c>
      <c r="AI262" s="167">
        <v>0</v>
      </c>
      <c r="AJ262" s="167">
        <v>0</v>
      </c>
      <c r="AK262" s="167">
        <v>0</v>
      </c>
      <c r="AL262" s="167">
        <v>0</v>
      </c>
      <c r="AM262" s="167">
        <v>0</v>
      </c>
      <c r="AN262" s="167">
        <v>0</v>
      </c>
      <c r="AO262" s="167">
        <v>0</v>
      </c>
      <c r="AP262" s="167">
        <v>0</v>
      </c>
      <c r="AQ262" s="167">
        <v>0</v>
      </c>
      <c r="AR262"/>
      <c r="AS262"/>
    </row>
    <row r="263" spans="1:99" ht="14.25" customHeight="1" x14ac:dyDescent="0.2">
      <c r="G263" s="22"/>
      <c r="H263" s="254"/>
      <c r="J263" s="241"/>
      <c r="K263" s="19" t="s">
        <v>231</v>
      </c>
      <c r="L263" s="129" t="s">
        <v>218</v>
      </c>
      <c r="M263" s="165">
        <v>0</v>
      </c>
      <c r="N263" s="165">
        <v>0</v>
      </c>
      <c r="O263" s="165">
        <v>0</v>
      </c>
      <c r="P263" s="165">
        <v>0</v>
      </c>
      <c r="Q263" s="165">
        <v>0</v>
      </c>
      <c r="R263" s="165">
        <v>0</v>
      </c>
      <c r="S263" s="165">
        <v>0</v>
      </c>
      <c r="T263" s="165">
        <v>0</v>
      </c>
      <c r="U263" s="165">
        <v>0</v>
      </c>
      <c r="V263" s="165">
        <v>0</v>
      </c>
      <c r="W263" s="165">
        <v>0</v>
      </c>
      <c r="X263" s="165">
        <v>0</v>
      </c>
      <c r="Y263" s="165">
        <v>0</v>
      </c>
      <c r="Z263" s="165">
        <v>0</v>
      </c>
      <c r="AA263" s="165">
        <v>0</v>
      </c>
      <c r="AB263" s="165">
        <v>0</v>
      </c>
      <c r="AC263" s="165">
        <v>0</v>
      </c>
      <c r="AD263" s="165">
        <v>0</v>
      </c>
      <c r="AE263" s="165">
        <v>0</v>
      </c>
      <c r="AF263" s="165">
        <v>0</v>
      </c>
      <c r="AG263" s="165">
        <v>0</v>
      </c>
      <c r="AH263" s="165">
        <v>0</v>
      </c>
      <c r="AI263" s="165">
        <v>0</v>
      </c>
      <c r="AJ263" s="165">
        <v>0</v>
      </c>
      <c r="AK263" s="165">
        <v>0</v>
      </c>
      <c r="AL263" s="165">
        <v>0</v>
      </c>
      <c r="AM263" s="165">
        <v>0</v>
      </c>
      <c r="AN263" s="165">
        <v>0</v>
      </c>
      <c r="AO263" s="165">
        <v>0</v>
      </c>
      <c r="AP263" s="165">
        <v>0</v>
      </c>
      <c r="AQ263" s="165">
        <v>0</v>
      </c>
      <c r="CN263"/>
      <c r="CO263"/>
      <c r="CP263"/>
      <c r="CQ263"/>
      <c r="CR263"/>
      <c r="CS263"/>
      <c r="CT263"/>
      <c r="CU263"/>
    </row>
    <row r="264" spans="1:99" ht="14.25" customHeight="1" thickBot="1" x14ac:dyDescent="0.25">
      <c r="G264" s="22"/>
      <c r="H264" s="254"/>
      <c r="J264" s="241"/>
      <c r="K264" s="144" t="s">
        <v>231</v>
      </c>
      <c r="L264" s="144" t="s">
        <v>214</v>
      </c>
      <c r="M264" s="166">
        <v>0</v>
      </c>
      <c r="N264" s="166">
        <v>0</v>
      </c>
      <c r="O264" s="166">
        <v>0</v>
      </c>
      <c r="P264" s="166">
        <v>0</v>
      </c>
      <c r="Q264" s="166">
        <v>0</v>
      </c>
      <c r="R264" s="166">
        <v>0</v>
      </c>
      <c r="S264" s="166">
        <v>0</v>
      </c>
      <c r="T264" s="166">
        <v>0</v>
      </c>
      <c r="U264" s="166">
        <v>0</v>
      </c>
      <c r="V264" s="166">
        <v>0</v>
      </c>
      <c r="W264" s="166">
        <v>0</v>
      </c>
      <c r="X264" s="166">
        <v>0</v>
      </c>
      <c r="Y264" s="166">
        <v>0</v>
      </c>
      <c r="Z264" s="166">
        <v>0</v>
      </c>
      <c r="AA264" s="166">
        <v>0</v>
      </c>
      <c r="AB264" s="166">
        <v>0</v>
      </c>
      <c r="AC264" s="166">
        <v>0</v>
      </c>
      <c r="AD264" s="166">
        <v>0</v>
      </c>
      <c r="AE264" s="166">
        <v>0</v>
      </c>
      <c r="AF264" s="166">
        <v>0</v>
      </c>
      <c r="AG264" s="166">
        <v>0</v>
      </c>
      <c r="AH264" s="166">
        <v>0</v>
      </c>
      <c r="AI264" s="166">
        <v>0</v>
      </c>
      <c r="AJ264" s="166">
        <v>0</v>
      </c>
      <c r="AK264" s="166">
        <v>0</v>
      </c>
      <c r="AL264" s="166">
        <v>0</v>
      </c>
      <c r="AM264" s="166">
        <v>0</v>
      </c>
      <c r="AN264" s="166">
        <v>0</v>
      </c>
      <c r="AO264" s="166">
        <v>0</v>
      </c>
      <c r="AP264" s="166">
        <v>0</v>
      </c>
      <c r="AQ264" s="166">
        <v>0</v>
      </c>
      <c r="BG264"/>
      <c r="BH264"/>
      <c r="BI264"/>
    </row>
    <row r="265" spans="1:99" ht="14.25" customHeight="1" thickTop="1" x14ac:dyDescent="0.2">
      <c r="G265" s="22"/>
      <c r="H265" s="254"/>
      <c r="J265" s="241"/>
      <c r="K265" s="140" t="s">
        <v>230</v>
      </c>
      <c r="L265" s="140" t="s">
        <v>219</v>
      </c>
      <c r="M265" s="167">
        <v>0</v>
      </c>
      <c r="N265" s="167">
        <v>0</v>
      </c>
      <c r="O265" s="167">
        <v>0</v>
      </c>
      <c r="P265" s="167">
        <v>0</v>
      </c>
      <c r="Q265" s="167">
        <v>0</v>
      </c>
      <c r="R265" s="167">
        <v>0</v>
      </c>
      <c r="S265" s="167">
        <v>0</v>
      </c>
      <c r="T265" s="167">
        <v>0</v>
      </c>
      <c r="U265" s="167">
        <v>0</v>
      </c>
      <c r="V265" s="167">
        <v>0</v>
      </c>
      <c r="W265" s="167">
        <v>0</v>
      </c>
      <c r="X265" s="167">
        <v>0</v>
      </c>
      <c r="Y265" s="167">
        <v>0</v>
      </c>
      <c r="Z265" s="167">
        <v>0</v>
      </c>
      <c r="AA265" s="167">
        <v>0</v>
      </c>
      <c r="AB265" s="167">
        <v>0</v>
      </c>
      <c r="AC265" s="167">
        <v>0</v>
      </c>
      <c r="AD265" s="167">
        <v>0</v>
      </c>
      <c r="AE265" s="167">
        <v>0</v>
      </c>
      <c r="AF265" s="167">
        <v>0</v>
      </c>
      <c r="AG265" s="167">
        <v>0</v>
      </c>
      <c r="AH265" s="167">
        <v>0</v>
      </c>
      <c r="AI265" s="167">
        <v>0</v>
      </c>
      <c r="AJ265" s="167">
        <v>0</v>
      </c>
      <c r="AK265" s="167">
        <v>0</v>
      </c>
      <c r="AL265" s="167">
        <v>0</v>
      </c>
      <c r="AM265" s="167">
        <v>0</v>
      </c>
      <c r="AN265" s="167">
        <v>0</v>
      </c>
      <c r="AO265" s="167">
        <v>0</v>
      </c>
      <c r="AP265" s="167">
        <v>0</v>
      </c>
      <c r="AQ265" s="167">
        <v>0</v>
      </c>
      <c r="AV265"/>
      <c r="AW265"/>
      <c r="AX265"/>
      <c r="AY265"/>
      <c r="BB265"/>
      <c r="BC265"/>
      <c r="BD265"/>
      <c r="BE265"/>
      <c r="BF265"/>
      <c r="BJ265"/>
      <c r="BK265"/>
      <c r="BL265"/>
      <c r="BM265"/>
      <c r="BN265"/>
      <c r="BO265"/>
      <c r="BP265"/>
      <c r="BQ265"/>
      <c r="BR265"/>
      <c r="BS265"/>
      <c r="BT265"/>
      <c r="BU265"/>
      <c r="BV265"/>
      <c r="BW265"/>
      <c r="BX265"/>
      <c r="BY265"/>
    </row>
    <row r="266" spans="1:99" ht="14.25" customHeight="1" x14ac:dyDescent="0.2">
      <c r="G266" s="22"/>
      <c r="H266" s="254"/>
      <c r="J266" s="241"/>
      <c r="K266" s="19" t="s">
        <v>230</v>
      </c>
      <c r="L266" s="129" t="s">
        <v>218</v>
      </c>
      <c r="M266" s="165">
        <v>0</v>
      </c>
      <c r="N266" s="165">
        <v>0</v>
      </c>
      <c r="O266" s="165">
        <v>0</v>
      </c>
      <c r="P266" s="165">
        <v>0</v>
      </c>
      <c r="Q266" s="165">
        <v>0</v>
      </c>
      <c r="R266" s="165">
        <v>0</v>
      </c>
      <c r="S266" s="165">
        <v>0</v>
      </c>
      <c r="T266" s="165">
        <v>0</v>
      </c>
      <c r="U266" s="165">
        <v>0</v>
      </c>
      <c r="V266" s="165">
        <v>0</v>
      </c>
      <c r="W266" s="165">
        <v>0</v>
      </c>
      <c r="X266" s="165">
        <v>0</v>
      </c>
      <c r="Y266" s="165">
        <v>0</v>
      </c>
      <c r="Z266" s="165">
        <v>0</v>
      </c>
      <c r="AA266" s="165">
        <v>0</v>
      </c>
      <c r="AB266" s="165">
        <v>0</v>
      </c>
      <c r="AC266" s="165">
        <v>0</v>
      </c>
      <c r="AD266" s="165">
        <v>0</v>
      </c>
      <c r="AE266" s="165">
        <v>0</v>
      </c>
      <c r="AF266" s="165">
        <v>0</v>
      </c>
      <c r="AG266" s="165">
        <v>0</v>
      </c>
      <c r="AH266" s="165">
        <v>0</v>
      </c>
      <c r="AI266" s="165">
        <v>0</v>
      </c>
      <c r="AJ266" s="165">
        <v>0</v>
      </c>
      <c r="AK266" s="165">
        <v>0</v>
      </c>
      <c r="AL266" s="165">
        <v>0</v>
      </c>
      <c r="AM266" s="165">
        <v>0</v>
      </c>
      <c r="AN266" s="165">
        <v>0</v>
      </c>
      <c r="AO266" s="165">
        <v>0</v>
      </c>
      <c r="AP266" s="165">
        <v>0</v>
      </c>
      <c r="AQ266" s="165">
        <v>0</v>
      </c>
      <c r="AZ266"/>
      <c r="BA266"/>
    </row>
    <row r="267" spans="1:99" ht="14.25" customHeight="1" thickBot="1" x14ac:dyDescent="0.2">
      <c r="A267" s="16" t="s">
        <v>83</v>
      </c>
      <c r="G267" s="22"/>
      <c r="H267" s="254"/>
      <c r="J267" s="241"/>
      <c r="K267" s="144" t="s">
        <v>230</v>
      </c>
      <c r="L267" s="144" t="s">
        <v>214</v>
      </c>
      <c r="M267" s="168">
        <v>0</v>
      </c>
      <c r="N267" s="168">
        <v>0</v>
      </c>
      <c r="O267" s="168">
        <v>0</v>
      </c>
      <c r="P267" s="168">
        <v>0</v>
      </c>
      <c r="Q267" s="168">
        <v>0</v>
      </c>
      <c r="R267" s="168">
        <v>0</v>
      </c>
      <c r="S267" s="168">
        <v>0</v>
      </c>
      <c r="T267" s="168">
        <v>0</v>
      </c>
      <c r="U267" s="168">
        <v>0</v>
      </c>
      <c r="V267" s="168">
        <v>0</v>
      </c>
      <c r="W267" s="168">
        <v>0</v>
      </c>
      <c r="X267" s="168">
        <v>0</v>
      </c>
      <c r="Y267" s="168">
        <v>0</v>
      </c>
      <c r="Z267" s="168">
        <v>0</v>
      </c>
      <c r="AA267" s="168">
        <v>0</v>
      </c>
      <c r="AB267" s="168">
        <v>0</v>
      </c>
      <c r="AC267" s="168">
        <v>0</v>
      </c>
      <c r="AD267" s="168">
        <v>0</v>
      </c>
      <c r="AE267" s="168">
        <v>0</v>
      </c>
      <c r="AF267" s="168">
        <v>0</v>
      </c>
      <c r="AG267" s="168">
        <v>0</v>
      </c>
      <c r="AH267" s="168">
        <v>0</v>
      </c>
      <c r="AI267" s="168">
        <v>0</v>
      </c>
      <c r="AJ267" s="168">
        <v>0</v>
      </c>
      <c r="AK267" s="168">
        <v>0</v>
      </c>
      <c r="AL267" s="168">
        <v>0</v>
      </c>
      <c r="AM267" s="168">
        <v>0</v>
      </c>
      <c r="AN267" s="168">
        <v>0</v>
      </c>
      <c r="AO267" s="168">
        <v>0</v>
      </c>
      <c r="AP267" s="168">
        <v>0</v>
      </c>
      <c r="AQ267" s="168">
        <v>0</v>
      </c>
    </row>
    <row r="268" spans="1:99" ht="14.25" customHeight="1" thickTop="1" x14ac:dyDescent="0.2">
      <c r="G268" s="22"/>
      <c r="H268" s="254"/>
      <c r="J268" s="241"/>
      <c r="K268" s="140" t="s">
        <v>229</v>
      </c>
      <c r="L268" s="140" t="s">
        <v>219</v>
      </c>
      <c r="M268" s="167">
        <v>0</v>
      </c>
      <c r="N268" s="167">
        <v>0</v>
      </c>
      <c r="O268" s="167">
        <v>0</v>
      </c>
      <c r="P268" s="167">
        <v>0</v>
      </c>
      <c r="Q268" s="167">
        <v>0</v>
      </c>
      <c r="R268" s="167">
        <v>0</v>
      </c>
      <c r="S268" s="167">
        <v>0</v>
      </c>
      <c r="T268" s="167">
        <v>0</v>
      </c>
      <c r="U268" s="167">
        <v>0</v>
      </c>
      <c r="V268" s="167">
        <v>0</v>
      </c>
      <c r="W268" s="167">
        <v>0</v>
      </c>
      <c r="X268" s="167">
        <v>0</v>
      </c>
      <c r="Y268" s="167">
        <v>0</v>
      </c>
      <c r="Z268" s="167">
        <v>0</v>
      </c>
      <c r="AA268" s="167">
        <v>0</v>
      </c>
      <c r="AB268" s="167">
        <v>0</v>
      </c>
      <c r="AC268" s="167">
        <v>0</v>
      </c>
      <c r="AD268" s="167">
        <v>0</v>
      </c>
      <c r="AE268" s="167">
        <v>0</v>
      </c>
      <c r="AF268" s="167">
        <v>0</v>
      </c>
      <c r="AG268" s="167">
        <v>0</v>
      </c>
      <c r="AH268" s="167">
        <v>0</v>
      </c>
      <c r="AI268" s="167">
        <v>0</v>
      </c>
      <c r="AJ268" s="167">
        <v>0</v>
      </c>
      <c r="AK268" s="167">
        <v>0</v>
      </c>
      <c r="AL268" s="167">
        <v>0</v>
      </c>
      <c r="AM268" s="167">
        <v>0</v>
      </c>
      <c r="AN268" s="167">
        <v>0</v>
      </c>
      <c r="AO268" s="167">
        <v>0</v>
      </c>
      <c r="AP268" s="167">
        <v>0</v>
      </c>
      <c r="AQ268" s="167">
        <v>0</v>
      </c>
      <c r="AV268"/>
      <c r="AW268"/>
      <c r="AX268"/>
      <c r="AY268"/>
      <c r="BB268"/>
      <c r="BC268"/>
      <c r="BD268"/>
      <c r="BE268"/>
      <c r="BF268"/>
      <c r="BJ268"/>
      <c r="BK268"/>
      <c r="BL268"/>
      <c r="BM268"/>
      <c r="BN268"/>
      <c r="BO268"/>
      <c r="BP268"/>
      <c r="BQ268"/>
      <c r="BR268"/>
      <c r="BS268"/>
      <c r="BT268"/>
      <c r="BU268"/>
      <c r="BV268"/>
      <c r="BW268"/>
      <c r="BX268"/>
      <c r="BY268"/>
    </row>
    <row r="269" spans="1:99" ht="14.25" customHeight="1" x14ac:dyDescent="0.2">
      <c r="G269" s="22"/>
      <c r="H269" s="254"/>
      <c r="J269" s="241"/>
      <c r="K269" s="19" t="s">
        <v>229</v>
      </c>
      <c r="L269" s="129" t="s">
        <v>218</v>
      </c>
      <c r="M269" s="165">
        <v>0</v>
      </c>
      <c r="N269" s="165">
        <v>0</v>
      </c>
      <c r="O269" s="165">
        <v>0</v>
      </c>
      <c r="P269" s="165">
        <v>0</v>
      </c>
      <c r="Q269" s="165">
        <v>0</v>
      </c>
      <c r="R269" s="165">
        <v>0</v>
      </c>
      <c r="S269" s="165">
        <v>0</v>
      </c>
      <c r="T269" s="165">
        <v>0</v>
      </c>
      <c r="U269" s="165">
        <v>0</v>
      </c>
      <c r="V269" s="165">
        <v>0</v>
      </c>
      <c r="W269" s="165">
        <v>0</v>
      </c>
      <c r="X269" s="165">
        <v>0</v>
      </c>
      <c r="Y269" s="165">
        <v>0</v>
      </c>
      <c r="Z269" s="165">
        <v>0</v>
      </c>
      <c r="AA269" s="165">
        <v>0</v>
      </c>
      <c r="AB269" s="165">
        <v>0</v>
      </c>
      <c r="AC269" s="165">
        <v>0</v>
      </c>
      <c r="AD269" s="165">
        <v>0</v>
      </c>
      <c r="AE269" s="165">
        <v>0</v>
      </c>
      <c r="AF269" s="165">
        <v>0</v>
      </c>
      <c r="AG269" s="165">
        <v>0</v>
      </c>
      <c r="AH269" s="165">
        <v>0</v>
      </c>
      <c r="AI269" s="165">
        <v>0</v>
      </c>
      <c r="AJ269" s="165">
        <v>0</v>
      </c>
      <c r="AK269" s="165">
        <v>0</v>
      </c>
      <c r="AL269" s="165">
        <v>0</v>
      </c>
      <c r="AM269" s="165">
        <v>0</v>
      </c>
      <c r="AN269" s="165">
        <v>0</v>
      </c>
      <c r="AO269" s="165">
        <v>0</v>
      </c>
      <c r="AP269" s="165">
        <v>0</v>
      </c>
      <c r="AQ269" s="165">
        <v>0</v>
      </c>
      <c r="AZ269"/>
      <c r="BA269"/>
    </row>
    <row r="270" spans="1:99" ht="14.25" customHeight="1" thickBot="1" x14ac:dyDescent="0.2">
      <c r="A270" s="16" t="s">
        <v>83</v>
      </c>
      <c r="G270" s="22"/>
      <c r="H270" s="254"/>
      <c r="J270" s="241"/>
      <c r="K270" s="144" t="s">
        <v>229</v>
      </c>
      <c r="L270" s="144" t="s">
        <v>214</v>
      </c>
      <c r="M270" s="168">
        <v>0</v>
      </c>
      <c r="N270" s="168">
        <v>0</v>
      </c>
      <c r="O270" s="168">
        <v>0</v>
      </c>
      <c r="P270" s="168">
        <v>0</v>
      </c>
      <c r="Q270" s="168">
        <v>0</v>
      </c>
      <c r="R270" s="168">
        <v>0</v>
      </c>
      <c r="S270" s="168">
        <v>0</v>
      </c>
      <c r="T270" s="168">
        <v>0</v>
      </c>
      <c r="U270" s="168">
        <v>0</v>
      </c>
      <c r="V270" s="168">
        <v>0</v>
      </c>
      <c r="W270" s="168">
        <v>0</v>
      </c>
      <c r="X270" s="168">
        <v>0</v>
      </c>
      <c r="Y270" s="168">
        <v>0</v>
      </c>
      <c r="Z270" s="168">
        <v>0</v>
      </c>
      <c r="AA270" s="168">
        <v>0</v>
      </c>
      <c r="AB270" s="168">
        <v>0</v>
      </c>
      <c r="AC270" s="168">
        <v>0</v>
      </c>
      <c r="AD270" s="168">
        <v>0</v>
      </c>
      <c r="AE270" s="168">
        <v>0</v>
      </c>
      <c r="AF270" s="168">
        <v>0</v>
      </c>
      <c r="AG270" s="168">
        <v>0</v>
      </c>
      <c r="AH270" s="168">
        <v>0</v>
      </c>
      <c r="AI270" s="168">
        <v>0</v>
      </c>
      <c r="AJ270" s="168">
        <v>0</v>
      </c>
      <c r="AK270" s="168">
        <v>0</v>
      </c>
      <c r="AL270" s="168">
        <v>0</v>
      </c>
      <c r="AM270" s="168">
        <v>0</v>
      </c>
      <c r="AN270" s="168">
        <v>0</v>
      </c>
      <c r="AO270" s="168">
        <v>0</v>
      </c>
      <c r="AP270" s="168">
        <v>0</v>
      </c>
      <c r="AQ270" s="168">
        <v>0</v>
      </c>
    </row>
    <row r="271" spans="1:99" ht="14.25" customHeight="1" thickTop="1" x14ac:dyDescent="0.2">
      <c r="G271" s="22"/>
      <c r="H271" s="254"/>
      <c r="J271" s="241"/>
      <c r="K271" s="140" t="s">
        <v>228</v>
      </c>
      <c r="L271" s="140" t="s">
        <v>219</v>
      </c>
      <c r="M271" s="167">
        <v>0</v>
      </c>
      <c r="N271" s="167">
        <v>0</v>
      </c>
      <c r="O271" s="167">
        <v>0</v>
      </c>
      <c r="P271" s="167">
        <v>0</v>
      </c>
      <c r="Q271" s="167">
        <v>0</v>
      </c>
      <c r="R271" s="167">
        <v>0</v>
      </c>
      <c r="S271" s="167">
        <v>0</v>
      </c>
      <c r="T271" s="167">
        <v>0</v>
      </c>
      <c r="U271" s="167">
        <v>0</v>
      </c>
      <c r="V271" s="167">
        <v>0</v>
      </c>
      <c r="W271" s="167">
        <v>0</v>
      </c>
      <c r="X271" s="167">
        <v>0</v>
      </c>
      <c r="Y271" s="167">
        <v>0</v>
      </c>
      <c r="Z271" s="167">
        <v>0</v>
      </c>
      <c r="AA271" s="167">
        <v>0</v>
      </c>
      <c r="AB271" s="167">
        <v>0</v>
      </c>
      <c r="AC271" s="167">
        <v>0</v>
      </c>
      <c r="AD271" s="167">
        <v>0</v>
      </c>
      <c r="AE271" s="167">
        <v>0</v>
      </c>
      <c r="AF271" s="167">
        <v>0</v>
      </c>
      <c r="AG271" s="167">
        <v>0</v>
      </c>
      <c r="AH271" s="167">
        <v>0</v>
      </c>
      <c r="AI271" s="167">
        <v>0</v>
      </c>
      <c r="AJ271" s="167">
        <v>0</v>
      </c>
      <c r="AK271" s="167">
        <v>0</v>
      </c>
      <c r="AL271" s="167">
        <v>0</v>
      </c>
      <c r="AM271" s="167">
        <v>0</v>
      </c>
      <c r="AN271" s="167">
        <v>0</v>
      </c>
      <c r="AO271" s="167">
        <v>0</v>
      </c>
      <c r="AP271" s="167">
        <v>0</v>
      </c>
      <c r="AQ271" s="167">
        <v>0</v>
      </c>
      <c r="AV271"/>
      <c r="AW271"/>
      <c r="AX271"/>
      <c r="AY271"/>
      <c r="BB271"/>
      <c r="BC271"/>
      <c r="BD271"/>
      <c r="BE271"/>
      <c r="BF271"/>
      <c r="BJ271"/>
      <c r="BK271"/>
      <c r="BL271"/>
      <c r="BM271"/>
      <c r="BN271"/>
      <c r="BO271"/>
      <c r="BP271"/>
      <c r="BQ271"/>
      <c r="BR271"/>
      <c r="BS271"/>
      <c r="BT271"/>
      <c r="BU271"/>
      <c r="BV271"/>
      <c r="BW271"/>
      <c r="BX271"/>
      <c r="BY271"/>
    </row>
    <row r="272" spans="1:99" ht="14.25" customHeight="1" x14ac:dyDescent="0.2">
      <c r="G272" s="22"/>
      <c r="H272" s="254"/>
      <c r="J272" s="241"/>
      <c r="K272" s="19" t="s">
        <v>228</v>
      </c>
      <c r="L272" s="129" t="s">
        <v>218</v>
      </c>
      <c r="M272" s="165">
        <v>0</v>
      </c>
      <c r="N272" s="165">
        <v>0</v>
      </c>
      <c r="O272" s="165">
        <v>0</v>
      </c>
      <c r="P272" s="165">
        <v>0</v>
      </c>
      <c r="Q272" s="165">
        <v>0</v>
      </c>
      <c r="R272" s="165">
        <v>0</v>
      </c>
      <c r="S272" s="165">
        <v>0</v>
      </c>
      <c r="T272" s="165">
        <v>0</v>
      </c>
      <c r="U272" s="165">
        <v>0</v>
      </c>
      <c r="V272" s="165">
        <v>0</v>
      </c>
      <c r="W272" s="165">
        <v>0</v>
      </c>
      <c r="X272" s="165">
        <v>0</v>
      </c>
      <c r="Y272" s="165">
        <v>0</v>
      </c>
      <c r="Z272" s="165">
        <v>0</v>
      </c>
      <c r="AA272" s="165">
        <v>0</v>
      </c>
      <c r="AB272" s="165">
        <v>0</v>
      </c>
      <c r="AC272" s="165">
        <v>0</v>
      </c>
      <c r="AD272" s="165">
        <v>0</v>
      </c>
      <c r="AE272" s="165">
        <v>0</v>
      </c>
      <c r="AF272" s="165">
        <v>0</v>
      </c>
      <c r="AG272" s="165">
        <v>0</v>
      </c>
      <c r="AH272" s="165">
        <v>0</v>
      </c>
      <c r="AI272" s="165">
        <v>0</v>
      </c>
      <c r="AJ272" s="165">
        <v>0</v>
      </c>
      <c r="AK272" s="165">
        <v>0</v>
      </c>
      <c r="AL272" s="165">
        <v>0</v>
      </c>
      <c r="AM272" s="165">
        <v>0</v>
      </c>
      <c r="AN272" s="165">
        <v>0</v>
      </c>
      <c r="AO272" s="165">
        <v>0</v>
      </c>
      <c r="AP272" s="165">
        <v>0</v>
      </c>
      <c r="AQ272" s="165">
        <v>0</v>
      </c>
      <c r="AZ272"/>
      <c r="BA272"/>
    </row>
    <row r="273" spans="1:91" ht="14.25" customHeight="1" x14ac:dyDescent="0.15">
      <c r="A273" s="16" t="s">
        <v>83</v>
      </c>
      <c r="G273" s="22"/>
      <c r="H273" s="254"/>
      <c r="J273" s="251"/>
      <c r="K273" s="144" t="s">
        <v>228</v>
      </c>
      <c r="L273" s="144" t="s">
        <v>214</v>
      </c>
      <c r="M273" s="168">
        <v>0</v>
      </c>
      <c r="N273" s="168">
        <v>0</v>
      </c>
      <c r="O273" s="168">
        <v>0</v>
      </c>
      <c r="P273" s="168">
        <v>0</v>
      </c>
      <c r="Q273" s="168">
        <v>0</v>
      </c>
      <c r="R273" s="168">
        <v>0</v>
      </c>
      <c r="S273" s="168">
        <v>0</v>
      </c>
      <c r="T273" s="168">
        <v>0</v>
      </c>
      <c r="U273" s="168">
        <v>0</v>
      </c>
      <c r="V273" s="168">
        <v>0</v>
      </c>
      <c r="W273" s="168">
        <v>0</v>
      </c>
      <c r="X273" s="168">
        <v>0</v>
      </c>
      <c r="Y273" s="168">
        <v>0</v>
      </c>
      <c r="Z273" s="168">
        <v>0</v>
      </c>
      <c r="AA273" s="168">
        <v>0</v>
      </c>
      <c r="AB273" s="168">
        <v>0</v>
      </c>
      <c r="AC273" s="168">
        <v>0</v>
      </c>
      <c r="AD273" s="168">
        <v>0</v>
      </c>
      <c r="AE273" s="168">
        <v>0</v>
      </c>
      <c r="AF273" s="168">
        <v>0</v>
      </c>
      <c r="AG273" s="168">
        <v>0</v>
      </c>
      <c r="AH273" s="168">
        <v>0</v>
      </c>
      <c r="AI273" s="168">
        <v>0</v>
      </c>
      <c r="AJ273" s="168">
        <v>0</v>
      </c>
      <c r="AK273" s="168">
        <v>0</v>
      </c>
      <c r="AL273" s="168">
        <v>0</v>
      </c>
      <c r="AM273" s="168">
        <v>0</v>
      </c>
      <c r="AN273" s="168">
        <v>0</v>
      </c>
      <c r="AO273" s="168">
        <v>0</v>
      </c>
      <c r="AP273" s="168">
        <v>0</v>
      </c>
      <c r="AQ273" s="168">
        <v>0</v>
      </c>
    </row>
    <row r="274" spans="1:91" ht="14.25" customHeight="1" thickBot="1" x14ac:dyDescent="0.2">
      <c r="G274" s="22"/>
      <c r="J274" s="169"/>
      <c r="K274" s="169"/>
      <c r="L274" s="169"/>
      <c r="M274" s="169"/>
      <c r="N274" s="169"/>
      <c r="O274" s="169"/>
      <c r="P274" s="169"/>
      <c r="Q274" s="169"/>
      <c r="R274" s="169"/>
      <c r="S274" s="169"/>
      <c r="T274" s="169"/>
      <c r="U274" s="169"/>
      <c r="V274" s="169"/>
      <c r="W274" s="169"/>
      <c r="X274" s="169"/>
      <c r="Y274" s="169"/>
      <c r="Z274" s="169"/>
      <c r="AA274" s="169"/>
      <c r="AB274" s="169"/>
      <c r="AC274" s="169"/>
      <c r="AD274" s="169"/>
      <c r="AE274" s="169"/>
      <c r="AF274" s="169"/>
      <c r="AG274" s="169"/>
      <c r="AH274" s="169"/>
      <c r="AI274" s="169"/>
      <c r="AJ274" s="169"/>
      <c r="AK274" s="169"/>
      <c r="AL274" s="169"/>
      <c r="AM274" s="169"/>
      <c r="AN274" s="169"/>
      <c r="AO274" s="169"/>
      <c r="AP274" s="169"/>
      <c r="AQ274" s="169"/>
    </row>
    <row r="275" spans="1:91" ht="14.25" customHeight="1" x14ac:dyDescent="0.2">
      <c r="G275" s="22"/>
      <c r="J275" s="170"/>
      <c r="K275" s="170"/>
      <c r="L275" s="170"/>
      <c r="M275" s="170"/>
      <c r="N275" s="170"/>
      <c r="O275" s="170"/>
      <c r="P275" s="170"/>
      <c r="Q275" s="170"/>
      <c r="R275" s="170"/>
      <c r="S275" s="170"/>
      <c r="T275" s="170"/>
      <c r="U275" s="170"/>
      <c r="V275" s="170"/>
      <c r="W275" s="170"/>
      <c r="X275" s="170"/>
      <c r="Y275" s="170"/>
      <c r="Z275" s="170"/>
      <c r="AA275" s="170"/>
      <c r="AB275" s="170"/>
      <c r="AC275" s="170"/>
      <c r="AD275" s="170"/>
      <c r="AE275" s="170"/>
      <c r="AF275" s="170"/>
      <c r="AG275" s="170"/>
      <c r="AH275" s="170"/>
      <c r="AI275" s="170"/>
      <c r="AJ275" s="170"/>
      <c r="AK275" s="170"/>
      <c r="AL275" s="170"/>
      <c r="AM275" s="170"/>
      <c r="AN275" s="170"/>
      <c r="AO275" s="170"/>
      <c r="AP275" s="170"/>
      <c r="AQ275" s="170"/>
      <c r="AT275"/>
      <c r="AU275"/>
      <c r="BZ275"/>
      <c r="CA275"/>
      <c r="CB275"/>
      <c r="CC275"/>
      <c r="CD275"/>
      <c r="CE275"/>
      <c r="CF275"/>
      <c r="CG275"/>
      <c r="CH275"/>
      <c r="CI275"/>
      <c r="CJ275"/>
      <c r="CK275"/>
      <c r="CL275"/>
      <c r="CM275"/>
    </row>
    <row r="276" spans="1:91" ht="14.25" customHeight="1" x14ac:dyDescent="0.15">
      <c r="G276" s="22"/>
      <c r="M276" s="128">
        <v>2020</v>
      </c>
      <c r="N276" s="128">
        <v>2021</v>
      </c>
      <c r="O276" s="128">
        <v>2022</v>
      </c>
      <c r="P276" s="128">
        <v>2023</v>
      </c>
      <c r="Q276" s="128">
        <v>2024</v>
      </c>
      <c r="R276" s="128">
        <v>2025</v>
      </c>
      <c r="S276" s="128">
        <v>2026</v>
      </c>
      <c r="T276" s="128">
        <v>2027</v>
      </c>
      <c r="U276" s="128">
        <v>2028</v>
      </c>
      <c r="V276" s="128">
        <v>2029</v>
      </c>
      <c r="W276" s="128">
        <v>2030</v>
      </c>
      <c r="X276" s="128">
        <v>2031</v>
      </c>
      <c r="Y276" s="128">
        <v>2032</v>
      </c>
      <c r="Z276" s="128">
        <v>2033</v>
      </c>
      <c r="AA276" s="128">
        <v>2034</v>
      </c>
      <c r="AB276" s="128">
        <v>2035</v>
      </c>
      <c r="AC276" s="128">
        <v>2036</v>
      </c>
      <c r="AD276" s="128">
        <v>2037</v>
      </c>
      <c r="AE276" s="128">
        <v>2038</v>
      </c>
      <c r="AF276" s="128">
        <v>2039</v>
      </c>
      <c r="AG276" s="128">
        <v>2040</v>
      </c>
      <c r="AH276" s="128">
        <v>2041</v>
      </c>
      <c r="AI276" s="128">
        <v>2042</v>
      </c>
      <c r="AJ276" s="128">
        <v>2043</v>
      </c>
      <c r="AK276" s="128">
        <v>2044</v>
      </c>
      <c r="AL276" s="128">
        <v>2045</v>
      </c>
      <c r="AM276" s="128">
        <v>2046</v>
      </c>
      <c r="AN276" s="128">
        <v>2047</v>
      </c>
      <c r="AO276" s="128">
        <v>2048</v>
      </c>
      <c r="AP276" s="128">
        <v>2049</v>
      </c>
      <c r="AQ276" s="128">
        <v>2050</v>
      </c>
      <c r="AR276" s="16">
        <f>AQ276+1</f>
        <v>2051</v>
      </c>
      <c r="AS276" s="16">
        <f t="shared" ref="AS276:BK276" si="135">AR276+1</f>
        <v>2052</v>
      </c>
      <c r="AT276" s="16">
        <f t="shared" si="135"/>
        <v>2053</v>
      </c>
      <c r="AU276" s="16">
        <f t="shared" si="135"/>
        <v>2054</v>
      </c>
      <c r="AV276" s="16">
        <f t="shared" si="135"/>
        <v>2055</v>
      </c>
      <c r="AW276" s="16">
        <f t="shared" si="135"/>
        <v>2056</v>
      </c>
      <c r="AX276" s="16">
        <f t="shared" si="135"/>
        <v>2057</v>
      </c>
      <c r="AY276" s="16">
        <f t="shared" si="135"/>
        <v>2058</v>
      </c>
      <c r="AZ276" s="16">
        <f t="shared" si="135"/>
        <v>2059</v>
      </c>
      <c r="BA276" s="16">
        <f t="shared" si="135"/>
        <v>2060</v>
      </c>
      <c r="BB276" s="16">
        <f t="shared" si="135"/>
        <v>2061</v>
      </c>
      <c r="BC276" s="16">
        <f t="shared" si="135"/>
        <v>2062</v>
      </c>
      <c r="BD276" s="16">
        <f t="shared" si="135"/>
        <v>2063</v>
      </c>
      <c r="BE276" s="16">
        <f t="shared" si="135"/>
        <v>2064</v>
      </c>
      <c r="BF276" s="16">
        <f>BE276+1</f>
        <v>2065</v>
      </c>
      <c r="BG276" s="16">
        <f t="shared" si="135"/>
        <v>2066</v>
      </c>
      <c r="BH276" s="16">
        <f t="shared" si="135"/>
        <v>2067</v>
      </c>
      <c r="BI276" s="16">
        <f t="shared" si="135"/>
        <v>2068</v>
      </c>
      <c r="BJ276" s="16">
        <f>BI276+1</f>
        <v>2069</v>
      </c>
      <c r="BK276" s="16">
        <f t="shared" si="135"/>
        <v>2070</v>
      </c>
    </row>
    <row r="277" spans="1:91" ht="14.25" customHeight="1" x14ac:dyDescent="0.15">
      <c r="G277" s="22"/>
      <c r="H277" s="252" t="s">
        <v>168</v>
      </c>
      <c r="J277" s="240" t="s">
        <v>169</v>
      </c>
      <c r="K277" s="140" t="s">
        <v>237</v>
      </c>
      <c r="L277" s="140" t="s">
        <v>219</v>
      </c>
      <c r="M277" s="164">
        <v>0</v>
      </c>
      <c r="N277" s="164">
        <v>0</v>
      </c>
      <c r="O277" s="164">
        <v>0</v>
      </c>
      <c r="P277" s="164">
        <v>0</v>
      </c>
      <c r="Q277" s="164">
        <v>0</v>
      </c>
      <c r="R277" s="164">
        <v>0</v>
      </c>
      <c r="S277" s="164">
        <v>0</v>
      </c>
      <c r="T277" s="164">
        <v>0</v>
      </c>
      <c r="U277" s="164">
        <v>0</v>
      </c>
      <c r="V277" s="164">
        <v>0</v>
      </c>
      <c r="W277" s="164">
        <v>0</v>
      </c>
      <c r="X277" s="164">
        <v>0</v>
      </c>
      <c r="Y277" s="164">
        <v>0</v>
      </c>
      <c r="Z277" s="164">
        <v>0</v>
      </c>
      <c r="AA277" s="164">
        <v>0</v>
      </c>
      <c r="AB277" s="164">
        <v>0</v>
      </c>
      <c r="AC277" s="164">
        <v>0</v>
      </c>
      <c r="AD277" s="164">
        <v>0</v>
      </c>
      <c r="AE277" s="164">
        <v>0</v>
      </c>
      <c r="AF277" s="164">
        <v>0</v>
      </c>
      <c r="AG277" s="164">
        <v>0</v>
      </c>
      <c r="AH277" s="164">
        <v>0</v>
      </c>
      <c r="AI277" s="164">
        <v>0</v>
      </c>
      <c r="AJ277" s="164">
        <v>0</v>
      </c>
      <c r="AK277" s="164">
        <v>0</v>
      </c>
      <c r="AL277" s="164">
        <v>0</v>
      </c>
      <c r="AM277" s="164">
        <v>0</v>
      </c>
      <c r="AN277" s="164">
        <v>0</v>
      </c>
      <c r="AO277" s="164">
        <v>0</v>
      </c>
      <c r="AP277" s="164">
        <v>0</v>
      </c>
      <c r="AQ277" s="164">
        <v>0</v>
      </c>
      <c r="AR277" s="164">
        <v>0</v>
      </c>
      <c r="AS277" s="164">
        <v>0</v>
      </c>
      <c r="AT277" s="164">
        <v>0</v>
      </c>
      <c r="AU277" s="164">
        <v>0</v>
      </c>
      <c r="AV277" s="164">
        <v>0</v>
      </c>
      <c r="AW277" s="164">
        <v>0</v>
      </c>
      <c r="AX277" s="164">
        <v>0</v>
      </c>
      <c r="AY277" s="164">
        <v>0</v>
      </c>
      <c r="AZ277" s="164">
        <v>0</v>
      </c>
      <c r="BA277" s="164">
        <v>0</v>
      </c>
      <c r="BB277" s="164">
        <v>0</v>
      </c>
      <c r="BC277" s="164">
        <v>0</v>
      </c>
      <c r="BD277" s="164">
        <v>0</v>
      </c>
      <c r="BE277" s="164">
        <v>0</v>
      </c>
      <c r="BF277" s="164">
        <v>0</v>
      </c>
      <c r="BG277" s="164">
        <v>0</v>
      </c>
      <c r="BH277" s="164">
        <v>0</v>
      </c>
      <c r="BI277" s="164">
        <v>0</v>
      </c>
      <c r="BJ277" s="164">
        <v>0</v>
      </c>
      <c r="BK277" s="164">
        <v>0</v>
      </c>
    </row>
    <row r="278" spans="1:91" ht="14.25" customHeight="1" x14ac:dyDescent="0.15">
      <c r="G278" s="22"/>
      <c r="H278" s="252"/>
      <c r="J278" s="241"/>
      <c r="K278" s="19" t="s">
        <v>237</v>
      </c>
      <c r="L278" s="129" t="s">
        <v>218</v>
      </c>
      <c r="M278" s="165">
        <v>0</v>
      </c>
      <c r="N278" s="165">
        <v>0</v>
      </c>
      <c r="O278" s="165">
        <v>0</v>
      </c>
      <c r="P278" s="165">
        <v>0</v>
      </c>
      <c r="Q278" s="165">
        <v>0</v>
      </c>
      <c r="R278" s="165">
        <v>0</v>
      </c>
      <c r="S278" s="165">
        <v>0</v>
      </c>
      <c r="T278" s="165">
        <v>0</v>
      </c>
      <c r="U278" s="165">
        <v>0</v>
      </c>
      <c r="V278" s="165">
        <v>0</v>
      </c>
      <c r="W278" s="165">
        <v>0</v>
      </c>
      <c r="X278" s="165">
        <v>0</v>
      </c>
      <c r="Y278" s="165">
        <v>0</v>
      </c>
      <c r="Z278" s="165">
        <v>0</v>
      </c>
      <c r="AA278" s="165">
        <v>0</v>
      </c>
      <c r="AB278" s="165">
        <v>0</v>
      </c>
      <c r="AC278" s="165">
        <v>0</v>
      </c>
      <c r="AD278" s="165">
        <v>0</v>
      </c>
      <c r="AE278" s="165">
        <v>0</v>
      </c>
      <c r="AF278" s="165">
        <v>0</v>
      </c>
      <c r="AG278" s="165">
        <v>0</v>
      </c>
      <c r="AH278" s="165">
        <v>0</v>
      </c>
      <c r="AI278" s="165">
        <v>0</v>
      </c>
      <c r="AJ278" s="165">
        <v>0</v>
      </c>
      <c r="AK278" s="165">
        <v>0</v>
      </c>
      <c r="AL278" s="165">
        <v>0</v>
      </c>
      <c r="AM278" s="165">
        <v>0</v>
      </c>
      <c r="AN278" s="165">
        <v>0</v>
      </c>
      <c r="AO278" s="165">
        <v>0</v>
      </c>
      <c r="AP278" s="165">
        <v>0</v>
      </c>
      <c r="AQ278" s="165">
        <v>0</v>
      </c>
      <c r="AR278" s="165">
        <v>0</v>
      </c>
      <c r="AS278" s="165">
        <v>0</v>
      </c>
      <c r="AT278" s="165">
        <v>0</v>
      </c>
      <c r="AU278" s="165">
        <v>0</v>
      </c>
      <c r="AV278" s="165">
        <v>0</v>
      </c>
      <c r="AW278" s="165">
        <v>0</v>
      </c>
      <c r="AX278" s="165">
        <v>0</v>
      </c>
      <c r="AY278" s="165">
        <v>0</v>
      </c>
      <c r="AZ278" s="165">
        <v>0</v>
      </c>
      <c r="BA278" s="165">
        <v>0</v>
      </c>
      <c r="BB278" s="165">
        <v>0</v>
      </c>
      <c r="BC278" s="165">
        <v>0</v>
      </c>
      <c r="BD278" s="165">
        <v>0</v>
      </c>
      <c r="BE278" s="165">
        <v>0</v>
      </c>
      <c r="BF278" s="165">
        <v>0</v>
      </c>
      <c r="BG278" s="165">
        <v>0</v>
      </c>
      <c r="BH278" s="165">
        <v>0</v>
      </c>
      <c r="BI278" s="165">
        <v>0</v>
      </c>
      <c r="BJ278" s="165">
        <v>0</v>
      </c>
      <c r="BK278" s="165">
        <v>0</v>
      </c>
    </row>
    <row r="279" spans="1:91" ht="14.25" customHeight="1" thickBot="1" x14ac:dyDescent="0.2">
      <c r="G279" s="22"/>
      <c r="H279" s="252"/>
      <c r="J279" s="241"/>
      <c r="K279" s="144" t="s">
        <v>237</v>
      </c>
      <c r="L279" s="144" t="s">
        <v>214</v>
      </c>
      <c r="M279" s="166">
        <v>0</v>
      </c>
      <c r="N279" s="166">
        <v>0</v>
      </c>
      <c r="O279" s="166">
        <v>0</v>
      </c>
      <c r="P279" s="166">
        <v>0</v>
      </c>
      <c r="Q279" s="166">
        <v>0</v>
      </c>
      <c r="R279" s="166">
        <v>0</v>
      </c>
      <c r="S279" s="166">
        <v>0</v>
      </c>
      <c r="T279" s="166">
        <v>0</v>
      </c>
      <c r="U279" s="166">
        <v>0</v>
      </c>
      <c r="V279" s="166">
        <v>0</v>
      </c>
      <c r="W279" s="166">
        <v>0</v>
      </c>
      <c r="X279" s="166">
        <v>0</v>
      </c>
      <c r="Y279" s="166">
        <v>0</v>
      </c>
      <c r="Z279" s="166">
        <v>0</v>
      </c>
      <c r="AA279" s="166">
        <v>0</v>
      </c>
      <c r="AB279" s="166">
        <v>0</v>
      </c>
      <c r="AC279" s="166">
        <v>0</v>
      </c>
      <c r="AD279" s="166">
        <v>0</v>
      </c>
      <c r="AE279" s="166">
        <v>0</v>
      </c>
      <c r="AF279" s="166">
        <v>0</v>
      </c>
      <c r="AG279" s="166">
        <v>0</v>
      </c>
      <c r="AH279" s="166">
        <v>0</v>
      </c>
      <c r="AI279" s="166">
        <v>0</v>
      </c>
      <c r="AJ279" s="166">
        <v>0</v>
      </c>
      <c r="AK279" s="166">
        <v>0</v>
      </c>
      <c r="AL279" s="166">
        <v>0</v>
      </c>
      <c r="AM279" s="166">
        <v>0</v>
      </c>
      <c r="AN279" s="166">
        <v>0</v>
      </c>
      <c r="AO279" s="166">
        <v>0</v>
      </c>
      <c r="AP279" s="166">
        <v>0</v>
      </c>
      <c r="AQ279" s="166">
        <v>0</v>
      </c>
    </row>
    <row r="280" spans="1:91" ht="14.25" customHeight="1" thickTop="1" x14ac:dyDescent="0.15">
      <c r="G280" s="22"/>
      <c r="H280" s="252"/>
      <c r="J280" s="241"/>
      <c r="K280" s="140" t="s">
        <v>236</v>
      </c>
      <c r="L280" s="140" t="s">
        <v>219</v>
      </c>
      <c r="M280" s="167">
        <v>0</v>
      </c>
      <c r="N280" s="167">
        <v>0</v>
      </c>
      <c r="O280" s="167">
        <v>0</v>
      </c>
      <c r="P280" s="167">
        <v>0</v>
      </c>
      <c r="Q280" s="167">
        <v>0</v>
      </c>
      <c r="R280" s="167">
        <v>0</v>
      </c>
      <c r="S280" s="167">
        <v>0</v>
      </c>
      <c r="T280" s="167">
        <v>0</v>
      </c>
      <c r="U280" s="167">
        <v>0</v>
      </c>
      <c r="V280" s="167">
        <v>0</v>
      </c>
      <c r="W280" s="167">
        <v>0</v>
      </c>
      <c r="X280" s="167">
        <v>0</v>
      </c>
      <c r="Y280" s="167">
        <v>0</v>
      </c>
      <c r="Z280" s="167">
        <v>0</v>
      </c>
      <c r="AA280" s="167">
        <v>0</v>
      </c>
      <c r="AB280" s="167">
        <v>0</v>
      </c>
      <c r="AC280" s="167">
        <v>0</v>
      </c>
      <c r="AD280" s="167">
        <v>0</v>
      </c>
      <c r="AE280" s="167">
        <v>0</v>
      </c>
      <c r="AF280" s="167">
        <v>0</v>
      </c>
      <c r="AG280" s="167">
        <v>0</v>
      </c>
      <c r="AH280" s="167">
        <v>0</v>
      </c>
      <c r="AI280" s="167">
        <v>0</v>
      </c>
      <c r="AJ280" s="167">
        <v>0</v>
      </c>
      <c r="AK280" s="167">
        <v>0</v>
      </c>
      <c r="AL280" s="167">
        <v>0</v>
      </c>
      <c r="AM280" s="167">
        <v>0</v>
      </c>
      <c r="AN280" s="167">
        <v>0</v>
      </c>
      <c r="AO280" s="167">
        <v>0</v>
      </c>
      <c r="AP280" s="167">
        <v>0</v>
      </c>
      <c r="AQ280" s="167">
        <v>0</v>
      </c>
    </row>
    <row r="281" spans="1:91" ht="14.25" customHeight="1" x14ac:dyDescent="0.15">
      <c r="G281" s="22"/>
      <c r="H281" s="252"/>
      <c r="J281" s="241"/>
      <c r="K281" s="19" t="s">
        <v>236</v>
      </c>
      <c r="L281" s="129" t="s">
        <v>218</v>
      </c>
      <c r="M281" s="165">
        <v>0</v>
      </c>
      <c r="N281" s="165">
        <v>0</v>
      </c>
      <c r="O281" s="165">
        <v>0</v>
      </c>
      <c r="P281" s="165">
        <v>0</v>
      </c>
      <c r="Q281" s="165">
        <v>0</v>
      </c>
      <c r="R281" s="165">
        <v>0</v>
      </c>
      <c r="S281" s="165">
        <v>0</v>
      </c>
      <c r="T281" s="165">
        <v>0</v>
      </c>
      <c r="U281" s="165">
        <v>0</v>
      </c>
      <c r="V281" s="165">
        <v>0</v>
      </c>
      <c r="W281" s="165">
        <v>0</v>
      </c>
      <c r="X281" s="165">
        <v>0</v>
      </c>
      <c r="Y281" s="165">
        <v>0</v>
      </c>
      <c r="Z281" s="165">
        <v>0</v>
      </c>
      <c r="AA281" s="165">
        <v>0</v>
      </c>
      <c r="AB281" s="165">
        <v>0</v>
      </c>
      <c r="AC281" s="165">
        <v>0</v>
      </c>
      <c r="AD281" s="165">
        <v>0</v>
      </c>
      <c r="AE281" s="165">
        <v>0</v>
      </c>
      <c r="AF281" s="165">
        <v>0</v>
      </c>
      <c r="AG281" s="165">
        <v>0</v>
      </c>
      <c r="AH281" s="165">
        <v>0</v>
      </c>
      <c r="AI281" s="165">
        <v>0</v>
      </c>
      <c r="AJ281" s="165">
        <v>0</v>
      </c>
      <c r="AK281" s="165">
        <v>0</v>
      </c>
      <c r="AL281" s="165">
        <v>0</v>
      </c>
      <c r="AM281" s="165">
        <v>0</v>
      </c>
      <c r="AN281" s="165">
        <v>0</v>
      </c>
      <c r="AO281" s="165">
        <v>0</v>
      </c>
      <c r="AP281" s="165">
        <v>0</v>
      </c>
      <c r="AQ281" s="165">
        <v>0</v>
      </c>
    </row>
    <row r="282" spans="1:91" ht="14.25" customHeight="1" thickBot="1" x14ac:dyDescent="0.2">
      <c r="G282" s="22"/>
      <c r="H282" s="252"/>
      <c r="J282" s="241"/>
      <c r="K282" s="144" t="s">
        <v>236</v>
      </c>
      <c r="L282" s="144" t="s">
        <v>214</v>
      </c>
      <c r="M282" s="166">
        <v>0</v>
      </c>
      <c r="N282" s="166">
        <v>0</v>
      </c>
      <c r="O282" s="166">
        <v>0</v>
      </c>
      <c r="P282" s="166">
        <v>0</v>
      </c>
      <c r="Q282" s="166">
        <v>0</v>
      </c>
      <c r="R282" s="166">
        <v>0</v>
      </c>
      <c r="S282" s="166">
        <v>0</v>
      </c>
      <c r="T282" s="166">
        <v>0</v>
      </c>
      <c r="U282" s="166">
        <v>0</v>
      </c>
      <c r="V282" s="166">
        <v>0</v>
      </c>
      <c r="W282" s="166">
        <v>0</v>
      </c>
      <c r="X282" s="166">
        <v>0</v>
      </c>
      <c r="Y282" s="166">
        <v>0</v>
      </c>
      <c r="Z282" s="166">
        <v>0</v>
      </c>
      <c r="AA282" s="166">
        <v>0</v>
      </c>
      <c r="AB282" s="166">
        <v>0</v>
      </c>
      <c r="AC282" s="166">
        <v>0</v>
      </c>
      <c r="AD282" s="166">
        <v>0</v>
      </c>
      <c r="AE282" s="166">
        <v>0</v>
      </c>
      <c r="AF282" s="166">
        <v>0</v>
      </c>
      <c r="AG282" s="166">
        <v>0</v>
      </c>
      <c r="AH282" s="166">
        <v>0</v>
      </c>
      <c r="AI282" s="166">
        <v>0</v>
      </c>
      <c r="AJ282" s="166">
        <v>0</v>
      </c>
      <c r="AK282" s="166">
        <v>0</v>
      </c>
      <c r="AL282" s="166">
        <v>0</v>
      </c>
      <c r="AM282" s="166">
        <v>0</v>
      </c>
      <c r="AN282" s="166">
        <v>0</v>
      </c>
      <c r="AO282" s="166">
        <v>0</v>
      </c>
      <c r="AP282" s="166">
        <v>0</v>
      </c>
      <c r="AQ282" s="166">
        <v>0</v>
      </c>
    </row>
    <row r="283" spans="1:91" ht="14.25" customHeight="1" thickTop="1" x14ac:dyDescent="0.15">
      <c r="G283" s="22"/>
      <c r="H283" s="252"/>
      <c r="J283" s="241"/>
      <c r="K283" s="140" t="s">
        <v>235</v>
      </c>
      <c r="L283" s="140" t="s">
        <v>219</v>
      </c>
      <c r="M283" s="167">
        <v>0</v>
      </c>
      <c r="N283" s="167">
        <v>0</v>
      </c>
      <c r="O283" s="167">
        <v>0</v>
      </c>
      <c r="P283" s="167">
        <v>0</v>
      </c>
      <c r="Q283" s="167">
        <v>0</v>
      </c>
      <c r="R283" s="167">
        <v>0</v>
      </c>
      <c r="S283" s="167">
        <v>0</v>
      </c>
      <c r="T283" s="167">
        <v>0</v>
      </c>
      <c r="U283" s="167">
        <v>0</v>
      </c>
      <c r="V283" s="167">
        <v>0</v>
      </c>
      <c r="W283" s="167">
        <v>0</v>
      </c>
      <c r="X283" s="167">
        <v>0</v>
      </c>
      <c r="Y283" s="167">
        <v>0</v>
      </c>
      <c r="Z283" s="167">
        <v>0</v>
      </c>
      <c r="AA283" s="167">
        <v>0</v>
      </c>
      <c r="AB283" s="167">
        <v>0</v>
      </c>
      <c r="AC283" s="167">
        <v>0</v>
      </c>
      <c r="AD283" s="167">
        <v>0</v>
      </c>
      <c r="AE283" s="167">
        <v>0</v>
      </c>
      <c r="AF283" s="167">
        <v>0</v>
      </c>
      <c r="AG283" s="167">
        <v>0</v>
      </c>
      <c r="AH283" s="167">
        <v>0</v>
      </c>
      <c r="AI283" s="167">
        <v>0</v>
      </c>
      <c r="AJ283" s="167">
        <v>0</v>
      </c>
      <c r="AK283" s="167">
        <v>0</v>
      </c>
      <c r="AL283" s="167">
        <v>0</v>
      </c>
      <c r="AM283" s="167">
        <v>0</v>
      </c>
      <c r="AN283" s="167">
        <v>0</v>
      </c>
      <c r="AO283" s="167">
        <v>0</v>
      </c>
      <c r="AP283" s="167">
        <v>0</v>
      </c>
      <c r="AQ283" s="167">
        <v>0</v>
      </c>
    </row>
    <row r="284" spans="1:91" ht="14.25" customHeight="1" x14ac:dyDescent="0.15">
      <c r="G284" s="22"/>
      <c r="H284" s="252"/>
      <c r="J284" s="241"/>
      <c r="K284" s="19" t="s">
        <v>235</v>
      </c>
      <c r="L284" s="129" t="s">
        <v>218</v>
      </c>
      <c r="M284" s="165">
        <v>0</v>
      </c>
      <c r="N284" s="165">
        <v>0</v>
      </c>
      <c r="O284" s="165">
        <v>0</v>
      </c>
      <c r="P284" s="165">
        <v>0</v>
      </c>
      <c r="Q284" s="165">
        <v>0</v>
      </c>
      <c r="R284" s="165">
        <v>0</v>
      </c>
      <c r="S284" s="165">
        <v>0</v>
      </c>
      <c r="T284" s="165">
        <v>0</v>
      </c>
      <c r="U284" s="165">
        <v>0</v>
      </c>
      <c r="V284" s="165">
        <v>0</v>
      </c>
      <c r="W284" s="165">
        <v>0</v>
      </c>
      <c r="X284" s="165">
        <v>0</v>
      </c>
      <c r="Y284" s="165">
        <v>0</v>
      </c>
      <c r="Z284" s="165">
        <v>0</v>
      </c>
      <c r="AA284" s="165">
        <v>0</v>
      </c>
      <c r="AB284" s="165">
        <v>0</v>
      </c>
      <c r="AC284" s="165">
        <v>0</v>
      </c>
      <c r="AD284" s="165">
        <v>0</v>
      </c>
      <c r="AE284" s="165">
        <v>0</v>
      </c>
      <c r="AF284" s="165">
        <v>0</v>
      </c>
      <c r="AG284" s="165">
        <v>0</v>
      </c>
      <c r="AH284" s="165">
        <v>0</v>
      </c>
      <c r="AI284" s="165">
        <v>0</v>
      </c>
      <c r="AJ284" s="165">
        <v>0</v>
      </c>
      <c r="AK284" s="165">
        <v>0</v>
      </c>
      <c r="AL284" s="165">
        <v>0</v>
      </c>
      <c r="AM284" s="165">
        <v>0</v>
      </c>
      <c r="AN284" s="165">
        <v>0</v>
      </c>
      <c r="AO284" s="165">
        <v>0</v>
      </c>
      <c r="AP284" s="165">
        <v>0</v>
      </c>
      <c r="AQ284" s="165">
        <v>0</v>
      </c>
    </row>
    <row r="285" spans="1:91" ht="14.25" customHeight="1" thickBot="1" x14ac:dyDescent="0.2">
      <c r="G285" s="22"/>
      <c r="H285" s="252"/>
      <c r="J285" s="241"/>
      <c r="K285" s="144" t="s">
        <v>235</v>
      </c>
      <c r="L285" s="144" t="s">
        <v>214</v>
      </c>
      <c r="M285" s="168">
        <v>0</v>
      </c>
      <c r="N285" s="168">
        <v>0</v>
      </c>
      <c r="O285" s="168">
        <v>0</v>
      </c>
      <c r="P285" s="168">
        <v>0</v>
      </c>
      <c r="Q285" s="168">
        <v>0</v>
      </c>
      <c r="R285" s="168">
        <v>0</v>
      </c>
      <c r="S285" s="168">
        <v>0</v>
      </c>
      <c r="T285" s="168">
        <v>0</v>
      </c>
      <c r="U285" s="168">
        <v>0</v>
      </c>
      <c r="V285" s="168">
        <v>0</v>
      </c>
      <c r="W285" s="168">
        <v>0</v>
      </c>
      <c r="X285" s="168">
        <v>0</v>
      </c>
      <c r="Y285" s="168">
        <v>0</v>
      </c>
      <c r="Z285" s="168">
        <v>0</v>
      </c>
      <c r="AA285" s="168">
        <v>0</v>
      </c>
      <c r="AB285" s="168">
        <v>0</v>
      </c>
      <c r="AC285" s="168">
        <v>0</v>
      </c>
      <c r="AD285" s="168">
        <v>0</v>
      </c>
      <c r="AE285" s="168">
        <v>0</v>
      </c>
      <c r="AF285" s="168">
        <v>0</v>
      </c>
      <c r="AG285" s="168">
        <v>0</v>
      </c>
      <c r="AH285" s="168">
        <v>0</v>
      </c>
      <c r="AI285" s="168">
        <v>0</v>
      </c>
      <c r="AJ285" s="168">
        <v>0</v>
      </c>
      <c r="AK285" s="168">
        <v>0</v>
      </c>
      <c r="AL285" s="168">
        <v>0</v>
      </c>
      <c r="AM285" s="168">
        <v>0</v>
      </c>
      <c r="AN285" s="168">
        <v>0</v>
      </c>
      <c r="AO285" s="168">
        <v>0</v>
      </c>
      <c r="AP285" s="168">
        <v>0</v>
      </c>
      <c r="AQ285" s="168">
        <v>0</v>
      </c>
    </row>
    <row r="286" spans="1:91" ht="14.25" customHeight="1" thickTop="1" x14ac:dyDescent="0.15">
      <c r="G286" s="22"/>
      <c r="H286" s="252"/>
      <c r="J286" s="241"/>
      <c r="K286" s="140" t="s">
        <v>234</v>
      </c>
      <c r="L286" s="140" t="s">
        <v>219</v>
      </c>
      <c r="M286" s="167">
        <v>0</v>
      </c>
      <c r="N286" s="167">
        <v>0</v>
      </c>
      <c r="O286" s="167">
        <v>0</v>
      </c>
      <c r="P286" s="167">
        <v>0</v>
      </c>
      <c r="Q286" s="167">
        <v>0</v>
      </c>
      <c r="R286" s="167">
        <v>0</v>
      </c>
      <c r="S286" s="167">
        <v>0</v>
      </c>
      <c r="T286" s="167">
        <v>0</v>
      </c>
      <c r="U286" s="167">
        <v>0</v>
      </c>
      <c r="V286" s="167">
        <v>0</v>
      </c>
      <c r="W286" s="167">
        <v>0</v>
      </c>
      <c r="X286" s="167">
        <v>0</v>
      </c>
      <c r="Y286" s="167">
        <v>0</v>
      </c>
      <c r="Z286" s="167">
        <v>0</v>
      </c>
      <c r="AA286" s="167">
        <v>0</v>
      </c>
      <c r="AB286" s="167">
        <v>0</v>
      </c>
      <c r="AC286" s="167">
        <v>0</v>
      </c>
      <c r="AD286" s="167">
        <v>0</v>
      </c>
      <c r="AE286" s="167">
        <v>0</v>
      </c>
      <c r="AF286" s="167">
        <v>0</v>
      </c>
      <c r="AG286" s="167">
        <v>0</v>
      </c>
      <c r="AH286" s="167">
        <v>0</v>
      </c>
      <c r="AI286" s="167">
        <v>0</v>
      </c>
      <c r="AJ286" s="167">
        <v>0</v>
      </c>
      <c r="AK286" s="167">
        <v>0</v>
      </c>
      <c r="AL286" s="167">
        <v>0</v>
      </c>
      <c r="AM286" s="167">
        <v>0</v>
      </c>
      <c r="AN286" s="167">
        <v>0</v>
      </c>
      <c r="AO286" s="167">
        <v>0</v>
      </c>
      <c r="AP286" s="167">
        <v>0</v>
      </c>
      <c r="AQ286" s="167">
        <v>0</v>
      </c>
    </row>
    <row r="287" spans="1:91" ht="14.25" customHeight="1" x14ac:dyDescent="0.15">
      <c r="G287" s="22"/>
      <c r="H287" s="252"/>
      <c r="J287" s="241"/>
      <c r="K287" s="19" t="s">
        <v>234</v>
      </c>
      <c r="L287" s="129" t="s">
        <v>218</v>
      </c>
      <c r="M287" s="165">
        <v>0</v>
      </c>
      <c r="N287" s="165">
        <v>0</v>
      </c>
      <c r="O287" s="165">
        <v>0</v>
      </c>
      <c r="P287" s="165">
        <v>0</v>
      </c>
      <c r="Q287" s="165">
        <v>0</v>
      </c>
      <c r="R287" s="165">
        <v>0</v>
      </c>
      <c r="S287" s="165">
        <v>0</v>
      </c>
      <c r="T287" s="165">
        <v>0</v>
      </c>
      <c r="U287" s="165">
        <v>0</v>
      </c>
      <c r="V287" s="165">
        <v>0</v>
      </c>
      <c r="W287" s="165">
        <v>0</v>
      </c>
      <c r="X287" s="165">
        <v>0</v>
      </c>
      <c r="Y287" s="165">
        <v>0</v>
      </c>
      <c r="Z287" s="165">
        <v>0</v>
      </c>
      <c r="AA287" s="165">
        <v>0</v>
      </c>
      <c r="AB287" s="165">
        <v>0</v>
      </c>
      <c r="AC287" s="165">
        <v>0</v>
      </c>
      <c r="AD287" s="165">
        <v>0</v>
      </c>
      <c r="AE287" s="165">
        <v>0</v>
      </c>
      <c r="AF287" s="165">
        <v>0</v>
      </c>
      <c r="AG287" s="165">
        <v>0</v>
      </c>
      <c r="AH287" s="165">
        <v>0</v>
      </c>
      <c r="AI287" s="165">
        <v>0</v>
      </c>
      <c r="AJ287" s="165">
        <v>0</v>
      </c>
      <c r="AK287" s="165">
        <v>0</v>
      </c>
      <c r="AL287" s="165">
        <v>0</v>
      </c>
      <c r="AM287" s="165">
        <v>0</v>
      </c>
      <c r="AN287" s="165">
        <v>0</v>
      </c>
      <c r="AO287" s="165">
        <v>0</v>
      </c>
      <c r="AP287" s="165">
        <v>0</v>
      </c>
      <c r="AQ287" s="165">
        <v>0</v>
      </c>
    </row>
    <row r="288" spans="1:91" ht="14.25" customHeight="1" thickBot="1" x14ac:dyDescent="0.2">
      <c r="G288" s="22"/>
      <c r="H288" s="252"/>
      <c r="J288" s="241"/>
      <c r="K288" s="144" t="s">
        <v>234</v>
      </c>
      <c r="L288" s="144" t="s">
        <v>214</v>
      </c>
      <c r="M288" s="168">
        <v>0</v>
      </c>
      <c r="N288" s="168">
        <v>0</v>
      </c>
      <c r="O288" s="168">
        <v>0</v>
      </c>
      <c r="P288" s="168">
        <v>0</v>
      </c>
      <c r="Q288" s="168">
        <v>0</v>
      </c>
      <c r="R288" s="168">
        <v>0</v>
      </c>
      <c r="S288" s="168">
        <v>0</v>
      </c>
      <c r="T288" s="168">
        <v>0</v>
      </c>
      <c r="U288" s="168">
        <v>0</v>
      </c>
      <c r="V288" s="168">
        <v>0</v>
      </c>
      <c r="W288" s="168">
        <v>0</v>
      </c>
      <c r="X288" s="168">
        <v>0</v>
      </c>
      <c r="Y288" s="168">
        <v>0</v>
      </c>
      <c r="Z288" s="168">
        <v>0</v>
      </c>
      <c r="AA288" s="168">
        <v>0</v>
      </c>
      <c r="AB288" s="168">
        <v>0</v>
      </c>
      <c r="AC288" s="168">
        <v>0</v>
      </c>
      <c r="AD288" s="168">
        <v>0</v>
      </c>
      <c r="AE288" s="168">
        <v>0</v>
      </c>
      <c r="AF288" s="168">
        <v>0</v>
      </c>
      <c r="AG288" s="168">
        <v>0</v>
      </c>
      <c r="AH288" s="168">
        <v>0</v>
      </c>
      <c r="AI288" s="168">
        <v>0</v>
      </c>
      <c r="AJ288" s="168">
        <v>0</v>
      </c>
      <c r="AK288" s="168">
        <v>0</v>
      </c>
      <c r="AL288" s="168">
        <v>0</v>
      </c>
      <c r="AM288" s="168">
        <v>0</v>
      </c>
      <c r="AN288" s="168">
        <v>0</v>
      </c>
      <c r="AO288" s="168">
        <v>0</v>
      </c>
      <c r="AP288" s="168">
        <v>0</v>
      </c>
      <c r="AQ288" s="168">
        <v>0</v>
      </c>
    </row>
    <row r="289" spans="7:43" ht="14.25" customHeight="1" thickTop="1" x14ac:dyDescent="0.15">
      <c r="G289" s="22"/>
      <c r="H289" s="252"/>
      <c r="J289" s="241"/>
      <c r="K289" s="140" t="s">
        <v>233</v>
      </c>
      <c r="L289" s="140" t="s">
        <v>219</v>
      </c>
      <c r="M289" s="167">
        <v>0</v>
      </c>
      <c r="N289" s="167">
        <v>0</v>
      </c>
      <c r="O289" s="167">
        <v>0</v>
      </c>
      <c r="P289" s="167">
        <v>0</v>
      </c>
      <c r="Q289" s="167">
        <v>0</v>
      </c>
      <c r="R289" s="167">
        <v>0</v>
      </c>
      <c r="S289" s="167">
        <v>0</v>
      </c>
      <c r="T289" s="167">
        <v>0</v>
      </c>
      <c r="U289" s="167">
        <v>0</v>
      </c>
      <c r="V289" s="167">
        <v>0</v>
      </c>
      <c r="W289" s="167">
        <v>0</v>
      </c>
      <c r="X289" s="167">
        <v>0</v>
      </c>
      <c r="Y289" s="167">
        <v>0</v>
      </c>
      <c r="Z289" s="167">
        <v>0</v>
      </c>
      <c r="AA289" s="167">
        <v>0</v>
      </c>
      <c r="AB289" s="167">
        <v>0</v>
      </c>
      <c r="AC289" s="167">
        <v>0</v>
      </c>
      <c r="AD289" s="167">
        <v>0</v>
      </c>
      <c r="AE289" s="167">
        <v>0</v>
      </c>
      <c r="AF289" s="167">
        <v>0</v>
      </c>
      <c r="AG289" s="167">
        <v>0</v>
      </c>
      <c r="AH289" s="167">
        <v>0</v>
      </c>
      <c r="AI289" s="167">
        <v>0</v>
      </c>
      <c r="AJ289" s="167">
        <v>0</v>
      </c>
      <c r="AK289" s="167">
        <v>0</v>
      </c>
      <c r="AL289" s="167">
        <v>0</v>
      </c>
      <c r="AM289" s="167">
        <v>0</v>
      </c>
      <c r="AN289" s="167">
        <v>0</v>
      </c>
      <c r="AO289" s="167">
        <v>0</v>
      </c>
      <c r="AP289" s="167">
        <v>0</v>
      </c>
      <c r="AQ289" s="167">
        <v>0</v>
      </c>
    </row>
    <row r="290" spans="7:43" ht="14.25" customHeight="1" x14ac:dyDescent="0.15">
      <c r="G290" s="22"/>
      <c r="H290" s="252"/>
      <c r="J290" s="241"/>
      <c r="K290" s="19" t="s">
        <v>233</v>
      </c>
      <c r="L290" s="129" t="s">
        <v>218</v>
      </c>
      <c r="M290" s="165">
        <v>0</v>
      </c>
      <c r="N290" s="165">
        <v>0</v>
      </c>
      <c r="O290" s="165">
        <v>0</v>
      </c>
      <c r="P290" s="165">
        <v>0</v>
      </c>
      <c r="Q290" s="165">
        <v>0</v>
      </c>
      <c r="R290" s="165">
        <v>0</v>
      </c>
      <c r="S290" s="165">
        <v>0</v>
      </c>
      <c r="T290" s="165">
        <v>0</v>
      </c>
      <c r="U290" s="165">
        <v>0</v>
      </c>
      <c r="V290" s="165">
        <v>0</v>
      </c>
      <c r="W290" s="165">
        <v>0</v>
      </c>
      <c r="X290" s="165">
        <v>0</v>
      </c>
      <c r="Y290" s="165">
        <v>0</v>
      </c>
      <c r="Z290" s="165">
        <v>0</v>
      </c>
      <c r="AA290" s="165">
        <v>0</v>
      </c>
      <c r="AB290" s="165">
        <v>0</v>
      </c>
      <c r="AC290" s="165">
        <v>0</v>
      </c>
      <c r="AD290" s="165">
        <v>0</v>
      </c>
      <c r="AE290" s="165">
        <v>0</v>
      </c>
      <c r="AF290" s="165">
        <v>0</v>
      </c>
      <c r="AG290" s="165">
        <v>0</v>
      </c>
      <c r="AH290" s="165">
        <v>0</v>
      </c>
      <c r="AI290" s="165">
        <v>0</v>
      </c>
      <c r="AJ290" s="165">
        <v>0</v>
      </c>
      <c r="AK290" s="165">
        <v>0</v>
      </c>
      <c r="AL290" s="165">
        <v>0</v>
      </c>
      <c r="AM290" s="165">
        <v>0</v>
      </c>
      <c r="AN290" s="165">
        <v>0</v>
      </c>
      <c r="AO290" s="165">
        <v>0</v>
      </c>
      <c r="AP290" s="165">
        <v>0</v>
      </c>
      <c r="AQ290" s="165">
        <v>0</v>
      </c>
    </row>
    <row r="291" spans="7:43" ht="14.25" customHeight="1" x14ac:dyDescent="0.15">
      <c r="G291" s="22"/>
      <c r="H291" s="252"/>
      <c r="J291" s="241"/>
      <c r="K291" s="144" t="s">
        <v>233</v>
      </c>
      <c r="L291" s="144" t="s">
        <v>214</v>
      </c>
      <c r="M291" s="168">
        <v>0</v>
      </c>
      <c r="N291" s="168">
        <v>0</v>
      </c>
      <c r="O291" s="168">
        <v>0</v>
      </c>
      <c r="P291" s="168">
        <v>0</v>
      </c>
      <c r="Q291" s="168">
        <v>0</v>
      </c>
      <c r="R291" s="168">
        <v>0</v>
      </c>
      <c r="S291" s="168">
        <v>0</v>
      </c>
      <c r="T291" s="168">
        <v>0</v>
      </c>
      <c r="U291" s="168">
        <v>0</v>
      </c>
      <c r="V291" s="168">
        <v>0</v>
      </c>
      <c r="W291" s="168">
        <v>0</v>
      </c>
      <c r="X291" s="168">
        <v>0</v>
      </c>
      <c r="Y291" s="168">
        <v>0</v>
      </c>
      <c r="Z291" s="168">
        <v>0</v>
      </c>
      <c r="AA291" s="168">
        <v>0</v>
      </c>
      <c r="AB291" s="168">
        <v>0</v>
      </c>
      <c r="AC291" s="168">
        <v>0</v>
      </c>
      <c r="AD291" s="168">
        <v>0</v>
      </c>
      <c r="AE291" s="168">
        <v>0</v>
      </c>
      <c r="AF291" s="168">
        <v>0</v>
      </c>
      <c r="AG291" s="168">
        <v>0</v>
      </c>
      <c r="AH291" s="168">
        <v>0</v>
      </c>
      <c r="AI291" s="168">
        <v>0</v>
      </c>
      <c r="AJ291" s="168">
        <v>0</v>
      </c>
      <c r="AK291" s="168">
        <v>0</v>
      </c>
      <c r="AL291" s="168">
        <v>0</v>
      </c>
      <c r="AM291" s="168">
        <v>0</v>
      </c>
      <c r="AN291" s="168">
        <v>0</v>
      </c>
      <c r="AO291" s="168">
        <v>0</v>
      </c>
      <c r="AP291" s="168">
        <v>0</v>
      </c>
      <c r="AQ291" s="168">
        <v>0</v>
      </c>
    </row>
    <row r="292" spans="7:43" ht="14.25" customHeight="1" x14ac:dyDescent="0.15">
      <c r="G292" s="22"/>
      <c r="H292" s="252"/>
      <c r="J292" s="241"/>
      <c r="K292" s="140" t="s">
        <v>232</v>
      </c>
      <c r="L292" s="140" t="s">
        <v>219</v>
      </c>
      <c r="M292" s="164">
        <v>0</v>
      </c>
      <c r="N292" s="164">
        <v>0</v>
      </c>
      <c r="O292" s="164">
        <v>0</v>
      </c>
      <c r="P292" s="164">
        <v>0</v>
      </c>
      <c r="Q292" s="164">
        <v>0</v>
      </c>
      <c r="R292" s="164">
        <v>0</v>
      </c>
      <c r="S292" s="164">
        <v>0</v>
      </c>
      <c r="T292" s="164">
        <v>0</v>
      </c>
      <c r="U292" s="164">
        <v>0</v>
      </c>
      <c r="V292" s="164">
        <v>0</v>
      </c>
      <c r="W292" s="164">
        <v>0</v>
      </c>
      <c r="X292" s="164">
        <v>0</v>
      </c>
      <c r="Y292" s="164">
        <v>0</v>
      </c>
      <c r="Z292" s="164">
        <v>0</v>
      </c>
      <c r="AA292" s="164">
        <v>0</v>
      </c>
      <c r="AB292" s="164">
        <v>0</v>
      </c>
      <c r="AC292" s="164">
        <v>0</v>
      </c>
      <c r="AD292" s="164">
        <v>0</v>
      </c>
      <c r="AE292" s="164">
        <v>0</v>
      </c>
      <c r="AF292" s="164">
        <v>0</v>
      </c>
      <c r="AG292" s="164">
        <v>0</v>
      </c>
      <c r="AH292" s="164">
        <v>0</v>
      </c>
      <c r="AI292" s="164">
        <v>0</v>
      </c>
      <c r="AJ292" s="164">
        <v>0</v>
      </c>
      <c r="AK292" s="164">
        <v>0</v>
      </c>
      <c r="AL292" s="164">
        <v>0</v>
      </c>
      <c r="AM292" s="164">
        <v>0</v>
      </c>
      <c r="AN292" s="164">
        <v>0</v>
      </c>
      <c r="AO292" s="164">
        <v>0</v>
      </c>
      <c r="AP292" s="164">
        <v>0</v>
      </c>
      <c r="AQ292" s="164">
        <v>0</v>
      </c>
    </row>
    <row r="293" spans="7:43" ht="14.25" customHeight="1" x14ac:dyDescent="0.15">
      <c r="G293" s="22"/>
      <c r="H293" s="252"/>
      <c r="J293" s="241"/>
      <c r="K293" s="19" t="s">
        <v>232</v>
      </c>
      <c r="L293" s="129" t="s">
        <v>218</v>
      </c>
      <c r="M293" s="165">
        <v>0</v>
      </c>
      <c r="N293" s="165">
        <v>0</v>
      </c>
      <c r="O293" s="165">
        <v>0</v>
      </c>
      <c r="P293" s="165">
        <v>0</v>
      </c>
      <c r="Q293" s="165">
        <v>0</v>
      </c>
      <c r="R293" s="165">
        <v>0</v>
      </c>
      <c r="S293" s="165">
        <v>0</v>
      </c>
      <c r="T293" s="165">
        <v>0</v>
      </c>
      <c r="U293" s="165">
        <v>0</v>
      </c>
      <c r="V293" s="165">
        <v>0</v>
      </c>
      <c r="W293" s="165">
        <v>0</v>
      </c>
      <c r="X293" s="165">
        <v>0</v>
      </c>
      <c r="Y293" s="165">
        <v>0</v>
      </c>
      <c r="Z293" s="165">
        <v>0</v>
      </c>
      <c r="AA293" s="165">
        <v>0</v>
      </c>
      <c r="AB293" s="165">
        <v>0</v>
      </c>
      <c r="AC293" s="165">
        <v>0</v>
      </c>
      <c r="AD293" s="165">
        <v>0</v>
      </c>
      <c r="AE293" s="165">
        <v>0</v>
      </c>
      <c r="AF293" s="165">
        <v>0</v>
      </c>
      <c r="AG293" s="165">
        <v>0</v>
      </c>
      <c r="AH293" s="165">
        <v>0</v>
      </c>
      <c r="AI293" s="165">
        <v>0</v>
      </c>
      <c r="AJ293" s="165">
        <v>0</v>
      </c>
      <c r="AK293" s="165">
        <v>0</v>
      </c>
      <c r="AL293" s="165">
        <v>0</v>
      </c>
      <c r="AM293" s="165">
        <v>0</v>
      </c>
      <c r="AN293" s="165">
        <v>0</v>
      </c>
      <c r="AO293" s="165">
        <v>0</v>
      </c>
      <c r="AP293" s="165">
        <v>0</v>
      </c>
      <c r="AQ293" s="165">
        <v>0</v>
      </c>
    </row>
    <row r="294" spans="7:43" ht="14.25" customHeight="1" thickBot="1" x14ac:dyDescent="0.2">
      <c r="G294" s="22"/>
      <c r="H294" s="252"/>
      <c r="J294" s="241"/>
      <c r="K294" s="144" t="s">
        <v>232</v>
      </c>
      <c r="L294" s="144" t="s">
        <v>214</v>
      </c>
      <c r="M294" s="166">
        <v>0</v>
      </c>
      <c r="N294" s="166">
        <v>0</v>
      </c>
      <c r="O294" s="166">
        <v>0</v>
      </c>
      <c r="P294" s="166">
        <v>0</v>
      </c>
      <c r="Q294" s="166">
        <v>0</v>
      </c>
      <c r="R294" s="166">
        <v>0</v>
      </c>
      <c r="S294" s="166">
        <v>0</v>
      </c>
      <c r="T294" s="166">
        <v>0</v>
      </c>
      <c r="U294" s="166">
        <v>0</v>
      </c>
      <c r="V294" s="166">
        <v>0</v>
      </c>
      <c r="W294" s="166">
        <v>0</v>
      </c>
      <c r="X294" s="166">
        <v>0</v>
      </c>
      <c r="Y294" s="166">
        <v>0</v>
      </c>
      <c r="Z294" s="166">
        <v>0</v>
      </c>
      <c r="AA294" s="166">
        <v>0</v>
      </c>
      <c r="AB294" s="166">
        <v>0</v>
      </c>
      <c r="AC294" s="166">
        <v>0</v>
      </c>
      <c r="AD294" s="166">
        <v>0</v>
      </c>
      <c r="AE294" s="166">
        <v>0</v>
      </c>
      <c r="AF294" s="166">
        <v>0</v>
      </c>
      <c r="AG294" s="166">
        <v>0</v>
      </c>
      <c r="AH294" s="166">
        <v>0</v>
      </c>
      <c r="AI294" s="166">
        <v>0</v>
      </c>
      <c r="AJ294" s="166">
        <v>0</v>
      </c>
      <c r="AK294" s="166">
        <v>0</v>
      </c>
      <c r="AL294" s="166">
        <v>0</v>
      </c>
      <c r="AM294" s="166">
        <v>0</v>
      </c>
      <c r="AN294" s="166">
        <v>0</v>
      </c>
      <c r="AO294" s="166">
        <v>0</v>
      </c>
      <c r="AP294" s="166">
        <v>0</v>
      </c>
      <c r="AQ294" s="166">
        <v>0</v>
      </c>
    </row>
    <row r="295" spans="7:43" ht="14.25" customHeight="1" thickTop="1" x14ac:dyDescent="0.15">
      <c r="G295" s="22"/>
      <c r="H295" s="252"/>
      <c r="J295" s="241"/>
      <c r="K295" s="140" t="s">
        <v>231</v>
      </c>
      <c r="L295" s="140" t="s">
        <v>219</v>
      </c>
      <c r="M295" s="167">
        <v>0</v>
      </c>
      <c r="N295" s="167">
        <v>0</v>
      </c>
      <c r="O295" s="167">
        <v>0</v>
      </c>
      <c r="P295" s="167">
        <v>0</v>
      </c>
      <c r="Q295" s="167">
        <v>0</v>
      </c>
      <c r="R295" s="167">
        <v>0</v>
      </c>
      <c r="S295" s="167">
        <v>0</v>
      </c>
      <c r="T295" s="167">
        <v>0</v>
      </c>
      <c r="U295" s="167">
        <v>0</v>
      </c>
      <c r="V295" s="167">
        <v>0</v>
      </c>
      <c r="W295" s="167">
        <v>0</v>
      </c>
      <c r="X295" s="167">
        <v>0</v>
      </c>
      <c r="Y295" s="167">
        <v>0</v>
      </c>
      <c r="Z295" s="167">
        <v>0</v>
      </c>
      <c r="AA295" s="167">
        <v>0</v>
      </c>
      <c r="AB295" s="167">
        <v>0</v>
      </c>
      <c r="AC295" s="167">
        <v>0</v>
      </c>
      <c r="AD295" s="167">
        <v>0</v>
      </c>
      <c r="AE295" s="167">
        <v>0</v>
      </c>
      <c r="AF295" s="167">
        <v>0</v>
      </c>
      <c r="AG295" s="167">
        <v>0</v>
      </c>
      <c r="AH295" s="167">
        <v>0</v>
      </c>
      <c r="AI295" s="167">
        <v>0</v>
      </c>
      <c r="AJ295" s="167">
        <v>0</v>
      </c>
      <c r="AK295" s="167">
        <v>0</v>
      </c>
      <c r="AL295" s="167">
        <v>0</v>
      </c>
      <c r="AM295" s="167">
        <v>0</v>
      </c>
      <c r="AN295" s="167">
        <v>0</v>
      </c>
      <c r="AO295" s="167">
        <v>0</v>
      </c>
      <c r="AP295" s="167">
        <v>0</v>
      </c>
      <c r="AQ295" s="167">
        <v>0</v>
      </c>
    </row>
    <row r="296" spans="7:43" ht="14.25" customHeight="1" x14ac:dyDescent="0.15">
      <c r="G296" s="22"/>
      <c r="H296" s="252"/>
      <c r="J296" s="241"/>
      <c r="K296" s="19" t="s">
        <v>231</v>
      </c>
      <c r="L296" s="129" t="s">
        <v>218</v>
      </c>
      <c r="M296" s="165">
        <v>0</v>
      </c>
      <c r="N296" s="165">
        <v>0</v>
      </c>
      <c r="O296" s="165">
        <v>0</v>
      </c>
      <c r="P296" s="165">
        <v>0</v>
      </c>
      <c r="Q296" s="165">
        <v>0</v>
      </c>
      <c r="R296" s="165">
        <v>0</v>
      </c>
      <c r="S296" s="165">
        <v>0</v>
      </c>
      <c r="T296" s="165">
        <v>0</v>
      </c>
      <c r="U296" s="165">
        <v>0</v>
      </c>
      <c r="V296" s="165">
        <v>0</v>
      </c>
      <c r="W296" s="165">
        <v>0</v>
      </c>
      <c r="X296" s="165">
        <v>0</v>
      </c>
      <c r="Y296" s="165">
        <v>0</v>
      </c>
      <c r="Z296" s="165">
        <v>0</v>
      </c>
      <c r="AA296" s="165">
        <v>0</v>
      </c>
      <c r="AB296" s="165">
        <v>0</v>
      </c>
      <c r="AC296" s="165">
        <v>0</v>
      </c>
      <c r="AD296" s="165">
        <v>0</v>
      </c>
      <c r="AE296" s="165">
        <v>0</v>
      </c>
      <c r="AF296" s="165">
        <v>0</v>
      </c>
      <c r="AG296" s="165">
        <v>0</v>
      </c>
      <c r="AH296" s="165">
        <v>0</v>
      </c>
      <c r="AI296" s="165">
        <v>0</v>
      </c>
      <c r="AJ296" s="165">
        <v>0</v>
      </c>
      <c r="AK296" s="165">
        <v>0</v>
      </c>
      <c r="AL296" s="165">
        <v>0</v>
      </c>
      <c r="AM296" s="165">
        <v>0</v>
      </c>
      <c r="AN296" s="165">
        <v>0</v>
      </c>
      <c r="AO296" s="165">
        <v>0</v>
      </c>
      <c r="AP296" s="165">
        <v>0</v>
      </c>
      <c r="AQ296" s="165">
        <v>0</v>
      </c>
    </row>
    <row r="297" spans="7:43" ht="14.25" customHeight="1" thickBot="1" x14ac:dyDescent="0.2">
      <c r="G297" s="22"/>
      <c r="H297" s="252"/>
      <c r="J297" s="241"/>
      <c r="K297" s="144" t="s">
        <v>231</v>
      </c>
      <c r="L297" s="144" t="s">
        <v>214</v>
      </c>
      <c r="M297" s="166">
        <v>0</v>
      </c>
      <c r="N297" s="166">
        <v>0</v>
      </c>
      <c r="O297" s="166">
        <v>0</v>
      </c>
      <c r="P297" s="166">
        <v>0</v>
      </c>
      <c r="Q297" s="166">
        <v>0</v>
      </c>
      <c r="R297" s="166">
        <v>0</v>
      </c>
      <c r="S297" s="166">
        <v>0</v>
      </c>
      <c r="T297" s="166">
        <v>0</v>
      </c>
      <c r="U297" s="166">
        <v>0</v>
      </c>
      <c r="V297" s="166">
        <v>0</v>
      </c>
      <c r="W297" s="166">
        <v>0</v>
      </c>
      <c r="X297" s="166">
        <v>0</v>
      </c>
      <c r="Y297" s="166">
        <v>0</v>
      </c>
      <c r="Z297" s="166">
        <v>0</v>
      </c>
      <c r="AA297" s="166">
        <v>0</v>
      </c>
      <c r="AB297" s="166">
        <v>0</v>
      </c>
      <c r="AC297" s="166">
        <v>0</v>
      </c>
      <c r="AD297" s="166">
        <v>0</v>
      </c>
      <c r="AE297" s="166">
        <v>0</v>
      </c>
      <c r="AF297" s="166">
        <v>0</v>
      </c>
      <c r="AG297" s="166">
        <v>0</v>
      </c>
      <c r="AH297" s="166">
        <v>0</v>
      </c>
      <c r="AI297" s="166">
        <v>0</v>
      </c>
      <c r="AJ297" s="166">
        <v>0</v>
      </c>
      <c r="AK297" s="166">
        <v>0</v>
      </c>
      <c r="AL297" s="166">
        <v>0</v>
      </c>
      <c r="AM297" s="166">
        <v>0</v>
      </c>
      <c r="AN297" s="166">
        <v>0</v>
      </c>
      <c r="AO297" s="166">
        <v>0</v>
      </c>
      <c r="AP297" s="166">
        <v>0</v>
      </c>
      <c r="AQ297" s="166">
        <v>0</v>
      </c>
    </row>
    <row r="298" spans="7:43" ht="14.25" customHeight="1" thickTop="1" x14ac:dyDescent="0.15">
      <c r="G298" s="22"/>
      <c r="H298" s="252"/>
      <c r="J298" s="241"/>
      <c r="K298" s="140" t="s">
        <v>230</v>
      </c>
      <c r="L298" s="140" t="s">
        <v>219</v>
      </c>
      <c r="M298" s="167">
        <v>0</v>
      </c>
      <c r="N298" s="167">
        <v>0</v>
      </c>
      <c r="O298" s="167">
        <v>0</v>
      </c>
      <c r="P298" s="167">
        <v>0</v>
      </c>
      <c r="Q298" s="167">
        <v>0</v>
      </c>
      <c r="R298" s="167">
        <v>0</v>
      </c>
      <c r="S298" s="167">
        <v>0</v>
      </c>
      <c r="T298" s="167">
        <v>0</v>
      </c>
      <c r="U298" s="167">
        <v>0</v>
      </c>
      <c r="V298" s="167">
        <v>0</v>
      </c>
      <c r="W298" s="167">
        <v>0</v>
      </c>
      <c r="X298" s="167">
        <v>0</v>
      </c>
      <c r="Y298" s="167">
        <v>0</v>
      </c>
      <c r="Z298" s="167">
        <v>0</v>
      </c>
      <c r="AA298" s="167">
        <v>0</v>
      </c>
      <c r="AB298" s="167">
        <v>0</v>
      </c>
      <c r="AC298" s="167">
        <v>0</v>
      </c>
      <c r="AD298" s="167">
        <v>0</v>
      </c>
      <c r="AE298" s="167">
        <v>0</v>
      </c>
      <c r="AF298" s="167">
        <v>0</v>
      </c>
      <c r="AG298" s="167">
        <v>0</v>
      </c>
      <c r="AH298" s="167">
        <v>0</v>
      </c>
      <c r="AI298" s="167">
        <v>0</v>
      </c>
      <c r="AJ298" s="167">
        <v>0</v>
      </c>
      <c r="AK298" s="167">
        <v>0</v>
      </c>
      <c r="AL298" s="167">
        <v>0</v>
      </c>
      <c r="AM298" s="167">
        <v>0</v>
      </c>
      <c r="AN298" s="167">
        <v>0</v>
      </c>
      <c r="AO298" s="167">
        <v>0</v>
      </c>
      <c r="AP298" s="167">
        <v>0</v>
      </c>
      <c r="AQ298" s="167">
        <v>0</v>
      </c>
    </row>
    <row r="299" spans="7:43" ht="14.25" customHeight="1" x14ac:dyDescent="0.15">
      <c r="G299" s="22"/>
      <c r="H299" s="252"/>
      <c r="J299" s="241"/>
      <c r="K299" s="19" t="s">
        <v>230</v>
      </c>
      <c r="L299" s="129" t="s">
        <v>218</v>
      </c>
      <c r="M299" s="165">
        <v>0</v>
      </c>
      <c r="N299" s="165">
        <v>0</v>
      </c>
      <c r="O299" s="165">
        <v>0</v>
      </c>
      <c r="P299" s="165">
        <v>0</v>
      </c>
      <c r="Q299" s="165">
        <v>0</v>
      </c>
      <c r="R299" s="165">
        <v>0</v>
      </c>
      <c r="S299" s="165">
        <v>0</v>
      </c>
      <c r="T299" s="165">
        <v>0</v>
      </c>
      <c r="U299" s="165">
        <v>0</v>
      </c>
      <c r="V299" s="165">
        <v>0</v>
      </c>
      <c r="W299" s="165">
        <v>0</v>
      </c>
      <c r="X299" s="165">
        <v>0</v>
      </c>
      <c r="Y299" s="165">
        <v>0</v>
      </c>
      <c r="Z299" s="165">
        <v>0</v>
      </c>
      <c r="AA299" s="165">
        <v>0</v>
      </c>
      <c r="AB299" s="165">
        <v>0</v>
      </c>
      <c r="AC299" s="165">
        <v>0</v>
      </c>
      <c r="AD299" s="165">
        <v>0</v>
      </c>
      <c r="AE299" s="165">
        <v>0</v>
      </c>
      <c r="AF299" s="165">
        <v>0</v>
      </c>
      <c r="AG299" s="165">
        <v>0</v>
      </c>
      <c r="AH299" s="165">
        <v>0</v>
      </c>
      <c r="AI299" s="165">
        <v>0</v>
      </c>
      <c r="AJ299" s="165">
        <v>0</v>
      </c>
      <c r="AK299" s="165">
        <v>0</v>
      </c>
      <c r="AL299" s="165">
        <v>0</v>
      </c>
      <c r="AM299" s="165">
        <v>0</v>
      </c>
      <c r="AN299" s="165">
        <v>0</v>
      </c>
      <c r="AO299" s="165">
        <v>0</v>
      </c>
      <c r="AP299" s="165">
        <v>0</v>
      </c>
      <c r="AQ299" s="165">
        <v>0</v>
      </c>
    </row>
    <row r="300" spans="7:43" ht="14.25" customHeight="1" thickBot="1" x14ac:dyDescent="0.2">
      <c r="G300" s="22"/>
      <c r="H300" s="252"/>
      <c r="J300" s="241"/>
      <c r="K300" s="144" t="s">
        <v>230</v>
      </c>
      <c r="L300" s="144" t="s">
        <v>214</v>
      </c>
      <c r="M300" s="168">
        <v>0</v>
      </c>
      <c r="N300" s="168">
        <v>0</v>
      </c>
      <c r="O300" s="168">
        <v>0</v>
      </c>
      <c r="P300" s="168">
        <v>0</v>
      </c>
      <c r="Q300" s="168">
        <v>0</v>
      </c>
      <c r="R300" s="168">
        <v>0</v>
      </c>
      <c r="S300" s="168">
        <v>0</v>
      </c>
      <c r="T300" s="168">
        <v>0</v>
      </c>
      <c r="U300" s="168">
        <v>0</v>
      </c>
      <c r="V300" s="168">
        <v>0</v>
      </c>
      <c r="W300" s="168">
        <v>0</v>
      </c>
      <c r="X300" s="168">
        <v>0</v>
      </c>
      <c r="Y300" s="168">
        <v>0</v>
      </c>
      <c r="Z300" s="168">
        <v>0</v>
      </c>
      <c r="AA300" s="168">
        <v>0</v>
      </c>
      <c r="AB300" s="168">
        <v>0</v>
      </c>
      <c r="AC300" s="168">
        <v>0</v>
      </c>
      <c r="AD300" s="168">
        <v>0</v>
      </c>
      <c r="AE300" s="168">
        <v>0</v>
      </c>
      <c r="AF300" s="168">
        <v>0</v>
      </c>
      <c r="AG300" s="168">
        <v>0</v>
      </c>
      <c r="AH300" s="168">
        <v>0</v>
      </c>
      <c r="AI300" s="168">
        <v>0</v>
      </c>
      <c r="AJ300" s="168">
        <v>0</v>
      </c>
      <c r="AK300" s="168">
        <v>0</v>
      </c>
      <c r="AL300" s="168">
        <v>0</v>
      </c>
      <c r="AM300" s="168">
        <v>0</v>
      </c>
      <c r="AN300" s="168">
        <v>0</v>
      </c>
      <c r="AO300" s="168">
        <v>0</v>
      </c>
      <c r="AP300" s="168">
        <v>0</v>
      </c>
      <c r="AQ300" s="168">
        <v>0</v>
      </c>
    </row>
    <row r="301" spans="7:43" ht="14.25" customHeight="1" thickTop="1" x14ac:dyDescent="0.15">
      <c r="G301" s="22"/>
      <c r="H301" s="252"/>
      <c r="J301" s="241"/>
      <c r="K301" s="140" t="s">
        <v>229</v>
      </c>
      <c r="L301" s="140" t="s">
        <v>219</v>
      </c>
      <c r="M301" s="167">
        <v>0</v>
      </c>
      <c r="N301" s="167">
        <v>0</v>
      </c>
      <c r="O301" s="167">
        <v>0</v>
      </c>
      <c r="P301" s="167">
        <v>0</v>
      </c>
      <c r="Q301" s="167">
        <v>0</v>
      </c>
      <c r="R301" s="167">
        <v>0</v>
      </c>
      <c r="S301" s="167">
        <v>0</v>
      </c>
      <c r="T301" s="167">
        <v>0</v>
      </c>
      <c r="U301" s="167">
        <v>0</v>
      </c>
      <c r="V301" s="167">
        <v>0</v>
      </c>
      <c r="W301" s="167">
        <v>0</v>
      </c>
      <c r="X301" s="167">
        <v>0</v>
      </c>
      <c r="Y301" s="167">
        <v>0</v>
      </c>
      <c r="Z301" s="167">
        <v>0</v>
      </c>
      <c r="AA301" s="167">
        <v>0</v>
      </c>
      <c r="AB301" s="167">
        <v>0</v>
      </c>
      <c r="AC301" s="167">
        <v>0</v>
      </c>
      <c r="AD301" s="167">
        <v>0</v>
      </c>
      <c r="AE301" s="167">
        <v>0</v>
      </c>
      <c r="AF301" s="167">
        <v>0</v>
      </c>
      <c r="AG301" s="167">
        <v>0</v>
      </c>
      <c r="AH301" s="167">
        <v>0</v>
      </c>
      <c r="AI301" s="167">
        <v>0</v>
      </c>
      <c r="AJ301" s="167">
        <v>0</v>
      </c>
      <c r="AK301" s="167">
        <v>0</v>
      </c>
      <c r="AL301" s="167">
        <v>0</v>
      </c>
      <c r="AM301" s="167">
        <v>0</v>
      </c>
      <c r="AN301" s="167">
        <v>0</v>
      </c>
      <c r="AO301" s="167">
        <v>0</v>
      </c>
      <c r="AP301" s="167">
        <v>0</v>
      </c>
      <c r="AQ301" s="167">
        <v>0</v>
      </c>
    </row>
    <row r="302" spans="7:43" ht="14.25" customHeight="1" x14ac:dyDescent="0.15">
      <c r="G302" s="22"/>
      <c r="H302" s="252"/>
      <c r="J302" s="241"/>
      <c r="K302" s="19" t="s">
        <v>229</v>
      </c>
      <c r="L302" s="129" t="s">
        <v>218</v>
      </c>
      <c r="M302" s="165">
        <v>0</v>
      </c>
      <c r="N302" s="165">
        <v>0</v>
      </c>
      <c r="O302" s="165">
        <v>0</v>
      </c>
      <c r="P302" s="165">
        <v>0</v>
      </c>
      <c r="Q302" s="165">
        <v>0</v>
      </c>
      <c r="R302" s="165">
        <v>0</v>
      </c>
      <c r="S302" s="165">
        <v>0</v>
      </c>
      <c r="T302" s="165">
        <v>0</v>
      </c>
      <c r="U302" s="165">
        <v>0</v>
      </c>
      <c r="V302" s="165">
        <v>0</v>
      </c>
      <c r="W302" s="165">
        <v>0</v>
      </c>
      <c r="X302" s="165">
        <v>0</v>
      </c>
      <c r="Y302" s="165">
        <v>0</v>
      </c>
      <c r="Z302" s="165">
        <v>0</v>
      </c>
      <c r="AA302" s="165">
        <v>0</v>
      </c>
      <c r="AB302" s="165">
        <v>0</v>
      </c>
      <c r="AC302" s="165">
        <v>0</v>
      </c>
      <c r="AD302" s="165">
        <v>0</v>
      </c>
      <c r="AE302" s="165">
        <v>0</v>
      </c>
      <c r="AF302" s="165">
        <v>0</v>
      </c>
      <c r="AG302" s="165">
        <v>0</v>
      </c>
      <c r="AH302" s="165">
        <v>0</v>
      </c>
      <c r="AI302" s="165">
        <v>0</v>
      </c>
      <c r="AJ302" s="165">
        <v>0</v>
      </c>
      <c r="AK302" s="165">
        <v>0</v>
      </c>
      <c r="AL302" s="165">
        <v>0</v>
      </c>
      <c r="AM302" s="165">
        <v>0</v>
      </c>
      <c r="AN302" s="165">
        <v>0</v>
      </c>
      <c r="AO302" s="165">
        <v>0</v>
      </c>
      <c r="AP302" s="165">
        <v>0</v>
      </c>
      <c r="AQ302" s="165">
        <v>0</v>
      </c>
    </row>
    <row r="303" spans="7:43" ht="14.25" customHeight="1" thickBot="1" x14ac:dyDescent="0.2">
      <c r="G303" s="22"/>
      <c r="H303" s="252"/>
      <c r="J303" s="241"/>
      <c r="K303" s="144" t="s">
        <v>229</v>
      </c>
      <c r="L303" s="144" t="s">
        <v>214</v>
      </c>
      <c r="M303" s="168">
        <v>0</v>
      </c>
      <c r="N303" s="168">
        <v>0</v>
      </c>
      <c r="O303" s="168">
        <v>0</v>
      </c>
      <c r="P303" s="168">
        <v>0</v>
      </c>
      <c r="Q303" s="168">
        <v>0</v>
      </c>
      <c r="R303" s="168">
        <v>0</v>
      </c>
      <c r="S303" s="168">
        <v>0</v>
      </c>
      <c r="T303" s="168">
        <v>0</v>
      </c>
      <c r="U303" s="168">
        <v>0</v>
      </c>
      <c r="V303" s="168">
        <v>0</v>
      </c>
      <c r="W303" s="168">
        <v>0</v>
      </c>
      <c r="X303" s="168">
        <v>0</v>
      </c>
      <c r="Y303" s="168">
        <v>0</v>
      </c>
      <c r="Z303" s="168">
        <v>0</v>
      </c>
      <c r="AA303" s="168">
        <v>0</v>
      </c>
      <c r="AB303" s="168">
        <v>0</v>
      </c>
      <c r="AC303" s="168">
        <v>0</v>
      </c>
      <c r="AD303" s="168">
        <v>0</v>
      </c>
      <c r="AE303" s="168">
        <v>0</v>
      </c>
      <c r="AF303" s="168">
        <v>0</v>
      </c>
      <c r="AG303" s="168">
        <v>0</v>
      </c>
      <c r="AH303" s="168">
        <v>0</v>
      </c>
      <c r="AI303" s="168">
        <v>0</v>
      </c>
      <c r="AJ303" s="168">
        <v>0</v>
      </c>
      <c r="AK303" s="168">
        <v>0</v>
      </c>
      <c r="AL303" s="168">
        <v>0</v>
      </c>
      <c r="AM303" s="168">
        <v>0</v>
      </c>
      <c r="AN303" s="168">
        <v>0</v>
      </c>
      <c r="AO303" s="168">
        <v>0</v>
      </c>
      <c r="AP303" s="168">
        <v>0</v>
      </c>
      <c r="AQ303" s="168">
        <v>0</v>
      </c>
    </row>
    <row r="304" spans="7:43" ht="14.25" customHeight="1" thickTop="1" x14ac:dyDescent="0.15">
      <c r="G304" s="22"/>
      <c r="H304" s="252"/>
      <c r="J304" s="241"/>
      <c r="K304" s="140" t="s">
        <v>228</v>
      </c>
      <c r="L304" s="140" t="s">
        <v>219</v>
      </c>
      <c r="M304" s="167">
        <v>0</v>
      </c>
      <c r="N304" s="167">
        <v>0</v>
      </c>
      <c r="O304" s="167">
        <v>0</v>
      </c>
      <c r="P304" s="167">
        <v>0</v>
      </c>
      <c r="Q304" s="167">
        <v>0</v>
      </c>
      <c r="R304" s="167">
        <v>0</v>
      </c>
      <c r="S304" s="167">
        <v>0</v>
      </c>
      <c r="T304" s="167">
        <v>0</v>
      </c>
      <c r="U304" s="167">
        <v>0</v>
      </c>
      <c r="V304" s="167">
        <v>0</v>
      </c>
      <c r="W304" s="167">
        <v>0</v>
      </c>
      <c r="X304" s="167">
        <v>0</v>
      </c>
      <c r="Y304" s="167">
        <v>0</v>
      </c>
      <c r="Z304" s="167">
        <v>0</v>
      </c>
      <c r="AA304" s="167">
        <v>0</v>
      </c>
      <c r="AB304" s="167">
        <v>0</v>
      </c>
      <c r="AC304" s="167">
        <v>0</v>
      </c>
      <c r="AD304" s="167">
        <v>0</v>
      </c>
      <c r="AE304" s="167">
        <v>0</v>
      </c>
      <c r="AF304" s="167">
        <v>0</v>
      </c>
      <c r="AG304" s="167">
        <v>0</v>
      </c>
      <c r="AH304" s="167">
        <v>0</v>
      </c>
      <c r="AI304" s="167">
        <v>0</v>
      </c>
      <c r="AJ304" s="167">
        <v>0</v>
      </c>
      <c r="AK304" s="167">
        <v>0</v>
      </c>
      <c r="AL304" s="167">
        <v>0</v>
      </c>
      <c r="AM304" s="167">
        <v>0</v>
      </c>
      <c r="AN304" s="167">
        <v>0</v>
      </c>
      <c r="AO304" s="167">
        <v>0</v>
      </c>
      <c r="AP304" s="167">
        <v>0</v>
      </c>
      <c r="AQ304" s="167">
        <v>0</v>
      </c>
    </row>
    <row r="305" spans="7:43" ht="14.25" customHeight="1" x14ac:dyDescent="0.15">
      <c r="G305" s="22"/>
      <c r="H305" s="252"/>
      <c r="J305" s="241"/>
      <c r="K305" s="19" t="s">
        <v>228</v>
      </c>
      <c r="L305" s="129" t="s">
        <v>218</v>
      </c>
      <c r="M305" s="165">
        <v>0</v>
      </c>
      <c r="N305" s="165">
        <v>0</v>
      </c>
      <c r="O305" s="165">
        <v>0</v>
      </c>
      <c r="P305" s="165">
        <v>0</v>
      </c>
      <c r="Q305" s="165">
        <v>0</v>
      </c>
      <c r="R305" s="165">
        <v>0</v>
      </c>
      <c r="S305" s="165">
        <v>0</v>
      </c>
      <c r="T305" s="165">
        <v>0</v>
      </c>
      <c r="U305" s="165">
        <v>0</v>
      </c>
      <c r="V305" s="165">
        <v>0</v>
      </c>
      <c r="W305" s="165">
        <v>0</v>
      </c>
      <c r="X305" s="165">
        <v>0</v>
      </c>
      <c r="Y305" s="165">
        <v>0</v>
      </c>
      <c r="Z305" s="165">
        <v>0</v>
      </c>
      <c r="AA305" s="165">
        <v>0</v>
      </c>
      <c r="AB305" s="165">
        <v>0</v>
      </c>
      <c r="AC305" s="165">
        <v>0</v>
      </c>
      <c r="AD305" s="165">
        <v>0</v>
      </c>
      <c r="AE305" s="165">
        <v>0</v>
      </c>
      <c r="AF305" s="165">
        <v>0</v>
      </c>
      <c r="AG305" s="165">
        <v>0</v>
      </c>
      <c r="AH305" s="165">
        <v>0</v>
      </c>
      <c r="AI305" s="165">
        <v>0</v>
      </c>
      <c r="AJ305" s="165">
        <v>0</v>
      </c>
      <c r="AK305" s="165">
        <v>0</v>
      </c>
      <c r="AL305" s="165">
        <v>0</v>
      </c>
      <c r="AM305" s="165">
        <v>0</v>
      </c>
      <c r="AN305" s="165">
        <v>0</v>
      </c>
      <c r="AO305" s="165">
        <v>0</v>
      </c>
      <c r="AP305" s="165">
        <v>0</v>
      </c>
      <c r="AQ305" s="165">
        <v>0</v>
      </c>
    </row>
    <row r="306" spans="7:43" ht="14.25" customHeight="1" x14ac:dyDescent="0.15">
      <c r="G306" s="22"/>
      <c r="H306" s="252"/>
      <c r="J306" s="251"/>
      <c r="K306" s="144" t="s">
        <v>228</v>
      </c>
      <c r="L306" s="144" t="s">
        <v>214</v>
      </c>
      <c r="M306" s="168">
        <v>0</v>
      </c>
      <c r="N306" s="168">
        <v>0</v>
      </c>
      <c r="O306" s="168">
        <v>0</v>
      </c>
      <c r="P306" s="168">
        <v>0</v>
      </c>
      <c r="Q306" s="168">
        <v>0</v>
      </c>
      <c r="R306" s="168">
        <v>0</v>
      </c>
      <c r="S306" s="168">
        <v>0</v>
      </c>
      <c r="T306" s="168">
        <v>0</v>
      </c>
      <c r="U306" s="168">
        <v>0</v>
      </c>
      <c r="V306" s="168">
        <v>0</v>
      </c>
      <c r="W306" s="168">
        <v>0</v>
      </c>
      <c r="X306" s="168">
        <v>0</v>
      </c>
      <c r="Y306" s="168">
        <v>0</v>
      </c>
      <c r="Z306" s="168">
        <v>0</v>
      </c>
      <c r="AA306" s="168">
        <v>0</v>
      </c>
      <c r="AB306" s="168">
        <v>0</v>
      </c>
      <c r="AC306" s="168">
        <v>0</v>
      </c>
      <c r="AD306" s="168">
        <v>0</v>
      </c>
      <c r="AE306" s="168">
        <v>0</v>
      </c>
      <c r="AF306" s="168">
        <v>0</v>
      </c>
      <c r="AG306" s="168">
        <v>0</v>
      </c>
      <c r="AH306" s="168">
        <v>0</v>
      </c>
      <c r="AI306" s="168">
        <v>0</v>
      </c>
      <c r="AJ306" s="168">
        <v>0</v>
      </c>
      <c r="AK306" s="168">
        <v>0</v>
      </c>
      <c r="AL306" s="168">
        <v>0</v>
      </c>
      <c r="AM306" s="168">
        <v>0</v>
      </c>
      <c r="AN306" s="168">
        <v>0</v>
      </c>
      <c r="AO306" s="168">
        <v>0</v>
      </c>
      <c r="AP306" s="168">
        <v>0</v>
      </c>
      <c r="AQ306" s="168">
        <v>0</v>
      </c>
    </row>
    <row r="307" spans="7:43" ht="14.25" customHeight="1" x14ac:dyDescent="0.15">
      <c r="G307" s="22"/>
    </row>
    <row r="308" spans="7:43" ht="14.25" customHeight="1" x14ac:dyDescent="0.15">
      <c r="G308" s="22"/>
      <c r="M308" s="128">
        <v>2020</v>
      </c>
      <c r="N308" s="128">
        <v>2021</v>
      </c>
      <c r="O308" s="128">
        <v>2022</v>
      </c>
      <c r="P308" s="128">
        <v>2023</v>
      </c>
      <c r="Q308" s="128">
        <v>2024</v>
      </c>
      <c r="R308" s="128">
        <v>2025</v>
      </c>
      <c r="S308" s="128">
        <v>2026</v>
      </c>
      <c r="T308" s="128">
        <v>2027</v>
      </c>
      <c r="U308" s="128">
        <v>2028</v>
      </c>
      <c r="V308" s="128">
        <v>2029</v>
      </c>
      <c r="W308" s="128">
        <v>2030</v>
      </c>
      <c r="X308" s="128">
        <v>2031</v>
      </c>
      <c r="Y308" s="128">
        <v>2032</v>
      </c>
      <c r="Z308" s="128">
        <v>2033</v>
      </c>
      <c r="AA308" s="128">
        <v>2034</v>
      </c>
      <c r="AB308" s="128">
        <v>2035</v>
      </c>
      <c r="AC308" s="128">
        <v>2036</v>
      </c>
      <c r="AD308" s="128">
        <v>2037</v>
      </c>
      <c r="AE308" s="128">
        <v>2038</v>
      </c>
      <c r="AF308" s="128">
        <v>2039</v>
      </c>
      <c r="AG308" s="128">
        <v>2040</v>
      </c>
      <c r="AH308" s="128">
        <v>2041</v>
      </c>
      <c r="AI308" s="128">
        <v>2042</v>
      </c>
      <c r="AJ308" s="128">
        <v>2043</v>
      </c>
      <c r="AK308" s="128">
        <v>2044</v>
      </c>
      <c r="AL308" s="128">
        <v>2045</v>
      </c>
      <c r="AM308" s="128">
        <v>2046</v>
      </c>
      <c r="AN308" s="128">
        <v>2047</v>
      </c>
      <c r="AO308" s="128">
        <v>2048</v>
      </c>
      <c r="AP308" s="128">
        <v>2049</v>
      </c>
      <c r="AQ308" s="128">
        <v>2050</v>
      </c>
    </row>
    <row r="309" spans="7:43" ht="14.25" customHeight="1" x14ac:dyDescent="0.15">
      <c r="G309" s="22"/>
      <c r="H309" s="253" t="s">
        <v>170</v>
      </c>
      <c r="J309" s="240" t="s">
        <v>171</v>
      </c>
      <c r="K309" s="140" t="s">
        <v>237</v>
      </c>
      <c r="L309" s="140" t="s">
        <v>219</v>
      </c>
      <c r="M309" s="174">
        <f t="shared" ref="M309:AQ309" si="136" xml:space="preserve"> ((M$74 * M$349 * M$375 * (M180 * 1 + M277) +M212) * 1000 / (M84 * 8760)) + M244 + 0</f>
        <v>76.788674215243049</v>
      </c>
      <c r="N309" s="174">
        <f t="shared" si="136"/>
        <v>68.601456061664294</v>
      </c>
      <c r="O309" s="174">
        <f t="shared" si="136"/>
        <v>63.418966600334102</v>
      </c>
      <c r="P309" s="174">
        <f t="shared" si="136"/>
        <v>58.411970295745341</v>
      </c>
      <c r="Q309" s="174">
        <f t="shared" si="136"/>
        <v>55.39753208839651</v>
      </c>
      <c r="R309" s="174">
        <f t="shared" si="136"/>
        <v>50.549596229319114</v>
      </c>
      <c r="S309" s="174">
        <f t="shared" si="136"/>
        <v>51.581137101367766</v>
      </c>
      <c r="T309" s="174">
        <f t="shared" si="136"/>
        <v>47.088104628759361</v>
      </c>
      <c r="U309" s="174">
        <f t="shared" si="136"/>
        <v>42.611755893030228</v>
      </c>
      <c r="V309" s="174">
        <f t="shared" si="136"/>
        <v>38.150815314993316</v>
      </c>
      <c r="W309" s="174">
        <f t="shared" si="136"/>
        <v>33.704154740505565</v>
      </c>
      <c r="X309" s="174">
        <f t="shared" si="136"/>
        <v>33.228102895988862</v>
      </c>
      <c r="Y309" s="174">
        <f t="shared" si="136"/>
        <v>32.754111881967923</v>
      </c>
      <c r="Z309" s="174">
        <f t="shared" si="136"/>
        <v>32.282168345329353</v>
      </c>
      <c r="AA309" s="174">
        <f t="shared" si="136"/>
        <v>31.812259048072843</v>
      </c>
      <c r="AB309" s="174">
        <f t="shared" si="136"/>
        <v>31.344370866073351</v>
      </c>
      <c r="AC309" s="174">
        <f t="shared" si="136"/>
        <v>30.87849078785926</v>
      </c>
      <c r="AD309" s="174">
        <f t="shared" si="136"/>
        <v>30.414605913406263</v>
      </c>
      <c r="AE309" s="174">
        <f t="shared" si="136"/>
        <v>29.952703452946658</v>
      </c>
      <c r="AF309" s="174">
        <f t="shared" si="136"/>
        <v>29.49277072579391</v>
      </c>
      <c r="AG309" s="174">
        <f t="shared" si="136"/>
        <v>29.034795159182245</v>
      </c>
      <c r="AH309" s="174">
        <f t="shared" si="136"/>
        <v>28.57876428712094</v>
      </c>
      <c r="AI309" s="174">
        <f t="shared" si="136"/>
        <v>28.124665749263293</v>
      </c>
      <c r="AJ309" s="174">
        <f t="shared" si="136"/>
        <v>27.67248728978981</v>
      </c>
      <c r="AK309" s="174">
        <f t="shared" si="136"/>
        <v>27.22221675630567</v>
      </c>
      <c r="AL309" s="174">
        <f t="shared" si="136"/>
        <v>26.773842098751999</v>
      </c>
      <c r="AM309" s="174">
        <f t="shared" si="136"/>
        <v>26.327351368330906</v>
      </c>
      <c r="AN309" s="174">
        <f t="shared" si="136"/>
        <v>25.88273271644406</v>
      </c>
      <c r="AO309" s="174">
        <f t="shared" si="136"/>
        <v>25.439974393644622</v>
      </c>
      <c r="AP309" s="174">
        <f t="shared" si="136"/>
        <v>24.999064748602166</v>
      </c>
      <c r="AQ309" s="174">
        <f t="shared" si="136"/>
        <v>24.55999222708072</v>
      </c>
    </row>
    <row r="310" spans="7:43" ht="14.25" customHeight="1" x14ac:dyDescent="0.15">
      <c r="G310" s="22"/>
      <c r="H310" s="253"/>
      <c r="J310" s="241"/>
      <c r="K310" s="19" t="s">
        <v>237</v>
      </c>
      <c r="L310" s="129" t="s">
        <v>218</v>
      </c>
      <c r="M310" s="175">
        <f t="shared" ref="M310:AQ310" si="137" xml:space="preserve"> ((M$74 * M$349 * M$375 * (M181 * 1 + M278) +M213) * 1000 / (M85 * 8760)) + M245 + 0</f>
        <v>77.348453364845838</v>
      </c>
      <c r="N310" s="175">
        <f t="shared" si="137"/>
        <v>69.59108014624249</v>
      </c>
      <c r="O310" s="175">
        <f t="shared" si="137"/>
        <v>65.762923229960904</v>
      </c>
      <c r="P310" s="175">
        <f t="shared" si="137"/>
        <v>62.013979624440999</v>
      </c>
      <c r="Q310" s="175">
        <f t="shared" si="137"/>
        <v>60.335278827116525</v>
      </c>
      <c r="R310" s="175">
        <f t="shared" si="137"/>
        <v>56.609643869717111</v>
      </c>
      <c r="S310" s="175">
        <f t="shared" si="137"/>
        <v>59.603906903511337</v>
      </c>
      <c r="T310" s="175">
        <f t="shared" si="137"/>
        <v>56.332705892927962</v>
      </c>
      <c r="U310" s="175">
        <f t="shared" si="137"/>
        <v>53.026935153238412</v>
      </c>
      <c r="V310" s="175">
        <f t="shared" si="137"/>
        <v>49.687122019481848</v>
      </c>
      <c r="W310" s="175">
        <f t="shared" si="137"/>
        <v>46.313831091836249</v>
      </c>
      <c r="X310" s="175">
        <f t="shared" si="137"/>
        <v>45.640107862252755</v>
      </c>
      <c r="Y310" s="175">
        <f t="shared" si="137"/>
        <v>44.971230806295473</v>
      </c>
      <c r="Z310" s="175">
        <f t="shared" si="137"/>
        <v>44.307147822670125</v>
      </c>
      <c r="AA310" s="175">
        <f t="shared" si="137"/>
        <v>43.647807554271317</v>
      </c>
      <c r="AB310" s="175">
        <f t="shared" si="137"/>
        <v>42.993159374942849</v>
      </c>
      <c r="AC310" s="175">
        <f t="shared" si="137"/>
        <v>42.343153376519616</v>
      </c>
      <c r="AD310" s="175">
        <f t="shared" si="137"/>
        <v>41.697740356144124</v>
      </c>
      <c r="AE310" s="175">
        <f t="shared" si="137"/>
        <v>41.056871803851131</v>
      </c>
      <c r="AF310" s="175">
        <f t="shared" si="137"/>
        <v>40.420499890413332</v>
      </c>
      <c r="AG310" s="175">
        <f t="shared" si="137"/>
        <v>39.788577455442294</v>
      </c>
      <c r="AH310" s="175">
        <f t="shared" si="137"/>
        <v>39.161057995737906</v>
      </c>
      <c r="AI310" s="175">
        <f t="shared" si="137"/>
        <v>38.537895653880533</v>
      </c>
      <c r="AJ310" s="175">
        <f t="shared" si="137"/>
        <v>37.91904520706013</v>
      </c>
      <c r="AK310" s="175">
        <f t="shared" si="137"/>
        <v>37.304462056136245</v>
      </c>
      <c r="AL310" s="175">
        <f t="shared" si="137"/>
        <v>36.694102214923639</v>
      </c>
      <c r="AM310" s="175">
        <f t="shared" si="137"/>
        <v>36.08792229969815</v>
      </c>
      <c r="AN310" s="175">
        <f t="shared" si="137"/>
        <v>35.485879518917145</v>
      </c>
      <c r="AO310" s="175">
        <f t="shared" si="137"/>
        <v>34.887931663150006</v>
      </c>
      <c r="AP310" s="175">
        <f t="shared" si="137"/>
        <v>34.294037095213262</v>
      </c>
      <c r="AQ310" s="175">
        <f t="shared" si="137"/>
        <v>33.704154740505565</v>
      </c>
    </row>
    <row r="311" spans="7:43" ht="14.25" customHeight="1" thickBot="1" x14ac:dyDescent="0.2">
      <c r="G311" s="22"/>
      <c r="H311" s="253"/>
      <c r="J311" s="241"/>
      <c r="K311" s="144" t="s">
        <v>237</v>
      </c>
      <c r="L311" s="144" t="s">
        <v>214</v>
      </c>
      <c r="M311" s="176">
        <f t="shared" ref="M311:AQ311" si="138" xml:space="preserve"> ((M$74 * M$349 * M$375 * (M182 * 1 + M279) +M214) * 1000 / (M86 * 8760)) + M246 + 0</f>
        <v>78.183259546934806</v>
      </c>
      <c r="N311" s="176">
        <f t="shared" si="138"/>
        <v>71.093244996270002</v>
      </c>
      <c r="O311" s="176">
        <f t="shared" si="138"/>
        <v>70.572661582755146</v>
      </c>
      <c r="P311" s="176">
        <f t="shared" si="138"/>
        <v>70.052078169240275</v>
      </c>
      <c r="Q311" s="176">
        <f t="shared" si="138"/>
        <v>71.920633184216044</v>
      </c>
      <c r="R311" s="176">
        <f t="shared" si="138"/>
        <v>71.381398582654938</v>
      </c>
      <c r="S311" s="176">
        <f t="shared" si="138"/>
        <v>79.822895496798438</v>
      </c>
      <c r="T311" s="176">
        <f t="shared" si="138"/>
        <v>80.33228829041758</v>
      </c>
      <c r="U311" s="176">
        <f t="shared" si="138"/>
        <v>80.825962920446869</v>
      </c>
      <c r="V311" s="176">
        <f t="shared" si="138"/>
        <v>81.303550694096856</v>
      </c>
      <c r="W311" s="176">
        <f t="shared" si="138"/>
        <v>81.764695349170907</v>
      </c>
      <c r="X311" s="176">
        <f t="shared" si="138"/>
        <v>79.793416029823874</v>
      </c>
      <c r="Y311" s="176">
        <f t="shared" si="138"/>
        <v>77.84526530603145</v>
      </c>
      <c r="Z311" s="176">
        <f t="shared" si="138"/>
        <v>75.919838507505176</v>
      </c>
      <c r="AA311" s="176">
        <f t="shared" si="138"/>
        <v>74.016740349654839</v>
      </c>
      <c r="AB311" s="176">
        <f t="shared" si="138"/>
        <v>72.135584663048846</v>
      </c>
      <c r="AC311" s="176">
        <f t="shared" si="138"/>
        <v>70.275994132178681</v>
      </c>
      <c r="AD311" s="176">
        <f t="shared" si="138"/>
        <v>68.437600043156607</v>
      </c>
      <c r="AE311" s="176">
        <f t="shared" si="138"/>
        <v>66.620042039991915</v>
      </c>
      <c r="AF311" s="176">
        <f t="shared" si="138"/>
        <v>64.822967889107389</v>
      </c>
      <c r="AG311" s="176">
        <f t="shared" si="138"/>
        <v>63.046033251773032</v>
      </c>
      <c r="AH311" s="176">
        <f t="shared" si="138"/>
        <v>61.288901464147926</v>
      </c>
      <c r="AI311" s="176">
        <f t="shared" si="138"/>
        <v>59.551243324635251</v>
      </c>
      <c r="AJ311" s="176">
        <f t="shared" si="138"/>
        <v>57.832736888268407</v>
      </c>
      <c r="AK311" s="176">
        <f t="shared" si="138"/>
        <v>56.133067267858287</v>
      </c>
      <c r="AL311" s="176">
        <f t="shared" si="138"/>
        <v>54.45192644164414</v>
      </c>
      <c r="AM311" s="176">
        <f t="shared" si="138"/>
        <v>52.789013067200642</v>
      </c>
      <c r="AN311" s="176">
        <f t="shared" si="138"/>
        <v>51.144032301365584</v>
      </c>
      <c r="AO311" s="176">
        <f t="shared" si="138"/>
        <v>49.516695625961852</v>
      </c>
      <c r="AP311" s="176">
        <f t="shared" si="138"/>
        <v>47.906720679097447</v>
      </c>
      <c r="AQ311" s="176">
        <f t="shared" si="138"/>
        <v>46.313831091836249</v>
      </c>
    </row>
    <row r="312" spans="7:43" ht="14.25" customHeight="1" thickTop="1" x14ac:dyDescent="0.15">
      <c r="G312" s="22"/>
      <c r="H312" s="253"/>
      <c r="J312" s="241"/>
      <c r="K312" s="140" t="s">
        <v>236</v>
      </c>
      <c r="L312" s="140" t="s">
        <v>219</v>
      </c>
      <c r="M312" s="174">
        <f t="shared" ref="M312:AQ312" si="139" xml:space="preserve"> ((M$74 * M$349 * M$375 * (M183 * 1 + M280) +M215) * 1000 / (M87 * 8760)) + M247 + 0</f>
        <v>69.850804623594769</v>
      </c>
      <c r="N312" s="174">
        <f t="shared" si="139"/>
        <v>62.403303003064678</v>
      </c>
      <c r="O312" s="174">
        <f t="shared" si="139"/>
        <v>57.689052333590908</v>
      </c>
      <c r="P312" s="174">
        <f t="shared" si="139"/>
        <v>53.134438984719402</v>
      </c>
      <c r="Q312" s="174">
        <f t="shared" si="139"/>
        <v>50.392355774880308</v>
      </c>
      <c r="R312" s="174">
        <f t="shared" si="139"/>
        <v>45.982431733596187</v>
      </c>
      <c r="S312" s="174">
        <f t="shared" si="139"/>
        <v>46.920772714881409</v>
      </c>
      <c r="T312" s="174">
        <f t="shared" si="139"/>
        <v>42.833686479586866</v>
      </c>
      <c r="U312" s="174">
        <f t="shared" si="139"/>
        <v>38.761776602746949</v>
      </c>
      <c r="V312" s="174">
        <f t="shared" si="139"/>
        <v>34.703882753968038</v>
      </c>
      <c r="W312" s="174">
        <f t="shared" si="139"/>
        <v>30.658978708023103</v>
      </c>
      <c r="X312" s="174">
        <f t="shared" si="139"/>
        <v>30.225938227485194</v>
      </c>
      <c r="Y312" s="174">
        <f t="shared" si="139"/>
        <v>29.794772381062177</v>
      </c>
      <c r="Z312" s="174">
        <f t="shared" si="139"/>
        <v>29.365469022096708</v>
      </c>
      <c r="AA312" s="174">
        <f t="shared" si="139"/>
        <v>28.938016108644014</v>
      </c>
      <c r="AB312" s="174">
        <f t="shared" si="139"/>
        <v>28.512401702345954</v>
      </c>
      <c r="AC312" s="174">
        <f t="shared" si="139"/>
        <v>28.088613967319564</v>
      </c>
      <c r="AD312" s="174">
        <f t="shared" si="139"/>
        <v>27.666641169059879</v>
      </c>
      <c r="AE312" s="174">
        <f t="shared" si="139"/>
        <v>27.246471673356865</v>
      </c>
      <c r="AF312" s="174">
        <f t="shared" si="139"/>
        <v>26.828093945226147</v>
      </c>
      <c r="AG312" s="174">
        <f t="shared" si="139"/>
        <v>26.411496547853432</v>
      </c>
      <c r="AH312" s="174">
        <f t="shared" si="139"/>
        <v>25.996668141552355</v>
      </c>
      <c r="AI312" s="174">
        <f t="shared" si="139"/>
        <v>25.583597482735613</v>
      </c>
      <c r="AJ312" s="174">
        <f t="shared" si="139"/>
        <v>25.172273422899057</v>
      </c>
      <c r="AK312" s="174">
        <f t="shared" si="139"/>
        <v>24.76268490761878</v>
      </c>
      <c r="AL312" s="174">
        <f t="shared" si="139"/>
        <v>24.354820975560738</v>
      </c>
      <c r="AM312" s="174">
        <f t="shared" si="139"/>
        <v>23.948670757502942</v>
      </c>
      <c r="AN312" s="174">
        <f t="shared" si="139"/>
        <v>23.544223475369911</v>
      </c>
      <c r="AO312" s="174">
        <f t="shared" si="139"/>
        <v>23.141468441279287</v>
      </c>
      <c r="AP312" s="174">
        <f t="shared" si="139"/>
        <v>22.740395056600306</v>
      </c>
      <c r="AQ312" s="174">
        <f t="shared" si="139"/>
        <v>22.340992811024158</v>
      </c>
    </row>
    <row r="313" spans="7:43" ht="14.25" customHeight="1" x14ac:dyDescent="0.15">
      <c r="G313" s="22"/>
      <c r="H313" s="253"/>
      <c r="J313" s="241"/>
      <c r="K313" s="19" t="s">
        <v>236</v>
      </c>
      <c r="L313" s="129" t="s">
        <v>218</v>
      </c>
      <c r="M313" s="175">
        <f t="shared" ref="M313:AQ313" si="140" xml:space="preserve"> ((M$74 * M$349 * M$375 * (M184 * 1 + M281) +M216) * 1000 / (M88 * 8760)) + M248 + 0</f>
        <v>70.360007633164415</v>
      </c>
      <c r="N313" s="175">
        <f t="shared" si="140"/>
        <v>63.303514385656236</v>
      </c>
      <c r="O313" s="175">
        <f t="shared" si="140"/>
        <v>59.821232088684773</v>
      </c>
      <c r="P313" s="175">
        <f t="shared" si="140"/>
        <v>56.411006166564825</v>
      </c>
      <c r="Q313" s="175">
        <f t="shared" si="140"/>
        <v>54.883976267771388</v>
      </c>
      <c r="R313" s="175">
        <f t="shared" si="140"/>
        <v>51.494953053505718</v>
      </c>
      <c r="S313" s="175">
        <f t="shared" si="140"/>
        <v>54.218683920103935</v>
      </c>
      <c r="T313" s="175">
        <f t="shared" si="140"/>
        <v>51.243036469357776</v>
      </c>
      <c r="U313" s="175">
        <f t="shared" si="140"/>
        <v>48.235942670326999</v>
      </c>
      <c r="V313" s="175">
        <f t="shared" si="140"/>
        <v>45.197882213241563</v>
      </c>
      <c r="W313" s="175">
        <f t="shared" si="140"/>
        <v>42.129368686558756</v>
      </c>
      <c r="X313" s="175">
        <f t="shared" si="140"/>
        <v>41.51651646374134</v>
      </c>
      <c r="Y313" s="175">
        <f t="shared" si="140"/>
        <v>40.908072561950391</v>
      </c>
      <c r="Z313" s="175">
        <f t="shared" si="140"/>
        <v>40.303989587252268</v>
      </c>
      <c r="AA313" s="175">
        <f t="shared" si="140"/>
        <v>39.704220822664702</v>
      </c>
      <c r="AB313" s="175">
        <f t="shared" si="140"/>
        <v>39.108720216113184</v>
      </c>
      <c r="AC313" s="175">
        <f t="shared" si="140"/>
        <v>38.517442368643671</v>
      </c>
      <c r="AD313" s="175">
        <f t="shared" si="140"/>
        <v>37.930342522885127</v>
      </c>
      <c r="AE313" s="175">
        <f t="shared" si="140"/>
        <v>37.347376551755779</v>
      </c>
      <c r="AF313" s="175">
        <f t="shared" si="140"/>
        <v>36.768500947407055</v>
      </c>
      <c r="AG313" s="175">
        <f t="shared" si="140"/>
        <v>36.193672810399491</v>
      </c>
      <c r="AH313" s="175">
        <f t="shared" si="140"/>
        <v>35.62284983910493</v>
      </c>
      <c r="AI313" s="175">
        <f t="shared" si="140"/>
        <v>35.055990319329297</v>
      </c>
      <c r="AJ313" s="175">
        <f t="shared" si="140"/>
        <v>34.493053114150989</v>
      </c>
      <c r="AK313" s="175">
        <f t="shared" si="140"/>
        <v>33.933997653969385</v>
      </c>
      <c r="AL313" s="175">
        <f t="shared" si="140"/>
        <v>33.378783926758473</v>
      </c>
      <c r="AM313" s="175">
        <f t="shared" si="140"/>
        <v>32.827372468520821</v>
      </c>
      <c r="AN313" s="175">
        <f t="shared" si="140"/>
        <v>32.279724353936864</v>
      </c>
      <c r="AO313" s="175">
        <f t="shared" si="140"/>
        <v>31.735801187205116</v>
      </c>
      <c r="AP313" s="175">
        <f t="shared" si="140"/>
        <v>31.195565093068609</v>
      </c>
      <c r="AQ313" s="175">
        <f t="shared" si="140"/>
        <v>30.658978708023103</v>
      </c>
    </row>
    <row r="314" spans="7:43" ht="14.25" customHeight="1" thickBot="1" x14ac:dyDescent="0.2">
      <c r="G314" s="22"/>
      <c r="H314" s="253"/>
      <c r="J314" s="241"/>
      <c r="K314" s="144" t="s">
        <v>236</v>
      </c>
      <c r="L314" s="144" t="s">
        <v>214</v>
      </c>
      <c r="M314" s="176">
        <f t="shared" ref="M314:AQ314" si="141" xml:space="preserve"> ((M$74 * M$349 * M$375 * (M185 * 1 + M282) +M217) * 1000 / (M89 * 8760)) + M249 + 0</f>
        <v>71.119388936717257</v>
      </c>
      <c r="N314" s="176">
        <f t="shared" si="141"/>
        <v>64.669958389593404</v>
      </c>
      <c r="O314" s="176">
        <f t="shared" si="141"/>
        <v>64.196409774783589</v>
      </c>
      <c r="P314" s="176">
        <f t="shared" si="141"/>
        <v>63.722861159973768</v>
      </c>
      <c r="Q314" s="176">
        <f t="shared" si="141"/>
        <v>65.422591916018021</v>
      </c>
      <c r="R314" s="176">
        <f t="shared" si="141"/>
        <v>64.932077251129442</v>
      </c>
      <c r="S314" s="176">
        <f t="shared" si="141"/>
        <v>72.61088350356853</v>
      </c>
      <c r="T314" s="176">
        <f t="shared" si="141"/>
        <v>73.074252572866712</v>
      </c>
      <c r="U314" s="176">
        <f t="shared" si="141"/>
        <v>73.523323617291069</v>
      </c>
      <c r="V314" s="176">
        <f t="shared" si="141"/>
        <v>73.957761255507521</v>
      </c>
      <c r="W314" s="176">
        <f t="shared" si="141"/>
        <v>74.377241413668642</v>
      </c>
      <c r="X314" s="176">
        <f t="shared" si="141"/>
        <v>72.584067511378365</v>
      </c>
      <c r="Y314" s="176">
        <f t="shared" si="141"/>
        <v>70.81193253215605</v>
      </c>
      <c r="Z314" s="176">
        <f t="shared" si="141"/>
        <v>69.06046836774162</v>
      </c>
      <c r="AA314" s="176">
        <f t="shared" si="141"/>
        <v>67.32931544757389</v>
      </c>
      <c r="AB314" s="176">
        <f t="shared" si="141"/>
        <v>65.618122492694141</v>
      </c>
      <c r="AC314" s="176">
        <f t="shared" si="141"/>
        <v>63.926546278113342</v>
      </c>
      <c r="AD314" s="176">
        <f t="shared" si="141"/>
        <v>62.254251403305346</v>
      </c>
      <c r="AE314" s="176">
        <f t="shared" si="141"/>
        <v>60.600910070503609</v>
      </c>
      <c r="AF314" s="176">
        <f t="shared" si="141"/>
        <v>58.966201870493698</v>
      </c>
      <c r="AG314" s="176">
        <f t="shared" si="141"/>
        <v>57.349813575607612</v>
      </c>
      <c r="AH314" s="176">
        <f t="shared" si="141"/>
        <v>55.751438939638895</v>
      </c>
      <c r="AI314" s="176">
        <f t="shared" si="141"/>
        <v>54.170778504410215</v>
      </c>
      <c r="AJ314" s="176">
        <f t="shared" si="141"/>
        <v>52.607539412736685</v>
      </c>
      <c r="AK314" s="176">
        <f t="shared" si="141"/>
        <v>51.061435227539555</v>
      </c>
      <c r="AL314" s="176">
        <f t="shared" si="141"/>
        <v>49.532185756875784</v>
      </c>
      <c r="AM314" s="176">
        <f t="shared" si="141"/>
        <v>48.019516884658714</v>
      </c>
      <c r="AN314" s="176">
        <f t="shared" si="141"/>
        <v>46.523160406855283</v>
      </c>
      <c r="AO314" s="176">
        <f t="shared" si="141"/>
        <v>45.042853872954062</v>
      </c>
      <c r="AP314" s="176">
        <f t="shared" si="141"/>
        <v>43.578340432507346</v>
      </c>
      <c r="AQ314" s="176">
        <f t="shared" si="141"/>
        <v>42.129368686558756</v>
      </c>
    </row>
    <row r="315" spans="7:43" ht="14.25" customHeight="1" thickTop="1" x14ac:dyDescent="0.15">
      <c r="G315" s="22"/>
      <c r="H315" s="253"/>
      <c r="J315" s="241"/>
      <c r="K315" s="140" t="s">
        <v>235</v>
      </c>
      <c r="L315" s="140" t="s">
        <v>219</v>
      </c>
      <c r="M315" s="174">
        <f t="shared" ref="M315:AQ315" si="142" xml:space="preserve"> ((M$74 * M$349 * M$375 * (M186 * 1 + M283) +M218) * 1000 / (M90 * 8760)) + M250 + 0</f>
        <v>67.049115631568554</v>
      </c>
      <c r="N315" s="174">
        <f t="shared" si="142"/>
        <v>59.90033044559889</v>
      </c>
      <c r="O315" s="174">
        <f t="shared" si="142"/>
        <v>55.375166562991637</v>
      </c>
      <c r="P315" s="174">
        <f t="shared" si="142"/>
        <v>51.003237009263685</v>
      </c>
      <c r="Q315" s="174">
        <f t="shared" si="142"/>
        <v>48.371137705631895</v>
      </c>
      <c r="R315" s="174">
        <f t="shared" si="142"/>
        <v>44.13809402683917</v>
      </c>
      <c r="S315" s="174">
        <f t="shared" si="142"/>
        <v>45.038798511133407</v>
      </c>
      <c r="T315" s="174">
        <f t="shared" si="142"/>
        <v>41.11564373771094</v>
      </c>
      <c r="U315" s="174">
        <f t="shared" si="142"/>
        <v>37.207056604824231</v>
      </c>
      <c r="V315" s="174">
        <f t="shared" si="142"/>
        <v>33.311923322486884</v>
      </c>
      <c r="W315" s="174">
        <f t="shared" si="142"/>
        <v>29.429258826972244</v>
      </c>
      <c r="X315" s="174">
        <f t="shared" si="142"/>
        <v>29.013587434077103</v>
      </c>
      <c r="Y315" s="174">
        <f t="shared" si="142"/>
        <v>28.599715484441248</v>
      </c>
      <c r="Z315" s="174">
        <f t="shared" si="142"/>
        <v>28.187631318605121</v>
      </c>
      <c r="AA315" s="174">
        <f t="shared" si="142"/>
        <v>27.777323377621727</v>
      </c>
      <c r="AB315" s="174">
        <f t="shared" si="142"/>
        <v>27.368780201975902</v>
      </c>
      <c r="AC315" s="174">
        <f t="shared" si="142"/>
        <v>26.961990430517393</v>
      </c>
      <c r="AD315" s="174">
        <f t="shared" si="142"/>
        <v>26.556942799407743</v>
      </c>
      <c r="AE315" s="174">
        <f t="shared" si="142"/>
        <v>26.153626141080618</v>
      </c>
      <c r="AF315" s="174">
        <f t="shared" si="142"/>
        <v>25.75202938321544</v>
      </c>
      <c r="AG315" s="174">
        <f t="shared" si="142"/>
        <v>25.352141547724155</v>
      </c>
      <c r="AH315" s="174">
        <f t="shared" si="142"/>
        <v>24.953951749750882</v>
      </c>
      <c r="AI315" s="174">
        <f t="shared" si="142"/>
        <v>24.557449196684274</v>
      </c>
      <c r="AJ315" s="174">
        <f t="shared" si="142"/>
        <v>24.162623187182426</v>
      </c>
      <c r="AK315" s="174">
        <f t="shared" si="142"/>
        <v>23.769463110210122</v>
      </c>
      <c r="AL315" s="174">
        <f t="shared" si="142"/>
        <v>23.377958444088236</v>
      </c>
      <c r="AM315" s="174">
        <f t="shared" si="142"/>
        <v>22.988098755555097</v>
      </c>
      <c r="AN315" s="174">
        <f t="shared" si="142"/>
        <v>22.599873698839694</v>
      </c>
      <c r="AO315" s="174">
        <f t="shared" si="142"/>
        <v>22.213273014746548</v>
      </c>
      <c r="AP315" s="174">
        <f t="shared" si="142"/>
        <v>21.8282865297519</v>
      </c>
      <c r="AQ315" s="174">
        <f t="shared" si="142"/>
        <v>21.444904155111384</v>
      </c>
    </row>
    <row r="316" spans="7:43" ht="14.25" customHeight="1" x14ac:dyDescent="0.15">
      <c r="G316" s="22"/>
      <c r="H316" s="253"/>
      <c r="J316" s="241"/>
      <c r="K316" s="19" t="s">
        <v>235</v>
      </c>
      <c r="L316" s="129" t="s">
        <v>218</v>
      </c>
      <c r="M316" s="175">
        <f t="shared" ref="M316:AQ316" si="143" xml:space="preserve"> ((M$74 * M$349 * M$375 * (M187 * 1 + M284) +M219) * 1000 / (M91 * 8760)) + M251 + 0</f>
        <v>67.5378947036574</v>
      </c>
      <c r="N316" s="175">
        <f t="shared" si="143"/>
        <v>60.764434694783851</v>
      </c>
      <c r="O316" s="175">
        <f t="shared" si="143"/>
        <v>57.421825405605588</v>
      </c>
      <c r="P316" s="175">
        <f t="shared" si="143"/>
        <v>54.148382337710615</v>
      </c>
      <c r="Q316" s="175">
        <f t="shared" si="143"/>
        <v>52.682601022680799</v>
      </c>
      <c r="R316" s="175">
        <f t="shared" si="143"/>
        <v>49.429510230157383</v>
      </c>
      <c r="S316" s="175">
        <f t="shared" si="143"/>
        <v>52.043993295999243</v>
      </c>
      <c r="T316" s="175">
        <f t="shared" si="143"/>
        <v>49.187697923612539</v>
      </c>
      <c r="U316" s="175">
        <f t="shared" si="143"/>
        <v>46.30121750391411</v>
      </c>
      <c r="V316" s="175">
        <f t="shared" si="143"/>
        <v>43.385012486942692</v>
      </c>
      <c r="W316" s="175">
        <f t="shared" si="143"/>
        <v>40.439575861319426</v>
      </c>
      <c r="X316" s="175">
        <f t="shared" si="143"/>
        <v>39.851304906186165</v>
      </c>
      <c r="Y316" s="175">
        <f t="shared" si="143"/>
        <v>39.267265456013192</v>
      </c>
      <c r="Z316" s="175">
        <f t="shared" si="143"/>
        <v>38.687412017819383</v>
      </c>
      <c r="AA316" s="175">
        <f t="shared" si="143"/>
        <v>38.11169974842268</v>
      </c>
      <c r="AB316" s="175">
        <f t="shared" si="143"/>
        <v>37.54008444287966</v>
      </c>
      <c r="AC316" s="175">
        <f t="shared" si="143"/>
        <v>36.972522523170916</v>
      </c>
      <c r="AD316" s="175">
        <f t="shared" si="143"/>
        <v>36.408971027126391</v>
      </c>
      <c r="AE316" s="175">
        <f t="shared" si="143"/>
        <v>35.849387597584645</v>
      </c>
      <c r="AF316" s="175">
        <f t="shared" si="143"/>
        <v>35.293730471780236</v>
      </c>
      <c r="AG316" s="175">
        <f t="shared" si="143"/>
        <v>34.74195847095379</v>
      </c>
      <c r="AH316" s="175">
        <f t="shared" si="143"/>
        <v>34.194030990179193</v>
      </c>
      <c r="AI316" s="175">
        <f t="shared" si="143"/>
        <v>33.649907988402724</v>
      </c>
      <c r="AJ316" s="175">
        <f t="shared" si="143"/>
        <v>33.109549978688939</v>
      </c>
      <c r="AK316" s="175">
        <f t="shared" si="143"/>
        <v>32.572918018668332</v>
      </c>
      <c r="AL316" s="175">
        <f t="shared" si="143"/>
        <v>32.039973701181914</v>
      </c>
      <c r="AM316" s="175">
        <f t="shared" si="143"/>
        <v>31.510679145118068</v>
      </c>
      <c r="AN316" s="175">
        <f t="shared" si="143"/>
        <v>30.984996986436869</v>
      </c>
      <c r="AO316" s="175">
        <f t="shared" si="143"/>
        <v>30.4628903693777</v>
      </c>
      <c r="AP316" s="175">
        <f t="shared" si="143"/>
        <v>29.944322937845634</v>
      </c>
      <c r="AQ316" s="175">
        <f t="shared" si="143"/>
        <v>29.429258826972244</v>
      </c>
    </row>
    <row r="317" spans="7:43" ht="14.25" customHeight="1" thickBot="1" x14ac:dyDescent="0.2">
      <c r="G317" s="22"/>
      <c r="H317" s="253"/>
      <c r="J317" s="241"/>
      <c r="K317" s="144" t="s">
        <v>235</v>
      </c>
      <c r="L317" s="144" t="s">
        <v>214</v>
      </c>
      <c r="M317" s="176">
        <f t="shared" ref="M317:AQ317" si="144" xml:space="preserve"> ((M$74 * M$349 * M$375 * (M188 * 1 + M285) +M220) * 1000 / (M92 * 8760)) + M252 + 0</f>
        <v>68.266817514278344</v>
      </c>
      <c r="N317" s="176">
        <f t="shared" si="144"/>
        <v>62.076071153629989</v>
      </c>
      <c r="O317" s="176">
        <f t="shared" si="144"/>
        <v>61.621516392197407</v>
      </c>
      <c r="P317" s="176">
        <f t="shared" si="144"/>
        <v>61.16696163076481</v>
      </c>
      <c r="Q317" s="176">
        <f t="shared" si="144"/>
        <v>62.798516837876171</v>
      </c>
      <c r="R317" s="176">
        <f t="shared" si="144"/>
        <v>62.327676528128549</v>
      </c>
      <c r="S317" s="176">
        <f t="shared" si="144"/>
        <v>69.698488805905626</v>
      </c>
      <c r="T317" s="176">
        <f t="shared" si="144"/>
        <v>70.143272319494116</v>
      </c>
      <c r="U317" s="176">
        <f t="shared" si="144"/>
        <v>70.574331296504482</v>
      </c>
      <c r="V317" s="176">
        <f t="shared" si="144"/>
        <v>70.991343807619373</v>
      </c>
      <c r="W317" s="176">
        <f t="shared" si="144"/>
        <v>71.393998777469108</v>
      </c>
      <c r="X317" s="176">
        <f t="shared" si="144"/>
        <v>69.67274839288072</v>
      </c>
      <c r="Y317" s="176">
        <f t="shared" si="144"/>
        <v>67.97169306822255</v>
      </c>
      <c r="Z317" s="176">
        <f t="shared" si="144"/>
        <v>66.290479459915673</v>
      </c>
      <c r="AA317" s="176">
        <f t="shared" si="144"/>
        <v>64.628762419636288</v>
      </c>
      <c r="AB317" s="176">
        <f t="shared" si="144"/>
        <v>62.986204758090011</v>
      </c>
      <c r="AC317" s="176">
        <f t="shared" si="144"/>
        <v>61.362477016910532</v>
      </c>
      <c r="AD317" s="176">
        <f t="shared" si="144"/>
        <v>59.757257248358215</v>
      </c>
      <c r="AE317" s="176">
        <f t="shared" si="144"/>
        <v>58.170230802509224</v>
      </c>
      <c r="AF317" s="176">
        <f t="shared" si="144"/>
        <v>56.601090121639913</v>
      </c>
      <c r="AG317" s="176">
        <f t="shared" si="144"/>
        <v>55.049534541523897</v>
      </c>
      <c r="AH317" s="176">
        <f t="shared" si="144"/>
        <v>53.515270099372692</v>
      </c>
      <c r="AI317" s="176">
        <f t="shared" si="144"/>
        <v>51.998009348161624</v>
      </c>
      <c r="AJ317" s="176">
        <f t="shared" si="144"/>
        <v>50.497471177095207</v>
      </c>
      <c r="AK317" s="176">
        <f t="shared" si="144"/>
        <v>49.013380637976098</v>
      </c>
      <c r="AL317" s="176">
        <f t="shared" si="144"/>
        <v>47.545468777252665</v>
      </c>
      <c r="AM317" s="176">
        <f t="shared" si="144"/>
        <v>46.093472473529388</v>
      </c>
      <c r="AN317" s="176">
        <f t="shared" si="144"/>
        <v>44.657134280334134</v>
      </c>
      <c r="AO317" s="176">
        <f t="shared" si="144"/>
        <v>43.236202273944862</v>
      </c>
      <c r="AP317" s="176">
        <f t="shared" si="144"/>
        <v>41.830429906086856</v>
      </c>
      <c r="AQ317" s="176">
        <f t="shared" si="144"/>
        <v>40.439575861319426</v>
      </c>
    </row>
    <row r="318" spans="7:43" ht="14.25" customHeight="1" thickTop="1" x14ac:dyDescent="0.15">
      <c r="G318" s="22"/>
      <c r="H318" s="253"/>
      <c r="J318" s="241"/>
      <c r="K318" s="140" t="s">
        <v>234</v>
      </c>
      <c r="L318" s="140" t="s">
        <v>219</v>
      </c>
      <c r="M318" s="174">
        <f t="shared" ref="M318:AQ318" si="145" xml:space="preserve"> ((M$74 * M$349 * M$375 * (M189 * 1 + M286) +M221) * 1000 / (M93 * 8760)) + M253 + 0</f>
        <v>63.67868355549377</v>
      </c>
      <c r="N318" s="174">
        <f t="shared" si="145"/>
        <v>56.889254263614625</v>
      </c>
      <c r="O318" s="174">
        <f t="shared" si="145"/>
        <v>52.591561800365724</v>
      </c>
      <c r="P318" s="174">
        <f t="shared" si="145"/>
        <v>48.439400866453632</v>
      </c>
      <c r="Q318" s="174">
        <f t="shared" si="145"/>
        <v>45.939612210573294</v>
      </c>
      <c r="R318" s="174">
        <f t="shared" si="145"/>
        <v>41.919355621662959</v>
      </c>
      <c r="S318" s="174">
        <f t="shared" si="145"/>
        <v>42.774783397139579</v>
      </c>
      <c r="T318" s="174">
        <f t="shared" si="145"/>
        <v>39.048838185143801</v>
      </c>
      <c r="U318" s="174">
        <f t="shared" si="145"/>
        <v>35.336728325979877</v>
      </c>
      <c r="V318" s="174">
        <f t="shared" si="145"/>
        <v>31.637396017774918</v>
      </c>
      <c r="W318" s="174">
        <f t="shared" si="145"/>
        <v>27.949905714090413</v>
      </c>
      <c r="X318" s="174">
        <f t="shared" si="145"/>
        <v>27.555129334985146</v>
      </c>
      <c r="Y318" s="174">
        <f t="shared" si="145"/>
        <v>27.162061944534024</v>
      </c>
      <c r="Z318" s="174">
        <f t="shared" si="145"/>
        <v>26.770692469376414</v>
      </c>
      <c r="AA318" s="174">
        <f t="shared" si="145"/>
        <v>26.381009931611729</v>
      </c>
      <c r="AB318" s="174">
        <f t="shared" si="145"/>
        <v>25.993003447772917</v>
      </c>
      <c r="AC318" s="174">
        <f t="shared" si="145"/>
        <v>25.606662227813235</v>
      </c>
      <c r="AD318" s="174">
        <f t="shared" si="145"/>
        <v>25.221975574106054</v>
      </c>
      <c r="AE318" s="174">
        <f t="shared" si="145"/>
        <v>24.83893288045746</v>
      </c>
      <c r="AF318" s="174">
        <f t="shared" si="145"/>
        <v>24.457523631131462</v>
      </c>
      <c r="AG318" s="174">
        <f t="shared" si="145"/>
        <v>24.077737399887695</v>
      </c>
      <c r="AH318" s="174">
        <f t="shared" si="145"/>
        <v>23.699563849031378</v>
      </c>
      <c r="AI318" s="174">
        <f t="shared" si="145"/>
        <v>23.322992728475302</v>
      </c>
      <c r="AJ318" s="174">
        <f t="shared" si="145"/>
        <v>22.94801387481375</v>
      </c>
      <c r="AK318" s="174">
        <f t="shared" si="145"/>
        <v>22.574617210408153</v>
      </c>
      <c r="AL318" s="174">
        <f t="shared" si="145"/>
        <v>22.20279274248427</v>
      </c>
      <c r="AM318" s="174">
        <f t="shared" si="145"/>
        <v>21.832530562240738</v>
      </c>
      <c r="AN318" s="174">
        <f t="shared" si="145"/>
        <v>21.463820843968875</v>
      </c>
      <c r="AO318" s="174">
        <f t="shared" si="145"/>
        <v>21.096653844183507</v>
      </c>
      <c r="AP318" s="174">
        <f t="shared" si="145"/>
        <v>20.731019900764672</v>
      </c>
      <c r="AQ318" s="174">
        <f t="shared" si="145"/>
        <v>20.366909432110049</v>
      </c>
    </row>
    <row r="319" spans="7:43" ht="14.25" customHeight="1" x14ac:dyDescent="0.15">
      <c r="G319" s="22"/>
      <c r="H319" s="253"/>
      <c r="J319" s="241"/>
      <c r="K319" s="19" t="s">
        <v>234</v>
      </c>
      <c r="L319" s="129" t="s">
        <v>218</v>
      </c>
      <c r="M319" s="175">
        <f t="shared" ref="M319:AQ319" si="146" xml:space="preserve"> ((M$74 * M$349 * M$375 * (M190 * 1 + M287) +M222) * 1000 / (M94 * 8760)) + M254 + 0</f>
        <v>64.14289262919911</v>
      </c>
      <c r="N319" s="175">
        <f t="shared" si="146"/>
        <v>57.709921628493291</v>
      </c>
      <c r="O319" s="175">
        <f t="shared" si="146"/>
        <v>54.535338978591511</v>
      </c>
      <c r="P319" s="175">
        <f t="shared" si="146"/>
        <v>51.426445695004837</v>
      </c>
      <c r="Q319" s="175">
        <f t="shared" si="146"/>
        <v>50.034346431023003</v>
      </c>
      <c r="R319" s="175">
        <f t="shared" si="146"/>
        <v>46.944782352464806</v>
      </c>
      <c r="S319" s="175">
        <f t="shared" si="146"/>
        <v>49.427840305470134</v>
      </c>
      <c r="T319" s="175">
        <f t="shared" si="146"/>
        <v>46.715125492665095</v>
      </c>
      <c r="U319" s="175">
        <f t="shared" si="146"/>
        <v>43.973742977717144</v>
      </c>
      <c r="V319" s="175">
        <f t="shared" si="146"/>
        <v>41.204130064713503</v>
      </c>
      <c r="W319" s="175">
        <f t="shared" si="146"/>
        <v>38.406754960670909</v>
      </c>
      <c r="X319" s="175">
        <f t="shared" si="146"/>
        <v>37.848055272480217</v>
      </c>
      <c r="Y319" s="175">
        <f t="shared" si="146"/>
        <v>37.2933743795084</v>
      </c>
      <c r="Z319" s="175">
        <f t="shared" si="146"/>
        <v>36.742669075620334</v>
      </c>
      <c r="AA319" s="175">
        <f t="shared" si="146"/>
        <v>36.195896771815832</v>
      </c>
      <c r="AB319" s="175">
        <f t="shared" si="146"/>
        <v>35.653015485250243</v>
      </c>
      <c r="AC319" s="175">
        <f t="shared" si="146"/>
        <v>35.113983828488685</v>
      </c>
      <c r="AD319" s="175">
        <f t="shared" si="146"/>
        <v>34.578760998988031</v>
      </c>
      <c r="AE319" s="175">
        <f t="shared" si="146"/>
        <v>34.04730676880115</v>
      </c>
      <c r="AF319" s="175">
        <f t="shared" si="146"/>
        <v>33.51958147449772</v>
      </c>
      <c r="AG319" s="175">
        <f t="shared" si="146"/>
        <v>32.995546007296618</v>
      </c>
      <c r="AH319" s="175">
        <f t="shared" si="146"/>
        <v>32.475161803404511</v>
      </c>
      <c r="AI319" s="175">
        <f t="shared" si="146"/>
        <v>31.958390834555583</v>
      </c>
      <c r="AJ319" s="175">
        <f t="shared" si="146"/>
        <v>31.44519559874788</v>
      </c>
      <c r="AK319" s="175">
        <f t="shared" si="146"/>
        <v>30.935539111171074</v>
      </c>
      <c r="AL319" s="175">
        <f t="shared" si="146"/>
        <v>30.429384895321324</v>
      </c>
      <c r="AM319" s="175">
        <f t="shared" si="146"/>
        <v>29.926696974298746</v>
      </c>
      <c r="AN319" s="175">
        <f t="shared" si="146"/>
        <v>29.42743986228297</v>
      </c>
      <c r="AO319" s="175">
        <f t="shared" si="146"/>
        <v>28.931578556182661</v>
      </c>
      <c r="AP319" s="175">
        <f t="shared" si="146"/>
        <v>28.439078527454939</v>
      </c>
      <c r="AQ319" s="175">
        <f t="shared" si="146"/>
        <v>27.949905714090413</v>
      </c>
    </row>
    <row r="320" spans="7:43" ht="14.25" customHeight="1" thickBot="1" x14ac:dyDescent="0.2">
      <c r="G320" s="22"/>
      <c r="H320" s="253"/>
      <c r="J320" s="241"/>
      <c r="K320" s="144" t="s">
        <v>234</v>
      </c>
      <c r="L320" s="144" t="s">
        <v>214</v>
      </c>
      <c r="M320" s="176">
        <f t="shared" ref="M320:AQ320" si="147" xml:space="preserve"> ((M$74 * M$349 * M$375 * (M191 * 1 + M288) +M223) * 1000 / (M95 * 8760)) + M255 + 0</f>
        <v>64.835173870445757</v>
      </c>
      <c r="N320" s="176">
        <f t="shared" si="147"/>
        <v>58.955624606317329</v>
      </c>
      <c r="O320" s="176">
        <f t="shared" si="147"/>
        <v>58.523919451979992</v>
      </c>
      <c r="P320" s="176">
        <f t="shared" si="147"/>
        <v>58.092214297642641</v>
      </c>
      <c r="Q320" s="176">
        <f t="shared" si="147"/>
        <v>59.641754314066745</v>
      </c>
      <c r="R320" s="176">
        <f t="shared" si="147"/>
        <v>59.194582255089237</v>
      </c>
      <c r="S320" s="176">
        <f t="shared" si="147"/>
        <v>66.194877757309484</v>
      </c>
      <c r="T320" s="176">
        <f t="shared" si="147"/>
        <v>66.617302845928648</v>
      </c>
      <c r="U320" s="176">
        <f t="shared" si="147"/>
        <v>67.02669330443419</v>
      </c>
      <c r="V320" s="176">
        <f t="shared" si="147"/>
        <v>67.422743386285873</v>
      </c>
      <c r="W320" s="176">
        <f t="shared" si="147"/>
        <v>67.805157653283842</v>
      </c>
      <c r="X320" s="176">
        <f t="shared" si="147"/>
        <v>66.170431266104316</v>
      </c>
      <c r="Y320" s="176">
        <f t="shared" si="147"/>
        <v>64.55488477143443</v>
      </c>
      <c r="Z320" s="176">
        <f t="shared" si="147"/>
        <v>62.958182587607894</v>
      </c>
      <c r="AA320" s="176">
        <f t="shared" si="147"/>
        <v>61.379996916253532</v>
      </c>
      <c r="AB320" s="176">
        <f t="shared" si="147"/>
        <v>59.820007517944283</v>
      </c>
      <c r="AC320" s="176">
        <f t="shared" si="147"/>
        <v>58.277901495562041</v>
      </c>
      <c r="AD320" s="176">
        <f t="shared" si="147"/>
        <v>56.753373085070379</v>
      </c>
      <c r="AE320" s="176">
        <f t="shared" si="147"/>
        <v>55.246123453401317</v>
      </c>
      <c r="AF320" s="176">
        <f t="shared" si="147"/>
        <v>53.755860503175555</v>
      </c>
      <c r="AG320" s="176">
        <f t="shared" si="147"/>
        <v>52.282298683988046</v>
      </c>
      <c r="AH320" s="176">
        <f t="shared" si="147"/>
        <v>50.825158810002989</v>
      </c>
      <c r="AI320" s="176">
        <f t="shared" si="147"/>
        <v>49.384167883613337</v>
      </c>
      <c r="AJ320" s="176">
        <f t="shared" si="147"/>
        <v>47.959058924930972</v>
      </c>
      <c r="AK320" s="176">
        <f t="shared" si="147"/>
        <v>46.549570806883779</v>
      </c>
      <c r="AL320" s="176">
        <f t="shared" si="147"/>
        <v>45.155448095705864</v>
      </c>
      <c r="AM320" s="176">
        <f t="shared" si="147"/>
        <v>43.776440896616009</v>
      </c>
      <c r="AN320" s="176">
        <f t="shared" si="147"/>
        <v>42.412304704488712</v>
      </c>
      <c r="AO320" s="176">
        <f t="shared" si="147"/>
        <v>41.062800259330402</v>
      </c>
      <c r="AP320" s="176">
        <f t="shared" si="147"/>
        <v>39.727693406381249</v>
      </c>
      <c r="AQ320" s="176">
        <f t="shared" si="147"/>
        <v>38.406754960670909</v>
      </c>
    </row>
    <row r="321" spans="7:43" ht="14.25" customHeight="1" thickTop="1" x14ac:dyDescent="0.15">
      <c r="G321" s="22"/>
      <c r="H321" s="253"/>
      <c r="J321" s="241"/>
      <c r="K321" s="140" t="s">
        <v>233</v>
      </c>
      <c r="L321" s="140" t="s">
        <v>219</v>
      </c>
      <c r="M321" s="174">
        <f t="shared" ref="M321:AQ321" si="148" xml:space="preserve"> ((M$74 * M$349 * M$375 * (M192 * 1 + M289) +M224) * 1000 / (M96 * 8760)) + M256 + 0</f>
        <v>60.673053892322493</v>
      </c>
      <c r="N321" s="174">
        <f t="shared" si="148"/>
        <v>54.204085215146414</v>
      </c>
      <c r="O321" s="174">
        <f t="shared" si="148"/>
        <v>50.109243552659926</v>
      </c>
      <c r="P321" s="174">
        <f t="shared" si="148"/>
        <v>46.153064340925738</v>
      </c>
      <c r="Q321" s="174">
        <f t="shared" si="148"/>
        <v>43.771265544701102</v>
      </c>
      <c r="R321" s="174">
        <f t="shared" si="148"/>
        <v>39.940764801585829</v>
      </c>
      <c r="S321" s="174">
        <f t="shared" si="148"/>
        <v>40.755816442489369</v>
      </c>
      <c r="T321" s="174">
        <f t="shared" si="148"/>
        <v>37.20573559871292</v>
      </c>
      <c r="U321" s="174">
        <f t="shared" si="148"/>
        <v>33.66883708002733</v>
      </c>
      <c r="V321" s="174">
        <f t="shared" si="148"/>
        <v>30.144113012738323</v>
      </c>
      <c r="W321" s="174">
        <f t="shared" si="148"/>
        <v>26.630672008137601</v>
      </c>
      <c r="X321" s="174">
        <f t="shared" si="148"/>
        <v>26.254529048084159</v>
      </c>
      <c r="Y321" s="174">
        <f t="shared" si="148"/>
        <v>25.880014412533114</v>
      </c>
      <c r="Z321" s="174">
        <f t="shared" si="148"/>
        <v>25.50711755078575</v>
      </c>
      <c r="AA321" s="174">
        <f t="shared" si="148"/>
        <v>25.135828003097632</v>
      </c>
      <c r="AB321" s="174">
        <f t="shared" si="148"/>
        <v>24.766135399700651</v>
      </c>
      <c r="AC321" s="174">
        <f t="shared" si="148"/>
        <v>24.398029459837559</v>
      </c>
      <c r="AD321" s="174">
        <f t="shared" si="148"/>
        <v>24.031499990808999</v>
      </c>
      <c r="AE321" s="174">
        <f t="shared" si="148"/>
        <v>23.666536887032699</v>
      </c>
      <c r="AF321" s="174">
        <f t="shared" si="148"/>
        <v>23.303130129114724</v>
      </c>
      <c r="AG321" s="174">
        <f t="shared" si="148"/>
        <v>22.941269782932569</v>
      </c>
      <c r="AH321" s="174">
        <f t="shared" si="148"/>
        <v>22.580945998729952</v>
      </c>
      <c r="AI321" s="174">
        <f t="shared" si="148"/>
        <v>22.222149010223113</v>
      </c>
      <c r="AJ321" s="174">
        <f t="shared" si="148"/>
        <v>21.864869133718411</v>
      </c>
      <c r="AK321" s="174">
        <f t="shared" si="148"/>
        <v>21.509096767241157</v>
      </c>
      <c r="AL321" s="174">
        <f t="shared" si="148"/>
        <v>21.154822389675388</v>
      </c>
      <c r="AM321" s="174">
        <f t="shared" si="148"/>
        <v>20.802036559914523</v>
      </c>
      <c r="AN321" s="174">
        <f t="shared" si="148"/>
        <v>20.450729916022667</v>
      </c>
      <c r="AO321" s="174">
        <f t="shared" si="148"/>
        <v>20.100893174406519</v>
      </c>
      <c r="AP321" s="174">
        <f t="shared" si="148"/>
        <v>19.752517128997525</v>
      </c>
      <c r="AQ321" s="174">
        <f t="shared" si="148"/>
        <v>19.405592650444397</v>
      </c>
    </row>
    <row r="322" spans="7:43" ht="14.25" customHeight="1" x14ac:dyDescent="0.15">
      <c r="G322" s="22"/>
      <c r="H322" s="253"/>
      <c r="J322" s="241"/>
      <c r="K322" s="19" t="s">
        <v>233</v>
      </c>
      <c r="L322" s="129" t="s">
        <v>218</v>
      </c>
      <c r="M322" s="175">
        <f t="shared" ref="M322:AQ322" si="149" xml:space="preserve"> ((M$74 * M$349 * M$375 * (M193 * 1 + M290) +M225) * 1000 / (M97 * 8760)) + M257 + 0</f>
        <v>61.115352328371102</v>
      </c>
      <c r="N322" s="175">
        <f t="shared" si="149"/>
        <v>54.986017134539232</v>
      </c>
      <c r="O322" s="175">
        <f t="shared" si="149"/>
        <v>51.961274576297292</v>
      </c>
      <c r="P322" s="175">
        <f t="shared" si="149"/>
        <v>48.999120850613693</v>
      </c>
      <c r="Q322" s="175">
        <f t="shared" si="149"/>
        <v>47.672728580060145</v>
      </c>
      <c r="R322" s="175">
        <f t="shared" si="149"/>
        <v>44.728991722202743</v>
      </c>
      <c r="S322" s="175">
        <f t="shared" si="149"/>
        <v>47.09484950362441</v>
      </c>
      <c r="T322" s="175">
        <f t="shared" si="149"/>
        <v>44.510174651035975</v>
      </c>
      <c r="U322" s="175">
        <f t="shared" si="149"/>
        <v>41.898185209954661</v>
      </c>
      <c r="V322" s="175">
        <f t="shared" si="149"/>
        <v>39.259297843743646</v>
      </c>
      <c r="W322" s="175">
        <f t="shared" si="149"/>
        <v>36.593958660079302</v>
      </c>
      <c r="X322" s="175">
        <f t="shared" si="149"/>
        <v>36.061629560315851</v>
      </c>
      <c r="Y322" s="175">
        <f t="shared" si="149"/>
        <v>35.533129568902041</v>
      </c>
      <c r="Z322" s="175">
        <f t="shared" si="149"/>
        <v>35.008417519029493</v>
      </c>
      <c r="AA322" s="175">
        <f t="shared" si="149"/>
        <v>34.487452831896007</v>
      </c>
      <c r="AB322" s="175">
        <f t="shared" si="149"/>
        <v>33.97019550624443</v>
      </c>
      <c r="AC322" s="175">
        <f t="shared" si="149"/>
        <v>33.456606108124085</v>
      </c>
      <c r="AD322" s="175">
        <f t="shared" si="149"/>
        <v>32.946645760869181</v>
      </c>
      <c r="AE322" s="175">
        <f t="shared" si="149"/>
        <v>32.440276135289039</v>
      </c>
      <c r="AF322" s="175">
        <f t="shared" si="149"/>
        <v>31.937459440064643</v>
      </c>
      <c r="AG322" s="175">
        <f t="shared" si="149"/>
        <v>31.438158412346745</v>
      </c>
      <c r="AH322" s="175">
        <f t="shared" si="149"/>
        <v>30.942336308550509</v>
      </c>
      <c r="AI322" s="175">
        <f t="shared" si="149"/>
        <v>30.449956895341774</v>
      </c>
      <c r="AJ322" s="175">
        <f t="shared" si="149"/>
        <v>29.960984440810599</v>
      </c>
      <c r="AK322" s="175">
        <f t="shared" si="149"/>
        <v>29.475383705827255</v>
      </c>
      <c r="AL322" s="175">
        <f t="shared" si="149"/>
        <v>28.99311993557648</v>
      </c>
      <c r="AM322" s="175">
        <f t="shared" si="149"/>
        <v>28.514158851265702</v>
      </c>
      <c r="AN322" s="175">
        <f t="shared" si="149"/>
        <v>28.038466642002913</v>
      </c>
      <c r="AO322" s="175">
        <f t="shared" si="149"/>
        <v>27.566009956840396</v>
      </c>
      <c r="AP322" s="175">
        <f t="shared" si="149"/>
        <v>27.096755896980213</v>
      </c>
      <c r="AQ322" s="175">
        <f t="shared" si="149"/>
        <v>26.630672008137601</v>
      </c>
    </row>
    <row r="323" spans="7:43" ht="14.25" customHeight="1" thickBot="1" x14ac:dyDescent="0.2">
      <c r="G323" s="22"/>
      <c r="H323" s="253"/>
      <c r="J323" s="241"/>
      <c r="K323" s="144" t="s">
        <v>233</v>
      </c>
      <c r="L323" s="144" t="s">
        <v>214</v>
      </c>
      <c r="M323" s="176">
        <f t="shared" ref="M323:AQ323" si="150" xml:space="preserve"> ((M$74 * M$349 * M$375 * (M194 * 1 + M291) +M226) * 1000 / (M98 * 8760)) + M258 + 0</f>
        <v>61.774957940698151</v>
      </c>
      <c r="N323" s="176">
        <f t="shared" si="150"/>
        <v>56.172923013984388</v>
      </c>
      <c r="O323" s="176">
        <f t="shared" si="150"/>
        <v>55.761594314453774</v>
      </c>
      <c r="P323" s="176">
        <f t="shared" si="150"/>
        <v>55.350265614923153</v>
      </c>
      <c r="Q323" s="176">
        <f t="shared" si="150"/>
        <v>56.826667444789479</v>
      </c>
      <c r="R323" s="176">
        <f t="shared" si="150"/>
        <v>56.400601877497422</v>
      </c>
      <c r="S323" s="176">
        <f t="shared" si="150"/>
        <v>63.070483893796563</v>
      </c>
      <c r="T323" s="176">
        <f t="shared" si="150"/>
        <v>63.472970546098729</v>
      </c>
      <c r="U323" s="176">
        <f t="shared" si="150"/>
        <v>63.86303780196878</v>
      </c>
      <c r="V323" s="176">
        <f t="shared" si="150"/>
        <v>64.240394346083036</v>
      </c>
      <c r="W323" s="176">
        <f t="shared" si="150"/>
        <v>64.604758684905164</v>
      </c>
      <c r="X323" s="176">
        <f t="shared" si="150"/>
        <v>63.047191275363645</v>
      </c>
      <c r="Y323" s="176">
        <f t="shared" si="150"/>
        <v>61.507898468670533</v>
      </c>
      <c r="Z323" s="176">
        <f t="shared" si="150"/>
        <v>59.986560522592065</v>
      </c>
      <c r="AA323" s="176">
        <f t="shared" si="150"/>
        <v>58.482865110818537</v>
      </c>
      <c r="AB323" s="176">
        <f t="shared" si="150"/>
        <v>56.996507109202746</v>
      </c>
      <c r="AC323" s="176">
        <f t="shared" si="150"/>
        <v>55.527188389349902</v>
      </c>
      <c r="AD323" s="176">
        <f t="shared" si="150"/>
        <v>54.074617619265943</v>
      </c>
      <c r="AE323" s="176">
        <f t="shared" si="150"/>
        <v>52.638510070783965</v>
      </c>
      <c r="AF323" s="176">
        <f t="shared" si="150"/>
        <v>51.21858743350171</v>
      </c>
      <c r="AG323" s="176">
        <f t="shared" si="150"/>
        <v>49.814577634974405</v>
      </c>
      <c r="AH323" s="176">
        <f t="shared" si="150"/>
        <v>48.4262146669193</v>
      </c>
      <c r="AI323" s="176">
        <f t="shared" si="150"/>
        <v>47.053238417198386</v>
      </c>
      <c r="AJ323" s="176">
        <f t="shared" si="150"/>
        <v>45.695394507356653</v>
      </c>
      <c r="AK323" s="176">
        <f t="shared" si="150"/>
        <v>44.352434135502556</v>
      </c>
      <c r="AL323" s="176">
        <f t="shared" si="150"/>
        <v>43.024113924327104</v>
      </c>
      <c r="AM323" s="176">
        <f t="shared" si="150"/>
        <v>41.710195774066271</v>
      </c>
      <c r="AN323" s="176">
        <f t="shared" si="150"/>
        <v>40.410446720220349</v>
      </c>
      <c r="AO323" s="176">
        <f t="shared" si="150"/>
        <v>39.124638795851681</v>
      </c>
      <c r="AP323" s="176">
        <f t="shared" si="150"/>
        <v>37.852548898289648</v>
      </c>
      <c r="AQ323" s="176">
        <f t="shared" si="150"/>
        <v>36.593958660079302</v>
      </c>
    </row>
    <row r="324" spans="7:43" ht="14.25" customHeight="1" thickTop="1" x14ac:dyDescent="0.15">
      <c r="G324" s="22"/>
      <c r="H324" s="253"/>
      <c r="J324" s="241"/>
      <c r="K324" s="140" t="s">
        <v>232</v>
      </c>
      <c r="L324" s="140" t="s">
        <v>219</v>
      </c>
      <c r="M324" s="174">
        <f t="shared" ref="M324:AQ324" si="151" xml:space="preserve"> ((M$74 * M$349 * M$375 * (M195 * 1 + M292) +M227) * 1000 / (M99 * 8760)) + M259 + 0</f>
        <v>59.868490553323596</v>
      </c>
      <c r="N324" s="174">
        <f t="shared" si="151"/>
        <v>53.485304521076266</v>
      </c>
      <c r="O324" s="174">
        <f t="shared" si="151"/>
        <v>49.444763067154994</v>
      </c>
      <c r="P324" s="174">
        <f t="shared" si="151"/>
        <v>45.541045311571011</v>
      </c>
      <c r="Q324" s="174">
        <f t="shared" si="151"/>
        <v>43.190830684419431</v>
      </c>
      <c r="R324" s="174">
        <f t="shared" si="151"/>
        <v>39.411124820912292</v>
      </c>
      <c r="S324" s="174">
        <f t="shared" si="151"/>
        <v>40.215368357927964</v>
      </c>
      <c r="T324" s="174">
        <f t="shared" si="151"/>
        <v>36.712363847287044</v>
      </c>
      <c r="U324" s="174">
        <f t="shared" si="151"/>
        <v>33.222366855710078</v>
      </c>
      <c r="V324" s="174">
        <f t="shared" si="151"/>
        <v>29.744382874549935</v>
      </c>
      <c r="W324" s="174">
        <f t="shared" si="151"/>
        <v>26.277532335480338</v>
      </c>
      <c r="X324" s="174">
        <f t="shared" si="151"/>
        <v>25.906377270653305</v>
      </c>
      <c r="Y324" s="174">
        <f t="shared" si="151"/>
        <v>25.536828937708652</v>
      </c>
      <c r="Z324" s="174">
        <f t="shared" si="151"/>
        <v>25.16887692585663</v>
      </c>
      <c r="AA324" s="174">
        <f t="shared" si="151"/>
        <v>24.802510914055688</v>
      </c>
      <c r="AB324" s="174">
        <f t="shared" si="151"/>
        <v>24.437720670047444</v>
      </c>
      <c r="AC324" s="174">
        <f t="shared" si="151"/>
        <v>24.074496049404036</v>
      </c>
      <c r="AD324" s="174">
        <f t="shared" si="151"/>
        <v>23.712826994587797</v>
      </c>
      <c r="AE324" s="174">
        <f t="shared" si="151"/>
        <v>23.352703534022911</v>
      </c>
      <c r="AF324" s="174">
        <f t="shared" si="151"/>
        <v>22.994115781178984</v>
      </c>
      <c r="AG324" s="174">
        <f t="shared" si="151"/>
        <v>22.637053933666312</v>
      </c>
      <c r="AH324" s="174">
        <f t="shared" si="151"/>
        <v>22.281508272342645</v>
      </c>
      <c r="AI324" s="174">
        <f t="shared" si="151"/>
        <v>21.927469160431372</v>
      </c>
      <c r="AJ324" s="174">
        <f t="shared" si="151"/>
        <v>21.574927042650796</v>
      </c>
      <c r="AK324" s="174">
        <f t="shared" si="151"/>
        <v>21.223872444354527</v>
      </c>
      <c r="AL324" s="174">
        <f t="shared" si="151"/>
        <v>20.87429597068267</v>
      </c>
      <c r="AM324" s="174">
        <f t="shared" si="151"/>
        <v>20.526188305723718</v>
      </c>
      <c r="AN324" s="174">
        <f t="shared" si="151"/>
        <v>20.179540211687023</v>
      </c>
      <c r="AO324" s="174">
        <f t="shared" si="151"/>
        <v>19.834342528085635</v>
      </c>
      <c r="AP324" s="174">
        <f t="shared" si="151"/>
        <v>19.490586170929333</v>
      </c>
      <c r="AQ324" s="174">
        <f t="shared" si="151"/>
        <v>19.148262131927851</v>
      </c>
    </row>
    <row r="325" spans="7:43" ht="14.25" customHeight="1" x14ac:dyDescent="0.15">
      <c r="G325" s="22"/>
      <c r="H325" s="253"/>
      <c r="J325" s="241"/>
      <c r="K325" s="19" t="s">
        <v>232</v>
      </c>
      <c r="L325" s="129" t="s">
        <v>218</v>
      </c>
      <c r="M325" s="175">
        <f t="shared" ref="M325:AQ325" si="152" xml:space="preserve"> ((M$74 * M$349 * M$375 * (M196 * 1 + M293) +M228) * 1000 / (M100 * 8760)) + M260 + 0</f>
        <v>60.304923830397804</v>
      </c>
      <c r="N325" s="175">
        <f t="shared" si="152"/>
        <v>54.256867525183338</v>
      </c>
      <c r="O325" s="175">
        <f t="shared" si="152"/>
        <v>51.272234979807905</v>
      </c>
      <c r="P325" s="175">
        <f t="shared" si="152"/>
        <v>48.349361299206485</v>
      </c>
      <c r="Q325" s="175">
        <f t="shared" si="152"/>
        <v>47.040557834977278</v>
      </c>
      <c r="R325" s="175">
        <f t="shared" si="152"/>
        <v>44.135856802804454</v>
      </c>
      <c r="S325" s="175">
        <f t="shared" si="152"/>
        <v>46.470341803162633</v>
      </c>
      <c r="T325" s="175">
        <f t="shared" si="152"/>
        <v>43.919941385372141</v>
      </c>
      <c r="U325" s="175">
        <f t="shared" si="152"/>
        <v>41.342588587929633</v>
      </c>
      <c r="V325" s="175">
        <f t="shared" si="152"/>
        <v>38.738694548976689</v>
      </c>
      <c r="W325" s="175">
        <f t="shared" si="152"/>
        <v>36.108699460517791</v>
      </c>
      <c r="X325" s="175">
        <f t="shared" si="152"/>
        <v>35.583429383672687</v>
      </c>
      <c r="Y325" s="175">
        <f t="shared" si="152"/>
        <v>35.061937638761641</v>
      </c>
      <c r="Z325" s="175">
        <f t="shared" si="152"/>
        <v>34.544183604874377</v>
      </c>
      <c r="AA325" s="175">
        <f t="shared" si="152"/>
        <v>34.030127241309444</v>
      </c>
      <c r="AB325" s="175">
        <f t="shared" si="152"/>
        <v>33.51972907725186</v>
      </c>
      <c r="AC325" s="175">
        <f t="shared" si="152"/>
        <v>33.012950201670222</v>
      </c>
      <c r="AD325" s="175">
        <f t="shared" si="152"/>
        <v>32.509752253428118</v>
      </c>
      <c r="AE325" s="175">
        <f t="shared" si="152"/>
        <v>32.010097411604328</v>
      </c>
      <c r="AF325" s="175">
        <f t="shared" si="152"/>
        <v>31.513948386016803</v>
      </c>
      <c r="AG325" s="175">
        <f t="shared" si="152"/>
        <v>31.021268407945417</v>
      </c>
      <c r="AH325" s="175">
        <f t="shared" si="152"/>
        <v>30.532021221048662</v>
      </c>
      <c r="AI325" s="175">
        <f t="shared" si="152"/>
        <v>30.046171072469473</v>
      </c>
      <c r="AJ325" s="175">
        <f t="shared" si="152"/>
        <v>29.563682704125792</v>
      </c>
      <c r="AK325" s="175">
        <f t="shared" si="152"/>
        <v>29.084521344181187</v>
      </c>
      <c r="AL325" s="175">
        <f t="shared" si="152"/>
        <v>28.608652698691401</v>
      </c>
      <c r="AM325" s="175">
        <f t="shared" si="152"/>
        <v>28.136042943422463</v>
      </c>
      <c r="AN325" s="175">
        <f t="shared" si="152"/>
        <v>27.666658715836348</v>
      </c>
      <c r="AO325" s="175">
        <f t="shared" si="152"/>
        <v>27.200467107240129</v>
      </c>
      <c r="AP325" s="175">
        <f t="shared" si="152"/>
        <v>26.737435655094899</v>
      </c>
      <c r="AQ325" s="175">
        <f t="shared" si="152"/>
        <v>26.277532335480338</v>
      </c>
    </row>
    <row r="326" spans="7:43" ht="14.25" customHeight="1" thickBot="1" x14ac:dyDescent="0.2">
      <c r="G326" s="22"/>
      <c r="H326" s="253"/>
      <c r="J326" s="241"/>
      <c r="K326" s="144" t="s">
        <v>232</v>
      </c>
      <c r="L326" s="144" t="s">
        <v>214</v>
      </c>
      <c r="M326" s="176">
        <f t="shared" ref="M326:AQ326" si="153" xml:space="preserve"> ((M$74 * M$349 * M$375 * (M197 * 1 + M294) +M229) * 1000 / (M101 * 8760)) + M261 + 0</f>
        <v>60.955782652183892</v>
      </c>
      <c r="N326" s="176">
        <f t="shared" si="153"/>
        <v>55.42803427669309</v>
      </c>
      <c r="O326" s="176">
        <f t="shared" si="153"/>
        <v>55.02216005770515</v>
      </c>
      <c r="P326" s="176">
        <f t="shared" si="153"/>
        <v>54.616285838717204</v>
      </c>
      <c r="Q326" s="176">
        <f t="shared" si="153"/>
        <v>56.073109639957359</v>
      </c>
      <c r="R326" s="176">
        <f t="shared" si="153"/>
        <v>55.652693973460821</v>
      </c>
      <c r="S326" s="176">
        <f t="shared" si="153"/>
        <v>62.234129105987044</v>
      </c>
      <c r="T326" s="176">
        <f t="shared" si="153"/>
        <v>62.631278528924533</v>
      </c>
      <c r="U326" s="176">
        <f t="shared" si="153"/>
        <v>63.016173244536866</v>
      </c>
      <c r="V326" s="176">
        <f t="shared" si="153"/>
        <v>63.388525800527091</v>
      </c>
      <c r="W326" s="176">
        <f t="shared" si="153"/>
        <v>63.748058436142472</v>
      </c>
      <c r="X326" s="176">
        <f t="shared" si="153"/>
        <v>62.211145362510265</v>
      </c>
      <c r="Y326" s="176">
        <f t="shared" si="153"/>
        <v>60.692264558853104</v>
      </c>
      <c r="Z326" s="176">
        <f t="shared" si="153"/>
        <v>59.191100522922852</v>
      </c>
      <c r="AA326" s="176">
        <f t="shared" si="153"/>
        <v>57.707345070055645</v>
      </c>
      <c r="AB326" s="176">
        <f t="shared" si="153"/>
        <v>56.240697122244789</v>
      </c>
      <c r="AC326" s="176">
        <f t="shared" si="153"/>
        <v>54.790862504467903</v>
      </c>
      <c r="AD326" s="176">
        <f t="shared" si="153"/>
        <v>53.35755374797872</v>
      </c>
      <c r="AE326" s="176">
        <f t="shared" si="153"/>
        <v>51.940489900287183</v>
      </c>
      <c r="AF326" s="176">
        <f t="shared" si="153"/>
        <v>50.539396341564235</v>
      </c>
      <c r="AG326" s="176">
        <f t="shared" si="153"/>
        <v>49.154004607219015</v>
      </c>
      <c r="AH326" s="176">
        <f t="shared" si="153"/>
        <v>47.784052216408014</v>
      </c>
      <c r="AI326" s="176">
        <f t="shared" si="153"/>
        <v>46.429282506245869</v>
      </c>
      <c r="AJ326" s="176">
        <f t="shared" si="153"/>
        <v>45.089444471497877</v>
      </c>
      <c r="AK326" s="176">
        <f t="shared" si="153"/>
        <v>43.764292609544064</v>
      </c>
      <c r="AL326" s="176">
        <f t="shared" si="153"/>
        <v>42.453586770413573</v>
      </c>
      <c r="AM326" s="176">
        <f t="shared" si="153"/>
        <v>41.157092011696882</v>
      </c>
      <c r="AN326" s="176">
        <f t="shared" si="153"/>
        <v>39.874578458151944</v>
      </c>
      <c r="AO326" s="176">
        <f t="shared" si="153"/>
        <v>38.605821165827891</v>
      </c>
      <c r="AP326" s="176">
        <f t="shared" si="153"/>
        <v>37.350599990537624</v>
      </c>
      <c r="AQ326" s="176">
        <f t="shared" si="153"/>
        <v>36.108699460517791</v>
      </c>
    </row>
    <row r="327" spans="7:43" ht="14.25" customHeight="1" thickTop="1" x14ac:dyDescent="0.15">
      <c r="G327" s="22"/>
      <c r="H327" s="253"/>
      <c r="J327" s="241"/>
      <c r="K327" s="140" t="s">
        <v>231</v>
      </c>
      <c r="L327" s="140" t="s">
        <v>219</v>
      </c>
      <c r="M327" s="174">
        <f t="shared" ref="M327:AQ327" si="154" xml:space="preserve"> ((M$74 * M$349 * M$375 * (M198 * 1 + M295) +M230) * 1000 / (M102 * 8760)) + M262 + 0</f>
        <v>57.131341191367014</v>
      </c>
      <c r="N327" s="174">
        <f t="shared" si="154"/>
        <v>51.03999037016203</v>
      </c>
      <c r="O327" s="174">
        <f t="shared" si="154"/>
        <v>47.184179905118938</v>
      </c>
      <c r="P327" s="174">
        <f t="shared" si="154"/>
        <v>43.458937645830254</v>
      </c>
      <c r="Q327" s="174">
        <f t="shared" si="154"/>
        <v>41.216173338666941</v>
      </c>
      <c r="R327" s="174">
        <f t="shared" si="154"/>
        <v>37.609273226516891</v>
      </c>
      <c r="S327" s="174">
        <f t="shared" si="154"/>
        <v>38.376747259844485</v>
      </c>
      <c r="T327" s="174">
        <f t="shared" si="154"/>
        <v>35.033897890457581</v>
      </c>
      <c r="U327" s="174">
        <f t="shared" si="154"/>
        <v>31.703461344624895</v>
      </c>
      <c r="V327" s="174">
        <f t="shared" si="154"/>
        <v>28.384488582002962</v>
      </c>
      <c r="W327" s="174">
        <f t="shared" si="154"/>
        <v>25.076140247570734</v>
      </c>
      <c r="X327" s="174">
        <f t="shared" si="154"/>
        <v>24.721954156564308</v>
      </c>
      <c r="Y327" s="174">
        <f t="shared" si="154"/>
        <v>24.369301338679129</v>
      </c>
      <c r="Z327" s="174">
        <f t="shared" si="154"/>
        <v>24.018171859100146</v>
      </c>
      <c r="AA327" s="174">
        <f t="shared" si="154"/>
        <v>23.668555868657275</v>
      </c>
      <c r="AB327" s="174">
        <f t="shared" si="154"/>
        <v>23.320443602904486</v>
      </c>
      <c r="AC327" s="174">
        <f t="shared" si="154"/>
        <v>22.97382538121072</v>
      </c>
      <c r="AD327" s="174">
        <f t="shared" si="154"/>
        <v>22.628691605862532</v>
      </c>
      <c r="AE327" s="174">
        <f t="shared" si="154"/>
        <v>22.285032761178233</v>
      </c>
      <c r="AF327" s="174">
        <f t="shared" si="154"/>
        <v>21.942839412633308</v>
      </c>
      <c r="AG327" s="174">
        <f t="shared" si="154"/>
        <v>21.602102205997088</v>
      </c>
      <c r="AH327" s="174">
        <f t="shared" si="154"/>
        <v>21.262811866480341</v>
      </c>
      <c r="AI327" s="174">
        <f t="shared" si="154"/>
        <v>20.924959197893749</v>
      </c>
      <c r="AJ327" s="174">
        <f t="shared" si="154"/>
        <v>20.588535081817035</v>
      </c>
      <c r="AK327" s="174">
        <f t="shared" si="154"/>
        <v>20.253530476778618</v>
      </c>
      <c r="AL327" s="174">
        <f t="shared" si="154"/>
        <v>19.919936417445633</v>
      </c>
      <c r="AM327" s="174">
        <f t="shared" si="154"/>
        <v>19.587744013824128</v>
      </c>
      <c r="AN327" s="174">
        <f t="shared" si="154"/>
        <v>19.256944450469376</v>
      </c>
      <c r="AO327" s="174">
        <f t="shared" si="154"/>
        <v>18.927528985706076</v>
      </c>
      <c r="AP327" s="174">
        <f t="shared" si="154"/>
        <v>18.599488950858269</v>
      </c>
      <c r="AQ327" s="174">
        <f t="shared" si="154"/>
        <v>18.272815749488963</v>
      </c>
    </row>
    <row r="328" spans="7:43" ht="14.25" customHeight="1" x14ac:dyDescent="0.15">
      <c r="G328" s="22"/>
      <c r="H328" s="253"/>
      <c r="J328" s="241"/>
      <c r="K328" s="19" t="s">
        <v>231</v>
      </c>
      <c r="L328" s="129" t="s">
        <v>218</v>
      </c>
      <c r="M328" s="175">
        <f t="shared" ref="M328:AQ328" si="155" xml:space="preserve"> ((M$74 * M$349 * M$375 * (M199 * 1 + M296) +M231) * 1000 / (M103 * 8760)) + M263 + 0</f>
        <v>57.547821016218862</v>
      </c>
      <c r="N328" s="175">
        <f t="shared" si="155"/>
        <v>51.7762780037882</v>
      </c>
      <c r="O328" s="175">
        <f t="shared" si="155"/>
        <v>48.928100962664594</v>
      </c>
      <c r="P328" s="175">
        <f t="shared" si="155"/>
        <v>46.138859210244362</v>
      </c>
      <c r="Q328" s="175">
        <f t="shared" si="155"/>
        <v>44.889893409098569</v>
      </c>
      <c r="R328" s="175">
        <f t="shared" si="155"/>
        <v>42.11799346316333</v>
      </c>
      <c r="S328" s="175">
        <f t="shared" si="155"/>
        <v>44.345747292079395</v>
      </c>
      <c r="T328" s="175">
        <f t="shared" si="155"/>
        <v>41.911949561474934</v>
      </c>
      <c r="U328" s="175">
        <f t="shared" si="155"/>
        <v>39.452431696897044</v>
      </c>
      <c r="V328" s="175">
        <f t="shared" si="155"/>
        <v>36.967586039512611</v>
      </c>
      <c r="W328" s="175">
        <f t="shared" si="155"/>
        <v>34.457832656027236</v>
      </c>
      <c r="X328" s="175">
        <f t="shared" si="155"/>
        <v>33.956577593464331</v>
      </c>
      <c r="Y328" s="175">
        <f t="shared" si="155"/>
        <v>33.458928119899298</v>
      </c>
      <c r="Z328" s="175">
        <f t="shared" si="155"/>
        <v>32.964845471584091</v>
      </c>
      <c r="AA328" s="175">
        <f t="shared" si="155"/>
        <v>32.474291438452703</v>
      </c>
      <c r="AB328" s="175">
        <f t="shared" si="155"/>
        <v>31.987228354270723</v>
      </c>
      <c r="AC328" s="175">
        <f t="shared" si="155"/>
        <v>31.503619086994409</v>
      </c>
      <c r="AD328" s="175">
        <f t="shared" si="155"/>
        <v>31.023427029334123</v>
      </c>
      <c r="AE328" s="175">
        <f t="shared" si="155"/>
        <v>30.546616089517158</v>
      </c>
      <c r="AF328" s="175">
        <f t="shared" si="155"/>
        <v>30.073150682244886</v>
      </c>
      <c r="AG328" s="175">
        <f t="shared" si="155"/>
        <v>29.602995719839726</v>
      </c>
      <c r="AH328" s="175">
        <f t="shared" si="155"/>
        <v>29.136116603577065</v>
      </c>
      <c r="AI328" s="175">
        <f t="shared" si="155"/>
        <v>28.672479215197765</v>
      </c>
      <c r="AJ328" s="175">
        <f t="shared" si="155"/>
        <v>28.212049908596867</v>
      </c>
      <c r="AK328" s="175">
        <f t="shared" si="155"/>
        <v>27.754795501684235</v>
      </c>
      <c r="AL328" s="175">
        <f t="shared" si="155"/>
        <v>27.300683268412946</v>
      </c>
      <c r="AM328" s="175">
        <f t="shared" si="155"/>
        <v>26.849680930971534</v>
      </c>
      <c r="AN328" s="175">
        <f t="shared" si="155"/>
        <v>26.401756652136012</v>
      </c>
      <c r="AO328" s="175">
        <f t="shared" si="155"/>
        <v>25.956879027778001</v>
      </c>
      <c r="AP328" s="175">
        <f t="shared" si="155"/>
        <v>25.515017079525244</v>
      </c>
      <c r="AQ328" s="175">
        <f t="shared" si="155"/>
        <v>25.076140247570734</v>
      </c>
    </row>
    <row r="329" spans="7:43" ht="14.25" customHeight="1" thickBot="1" x14ac:dyDescent="0.2">
      <c r="G329" s="22"/>
      <c r="H329" s="253"/>
      <c r="J329" s="241"/>
      <c r="K329" s="144" t="s">
        <v>231</v>
      </c>
      <c r="L329" s="144" t="s">
        <v>214</v>
      </c>
      <c r="M329" s="176">
        <f t="shared" ref="M329:AQ329" si="156" xml:space="preserve"> ((M$74 * M$349 * M$375 * (M200 * 1 + M297) +M232) * 1000 / (M104 * 8760)) + M264 + 0</f>
        <v>58.168922986073156</v>
      </c>
      <c r="N329" s="176">
        <f t="shared" si="156"/>
        <v>52.893899755298584</v>
      </c>
      <c r="O329" s="176">
        <f t="shared" si="156"/>
        <v>52.506581847807226</v>
      </c>
      <c r="P329" s="176">
        <f t="shared" si="156"/>
        <v>52.119263940315861</v>
      </c>
      <c r="Q329" s="176">
        <f t="shared" si="156"/>
        <v>53.509482682681245</v>
      </c>
      <c r="R329" s="176">
        <f t="shared" si="156"/>
        <v>53.108288153425214</v>
      </c>
      <c r="S329" s="176">
        <f t="shared" si="156"/>
        <v>59.388824251964472</v>
      </c>
      <c r="T329" s="176">
        <f t="shared" si="156"/>
        <v>59.767816255539159</v>
      </c>
      <c r="U329" s="176">
        <f t="shared" si="156"/>
        <v>60.135113829223876</v>
      </c>
      <c r="V329" s="176">
        <f t="shared" si="156"/>
        <v>60.490442662858122</v>
      </c>
      <c r="W329" s="176">
        <f t="shared" si="156"/>
        <v>60.833537694734339</v>
      </c>
      <c r="X329" s="176">
        <f t="shared" si="156"/>
        <v>59.366891310641073</v>
      </c>
      <c r="Y329" s="176">
        <f t="shared" si="156"/>
        <v>57.917452772592981</v>
      </c>
      <c r="Z329" s="176">
        <f t="shared" si="156"/>
        <v>56.484921002904336</v>
      </c>
      <c r="AA329" s="176">
        <f t="shared" si="156"/>
        <v>55.069001906918352</v>
      </c>
      <c r="AB329" s="176">
        <f t="shared" si="156"/>
        <v>53.66940817172356</v>
      </c>
      <c r="AC329" s="176">
        <f t="shared" si="156"/>
        <v>52.285859071792764</v>
      </c>
      <c r="AD329" s="176">
        <f t="shared" si="156"/>
        <v>50.918080281268175</v>
      </c>
      <c r="AE329" s="176">
        <f t="shared" si="156"/>
        <v>49.565803692629146</v>
      </c>
      <c r="AF329" s="176">
        <f t="shared" si="156"/>
        <v>48.228767241490772</v>
      </c>
      <c r="AG329" s="176">
        <f t="shared" si="156"/>
        <v>46.906714737292766</v>
      </c>
      <c r="AH329" s="176">
        <f t="shared" si="156"/>
        <v>45.599395699649058</v>
      </c>
      <c r="AI329" s="176">
        <f t="shared" si="156"/>
        <v>44.306565200138394</v>
      </c>
      <c r="AJ329" s="176">
        <f t="shared" si="156"/>
        <v>43.027983709325973</v>
      </c>
      <c r="AK329" s="176">
        <f t="shared" si="156"/>
        <v>41.76341694881566</v>
      </c>
      <c r="AL329" s="176">
        <f t="shared" si="156"/>
        <v>40.512635748140738</v>
      </c>
      <c r="AM329" s="176">
        <f t="shared" si="156"/>
        <v>39.275415906309426</v>
      </c>
      <c r="AN329" s="176">
        <f t="shared" si="156"/>
        <v>38.051538057829738</v>
      </c>
      <c r="AO329" s="176">
        <f t="shared" si="156"/>
        <v>36.840787543045359</v>
      </c>
      <c r="AP329" s="176">
        <f t="shared" si="156"/>
        <v>35.642954282621595</v>
      </c>
      <c r="AQ329" s="176">
        <f t="shared" si="156"/>
        <v>34.457832656027236</v>
      </c>
    </row>
    <row r="330" spans="7:43" ht="14.25" customHeight="1" thickTop="1" x14ac:dyDescent="0.15">
      <c r="G330" s="22"/>
      <c r="H330" s="253"/>
      <c r="J330" s="241"/>
      <c r="K330" s="140" t="s">
        <v>230</v>
      </c>
      <c r="L330" s="140" t="s">
        <v>219</v>
      </c>
      <c r="M330" s="174">
        <f t="shared" ref="M330:AQ330" si="157" xml:space="preserve"> ((M$74 * M$349 * M$375 * (M201 * 1 + M298) +M233) * 1000 / (M105 * 8760)) + M265 + 0</f>
        <v>54.112507304008602</v>
      </c>
      <c r="N330" s="174">
        <f t="shared" si="157"/>
        <v>48.343024933558993</v>
      </c>
      <c r="O330" s="174">
        <f t="shared" si="157"/>
        <v>44.690956426123982</v>
      </c>
      <c r="P330" s="174">
        <f t="shared" si="157"/>
        <v>41.162556868869736</v>
      </c>
      <c r="Q330" s="174">
        <f t="shared" si="157"/>
        <v>39.038300770171972</v>
      </c>
      <c r="R330" s="174">
        <f t="shared" si="157"/>
        <v>35.621990132377213</v>
      </c>
      <c r="S330" s="174">
        <f t="shared" si="157"/>
        <v>36.34891065214881</v>
      </c>
      <c r="T330" s="174">
        <f t="shared" si="157"/>
        <v>33.182698252001558</v>
      </c>
      <c r="U330" s="174">
        <f t="shared" si="157"/>
        <v>30.028242778809535</v>
      </c>
      <c r="V330" s="174">
        <f t="shared" si="157"/>
        <v>26.884645339750577</v>
      </c>
      <c r="W330" s="174">
        <f t="shared" si="157"/>
        <v>23.751110931525947</v>
      </c>
      <c r="X330" s="174">
        <f t="shared" si="157"/>
        <v>23.415640119238073</v>
      </c>
      <c r="Y330" s="174">
        <f t="shared" si="157"/>
        <v>23.081621561548854</v>
      </c>
      <c r="Z330" s="174">
        <f t="shared" si="157"/>
        <v>22.749045848601273</v>
      </c>
      <c r="AA330" s="174">
        <f t="shared" si="157"/>
        <v>22.41790365165777</v>
      </c>
      <c r="AB330" s="174">
        <f t="shared" si="157"/>
        <v>22.088185722228008</v>
      </c>
      <c r="AC330" s="174">
        <f t="shared" si="157"/>
        <v>21.759882891207809</v>
      </c>
      <c r="AD330" s="174">
        <f t="shared" si="157"/>
        <v>21.432986068029244</v>
      </c>
      <c r="AE330" s="174">
        <f t="shared" si="157"/>
        <v>21.107486239821526</v>
      </c>
      <c r="AF330" s="174">
        <f t="shared" si="157"/>
        <v>20.783374470582711</v>
      </c>
      <c r="AG330" s="174">
        <f t="shared" si="157"/>
        <v>20.460641900361935</v>
      </c>
      <c r="AH330" s="174">
        <f t="shared" si="157"/>
        <v>20.139279744452072</v>
      </c>
      <c r="AI330" s="174">
        <f t="shared" si="157"/>
        <v>19.819279292592679</v>
      </c>
      <c r="AJ330" s="174">
        <f t="shared" si="157"/>
        <v>19.500631908183003</v>
      </c>
      <c r="AK330" s="174">
        <f t="shared" si="157"/>
        <v>19.183329027505014</v>
      </c>
      <c r="AL330" s="174">
        <f t="shared" si="157"/>
        <v>18.867362158956198</v>
      </c>
      <c r="AM330" s="174">
        <f t="shared" si="157"/>
        <v>18.552722882292041</v>
      </c>
      <c r="AN330" s="174">
        <f t="shared" si="157"/>
        <v>18.239402847878047</v>
      </c>
      <c r="AO330" s="174">
        <f t="shared" si="157"/>
        <v>17.927393775951145</v>
      </c>
      <c r="AP330" s="174">
        <f t="shared" si="157"/>
        <v>17.616687455890318</v>
      </c>
      <c r="AQ330" s="174">
        <f t="shared" si="157"/>
        <v>17.307275745496387</v>
      </c>
    </row>
    <row r="331" spans="7:43" ht="14.25" customHeight="1" x14ac:dyDescent="0.15">
      <c r="G331" s="22"/>
      <c r="H331" s="253"/>
      <c r="J331" s="241"/>
      <c r="K331" s="19" t="s">
        <v>230</v>
      </c>
      <c r="L331" s="129" t="s">
        <v>218</v>
      </c>
      <c r="M331" s="175">
        <f t="shared" ref="M331:AQ331" si="158" xml:space="preserve"> ((M$74 * M$349 * M$375 * (M202 * 1 + M299) +M234) * 1000 / (M106 * 8760)) + M266 + 0</f>
        <v>54.50698023417803</v>
      </c>
      <c r="N331" s="175">
        <f t="shared" si="158"/>
        <v>49.040406950532685</v>
      </c>
      <c r="O331" s="175">
        <f t="shared" si="158"/>
        <v>46.342728273173023</v>
      </c>
      <c r="P331" s="175">
        <f t="shared" si="158"/>
        <v>43.700870729606507</v>
      </c>
      <c r="Q331" s="175">
        <f t="shared" si="158"/>
        <v>42.51790058349043</v>
      </c>
      <c r="R331" s="175">
        <f t="shared" si="158"/>
        <v>39.892468501159648</v>
      </c>
      <c r="S331" s="175">
        <f t="shared" si="158"/>
        <v>42.002507278911459</v>
      </c>
      <c r="T331" s="175">
        <f t="shared" si="158"/>
        <v>39.697312009073926</v>
      </c>
      <c r="U331" s="175">
        <f t="shared" si="158"/>
        <v>37.367755663363255</v>
      </c>
      <c r="V331" s="175">
        <f t="shared" si="158"/>
        <v>35.014209851544166</v>
      </c>
      <c r="W331" s="175">
        <f t="shared" si="158"/>
        <v>32.63707244389591</v>
      </c>
      <c r="X331" s="175">
        <f t="shared" si="158"/>
        <v>32.162303820081327</v>
      </c>
      <c r="Y331" s="175">
        <f t="shared" si="158"/>
        <v>31.690950265069862</v>
      </c>
      <c r="Z331" s="175">
        <f t="shared" si="158"/>
        <v>31.222975063399279</v>
      </c>
      <c r="AA331" s="175">
        <f t="shared" si="158"/>
        <v>30.758342024032711</v>
      </c>
      <c r="AB331" s="175">
        <f t="shared" si="158"/>
        <v>30.297015471028679</v>
      </c>
      <c r="AC331" s="175">
        <f t="shared" si="158"/>
        <v>29.838960234409619</v>
      </c>
      <c r="AD331" s="175">
        <f t="shared" si="158"/>
        <v>29.38414164122393</v>
      </c>
      <c r="AE331" s="175">
        <f t="shared" si="158"/>
        <v>28.932525506796903</v>
      </c>
      <c r="AF331" s="175">
        <f t="shared" si="158"/>
        <v>28.484078126165699</v>
      </c>
      <c r="AG331" s="175">
        <f t="shared" si="158"/>
        <v>28.0387662656941</v>
      </c>
      <c r="AH331" s="175">
        <f t="shared" si="158"/>
        <v>27.596557154862481</v>
      </c>
      <c r="AI331" s="175">
        <f t="shared" si="158"/>
        <v>27.157418478228756</v>
      </c>
      <c r="AJ331" s="175">
        <f t="shared" si="158"/>
        <v>26.721318367556304</v>
      </c>
      <c r="AK331" s="175">
        <f t="shared" si="158"/>
        <v>26.288225394104654</v>
      </c>
      <c r="AL331" s="175">
        <f t="shared" si="158"/>
        <v>25.858108561079113</v>
      </c>
      <c r="AM331" s="175">
        <f t="shared" si="158"/>
        <v>25.430937296235584</v>
      </c>
      <c r="AN331" s="175">
        <f t="shared" si="158"/>
        <v>25.006681444636694</v>
      </c>
      <c r="AO331" s="175">
        <f t="shared" si="158"/>
        <v>24.585311261555805</v>
      </c>
      <c r="AP331" s="175">
        <f t="shared" si="158"/>
        <v>24.166797405525344</v>
      </c>
      <c r="AQ331" s="175">
        <f t="shared" si="158"/>
        <v>23.751110931525947</v>
      </c>
    </row>
    <row r="332" spans="7:43" ht="14.25" customHeight="1" thickBot="1" x14ac:dyDescent="0.2">
      <c r="G332" s="22"/>
      <c r="H332" s="253"/>
      <c r="J332" s="241"/>
      <c r="K332" s="144" t="s">
        <v>230</v>
      </c>
      <c r="L332" s="144" t="s">
        <v>214</v>
      </c>
      <c r="M332" s="176">
        <f t="shared" ref="M332:AQ332" si="159" xml:space="preserve"> ((M$74 * M$349 * M$375 * (M203 * 1 + M300) +M235) * 1000 / (M107 * 8760)) + M267 + 0</f>
        <v>55.095263025714395</v>
      </c>
      <c r="N332" s="176">
        <f t="shared" si="159"/>
        <v>50.098973298365287</v>
      </c>
      <c r="O332" s="176">
        <f t="shared" si="159"/>
        <v>49.7321213627894</v>
      </c>
      <c r="P332" s="176">
        <f t="shared" si="159"/>
        <v>49.365269427213505</v>
      </c>
      <c r="Q332" s="176">
        <f t="shared" si="159"/>
        <v>50.682028674969168</v>
      </c>
      <c r="R332" s="176">
        <f t="shared" si="159"/>
        <v>50.302033361679101</v>
      </c>
      <c r="S332" s="176">
        <f t="shared" si="159"/>
        <v>56.250704413648911</v>
      </c>
      <c r="T332" s="176">
        <f t="shared" si="159"/>
        <v>56.609670388084936</v>
      </c>
      <c r="U332" s="176">
        <f t="shared" si="159"/>
        <v>56.957559869135004</v>
      </c>
      <c r="V332" s="176">
        <f t="shared" si="159"/>
        <v>57.294113041253837</v>
      </c>
      <c r="W332" s="176">
        <f t="shared" si="159"/>
        <v>57.619078848658617</v>
      </c>
      <c r="X332" s="176">
        <f t="shared" si="159"/>
        <v>56.229930414250134</v>
      </c>
      <c r="Y332" s="176">
        <f t="shared" si="159"/>
        <v>54.857080559139597</v>
      </c>
      <c r="Z332" s="176">
        <f t="shared" si="159"/>
        <v>53.500244114659033</v>
      </c>
      <c r="AA332" s="176">
        <f t="shared" si="159"/>
        <v>52.159142526184425</v>
      </c>
      <c r="AB332" s="176">
        <f t="shared" si="159"/>
        <v>50.833503662488063</v>
      </c>
      <c r="AC332" s="176">
        <f t="shared" si="159"/>
        <v>49.523061631647508</v>
      </c>
      <c r="AD332" s="176">
        <f t="shared" si="159"/>
        <v>48.227556603249653</v>
      </c>
      <c r="AE332" s="176">
        <f t="shared" si="159"/>
        <v>46.94673463664008</v>
      </c>
      <c r="AF332" s="176">
        <f t="shared" si="159"/>
        <v>45.680347514979374</v>
      </c>
      <c r="AG332" s="176">
        <f t="shared" si="159"/>
        <v>44.428152584878418</v>
      </c>
      <c r="AH332" s="176">
        <f t="shared" si="159"/>
        <v>43.189912601395342</v>
      </c>
      <c r="AI332" s="176">
        <f t="shared" si="159"/>
        <v>41.965395578185891</v>
      </c>
      <c r="AJ332" s="176">
        <f t="shared" si="159"/>
        <v>40.754374642608553</v>
      </c>
      <c r="AK332" s="176">
        <f t="shared" si="159"/>
        <v>39.55662789559431</v>
      </c>
      <c r="AL332" s="176">
        <f t="shared" si="159"/>
        <v>38.371938276099343</v>
      </c>
      <c r="AM332" s="176">
        <f t="shared" si="159"/>
        <v>37.200093429966486</v>
      </c>
      <c r="AN332" s="176">
        <f t="shared" si="159"/>
        <v>36.040885583029421</v>
      </c>
      <c r="AO332" s="176">
        <f t="shared" si="159"/>
        <v>34.894111418299993</v>
      </c>
      <c r="AP332" s="176">
        <f t="shared" si="159"/>
        <v>33.759571957086365</v>
      </c>
      <c r="AQ332" s="176">
        <f t="shared" si="159"/>
        <v>32.63707244389591</v>
      </c>
    </row>
    <row r="333" spans="7:43" ht="14.25" customHeight="1" thickTop="1" x14ac:dyDescent="0.15">
      <c r="G333" s="22"/>
      <c r="H333" s="253"/>
      <c r="J333" s="241"/>
      <c r="K333" s="140" t="s">
        <v>229</v>
      </c>
      <c r="L333" s="140" t="s">
        <v>219</v>
      </c>
      <c r="M333" s="174">
        <f t="shared" ref="M333:AQ333" si="160" xml:space="preserve"> ((M$74 * M$349 * M$375 * (M204 * 1 + M301) +M236) * 1000 / (M108 * 8760)) + M268 + 0</f>
        <v>51.223845913307414</v>
      </c>
      <c r="N333" s="174">
        <f t="shared" si="160"/>
        <v>45.762352985561279</v>
      </c>
      <c r="O333" s="174">
        <f t="shared" si="160"/>
        <v>42.305241056914134</v>
      </c>
      <c r="P333" s="174">
        <f t="shared" si="160"/>
        <v>38.965196319641642</v>
      </c>
      <c r="Q333" s="174">
        <f t="shared" si="160"/>
        <v>36.954338340565194</v>
      </c>
      <c r="R333" s="174">
        <f t="shared" si="160"/>
        <v>33.720398935036521</v>
      </c>
      <c r="S333" s="174">
        <f t="shared" si="160"/>
        <v>34.408514613853775</v>
      </c>
      <c r="T333" s="174">
        <f t="shared" si="160"/>
        <v>31.411322574631232</v>
      </c>
      <c r="U333" s="174">
        <f t="shared" si="160"/>
        <v>28.425259848108716</v>
      </c>
      <c r="V333" s="174">
        <f t="shared" si="160"/>
        <v>25.449475526617942</v>
      </c>
      <c r="W333" s="174">
        <f t="shared" si="160"/>
        <v>22.483217046130669</v>
      </c>
      <c r="X333" s="174">
        <f t="shared" si="160"/>
        <v>22.165654507390698</v>
      </c>
      <c r="Y333" s="174">
        <f t="shared" si="160"/>
        <v>21.849466698255668</v>
      </c>
      <c r="Z333" s="174">
        <f t="shared" si="160"/>
        <v>21.534644711190332</v>
      </c>
      <c r="AA333" s="174">
        <f t="shared" si="160"/>
        <v>21.221179715448553</v>
      </c>
      <c r="AB333" s="174">
        <f t="shared" si="160"/>
        <v>20.909062956247599</v>
      </c>
      <c r="AC333" s="174">
        <f t="shared" si="160"/>
        <v>20.598285753953085</v>
      </c>
      <c r="AD333" s="174">
        <f t="shared" si="160"/>
        <v>20.288839503274392</v>
      </c>
      <c r="AE333" s="174">
        <f t="shared" si="160"/>
        <v>19.980715672470403</v>
      </c>
      <c r="AF333" s="174">
        <f t="shared" si="160"/>
        <v>19.673905802565361</v>
      </c>
      <c r="AG333" s="174">
        <f t="shared" si="160"/>
        <v>19.368401506574809</v>
      </c>
      <c r="AH333" s="174">
        <f t="shared" si="160"/>
        <v>19.064194468741324</v>
      </c>
      <c r="AI333" s="174">
        <f t="shared" si="160"/>
        <v>18.761276443780019</v>
      </c>
      <c r="AJ333" s="174">
        <f t="shared" si="160"/>
        <v>18.45963925613356</v>
      </c>
      <c r="AK333" s="174">
        <f t="shared" si="160"/>
        <v>18.159274799236659</v>
      </c>
      <c r="AL333" s="174">
        <f t="shared" si="160"/>
        <v>17.860175034789858</v>
      </c>
      <c r="AM333" s="174">
        <f t="shared" si="160"/>
        <v>17.562331992042413</v>
      </c>
      <c r="AN333" s="174">
        <f t="shared" si="160"/>
        <v>17.265737767084261</v>
      </c>
      <c r="AO333" s="174">
        <f t="shared" si="160"/>
        <v>16.970384522146865</v>
      </c>
      <c r="AP333" s="174">
        <f t="shared" si="160"/>
        <v>16.676264484912743</v>
      </c>
      <c r="AQ333" s="174">
        <f t="shared" si="160"/>
        <v>16.383369947833767</v>
      </c>
    </row>
    <row r="334" spans="7:43" ht="14.25" customHeight="1" x14ac:dyDescent="0.15">
      <c r="G334" s="22"/>
      <c r="H334" s="253"/>
      <c r="J334" s="241"/>
      <c r="K334" s="19" t="s">
        <v>229</v>
      </c>
      <c r="L334" s="129" t="s">
        <v>218</v>
      </c>
      <c r="M334" s="175">
        <f t="shared" ref="M334:AQ334" si="161" xml:space="preserve"> ((M$74 * M$349 * M$375 * (M205 * 1 + M302) +M237) * 1000 / (M109 * 8760)) + M269 + 0</f>
        <v>51.597260888859154</v>
      </c>
      <c r="N334" s="175">
        <f t="shared" si="161"/>
        <v>46.422507000962547</v>
      </c>
      <c r="O334" s="175">
        <f t="shared" si="161"/>
        <v>43.868837179005332</v>
      </c>
      <c r="P334" s="175">
        <f t="shared" si="161"/>
        <v>41.368008618682168</v>
      </c>
      <c r="Q334" s="175">
        <f t="shared" si="161"/>
        <v>40.248188386656004</v>
      </c>
      <c r="R334" s="175">
        <f t="shared" si="161"/>
        <v>37.762908455241636</v>
      </c>
      <c r="S334" s="175">
        <f t="shared" si="161"/>
        <v>39.760308069630881</v>
      </c>
      <c r="T334" s="175">
        <f t="shared" si="161"/>
        <v>37.578169906288089</v>
      </c>
      <c r="U334" s="175">
        <f t="shared" si="161"/>
        <v>35.372971122416338</v>
      </c>
      <c r="V334" s="175">
        <f t="shared" si="161"/>
        <v>33.145063490318861</v>
      </c>
      <c r="W334" s="175">
        <f t="shared" si="161"/>
        <v>30.894823640961299</v>
      </c>
      <c r="X334" s="175">
        <f t="shared" si="161"/>
        <v>30.445399357327155</v>
      </c>
      <c r="Y334" s="175">
        <f t="shared" si="161"/>
        <v>29.999207837556124</v>
      </c>
      <c r="Z334" s="175">
        <f t="shared" si="161"/>
        <v>29.556214326149437</v>
      </c>
      <c r="AA334" s="175">
        <f t="shared" si="161"/>
        <v>29.116384564038569</v>
      </c>
      <c r="AB334" s="175">
        <f t="shared" si="161"/>
        <v>28.679684779753302</v>
      </c>
      <c r="AC334" s="175">
        <f t="shared" si="161"/>
        <v>28.246081680777696</v>
      </c>
      <c r="AD334" s="175">
        <f t="shared" si="161"/>
        <v>27.815542445089296</v>
      </c>
      <c r="AE334" s="175">
        <f t="shared" si="161"/>
        <v>27.388034712877079</v>
      </c>
      <c r="AF334" s="175">
        <f t="shared" si="161"/>
        <v>26.96352657843369</v>
      </c>
      <c r="AG334" s="175">
        <f t="shared" si="161"/>
        <v>26.541986582217778</v>
      </c>
      <c r="AH334" s="175">
        <f t="shared" si="161"/>
        <v>26.123383703082265</v>
      </c>
      <c r="AI334" s="175">
        <f t="shared" si="161"/>
        <v>25.707687350664436</v>
      </c>
      <c r="AJ334" s="175">
        <f t="shared" si="161"/>
        <v>25.294867357934088</v>
      </c>
      <c r="AK334" s="175">
        <f t="shared" si="161"/>
        <v>24.884893973895757</v>
      </c>
      <c r="AL334" s="175">
        <f t="shared" si="161"/>
        <v>24.477737856441408</v>
      </c>
      <c r="AM334" s="175">
        <f t="shared" si="161"/>
        <v>24.073370065350044</v>
      </c>
      <c r="AN334" s="175">
        <f t="shared" si="161"/>
        <v>23.671762055430481</v>
      </c>
      <c r="AO334" s="175">
        <f t="shared" si="161"/>
        <v>23.272885669804225</v>
      </c>
      <c r="AP334" s="175">
        <f t="shared" si="161"/>
        <v>22.876713133324838</v>
      </c>
      <c r="AQ334" s="175">
        <f t="shared" si="161"/>
        <v>22.483217046130669</v>
      </c>
    </row>
    <row r="335" spans="7:43" ht="14.25" customHeight="1" thickBot="1" x14ac:dyDescent="0.2">
      <c r="G335" s="22"/>
      <c r="H335" s="253"/>
      <c r="J335" s="241"/>
      <c r="K335" s="144" t="s">
        <v>229</v>
      </c>
      <c r="L335" s="144" t="s">
        <v>214</v>
      </c>
      <c r="M335" s="176">
        <f t="shared" ref="M335:AQ335" si="162" xml:space="preserve"> ((M$74 * M$349 * M$375 * (M206 * 1 + M303) +M238) * 1000 / (M110 * 8760)) + M270 + 0</f>
        <v>52.154139669171691</v>
      </c>
      <c r="N335" s="176">
        <f t="shared" si="162"/>
        <v>47.424564421546592</v>
      </c>
      <c r="O335" s="176">
        <f t="shared" si="162"/>
        <v>47.077295962604829</v>
      </c>
      <c r="P335" s="176">
        <f t="shared" si="162"/>
        <v>46.730027503663059</v>
      </c>
      <c r="Q335" s="176">
        <f t="shared" si="162"/>
        <v>47.976494839449622</v>
      </c>
      <c r="R335" s="176">
        <f t="shared" si="162"/>
        <v>47.616784629268558</v>
      </c>
      <c r="S335" s="176">
        <f t="shared" si="162"/>
        <v>53.24790069718879</v>
      </c>
      <c r="T335" s="176">
        <f t="shared" si="162"/>
        <v>53.58770416737967</v>
      </c>
      <c r="U335" s="176">
        <f t="shared" si="162"/>
        <v>53.917022435188876</v>
      </c>
      <c r="V335" s="176">
        <f t="shared" si="162"/>
        <v>54.235609554676735</v>
      </c>
      <c r="W335" s="176">
        <f t="shared" si="162"/>
        <v>54.543227872047943</v>
      </c>
      <c r="X335" s="176">
        <f t="shared" si="162"/>
        <v>53.228235665993189</v>
      </c>
      <c r="Y335" s="176">
        <f t="shared" si="162"/>
        <v>51.928671980185584</v>
      </c>
      <c r="Z335" s="176">
        <f t="shared" si="162"/>
        <v>50.64426686897604</v>
      </c>
      <c r="AA335" s="176">
        <f t="shared" si="162"/>
        <v>49.374756647685182</v>
      </c>
      <c r="AB335" s="176">
        <f t="shared" si="162"/>
        <v>48.119883712132918</v>
      </c>
      <c r="AC335" s="176">
        <f t="shared" si="162"/>
        <v>46.879396364374678</v>
      </c>
      <c r="AD335" s="176">
        <f t="shared" si="162"/>
        <v>45.65304864439662</v>
      </c>
      <c r="AE335" s="176">
        <f t="shared" si="162"/>
        <v>44.440600167533532</v>
      </c>
      <c r="AF335" s="176">
        <f t="shared" si="162"/>
        <v>43.241815967383573</v>
      </c>
      <c r="AG335" s="176">
        <f t="shared" si="162"/>
        <v>42.056466344004278</v>
      </c>
      <c r="AH335" s="176">
        <f t="shared" si="162"/>
        <v>40.884326717183939</v>
      </c>
      <c r="AI335" s="176">
        <f t="shared" si="162"/>
        <v>39.725177484591342</v>
      </c>
      <c r="AJ335" s="176">
        <f t="shared" si="162"/>
        <v>38.578803884615731</v>
      </c>
      <c r="AK335" s="176">
        <f t="shared" si="162"/>
        <v>37.444995863717068</v>
      </c>
      <c r="AL335" s="176">
        <f t="shared" si="162"/>
        <v>36.323547948114566</v>
      </c>
      <c r="AM335" s="176">
        <f t="shared" si="162"/>
        <v>35.21425911964873</v>
      </c>
      <c r="AN335" s="176">
        <f t="shared" si="162"/>
        <v>34.116932695659457</v>
      </c>
      <c r="AO335" s="176">
        <f t="shared" si="162"/>
        <v>33.031376212729484</v>
      </c>
      <c r="AP335" s="176">
        <f t="shared" si="162"/>
        <v>31.957401314148719</v>
      </c>
      <c r="AQ335" s="176">
        <f t="shared" si="162"/>
        <v>30.894823640961299</v>
      </c>
    </row>
    <row r="336" spans="7:43" ht="14.25" customHeight="1" thickTop="1" x14ac:dyDescent="0.15">
      <c r="G336" s="22"/>
      <c r="H336" s="253"/>
      <c r="J336" s="241"/>
      <c r="K336" s="140" t="s">
        <v>228</v>
      </c>
      <c r="L336" s="140" t="s">
        <v>219</v>
      </c>
      <c r="M336" s="174">
        <f t="shared" ref="M336:AQ336" si="163" xml:space="preserve"> ((M$74 * M$349 * M$375 * (M207 * 1 + M304) +M239) * 1000 / (M111 * 8760)) + M271 + 0</f>
        <v>49.366321627862732</v>
      </c>
      <c r="N336" s="174">
        <f t="shared" si="163"/>
        <v>44.102878174286147</v>
      </c>
      <c r="O336" s="174">
        <f t="shared" si="163"/>
        <v>40.771131087939807</v>
      </c>
      <c r="P336" s="174">
        <f t="shared" si="163"/>
        <v>37.552205999208645</v>
      </c>
      <c r="Q336" s="174">
        <f t="shared" si="163"/>
        <v>35.614267525962291</v>
      </c>
      <c r="R336" s="174">
        <f t="shared" si="163"/>
        <v>32.497600083838947</v>
      </c>
      <c r="S336" s="174">
        <f t="shared" si="163"/>
        <v>33.160762704918959</v>
      </c>
      <c r="T336" s="174">
        <f t="shared" si="163"/>
        <v>30.272257487268149</v>
      </c>
      <c r="U336" s="174">
        <f t="shared" si="163"/>
        <v>27.394478001362987</v>
      </c>
      <c r="V336" s="174">
        <f t="shared" si="163"/>
        <v>24.526604195899644</v>
      </c>
      <c r="W336" s="174">
        <f t="shared" si="163"/>
        <v>21.667910796990515</v>
      </c>
      <c r="X336" s="174">
        <f t="shared" si="163"/>
        <v>21.361863991154618</v>
      </c>
      <c r="Y336" s="174">
        <f t="shared" si="163"/>
        <v>21.057142063266067</v>
      </c>
      <c r="Z336" s="174">
        <f t="shared" si="163"/>
        <v>20.753736428802515</v>
      </c>
      <c r="AA336" s="174">
        <f t="shared" si="163"/>
        <v>20.451638577246133</v>
      </c>
      <c r="AB336" s="174">
        <f t="shared" si="163"/>
        <v>20.150840071287845</v>
      </c>
      <c r="AC336" s="174">
        <f t="shared" si="163"/>
        <v>19.851332546041821</v>
      </c>
      <c r="AD336" s="174">
        <f t="shared" si="163"/>
        <v>19.553107708270087</v>
      </c>
      <c r="AE336" s="174">
        <f t="shared" si="163"/>
        <v>19.256157335617036</v>
      </c>
      <c r="AF336" s="174">
        <f t="shared" si="163"/>
        <v>18.960473275853765</v>
      </c>
      <c r="AG336" s="174">
        <f t="shared" si="163"/>
        <v>18.666047446132037</v>
      </c>
      <c r="AH336" s="174">
        <f t="shared" si="163"/>
        <v>18.372871832247768</v>
      </c>
      <c r="AI336" s="174">
        <f t="shared" si="163"/>
        <v>18.080938487913858</v>
      </c>
      <c r="AJ336" s="174">
        <f t="shared" si="163"/>
        <v>17.790239534042247</v>
      </c>
      <c r="AK336" s="174">
        <f t="shared" si="163"/>
        <v>17.500767158035071</v>
      </c>
      <c r="AL336" s="174">
        <f t="shared" si="163"/>
        <v>17.21251361308477</v>
      </c>
      <c r="AM336" s="174">
        <f t="shared" si="163"/>
        <v>16.925471217483</v>
      </c>
      <c r="AN336" s="174">
        <f t="shared" si="163"/>
        <v>16.639632353938257</v>
      </c>
      <c r="AO336" s="174">
        <f t="shared" si="163"/>
        <v>16.35498946890208</v>
      </c>
      <c r="AP336" s="174">
        <f t="shared" si="163"/>
        <v>16.071535071903618</v>
      </c>
      <c r="AQ336" s="174">
        <f t="shared" si="163"/>
        <v>15.789261734892655</v>
      </c>
    </row>
    <row r="337" spans="7:43" ht="14.25" customHeight="1" x14ac:dyDescent="0.15">
      <c r="G337" s="22"/>
      <c r="H337" s="253"/>
      <c r="J337" s="241"/>
      <c r="K337" s="19" t="s">
        <v>228</v>
      </c>
      <c r="L337" s="129" t="s">
        <v>218</v>
      </c>
      <c r="M337" s="175">
        <f t="shared" ref="M337:AQ337" si="164" xml:space="preserve"> ((M$74 * M$349 * M$375 * (M208 * 1 + M305) +M240) * 1000 / (M112 * 8760)) + M272 + 0</f>
        <v>49.726195500178882</v>
      </c>
      <c r="N337" s="175">
        <f t="shared" si="164"/>
        <v>44.739093102454149</v>
      </c>
      <c r="O337" s="175">
        <f t="shared" si="164"/>
        <v>42.278026708191931</v>
      </c>
      <c r="P337" s="175">
        <f t="shared" si="164"/>
        <v>39.867885399122727</v>
      </c>
      <c r="Q337" s="175">
        <f t="shared" si="164"/>
        <v>38.788673076152058</v>
      </c>
      <c r="R337" s="175">
        <f t="shared" si="164"/>
        <v>36.3935165578946</v>
      </c>
      <c r="S337" s="175">
        <f t="shared" si="164"/>
        <v>38.318484705545764</v>
      </c>
      <c r="T337" s="175">
        <f t="shared" si="164"/>
        <v>36.215477161162454</v>
      </c>
      <c r="U337" s="175">
        <f t="shared" si="164"/>
        <v>34.090245240813744</v>
      </c>
      <c r="V337" s="175">
        <f t="shared" si="164"/>
        <v>31.943127960525313</v>
      </c>
      <c r="W337" s="175">
        <f t="shared" si="164"/>
        <v>29.774488293538514</v>
      </c>
      <c r="X337" s="175">
        <f t="shared" si="164"/>
        <v>29.341361429718027</v>
      </c>
      <c r="Y337" s="175">
        <f t="shared" si="164"/>
        <v>28.911350100425796</v>
      </c>
      <c r="Z337" s="175">
        <f t="shared" si="164"/>
        <v>28.484420810497618</v>
      </c>
      <c r="AA337" s="175">
        <f t="shared" si="164"/>
        <v>28.060540543197526</v>
      </c>
      <c r="AB337" s="175">
        <f t="shared" si="164"/>
        <v>27.639676751706151</v>
      </c>
      <c r="AC337" s="175">
        <f t="shared" si="164"/>
        <v>27.221797350790123</v>
      </c>
      <c r="AD337" s="175">
        <f t="shared" si="164"/>
        <v>26.806870708648123</v>
      </c>
      <c r="AE337" s="175">
        <f t="shared" si="164"/>
        <v>26.394865638929147</v>
      </c>
      <c r="AF337" s="175">
        <f t="shared" si="164"/>
        <v>25.985751392918733</v>
      </c>
      <c r="AG337" s="175">
        <f t="shared" si="164"/>
        <v>25.579497651889177</v>
      </c>
      <c r="AH337" s="175">
        <f t="shared" si="164"/>
        <v>25.176074519609596</v>
      </c>
      <c r="AI337" s="175">
        <f t="shared" si="164"/>
        <v>24.775452515011992</v>
      </c>
      <c r="AJ337" s="175">
        <f t="shared" si="164"/>
        <v>24.377602565009628</v>
      </c>
      <c r="AK337" s="175">
        <f t="shared" si="164"/>
        <v>23.982495997463872</v>
      </c>
      <c r="AL337" s="175">
        <f t="shared" si="164"/>
        <v>23.590104534296103</v>
      </c>
      <c r="AM337" s="175">
        <f t="shared" si="164"/>
        <v>23.200400284741132</v>
      </c>
      <c r="AN337" s="175">
        <f t="shared" si="164"/>
        <v>22.813355738738696</v>
      </c>
      <c r="AO337" s="175">
        <f t="shared" si="164"/>
        <v>22.428943760459848</v>
      </c>
      <c r="AP337" s="175">
        <f t="shared" si="164"/>
        <v>22.047137581965025</v>
      </c>
      <c r="AQ337" s="175">
        <f t="shared" si="164"/>
        <v>21.667910796990515</v>
      </c>
    </row>
    <row r="338" spans="7:43" ht="14.25" customHeight="1" thickBot="1" x14ac:dyDescent="0.2">
      <c r="G338" s="22"/>
      <c r="H338" s="253"/>
      <c r="J338" s="251"/>
      <c r="K338" s="144" t="s">
        <v>228</v>
      </c>
      <c r="L338" s="144" t="s">
        <v>214</v>
      </c>
      <c r="M338" s="176">
        <f t="shared" ref="M338:AQ338" si="165" xml:space="preserve"> ((M$74 * M$349 * M$375 * (M209 * 1 + M306) +M241) * 1000 / (M113 * 8760)) + M273 + 0</f>
        <v>50.262880250932795</v>
      </c>
      <c r="N338" s="176">
        <f t="shared" si="165"/>
        <v>45.704813032930659</v>
      </c>
      <c r="O338" s="176">
        <f t="shared" si="165"/>
        <v>45.370137529175139</v>
      </c>
      <c r="P338" s="176">
        <f t="shared" si="165"/>
        <v>45.035462025419612</v>
      </c>
      <c r="Q338" s="176">
        <f t="shared" si="165"/>
        <v>46.236728863157758</v>
      </c>
      <c r="R338" s="176">
        <f t="shared" si="165"/>
        <v>45.890062781921337</v>
      </c>
      <c r="S338" s="176">
        <f t="shared" si="165"/>
        <v>51.316978351737184</v>
      </c>
      <c r="T338" s="176">
        <f t="shared" si="165"/>
        <v>51.644459568748829</v>
      </c>
      <c r="U338" s="176">
        <f t="shared" si="165"/>
        <v>51.961835807036636</v>
      </c>
      <c r="V338" s="176">
        <f t="shared" si="165"/>
        <v>52.268870039369553</v>
      </c>
      <c r="W338" s="176">
        <f t="shared" si="165"/>
        <v>52.565333229963834</v>
      </c>
      <c r="X338" s="176">
        <f t="shared" si="165"/>
        <v>51.298026431249461</v>
      </c>
      <c r="Y338" s="176">
        <f t="shared" si="165"/>
        <v>50.045588670171433</v>
      </c>
      <c r="Z338" s="176">
        <f t="shared" si="165"/>
        <v>48.807759790087893</v>
      </c>
      <c r="AA338" s="176">
        <f t="shared" si="165"/>
        <v>47.584285668285915</v>
      </c>
      <c r="AB338" s="176">
        <f t="shared" si="165"/>
        <v>46.37491804205542</v>
      </c>
      <c r="AC338" s="176">
        <f t="shared" si="165"/>
        <v>45.179414340744728</v>
      </c>
      <c r="AD338" s="176">
        <f t="shared" si="165"/>
        <v>43.997537523558982</v>
      </c>
      <c r="AE338" s="176">
        <f t="shared" si="165"/>
        <v>42.829055922873742</v>
      </c>
      <c r="AF338" s="176">
        <f t="shared" si="165"/>
        <v>41.673743092846102</v>
      </c>
      <c r="AG338" s="176">
        <f t="shared" si="165"/>
        <v>40.531377663115521</v>
      </c>
      <c r="AH338" s="176">
        <f t="shared" si="165"/>
        <v>39.401743197396044</v>
      </c>
      <c r="AI338" s="176">
        <f t="shared" si="165"/>
        <v>38.284628056769904</v>
      </c>
      <c r="AJ338" s="176">
        <f t="shared" si="165"/>
        <v>37.179825267501307</v>
      </c>
      <c r="AK338" s="176">
        <f t="shared" si="165"/>
        <v>36.087132393196974</v>
      </c>
      <c r="AL338" s="176">
        <f t="shared" si="165"/>
        <v>35.00635141114762</v>
      </c>
      <c r="AM338" s="176">
        <f t="shared" si="165"/>
        <v>33.937288592691552</v>
      </c>
      <c r="AN338" s="176">
        <f t="shared" si="165"/>
        <v>32.879754387448806</v>
      </c>
      <c r="AO338" s="176">
        <f t="shared" si="165"/>
        <v>31.833563311280301</v>
      </c>
      <c r="AP338" s="176">
        <f t="shared" si="165"/>
        <v>30.798533837833133</v>
      </c>
      <c r="AQ338" s="176">
        <f t="shared" si="165"/>
        <v>29.774488293538514</v>
      </c>
    </row>
    <row r="339" spans="7:43" ht="14.25" customHeight="1" thickTop="1" thickBot="1" x14ac:dyDescent="0.2">
      <c r="G339" s="22"/>
    </row>
    <row r="340" spans="7:43" ht="14.25" customHeight="1" x14ac:dyDescent="0.15">
      <c r="G340" s="22"/>
      <c r="H340" s="170"/>
      <c r="I340" s="170"/>
      <c r="J340" s="170"/>
      <c r="K340" s="170"/>
      <c r="L340" s="170"/>
      <c r="M340" s="170"/>
      <c r="N340" s="170"/>
      <c r="O340" s="170"/>
      <c r="P340" s="170"/>
      <c r="Q340" s="170"/>
      <c r="R340" s="170"/>
      <c r="S340" s="170"/>
      <c r="T340" s="170"/>
      <c r="U340" s="170"/>
      <c r="V340" s="170"/>
      <c r="W340" s="170"/>
      <c r="X340" s="170"/>
      <c r="Y340" s="170"/>
      <c r="Z340" s="170"/>
      <c r="AA340" s="170"/>
      <c r="AB340" s="170"/>
      <c r="AC340" s="170"/>
      <c r="AD340" s="170"/>
      <c r="AE340" s="170"/>
      <c r="AF340" s="170"/>
      <c r="AG340" s="170"/>
      <c r="AH340" s="170"/>
      <c r="AI340" s="170"/>
      <c r="AJ340" s="170"/>
      <c r="AK340" s="170"/>
      <c r="AL340" s="170"/>
      <c r="AM340" s="170"/>
      <c r="AN340" s="170"/>
      <c r="AO340" s="170"/>
      <c r="AP340" s="170"/>
      <c r="AQ340" s="170"/>
    </row>
    <row r="341" spans="7:43" ht="14.25" customHeight="1" x14ac:dyDescent="0.15">
      <c r="G341" s="22"/>
      <c r="M341" s="128">
        <v>2020</v>
      </c>
      <c r="N341" s="128">
        <v>2021</v>
      </c>
      <c r="O341" s="128">
        <v>2022</v>
      </c>
      <c r="P341" s="128">
        <v>2023</v>
      </c>
      <c r="Q341" s="128">
        <v>2024</v>
      </c>
      <c r="R341" s="128">
        <v>2025</v>
      </c>
      <c r="S341" s="128">
        <v>2026</v>
      </c>
      <c r="T341" s="128">
        <v>2027</v>
      </c>
      <c r="U341" s="128">
        <v>2028</v>
      </c>
      <c r="V341" s="128">
        <v>2029</v>
      </c>
      <c r="W341" s="128">
        <v>2030</v>
      </c>
      <c r="X341" s="128">
        <v>2031</v>
      </c>
      <c r="Y341" s="128">
        <v>2032</v>
      </c>
      <c r="Z341" s="128">
        <v>2033</v>
      </c>
      <c r="AA341" s="128">
        <v>2034</v>
      </c>
      <c r="AB341" s="128">
        <v>2035</v>
      </c>
      <c r="AC341" s="128">
        <v>2036</v>
      </c>
      <c r="AD341" s="128">
        <v>2037</v>
      </c>
      <c r="AE341" s="128">
        <v>2038</v>
      </c>
      <c r="AF341" s="128">
        <v>2039</v>
      </c>
      <c r="AG341" s="128">
        <v>2040</v>
      </c>
      <c r="AH341" s="128">
        <v>2041</v>
      </c>
      <c r="AI341" s="128">
        <v>2042</v>
      </c>
      <c r="AJ341" s="128">
        <v>2043</v>
      </c>
      <c r="AK341" s="128">
        <v>2044</v>
      </c>
      <c r="AL341" s="128">
        <v>2045</v>
      </c>
      <c r="AM341" s="128">
        <v>2046</v>
      </c>
      <c r="AN341" s="128">
        <v>2047</v>
      </c>
      <c r="AO341" s="128">
        <v>2048</v>
      </c>
      <c r="AP341" s="128">
        <v>2049</v>
      </c>
      <c r="AQ341" s="128">
        <v>2050</v>
      </c>
    </row>
    <row r="342" spans="7:43" ht="14.25" customHeight="1" x14ac:dyDescent="0.15">
      <c r="G342" s="22"/>
      <c r="H342" s="239" t="s">
        <v>172</v>
      </c>
      <c r="J342" s="240" t="s">
        <v>173</v>
      </c>
      <c r="K342" s="19" t="s">
        <v>227</v>
      </c>
      <c r="L342" s="19" t="s">
        <v>219</v>
      </c>
      <c r="M342" s="177">
        <v>0.116085097876559</v>
      </c>
      <c r="N342" s="177">
        <v>0.116085097876559</v>
      </c>
      <c r="O342" s="177">
        <v>0.116085097876559</v>
      </c>
      <c r="P342" s="177">
        <v>0.116085097876559</v>
      </c>
      <c r="Q342" s="177">
        <v>0.116085097876559</v>
      </c>
      <c r="R342" s="177">
        <v>0.116085097876559</v>
      </c>
      <c r="S342" s="177">
        <v>0.116085097876559</v>
      </c>
      <c r="T342" s="177">
        <v>0.116085097876559</v>
      </c>
      <c r="U342" s="177">
        <v>0.116085097876559</v>
      </c>
      <c r="V342" s="177">
        <v>0.116085097876559</v>
      </c>
      <c r="W342" s="177">
        <v>0.116085097876559</v>
      </c>
      <c r="X342" s="177">
        <v>0.116085097876559</v>
      </c>
      <c r="Y342" s="177">
        <v>0.116085097876559</v>
      </c>
      <c r="Z342" s="177">
        <v>0.116085097876559</v>
      </c>
      <c r="AA342" s="177">
        <v>0.116085097876559</v>
      </c>
      <c r="AB342" s="177">
        <v>0.116085097876559</v>
      </c>
      <c r="AC342" s="177">
        <v>0.116085097876559</v>
      </c>
      <c r="AD342" s="177">
        <v>0.116085097876559</v>
      </c>
      <c r="AE342" s="177">
        <v>0.116085097876559</v>
      </c>
      <c r="AF342" s="177">
        <v>0.116085097876559</v>
      </c>
      <c r="AG342" s="177">
        <v>0.116085097876559</v>
      </c>
      <c r="AH342" s="177">
        <v>0.116085097876559</v>
      </c>
      <c r="AI342" s="177">
        <v>0.116085097876559</v>
      </c>
      <c r="AJ342" s="177">
        <v>0.116085097876559</v>
      </c>
      <c r="AK342" s="177">
        <v>0.116085097876559</v>
      </c>
      <c r="AL342" s="177">
        <v>0.116085097876559</v>
      </c>
      <c r="AM342" s="177">
        <v>0.116085097876559</v>
      </c>
      <c r="AN342" s="177">
        <v>0.116085097876559</v>
      </c>
      <c r="AO342" s="177">
        <v>0.116085097876559</v>
      </c>
      <c r="AP342" s="177">
        <v>0.116085097876559</v>
      </c>
      <c r="AQ342" s="177">
        <v>0.116085097876559</v>
      </c>
    </row>
    <row r="343" spans="7:43" ht="14.25" customHeight="1" x14ac:dyDescent="0.15">
      <c r="G343" s="22"/>
      <c r="H343" s="239"/>
      <c r="J343" s="241"/>
      <c r="K343" s="19" t="s">
        <v>227</v>
      </c>
      <c r="L343" s="19" t="s">
        <v>218</v>
      </c>
      <c r="M343" s="177">
        <v>0.116085097876559</v>
      </c>
      <c r="N343" s="177">
        <v>0.116085097876559</v>
      </c>
      <c r="O343" s="177">
        <v>0.116085097876559</v>
      </c>
      <c r="P343" s="177">
        <v>0.116085097876559</v>
      </c>
      <c r="Q343" s="177">
        <v>0.116085097876559</v>
      </c>
      <c r="R343" s="177">
        <v>0.116085097876559</v>
      </c>
      <c r="S343" s="177">
        <v>0.116085097876559</v>
      </c>
      <c r="T343" s="177">
        <v>0.116085097876559</v>
      </c>
      <c r="U343" s="177">
        <v>0.116085097876559</v>
      </c>
      <c r="V343" s="177">
        <v>0.116085097876559</v>
      </c>
      <c r="W343" s="177">
        <v>0.116085097876559</v>
      </c>
      <c r="X343" s="177">
        <v>0.116085097876559</v>
      </c>
      <c r="Y343" s="177">
        <v>0.116085097876559</v>
      </c>
      <c r="Z343" s="177">
        <v>0.116085097876559</v>
      </c>
      <c r="AA343" s="177">
        <v>0.116085097876559</v>
      </c>
      <c r="AB343" s="177">
        <v>0.116085097876559</v>
      </c>
      <c r="AC343" s="177">
        <v>0.116085097876559</v>
      </c>
      <c r="AD343" s="177">
        <v>0.116085097876559</v>
      </c>
      <c r="AE343" s="177">
        <v>0.116085097876559</v>
      </c>
      <c r="AF343" s="177">
        <v>0.116085097876559</v>
      </c>
      <c r="AG343" s="177">
        <v>0.116085097876559</v>
      </c>
      <c r="AH343" s="177">
        <v>0.116085097876559</v>
      </c>
      <c r="AI343" s="177">
        <v>0.116085097876559</v>
      </c>
      <c r="AJ343" s="177">
        <v>0.116085097876559</v>
      </c>
      <c r="AK343" s="177">
        <v>0.116085097876559</v>
      </c>
      <c r="AL343" s="177">
        <v>0.116085097876559</v>
      </c>
      <c r="AM343" s="177">
        <v>0.116085097876559</v>
      </c>
      <c r="AN343" s="177">
        <v>0.116085097876559</v>
      </c>
      <c r="AO343" s="177">
        <v>0.116085097876559</v>
      </c>
      <c r="AP343" s="177">
        <v>0.116085097876559</v>
      </c>
      <c r="AQ343" s="177">
        <v>0.116085097876559</v>
      </c>
    </row>
    <row r="344" spans="7:43" ht="14.25" customHeight="1" x14ac:dyDescent="0.15">
      <c r="G344" s="22"/>
      <c r="H344" s="239"/>
      <c r="J344" s="241"/>
      <c r="K344" s="19" t="s">
        <v>227</v>
      </c>
      <c r="L344" s="19" t="s">
        <v>214</v>
      </c>
      <c r="M344" s="177">
        <v>0.116085097876559</v>
      </c>
      <c r="N344" s="177">
        <v>0.116085097876559</v>
      </c>
      <c r="O344" s="177">
        <v>0.116085097876559</v>
      </c>
      <c r="P344" s="177">
        <v>0.116085097876559</v>
      </c>
      <c r="Q344" s="177">
        <v>0.116085097876559</v>
      </c>
      <c r="R344" s="177">
        <v>0.116085097876559</v>
      </c>
      <c r="S344" s="177">
        <v>0.116085097876559</v>
      </c>
      <c r="T344" s="177">
        <v>0.116085097876559</v>
      </c>
      <c r="U344" s="177">
        <v>0.116085097876559</v>
      </c>
      <c r="V344" s="177">
        <v>0.116085097876559</v>
      </c>
      <c r="W344" s="177">
        <v>0.116085097876559</v>
      </c>
      <c r="X344" s="177">
        <v>0.116085097876559</v>
      </c>
      <c r="Y344" s="177">
        <v>0.116085097876559</v>
      </c>
      <c r="Z344" s="177">
        <v>0.116085097876559</v>
      </c>
      <c r="AA344" s="177">
        <v>0.116085097876559</v>
      </c>
      <c r="AB344" s="177">
        <v>0.116085097876559</v>
      </c>
      <c r="AC344" s="177">
        <v>0.116085097876559</v>
      </c>
      <c r="AD344" s="177">
        <v>0.116085097876559</v>
      </c>
      <c r="AE344" s="177">
        <v>0.116085097876559</v>
      </c>
      <c r="AF344" s="177">
        <v>0.116085097876559</v>
      </c>
      <c r="AG344" s="177">
        <v>0.116085097876559</v>
      </c>
      <c r="AH344" s="177">
        <v>0.116085097876559</v>
      </c>
      <c r="AI344" s="177">
        <v>0.116085097876559</v>
      </c>
      <c r="AJ344" s="177">
        <v>0.116085097876559</v>
      </c>
      <c r="AK344" s="177">
        <v>0.116085097876559</v>
      </c>
      <c r="AL344" s="177">
        <v>0.116085097876559</v>
      </c>
      <c r="AM344" s="177">
        <v>0.116085097876559</v>
      </c>
      <c r="AN344" s="177">
        <v>0.116085097876559</v>
      </c>
      <c r="AO344" s="177">
        <v>0.116085097876559</v>
      </c>
      <c r="AP344" s="177">
        <v>0.116085097876559</v>
      </c>
      <c r="AQ344" s="177">
        <v>0.116085097876559</v>
      </c>
    </row>
    <row r="345" spans="7:43" ht="14.25" customHeight="1" x14ac:dyDescent="0.15">
      <c r="G345" s="22"/>
      <c r="H345" s="239"/>
      <c r="J345" s="241"/>
      <c r="K345" s="19" t="s">
        <v>177</v>
      </c>
      <c r="L345" s="19" t="s">
        <v>220</v>
      </c>
      <c r="M345" s="205">
        <f>IF($S$33="Market",'[2]Tax Credits'!C14,'[2]Tax Credits'!C3)</f>
        <v>0.30000001192092896</v>
      </c>
      <c r="N345" s="205">
        <f>IF($S$33="Market",'[2]Tax Credits'!D14,'[2]Tax Credits'!D3)</f>
        <v>0.30000001192092896</v>
      </c>
      <c r="O345" s="205">
        <f>IF($S$33="Market",'[2]Tax Credits'!E14,'[2]Tax Credits'!E3)</f>
        <v>0.30000001192092896</v>
      </c>
      <c r="P345" s="205">
        <f>IF($S$33="Market",'[2]Tax Credits'!F14,'[2]Tax Credits'!F3)</f>
        <v>0.30000001192092896</v>
      </c>
      <c r="Q345" s="205">
        <f>IF($S$33="Market",'[2]Tax Credits'!G14,'[2]Tax Credits'!G3)</f>
        <v>0.26</v>
      </c>
      <c r="R345" s="205">
        <f>IF($S$33="Market",'[2]Tax Credits'!H14,'[2]Tax Credits'!H3)</f>
        <v>0.26</v>
      </c>
      <c r="S345" s="205">
        <f>IF($S$33="Market",'[2]Tax Credits'!I14,'[2]Tax Credits'!I3)</f>
        <v>0.1</v>
      </c>
      <c r="T345" s="205">
        <f>IF($S$33="Market",'[2]Tax Credits'!J14,'[2]Tax Credits'!J3)</f>
        <v>0.1</v>
      </c>
      <c r="U345" s="205">
        <f>IF($S$33="Market",'[2]Tax Credits'!K14,'[2]Tax Credits'!K3)</f>
        <v>0.1</v>
      </c>
      <c r="V345" s="205">
        <f>IF($S$33="Market",'[2]Tax Credits'!L14,'[2]Tax Credits'!L3)</f>
        <v>0.1</v>
      </c>
      <c r="W345" s="205">
        <f>IF($S$33="Market",'[2]Tax Credits'!M14,'[2]Tax Credits'!M3)</f>
        <v>0.1</v>
      </c>
      <c r="X345" s="205">
        <f>IF($S$33="Market",'[2]Tax Credits'!N14,'[2]Tax Credits'!N3)</f>
        <v>0.1</v>
      </c>
      <c r="Y345" s="205">
        <f>IF($S$33="Market",'[2]Tax Credits'!O14,'[2]Tax Credits'!O3)</f>
        <v>0.1</v>
      </c>
      <c r="Z345" s="205">
        <f>IF($S$33="Market",'[2]Tax Credits'!P14,'[2]Tax Credits'!P3)</f>
        <v>0.1</v>
      </c>
      <c r="AA345" s="205">
        <f>IF($S$33="Market",'[2]Tax Credits'!Q14,'[2]Tax Credits'!Q3)</f>
        <v>0.1</v>
      </c>
      <c r="AB345" s="205">
        <f>IF($S$33="Market",'[2]Tax Credits'!R14,'[2]Tax Credits'!R3)</f>
        <v>0.1</v>
      </c>
      <c r="AC345" s="205">
        <f>IF($S$33="Market",'[2]Tax Credits'!S14,'[2]Tax Credits'!S3)</f>
        <v>0.1</v>
      </c>
      <c r="AD345" s="205">
        <f>IF($S$33="Market",'[2]Tax Credits'!T14,'[2]Tax Credits'!T3)</f>
        <v>0.1</v>
      </c>
      <c r="AE345" s="205">
        <f>IF($S$33="Market",'[2]Tax Credits'!U14,'[2]Tax Credits'!U3)</f>
        <v>0.1</v>
      </c>
      <c r="AF345" s="205">
        <f>IF($S$33="Market",'[2]Tax Credits'!V14,'[2]Tax Credits'!V3)</f>
        <v>0.1</v>
      </c>
      <c r="AG345" s="205">
        <f>IF($S$33="Market",'[2]Tax Credits'!W14,'[2]Tax Credits'!W3)</f>
        <v>0.1</v>
      </c>
      <c r="AH345" s="205">
        <f>IF($S$33="Market",'[2]Tax Credits'!X14,'[2]Tax Credits'!X3)</f>
        <v>0.1</v>
      </c>
      <c r="AI345" s="205">
        <f>IF($S$33="Market",'[2]Tax Credits'!Y14,'[2]Tax Credits'!Y3)</f>
        <v>0.1</v>
      </c>
      <c r="AJ345" s="205">
        <f>IF($S$33="Market",'[2]Tax Credits'!Z14,'[2]Tax Credits'!Z3)</f>
        <v>0.1</v>
      </c>
      <c r="AK345" s="205">
        <f>IF($S$33="Market",'[2]Tax Credits'!AA14,'[2]Tax Credits'!AA3)</f>
        <v>0.1</v>
      </c>
      <c r="AL345" s="205">
        <f>IF($S$33="Market",'[2]Tax Credits'!AB14,'[2]Tax Credits'!AB3)</f>
        <v>0.1</v>
      </c>
      <c r="AM345" s="205">
        <f>IF($S$33="Market",'[2]Tax Credits'!AC14,'[2]Tax Credits'!AC3)</f>
        <v>0.1</v>
      </c>
      <c r="AN345" s="205">
        <f>IF($S$33="Market",'[2]Tax Credits'!AD14,'[2]Tax Credits'!AD3)</f>
        <v>0.1</v>
      </c>
      <c r="AO345" s="205">
        <f>IF($S$33="Market",'[2]Tax Credits'!AE14,'[2]Tax Credits'!AE3)</f>
        <v>0.1</v>
      </c>
      <c r="AP345" s="205">
        <f>IF($S$33="Market",'[2]Tax Credits'!AF14,'[2]Tax Credits'!AF3)</f>
        <v>0.1</v>
      </c>
      <c r="AQ345" s="205">
        <f>IF($S$33="Market",'[2]Tax Credits'!AG14,'[2]Tax Credits'!AG3)</f>
        <v>0.1</v>
      </c>
    </row>
    <row r="346" spans="7:43" ht="14.25" customHeight="1" x14ac:dyDescent="0.15">
      <c r="G346" s="22"/>
      <c r="H346" s="239"/>
      <c r="J346" s="241"/>
      <c r="K346" s="19" t="s">
        <v>226</v>
      </c>
      <c r="L346" s="19" t="s">
        <v>219</v>
      </c>
      <c r="M346" s="178">
        <f t="shared" ref="M346:AQ346" si="166">SUMPRODUCT($I$353:$I$358,M353:M358)</f>
        <v>0.86040285189098376</v>
      </c>
      <c r="N346" s="178">
        <f t="shared" si="166"/>
        <v>0.86040285189098376</v>
      </c>
      <c r="O346" s="178">
        <f t="shared" si="166"/>
        <v>0.86040285189098376</v>
      </c>
      <c r="P346" s="178">
        <f t="shared" si="166"/>
        <v>0.86040285189098376</v>
      </c>
      <c r="Q346" s="178">
        <f t="shared" si="166"/>
        <v>0.86411895853484788</v>
      </c>
      <c r="R346" s="178">
        <f t="shared" si="166"/>
        <v>0.86411895853484788</v>
      </c>
      <c r="S346" s="178">
        <f t="shared" si="166"/>
        <v>0.87695576029472844</v>
      </c>
      <c r="T346" s="178">
        <f t="shared" si="166"/>
        <v>0.87421797041583937</v>
      </c>
      <c r="U346" s="178">
        <f t="shared" si="166"/>
        <v>0.87151858584419561</v>
      </c>
      <c r="V346" s="178">
        <f t="shared" si="166"/>
        <v>0.86885713761799777</v>
      </c>
      <c r="W346" s="178">
        <f t="shared" si="166"/>
        <v>0.86623316597912337</v>
      </c>
      <c r="X346" s="178">
        <f t="shared" si="166"/>
        <v>0.86623316597912337</v>
      </c>
      <c r="Y346" s="178">
        <f t="shared" si="166"/>
        <v>0.86623316597912337</v>
      </c>
      <c r="Z346" s="178">
        <f t="shared" si="166"/>
        <v>0.86623316597912337</v>
      </c>
      <c r="AA346" s="178">
        <f t="shared" si="166"/>
        <v>0.86623316597912337</v>
      </c>
      <c r="AB346" s="178">
        <f t="shared" si="166"/>
        <v>0.86623316597912337</v>
      </c>
      <c r="AC346" s="178">
        <f t="shared" si="166"/>
        <v>0.86623316597912337</v>
      </c>
      <c r="AD346" s="178">
        <f t="shared" si="166"/>
        <v>0.86623316597912337</v>
      </c>
      <c r="AE346" s="178">
        <f t="shared" si="166"/>
        <v>0.86623316597912337</v>
      </c>
      <c r="AF346" s="178">
        <f t="shared" si="166"/>
        <v>0.86623316597912337</v>
      </c>
      <c r="AG346" s="178">
        <f t="shared" si="166"/>
        <v>0.86623316597912337</v>
      </c>
      <c r="AH346" s="178">
        <f t="shared" si="166"/>
        <v>0.86623316597912337</v>
      </c>
      <c r="AI346" s="178">
        <f t="shared" si="166"/>
        <v>0.86623316597912337</v>
      </c>
      <c r="AJ346" s="178">
        <f t="shared" si="166"/>
        <v>0.86623316597912337</v>
      </c>
      <c r="AK346" s="178">
        <f t="shared" si="166"/>
        <v>0.86623316597912337</v>
      </c>
      <c r="AL346" s="178">
        <f t="shared" si="166"/>
        <v>0.86623316597912337</v>
      </c>
      <c r="AM346" s="178">
        <f t="shared" si="166"/>
        <v>0.86623316597912337</v>
      </c>
      <c r="AN346" s="178">
        <f t="shared" si="166"/>
        <v>0.86623316597912337</v>
      </c>
      <c r="AO346" s="178">
        <f t="shared" si="166"/>
        <v>0.86623316597912337</v>
      </c>
      <c r="AP346" s="178">
        <f t="shared" si="166"/>
        <v>0.86623316597912337</v>
      </c>
      <c r="AQ346" s="178">
        <f t="shared" si="166"/>
        <v>0.86623316597912337</v>
      </c>
    </row>
    <row r="347" spans="7:43" ht="14.25" customHeight="1" x14ac:dyDescent="0.15">
      <c r="G347" s="22"/>
      <c r="H347" s="239"/>
      <c r="J347" s="241"/>
      <c r="K347" s="19" t="s">
        <v>226</v>
      </c>
      <c r="L347" s="19" t="s">
        <v>218</v>
      </c>
      <c r="M347" s="178">
        <f t="shared" ref="M347:AQ347" si="167">SUMPRODUCT($I$353:$I$358,M360:M365)</f>
        <v>0.86040285189098376</v>
      </c>
      <c r="N347" s="178">
        <f t="shared" si="167"/>
        <v>0.86040285189098376</v>
      </c>
      <c r="O347" s="178">
        <f t="shared" si="167"/>
        <v>0.86040285189098376</v>
      </c>
      <c r="P347" s="178">
        <f t="shared" si="167"/>
        <v>0.86040285189098376</v>
      </c>
      <c r="Q347" s="178">
        <f t="shared" si="167"/>
        <v>0.86411895853484788</v>
      </c>
      <c r="R347" s="178">
        <f t="shared" si="167"/>
        <v>0.86411895853484788</v>
      </c>
      <c r="S347" s="178">
        <f t="shared" si="167"/>
        <v>0.87695576029472844</v>
      </c>
      <c r="T347" s="178">
        <f t="shared" si="167"/>
        <v>0.87421797041583937</v>
      </c>
      <c r="U347" s="178">
        <f t="shared" si="167"/>
        <v>0.87151858584419561</v>
      </c>
      <c r="V347" s="178">
        <f t="shared" si="167"/>
        <v>0.86885713761799777</v>
      </c>
      <c r="W347" s="178">
        <f t="shared" si="167"/>
        <v>0.86623316597912337</v>
      </c>
      <c r="X347" s="178">
        <f t="shared" si="167"/>
        <v>0.86623316597912337</v>
      </c>
      <c r="Y347" s="178">
        <f t="shared" si="167"/>
        <v>0.86623316597912337</v>
      </c>
      <c r="Z347" s="178">
        <f t="shared" si="167"/>
        <v>0.86623316597912337</v>
      </c>
      <c r="AA347" s="178">
        <f t="shared" si="167"/>
        <v>0.86623316597912337</v>
      </c>
      <c r="AB347" s="178">
        <f t="shared" si="167"/>
        <v>0.86623316597912337</v>
      </c>
      <c r="AC347" s="178">
        <f t="shared" si="167"/>
        <v>0.86623316597912337</v>
      </c>
      <c r="AD347" s="178">
        <f t="shared" si="167"/>
        <v>0.86623316597912337</v>
      </c>
      <c r="AE347" s="178">
        <f t="shared" si="167"/>
        <v>0.86623316597912337</v>
      </c>
      <c r="AF347" s="178">
        <f t="shared" si="167"/>
        <v>0.86623316597912337</v>
      </c>
      <c r="AG347" s="178">
        <f t="shared" si="167"/>
        <v>0.86623316597912337</v>
      </c>
      <c r="AH347" s="178">
        <f t="shared" si="167"/>
        <v>0.86623316597912337</v>
      </c>
      <c r="AI347" s="178">
        <f t="shared" si="167"/>
        <v>0.86623316597912337</v>
      </c>
      <c r="AJ347" s="178">
        <f t="shared" si="167"/>
        <v>0.86623316597912337</v>
      </c>
      <c r="AK347" s="178">
        <f t="shared" si="167"/>
        <v>0.86623316597912337</v>
      </c>
      <c r="AL347" s="178">
        <f t="shared" si="167"/>
        <v>0.86623316597912337</v>
      </c>
      <c r="AM347" s="178">
        <f t="shared" si="167"/>
        <v>0.86623316597912337</v>
      </c>
      <c r="AN347" s="178">
        <f t="shared" si="167"/>
        <v>0.86623316597912337</v>
      </c>
      <c r="AO347" s="178">
        <f t="shared" si="167"/>
        <v>0.86623316597912337</v>
      </c>
      <c r="AP347" s="178">
        <f t="shared" si="167"/>
        <v>0.86623316597912337</v>
      </c>
      <c r="AQ347" s="178">
        <f t="shared" si="167"/>
        <v>0.86623316597912337</v>
      </c>
    </row>
    <row r="348" spans="7:43" ht="14.25" customHeight="1" x14ac:dyDescent="0.15">
      <c r="G348" s="22"/>
      <c r="H348" s="239"/>
      <c r="J348" s="241"/>
      <c r="K348" s="19" t="s">
        <v>226</v>
      </c>
      <c r="L348" s="19" t="s">
        <v>214</v>
      </c>
      <c r="M348" s="178">
        <f t="shared" ref="M348:AQ348" si="168">SUMPRODUCT($I$353:$I$358,M367:M372)</f>
        <v>0.86040285189098376</v>
      </c>
      <c r="N348" s="178">
        <f t="shared" si="168"/>
        <v>0.86040285189098376</v>
      </c>
      <c r="O348" s="178">
        <f t="shared" si="168"/>
        <v>0.86040285189098376</v>
      </c>
      <c r="P348" s="178">
        <f t="shared" si="168"/>
        <v>0.86040285189098376</v>
      </c>
      <c r="Q348" s="178">
        <f t="shared" si="168"/>
        <v>0.86411895853484788</v>
      </c>
      <c r="R348" s="178">
        <f t="shared" si="168"/>
        <v>0.86411895853484788</v>
      </c>
      <c r="S348" s="178">
        <f t="shared" si="168"/>
        <v>0.87695576029472844</v>
      </c>
      <c r="T348" s="178">
        <f t="shared" si="168"/>
        <v>0.87421797041583937</v>
      </c>
      <c r="U348" s="178">
        <f t="shared" si="168"/>
        <v>0.87151858584419561</v>
      </c>
      <c r="V348" s="178">
        <f t="shared" si="168"/>
        <v>0.86885713761799777</v>
      </c>
      <c r="W348" s="178">
        <f t="shared" si="168"/>
        <v>0.86623316597912337</v>
      </c>
      <c r="X348" s="178">
        <f t="shared" si="168"/>
        <v>0.86623316597912337</v>
      </c>
      <c r="Y348" s="178">
        <f t="shared" si="168"/>
        <v>0.86623316597912337</v>
      </c>
      <c r="Z348" s="178">
        <f t="shared" si="168"/>
        <v>0.86623316597912337</v>
      </c>
      <c r="AA348" s="178">
        <f t="shared" si="168"/>
        <v>0.86623316597912337</v>
      </c>
      <c r="AB348" s="178">
        <f t="shared" si="168"/>
        <v>0.86623316597912337</v>
      </c>
      <c r="AC348" s="178">
        <f t="shared" si="168"/>
        <v>0.86623316597912337</v>
      </c>
      <c r="AD348" s="178">
        <f t="shared" si="168"/>
        <v>0.86623316597912337</v>
      </c>
      <c r="AE348" s="178">
        <f t="shared" si="168"/>
        <v>0.86623316597912337</v>
      </c>
      <c r="AF348" s="178">
        <f t="shared" si="168"/>
        <v>0.86623316597912337</v>
      </c>
      <c r="AG348" s="178">
        <f t="shared" si="168"/>
        <v>0.86623316597912337</v>
      </c>
      <c r="AH348" s="178">
        <f t="shared" si="168"/>
        <v>0.86623316597912337</v>
      </c>
      <c r="AI348" s="178">
        <f t="shared" si="168"/>
        <v>0.86623316597912337</v>
      </c>
      <c r="AJ348" s="178">
        <f t="shared" si="168"/>
        <v>0.86623316597912337</v>
      </c>
      <c r="AK348" s="178">
        <f t="shared" si="168"/>
        <v>0.86623316597912337</v>
      </c>
      <c r="AL348" s="178">
        <f t="shared" si="168"/>
        <v>0.86623316597912337</v>
      </c>
      <c r="AM348" s="178">
        <f t="shared" si="168"/>
        <v>0.86623316597912337</v>
      </c>
      <c r="AN348" s="178">
        <f t="shared" si="168"/>
        <v>0.86623316597912337</v>
      </c>
      <c r="AO348" s="178">
        <f t="shared" si="168"/>
        <v>0.86623316597912337</v>
      </c>
      <c r="AP348" s="178">
        <f t="shared" si="168"/>
        <v>0.86623316597912337</v>
      </c>
      <c r="AQ348" s="178">
        <f t="shared" si="168"/>
        <v>0.86623316597912337</v>
      </c>
    </row>
    <row r="349" spans="7:43" ht="14.25" customHeight="1" x14ac:dyDescent="0.15">
      <c r="G349" s="22"/>
      <c r="H349" s="239"/>
      <c r="J349" s="241"/>
      <c r="K349" s="19" t="s">
        <v>225</v>
      </c>
      <c r="L349" s="19" t="s">
        <v>219</v>
      </c>
      <c r="M349" s="178">
        <f t="shared" ref="M349:AQ349" si="169">(1-M$64*M346*(1-M$345/2)-M$345)/(1-M$64)</f>
        <v>0.68913607518703612</v>
      </c>
      <c r="N349" s="178">
        <f t="shared" si="169"/>
        <v>0.68913607518703612</v>
      </c>
      <c r="O349" s="178">
        <f t="shared" si="169"/>
        <v>0.68913607518703612</v>
      </c>
      <c r="P349" s="178">
        <f t="shared" si="169"/>
        <v>0.68913607518703612</v>
      </c>
      <c r="Q349" s="178">
        <f t="shared" si="169"/>
        <v>0.73591560552602109</v>
      </c>
      <c r="R349" s="178">
        <f t="shared" si="169"/>
        <v>0.73591560552602109</v>
      </c>
      <c r="S349" s="178">
        <f t="shared" si="169"/>
        <v>0.92318611356737146</v>
      </c>
      <c r="T349" s="178">
        <f t="shared" si="169"/>
        <v>0.92408763761677182</v>
      </c>
      <c r="U349" s="178">
        <f t="shared" si="169"/>
        <v>0.92497651522154445</v>
      </c>
      <c r="V349" s="178">
        <f t="shared" si="169"/>
        <v>0.92585290080564375</v>
      </c>
      <c r="W349" s="178">
        <f t="shared" si="169"/>
        <v>0.9267169457623553</v>
      </c>
      <c r="X349" s="178">
        <f t="shared" si="169"/>
        <v>0.9267169457623553</v>
      </c>
      <c r="Y349" s="178">
        <f t="shared" si="169"/>
        <v>0.9267169457623553</v>
      </c>
      <c r="Z349" s="178">
        <f t="shared" si="169"/>
        <v>0.9267169457623553</v>
      </c>
      <c r="AA349" s="178">
        <f t="shared" si="169"/>
        <v>0.9267169457623553</v>
      </c>
      <c r="AB349" s="178">
        <f t="shared" si="169"/>
        <v>0.9267169457623553</v>
      </c>
      <c r="AC349" s="178">
        <f t="shared" si="169"/>
        <v>0.9267169457623553</v>
      </c>
      <c r="AD349" s="178">
        <f t="shared" si="169"/>
        <v>0.9267169457623553</v>
      </c>
      <c r="AE349" s="178">
        <f t="shared" si="169"/>
        <v>0.9267169457623553</v>
      </c>
      <c r="AF349" s="178">
        <f t="shared" si="169"/>
        <v>0.9267169457623553</v>
      </c>
      <c r="AG349" s="178">
        <f t="shared" si="169"/>
        <v>0.9267169457623553</v>
      </c>
      <c r="AH349" s="178">
        <f t="shared" si="169"/>
        <v>0.9267169457623553</v>
      </c>
      <c r="AI349" s="178">
        <f t="shared" si="169"/>
        <v>0.9267169457623553</v>
      </c>
      <c r="AJ349" s="178">
        <f t="shared" si="169"/>
        <v>0.9267169457623553</v>
      </c>
      <c r="AK349" s="178">
        <f t="shared" si="169"/>
        <v>0.9267169457623553</v>
      </c>
      <c r="AL349" s="178">
        <f t="shared" si="169"/>
        <v>0.9267169457623553</v>
      </c>
      <c r="AM349" s="178">
        <f t="shared" si="169"/>
        <v>0.9267169457623553</v>
      </c>
      <c r="AN349" s="178">
        <f t="shared" si="169"/>
        <v>0.9267169457623553</v>
      </c>
      <c r="AO349" s="178">
        <f t="shared" si="169"/>
        <v>0.9267169457623553</v>
      </c>
      <c r="AP349" s="178">
        <f t="shared" si="169"/>
        <v>0.9267169457623553</v>
      </c>
      <c r="AQ349" s="178">
        <f t="shared" si="169"/>
        <v>0.9267169457623553</v>
      </c>
    </row>
    <row r="350" spans="7:43" ht="14.25" customHeight="1" x14ac:dyDescent="0.15">
      <c r="G350" s="22"/>
      <c r="H350" s="239"/>
      <c r="J350" s="241"/>
      <c r="K350" s="19" t="s">
        <v>225</v>
      </c>
      <c r="L350" s="19" t="s">
        <v>218</v>
      </c>
      <c r="M350" s="178">
        <f t="shared" ref="M350:AQ350" si="170">(1-M$64*M347*(1-M$345/2)-M$345)/(1-M$64)</f>
        <v>0.68913607518703612</v>
      </c>
      <c r="N350" s="178">
        <f t="shared" si="170"/>
        <v>0.68913607518703612</v>
      </c>
      <c r="O350" s="178">
        <f t="shared" si="170"/>
        <v>0.68913607518703612</v>
      </c>
      <c r="P350" s="178">
        <f t="shared" si="170"/>
        <v>0.68913607518703612</v>
      </c>
      <c r="Q350" s="178">
        <f t="shared" si="170"/>
        <v>0.73591560552602109</v>
      </c>
      <c r="R350" s="178">
        <f t="shared" si="170"/>
        <v>0.73591560552602109</v>
      </c>
      <c r="S350" s="178">
        <f t="shared" si="170"/>
        <v>0.92318611356737146</v>
      </c>
      <c r="T350" s="178">
        <f t="shared" si="170"/>
        <v>0.92408763761677182</v>
      </c>
      <c r="U350" s="178">
        <f t="shared" si="170"/>
        <v>0.92497651522154445</v>
      </c>
      <c r="V350" s="178">
        <f t="shared" si="170"/>
        <v>0.92585290080564375</v>
      </c>
      <c r="W350" s="178">
        <f t="shared" si="170"/>
        <v>0.9267169457623553</v>
      </c>
      <c r="X350" s="178">
        <f t="shared" si="170"/>
        <v>0.9267169457623553</v>
      </c>
      <c r="Y350" s="178">
        <f t="shared" si="170"/>
        <v>0.9267169457623553</v>
      </c>
      <c r="Z350" s="178">
        <f t="shared" si="170"/>
        <v>0.9267169457623553</v>
      </c>
      <c r="AA350" s="178">
        <f t="shared" si="170"/>
        <v>0.9267169457623553</v>
      </c>
      <c r="AB350" s="178">
        <f t="shared" si="170"/>
        <v>0.9267169457623553</v>
      </c>
      <c r="AC350" s="178">
        <f t="shared" si="170"/>
        <v>0.9267169457623553</v>
      </c>
      <c r="AD350" s="178">
        <f t="shared" si="170"/>
        <v>0.9267169457623553</v>
      </c>
      <c r="AE350" s="178">
        <f t="shared" si="170"/>
        <v>0.9267169457623553</v>
      </c>
      <c r="AF350" s="178">
        <f t="shared" si="170"/>
        <v>0.9267169457623553</v>
      </c>
      <c r="AG350" s="178">
        <f t="shared" si="170"/>
        <v>0.9267169457623553</v>
      </c>
      <c r="AH350" s="178">
        <f t="shared" si="170"/>
        <v>0.9267169457623553</v>
      </c>
      <c r="AI350" s="178">
        <f t="shared" si="170"/>
        <v>0.9267169457623553</v>
      </c>
      <c r="AJ350" s="178">
        <f t="shared" si="170"/>
        <v>0.9267169457623553</v>
      </c>
      <c r="AK350" s="178">
        <f t="shared" si="170"/>
        <v>0.9267169457623553</v>
      </c>
      <c r="AL350" s="178">
        <f t="shared" si="170"/>
        <v>0.9267169457623553</v>
      </c>
      <c r="AM350" s="178">
        <f t="shared" si="170"/>
        <v>0.9267169457623553</v>
      </c>
      <c r="AN350" s="178">
        <f t="shared" si="170"/>
        <v>0.9267169457623553</v>
      </c>
      <c r="AO350" s="178">
        <f t="shared" si="170"/>
        <v>0.9267169457623553</v>
      </c>
      <c r="AP350" s="178">
        <f t="shared" si="170"/>
        <v>0.9267169457623553</v>
      </c>
      <c r="AQ350" s="178">
        <f t="shared" si="170"/>
        <v>0.9267169457623553</v>
      </c>
    </row>
    <row r="351" spans="7:43" ht="14.25" customHeight="1" x14ac:dyDescent="0.15">
      <c r="G351" s="22"/>
      <c r="H351" s="239"/>
      <c r="J351" s="241"/>
      <c r="K351" s="19" t="s">
        <v>225</v>
      </c>
      <c r="L351" s="19" t="s">
        <v>214</v>
      </c>
      <c r="M351" s="178">
        <f t="shared" ref="M351:AQ351" si="171">(1-M$64*M348*(1-M$345/2)-M$345)/(1-M$64)</f>
        <v>0.68913607518703612</v>
      </c>
      <c r="N351" s="178">
        <f t="shared" si="171"/>
        <v>0.68913607518703612</v>
      </c>
      <c r="O351" s="178">
        <f t="shared" si="171"/>
        <v>0.68913607518703612</v>
      </c>
      <c r="P351" s="178">
        <f t="shared" si="171"/>
        <v>0.68913607518703612</v>
      </c>
      <c r="Q351" s="178">
        <f t="shared" si="171"/>
        <v>0.73591560552602109</v>
      </c>
      <c r="R351" s="178">
        <f t="shared" si="171"/>
        <v>0.73591560552602109</v>
      </c>
      <c r="S351" s="178">
        <f t="shared" si="171"/>
        <v>0.92318611356737146</v>
      </c>
      <c r="T351" s="178">
        <f t="shared" si="171"/>
        <v>0.92408763761677182</v>
      </c>
      <c r="U351" s="178">
        <f t="shared" si="171"/>
        <v>0.92497651522154445</v>
      </c>
      <c r="V351" s="178">
        <f t="shared" si="171"/>
        <v>0.92585290080564375</v>
      </c>
      <c r="W351" s="178">
        <f t="shared" si="171"/>
        <v>0.9267169457623553</v>
      </c>
      <c r="X351" s="178">
        <f t="shared" si="171"/>
        <v>0.9267169457623553</v>
      </c>
      <c r="Y351" s="178">
        <f t="shared" si="171"/>
        <v>0.9267169457623553</v>
      </c>
      <c r="Z351" s="178">
        <f t="shared" si="171"/>
        <v>0.9267169457623553</v>
      </c>
      <c r="AA351" s="178">
        <f t="shared" si="171"/>
        <v>0.9267169457623553</v>
      </c>
      <c r="AB351" s="178">
        <f t="shared" si="171"/>
        <v>0.9267169457623553</v>
      </c>
      <c r="AC351" s="178">
        <f t="shared" si="171"/>
        <v>0.9267169457623553</v>
      </c>
      <c r="AD351" s="178">
        <f t="shared" si="171"/>
        <v>0.9267169457623553</v>
      </c>
      <c r="AE351" s="178">
        <f t="shared" si="171"/>
        <v>0.9267169457623553</v>
      </c>
      <c r="AF351" s="178">
        <f t="shared" si="171"/>
        <v>0.9267169457623553</v>
      </c>
      <c r="AG351" s="178">
        <f t="shared" si="171"/>
        <v>0.9267169457623553</v>
      </c>
      <c r="AH351" s="178">
        <f t="shared" si="171"/>
        <v>0.9267169457623553</v>
      </c>
      <c r="AI351" s="178">
        <f t="shared" si="171"/>
        <v>0.9267169457623553</v>
      </c>
      <c r="AJ351" s="178">
        <f t="shared" si="171"/>
        <v>0.9267169457623553</v>
      </c>
      <c r="AK351" s="178">
        <f t="shared" si="171"/>
        <v>0.9267169457623553</v>
      </c>
      <c r="AL351" s="178">
        <f t="shared" si="171"/>
        <v>0.9267169457623553</v>
      </c>
      <c r="AM351" s="178">
        <f t="shared" si="171"/>
        <v>0.9267169457623553</v>
      </c>
      <c r="AN351" s="178">
        <f t="shared" si="171"/>
        <v>0.9267169457623553</v>
      </c>
      <c r="AO351" s="178">
        <f t="shared" si="171"/>
        <v>0.9267169457623553</v>
      </c>
      <c r="AP351" s="178">
        <f t="shared" si="171"/>
        <v>0.9267169457623553</v>
      </c>
      <c r="AQ351" s="178">
        <f t="shared" si="171"/>
        <v>0.9267169457623553</v>
      </c>
    </row>
    <row r="352" spans="7:43" ht="14.25" customHeight="1" x14ac:dyDescent="0.15">
      <c r="G352" s="22"/>
      <c r="H352" s="179"/>
      <c r="I352" s="8" t="s">
        <v>184</v>
      </c>
      <c r="J352" s="180"/>
      <c r="K352" s="181" t="s">
        <v>185</v>
      </c>
      <c r="L352" s="181"/>
      <c r="M352" s="128">
        <v>2020</v>
      </c>
      <c r="N352" s="128">
        <v>2021</v>
      </c>
      <c r="O352" s="128">
        <v>2022</v>
      </c>
      <c r="P352" s="128">
        <v>2023</v>
      </c>
      <c r="Q352" s="128">
        <v>2024</v>
      </c>
      <c r="R352" s="128">
        <v>2025</v>
      </c>
      <c r="S352" s="128">
        <v>2026</v>
      </c>
      <c r="T352" s="128">
        <v>2027</v>
      </c>
      <c r="U352" s="128">
        <v>2028</v>
      </c>
      <c r="V352" s="128">
        <v>2029</v>
      </c>
      <c r="W352" s="128">
        <v>2030</v>
      </c>
      <c r="X352" s="128">
        <v>2031</v>
      </c>
      <c r="Y352" s="128">
        <v>2032</v>
      </c>
      <c r="Z352" s="128">
        <v>2033</v>
      </c>
      <c r="AA352" s="128">
        <v>2034</v>
      </c>
      <c r="AB352" s="128">
        <v>2035</v>
      </c>
      <c r="AC352" s="128">
        <v>2036</v>
      </c>
      <c r="AD352" s="128">
        <v>2037</v>
      </c>
      <c r="AE352" s="128">
        <v>2038</v>
      </c>
      <c r="AF352" s="128">
        <v>2039</v>
      </c>
      <c r="AG352" s="128">
        <v>2040</v>
      </c>
      <c r="AH352" s="128">
        <v>2041</v>
      </c>
      <c r="AI352" s="128">
        <v>2042</v>
      </c>
      <c r="AJ352" s="128">
        <v>2043</v>
      </c>
      <c r="AK352" s="128">
        <v>2044</v>
      </c>
      <c r="AL352" s="128">
        <v>2045</v>
      </c>
      <c r="AM352" s="128">
        <v>2046</v>
      </c>
      <c r="AN352" s="128">
        <v>2047</v>
      </c>
      <c r="AO352" s="128">
        <v>2048</v>
      </c>
      <c r="AP352" s="128">
        <v>2049</v>
      </c>
      <c r="AQ352" s="128">
        <v>2050</v>
      </c>
    </row>
    <row r="353" spans="7:43" ht="14.25" customHeight="1" x14ac:dyDescent="0.15">
      <c r="G353" s="22"/>
      <c r="H353" s="179"/>
      <c r="I353" s="8">
        <v>0.2</v>
      </c>
      <c r="J353" s="242" t="s">
        <v>186</v>
      </c>
      <c r="K353" s="182">
        <v>1</v>
      </c>
      <c r="L353" s="182"/>
      <c r="M353" s="183">
        <f t="shared" ref="M353:V358" si="172">1/((1+M$68)*(1+M$47))^$K353</f>
        <v>0.94660019090301939</v>
      </c>
      <c r="N353" s="183">
        <f t="shared" si="172"/>
        <v>0.94660019090301939</v>
      </c>
      <c r="O353" s="183">
        <f t="shared" si="172"/>
        <v>0.94660019090301939</v>
      </c>
      <c r="P353" s="183">
        <f t="shared" si="172"/>
        <v>0.94660019090301939</v>
      </c>
      <c r="Q353" s="183">
        <f t="shared" si="172"/>
        <v>0.94812146984243917</v>
      </c>
      <c r="R353" s="183">
        <f t="shared" si="172"/>
        <v>0.94812146984243917</v>
      </c>
      <c r="S353" s="183">
        <f t="shared" si="172"/>
        <v>0.9533309209627302</v>
      </c>
      <c r="T353" s="183">
        <f t="shared" si="172"/>
        <v>0.95222574298440887</v>
      </c>
      <c r="U353" s="183">
        <f t="shared" si="172"/>
        <v>0.95113296537795455</v>
      </c>
      <c r="V353" s="183">
        <f t="shared" si="172"/>
        <v>0.95005251161857773</v>
      </c>
      <c r="W353" s="183">
        <f t="shared" ref="W353:AF358" si="173">1/((1+W$68)*(1+W$47))^$K353</f>
        <v>0.94898430629372799</v>
      </c>
      <c r="X353" s="183">
        <f t="shared" si="173"/>
        <v>0.94898430629372799</v>
      </c>
      <c r="Y353" s="183">
        <f t="shared" si="173"/>
        <v>0.94898430629372799</v>
      </c>
      <c r="Z353" s="183">
        <f t="shared" si="173"/>
        <v>0.94898430629372799</v>
      </c>
      <c r="AA353" s="183">
        <f t="shared" si="173"/>
        <v>0.94898430629372799</v>
      </c>
      <c r="AB353" s="183">
        <f t="shared" si="173"/>
        <v>0.94898430629372799</v>
      </c>
      <c r="AC353" s="183">
        <f t="shared" si="173"/>
        <v>0.94898430629372799</v>
      </c>
      <c r="AD353" s="183">
        <f t="shared" si="173"/>
        <v>0.94898430629372799</v>
      </c>
      <c r="AE353" s="183">
        <f t="shared" si="173"/>
        <v>0.94898430629372799</v>
      </c>
      <c r="AF353" s="183">
        <f t="shared" si="173"/>
        <v>0.94898430629372799</v>
      </c>
      <c r="AG353" s="183">
        <f t="shared" ref="AG353:AQ358" si="174">1/((1+AG$68)*(1+AG$47))^$K353</f>
        <v>0.94898430629372799</v>
      </c>
      <c r="AH353" s="183">
        <f t="shared" si="174"/>
        <v>0.94898430629372799</v>
      </c>
      <c r="AI353" s="183">
        <f t="shared" si="174"/>
        <v>0.94898430629372799</v>
      </c>
      <c r="AJ353" s="183">
        <f t="shared" si="174"/>
        <v>0.94898430629372799</v>
      </c>
      <c r="AK353" s="183">
        <f t="shared" si="174"/>
        <v>0.94898430629372799</v>
      </c>
      <c r="AL353" s="183">
        <f t="shared" si="174"/>
        <v>0.94898430629372799</v>
      </c>
      <c r="AM353" s="183">
        <f t="shared" si="174"/>
        <v>0.94898430629372799</v>
      </c>
      <c r="AN353" s="183">
        <f t="shared" si="174"/>
        <v>0.94898430629372799</v>
      </c>
      <c r="AO353" s="183">
        <f t="shared" si="174"/>
        <v>0.94898430629372799</v>
      </c>
      <c r="AP353" s="183">
        <f t="shared" si="174"/>
        <v>0.94898430629372799</v>
      </c>
      <c r="AQ353" s="183">
        <f t="shared" si="174"/>
        <v>0.94898430629372799</v>
      </c>
    </row>
    <row r="354" spans="7:43" ht="14.25" customHeight="1" x14ac:dyDescent="0.15">
      <c r="G354" s="22"/>
      <c r="H354" s="179"/>
      <c r="I354" s="8">
        <v>0.32</v>
      </c>
      <c r="J354" s="242"/>
      <c r="K354" s="182">
        <v>2</v>
      </c>
      <c r="L354" s="182"/>
      <c r="M354" s="183">
        <f t="shared" si="172"/>
        <v>0.89605192141763279</v>
      </c>
      <c r="N354" s="183">
        <f t="shared" si="172"/>
        <v>0.89605192141763279</v>
      </c>
      <c r="O354" s="183">
        <f t="shared" si="172"/>
        <v>0.89605192141763279</v>
      </c>
      <c r="P354" s="183">
        <f t="shared" si="172"/>
        <v>0.89605192141763279</v>
      </c>
      <c r="Q354" s="183">
        <f t="shared" si="172"/>
        <v>0.89893432157618736</v>
      </c>
      <c r="R354" s="183">
        <f t="shared" si="172"/>
        <v>0.89893432157618736</v>
      </c>
      <c r="S354" s="183">
        <f t="shared" si="172"/>
        <v>0.90883984486364744</v>
      </c>
      <c r="T354" s="183">
        <f t="shared" si="172"/>
        <v>0.90673386560220948</v>
      </c>
      <c r="U354" s="183">
        <f t="shared" si="172"/>
        <v>0.90465391782866134</v>
      </c>
      <c r="V354" s="183">
        <f t="shared" si="172"/>
        <v>0.90259977483276776</v>
      </c>
      <c r="W354" s="183">
        <f t="shared" si="173"/>
        <v>0.90057121359178827</v>
      </c>
      <c r="X354" s="183">
        <f t="shared" si="173"/>
        <v>0.90057121359178827</v>
      </c>
      <c r="Y354" s="183">
        <f t="shared" si="173"/>
        <v>0.90057121359178827</v>
      </c>
      <c r="Z354" s="183">
        <f t="shared" si="173"/>
        <v>0.90057121359178827</v>
      </c>
      <c r="AA354" s="183">
        <f t="shared" si="173"/>
        <v>0.90057121359178827</v>
      </c>
      <c r="AB354" s="183">
        <f t="shared" si="173"/>
        <v>0.90057121359178827</v>
      </c>
      <c r="AC354" s="183">
        <f t="shared" si="173"/>
        <v>0.90057121359178827</v>
      </c>
      <c r="AD354" s="183">
        <f t="shared" si="173"/>
        <v>0.90057121359178827</v>
      </c>
      <c r="AE354" s="183">
        <f t="shared" si="173"/>
        <v>0.90057121359178827</v>
      </c>
      <c r="AF354" s="183">
        <f t="shared" si="173"/>
        <v>0.90057121359178827</v>
      </c>
      <c r="AG354" s="183">
        <f t="shared" si="174"/>
        <v>0.90057121359178827</v>
      </c>
      <c r="AH354" s="183">
        <f t="shared" si="174"/>
        <v>0.90057121359178827</v>
      </c>
      <c r="AI354" s="183">
        <f t="shared" si="174"/>
        <v>0.90057121359178827</v>
      </c>
      <c r="AJ354" s="183">
        <f t="shared" si="174"/>
        <v>0.90057121359178827</v>
      </c>
      <c r="AK354" s="183">
        <f t="shared" si="174"/>
        <v>0.90057121359178827</v>
      </c>
      <c r="AL354" s="183">
        <f t="shared" si="174"/>
        <v>0.90057121359178827</v>
      </c>
      <c r="AM354" s="183">
        <f t="shared" si="174"/>
        <v>0.90057121359178827</v>
      </c>
      <c r="AN354" s="183">
        <f t="shared" si="174"/>
        <v>0.90057121359178827</v>
      </c>
      <c r="AO354" s="183">
        <f t="shared" si="174"/>
        <v>0.90057121359178827</v>
      </c>
      <c r="AP354" s="183">
        <f t="shared" si="174"/>
        <v>0.90057121359178827</v>
      </c>
      <c r="AQ354" s="183">
        <f t="shared" si="174"/>
        <v>0.90057121359178827</v>
      </c>
    </row>
    <row r="355" spans="7:43" ht="14.25" customHeight="1" x14ac:dyDescent="0.15">
      <c r="G355" s="22"/>
      <c r="H355" s="179"/>
      <c r="I355" s="8">
        <v>0.192</v>
      </c>
      <c r="J355" s="242"/>
      <c r="K355" s="182">
        <v>3</v>
      </c>
      <c r="L355" s="182"/>
      <c r="M355" s="183">
        <f t="shared" si="172"/>
        <v>0.84820291987294849</v>
      </c>
      <c r="N355" s="183">
        <f t="shared" si="172"/>
        <v>0.84820291987294849</v>
      </c>
      <c r="O355" s="183">
        <f t="shared" si="172"/>
        <v>0.84820291987294849</v>
      </c>
      <c r="P355" s="183">
        <f t="shared" si="172"/>
        <v>0.84820291987294849</v>
      </c>
      <c r="Q355" s="183">
        <f t="shared" si="172"/>
        <v>0.85229893026463077</v>
      </c>
      <c r="R355" s="183">
        <f t="shared" si="172"/>
        <v>0.85229893026463077</v>
      </c>
      <c r="S355" s="183">
        <f t="shared" si="172"/>
        <v>0.86642512631148594</v>
      </c>
      <c r="T355" s="183">
        <f t="shared" si="172"/>
        <v>0.86341532886218897</v>
      </c>
      <c r="U355" s="183">
        <f t="shared" si="172"/>
        <v>0.86044616350515912</v>
      </c>
      <c r="V355" s="183">
        <f t="shared" si="172"/>
        <v>0.85751718306623381</v>
      </c>
      <c r="W355" s="183">
        <f t="shared" si="173"/>
        <v>0.85462794839850387</v>
      </c>
      <c r="X355" s="183">
        <f t="shared" si="173"/>
        <v>0.85462794839850387</v>
      </c>
      <c r="Y355" s="183">
        <f t="shared" si="173"/>
        <v>0.85462794839850387</v>
      </c>
      <c r="Z355" s="183">
        <f t="shared" si="173"/>
        <v>0.85462794839850387</v>
      </c>
      <c r="AA355" s="183">
        <f t="shared" si="173"/>
        <v>0.85462794839850387</v>
      </c>
      <c r="AB355" s="183">
        <f t="shared" si="173"/>
        <v>0.85462794839850387</v>
      </c>
      <c r="AC355" s="183">
        <f t="shared" si="173"/>
        <v>0.85462794839850387</v>
      </c>
      <c r="AD355" s="183">
        <f t="shared" si="173"/>
        <v>0.85462794839850387</v>
      </c>
      <c r="AE355" s="183">
        <f t="shared" si="173"/>
        <v>0.85462794839850387</v>
      </c>
      <c r="AF355" s="183">
        <f t="shared" si="173"/>
        <v>0.85462794839850387</v>
      </c>
      <c r="AG355" s="183">
        <f t="shared" si="174"/>
        <v>0.85462794839850387</v>
      </c>
      <c r="AH355" s="183">
        <f t="shared" si="174"/>
        <v>0.85462794839850387</v>
      </c>
      <c r="AI355" s="183">
        <f t="shared" si="174"/>
        <v>0.85462794839850387</v>
      </c>
      <c r="AJ355" s="183">
        <f t="shared" si="174"/>
        <v>0.85462794839850387</v>
      </c>
      <c r="AK355" s="183">
        <f t="shared" si="174"/>
        <v>0.85462794839850387</v>
      </c>
      <c r="AL355" s="183">
        <f t="shared" si="174"/>
        <v>0.85462794839850387</v>
      </c>
      <c r="AM355" s="183">
        <f t="shared" si="174"/>
        <v>0.85462794839850387</v>
      </c>
      <c r="AN355" s="183">
        <f t="shared" si="174"/>
        <v>0.85462794839850387</v>
      </c>
      <c r="AO355" s="183">
        <f t="shared" si="174"/>
        <v>0.85462794839850387</v>
      </c>
      <c r="AP355" s="183">
        <f t="shared" si="174"/>
        <v>0.85462794839850387</v>
      </c>
      <c r="AQ355" s="183">
        <f t="shared" si="174"/>
        <v>0.85462794839850387</v>
      </c>
    </row>
    <row r="356" spans="7:43" ht="14.25" customHeight="1" x14ac:dyDescent="0.15">
      <c r="G356" s="22"/>
      <c r="H356" s="179"/>
      <c r="I356" s="8">
        <v>0.1152</v>
      </c>
      <c r="J356" s="242"/>
      <c r="K356" s="182">
        <v>4</v>
      </c>
      <c r="L356" s="182"/>
      <c r="M356" s="183">
        <f t="shared" si="172"/>
        <v>0.80290904587623158</v>
      </c>
      <c r="N356" s="183">
        <f t="shared" si="172"/>
        <v>0.80290904587623158</v>
      </c>
      <c r="O356" s="183">
        <f t="shared" si="172"/>
        <v>0.80290904587623158</v>
      </c>
      <c r="P356" s="183">
        <f t="shared" si="172"/>
        <v>0.80290904587623158</v>
      </c>
      <c r="Q356" s="183">
        <f t="shared" si="172"/>
        <v>0.80808291450764036</v>
      </c>
      <c r="R356" s="183">
        <f t="shared" si="172"/>
        <v>0.80808291450764036</v>
      </c>
      <c r="S356" s="183">
        <f t="shared" si="172"/>
        <v>0.82598986361177884</v>
      </c>
      <c r="T356" s="183">
        <f t="shared" si="172"/>
        <v>0.82216630302992566</v>
      </c>
      <c r="U356" s="183">
        <f t="shared" si="172"/>
        <v>0.81839871104274631</v>
      </c>
      <c r="V356" s="183">
        <f t="shared" si="172"/>
        <v>0.8146863535281631</v>
      </c>
      <c r="W356" s="183">
        <f t="shared" si="173"/>
        <v>0.81102851075018623</v>
      </c>
      <c r="X356" s="183">
        <f t="shared" si="173"/>
        <v>0.81102851075018623</v>
      </c>
      <c r="Y356" s="183">
        <f t="shared" si="173"/>
        <v>0.81102851075018623</v>
      </c>
      <c r="Z356" s="183">
        <f t="shared" si="173"/>
        <v>0.81102851075018623</v>
      </c>
      <c r="AA356" s="183">
        <f t="shared" si="173"/>
        <v>0.81102851075018623</v>
      </c>
      <c r="AB356" s="183">
        <f t="shared" si="173"/>
        <v>0.81102851075018623</v>
      </c>
      <c r="AC356" s="183">
        <f t="shared" si="173"/>
        <v>0.81102851075018623</v>
      </c>
      <c r="AD356" s="183">
        <f t="shared" si="173"/>
        <v>0.81102851075018623</v>
      </c>
      <c r="AE356" s="183">
        <f t="shared" si="173"/>
        <v>0.81102851075018623</v>
      </c>
      <c r="AF356" s="183">
        <f t="shared" si="173"/>
        <v>0.81102851075018623</v>
      </c>
      <c r="AG356" s="183">
        <f t="shared" si="174"/>
        <v>0.81102851075018623</v>
      </c>
      <c r="AH356" s="183">
        <f t="shared" si="174"/>
        <v>0.81102851075018623</v>
      </c>
      <c r="AI356" s="183">
        <f t="shared" si="174"/>
        <v>0.81102851075018623</v>
      </c>
      <c r="AJ356" s="183">
        <f t="shared" si="174"/>
        <v>0.81102851075018623</v>
      </c>
      <c r="AK356" s="183">
        <f t="shared" si="174"/>
        <v>0.81102851075018623</v>
      </c>
      <c r="AL356" s="183">
        <f t="shared" si="174"/>
        <v>0.81102851075018623</v>
      </c>
      <c r="AM356" s="183">
        <f t="shared" si="174"/>
        <v>0.81102851075018623</v>
      </c>
      <c r="AN356" s="183">
        <f t="shared" si="174"/>
        <v>0.81102851075018623</v>
      </c>
      <c r="AO356" s="183">
        <f t="shared" si="174"/>
        <v>0.81102851075018623</v>
      </c>
      <c r="AP356" s="183">
        <f t="shared" si="174"/>
        <v>0.81102851075018623</v>
      </c>
      <c r="AQ356" s="183">
        <f t="shared" si="174"/>
        <v>0.81102851075018623</v>
      </c>
    </row>
    <row r="357" spans="7:43" ht="14.25" customHeight="1" x14ac:dyDescent="0.15">
      <c r="G357" s="22"/>
      <c r="H357" s="179"/>
      <c r="I357" s="8">
        <v>0.1152</v>
      </c>
      <c r="J357" s="242"/>
      <c r="K357" s="182">
        <v>5</v>
      </c>
      <c r="L357" s="182"/>
      <c r="M357" s="183">
        <f t="shared" si="172"/>
        <v>0.76003385610420193</v>
      </c>
      <c r="N357" s="183">
        <f t="shared" si="172"/>
        <v>0.76003385610420193</v>
      </c>
      <c r="O357" s="183">
        <f t="shared" si="172"/>
        <v>0.76003385610420193</v>
      </c>
      <c r="P357" s="183">
        <f t="shared" si="172"/>
        <v>0.76003385610420193</v>
      </c>
      <c r="Q357" s="183">
        <f t="shared" si="172"/>
        <v>0.76616076065754612</v>
      </c>
      <c r="R357" s="183">
        <f t="shared" si="172"/>
        <v>0.76616076065754612</v>
      </c>
      <c r="S357" s="183">
        <f t="shared" si="172"/>
        <v>0.78744167738289705</v>
      </c>
      <c r="T357" s="183">
        <f t="shared" si="172"/>
        <v>0.78288791875941555</v>
      </c>
      <c r="U357" s="183">
        <f t="shared" si="172"/>
        <v>0.7784059928955831</v>
      </c>
      <c r="V357" s="183">
        <f t="shared" si="172"/>
        <v>0.77399481635081202</v>
      </c>
      <c r="W357" s="183">
        <f t="shared" si="173"/>
        <v>0.76965332865870084</v>
      </c>
      <c r="X357" s="183">
        <f t="shared" si="173"/>
        <v>0.76965332865870084</v>
      </c>
      <c r="Y357" s="183">
        <f t="shared" si="173"/>
        <v>0.76965332865870084</v>
      </c>
      <c r="Z357" s="183">
        <f t="shared" si="173"/>
        <v>0.76965332865870084</v>
      </c>
      <c r="AA357" s="183">
        <f t="shared" si="173"/>
        <v>0.76965332865870084</v>
      </c>
      <c r="AB357" s="183">
        <f t="shared" si="173"/>
        <v>0.76965332865870084</v>
      </c>
      <c r="AC357" s="183">
        <f t="shared" si="173"/>
        <v>0.76965332865870084</v>
      </c>
      <c r="AD357" s="183">
        <f t="shared" si="173"/>
        <v>0.76965332865870084</v>
      </c>
      <c r="AE357" s="183">
        <f t="shared" si="173"/>
        <v>0.76965332865870084</v>
      </c>
      <c r="AF357" s="183">
        <f t="shared" si="173"/>
        <v>0.76965332865870084</v>
      </c>
      <c r="AG357" s="183">
        <f t="shared" si="174"/>
        <v>0.76965332865870084</v>
      </c>
      <c r="AH357" s="183">
        <f t="shared" si="174"/>
        <v>0.76965332865870084</v>
      </c>
      <c r="AI357" s="183">
        <f t="shared" si="174"/>
        <v>0.76965332865870084</v>
      </c>
      <c r="AJ357" s="183">
        <f t="shared" si="174"/>
        <v>0.76965332865870084</v>
      </c>
      <c r="AK357" s="183">
        <f t="shared" si="174"/>
        <v>0.76965332865870084</v>
      </c>
      <c r="AL357" s="183">
        <f t="shared" si="174"/>
        <v>0.76965332865870084</v>
      </c>
      <c r="AM357" s="183">
        <f t="shared" si="174"/>
        <v>0.76965332865870084</v>
      </c>
      <c r="AN357" s="183">
        <f t="shared" si="174"/>
        <v>0.76965332865870084</v>
      </c>
      <c r="AO357" s="183">
        <f t="shared" si="174"/>
        <v>0.76965332865870084</v>
      </c>
      <c r="AP357" s="183">
        <f t="shared" si="174"/>
        <v>0.76965332865870084</v>
      </c>
      <c r="AQ357" s="183">
        <f t="shared" si="174"/>
        <v>0.76965332865870084</v>
      </c>
    </row>
    <row r="358" spans="7:43" ht="14.25" customHeight="1" x14ac:dyDescent="0.15">
      <c r="G358" s="22"/>
      <c r="H358" s="179"/>
      <c r="I358" s="8">
        <v>5.7599999999999998E-2</v>
      </c>
      <c r="J358" s="242"/>
      <c r="K358" s="182">
        <v>6</v>
      </c>
      <c r="L358" s="182"/>
      <c r="M358" s="183">
        <f t="shared" si="172"/>
        <v>0.71944819328099552</v>
      </c>
      <c r="N358" s="183">
        <f t="shared" si="172"/>
        <v>0.71944819328099552</v>
      </c>
      <c r="O358" s="183">
        <f t="shared" si="172"/>
        <v>0.71944819328099552</v>
      </c>
      <c r="P358" s="183">
        <f t="shared" si="172"/>
        <v>0.71944819328099552</v>
      </c>
      <c r="Q358" s="183">
        <f t="shared" si="172"/>
        <v>0.72641346653023386</v>
      </c>
      <c r="R358" s="183">
        <f t="shared" si="172"/>
        <v>0.72641346653023386</v>
      </c>
      <c r="S358" s="183">
        <f t="shared" si="172"/>
        <v>0.7506924995038744</v>
      </c>
      <c r="T358" s="183">
        <f t="shared" si="172"/>
        <v>0.74548603011420211</v>
      </c>
      <c r="U358" s="183">
        <f t="shared" si="172"/>
        <v>0.74036760029074689</v>
      </c>
      <c r="V358" s="183">
        <f t="shared" si="172"/>
        <v>0.73533571925384877</v>
      </c>
      <c r="W358" s="183">
        <f t="shared" si="173"/>
        <v>0.73038893018383588</v>
      </c>
      <c r="X358" s="183">
        <f t="shared" si="173"/>
        <v>0.73038893018383588</v>
      </c>
      <c r="Y358" s="183">
        <f t="shared" si="173"/>
        <v>0.73038893018383588</v>
      </c>
      <c r="Z358" s="183">
        <f t="shared" si="173"/>
        <v>0.73038893018383588</v>
      </c>
      <c r="AA358" s="183">
        <f t="shared" si="173"/>
        <v>0.73038893018383588</v>
      </c>
      <c r="AB358" s="183">
        <f t="shared" si="173"/>
        <v>0.73038893018383588</v>
      </c>
      <c r="AC358" s="183">
        <f t="shared" si="173"/>
        <v>0.73038893018383588</v>
      </c>
      <c r="AD358" s="183">
        <f t="shared" si="173"/>
        <v>0.73038893018383588</v>
      </c>
      <c r="AE358" s="183">
        <f t="shared" si="173"/>
        <v>0.73038893018383588</v>
      </c>
      <c r="AF358" s="183">
        <f t="shared" si="173"/>
        <v>0.73038893018383588</v>
      </c>
      <c r="AG358" s="183">
        <f t="shared" si="174"/>
        <v>0.73038893018383588</v>
      </c>
      <c r="AH358" s="183">
        <f t="shared" si="174"/>
        <v>0.73038893018383588</v>
      </c>
      <c r="AI358" s="183">
        <f t="shared" si="174"/>
        <v>0.73038893018383588</v>
      </c>
      <c r="AJ358" s="183">
        <f t="shared" si="174"/>
        <v>0.73038893018383588</v>
      </c>
      <c r="AK358" s="183">
        <f t="shared" si="174"/>
        <v>0.73038893018383588</v>
      </c>
      <c r="AL358" s="183">
        <f t="shared" si="174"/>
        <v>0.73038893018383588</v>
      </c>
      <c r="AM358" s="183">
        <f t="shared" si="174"/>
        <v>0.73038893018383588</v>
      </c>
      <c r="AN358" s="183">
        <f t="shared" si="174"/>
        <v>0.73038893018383588</v>
      </c>
      <c r="AO358" s="183">
        <f t="shared" si="174"/>
        <v>0.73038893018383588</v>
      </c>
      <c r="AP358" s="183">
        <f t="shared" si="174"/>
        <v>0.73038893018383588</v>
      </c>
      <c r="AQ358" s="183">
        <f t="shared" si="174"/>
        <v>0.73038893018383588</v>
      </c>
    </row>
    <row r="359" spans="7:43" ht="14.25" customHeight="1" x14ac:dyDescent="0.15">
      <c r="G359" s="22"/>
      <c r="H359" s="179"/>
      <c r="I359" s="8"/>
      <c r="J359" s="242"/>
      <c r="K359" s="181" t="s">
        <v>187</v>
      </c>
      <c r="L359" s="181"/>
      <c r="M359" s="128">
        <v>2020</v>
      </c>
      <c r="N359" s="128">
        <v>2021</v>
      </c>
      <c r="O359" s="128">
        <v>2022</v>
      </c>
      <c r="P359" s="128">
        <v>2023</v>
      </c>
      <c r="Q359" s="128">
        <v>2024</v>
      </c>
      <c r="R359" s="128">
        <v>2025</v>
      </c>
      <c r="S359" s="128">
        <v>2026</v>
      </c>
      <c r="T359" s="128">
        <v>2027</v>
      </c>
      <c r="U359" s="128">
        <v>2028</v>
      </c>
      <c r="V359" s="128">
        <v>2029</v>
      </c>
      <c r="W359" s="128">
        <v>2030</v>
      </c>
      <c r="X359" s="128">
        <v>2031</v>
      </c>
      <c r="Y359" s="128">
        <v>2032</v>
      </c>
      <c r="Z359" s="128">
        <v>2033</v>
      </c>
      <c r="AA359" s="128">
        <v>2034</v>
      </c>
      <c r="AB359" s="128">
        <v>2035</v>
      </c>
      <c r="AC359" s="128">
        <v>2036</v>
      </c>
      <c r="AD359" s="128">
        <v>2037</v>
      </c>
      <c r="AE359" s="128">
        <v>2038</v>
      </c>
      <c r="AF359" s="128">
        <v>2039</v>
      </c>
      <c r="AG359" s="128">
        <v>2040</v>
      </c>
      <c r="AH359" s="128">
        <v>2041</v>
      </c>
      <c r="AI359" s="128">
        <v>2042</v>
      </c>
      <c r="AJ359" s="128">
        <v>2043</v>
      </c>
      <c r="AK359" s="128">
        <v>2044</v>
      </c>
      <c r="AL359" s="128">
        <v>2045</v>
      </c>
      <c r="AM359" s="128">
        <v>2046</v>
      </c>
      <c r="AN359" s="128">
        <v>2047</v>
      </c>
      <c r="AO359" s="128">
        <v>2048</v>
      </c>
      <c r="AP359" s="128">
        <v>2049</v>
      </c>
      <c r="AQ359" s="128">
        <v>2050</v>
      </c>
    </row>
    <row r="360" spans="7:43" ht="14.25" customHeight="1" x14ac:dyDescent="0.15">
      <c r="G360" s="22"/>
      <c r="H360" s="179"/>
      <c r="J360" s="242"/>
      <c r="K360" s="182">
        <v>1</v>
      </c>
      <c r="L360" s="182"/>
      <c r="M360" s="183">
        <f t="shared" ref="M360:V365" si="175">1/((1+M$69)*(1+M$47))^$K360</f>
        <v>0.94660019090301939</v>
      </c>
      <c r="N360" s="183">
        <f t="shared" si="175"/>
        <v>0.94660019090301939</v>
      </c>
      <c r="O360" s="183">
        <f t="shared" si="175"/>
        <v>0.94660019090301939</v>
      </c>
      <c r="P360" s="183">
        <f t="shared" si="175"/>
        <v>0.94660019090301939</v>
      </c>
      <c r="Q360" s="183">
        <f t="shared" si="175"/>
        <v>0.94812146984243917</v>
      </c>
      <c r="R360" s="183">
        <f t="shared" si="175"/>
        <v>0.94812146984243917</v>
      </c>
      <c r="S360" s="183">
        <f t="shared" si="175"/>
        <v>0.9533309209627302</v>
      </c>
      <c r="T360" s="183">
        <f t="shared" si="175"/>
        <v>0.95222574298440887</v>
      </c>
      <c r="U360" s="183">
        <f t="shared" si="175"/>
        <v>0.95113296537795455</v>
      </c>
      <c r="V360" s="183">
        <f t="shared" si="175"/>
        <v>0.95005251161857773</v>
      </c>
      <c r="W360" s="183">
        <f t="shared" ref="W360:AF365" si="176">1/((1+W$69)*(1+W$47))^$K360</f>
        <v>0.94898430629372799</v>
      </c>
      <c r="X360" s="183">
        <f t="shared" si="176"/>
        <v>0.94898430629372799</v>
      </c>
      <c r="Y360" s="183">
        <f t="shared" si="176"/>
        <v>0.94898430629372799</v>
      </c>
      <c r="Z360" s="183">
        <f t="shared" si="176"/>
        <v>0.94898430629372799</v>
      </c>
      <c r="AA360" s="183">
        <f t="shared" si="176"/>
        <v>0.94898430629372799</v>
      </c>
      <c r="AB360" s="183">
        <f t="shared" si="176"/>
        <v>0.94898430629372799</v>
      </c>
      <c r="AC360" s="183">
        <f t="shared" si="176"/>
        <v>0.94898430629372799</v>
      </c>
      <c r="AD360" s="183">
        <f t="shared" si="176"/>
        <v>0.94898430629372799</v>
      </c>
      <c r="AE360" s="183">
        <f t="shared" si="176"/>
        <v>0.94898430629372799</v>
      </c>
      <c r="AF360" s="183">
        <f t="shared" si="176"/>
        <v>0.94898430629372799</v>
      </c>
      <c r="AG360" s="183">
        <f t="shared" ref="AG360:AQ365" si="177">1/((1+AG$69)*(1+AG$47))^$K360</f>
        <v>0.94898430629372799</v>
      </c>
      <c r="AH360" s="183">
        <f t="shared" si="177"/>
        <v>0.94898430629372799</v>
      </c>
      <c r="AI360" s="183">
        <f t="shared" si="177"/>
        <v>0.94898430629372799</v>
      </c>
      <c r="AJ360" s="183">
        <f t="shared" si="177"/>
        <v>0.94898430629372799</v>
      </c>
      <c r="AK360" s="183">
        <f t="shared" si="177"/>
        <v>0.94898430629372799</v>
      </c>
      <c r="AL360" s="183">
        <f t="shared" si="177"/>
        <v>0.94898430629372799</v>
      </c>
      <c r="AM360" s="183">
        <f t="shared" si="177"/>
        <v>0.94898430629372799</v>
      </c>
      <c r="AN360" s="183">
        <f t="shared" si="177"/>
        <v>0.94898430629372799</v>
      </c>
      <c r="AO360" s="183">
        <f t="shared" si="177"/>
        <v>0.94898430629372799</v>
      </c>
      <c r="AP360" s="183">
        <f t="shared" si="177"/>
        <v>0.94898430629372799</v>
      </c>
      <c r="AQ360" s="183">
        <f t="shared" si="177"/>
        <v>0.94898430629372799</v>
      </c>
    </row>
    <row r="361" spans="7:43" ht="14.25" customHeight="1" x14ac:dyDescent="0.15">
      <c r="G361" s="22"/>
      <c r="H361" s="179"/>
      <c r="J361" s="242"/>
      <c r="K361" s="182">
        <v>2</v>
      </c>
      <c r="L361" s="182"/>
      <c r="M361" s="183">
        <f t="shared" si="175"/>
        <v>0.89605192141763279</v>
      </c>
      <c r="N361" s="183">
        <f t="shared" si="175"/>
        <v>0.89605192141763279</v>
      </c>
      <c r="O361" s="183">
        <f t="shared" si="175"/>
        <v>0.89605192141763279</v>
      </c>
      <c r="P361" s="183">
        <f t="shared" si="175"/>
        <v>0.89605192141763279</v>
      </c>
      <c r="Q361" s="183">
        <f t="shared" si="175"/>
        <v>0.89893432157618736</v>
      </c>
      <c r="R361" s="183">
        <f t="shared" si="175"/>
        <v>0.89893432157618736</v>
      </c>
      <c r="S361" s="183">
        <f t="shared" si="175"/>
        <v>0.90883984486364744</v>
      </c>
      <c r="T361" s="183">
        <f t="shared" si="175"/>
        <v>0.90673386560220948</v>
      </c>
      <c r="U361" s="183">
        <f t="shared" si="175"/>
        <v>0.90465391782866134</v>
      </c>
      <c r="V361" s="183">
        <f t="shared" si="175"/>
        <v>0.90259977483276776</v>
      </c>
      <c r="W361" s="183">
        <f t="shared" si="176"/>
        <v>0.90057121359178827</v>
      </c>
      <c r="X361" s="183">
        <f t="shared" si="176"/>
        <v>0.90057121359178827</v>
      </c>
      <c r="Y361" s="183">
        <f t="shared" si="176"/>
        <v>0.90057121359178827</v>
      </c>
      <c r="Z361" s="183">
        <f t="shared" si="176"/>
        <v>0.90057121359178827</v>
      </c>
      <c r="AA361" s="183">
        <f t="shared" si="176"/>
        <v>0.90057121359178827</v>
      </c>
      <c r="AB361" s="183">
        <f t="shared" si="176"/>
        <v>0.90057121359178827</v>
      </c>
      <c r="AC361" s="183">
        <f t="shared" si="176"/>
        <v>0.90057121359178827</v>
      </c>
      <c r="AD361" s="183">
        <f t="shared" si="176"/>
        <v>0.90057121359178827</v>
      </c>
      <c r="AE361" s="183">
        <f t="shared" si="176"/>
        <v>0.90057121359178827</v>
      </c>
      <c r="AF361" s="183">
        <f t="shared" si="176"/>
        <v>0.90057121359178827</v>
      </c>
      <c r="AG361" s="183">
        <f t="shared" si="177"/>
        <v>0.90057121359178827</v>
      </c>
      <c r="AH361" s="183">
        <f t="shared" si="177"/>
        <v>0.90057121359178827</v>
      </c>
      <c r="AI361" s="183">
        <f t="shared" si="177"/>
        <v>0.90057121359178827</v>
      </c>
      <c r="AJ361" s="183">
        <f t="shared" si="177"/>
        <v>0.90057121359178827</v>
      </c>
      <c r="AK361" s="183">
        <f t="shared" si="177"/>
        <v>0.90057121359178827</v>
      </c>
      <c r="AL361" s="183">
        <f t="shared" si="177"/>
        <v>0.90057121359178827</v>
      </c>
      <c r="AM361" s="183">
        <f t="shared" si="177"/>
        <v>0.90057121359178827</v>
      </c>
      <c r="AN361" s="183">
        <f t="shared" si="177"/>
        <v>0.90057121359178827</v>
      </c>
      <c r="AO361" s="183">
        <f t="shared" si="177"/>
        <v>0.90057121359178827</v>
      </c>
      <c r="AP361" s="183">
        <f t="shared" si="177"/>
        <v>0.90057121359178827</v>
      </c>
      <c r="AQ361" s="183">
        <f t="shared" si="177"/>
        <v>0.90057121359178827</v>
      </c>
    </row>
    <row r="362" spans="7:43" ht="14.25" customHeight="1" x14ac:dyDescent="0.15">
      <c r="G362" s="22"/>
      <c r="H362" s="179"/>
      <c r="J362" s="242"/>
      <c r="K362" s="182">
        <v>3</v>
      </c>
      <c r="L362" s="182"/>
      <c r="M362" s="183">
        <f t="shared" si="175"/>
        <v>0.84820291987294849</v>
      </c>
      <c r="N362" s="183">
        <f t="shared" si="175"/>
        <v>0.84820291987294849</v>
      </c>
      <c r="O362" s="183">
        <f t="shared" si="175"/>
        <v>0.84820291987294849</v>
      </c>
      <c r="P362" s="183">
        <f t="shared" si="175"/>
        <v>0.84820291987294849</v>
      </c>
      <c r="Q362" s="183">
        <f t="shared" si="175"/>
        <v>0.85229893026463077</v>
      </c>
      <c r="R362" s="183">
        <f t="shared" si="175"/>
        <v>0.85229893026463077</v>
      </c>
      <c r="S362" s="183">
        <f t="shared" si="175"/>
        <v>0.86642512631148594</v>
      </c>
      <c r="T362" s="183">
        <f t="shared" si="175"/>
        <v>0.86341532886218897</v>
      </c>
      <c r="U362" s="183">
        <f t="shared" si="175"/>
        <v>0.86044616350515912</v>
      </c>
      <c r="V362" s="183">
        <f t="shared" si="175"/>
        <v>0.85751718306623381</v>
      </c>
      <c r="W362" s="183">
        <f t="shared" si="176"/>
        <v>0.85462794839850387</v>
      </c>
      <c r="X362" s="183">
        <f t="shared" si="176"/>
        <v>0.85462794839850387</v>
      </c>
      <c r="Y362" s="183">
        <f t="shared" si="176"/>
        <v>0.85462794839850387</v>
      </c>
      <c r="Z362" s="183">
        <f t="shared" si="176"/>
        <v>0.85462794839850387</v>
      </c>
      <c r="AA362" s="183">
        <f t="shared" si="176"/>
        <v>0.85462794839850387</v>
      </c>
      <c r="AB362" s="183">
        <f t="shared" si="176"/>
        <v>0.85462794839850387</v>
      </c>
      <c r="AC362" s="183">
        <f t="shared" si="176"/>
        <v>0.85462794839850387</v>
      </c>
      <c r="AD362" s="183">
        <f t="shared" si="176"/>
        <v>0.85462794839850387</v>
      </c>
      <c r="AE362" s="183">
        <f t="shared" si="176"/>
        <v>0.85462794839850387</v>
      </c>
      <c r="AF362" s="183">
        <f t="shared" si="176"/>
        <v>0.85462794839850387</v>
      </c>
      <c r="AG362" s="183">
        <f t="shared" si="177"/>
        <v>0.85462794839850387</v>
      </c>
      <c r="AH362" s="183">
        <f t="shared" si="177"/>
        <v>0.85462794839850387</v>
      </c>
      <c r="AI362" s="183">
        <f t="shared" si="177"/>
        <v>0.85462794839850387</v>
      </c>
      <c r="AJ362" s="183">
        <f t="shared" si="177"/>
        <v>0.85462794839850387</v>
      </c>
      <c r="AK362" s="183">
        <f t="shared" si="177"/>
        <v>0.85462794839850387</v>
      </c>
      <c r="AL362" s="183">
        <f t="shared" si="177"/>
        <v>0.85462794839850387</v>
      </c>
      <c r="AM362" s="183">
        <f t="shared" si="177"/>
        <v>0.85462794839850387</v>
      </c>
      <c r="AN362" s="183">
        <f t="shared" si="177"/>
        <v>0.85462794839850387</v>
      </c>
      <c r="AO362" s="183">
        <f t="shared" si="177"/>
        <v>0.85462794839850387</v>
      </c>
      <c r="AP362" s="183">
        <f t="shared" si="177"/>
        <v>0.85462794839850387</v>
      </c>
      <c r="AQ362" s="183">
        <f t="shared" si="177"/>
        <v>0.85462794839850387</v>
      </c>
    </row>
    <row r="363" spans="7:43" ht="14.25" customHeight="1" x14ac:dyDescent="0.15">
      <c r="G363" s="22"/>
      <c r="H363" s="179"/>
      <c r="J363" s="242"/>
      <c r="K363" s="182">
        <v>4</v>
      </c>
      <c r="L363" s="182"/>
      <c r="M363" s="183">
        <f t="shared" si="175"/>
        <v>0.80290904587623158</v>
      </c>
      <c r="N363" s="183">
        <f t="shared" si="175"/>
        <v>0.80290904587623158</v>
      </c>
      <c r="O363" s="183">
        <f t="shared" si="175"/>
        <v>0.80290904587623158</v>
      </c>
      <c r="P363" s="183">
        <f t="shared" si="175"/>
        <v>0.80290904587623158</v>
      </c>
      <c r="Q363" s="183">
        <f t="shared" si="175"/>
        <v>0.80808291450764036</v>
      </c>
      <c r="R363" s="183">
        <f t="shared" si="175"/>
        <v>0.80808291450764036</v>
      </c>
      <c r="S363" s="183">
        <f t="shared" si="175"/>
        <v>0.82598986361177884</v>
      </c>
      <c r="T363" s="183">
        <f t="shared" si="175"/>
        <v>0.82216630302992566</v>
      </c>
      <c r="U363" s="183">
        <f t="shared" si="175"/>
        <v>0.81839871104274631</v>
      </c>
      <c r="V363" s="183">
        <f t="shared" si="175"/>
        <v>0.8146863535281631</v>
      </c>
      <c r="W363" s="183">
        <f t="shared" si="176"/>
        <v>0.81102851075018623</v>
      </c>
      <c r="X363" s="183">
        <f t="shared" si="176"/>
        <v>0.81102851075018623</v>
      </c>
      <c r="Y363" s="183">
        <f t="shared" si="176"/>
        <v>0.81102851075018623</v>
      </c>
      <c r="Z363" s="183">
        <f t="shared" si="176"/>
        <v>0.81102851075018623</v>
      </c>
      <c r="AA363" s="183">
        <f t="shared" si="176"/>
        <v>0.81102851075018623</v>
      </c>
      <c r="AB363" s="183">
        <f t="shared" si="176"/>
        <v>0.81102851075018623</v>
      </c>
      <c r="AC363" s="183">
        <f t="shared" si="176"/>
        <v>0.81102851075018623</v>
      </c>
      <c r="AD363" s="183">
        <f t="shared" si="176"/>
        <v>0.81102851075018623</v>
      </c>
      <c r="AE363" s="183">
        <f t="shared" si="176"/>
        <v>0.81102851075018623</v>
      </c>
      <c r="AF363" s="183">
        <f t="shared" si="176"/>
        <v>0.81102851075018623</v>
      </c>
      <c r="AG363" s="183">
        <f t="shared" si="177"/>
        <v>0.81102851075018623</v>
      </c>
      <c r="AH363" s="183">
        <f t="shared" si="177"/>
        <v>0.81102851075018623</v>
      </c>
      <c r="AI363" s="183">
        <f t="shared" si="177"/>
        <v>0.81102851075018623</v>
      </c>
      <c r="AJ363" s="183">
        <f t="shared" si="177"/>
        <v>0.81102851075018623</v>
      </c>
      <c r="AK363" s="183">
        <f t="shared" si="177"/>
        <v>0.81102851075018623</v>
      </c>
      <c r="AL363" s="183">
        <f t="shared" si="177"/>
        <v>0.81102851075018623</v>
      </c>
      <c r="AM363" s="183">
        <f t="shared" si="177"/>
        <v>0.81102851075018623</v>
      </c>
      <c r="AN363" s="183">
        <f t="shared" si="177"/>
        <v>0.81102851075018623</v>
      </c>
      <c r="AO363" s="183">
        <f t="shared" si="177"/>
        <v>0.81102851075018623</v>
      </c>
      <c r="AP363" s="183">
        <f t="shared" si="177"/>
        <v>0.81102851075018623</v>
      </c>
      <c r="AQ363" s="183">
        <f t="shared" si="177"/>
        <v>0.81102851075018623</v>
      </c>
    </row>
    <row r="364" spans="7:43" ht="14.25" customHeight="1" x14ac:dyDescent="0.15">
      <c r="G364" s="22"/>
      <c r="H364" s="179"/>
      <c r="J364" s="242"/>
      <c r="K364" s="182">
        <v>5</v>
      </c>
      <c r="L364" s="182"/>
      <c r="M364" s="183">
        <f t="shared" si="175"/>
        <v>0.76003385610420193</v>
      </c>
      <c r="N364" s="183">
        <f t="shared" si="175"/>
        <v>0.76003385610420193</v>
      </c>
      <c r="O364" s="183">
        <f t="shared" si="175"/>
        <v>0.76003385610420193</v>
      </c>
      <c r="P364" s="183">
        <f t="shared" si="175"/>
        <v>0.76003385610420193</v>
      </c>
      <c r="Q364" s="183">
        <f t="shared" si="175"/>
        <v>0.76616076065754612</v>
      </c>
      <c r="R364" s="183">
        <f t="shared" si="175"/>
        <v>0.76616076065754612</v>
      </c>
      <c r="S364" s="183">
        <f t="shared" si="175"/>
        <v>0.78744167738289705</v>
      </c>
      <c r="T364" s="183">
        <f t="shared" si="175"/>
        <v>0.78288791875941555</v>
      </c>
      <c r="U364" s="183">
        <f t="shared" si="175"/>
        <v>0.7784059928955831</v>
      </c>
      <c r="V364" s="183">
        <f t="shared" si="175"/>
        <v>0.77399481635081202</v>
      </c>
      <c r="W364" s="183">
        <f t="shared" si="176"/>
        <v>0.76965332865870084</v>
      </c>
      <c r="X364" s="183">
        <f t="shared" si="176"/>
        <v>0.76965332865870084</v>
      </c>
      <c r="Y364" s="183">
        <f t="shared" si="176"/>
        <v>0.76965332865870084</v>
      </c>
      <c r="Z364" s="183">
        <f t="shared" si="176"/>
        <v>0.76965332865870084</v>
      </c>
      <c r="AA364" s="183">
        <f t="shared" si="176"/>
        <v>0.76965332865870084</v>
      </c>
      <c r="AB364" s="183">
        <f t="shared" si="176"/>
        <v>0.76965332865870084</v>
      </c>
      <c r="AC364" s="183">
        <f t="shared" si="176"/>
        <v>0.76965332865870084</v>
      </c>
      <c r="AD364" s="183">
        <f t="shared" si="176"/>
        <v>0.76965332865870084</v>
      </c>
      <c r="AE364" s="183">
        <f t="shared" si="176"/>
        <v>0.76965332865870084</v>
      </c>
      <c r="AF364" s="183">
        <f t="shared" si="176"/>
        <v>0.76965332865870084</v>
      </c>
      <c r="AG364" s="183">
        <f t="shared" si="177"/>
        <v>0.76965332865870084</v>
      </c>
      <c r="AH364" s="183">
        <f t="shared" si="177"/>
        <v>0.76965332865870084</v>
      </c>
      <c r="AI364" s="183">
        <f t="shared" si="177"/>
        <v>0.76965332865870084</v>
      </c>
      <c r="AJ364" s="183">
        <f t="shared" si="177"/>
        <v>0.76965332865870084</v>
      </c>
      <c r="AK364" s="183">
        <f t="shared" si="177"/>
        <v>0.76965332865870084</v>
      </c>
      <c r="AL364" s="183">
        <f t="shared" si="177"/>
        <v>0.76965332865870084</v>
      </c>
      <c r="AM364" s="183">
        <f t="shared" si="177"/>
        <v>0.76965332865870084</v>
      </c>
      <c r="AN364" s="183">
        <f t="shared" si="177"/>
        <v>0.76965332865870084</v>
      </c>
      <c r="AO364" s="183">
        <f t="shared" si="177"/>
        <v>0.76965332865870084</v>
      </c>
      <c r="AP364" s="183">
        <f t="shared" si="177"/>
        <v>0.76965332865870084</v>
      </c>
      <c r="AQ364" s="183">
        <f t="shared" si="177"/>
        <v>0.76965332865870084</v>
      </c>
    </row>
    <row r="365" spans="7:43" ht="14.25" customHeight="1" x14ac:dyDescent="0.15">
      <c r="G365" s="22"/>
      <c r="H365" s="179"/>
      <c r="J365" s="242"/>
      <c r="K365" s="182">
        <v>6</v>
      </c>
      <c r="L365" s="182"/>
      <c r="M365" s="183">
        <f t="shared" si="175"/>
        <v>0.71944819328099552</v>
      </c>
      <c r="N365" s="183">
        <f t="shared" si="175"/>
        <v>0.71944819328099552</v>
      </c>
      <c r="O365" s="183">
        <f t="shared" si="175"/>
        <v>0.71944819328099552</v>
      </c>
      <c r="P365" s="183">
        <f t="shared" si="175"/>
        <v>0.71944819328099552</v>
      </c>
      <c r="Q365" s="183">
        <f t="shared" si="175"/>
        <v>0.72641346653023386</v>
      </c>
      <c r="R365" s="183">
        <f t="shared" si="175"/>
        <v>0.72641346653023386</v>
      </c>
      <c r="S365" s="183">
        <f t="shared" si="175"/>
        <v>0.7506924995038744</v>
      </c>
      <c r="T365" s="183">
        <f t="shared" si="175"/>
        <v>0.74548603011420211</v>
      </c>
      <c r="U365" s="183">
        <f t="shared" si="175"/>
        <v>0.74036760029074689</v>
      </c>
      <c r="V365" s="183">
        <f t="shared" si="175"/>
        <v>0.73533571925384877</v>
      </c>
      <c r="W365" s="183">
        <f t="shared" si="176"/>
        <v>0.73038893018383588</v>
      </c>
      <c r="X365" s="183">
        <f t="shared" si="176"/>
        <v>0.73038893018383588</v>
      </c>
      <c r="Y365" s="183">
        <f t="shared" si="176"/>
        <v>0.73038893018383588</v>
      </c>
      <c r="Z365" s="183">
        <f t="shared" si="176"/>
        <v>0.73038893018383588</v>
      </c>
      <c r="AA365" s="183">
        <f t="shared" si="176"/>
        <v>0.73038893018383588</v>
      </c>
      <c r="AB365" s="183">
        <f t="shared" si="176"/>
        <v>0.73038893018383588</v>
      </c>
      <c r="AC365" s="183">
        <f t="shared" si="176"/>
        <v>0.73038893018383588</v>
      </c>
      <c r="AD365" s="183">
        <f t="shared" si="176"/>
        <v>0.73038893018383588</v>
      </c>
      <c r="AE365" s="183">
        <f t="shared" si="176"/>
        <v>0.73038893018383588</v>
      </c>
      <c r="AF365" s="183">
        <f t="shared" si="176"/>
        <v>0.73038893018383588</v>
      </c>
      <c r="AG365" s="183">
        <f t="shared" si="177"/>
        <v>0.73038893018383588</v>
      </c>
      <c r="AH365" s="183">
        <f t="shared" si="177"/>
        <v>0.73038893018383588</v>
      </c>
      <c r="AI365" s="183">
        <f t="shared" si="177"/>
        <v>0.73038893018383588</v>
      </c>
      <c r="AJ365" s="183">
        <f t="shared" si="177"/>
        <v>0.73038893018383588</v>
      </c>
      <c r="AK365" s="183">
        <f t="shared" si="177"/>
        <v>0.73038893018383588</v>
      </c>
      <c r="AL365" s="183">
        <f t="shared" si="177"/>
        <v>0.73038893018383588</v>
      </c>
      <c r="AM365" s="183">
        <f t="shared" si="177"/>
        <v>0.73038893018383588</v>
      </c>
      <c r="AN365" s="183">
        <f t="shared" si="177"/>
        <v>0.73038893018383588</v>
      </c>
      <c r="AO365" s="183">
        <f t="shared" si="177"/>
        <v>0.73038893018383588</v>
      </c>
      <c r="AP365" s="183">
        <f t="shared" si="177"/>
        <v>0.73038893018383588</v>
      </c>
      <c r="AQ365" s="183">
        <f t="shared" si="177"/>
        <v>0.73038893018383588</v>
      </c>
    </row>
    <row r="366" spans="7:43" ht="14.25" customHeight="1" x14ac:dyDescent="0.15">
      <c r="G366" s="22"/>
      <c r="H366" s="179"/>
      <c r="J366" s="242"/>
      <c r="K366" s="182" t="s">
        <v>188</v>
      </c>
      <c r="L366" s="182"/>
      <c r="M366" s="128">
        <v>2020</v>
      </c>
      <c r="N366" s="128">
        <v>2021</v>
      </c>
      <c r="O366" s="128">
        <v>2022</v>
      </c>
      <c r="P366" s="128">
        <v>2023</v>
      </c>
      <c r="Q366" s="128">
        <v>2024</v>
      </c>
      <c r="R366" s="128">
        <v>2025</v>
      </c>
      <c r="S366" s="128">
        <v>2026</v>
      </c>
      <c r="T366" s="128">
        <v>2027</v>
      </c>
      <c r="U366" s="128">
        <v>2028</v>
      </c>
      <c r="V366" s="128">
        <v>2029</v>
      </c>
      <c r="W366" s="128">
        <v>2030</v>
      </c>
      <c r="X366" s="128">
        <v>2031</v>
      </c>
      <c r="Y366" s="128">
        <v>2032</v>
      </c>
      <c r="Z366" s="128">
        <v>2033</v>
      </c>
      <c r="AA366" s="128">
        <v>2034</v>
      </c>
      <c r="AB366" s="128">
        <v>2035</v>
      </c>
      <c r="AC366" s="128">
        <v>2036</v>
      </c>
      <c r="AD366" s="128">
        <v>2037</v>
      </c>
      <c r="AE366" s="128">
        <v>2038</v>
      </c>
      <c r="AF366" s="128">
        <v>2039</v>
      </c>
      <c r="AG366" s="128">
        <v>2040</v>
      </c>
      <c r="AH366" s="128">
        <v>2041</v>
      </c>
      <c r="AI366" s="128">
        <v>2042</v>
      </c>
      <c r="AJ366" s="128">
        <v>2043</v>
      </c>
      <c r="AK366" s="128">
        <v>2044</v>
      </c>
      <c r="AL366" s="128">
        <v>2045</v>
      </c>
      <c r="AM366" s="128">
        <v>2046</v>
      </c>
      <c r="AN366" s="128">
        <v>2047</v>
      </c>
      <c r="AO366" s="128">
        <v>2048</v>
      </c>
      <c r="AP366" s="128">
        <v>2049</v>
      </c>
      <c r="AQ366" s="128">
        <v>2050</v>
      </c>
    </row>
    <row r="367" spans="7:43" ht="14.25" customHeight="1" x14ac:dyDescent="0.15">
      <c r="G367" s="22"/>
      <c r="H367" s="179"/>
      <c r="J367" s="242"/>
      <c r="K367" s="182">
        <v>1</v>
      </c>
      <c r="L367" s="182"/>
      <c r="M367" s="183">
        <f t="shared" ref="M367:V372" si="178">1/((1+M$70)*(1+M$47))^$K367</f>
        <v>0.94660019090301939</v>
      </c>
      <c r="N367" s="183">
        <f t="shared" si="178"/>
        <v>0.94660019090301939</v>
      </c>
      <c r="O367" s="183">
        <f t="shared" si="178"/>
        <v>0.94660019090301939</v>
      </c>
      <c r="P367" s="183">
        <f t="shared" si="178"/>
        <v>0.94660019090301939</v>
      </c>
      <c r="Q367" s="183">
        <f t="shared" si="178"/>
        <v>0.94812146984243917</v>
      </c>
      <c r="R367" s="183">
        <f t="shared" si="178"/>
        <v>0.94812146984243917</v>
      </c>
      <c r="S367" s="183">
        <f t="shared" si="178"/>
        <v>0.9533309209627302</v>
      </c>
      <c r="T367" s="183">
        <f t="shared" si="178"/>
        <v>0.95222574298440887</v>
      </c>
      <c r="U367" s="183">
        <f t="shared" si="178"/>
        <v>0.95113296537795455</v>
      </c>
      <c r="V367" s="183">
        <f t="shared" si="178"/>
        <v>0.95005251161857773</v>
      </c>
      <c r="W367" s="183">
        <f t="shared" ref="W367:AF372" si="179">1/((1+W$70)*(1+W$47))^$K367</f>
        <v>0.94898430629372799</v>
      </c>
      <c r="X367" s="183">
        <f t="shared" si="179"/>
        <v>0.94898430629372799</v>
      </c>
      <c r="Y367" s="183">
        <f t="shared" si="179"/>
        <v>0.94898430629372799</v>
      </c>
      <c r="Z367" s="183">
        <f t="shared" si="179"/>
        <v>0.94898430629372799</v>
      </c>
      <c r="AA367" s="183">
        <f t="shared" si="179"/>
        <v>0.94898430629372799</v>
      </c>
      <c r="AB367" s="183">
        <f t="shared" si="179"/>
        <v>0.94898430629372799</v>
      </c>
      <c r="AC367" s="183">
        <f t="shared" si="179"/>
        <v>0.94898430629372799</v>
      </c>
      <c r="AD367" s="183">
        <f t="shared" si="179"/>
        <v>0.94898430629372799</v>
      </c>
      <c r="AE367" s="183">
        <f t="shared" si="179"/>
        <v>0.94898430629372799</v>
      </c>
      <c r="AF367" s="183">
        <f t="shared" si="179"/>
        <v>0.94898430629372799</v>
      </c>
      <c r="AG367" s="183">
        <f t="shared" ref="AG367:AQ372" si="180">1/((1+AG$70)*(1+AG$47))^$K367</f>
        <v>0.94898430629372799</v>
      </c>
      <c r="AH367" s="183">
        <f t="shared" si="180"/>
        <v>0.94898430629372799</v>
      </c>
      <c r="AI367" s="183">
        <f t="shared" si="180"/>
        <v>0.94898430629372799</v>
      </c>
      <c r="AJ367" s="183">
        <f t="shared" si="180"/>
        <v>0.94898430629372799</v>
      </c>
      <c r="AK367" s="183">
        <f t="shared" si="180"/>
        <v>0.94898430629372799</v>
      </c>
      <c r="AL367" s="183">
        <f t="shared" si="180"/>
        <v>0.94898430629372799</v>
      </c>
      <c r="AM367" s="183">
        <f t="shared" si="180"/>
        <v>0.94898430629372799</v>
      </c>
      <c r="AN367" s="183">
        <f t="shared" si="180"/>
        <v>0.94898430629372799</v>
      </c>
      <c r="AO367" s="183">
        <f t="shared" si="180"/>
        <v>0.94898430629372799</v>
      </c>
      <c r="AP367" s="183">
        <f t="shared" si="180"/>
        <v>0.94898430629372799</v>
      </c>
      <c r="AQ367" s="183">
        <f t="shared" si="180"/>
        <v>0.94898430629372799</v>
      </c>
    </row>
    <row r="368" spans="7:43" ht="14.25" customHeight="1" x14ac:dyDescent="0.15">
      <c r="G368" s="22"/>
      <c r="H368" s="179"/>
      <c r="J368" s="242"/>
      <c r="K368" s="182">
        <v>2</v>
      </c>
      <c r="L368" s="182"/>
      <c r="M368" s="183">
        <f t="shared" si="178"/>
        <v>0.89605192141763279</v>
      </c>
      <c r="N368" s="183">
        <f t="shared" si="178"/>
        <v>0.89605192141763279</v>
      </c>
      <c r="O368" s="183">
        <f t="shared" si="178"/>
        <v>0.89605192141763279</v>
      </c>
      <c r="P368" s="183">
        <f t="shared" si="178"/>
        <v>0.89605192141763279</v>
      </c>
      <c r="Q368" s="183">
        <f t="shared" si="178"/>
        <v>0.89893432157618736</v>
      </c>
      <c r="R368" s="183">
        <f t="shared" si="178"/>
        <v>0.89893432157618736</v>
      </c>
      <c r="S368" s="183">
        <f t="shared" si="178"/>
        <v>0.90883984486364744</v>
      </c>
      <c r="T368" s="183">
        <f t="shared" si="178"/>
        <v>0.90673386560220948</v>
      </c>
      <c r="U368" s="183">
        <f t="shared" si="178"/>
        <v>0.90465391782866134</v>
      </c>
      <c r="V368" s="183">
        <f t="shared" si="178"/>
        <v>0.90259977483276776</v>
      </c>
      <c r="W368" s="183">
        <f t="shared" si="179"/>
        <v>0.90057121359178827</v>
      </c>
      <c r="X368" s="183">
        <f t="shared" si="179"/>
        <v>0.90057121359178827</v>
      </c>
      <c r="Y368" s="183">
        <f t="shared" si="179"/>
        <v>0.90057121359178827</v>
      </c>
      <c r="Z368" s="183">
        <f t="shared" si="179"/>
        <v>0.90057121359178827</v>
      </c>
      <c r="AA368" s="183">
        <f t="shared" si="179"/>
        <v>0.90057121359178827</v>
      </c>
      <c r="AB368" s="183">
        <f t="shared" si="179"/>
        <v>0.90057121359178827</v>
      </c>
      <c r="AC368" s="183">
        <f t="shared" si="179"/>
        <v>0.90057121359178827</v>
      </c>
      <c r="AD368" s="183">
        <f t="shared" si="179"/>
        <v>0.90057121359178827</v>
      </c>
      <c r="AE368" s="183">
        <f t="shared" si="179"/>
        <v>0.90057121359178827</v>
      </c>
      <c r="AF368" s="183">
        <f t="shared" si="179"/>
        <v>0.90057121359178827</v>
      </c>
      <c r="AG368" s="183">
        <f t="shared" si="180"/>
        <v>0.90057121359178827</v>
      </c>
      <c r="AH368" s="183">
        <f t="shared" si="180"/>
        <v>0.90057121359178827</v>
      </c>
      <c r="AI368" s="183">
        <f t="shared" si="180"/>
        <v>0.90057121359178827</v>
      </c>
      <c r="AJ368" s="183">
        <f t="shared" si="180"/>
        <v>0.90057121359178827</v>
      </c>
      <c r="AK368" s="183">
        <f t="shared" si="180"/>
        <v>0.90057121359178827</v>
      </c>
      <c r="AL368" s="183">
        <f t="shared" si="180"/>
        <v>0.90057121359178827</v>
      </c>
      <c r="AM368" s="183">
        <f t="shared" si="180"/>
        <v>0.90057121359178827</v>
      </c>
      <c r="AN368" s="183">
        <f t="shared" si="180"/>
        <v>0.90057121359178827</v>
      </c>
      <c r="AO368" s="183">
        <f t="shared" si="180"/>
        <v>0.90057121359178827</v>
      </c>
      <c r="AP368" s="183">
        <f t="shared" si="180"/>
        <v>0.90057121359178827</v>
      </c>
      <c r="AQ368" s="183">
        <f t="shared" si="180"/>
        <v>0.90057121359178827</v>
      </c>
    </row>
    <row r="369" spans="6:63" ht="14.25" customHeight="1" x14ac:dyDescent="0.15">
      <c r="G369" s="22"/>
      <c r="H369" s="179"/>
      <c r="J369" s="242"/>
      <c r="K369" s="182">
        <v>3</v>
      </c>
      <c r="L369" s="182"/>
      <c r="M369" s="183">
        <f t="shared" si="178"/>
        <v>0.84820291987294849</v>
      </c>
      <c r="N369" s="183">
        <f t="shared" si="178"/>
        <v>0.84820291987294849</v>
      </c>
      <c r="O369" s="183">
        <f t="shared" si="178"/>
        <v>0.84820291987294849</v>
      </c>
      <c r="P369" s="183">
        <f t="shared" si="178"/>
        <v>0.84820291987294849</v>
      </c>
      <c r="Q369" s="183">
        <f t="shared" si="178"/>
        <v>0.85229893026463077</v>
      </c>
      <c r="R369" s="183">
        <f t="shared" si="178"/>
        <v>0.85229893026463077</v>
      </c>
      <c r="S369" s="183">
        <f t="shared" si="178"/>
        <v>0.86642512631148594</v>
      </c>
      <c r="T369" s="183">
        <f t="shared" si="178"/>
        <v>0.86341532886218897</v>
      </c>
      <c r="U369" s="183">
        <f t="shared" si="178"/>
        <v>0.86044616350515912</v>
      </c>
      <c r="V369" s="183">
        <f t="shared" si="178"/>
        <v>0.85751718306623381</v>
      </c>
      <c r="W369" s="183">
        <f t="shared" si="179"/>
        <v>0.85462794839850387</v>
      </c>
      <c r="X369" s="183">
        <f t="shared" si="179"/>
        <v>0.85462794839850387</v>
      </c>
      <c r="Y369" s="183">
        <f t="shared" si="179"/>
        <v>0.85462794839850387</v>
      </c>
      <c r="Z369" s="183">
        <f t="shared" si="179"/>
        <v>0.85462794839850387</v>
      </c>
      <c r="AA369" s="183">
        <f t="shared" si="179"/>
        <v>0.85462794839850387</v>
      </c>
      <c r="AB369" s="183">
        <f t="shared" si="179"/>
        <v>0.85462794839850387</v>
      </c>
      <c r="AC369" s="183">
        <f t="shared" si="179"/>
        <v>0.85462794839850387</v>
      </c>
      <c r="AD369" s="183">
        <f t="shared" si="179"/>
        <v>0.85462794839850387</v>
      </c>
      <c r="AE369" s="183">
        <f t="shared" si="179"/>
        <v>0.85462794839850387</v>
      </c>
      <c r="AF369" s="183">
        <f t="shared" si="179"/>
        <v>0.85462794839850387</v>
      </c>
      <c r="AG369" s="183">
        <f t="shared" si="180"/>
        <v>0.85462794839850387</v>
      </c>
      <c r="AH369" s="183">
        <f t="shared" si="180"/>
        <v>0.85462794839850387</v>
      </c>
      <c r="AI369" s="183">
        <f t="shared" si="180"/>
        <v>0.85462794839850387</v>
      </c>
      <c r="AJ369" s="183">
        <f t="shared" si="180"/>
        <v>0.85462794839850387</v>
      </c>
      <c r="AK369" s="183">
        <f t="shared" si="180"/>
        <v>0.85462794839850387</v>
      </c>
      <c r="AL369" s="183">
        <f t="shared" si="180"/>
        <v>0.85462794839850387</v>
      </c>
      <c r="AM369" s="183">
        <f t="shared" si="180"/>
        <v>0.85462794839850387</v>
      </c>
      <c r="AN369" s="183">
        <f t="shared" si="180"/>
        <v>0.85462794839850387</v>
      </c>
      <c r="AO369" s="183">
        <f t="shared" si="180"/>
        <v>0.85462794839850387</v>
      </c>
      <c r="AP369" s="183">
        <f t="shared" si="180"/>
        <v>0.85462794839850387</v>
      </c>
      <c r="AQ369" s="183">
        <f t="shared" si="180"/>
        <v>0.85462794839850387</v>
      </c>
    </row>
    <row r="370" spans="6:63" ht="14.25" customHeight="1" x14ac:dyDescent="0.15">
      <c r="G370" s="22"/>
      <c r="H370" s="179"/>
      <c r="J370" s="242"/>
      <c r="K370" s="182">
        <v>4</v>
      </c>
      <c r="L370" s="182"/>
      <c r="M370" s="183">
        <f t="shared" si="178"/>
        <v>0.80290904587623158</v>
      </c>
      <c r="N370" s="183">
        <f t="shared" si="178"/>
        <v>0.80290904587623158</v>
      </c>
      <c r="O370" s="183">
        <f t="shared" si="178"/>
        <v>0.80290904587623158</v>
      </c>
      <c r="P370" s="183">
        <f t="shared" si="178"/>
        <v>0.80290904587623158</v>
      </c>
      <c r="Q370" s="183">
        <f t="shared" si="178"/>
        <v>0.80808291450764036</v>
      </c>
      <c r="R370" s="183">
        <f t="shared" si="178"/>
        <v>0.80808291450764036</v>
      </c>
      <c r="S370" s="183">
        <f t="shared" si="178"/>
        <v>0.82598986361177884</v>
      </c>
      <c r="T370" s="183">
        <f t="shared" si="178"/>
        <v>0.82216630302992566</v>
      </c>
      <c r="U370" s="183">
        <f t="shared" si="178"/>
        <v>0.81839871104274631</v>
      </c>
      <c r="V370" s="183">
        <f t="shared" si="178"/>
        <v>0.8146863535281631</v>
      </c>
      <c r="W370" s="183">
        <f t="shared" si="179"/>
        <v>0.81102851075018623</v>
      </c>
      <c r="X370" s="183">
        <f t="shared" si="179"/>
        <v>0.81102851075018623</v>
      </c>
      <c r="Y370" s="183">
        <f t="shared" si="179"/>
        <v>0.81102851075018623</v>
      </c>
      <c r="Z370" s="183">
        <f t="shared" si="179"/>
        <v>0.81102851075018623</v>
      </c>
      <c r="AA370" s="183">
        <f t="shared" si="179"/>
        <v>0.81102851075018623</v>
      </c>
      <c r="AB370" s="183">
        <f t="shared" si="179"/>
        <v>0.81102851075018623</v>
      </c>
      <c r="AC370" s="183">
        <f t="shared" si="179"/>
        <v>0.81102851075018623</v>
      </c>
      <c r="AD370" s="183">
        <f t="shared" si="179"/>
        <v>0.81102851075018623</v>
      </c>
      <c r="AE370" s="183">
        <f t="shared" si="179"/>
        <v>0.81102851075018623</v>
      </c>
      <c r="AF370" s="183">
        <f t="shared" si="179"/>
        <v>0.81102851075018623</v>
      </c>
      <c r="AG370" s="183">
        <f t="shared" si="180"/>
        <v>0.81102851075018623</v>
      </c>
      <c r="AH370" s="183">
        <f t="shared" si="180"/>
        <v>0.81102851075018623</v>
      </c>
      <c r="AI370" s="183">
        <f t="shared" si="180"/>
        <v>0.81102851075018623</v>
      </c>
      <c r="AJ370" s="183">
        <f t="shared" si="180"/>
        <v>0.81102851075018623</v>
      </c>
      <c r="AK370" s="183">
        <f t="shared" si="180"/>
        <v>0.81102851075018623</v>
      </c>
      <c r="AL370" s="183">
        <f t="shared" si="180"/>
        <v>0.81102851075018623</v>
      </c>
      <c r="AM370" s="183">
        <f t="shared" si="180"/>
        <v>0.81102851075018623</v>
      </c>
      <c r="AN370" s="183">
        <f t="shared" si="180"/>
        <v>0.81102851075018623</v>
      </c>
      <c r="AO370" s="183">
        <f t="shared" si="180"/>
        <v>0.81102851075018623</v>
      </c>
      <c r="AP370" s="183">
        <f t="shared" si="180"/>
        <v>0.81102851075018623</v>
      </c>
      <c r="AQ370" s="183">
        <f t="shared" si="180"/>
        <v>0.81102851075018623</v>
      </c>
    </row>
    <row r="371" spans="6:63" ht="14.25" customHeight="1" x14ac:dyDescent="0.15">
      <c r="G371" s="22"/>
      <c r="H371" s="179"/>
      <c r="J371" s="242"/>
      <c r="K371" s="182">
        <v>5</v>
      </c>
      <c r="L371" s="182"/>
      <c r="M371" s="183">
        <f t="shared" si="178"/>
        <v>0.76003385610420193</v>
      </c>
      <c r="N371" s="183">
        <f t="shared" si="178"/>
        <v>0.76003385610420193</v>
      </c>
      <c r="O371" s="183">
        <f t="shared" si="178"/>
        <v>0.76003385610420193</v>
      </c>
      <c r="P371" s="183">
        <f t="shared" si="178"/>
        <v>0.76003385610420193</v>
      </c>
      <c r="Q371" s="183">
        <f t="shared" si="178"/>
        <v>0.76616076065754612</v>
      </c>
      <c r="R371" s="183">
        <f t="shared" si="178"/>
        <v>0.76616076065754612</v>
      </c>
      <c r="S371" s="183">
        <f t="shared" si="178"/>
        <v>0.78744167738289705</v>
      </c>
      <c r="T371" s="183">
        <f t="shared" si="178"/>
        <v>0.78288791875941555</v>
      </c>
      <c r="U371" s="183">
        <f t="shared" si="178"/>
        <v>0.7784059928955831</v>
      </c>
      <c r="V371" s="183">
        <f t="shared" si="178"/>
        <v>0.77399481635081202</v>
      </c>
      <c r="W371" s="183">
        <f t="shared" si="179"/>
        <v>0.76965332865870084</v>
      </c>
      <c r="X371" s="183">
        <f t="shared" si="179"/>
        <v>0.76965332865870084</v>
      </c>
      <c r="Y371" s="183">
        <f t="shared" si="179"/>
        <v>0.76965332865870084</v>
      </c>
      <c r="Z371" s="183">
        <f t="shared" si="179"/>
        <v>0.76965332865870084</v>
      </c>
      <c r="AA371" s="183">
        <f t="shared" si="179"/>
        <v>0.76965332865870084</v>
      </c>
      <c r="AB371" s="183">
        <f t="shared" si="179"/>
        <v>0.76965332865870084</v>
      </c>
      <c r="AC371" s="183">
        <f t="shared" si="179"/>
        <v>0.76965332865870084</v>
      </c>
      <c r="AD371" s="183">
        <f t="shared" si="179"/>
        <v>0.76965332865870084</v>
      </c>
      <c r="AE371" s="183">
        <f t="shared" si="179"/>
        <v>0.76965332865870084</v>
      </c>
      <c r="AF371" s="183">
        <f t="shared" si="179"/>
        <v>0.76965332865870084</v>
      </c>
      <c r="AG371" s="183">
        <f t="shared" si="180"/>
        <v>0.76965332865870084</v>
      </c>
      <c r="AH371" s="183">
        <f t="shared" si="180"/>
        <v>0.76965332865870084</v>
      </c>
      <c r="AI371" s="183">
        <f t="shared" si="180"/>
        <v>0.76965332865870084</v>
      </c>
      <c r="AJ371" s="183">
        <f t="shared" si="180"/>
        <v>0.76965332865870084</v>
      </c>
      <c r="AK371" s="183">
        <f t="shared" si="180"/>
        <v>0.76965332865870084</v>
      </c>
      <c r="AL371" s="183">
        <f t="shared" si="180"/>
        <v>0.76965332865870084</v>
      </c>
      <c r="AM371" s="183">
        <f t="shared" si="180"/>
        <v>0.76965332865870084</v>
      </c>
      <c r="AN371" s="183">
        <f t="shared" si="180"/>
        <v>0.76965332865870084</v>
      </c>
      <c r="AO371" s="183">
        <f t="shared" si="180"/>
        <v>0.76965332865870084</v>
      </c>
      <c r="AP371" s="183">
        <f t="shared" si="180"/>
        <v>0.76965332865870084</v>
      </c>
      <c r="AQ371" s="183">
        <f t="shared" si="180"/>
        <v>0.76965332865870084</v>
      </c>
    </row>
    <row r="372" spans="6:63" ht="14.25" customHeight="1" x14ac:dyDescent="0.15">
      <c r="G372" s="133"/>
      <c r="H372" s="179"/>
      <c r="I372" s="134"/>
      <c r="J372" s="243"/>
      <c r="K372" s="182">
        <v>6</v>
      </c>
      <c r="L372" s="182"/>
      <c r="M372" s="183">
        <f t="shared" si="178"/>
        <v>0.71944819328099552</v>
      </c>
      <c r="N372" s="183">
        <f t="shared" si="178"/>
        <v>0.71944819328099552</v>
      </c>
      <c r="O372" s="183">
        <f t="shared" si="178"/>
        <v>0.71944819328099552</v>
      </c>
      <c r="P372" s="183">
        <f t="shared" si="178"/>
        <v>0.71944819328099552</v>
      </c>
      <c r="Q372" s="183">
        <f t="shared" si="178"/>
        <v>0.72641346653023386</v>
      </c>
      <c r="R372" s="183">
        <f t="shared" si="178"/>
        <v>0.72641346653023386</v>
      </c>
      <c r="S372" s="183">
        <f t="shared" si="178"/>
        <v>0.7506924995038744</v>
      </c>
      <c r="T372" s="183">
        <f t="shared" si="178"/>
        <v>0.74548603011420211</v>
      </c>
      <c r="U372" s="183">
        <f t="shared" si="178"/>
        <v>0.74036760029074689</v>
      </c>
      <c r="V372" s="183">
        <f t="shared" si="178"/>
        <v>0.73533571925384877</v>
      </c>
      <c r="W372" s="183">
        <f t="shared" si="179"/>
        <v>0.73038893018383588</v>
      </c>
      <c r="X372" s="183">
        <f t="shared" si="179"/>
        <v>0.73038893018383588</v>
      </c>
      <c r="Y372" s="183">
        <f t="shared" si="179"/>
        <v>0.73038893018383588</v>
      </c>
      <c r="Z372" s="183">
        <f t="shared" si="179"/>
        <v>0.73038893018383588</v>
      </c>
      <c r="AA372" s="183">
        <f t="shared" si="179"/>
        <v>0.73038893018383588</v>
      </c>
      <c r="AB372" s="183">
        <f t="shared" si="179"/>
        <v>0.73038893018383588</v>
      </c>
      <c r="AC372" s="183">
        <f t="shared" si="179"/>
        <v>0.73038893018383588</v>
      </c>
      <c r="AD372" s="183">
        <f t="shared" si="179"/>
        <v>0.73038893018383588</v>
      </c>
      <c r="AE372" s="183">
        <f t="shared" si="179"/>
        <v>0.73038893018383588</v>
      </c>
      <c r="AF372" s="183">
        <f t="shared" si="179"/>
        <v>0.73038893018383588</v>
      </c>
      <c r="AG372" s="183">
        <f t="shared" si="180"/>
        <v>0.73038893018383588</v>
      </c>
      <c r="AH372" s="183">
        <f t="shared" si="180"/>
        <v>0.73038893018383588</v>
      </c>
      <c r="AI372" s="183">
        <f t="shared" si="180"/>
        <v>0.73038893018383588</v>
      </c>
      <c r="AJ372" s="183">
        <f t="shared" si="180"/>
        <v>0.73038893018383588</v>
      </c>
      <c r="AK372" s="183">
        <f t="shared" si="180"/>
        <v>0.73038893018383588</v>
      </c>
      <c r="AL372" s="183">
        <f t="shared" si="180"/>
        <v>0.73038893018383588</v>
      </c>
      <c r="AM372" s="183">
        <f t="shared" si="180"/>
        <v>0.73038893018383588</v>
      </c>
      <c r="AN372" s="183">
        <f t="shared" si="180"/>
        <v>0.73038893018383588</v>
      </c>
      <c r="AO372" s="183">
        <f t="shared" si="180"/>
        <v>0.73038893018383588</v>
      </c>
      <c r="AP372" s="183">
        <f t="shared" si="180"/>
        <v>0.73038893018383588</v>
      </c>
      <c r="AQ372" s="183">
        <f t="shared" si="180"/>
        <v>0.73038893018383588</v>
      </c>
    </row>
    <row r="373" spans="6:63" ht="14.25" customHeight="1" x14ac:dyDescent="0.15">
      <c r="G373" s="22"/>
    </row>
    <row r="374" spans="6:63" ht="15.75" customHeight="1" thickBot="1" x14ac:dyDescent="0.2">
      <c r="G374" s="22"/>
      <c r="M374" s="128">
        <v>2020</v>
      </c>
      <c r="N374" s="128">
        <v>2021</v>
      </c>
      <c r="O374" s="128">
        <v>2022</v>
      </c>
      <c r="P374" s="128">
        <v>2023</v>
      </c>
      <c r="Q374" s="128">
        <v>2024</v>
      </c>
      <c r="R374" s="128">
        <v>2025</v>
      </c>
      <c r="S374" s="128">
        <v>2026</v>
      </c>
      <c r="T374" s="128">
        <v>2027</v>
      </c>
      <c r="U374" s="128">
        <v>2028</v>
      </c>
      <c r="V374" s="128">
        <v>2029</v>
      </c>
      <c r="W374" s="128">
        <v>2030</v>
      </c>
      <c r="X374" s="128">
        <v>2031</v>
      </c>
      <c r="Y374" s="128">
        <v>2032</v>
      </c>
      <c r="Z374" s="128">
        <v>2033</v>
      </c>
      <c r="AA374" s="128">
        <v>2034</v>
      </c>
      <c r="AB374" s="128">
        <v>2035</v>
      </c>
      <c r="AC374" s="128">
        <v>2036</v>
      </c>
      <c r="AD374" s="128">
        <v>2037</v>
      </c>
      <c r="AE374" s="128">
        <v>2038</v>
      </c>
      <c r="AF374" s="128">
        <v>2039</v>
      </c>
      <c r="AG374" s="128">
        <v>2040</v>
      </c>
      <c r="AH374" s="128">
        <v>2041</v>
      </c>
      <c r="AI374" s="128">
        <v>2042</v>
      </c>
      <c r="AJ374" s="128">
        <v>2043</v>
      </c>
      <c r="AK374" s="128">
        <v>2044</v>
      </c>
      <c r="AL374" s="128">
        <v>2045</v>
      </c>
      <c r="AM374" s="128">
        <v>2046</v>
      </c>
      <c r="AN374" s="128">
        <v>2047</v>
      </c>
      <c r="AO374" s="128">
        <v>2048</v>
      </c>
      <c r="AP374" s="128">
        <v>2049</v>
      </c>
      <c r="AQ374" s="128">
        <v>2050</v>
      </c>
      <c r="AR374" s="16">
        <f>AQ374+1</f>
        <v>2051</v>
      </c>
      <c r="AS374" s="16">
        <f t="shared" ref="AS374:BK374" si="181">AR374+1</f>
        <v>2052</v>
      </c>
      <c r="AT374" s="16">
        <f t="shared" si="181"/>
        <v>2053</v>
      </c>
      <c r="AU374" s="16">
        <f t="shared" si="181"/>
        <v>2054</v>
      </c>
      <c r="AV374" s="16">
        <f t="shared" si="181"/>
        <v>2055</v>
      </c>
      <c r="AW374" s="16">
        <f t="shared" si="181"/>
        <v>2056</v>
      </c>
      <c r="AX374" s="16">
        <f t="shared" si="181"/>
        <v>2057</v>
      </c>
      <c r="AY374" s="16">
        <f t="shared" si="181"/>
        <v>2058</v>
      </c>
      <c r="AZ374" s="16">
        <f t="shared" si="181"/>
        <v>2059</v>
      </c>
      <c r="BA374" s="16">
        <f t="shared" si="181"/>
        <v>2060</v>
      </c>
      <c r="BB374" s="16">
        <f t="shared" si="181"/>
        <v>2061</v>
      </c>
      <c r="BC374" s="16">
        <f t="shared" si="181"/>
        <v>2062</v>
      </c>
      <c r="BD374" s="16">
        <f t="shared" si="181"/>
        <v>2063</v>
      </c>
      <c r="BE374" s="16">
        <f t="shared" si="181"/>
        <v>2064</v>
      </c>
      <c r="BF374" s="16">
        <f>BE374+1</f>
        <v>2065</v>
      </c>
      <c r="BG374" s="16">
        <f t="shared" si="181"/>
        <v>2066</v>
      </c>
      <c r="BH374" s="16">
        <f t="shared" si="181"/>
        <v>2067</v>
      </c>
      <c r="BI374" s="16">
        <f t="shared" si="181"/>
        <v>2068</v>
      </c>
      <c r="BJ374" s="16">
        <f>BI374+1</f>
        <v>2069</v>
      </c>
      <c r="BK374" s="16">
        <f t="shared" si="181"/>
        <v>2070</v>
      </c>
    </row>
    <row r="375" spans="6:63" ht="14.25" customHeight="1" thickTop="1" thickBot="1" x14ac:dyDescent="0.2">
      <c r="F375" s="203"/>
      <c r="H375" s="179"/>
      <c r="J375" s="240" t="s">
        <v>90</v>
      </c>
      <c r="K375" s="19" t="s">
        <v>224</v>
      </c>
      <c r="L375" s="19" t="s">
        <v>219</v>
      </c>
      <c r="M375" s="201">
        <f t="shared" ref="M375:AQ375" si="182">SUMPRODUCT($K$41:$K$43,M$379:M$381,$L$41:$L$43)+SUMPRODUCT($K$41:$K$43,M382:M384,$M$41:$M$43)</f>
        <v>1.024355249773524</v>
      </c>
      <c r="N375" s="201">
        <f t="shared" si="182"/>
        <v>1.024355249773524</v>
      </c>
      <c r="O375" s="201">
        <f t="shared" si="182"/>
        <v>1.024355249773524</v>
      </c>
      <c r="P375" s="201">
        <f t="shared" si="182"/>
        <v>1.024355249773524</v>
      </c>
      <c r="Q375" s="201">
        <f t="shared" si="182"/>
        <v>1.024355249773524</v>
      </c>
      <c r="R375" s="201">
        <f t="shared" si="182"/>
        <v>1.024355249773524</v>
      </c>
      <c r="S375" s="201">
        <f t="shared" si="182"/>
        <v>1.0251412273569538</v>
      </c>
      <c r="T375" s="201">
        <f t="shared" si="182"/>
        <v>1.0259264473711003</v>
      </c>
      <c r="U375" s="201">
        <f t="shared" si="182"/>
        <v>1.0267109120023132</v>
      </c>
      <c r="V375" s="201">
        <f t="shared" si="182"/>
        <v>1.0274946234264462</v>
      </c>
      <c r="W375" s="201">
        <f t="shared" si="182"/>
        <v>1.0282775838089266</v>
      </c>
      <c r="X375" s="201">
        <f t="shared" si="182"/>
        <v>1.0282775838089266</v>
      </c>
      <c r="Y375" s="201">
        <f t="shared" si="182"/>
        <v>1.0282775838089266</v>
      </c>
      <c r="Z375" s="201">
        <f t="shared" si="182"/>
        <v>1.0282775838089266</v>
      </c>
      <c r="AA375" s="201">
        <f t="shared" si="182"/>
        <v>1.0282775838089266</v>
      </c>
      <c r="AB375" s="201">
        <f t="shared" si="182"/>
        <v>1.0282775838089266</v>
      </c>
      <c r="AC375" s="201">
        <f t="shared" si="182"/>
        <v>1.0282775838089266</v>
      </c>
      <c r="AD375" s="201">
        <f t="shared" si="182"/>
        <v>1.0282775838089266</v>
      </c>
      <c r="AE375" s="201">
        <f t="shared" si="182"/>
        <v>1.0282775838089266</v>
      </c>
      <c r="AF375" s="201">
        <f t="shared" si="182"/>
        <v>1.0282775838089266</v>
      </c>
      <c r="AG375" s="201">
        <f t="shared" si="182"/>
        <v>1.0282775838089266</v>
      </c>
      <c r="AH375" s="201">
        <f t="shared" si="182"/>
        <v>1.0282775838089266</v>
      </c>
      <c r="AI375" s="201">
        <f t="shared" si="182"/>
        <v>1.0282775838089266</v>
      </c>
      <c r="AJ375" s="201">
        <f t="shared" si="182"/>
        <v>1.0282775838089266</v>
      </c>
      <c r="AK375" s="201">
        <f t="shared" si="182"/>
        <v>1.0282775838089266</v>
      </c>
      <c r="AL375" s="201">
        <f t="shared" si="182"/>
        <v>1.0282775838089266</v>
      </c>
      <c r="AM375" s="201">
        <f t="shared" si="182"/>
        <v>1.0282775838089266</v>
      </c>
      <c r="AN375" s="201">
        <f t="shared" si="182"/>
        <v>1.0282775838089266</v>
      </c>
      <c r="AO375" s="201">
        <f t="shared" si="182"/>
        <v>1.0282775838089266</v>
      </c>
      <c r="AP375" s="201">
        <f t="shared" si="182"/>
        <v>1.0282775838089266</v>
      </c>
      <c r="AQ375" s="201">
        <f t="shared" si="182"/>
        <v>1.0282775838089266</v>
      </c>
    </row>
    <row r="376" spans="6:63" s="197" customFormat="1" ht="14.25" customHeight="1" thickTop="1" thickBot="1" x14ac:dyDescent="0.2">
      <c r="F376" s="312"/>
      <c r="H376" s="313"/>
      <c r="J376" s="241"/>
      <c r="K376" s="199" t="s">
        <v>224</v>
      </c>
      <c r="L376" s="199" t="s">
        <v>218</v>
      </c>
      <c r="M376" s="314">
        <f t="shared" ref="M376:BK376" si="183">SUMPRODUCT($K$41:$K$43,M$379:M$381,$L$41:$L$43)+SUMPRODUCT($K$41:$K$43,M385:M387,$M$41:$M$43)</f>
        <v>1.024355249773524</v>
      </c>
      <c r="N376" s="314">
        <f t="shared" si="183"/>
        <v>1.024355249773524</v>
      </c>
      <c r="O376" s="314">
        <f t="shared" si="183"/>
        <v>1.024355249773524</v>
      </c>
      <c r="P376" s="314">
        <f t="shared" si="183"/>
        <v>1.024355249773524</v>
      </c>
      <c r="Q376" s="314">
        <f t="shared" si="183"/>
        <v>1.024355249773524</v>
      </c>
      <c r="R376" s="314">
        <f t="shared" si="183"/>
        <v>1.024355249773524</v>
      </c>
      <c r="S376" s="314">
        <f t="shared" si="183"/>
        <v>1.0251412273569538</v>
      </c>
      <c r="T376" s="314">
        <f t="shared" si="183"/>
        <v>1.0259264473711003</v>
      </c>
      <c r="U376" s="314">
        <f t="shared" si="183"/>
        <v>1.0267109120023132</v>
      </c>
      <c r="V376" s="314">
        <f t="shared" si="183"/>
        <v>1.0274946234264462</v>
      </c>
      <c r="W376" s="314">
        <f t="shared" si="183"/>
        <v>1.0282775838089266</v>
      </c>
      <c r="X376" s="314">
        <f t="shared" si="183"/>
        <v>1.0282775838089266</v>
      </c>
      <c r="Y376" s="314">
        <f t="shared" si="183"/>
        <v>1.0282775838089266</v>
      </c>
      <c r="Z376" s="314">
        <f t="shared" si="183"/>
        <v>1.0282775838089266</v>
      </c>
      <c r="AA376" s="314">
        <f t="shared" si="183"/>
        <v>1.0282775838089266</v>
      </c>
      <c r="AB376" s="314">
        <f t="shared" si="183"/>
        <v>1.0282775838089266</v>
      </c>
      <c r="AC376" s="314">
        <f t="shared" si="183"/>
        <v>1.0282775838089266</v>
      </c>
      <c r="AD376" s="314">
        <f t="shared" si="183"/>
        <v>1.0282775838089266</v>
      </c>
      <c r="AE376" s="314">
        <f t="shared" si="183"/>
        <v>1.0282775838089266</v>
      </c>
      <c r="AF376" s="314">
        <f t="shared" si="183"/>
        <v>1.0282775838089266</v>
      </c>
      <c r="AG376" s="314">
        <f t="shared" si="183"/>
        <v>1.0282775838089266</v>
      </c>
      <c r="AH376" s="314">
        <f t="shared" si="183"/>
        <v>1.0282775838089266</v>
      </c>
      <c r="AI376" s="314">
        <f t="shared" si="183"/>
        <v>1.0282775838089266</v>
      </c>
      <c r="AJ376" s="314">
        <f t="shared" si="183"/>
        <v>1.0282775838089266</v>
      </c>
      <c r="AK376" s="314">
        <f t="shared" si="183"/>
        <v>1.0282775838089266</v>
      </c>
      <c r="AL376" s="314">
        <f t="shared" si="183"/>
        <v>1.0282775838089266</v>
      </c>
      <c r="AM376" s="314">
        <f t="shared" si="183"/>
        <v>1.0282775838089266</v>
      </c>
      <c r="AN376" s="314">
        <f t="shared" si="183"/>
        <v>1.0282775838089266</v>
      </c>
      <c r="AO376" s="314">
        <f t="shared" si="183"/>
        <v>1.0282775838089266</v>
      </c>
      <c r="AP376" s="314">
        <f t="shared" si="183"/>
        <v>1.0282775838089266</v>
      </c>
      <c r="AQ376" s="314">
        <f t="shared" si="183"/>
        <v>1.0282775838089266</v>
      </c>
      <c r="AR376" s="314">
        <f>AQ376</f>
        <v>1.0282775838089266</v>
      </c>
      <c r="AS376" s="314">
        <f t="shared" ref="AS376:BK376" si="184">AR376</f>
        <v>1.0282775838089266</v>
      </c>
      <c r="AT376" s="314">
        <f t="shared" si="184"/>
        <v>1.0282775838089266</v>
      </c>
      <c r="AU376" s="314">
        <f t="shared" si="184"/>
        <v>1.0282775838089266</v>
      </c>
      <c r="AV376" s="314">
        <f t="shared" si="184"/>
        <v>1.0282775838089266</v>
      </c>
      <c r="AW376" s="314">
        <f t="shared" si="184"/>
        <v>1.0282775838089266</v>
      </c>
      <c r="AX376" s="314">
        <f t="shared" si="184"/>
        <v>1.0282775838089266</v>
      </c>
      <c r="AY376" s="314">
        <f t="shared" si="184"/>
        <v>1.0282775838089266</v>
      </c>
      <c r="AZ376" s="314">
        <f t="shared" si="184"/>
        <v>1.0282775838089266</v>
      </c>
      <c r="BA376" s="314">
        <f t="shared" si="184"/>
        <v>1.0282775838089266</v>
      </c>
      <c r="BB376" s="314">
        <f t="shared" si="184"/>
        <v>1.0282775838089266</v>
      </c>
      <c r="BC376" s="314">
        <f t="shared" si="184"/>
        <v>1.0282775838089266</v>
      </c>
      <c r="BD376" s="314">
        <f t="shared" si="184"/>
        <v>1.0282775838089266</v>
      </c>
      <c r="BE376" s="314">
        <f t="shared" si="184"/>
        <v>1.0282775838089266</v>
      </c>
      <c r="BF376" s="314">
        <f t="shared" si="184"/>
        <v>1.0282775838089266</v>
      </c>
      <c r="BG376" s="314">
        <f t="shared" si="184"/>
        <v>1.0282775838089266</v>
      </c>
      <c r="BH376" s="314">
        <f t="shared" si="184"/>
        <v>1.0282775838089266</v>
      </c>
      <c r="BI376" s="314">
        <f t="shared" si="184"/>
        <v>1.0282775838089266</v>
      </c>
      <c r="BJ376" s="314">
        <f t="shared" si="184"/>
        <v>1.0282775838089266</v>
      </c>
      <c r="BK376" s="314">
        <f t="shared" si="184"/>
        <v>1.0282775838089266</v>
      </c>
    </row>
    <row r="377" spans="6:63" ht="14.25" customHeight="1" thickTop="1" x14ac:dyDescent="0.15">
      <c r="F377" s="203"/>
      <c r="H377" s="179"/>
      <c r="J377" s="241"/>
      <c r="K377" s="19" t="s">
        <v>224</v>
      </c>
      <c r="L377" s="19" t="s">
        <v>214</v>
      </c>
      <c r="M377" s="201">
        <f t="shared" ref="M377:AQ377" si="185">SUMPRODUCT($K$41:$K$43,M$379:M$381,$L$41:$L$43)+SUMPRODUCT($K$41:$K$43,M388:M390,$M$41:$M$43)</f>
        <v>1.024355249773524</v>
      </c>
      <c r="N377" s="201">
        <f t="shared" si="185"/>
        <v>1.024355249773524</v>
      </c>
      <c r="O377" s="201">
        <f t="shared" si="185"/>
        <v>1.024355249773524</v>
      </c>
      <c r="P377" s="201">
        <f t="shared" si="185"/>
        <v>1.024355249773524</v>
      </c>
      <c r="Q377" s="201">
        <f t="shared" si="185"/>
        <v>1.024355249773524</v>
      </c>
      <c r="R377" s="201">
        <f t="shared" si="185"/>
        <v>1.024355249773524</v>
      </c>
      <c r="S377" s="201">
        <f t="shared" si="185"/>
        <v>1.0251412273569538</v>
      </c>
      <c r="T377" s="201">
        <f t="shared" si="185"/>
        <v>1.0259264473711003</v>
      </c>
      <c r="U377" s="201">
        <f t="shared" si="185"/>
        <v>1.0267109120023132</v>
      </c>
      <c r="V377" s="201">
        <f t="shared" si="185"/>
        <v>1.0274946234264462</v>
      </c>
      <c r="W377" s="201">
        <f t="shared" si="185"/>
        <v>1.0282775838089266</v>
      </c>
      <c r="X377" s="201">
        <f t="shared" si="185"/>
        <v>1.0282775838089266</v>
      </c>
      <c r="Y377" s="201">
        <f t="shared" si="185"/>
        <v>1.0282775838089266</v>
      </c>
      <c r="Z377" s="201">
        <f t="shared" si="185"/>
        <v>1.0282775838089266</v>
      </c>
      <c r="AA377" s="201">
        <f t="shared" si="185"/>
        <v>1.0282775838089266</v>
      </c>
      <c r="AB377" s="201">
        <f t="shared" si="185"/>
        <v>1.0282775838089266</v>
      </c>
      <c r="AC377" s="201">
        <f t="shared" si="185"/>
        <v>1.0282775838089266</v>
      </c>
      <c r="AD377" s="201">
        <f t="shared" si="185"/>
        <v>1.0282775838089266</v>
      </c>
      <c r="AE377" s="201">
        <f t="shared" si="185"/>
        <v>1.0282775838089266</v>
      </c>
      <c r="AF377" s="201">
        <f t="shared" si="185"/>
        <v>1.0282775838089266</v>
      </c>
      <c r="AG377" s="201">
        <f t="shared" si="185"/>
        <v>1.0282775838089266</v>
      </c>
      <c r="AH377" s="201">
        <f t="shared" si="185"/>
        <v>1.0282775838089266</v>
      </c>
      <c r="AI377" s="201">
        <f t="shared" si="185"/>
        <v>1.0282775838089266</v>
      </c>
      <c r="AJ377" s="201">
        <f t="shared" si="185"/>
        <v>1.0282775838089266</v>
      </c>
      <c r="AK377" s="201">
        <f t="shared" si="185"/>
        <v>1.0282775838089266</v>
      </c>
      <c r="AL377" s="201">
        <f t="shared" si="185"/>
        <v>1.0282775838089266</v>
      </c>
      <c r="AM377" s="201">
        <f t="shared" si="185"/>
        <v>1.0282775838089266</v>
      </c>
      <c r="AN377" s="201">
        <f t="shared" si="185"/>
        <v>1.0282775838089266</v>
      </c>
      <c r="AO377" s="201">
        <f t="shared" si="185"/>
        <v>1.0282775838089266</v>
      </c>
      <c r="AP377" s="201">
        <f t="shared" si="185"/>
        <v>1.0282775838089266</v>
      </c>
      <c r="AQ377" s="201">
        <f t="shared" si="185"/>
        <v>1.0282775838089266</v>
      </c>
    </row>
    <row r="378" spans="6:63" ht="14.25" customHeight="1" thickBot="1" x14ac:dyDescent="0.2">
      <c r="F378" s="203"/>
      <c r="H378" s="179"/>
      <c r="J378" s="204"/>
    </row>
    <row r="379" spans="6:63" ht="14.25" customHeight="1" thickTop="1" thickBot="1" x14ac:dyDescent="0.2">
      <c r="F379" s="203"/>
      <c r="H379" s="179"/>
      <c r="J379" s="202"/>
      <c r="K379" s="19" t="s">
        <v>223</v>
      </c>
      <c r="L379" s="19" t="s">
        <v>220</v>
      </c>
      <c r="M379" s="201">
        <f t="shared" ref="M379:AQ379" si="186">1+((1+M$54)^($J41+0.5)-1)</f>
        <v>1.0173494974687902</v>
      </c>
      <c r="N379" s="201">
        <f t="shared" si="186"/>
        <v>1.0173494974687902</v>
      </c>
      <c r="O379" s="201">
        <f t="shared" si="186"/>
        <v>1.0173494974687902</v>
      </c>
      <c r="P379" s="201">
        <f t="shared" si="186"/>
        <v>1.0173494974687902</v>
      </c>
      <c r="Q379" s="201">
        <f t="shared" si="186"/>
        <v>1.0173494974687902</v>
      </c>
      <c r="R379" s="201">
        <f t="shared" si="186"/>
        <v>1.0173494974687902</v>
      </c>
      <c r="S379" s="201">
        <f t="shared" si="186"/>
        <v>1.0183319694480772</v>
      </c>
      <c r="T379" s="201">
        <f t="shared" si="186"/>
        <v>1.0193134944657605</v>
      </c>
      <c r="U379" s="201">
        <f t="shared" si="186"/>
        <v>1.0202940752547767</v>
      </c>
      <c r="V379" s="201">
        <f t="shared" si="186"/>
        <v>1.0212737145349429</v>
      </c>
      <c r="W379" s="201">
        <f t="shared" si="186"/>
        <v>1.0222524150130436</v>
      </c>
      <c r="X379" s="201">
        <f t="shared" si="186"/>
        <v>1.0222524150130436</v>
      </c>
      <c r="Y379" s="201">
        <f t="shared" si="186"/>
        <v>1.0222524150130436</v>
      </c>
      <c r="Z379" s="201">
        <f t="shared" si="186"/>
        <v>1.0222524150130436</v>
      </c>
      <c r="AA379" s="201">
        <f t="shared" si="186"/>
        <v>1.0222524150130436</v>
      </c>
      <c r="AB379" s="201">
        <f t="shared" si="186"/>
        <v>1.0222524150130436</v>
      </c>
      <c r="AC379" s="201">
        <f t="shared" si="186"/>
        <v>1.0222524150130436</v>
      </c>
      <c r="AD379" s="201">
        <f t="shared" si="186"/>
        <v>1.0222524150130436</v>
      </c>
      <c r="AE379" s="201">
        <f t="shared" si="186"/>
        <v>1.0222524150130436</v>
      </c>
      <c r="AF379" s="201">
        <f t="shared" si="186"/>
        <v>1.0222524150130436</v>
      </c>
      <c r="AG379" s="201">
        <f t="shared" si="186"/>
        <v>1.0222524150130436</v>
      </c>
      <c r="AH379" s="201">
        <f t="shared" si="186"/>
        <v>1.0222524150130436</v>
      </c>
      <c r="AI379" s="201">
        <f t="shared" si="186"/>
        <v>1.0222524150130436</v>
      </c>
      <c r="AJ379" s="201">
        <f t="shared" si="186"/>
        <v>1.0222524150130436</v>
      </c>
      <c r="AK379" s="201">
        <f t="shared" si="186"/>
        <v>1.0222524150130436</v>
      </c>
      <c r="AL379" s="201">
        <f t="shared" si="186"/>
        <v>1.0222524150130436</v>
      </c>
      <c r="AM379" s="201">
        <f t="shared" si="186"/>
        <v>1.0222524150130436</v>
      </c>
      <c r="AN379" s="201">
        <f t="shared" si="186"/>
        <v>1.0222524150130436</v>
      </c>
      <c r="AO379" s="201">
        <f t="shared" si="186"/>
        <v>1.0222524150130436</v>
      </c>
      <c r="AP379" s="201">
        <f t="shared" si="186"/>
        <v>1.0222524150130436</v>
      </c>
      <c r="AQ379" s="201">
        <f t="shared" si="186"/>
        <v>1.0222524150130436</v>
      </c>
    </row>
    <row r="380" spans="6:63" ht="14.25" customHeight="1" thickTop="1" thickBot="1" x14ac:dyDescent="0.2">
      <c r="F380" s="203"/>
      <c r="H380" s="179"/>
      <c r="J380" s="202"/>
      <c r="K380" s="19" t="s">
        <v>222</v>
      </c>
      <c r="L380" s="19" t="s">
        <v>220</v>
      </c>
      <c r="M380" s="201">
        <f t="shared" ref="M380:AQ380" si="187">1+((1+M$54)^($J42+0.5)-1)</f>
        <v>1.0529567298801978</v>
      </c>
      <c r="N380" s="201">
        <f t="shared" si="187"/>
        <v>1.0529567298801978</v>
      </c>
      <c r="O380" s="201">
        <f t="shared" si="187"/>
        <v>1.0529567298801978</v>
      </c>
      <c r="P380" s="201">
        <f t="shared" si="187"/>
        <v>1.0529567298801978</v>
      </c>
      <c r="Q380" s="201">
        <f t="shared" si="187"/>
        <v>1.0529567298801978</v>
      </c>
      <c r="R380" s="201">
        <f t="shared" si="187"/>
        <v>1.0529567298801978</v>
      </c>
      <c r="S380" s="201">
        <f t="shared" si="187"/>
        <v>1.0560102523176562</v>
      </c>
      <c r="T380" s="201">
        <f t="shared" si="187"/>
        <v>1.0590667207499251</v>
      </c>
      <c r="U380" s="201">
        <f t="shared" si="187"/>
        <v>1.0621261323402225</v>
      </c>
      <c r="V380" s="201">
        <f t="shared" si="187"/>
        <v>1.0651884842599453</v>
      </c>
      <c r="W380" s="201">
        <f t="shared" si="187"/>
        <v>1.0682537736886304</v>
      </c>
      <c r="X380" s="201">
        <f t="shared" si="187"/>
        <v>1.0682537736886304</v>
      </c>
      <c r="Y380" s="201">
        <f t="shared" si="187"/>
        <v>1.0682537736886304</v>
      </c>
      <c r="Z380" s="201">
        <f t="shared" si="187"/>
        <v>1.0682537736886304</v>
      </c>
      <c r="AA380" s="201">
        <f t="shared" si="187"/>
        <v>1.0682537736886304</v>
      </c>
      <c r="AB380" s="201">
        <f t="shared" si="187"/>
        <v>1.0682537736886304</v>
      </c>
      <c r="AC380" s="201">
        <f t="shared" si="187"/>
        <v>1.0682537736886304</v>
      </c>
      <c r="AD380" s="201">
        <f t="shared" si="187"/>
        <v>1.0682537736886304</v>
      </c>
      <c r="AE380" s="201">
        <f t="shared" si="187"/>
        <v>1.0682537736886304</v>
      </c>
      <c r="AF380" s="201">
        <f t="shared" si="187"/>
        <v>1.0682537736886304</v>
      </c>
      <c r="AG380" s="201">
        <f t="shared" si="187"/>
        <v>1.0682537736886304</v>
      </c>
      <c r="AH380" s="201">
        <f t="shared" si="187"/>
        <v>1.0682537736886304</v>
      </c>
      <c r="AI380" s="201">
        <f t="shared" si="187"/>
        <v>1.0682537736886304</v>
      </c>
      <c r="AJ380" s="201">
        <f t="shared" si="187"/>
        <v>1.0682537736886304</v>
      </c>
      <c r="AK380" s="201">
        <f t="shared" si="187"/>
        <v>1.0682537736886304</v>
      </c>
      <c r="AL380" s="201">
        <f t="shared" si="187"/>
        <v>1.0682537736886304</v>
      </c>
      <c r="AM380" s="201">
        <f t="shared" si="187"/>
        <v>1.0682537736886304</v>
      </c>
      <c r="AN380" s="201">
        <f t="shared" si="187"/>
        <v>1.0682537736886304</v>
      </c>
      <c r="AO380" s="201">
        <f t="shared" si="187"/>
        <v>1.0682537736886304</v>
      </c>
      <c r="AP380" s="201">
        <f t="shared" si="187"/>
        <v>1.0682537736886304</v>
      </c>
      <c r="AQ380" s="201">
        <f t="shared" si="187"/>
        <v>1.0682537736886304</v>
      </c>
    </row>
    <row r="381" spans="6:63" ht="13.5" customHeight="1" thickTop="1" thickBot="1" x14ac:dyDescent="0.2">
      <c r="F381" s="203"/>
      <c r="H381" s="179"/>
      <c r="J381" s="202"/>
      <c r="K381" s="19" t="s">
        <v>221</v>
      </c>
      <c r="L381" s="19" t="s">
        <v>220</v>
      </c>
      <c r="M381" s="201">
        <f t="shared" ref="M381:AQ381" si="188">1+((1+M$54)^($J43+0.5)-1)</f>
        <v>1.0898102154260045</v>
      </c>
      <c r="N381" s="201">
        <f t="shared" si="188"/>
        <v>1.0898102154260045</v>
      </c>
      <c r="O381" s="201">
        <f t="shared" si="188"/>
        <v>1.0898102154260045</v>
      </c>
      <c r="P381" s="201">
        <f t="shared" si="188"/>
        <v>1.0898102154260045</v>
      </c>
      <c r="Q381" s="201">
        <f t="shared" si="188"/>
        <v>1.0898102154260045</v>
      </c>
      <c r="R381" s="201">
        <f t="shared" si="188"/>
        <v>1.0898102154260045</v>
      </c>
      <c r="S381" s="201">
        <f t="shared" si="188"/>
        <v>1.0950826316534092</v>
      </c>
      <c r="T381" s="201">
        <f t="shared" si="188"/>
        <v>1.1003703228591721</v>
      </c>
      <c r="U381" s="201">
        <f t="shared" si="188"/>
        <v>1.1056733037661715</v>
      </c>
      <c r="V381" s="201">
        <f t="shared" si="188"/>
        <v>1.1109915890831228</v>
      </c>
      <c r="W381" s="201">
        <f t="shared" si="188"/>
        <v>1.1163251935046188</v>
      </c>
      <c r="X381" s="201">
        <f t="shared" si="188"/>
        <v>1.1163251935046188</v>
      </c>
      <c r="Y381" s="201">
        <f t="shared" si="188"/>
        <v>1.1163251935046188</v>
      </c>
      <c r="Z381" s="201">
        <f t="shared" si="188"/>
        <v>1.1163251935046188</v>
      </c>
      <c r="AA381" s="201">
        <f t="shared" si="188"/>
        <v>1.1163251935046188</v>
      </c>
      <c r="AB381" s="201">
        <f t="shared" si="188"/>
        <v>1.1163251935046188</v>
      </c>
      <c r="AC381" s="201">
        <f t="shared" si="188"/>
        <v>1.1163251935046188</v>
      </c>
      <c r="AD381" s="201">
        <f t="shared" si="188"/>
        <v>1.1163251935046188</v>
      </c>
      <c r="AE381" s="201">
        <f t="shared" si="188"/>
        <v>1.1163251935046188</v>
      </c>
      <c r="AF381" s="201">
        <f t="shared" si="188"/>
        <v>1.1163251935046188</v>
      </c>
      <c r="AG381" s="201">
        <f t="shared" si="188"/>
        <v>1.1163251935046188</v>
      </c>
      <c r="AH381" s="201">
        <f t="shared" si="188"/>
        <v>1.1163251935046188</v>
      </c>
      <c r="AI381" s="201">
        <f t="shared" si="188"/>
        <v>1.1163251935046188</v>
      </c>
      <c r="AJ381" s="201">
        <f t="shared" si="188"/>
        <v>1.1163251935046188</v>
      </c>
      <c r="AK381" s="201">
        <f t="shared" si="188"/>
        <v>1.1163251935046188</v>
      </c>
      <c r="AL381" s="201">
        <f t="shared" si="188"/>
        <v>1.1163251935046188</v>
      </c>
      <c r="AM381" s="201">
        <f t="shared" si="188"/>
        <v>1.1163251935046188</v>
      </c>
      <c r="AN381" s="201">
        <f t="shared" si="188"/>
        <v>1.1163251935046188</v>
      </c>
      <c r="AO381" s="201">
        <f t="shared" si="188"/>
        <v>1.1163251935046188</v>
      </c>
      <c r="AP381" s="201">
        <f t="shared" si="188"/>
        <v>1.1163251935046188</v>
      </c>
      <c r="AQ381" s="201">
        <f t="shared" si="188"/>
        <v>1.1163251935046188</v>
      </c>
    </row>
    <row r="382" spans="6:63" ht="14.25" customHeight="1" thickTop="1" thickBot="1" x14ac:dyDescent="0.2">
      <c r="F382" s="203"/>
      <c r="H382" s="179"/>
      <c r="J382" s="202"/>
      <c r="K382" s="19" t="s">
        <v>217</v>
      </c>
      <c r="L382" s="19" t="s">
        <v>219</v>
      </c>
      <c r="M382" s="201">
        <f t="shared" ref="M382:AQ382" si="189">1+((1+(M$55+$O$35))^($J41+0.5)-1)</f>
        <v>1.0523782589924593</v>
      </c>
      <c r="N382" s="201">
        <f t="shared" si="189"/>
        <v>1.0523782589924593</v>
      </c>
      <c r="O382" s="201">
        <f t="shared" si="189"/>
        <v>1.0523782589924593</v>
      </c>
      <c r="P382" s="201">
        <f t="shared" si="189"/>
        <v>1.0523782589924593</v>
      </c>
      <c r="Q382" s="201">
        <f t="shared" si="189"/>
        <v>1.0523782589924593</v>
      </c>
      <c r="R382" s="201">
        <f t="shared" si="189"/>
        <v>1.0523782589924593</v>
      </c>
      <c r="S382" s="201">
        <f t="shared" si="189"/>
        <v>1.0523782589924593</v>
      </c>
      <c r="T382" s="201">
        <f t="shared" si="189"/>
        <v>1.0523782589924593</v>
      </c>
      <c r="U382" s="201">
        <f t="shared" si="189"/>
        <v>1.0523782589924593</v>
      </c>
      <c r="V382" s="201">
        <f t="shared" si="189"/>
        <v>1.0523782589924593</v>
      </c>
      <c r="W382" s="201">
        <f t="shared" si="189"/>
        <v>1.0523782589924593</v>
      </c>
      <c r="X382" s="201">
        <f t="shared" si="189"/>
        <v>1.0523782589924593</v>
      </c>
      <c r="Y382" s="201">
        <f t="shared" si="189"/>
        <v>1.0523782589924593</v>
      </c>
      <c r="Z382" s="201">
        <f t="shared" si="189"/>
        <v>1.0523782589924593</v>
      </c>
      <c r="AA382" s="201">
        <f t="shared" si="189"/>
        <v>1.0523782589924593</v>
      </c>
      <c r="AB382" s="201">
        <f t="shared" si="189"/>
        <v>1.0523782589924593</v>
      </c>
      <c r="AC382" s="201">
        <f t="shared" si="189"/>
        <v>1.0523782589924593</v>
      </c>
      <c r="AD382" s="201">
        <f t="shared" si="189"/>
        <v>1.0523782589924593</v>
      </c>
      <c r="AE382" s="201">
        <f t="shared" si="189"/>
        <v>1.0523782589924593</v>
      </c>
      <c r="AF382" s="201">
        <f t="shared" si="189"/>
        <v>1.0523782589924593</v>
      </c>
      <c r="AG382" s="201">
        <f t="shared" si="189"/>
        <v>1.0523782589924593</v>
      </c>
      <c r="AH382" s="201">
        <f t="shared" si="189"/>
        <v>1.0523782589924593</v>
      </c>
      <c r="AI382" s="201">
        <f t="shared" si="189"/>
        <v>1.0523782589924593</v>
      </c>
      <c r="AJ382" s="201">
        <f t="shared" si="189"/>
        <v>1.0523782589924593</v>
      </c>
      <c r="AK382" s="201">
        <f t="shared" si="189"/>
        <v>1.0523782589924593</v>
      </c>
      <c r="AL382" s="201">
        <f t="shared" si="189"/>
        <v>1.0523782589924593</v>
      </c>
      <c r="AM382" s="201">
        <f t="shared" si="189"/>
        <v>1.0523782589924593</v>
      </c>
      <c r="AN382" s="201">
        <f t="shared" si="189"/>
        <v>1.0523782589924593</v>
      </c>
      <c r="AO382" s="201">
        <f t="shared" si="189"/>
        <v>1.0523782589924593</v>
      </c>
      <c r="AP382" s="201">
        <f t="shared" si="189"/>
        <v>1.0523782589924593</v>
      </c>
      <c r="AQ382" s="201">
        <f t="shared" si="189"/>
        <v>1.0523782589924593</v>
      </c>
    </row>
    <row r="383" spans="6:63" ht="14.25" customHeight="1" thickTop="1" thickBot="1" x14ac:dyDescent="0.2">
      <c r="F383" s="203"/>
      <c r="H383" s="179"/>
      <c r="J383" s="202"/>
      <c r="K383" s="19" t="s">
        <v>216</v>
      </c>
      <c r="L383" s="19" t="s">
        <v>219</v>
      </c>
      <c r="M383" s="201">
        <f t="shared" ref="M383:AQ383" si="190">1+((1+(M$55+$O$35))^($J42+0.5)-1)</f>
        <v>1.1655089218341488</v>
      </c>
      <c r="N383" s="201">
        <f t="shared" si="190"/>
        <v>1.1655089218341488</v>
      </c>
      <c r="O383" s="201">
        <f t="shared" si="190"/>
        <v>1.1655089218341488</v>
      </c>
      <c r="P383" s="201">
        <f t="shared" si="190"/>
        <v>1.1655089218341488</v>
      </c>
      <c r="Q383" s="201">
        <f t="shared" si="190"/>
        <v>1.1655089218341488</v>
      </c>
      <c r="R383" s="201">
        <f t="shared" si="190"/>
        <v>1.1655089218341488</v>
      </c>
      <c r="S383" s="201">
        <f t="shared" si="190"/>
        <v>1.1655089218341488</v>
      </c>
      <c r="T383" s="201">
        <f t="shared" si="190"/>
        <v>1.1655089218341488</v>
      </c>
      <c r="U383" s="201">
        <f t="shared" si="190"/>
        <v>1.1655089218341488</v>
      </c>
      <c r="V383" s="201">
        <f t="shared" si="190"/>
        <v>1.1655089218341488</v>
      </c>
      <c r="W383" s="201">
        <f t="shared" si="190"/>
        <v>1.1655089218341488</v>
      </c>
      <c r="X383" s="201">
        <f t="shared" si="190"/>
        <v>1.1655089218341488</v>
      </c>
      <c r="Y383" s="201">
        <f t="shared" si="190"/>
        <v>1.1655089218341488</v>
      </c>
      <c r="Z383" s="201">
        <f t="shared" si="190"/>
        <v>1.1655089218341488</v>
      </c>
      <c r="AA383" s="201">
        <f t="shared" si="190"/>
        <v>1.1655089218341488</v>
      </c>
      <c r="AB383" s="201">
        <f t="shared" si="190"/>
        <v>1.1655089218341488</v>
      </c>
      <c r="AC383" s="201">
        <f t="shared" si="190"/>
        <v>1.1655089218341488</v>
      </c>
      <c r="AD383" s="201">
        <f t="shared" si="190"/>
        <v>1.1655089218341488</v>
      </c>
      <c r="AE383" s="201">
        <f t="shared" si="190"/>
        <v>1.1655089218341488</v>
      </c>
      <c r="AF383" s="201">
        <f t="shared" si="190"/>
        <v>1.1655089218341488</v>
      </c>
      <c r="AG383" s="201">
        <f t="shared" si="190"/>
        <v>1.1655089218341488</v>
      </c>
      <c r="AH383" s="201">
        <f t="shared" si="190"/>
        <v>1.1655089218341488</v>
      </c>
      <c r="AI383" s="201">
        <f t="shared" si="190"/>
        <v>1.1655089218341488</v>
      </c>
      <c r="AJ383" s="201">
        <f t="shared" si="190"/>
        <v>1.1655089218341488</v>
      </c>
      <c r="AK383" s="201">
        <f t="shared" si="190"/>
        <v>1.1655089218341488</v>
      </c>
      <c r="AL383" s="201">
        <f t="shared" si="190"/>
        <v>1.1655089218341488</v>
      </c>
      <c r="AM383" s="201">
        <f t="shared" si="190"/>
        <v>1.1655089218341488</v>
      </c>
      <c r="AN383" s="201">
        <f t="shared" si="190"/>
        <v>1.1655089218341488</v>
      </c>
      <c r="AO383" s="201">
        <f t="shared" si="190"/>
        <v>1.1655089218341488</v>
      </c>
      <c r="AP383" s="201">
        <f t="shared" si="190"/>
        <v>1.1655089218341488</v>
      </c>
      <c r="AQ383" s="201">
        <f t="shared" si="190"/>
        <v>1.1655089218341488</v>
      </c>
    </row>
    <row r="384" spans="6:63" ht="14.25" customHeight="1" thickTop="1" thickBot="1" x14ac:dyDescent="0.2">
      <c r="F384" s="203"/>
      <c r="H384" s="179"/>
      <c r="J384" s="202"/>
      <c r="K384" s="19" t="s">
        <v>215</v>
      </c>
      <c r="L384" s="19" t="s">
        <v>219</v>
      </c>
      <c r="M384" s="201">
        <f t="shared" ref="M384:AQ384" si="191">1+((1+(M$55+$O$35))^($J43+0.5)-1)</f>
        <v>1.2908011309313197</v>
      </c>
      <c r="N384" s="201">
        <f t="shared" si="191"/>
        <v>1.2908011309313197</v>
      </c>
      <c r="O384" s="201">
        <f t="shared" si="191"/>
        <v>1.2908011309313197</v>
      </c>
      <c r="P384" s="201">
        <f t="shared" si="191"/>
        <v>1.2908011309313197</v>
      </c>
      <c r="Q384" s="201">
        <f t="shared" si="191"/>
        <v>1.2908011309313197</v>
      </c>
      <c r="R384" s="201">
        <f t="shared" si="191"/>
        <v>1.2908011309313197</v>
      </c>
      <c r="S384" s="201">
        <f t="shared" si="191"/>
        <v>1.2908011309313197</v>
      </c>
      <c r="T384" s="201">
        <f t="shared" si="191"/>
        <v>1.2908011309313197</v>
      </c>
      <c r="U384" s="201">
        <f t="shared" si="191"/>
        <v>1.2908011309313197</v>
      </c>
      <c r="V384" s="201">
        <f t="shared" si="191"/>
        <v>1.2908011309313197</v>
      </c>
      <c r="W384" s="201">
        <f t="shared" si="191"/>
        <v>1.2908011309313197</v>
      </c>
      <c r="X384" s="201">
        <f t="shared" si="191"/>
        <v>1.2908011309313197</v>
      </c>
      <c r="Y384" s="201">
        <f t="shared" si="191"/>
        <v>1.2908011309313197</v>
      </c>
      <c r="Z384" s="201">
        <f t="shared" si="191"/>
        <v>1.2908011309313197</v>
      </c>
      <c r="AA384" s="201">
        <f t="shared" si="191"/>
        <v>1.2908011309313197</v>
      </c>
      <c r="AB384" s="201">
        <f t="shared" si="191"/>
        <v>1.2908011309313197</v>
      </c>
      <c r="AC384" s="201">
        <f t="shared" si="191"/>
        <v>1.2908011309313197</v>
      </c>
      <c r="AD384" s="201">
        <f t="shared" si="191"/>
        <v>1.2908011309313197</v>
      </c>
      <c r="AE384" s="201">
        <f t="shared" si="191"/>
        <v>1.2908011309313197</v>
      </c>
      <c r="AF384" s="201">
        <f t="shared" si="191"/>
        <v>1.2908011309313197</v>
      </c>
      <c r="AG384" s="201">
        <f t="shared" si="191"/>
        <v>1.2908011309313197</v>
      </c>
      <c r="AH384" s="201">
        <f t="shared" si="191"/>
        <v>1.2908011309313197</v>
      </c>
      <c r="AI384" s="201">
        <f t="shared" si="191"/>
        <v>1.2908011309313197</v>
      </c>
      <c r="AJ384" s="201">
        <f t="shared" si="191"/>
        <v>1.2908011309313197</v>
      </c>
      <c r="AK384" s="201">
        <f t="shared" si="191"/>
        <v>1.2908011309313197</v>
      </c>
      <c r="AL384" s="201">
        <f t="shared" si="191"/>
        <v>1.2908011309313197</v>
      </c>
      <c r="AM384" s="201">
        <f t="shared" si="191"/>
        <v>1.2908011309313197</v>
      </c>
      <c r="AN384" s="201">
        <f t="shared" si="191"/>
        <v>1.2908011309313197</v>
      </c>
      <c r="AO384" s="201">
        <f t="shared" si="191"/>
        <v>1.2908011309313197</v>
      </c>
      <c r="AP384" s="201">
        <f t="shared" si="191"/>
        <v>1.2908011309313197</v>
      </c>
      <c r="AQ384" s="201">
        <f t="shared" si="191"/>
        <v>1.2908011309313197</v>
      </c>
    </row>
    <row r="385" spans="3:44" ht="14.25" customHeight="1" thickTop="1" thickBot="1" x14ac:dyDescent="0.2">
      <c r="F385" s="203"/>
      <c r="H385" s="179"/>
      <c r="J385" s="202"/>
      <c r="K385" s="19" t="s">
        <v>217</v>
      </c>
      <c r="L385" s="19" t="s">
        <v>218</v>
      </c>
      <c r="M385" s="201">
        <f t="shared" ref="M385:AQ385" si="192">1+((1+(M$56+$O$35))^($J41+0.5)-1)</f>
        <v>1.0523782589924593</v>
      </c>
      <c r="N385" s="201">
        <f t="shared" si="192"/>
        <v>1.0523782589924593</v>
      </c>
      <c r="O385" s="201">
        <f t="shared" si="192"/>
        <v>1.0523782589924593</v>
      </c>
      <c r="P385" s="201">
        <f t="shared" si="192"/>
        <v>1.0523782589924593</v>
      </c>
      <c r="Q385" s="201">
        <f t="shared" si="192"/>
        <v>1.0523782589924593</v>
      </c>
      <c r="R385" s="201">
        <f t="shared" si="192"/>
        <v>1.0523782589924593</v>
      </c>
      <c r="S385" s="201">
        <f t="shared" si="192"/>
        <v>1.0523782589924593</v>
      </c>
      <c r="T385" s="201">
        <f t="shared" si="192"/>
        <v>1.0523782589924593</v>
      </c>
      <c r="U385" s="201">
        <f t="shared" si="192"/>
        <v>1.0523782589924593</v>
      </c>
      <c r="V385" s="201">
        <f t="shared" si="192"/>
        <v>1.0523782589924593</v>
      </c>
      <c r="W385" s="201">
        <f t="shared" si="192"/>
        <v>1.0523782589924593</v>
      </c>
      <c r="X385" s="201">
        <f t="shared" si="192"/>
        <v>1.0523782589924593</v>
      </c>
      <c r="Y385" s="201">
        <f t="shared" si="192"/>
        <v>1.0523782589924593</v>
      </c>
      <c r="Z385" s="201">
        <f t="shared" si="192"/>
        <v>1.0523782589924593</v>
      </c>
      <c r="AA385" s="201">
        <f t="shared" si="192"/>
        <v>1.0523782589924593</v>
      </c>
      <c r="AB385" s="201">
        <f t="shared" si="192"/>
        <v>1.0523782589924593</v>
      </c>
      <c r="AC385" s="201">
        <f t="shared" si="192"/>
        <v>1.0523782589924593</v>
      </c>
      <c r="AD385" s="201">
        <f t="shared" si="192"/>
        <v>1.0523782589924593</v>
      </c>
      <c r="AE385" s="201">
        <f t="shared" si="192"/>
        <v>1.0523782589924593</v>
      </c>
      <c r="AF385" s="201">
        <f t="shared" si="192"/>
        <v>1.0523782589924593</v>
      </c>
      <c r="AG385" s="201">
        <f t="shared" si="192"/>
        <v>1.0523782589924593</v>
      </c>
      <c r="AH385" s="201">
        <f t="shared" si="192"/>
        <v>1.0523782589924593</v>
      </c>
      <c r="AI385" s="201">
        <f t="shared" si="192"/>
        <v>1.0523782589924593</v>
      </c>
      <c r="AJ385" s="201">
        <f t="shared" si="192"/>
        <v>1.0523782589924593</v>
      </c>
      <c r="AK385" s="201">
        <f t="shared" si="192"/>
        <v>1.0523782589924593</v>
      </c>
      <c r="AL385" s="201">
        <f t="shared" si="192"/>
        <v>1.0523782589924593</v>
      </c>
      <c r="AM385" s="201">
        <f t="shared" si="192"/>
        <v>1.0523782589924593</v>
      </c>
      <c r="AN385" s="201">
        <f t="shared" si="192"/>
        <v>1.0523782589924593</v>
      </c>
      <c r="AO385" s="201">
        <f t="shared" si="192"/>
        <v>1.0523782589924593</v>
      </c>
      <c r="AP385" s="201">
        <f t="shared" si="192"/>
        <v>1.0523782589924593</v>
      </c>
      <c r="AQ385" s="201">
        <f t="shared" si="192"/>
        <v>1.0523782589924593</v>
      </c>
    </row>
    <row r="386" spans="3:44" ht="14.25" customHeight="1" thickTop="1" thickBot="1" x14ac:dyDescent="0.2">
      <c r="F386" s="203"/>
      <c r="H386" s="179"/>
      <c r="J386" s="202"/>
      <c r="K386" s="19" t="s">
        <v>216</v>
      </c>
      <c r="L386" s="19" t="s">
        <v>218</v>
      </c>
      <c r="M386" s="201">
        <f t="shared" ref="M386:AQ386" si="193">1+((1+(M$56+$O$35))^($J42+0.5)-1)</f>
        <v>1.1655089218341488</v>
      </c>
      <c r="N386" s="201">
        <f t="shared" si="193"/>
        <v>1.1655089218341488</v>
      </c>
      <c r="O386" s="201">
        <f t="shared" si="193"/>
        <v>1.1655089218341488</v>
      </c>
      <c r="P386" s="201">
        <f t="shared" si="193"/>
        <v>1.1655089218341488</v>
      </c>
      <c r="Q386" s="201">
        <f t="shared" si="193"/>
        <v>1.1655089218341488</v>
      </c>
      <c r="R386" s="201">
        <f t="shared" si="193"/>
        <v>1.1655089218341488</v>
      </c>
      <c r="S386" s="201">
        <f t="shared" si="193"/>
        <v>1.1655089218341488</v>
      </c>
      <c r="T386" s="201">
        <f t="shared" si="193"/>
        <v>1.1655089218341488</v>
      </c>
      <c r="U386" s="201">
        <f t="shared" si="193"/>
        <v>1.1655089218341488</v>
      </c>
      <c r="V386" s="201">
        <f t="shared" si="193"/>
        <v>1.1655089218341488</v>
      </c>
      <c r="W386" s="201">
        <f t="shared" si="193"/>
        <v>1.1655089218341488</v>
      </c>
      <c r="X386" s="201">
        <f t="shared" si="193"/>
        <v>1.1655089218341488</v>
      </c>
      <c r="Y386" s="201">
        <f t="shared" si="193"/>
        <v>1.1655089218341488</v>
      </c>
      <c r="Z386" s="201">
        <f t="shared" si="193"/>
        <v>1.1655089218341488</v>
      </c>
      <c r="AA386" s="201">
        <f t="shared" si="193"/>
        <v>1.1655089218341488</v>
      </c>
      <c r="AB386" s="201">
        <f t="shared" si="193"/>
        <v>1.1655089218341488</v>
      </c>
      <c r="AC386" s="201">
        <f t="shared" si="193"/>
        <v>1.1655089218341488</v>
      </c>
      <c r="AD386" s="201">
        <f t="shared" si="193"/>
        <v>1.1655089218341488</v>
      </c>
      <c r="AE386" s="201">
        <f t="shared" si="193"/>
        <v>1.1655089218341488</v>
      </c>
      <c r="AF386" s="201">
        <f t="shared" si="193"/>
        <v>1.1655089218341488</v>
      </c>
      <c r="AG386" s="201">
        <f t="shared" si="193"/>
        <v>1.1655089218341488</v>
      </c>
      <c r="AH386" s="201">
        <f t="shared" si="193"/>
        <v>1.1655089218341488</v>
      </c>
      <c r="AI386" s="201">
        <f t="shared" si="193"/>
        <v>1.1655089218341488</v>
      </c>
      <c r="AJ386" s="201">
        <f t="shared" si="193"/>
        <v>1.1655089218341488</v>
      </c>
      <c r="AK386" s="201">
        <f t="shared" si="193"/>
        <v>1.1655089218341488</v>
      </c>
      <c r="AL386" s="201">
        <f t="shared" si="193"/>
        <v>1.1655089218341488</v>
      </c>
      <c r="AM386" s="201">
        <f t="shared" si="193"/>
        <v>1.1655089218341488</v>
      </c>
      <c r="AN386" s="201">
        <f t="shared" si="193"/>
        <v>1.1655089218341488</v>
      </c>
      <c r="AO386" s="201">
        <f t="shared" si="193"/>
        <v>1.1655089218341488</v>
      </c>
      <c r="AP386" s="201">
        <f t="shared" si="193"/>
        <v>1.1655089218341488</v>
      </c>
      <c r="AQ386" s="201">
        <f t="shared" si="193"/>
        <v>1.1655089218341488</v>
      </c>
    </row>
    <row r="387" spans="3:44" ht="14.25" customHeight="1" thickTop="1" thickBot="1" x14ac:dyDescent="0.2">
      <c r="F387" s="203"/>
      <c r="H387" s="179"/>
      <c r="J387" s="202"/>
      <c r="K387" s="19" t="s">
        <v>215</v>
      </c>
      <c r="L387" s="19" t="s">
        <v>218</v>
      </c>
      <c r="M387" s="201">
        <f t="shared" ref="M387:AQ387" si="194">1+((1+(M$56+$O$35))^($J43+0.5)-1)</f>
        <v>1.2908011309313197</v>
      </c>
      <c r="N387" s="201">
        <f t="shared" si="194"/>
        <v>1.2908011309313197</v>
      </c>
      <c r="O387" s="201">
        <f t="shared" si="194"/>
        <v>1.2908011309313197</v>
      </c>
      <c r="P387" s="201">
        <f t="shared" si="194"/>
        <v>1.2908011309313197</v>
      </c>
      <c r="Q387" s="201">
        <f t="shared" si="194"/>
        <v>1.2908011309313197</v>
      </c>
      <c r="R387" s="201">
        <f t="shared" si="194"/>
        <v>1.2908011309313197</v>
      </c>
      <c r="S387" s="201">
        <f t="shared" si="194"/>
        <v>1.2908011309313197</v>
      </c>
      <c r="T387" s="201">
        <f t="shared" si="194"/>
        <v>1.2908011309313197</v>
      </c>
      <c r="U387" s="201">
        <f t="shared" si="194"/>
        <v>1.2908011309313197</v>
      </c>
      <c r="V387" s="201">
        <f t="shared" si="194"/>
        <v>1.2908011309313197</v>
      </c>
      <c r="W387" s="201">
        <f t="shared" si="194"/>
        <v>1.2908011309313197</v>
      </c>
      <c r="X387" s="201">
        <f t="shared" si="194"/>
        <v>1.2908011309313197</v>
      </c>
      <c r="Y387" s="201">
        <f t="shared" si="194"/>
        <v>1.2908011309313197</v>
      </c>
      <c r="Z387" s="201">
        <f t="shared" si="194"/>
        <v>1.2908011309313197</v>
      </c>
      <c r="AA387" s="201">
        <f t="shared" si="194"/>
        <v>1.2908011309313197</v>
      </c>
      <c r="AB387" s="201">
        <f t="shared" si="194"/>
        <v>1.2908011309313197</v>
      </c>
      <c r="AC387" s="201">
        <f t="shared" si="194"/>
        <v>1.2908011309313197</v>
      </c>
      <c r="AD387" s="201">
        <f t="shared" si="194"/>
        <v>1.2908011309313197</v>
      </c>
      <c r="AE387" s="201">
        <f t="shared" si="194"/>
        <v>1.2908011309313197</v>
      </c>
      <c r="AF387" s="201">
        <f t="shared" si="194"/>
        <v>1.2908011309313197</v>
      </c>
      <c r="AG387" s="201">
        <f t="shared" si="194"/>
        <v>1.2908011309313197</v>
      </c>
      <c r="AH387" s="201">
        <f t="shared" si="194"/>
        <v>1.2908011309313197</v>
      </c>
      <c r="AI387" s="201">
        <f t="shared" si="194"/>
        <v>1.2908011309313197</v>
      </c>
      <c r="AJ387" s="201">
        <f t="shared" si="194"/>
        <v>1.2908011309313197</v>
      </c>
      <c r="AK387" s="201">
        <f t="shared" si="194"/>
        <v>1.2908011309313197</v>
      </c>
      <c r="AL387" s="201">
        <f t="shared" si="194"/>
        <v>1.2908011309313197</v>
      </c>
      <c r="AM387" s="201">
        <f t="shared" si="194"/>
        <v>1.2908011309313197</v>
      </c>
      <c r="AN387" s="201">
        <f t="shared" si="194"/>
        <v>1.2908011309313197</v>
      </c>
      <c r="AO387" s="201">
        <f t="shared" si="194"/>
        <v>1.2908011309313197</v>
      </c>
      <c r="AP387" s="201">
        <f t="shared" si="194"/>
        <v>1.2908011309313197</v>
      </c>
      <c r="AQ387" s="201">
        <f t="shared" si="194"/>
        <v>1.2908011309313197</v>
      </c>
    </row>
    <row r="388" spans="3:44" ht="14.25" customHeight="1" thickTop="1" thickBot="1" x14ac:dyDescent="0.2">
      <c r="F388" s="203"/>
      <c r="H388" s="179"/>
      <c r="J388" s="202"/>
      <c r="K388" s="19" t="s">
        <v>217</v>
      </c>
      <c r="L388" s="19" t="s">
        <v>214</v>
      </c>
      <c r="M388" s="201">
        <f t="shared" ref="M388:AQ388" si="195">1+((1+(M$57+$O$35))^($J41+0.5)-1)</f>
        <v>1.0523782589924593</v>
      </c>
      <c r="N388" s="201">
        <f t="shared" si="195"/>
        <v>1.0523782589924593</v>
      </c>
      <c r="O388" s="201">
        <f t="shared" si="195"/>
        <v>1.0523782589924593</v>
      </c>
      <c r="P388" s="201">
        <f t="shared" si="195"/>
        <v>1.0523782589924593</v>
      </c>
      <c r="Q388" s="201">
        <f t="shared" si="195"/>
        <v>1.0523782589924593</v>
      </c>
      <c r="R388" s="201">
        <f t="shared" si="195"/>
        <v>1.0523782589924593</v>
      </c>
      <c r="S388" s="201">
        <f t="shared" si="195"/>
        <v>1.0523782589924593</v>
      </c>
      <c r="T388" s="201">
        <f t="shared" si="195"/>
        <v>1.0523782589924593</v>
      </c>
      <c r="U388" s="201">
        <f t="shared" si="195"/>
        <v>1.0523782589924593</v>
      </c>
      <c r="V388" s="201">
        <f t="shared" si="195"/>
        <v>1.0523782589924593</v>
      </c>
      <c r="W388" s="201">
        <f t="shared" si="195"/>
        <v>1.0523782589924593</v>
      </c>
      <c r="X388" s="201">
        <f t="shared" si="195"/>
        <v>1.0523782589924593</v>
      </c>
      <c r="Y388" s="201">
        <f t="shared" si="195"/>
        <v>1.0523782589924593</v>
      </c>
      <c r="Z388" s="201">
        <f t="shared" si="195"/>
        <v>1.0523782589924593</v>
      </c>
      <c r="AA388" s="201">
        <f t="shared" si="195"/>
        <v>1.0523782589924593</v>
      </c>
      <c r="AB388" s="201">
        <f t="shared" si="195"/>
        <v>1.0523782589924593</v>
      </c>
      <c r="AC388" s="201">
        <f t="shared" si="195"/>
        <v>1.0523782589924593</v>
      </c>
      <c r="AD388" s="201">
        <f t="shared" si="195"/>
        <v>1.0523782589924593</v>
      </c>
      <c r="AE388" s="201">
        <f t="shared" si="195"/>
        <v>1.0523782589924593</v>
      </c>
      <c r="AF388" s="201">
        <f t="shared" si="195"/>
        <v>1.0523782589924593</v>
      </c>
      <c r="AG388" s="201">
        <f t="shared" si="195"/>
        <v>1.0523782589924593</v>
      </c>
      <c r="AH388" s="201">
        <f t="shared" si="195"/>
        <v>1.0523782589924593</v>
      </c>
      <c r="AI388" s="201">
        <f t="shared" si="195"/>
        <v>1.0523782589924593</v>
      </c>
      <c r="AJ388" s="201">
        <f t="shared" si="195"/>
        <v>1.0523782589924593</v>
      </c>
      <c r="AK388" s="201">
        <f t="shared" si="195"/>
        <v>1.0523782589924593</v>
      </c>
      <c r="AL388" s="201">
        <f t="shared" si="195"/>
        <v>1.0523782589924593</v>
      </c>
      <c r="AM388" s="201">
        <f t="shared" si="195"/>
        <v>1.0523782589924593</v>
      </c>
      <c r="AN388" s="201">
        <f t="shared" si="195"/>
        <v>1.0523782589924593</v>
      </c>
      <c r="AO388" s="201">
        <f t="shared" si="195"/>
        <v>1.0523782589924593</v>
      </c>
      <c r="AP388" s="201">
        <f t="shared" si="195"/>
        <v>1.0523782589924593</v>
      </c>
      <c r="AQ388" s="201">
        <f t="shared" si="195"/>
        <v>1.0523782589924593</v>
      </c>
    </row>
    <row r="389" spans="3:44" ht="14.25" customHeight="1" thickTop="1" thickBot="1" x14ac:dyDescent="0.2">
      <c r="F389" s="203"/>
      <c r="H389" s="179"/>
      <c r="J389" s="202"/>
      <c r="K389" s="19" t="s">
        <v>216</v>
      </c>
      <c r="L389" s="19" t="s">
        <v>214</v>
      </c>
      <c r="M389" s="201">
        <f t="shared" ref="M389:AQ389" si="196">1+((1+(M$57+$O$35))^($J42+0.5)-1)</f>
        <v>1.1655089218341488</v>
      </c>
      <c r="N389" s="201">
        <f t="shared" si="196"/>
        <v>1.1655089218341488</v>
      </c>
      <c r="O389" s="201">
        <f t="shared" si="196"/>
        <v>1.1655089218341488</v>
      </c>
      <c r="P389" s="201">
        <f t="shared" si="196"/>
        <v>1.1655089218341488</v>
      </c>
      <c r="Q389" s="201">
        <f t="shared" si="196"/>
        <v>1.1655089218341488</v>
      </c>
      <c r="R389" s="201">
        <f t="shared" si="196"/>
        <v>1.1655089218341488</v>
      </c>
      <c r="S389" s="201">
        <f t="shared" si="196"/>
        <v>1.1655089218341488</v>
      </c>
      <c r="T389" s="201">
        <f t="shared" si="196"/>
        <v>1.1655089218341488</v>
      </c>
      <c r="U389" s="201">
        <f t="shared" si="196"/>
        <v>1.1655089218341488</v>
      </c>
      <c r="V389" s="201">
        <f t="shared" si="196"/>
        <v>1.1655089218341488</v>
      </c>
      <c r="W389" s="201">
        <f t="shared" si="196"/>
        <v>1.1655089218341488</v>
      </c>
      <c r="X389" s="201">
        <f t="shared" si="196"/>
        <v>1.1655089218341488</v>
      </c>
      <c r="Y389" s="201">
        <f t="shared" si="196"/>
        <v>1.1655089218341488</v>
      </c>
      <c r="Z389" s="201">
        <f t="shared" si="196"/>
        <v>1.1655089218341488</v>
      </c>
      <c r="AA389" s="201">
        <f t="shared" si="196"/>
        <v>1.1655089218341488</v>
      </c>
      <c r="AB389" s="201">
        <f t="shared" si="196"/>
        <v>1.1655089218341488</v>
      </c>
      <c r="AC389" s="201">
        <f t="shared" si="196"/>
        <v>1.1655089218341488</v>
      </c>
      <c r="AD389" s="201">
        <f t="shared" si="196"/>
        <v>1.1655089218341488</v>
      </c>
      <c r="AE389" s="201">
        <f t="shared" si="196"/>
        <v>1.1655089218341488</v>
      </c>
      <c r="AF389" s="201">
        <f t="shared" si="196"/>
        <v>1.1655089218341488</v>
      </c>
      <c r="AG389" s="201">
        <f t="shared" si="196"/>
        <v>1.1655089218341488</v>
      </c>
      <c r="AH389" s="201">
        <f t="shared" si="196"/>
        <v>1.1655089218341488</v>
      </c>
      <c r="AI389" s="201">
        <f t="shared" si="196"/>
        <v>1.1655089218341488</v>
      </c>
      <c r="AJ389" s="201">
        <f t="shared" si="196"/>
        <v>1.1655089218341488</v>
      </c>
      <c r="AK389" s="201">
        <f t="shared" si="196"/>
        <v>1.1655089218341488</v>
      </c>
      <c r="AL389" s="201">
        <f t="shared" si="196"/>
        <v>1.1655089218341488</v>
      </c>
      <c r="AM389" s="201">
        <f t="shared" si="196"/>
        <v>1.1655089218341488</v>
      </c>
      <c r="AN389" s="201">
        <f t="shared" si="196"/>
        <v>1.1655089218341488</v>
      </c>
      <c r="AO389" s="201">
        <f t="shared" si="196"/>
        <v>1.1655089218341488</v>
      </c>
      <c r="AP389" s="201">
        <f t="shared" si="196"/>
        <v>1.1655089218341488</v>
      </c>
      <c r="AQ389" s="201">
        <f t="shared" si="196"/>
        <v>1.1655089218341488</v>
      </c>
    </row>
    <row r="390" spans="3:44" ht="14.25" customHeight="1" thickTop="1" x14ac:dyDescent="0.15">
      <c r="F390" s="203"/>
      <c r="H390" s="179"/>
      <c r="J390" s="202"/>
      <c r="K390" s="19" t="s">
        <v>215</v>
      </c>
      <c r="L390" s="19" t="s">
        <v>214</v>
      </c>
      <c r="M390" s="201">
        <f t="shared" ref="M390:AQ390" si="197">1+((1+(M$57+$O$35))^($J43+0.5)-1)</f>
        <v>1.2908011309313197</v>
      </c>
      <c r="N390" s="201">
        <f t="shared" si="197"/>
        <v>1.2908011309313197</v>
      </c>
      <c r="O390" s="201">
        <f t="shared" si="197"/>
        <v>1.2908011309313197</v>
      </c>
      <c r="P390" s="201">
        <f t="shared" si="197"/>
        <v>1.2908011309313197</v>
      </c>
      <c r="Q390" s="201">
        <f t="shared" si="197"/>
        <v>1.2908011309313197</v>
      </c>
      <c r="R390" s="201">
        <f t="shared" si="197"/>
        <v>1.2908011309313197</v>
      </c>
      <c r="S390" s="201">
        <f t="shared" si="197"/>
        <v>1.2908011309313197</v>
      </c>
      <c r="T390" s="201">
        <f t="shared" si="197"/>
        <v>1.2908011309313197</v>
      </c>
      <c r="U390" s="201">
        <f t="shared" si="197"/>
        <v>1.2908011309313197</v>
      </c>
      <c r="V390" s="201">
        <f t="shared" si="197"/>
        <v>1.2908011309313197</v>
      </c>
      <c r="W390" s="201">
        <f t="shared" si="197"/>
        <v>1.2908011309313197</v>
      </c>
      <c r="X390" s="201">
        <f t="shared" si="197"/>
        <v>1.2908011309313197</v>
      </c>
      <c r="Y390" s="201">
        <f t="shared" si="197"/>
        <v>1.2908011309313197</v>
      </c>
      <c r="Z390" s="201">
        <f t="shared" si="197"/>
        <v>1.2908011309313197</v>
      </c>
      <c r="AA390" s="201">
        <f t="shared" si="197"/>
        <v>1.2908011309313197</v>
      </c>
      <c r="AB390" s="201">
        <f t="shared" si="197"/>
        <v>1.2908011309313197</v>
      </c>
      <c r="AC390" s="201">
        <f t="shared" si="197"/>
        <v>1.2908011309313197</v>
      </c>
      <c r="AD390" s="201">
        <f t="shared" si="197"/>
        <v>1.2908011309313197</v>
      </c>
      <c r="AE390" s="201">
        <f t="shared" si="197"/>
        <v>1.2908011309313197</v>
      </c>
      <c r="AF390" s="201">
        <f t="shared" si="197"/>
        <v>1.2908011309313197</v>
      </c>
      <c r="AG390" s="201">
        <f t="shared" si="197"/>
        <v>1.2908011309313197</v>
      </c>
      <c r="AH390" s="201">
        <f t="shared" si="197"/>
        <v>1.2908011309313197</v>
      </c>
      <c r="AI390" s="201">
        <f t="shared" si="197"/>
        <v>1.2908011309313197</v>
      </c>
      <c r="AJ390" s="201">
        <f t="shared" si="197"/>
        <v>1.2908011309313197</v>
      </c>
      <c r="AK390" s="201">
        <f t="shared" si="197"/>
        <v>1.2908011309313197</v>
      </c>
      <c r="AL390" s="201">
        <f t="shared" si="197"/>
        <v>1.2908011309313197</v>
      </c>
      <c r="AM390" s="201">
        <f t="shared" si="197"/>
        <v>1.2908011309313197</v>
      </c>
      <c r="AN390" s="201">
        <f t="shared" si="197"/>
        <v>1.2908011309313197</v>
      </c>
      <c r="AO390" s="201">
        <f t="shared" si="197"/>
        <v>1.2908011309313197</v>
      </c>
      <c r="AP390" s="201">
        <f t="shared" si="197"/>
        <v>1.2908011309313197</v>
      </c>
      <c r="AQ390" s="201">
        <f t="shared" si="197"/>
        <v>1.2908011309313197</v>
      </c>
    </row>
    <row r="391" spans="3:44" ht="14.25" customHeight="1" x14ac:dyDescent="0.15">
      <c r="G391" s="22"/>
      <c r="J391" s="134"/>
      <c r="K391" s="134"/>
      <c r="L391" s="134"/>
      <c r="M391" s="134"/>
      <c r="N391" s="134"/>
      <c r="O391" s="134"/>
      <c r="P391" s="134"/>
      <c r="Q391" s="134"/>
      <c r="R391" s="134"/>
      <c r="S391" s="134"/>
      <c r="T391" s="134"/>
      <c r="U391" s="134"/>
      <c r="V391" s="134"/>
      <c r="W391" s="134"/>
      <c r="X391" s="134"/>
      <c r="Y391" s="134"/>
      <c r="Z391" s="134"/>
      <c r="AA391" s="134"/>
      <c r="AB391" s="134"/>
      <c r="AC391" s="134"/>
      <c r="AD391" s="134"/>
      <c r="AE391" s="134"/>
      <c r="AF391" s="134"/>
      <c r="AG391" s="134"/>
      <c r="AH391" s="134"/>
      <c r="AI391" s="134"/>
      <c r="AJ391" s="134"/>
      <c r="AK391" s="134"/>
      <c r="AL391" s="134"/>
      <c r="AM391" s="134"/>
      <c r="AN391" s="134"/>
      <c r="AO391" s="134"/>
      <c r="AP391" s="134"/>
      <c r="AQ391" s="134"/>
      <c r="AR391" s="134"/>
    </row>
    <row r="392" spans="3:44" ht="14.25" customHeight="1" x14ac:dyDescent="0.15">
      <c r="G392" s="22"/>
    </row>
    <row r="394" spans="3:44" ht="14.25" customHeight="1" x14ac:dyDescent="0.15">
      <c r="C394" s="21" t="s">
        <v>61</v>
      </c>
      <c r="G394" s="244" t="s">
        <v>191</v>
      </c>
      <c r="H394" s="244"/>
      <c r="I394" s="244"/>
      <c r="J394" s="244"/>
      <c r="K394" s="244"/>
      <c r="L394" s="244"/>
      <c r="M394" s="244"/>
      <c r="N394" s="244"/>
      <c r="O394" s="244"/>
      <c r="P394" s="244"/>
      <c r="Q394" s="244"/>
      <c r="R394" s="244"/>
      <c r="S394" s="244"/>
      <c r="T394" s="244"/>
      <c r="U394" s="244"/>
      <c r="V394" s="244"/>
      <c r="W394" s="244"/>
      <c r="X394" s="244"/>
      <c r="Y394" s="244"/>
      <c r="Z394" s="244"/>
      <c r="AA394" s="244"/>
      <c r="AB394" s="244"/>
      <c r="AC394" s="244"/>
    </row>
    <row r="396" spans="3:44" ht="14.25" customHeight="1" thickBot="1" x14ac:dyDescent="0.2">
      <c r="I396" s="186"/>
      <c r="J396" s="186"/>
      <c r="K396" s="186"/>
      <c r="L396" s="186"/>
      <c r="M396" s="186"/>
      <c r="N396" s="186"/>
    </row>
    <row r="397" spans="3:44" ht="14.25" customHeight="1" x14ac:dyDescent="0.15">
      <c r="I397" s="231" t="s">
        <v>192</v>
      </c>
      <c r="J397" s="232"/>
      <c r="K397" s="232"/>
      <c r="L397" s="232"/>
      <c r="M397" s="232"/>
      <c r="N397" s="232"/>
      <c r="O397" s="245"/>
      <c r="P397" s="245"/>
      <c r="Q397" s="245"/>
      <c r="R397" s="245"/>
      <c r="S397" s="245"/>
      <c r="T397" s="245"/>
      <c r="U397" s="245"/>
      <c r="V397" s="245"/>
      <c r="W397" s="245"/>
      <c r="X397" s="245"/>
      <c r="Y397" s="245"/>
      <c r="Z397" s="245"/>
      <c r="AA397" s="245"/>
      <c r="AB397" s="245"/>
      <c r="AC397" s="246"/>
    </row>
    <row r="398" spans="3:44" ht="14.25" customHeight="1" x14ac:dyDescent="0.15">
      <c r="I398" s="225" t="s">
        <v>193</v>
      </c>
      <c r="J398" s="226"/>
      <c r="K398" s="226"/>
      <c r="L398" s="226"/>
      <c r="M398" s="226"/>
      <c r="N398" s="226"/>
      <c r="O398" s="187" t="s">
        <v>194</v>
      </c>
      <c r="P398" s="188"/>
      <c r="Q398" s="188"/>
      <c r="R398" s="188"/>
      <c r="S398" s="188"/>
      <c r="T398" s="188"/>
      <c r="U398" s="188"/>
      <c r="V398" s="188"/>
      <c r="W398" s="188"/>
      <c r="X398" s="188"/>
      <c r="Y398" s="188"/>
      <c r="Z398" s="188"/>
      <c r="AA398" s="188"/>
      <c r="AB398" s="188"/>
      <c r="AC398" s="189"/>
    </row>
    <row r="399" spans="3:44" ht="14.25" customHeight="1" x14ac:dyDescent="0.15">
      <c r="I399" s="225" t="s">
        <v>132</v>
      </c>
      <c r="J399" s="226"/>
      <c r="K399" s="226"/>
      <c r="L399" s="226"/>
      <c r="M399" s="226"/>
      <c r="N399" s="226"/>
      <c r="O399" s="247" t="s">
        <v>195</v>
      </c>
      <c r="P399" s="248"/>
      <c r="Q399" s="248"/>
      <c r="R399" s="248"/>
      <c r="S399" s="248"/>
      <c r="T399" s="248"/>
      <c r="U399" s="248"/>
      <c r="V399" s="248"/>
      <c r="W399" s="248"/>
      <c r="X399" s="248"/>
      <c r="Y399" s="248"/>
      <c r="Z399" s="248"/>
      <c r="AA399" s="248"/>
      <c r="AB399" s="248"/>
      <c r="AC399" s="249"/>
    </row>
    <row r="400" spans="3:44" ht="14.25" customHeight="1" x14ac:dyDescent="0.2">
      <c r="I400" s="225" t="s">
        <v>12</v>
      </c>
      <c r="J400" s="226"/>
      <c r="K400" s="226"/>
      <c r="L400" s="226"/>
      <c r="M400" s="226"/>
      <c r="N400" s="226"/>
      <c r="O400" s="195" t="s">
        <v>213</v>
      </c>
      <c r="P400" s="191"/>
      <c r="Q400" s="191"/>
      <c r="R400" s="191"/>
      <c r="S400" s="191"/>
      <c r="T400" s="191"/>
      <c r="U400" s="191"/>
      <c r="V400" s="191"/>
      <c r="W400" s="191"/>
      <c r="X400" s="191"/>
      <c r="Y400" s="191"/>
      <c r="Z400" s="191"/>
      <c r="AA400" s="191"/>
      <c r="AB400" s="191"/>
      <c r="AC400" s="192"/>
      <c r="AD400" s="16" t="s">
        <v>212</v>
      </c>
    </row>
    <row r="401" spans="9:30" ht="14.25" customHeight="1" x14ac:dyDescent="0.2">
      <c r="I401" s="225" t="s">
        <v>198</v>
      </c>
      <c r="J401" s="226"/>
      <c r="K401" s="226"/>
      <c r="L401" s="226"/>
      <c r="M401" s="226"/>
      <c r="N401" s="226"/>
      <c r="O401" s="195" t="s">
        <v>213</v>
      </c>
      <c r="P401" s="191"/>
      <c r="Q401" s="191"/>
      <c r="R401" s="191"/>
      <c r="S401" s="191"/>
      <c r="T401" s="191"/>
      <c r="U401" s="191"/>
      <c r="V401" s="191"/>
      <c r="W401" s="191"/>
      <c r="X401" s="191"/>
      <c r="Y401" s="191"/>
      <c r="Z401" s="191"/>
      <c r="AA401" s="191"/>
      <c r="AB401" s="191"/>
      <c r="AC401" s="192"/>
      <c r="AD401" s="16" t="s">
        <v>212</v>
      </c>
    </row>
    <row r="402" spans="9:30" ht="14.25" customHeight="1" x14ac:dyDescent="0.15">
      <c r="I402" s="225" t="s">
        <v>201</v>
      </c>
      <c r="J402" s="226"/>
      <c r="K402" s="226"/>
      <c r="L402" s="226"/>
      <c r="M402" s="226"/>
      <c r="N402" s="226"/>
      <c r="O402" s="227" t="s">
        <v>202</v>
      </c>
      <c r="P402" s="228"/>
      <c r="Q402" s="228"/>
      <c r="R402" s="228"/>
      <c r="S402" s="228"/>
      <c r="T402" s="228"/>
      <c r="U402" s="228"/>
      <c r="V402" s="228"/>
      <c r="W402" s="228"/>
      <c r="X402" s="228"/>
      <c r="Y402" s="228"/>
      <c r="Z402" s="228"/>
      <c r="AA402" s="228"/>
      <c r="AB402" s="228"/>
      <c r="AC402" s="229"/>
    </row>
    <row r="403" spans="9:30" ht="14.25" customHeight="1" thickBot="1" x14ac:dyDescent="0.2">
      <c r="I403" s="220" t="s">
        <v>204</v>
      </c>
      <c r="J403" s="221"/>
      <c r="K403" s="221"/>
      <c r="L403" s="221"/>
      <c r="M403" s="221"/>
      <c r="N403" s="221"/>
      <c r="O403" s="222" t="s">
        <v>202</v>
      </c>
      <c r="P403" s="223"/>
      <c r="Q403" s="223"/>
      <c r="R403" s="223"/>
      <c r="S403" s="223"/>
      <c r="T403" s="223"/>
      <c r="U403" s="223"/>
      <c r="V403" s="223"/>
      <c r="W403" s="223"/>
      <c r="X403" s="223"/>
      <c r="Y403" s="223"/>
      <c r="Z403" s="223"/>
      <c r="AA403" s="223"/>
      <c r="AB403" s="223"/>
      <c r="AC403" s="224"/>
    </row>
    <row r="404" spans="9:30" ht="14.25" customHeight="1" thickBot="1" x14ac:dyDescent="0.2">
      <c r="I404" s="230"/>
      <c r="J404" s="230"/>
      <c r="K404" s="230"/>
      <c r="L404" s="230"/>
      <c r="M404" s="230"/>
      <c r="N404" s="230"/>
      <c r="O404" s="193"/>
      <c r="P404" s="193"/>
      <c r="Q404" s="193"/>
      <c r="R404" s="193"/>
      <c r="S404" s="193"/>
      <c r="T404" s="193"/>
      <c r="U404" s="193"/>
      <c r="V404" s="193"/>
      <c r="W404" s="193"/>
      <c r="X404" s="193"/>
      <c r="Y404" s="193"/>
      <c r="Z404" s="193"/>
      <c r="AA404" s="193"/>
      <c r="AB404" s="193"/>
      <c r="AC404" s="193"/>
    </row>
    <row r="405" spans="9:30" ht="14.25" customHeight="1" x14ac:dyDescent="0.15">
      <c r="I405" s="231" t="s">
        <v>205</v>
      </c>
      <c r="J405" s="232"/>
      <c r="K405" s="232"/>
      <c r="L405" s="232"/>
      <c r="M405" s="232"/>
      <c r="N405" s="232"/>
      <c r="O405" s="233"/>
      <c r="P405" s="234"/>
      <c r="Q405" s="234"/>
      <c r="R405" s="234"/>
      <c r="S405" s="234"/>
      <c r="T405" s="234"/>
      <c r="U405" s="234"/>
      <c r="V405" s="234"/>
      <c r="W405" s="234"/>
      <c r="X405" s="234"/>
      <c r="Y405" s="234"/>
      <c r="Z405" s="234"/>
      <c r="AA405" s="234"/>
      <c r="AB405" s="234"/>
      <c r="AC405" s="235"/>
    </row>
    <row r="406" spans="9:30" ht="14.25" customHeight="1" x14ac:dyDescent="0.15">
      <c r="I406" s="225" t="s">
        <v>132</v>
      </c>
      <c r="J406" s="226"/>
      <c r="K406" s="226"/>
      <c r="L406" s="226"/>
      <c r="M406" s="226"/>
      <c r="N406" s="226"/>
      <c r="O406" s="194" t="s">
        <v>206</v>
      </c>
      <c r="P406" s="188"/>
      <c r="Q406" s="188"/>
      <c r="R406" s="188"/>
      <c r="S406" s="188"/>
      <c r="T406" s="188"/>
      <c r="U406" s="188"/>
      <c r="V406" s="188"/>
      <c r="W406" s="188"/>
      <c r="X406" s="188"/>
      <c r="Y406" s="188"/>
      <c r="Z406" s="188"/>
      <c r="AA406" s="188"/>
      <c r="AB406" s="188"/>
      <c r="AC406" s="189"/>
    </row>
    <row r="407" spans="9:30" ht="14.25" customHeight="1" x14ac:dyDescent="0.15">
      <c r="I407" s="225" t="s">
        <v>12</v>
      </c>
      <c r="J407" s="226"/>
      <c r="K407" s="226"/>
      <c r="L407" s="226"/>
      <c r="M407" s="226"/>
      <c r="N407" s="226"/>
      <c r="O407" s="194" t="s">
        <v>207</v>
      </c>
      <c r="P407" s="188"/>
      <c r="Q407" s="188"/>
      <c r="R407" s="188"/>
      <c r="S407" s="188"/>
      <c r="T407" s="188"/>
      <c r="U407" s="188"/>
      <c r="V407" s="188"/>
      <c r="W407" s="188"/>
      <c r="X407" s="188"/>
      <c r="Y407" s="188"/>
      <c r="Z407" s="188"/>
      <c r="AA407" s="188"/>
      <c r="AB407" s="188"/>
      <c r="AC407" s="189"/>
    </row>
    <row r="408" spans="9:30" ht="27.75" customHeight="1" x14ac:dyDescent="0.2">
      <c r="I408" s="236" t="s">
        <v>198</v>
      </c>
      <c r="J408" s="237"/>
      <c r="K408" s="237"/>
      <c r="L408" s="237"/>
      <c r="M408" s="237"/>
      <c r="N408" s="238"/>
      <c r="O408" s="194" t="s">
        <v>207</v>
      </c>
      <c r="P408"/>
      <c r="Q408"/>
      <c r="R408"/>
      <c r="S408"/>
      <c r="T408"/>
      <c r="U408"/>
      <c r="V408"/>
      <c r="W408"/>
      <c r="X408"/>
      <c r="Y408"/>
      <c r="Z408"/>
      <c r="AA408"/>
      <c r="AB408"/>
      <c r="AC408"/>
    </row>
    <row r="409" spans="9:30" ht="14.25" customHeight="1" x14ac:dyDescent="0.15">
      <c r="I409" s="225" t="s">
        <v>201</v>
      </c>
      <c r="J409" s="226"/>
      <c r="K409" s="226"/>
      <c r="L409" s="226"/>
      <c r="M409" s="226"/>
      <c r="N409" s="226"/>
      <c r="O409" s="227" t="s">
        <v>202</v>
      </c>
      <c r="P409" s="228"/>
      <c r="Q409" s="228"/>
      <c r="R409" s="228"/>
      <c r="S409" s="228"/>
      <c r="T409" s="228"/>
      <c r="U409" s="228"/>
      <c r="V409" s="228"/>
      <c r="W409" s="228"/>
      <c r="X409" s="228"/>
      <c r="Y409" s="228"/>
      <c r="Z409" s="228"/>
      <c r="AA409" s="228"/>
      <c r="AB409" s="228"/>
      <c r="AC409" s="229"/>
    </row>
    <row r="410" spans="9:30" ht="14.25" customHeight="1" thickBot="1" x14ac:dyDescent="0.2">
      <c r="I410" s="220" t="s">
        <v>208</v>
      </c>
      <c r="J410" s="221"/>
      <c r="K410" s="221"/>
      <c r="L410" s="221"/>
      <c r="M410" s="221"/>
      <c r="N410" s="221"/>
      <c r="O410" s="222" t="s">
        <v>202</v>
      </c>
      <c r="P410" s="223"/>
      <c r="Q410" s="223"/>
      <c r="R410" s="223"/>
      <c r="S410" s="223"/>
      <c r="T410" s="223"/>
      <c r="U410" s="223"/>
      <c r="V410" s="223"/>
      <c r="W410" s="223"/>
      <c r="X410" s="223"/>
      <c r="Y410" s="223"/>
      <c r="Z410" s="223"/>
      <c r="AA410" s="223"/>
      <c r="AB410" s="223"/>
      <c r="AC410" s="224"/>
    </row>
    <row r="460" spans="13:47" ht="14.25" customHeight="1" x14ac:dyDescent="0.15">
      <c r="M460" s="16">
        <v>0</v>
      </c>
      <c r="N460" s="16">
        <v>0</v>
      </c>
      <c r="O460" s="16">
        <v>0</v>
      </c>
      <c r="P460" s="16">
        <v>0</v>
      </c>
      <c r="Q460" s="16">
        <v>0</v>
      </c>
      <c r="R460" s="16">
        <v>0</v>
      </c>
      <c r="S460" s="16">
        <v>0</v>
      </c>
      <c r="T460" s="16">
        <v>0</v>
      </c>
      <c r="U460" s="16">
        <v>0</v>
      </c>
      <c r="V460" s="16">
        <v>0</v>
      </c>
      <c r="W460" s="16">
        <v>0</v>
      </c>
      <c r="X460" s="16">
        <v>0</v>
      </c>
      <c r="Y460" s="16">
        <v>0</v>
      </c>
      <c r="Z460" s="16">
        <v>0</v>
      </c>
      <c r="AA460" s="16">
        <v>0</v>
      </c>
      <c r="AB460" s="16">
        <v>0</v>
      </c>
      <c r="AC460" s="16">
        <v>0</v>
      </c>
      <c r="AD460" s="16">
        <v>0</v>
      </c>
      <c r="AE460" s="16">
        <v>0</v>
      </c>
      <c r="AF460" s="16">
        <v>0</v>
      </c>
      <c r="AG460" s="16">
        <v>0</v>
      </c>
      <c r="AH460" s="16">
        <v>0</v>
      </c>
      <c r="AI460" s="16">
        <v>0</v>
      </c>
      <c r="AJ460" s="16">
        <v>0</v>
      </c>
      <c r="AK460" s="16">
        <v>0</v>
      </c>
      <c r="AL460" s="16">
        <v>0</v>
      </c>
      <c r="AM460" s="16">
        <v>0</v>
      </c>
      <c r="AN460" s="16">
        <v>0</v>
      </c>
      <c r="AO460" s="16">
        <v>0</v>
      </c>
      <c r="AP460" s="16">
        <v>0</v>
      </c>
      <c r="AQ460" s="16">
        <v>0</v>
      </c>
      <c r="AR460" s="16">
        <v>0</v>
      </c>
      <c r="AS460" s="16">
        <v>0</v>
      </c>
      <c r="AT460" s="16">
        <v>0</v>
      </c>
      <c r="AU460" s="16">
        <v>0</v>
      </c>
    </row>
  </sheetData>
  <mergeCells count="51">
    <mergeCell ref="U4:U5"/>
    <mergeCell ref="G7:Y7"/>
    <mergeCell ref="H9:H30"/>
    <mergeCell ref="J9:L9"/>
    <mergeCell ref="J14:P14"/>
    <mergeCell ref="J15:P15"/>
    <mergeCell ref="J16:P16"/>
    <mergeCell ref="J17:P17"/>
    <mergeCell ref="M26:R30"/>
    <mergeCell ref="H32:H76"/>
    <mergeCell ref="L37:L40"/>
    <mergeCell ref="M37:M40"/>
    <mergeCell ref="J47:J74"/>
    <mergeCell ref="G81:U81"/>
    <mergeCell ref="H84:H273"/>
    <mergeCell ref="J84:J113"/>
    <mergeCell ref="J116:J145"/>
    <mergeCell ref="J148:J177"/>
    <mergeCell ref="J180:J209"/>
    <mergeCell ref="J212:J241"/>
    <mergeCell ref="J244:J273"/>
    <mergeCell ref="H277:H306"/>
    <mergeCell ref="J277:J306"/>
    <mergeCell ref="H309:H338"/>
    <mergeCell ref="J309:J338"/>
    <mergeCell ref="H342:H351"/>
    <mergeCell ref="J342:J351"/>
    <mergeCell ref="J353:J372"/>
    <mergeCell ref="J375:J377"/>
    <mergeCell ref="G394:AC394"/>
    <mergeCell ref="I397:N397"/>
    <mergeCell ref="O397:AC397"/>
    <mergeCell ref="I398:N398"/>
    <mergeCell ref="I399:N399"/>
    <mergeCell ref="O399:AC399"/>
    <mergeCell ref="I400:N400"/>
    <mergeCell ref="I401:N401"/>
    <mergeCell ref="I402:N402"/>
    <mergeCell ref="O402:AC402"/>
    <mergeCell ref="I403:N403"/>
    <mergeCell ref="O403:AC403"/>
    <mergeCell ref="I404:N404"/>
    <mergeCell ref="I409:N409"/>
    <mergeCell ref="O409:AC409"/>
    <mergeCell ref="I410:N410"/>
    <mergeCell ref="O410:AC410"/>
    <mergeCell ref="I405:N405"/>
    <mergeCell ref="O405:AC405"/>
    <mergeCell ref="I406:N406"/>
    <mergeCell ref="I407:N407"/>
    <mergeCell ref="I408:N408"/>
  </mergeCells>
  <hyperlinks>
    <hyperlink ref="M1" r:id="rId1" xr:uid="{928B6A19-86A1-45F8-9216-B53483471362}"/>
    <hyperlink ref="O398" r:id="rId2" location="ZZDGWR57" xr:uid="{66923AF6-61EC-41B9-8B58-A0EAD55945C7}"/>
    <hyperlink ref="O399:AC399" r:id="rId3" display="NREL. PVWATTS v5. Representative of national range of capacity factors." xr:uid="{ADCAFB7A-2AA0-46F9-9526-C5ECC1CEA107}"/>
    <hyperlink ref="O401" r:id="rId4" display="V. Ramasamy, D. Feldman, Jal Desai, and R. Margolis. 2021." xr:uid="{57CB2A76-0DF9-47F2-A5D8-582FD35E69AE}"/>
    <hyperlink ref="O400" r:id="rId5" display="V. Ramasamy, D. Feldman, Jal Desai, and R. Margolis. 2021." xr:uid="{0790422F-E34E-49A7-AC0F-9B3C7BBA99F9}"/>
  </hyperlinks>
  <pageMargins left="0.7" right="0.7" top="0.75" bottom="0.75" header="0.3" footer="0.3"/>
  <pageSetup orientation="portrait" r:id="rId6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C54BD-EC91-47BA-92BB-DD1730F6C88F}">
  <dimension ref="B1:D54"/>
  <sheetViews>
    <sheetView topLeftCell="A7" workbookViewId="0">
      <selection activeCell="F51" sqref="F51"/>
    </sheetView>
  </sheetViews>
  <sheetFormatPr baseColWidth="10" defaultColWidth="8.83203125" defaultRowHeight="15" x14ac:dyDescent="0.2"/>
  <sheetData>
    <row r="1" spans="2:4" x14ac:dyDescent="0.2">
      <c r="C1" s="19" t="s">
        <v>134</v>
      </c>
    </row>
    <row r="2" spans="2:4" x14ac:dyDescent="0.2">
      <c r="C2" s="19" t="s">
        <v>209</v>
      </c>
      <c r="D2" s="19" t="s">
        <v>210</v>
      </c>
    </row>
    <row r="3" spans="2:4" x14ac:dyDescent="0.2">
      <c r="B3">
        <v>2019</v>
      </c>
      <c r="C3">
        <f>INDEX('Solar - PV Dist. Comm 2021'!$L$165:$BK$165,MATCH('NREL calcs'!$B3,'Solar - PV Dist. Comm 2021'!$L$163:$BK$163,0))</f>
        <v>1806.462617457503</v>
      </c>
      <c r="D3">
        <f>C3*About!$B$32</f>
        <v>1622.3024528666845</v>
      </c>
    </row>
    <row r="4" spans="2:4" x14ac:dyDescent="0.2">
      <c r="B4">
        <v>2020</v>
      </c>
      <c r="C4">
        <f>INDEX('Solar - PV Dist. Comm 2022'!$M$149:$BK$149,MATCH('NREL calcs'!$B4,'Solar - PV Dist. Comm 2022'!$M$147:$BK$147,0))</f>
        <v>1783.5622892746699</v>
      </c>
      <c r="D4">
        <f>C4*About!$B$33</f>
        <v>1582.2171400895966</v>
      </c>
    </row>
    <row r="5" spans="2:4" x14ac:dyDescent="0.2">
      <c r="B5">
        <v>2021</v>
      </c>
      <c r="C5">
        <f>INDEX('Solar - PV Dist. Comm 2022'!$M$149:$BK$149,MATCH('NREL calcs'!$B5,'Solar - PV Dist. Comm 2022'!$M$147:$BK$147,0))</f>
        <v>1597.9941896466974</v>
      </c>
      <c r="D5">
        <f>C5*About!$B$33</f>
        <v>1417.5976986207845</v>
      </c>
    </row>
    <row r="6" spans="2:4" x14ac:dyDescent="0.2">
      <c r="B6">
        <v>2022</v>
      </c>
      <c r="C6">
        <f>INDEX('Solar - PV Dist. Comm 2022'!$M$149:$BK$149,MATCH('NREL calcs'!$B6,'Solar - PV Dist. Comm 2022'!$M$147:$BK$147,0))</f>
        <v>1523.0418654408463</v>
      </c>
      <c r="D6">
        <f>C6*About!$B$33</f>
        <v>1351.1066919645057</v>
      </c>
    </row>
    <row r="7" spans="2:4" x14ac:dyDescent="0.2">
      <c r="B7">
        <v>2023</v>
      </c>
      <c r="C7">
        <f>INDEX('Solar - PV Dist. Comm 2022'!$M$149:$BK$149,MATCH('NREL calcs'!$B7,'Solar - PV Dist. Comm 2022'!$M$147:$BK$147,0))</f>
        <v>1448.0895412349953</v>
      </c>
      <c r="D7">
        <f>C7*About!$B$33</f>
        <v>1284.6156853082271</v>
      </c>
    </row>
    <row r="8" spans="2:4" x14ac:dyDescent="0.2">
      <c r="B8">
        <v>2024</v>
      </c>
      <c r="C8">
        <f>INDEX('Solar - PV Dist. Comm 2022'!$M$149:$BK$149,MATCH('NREL calcs'!$B8,'Solar - PV Dist. Comm 2022'!$M$147:$BK$147,0))</f>
        <v>1373.1372170291443</v>
      </c>
      <c r="D8">
        <f>C8*About!$B$33</f>
        <v>1218.1246786519482</v>
      </c>
    </row>
    <row r="9" spans="2:4" x14ac:dyDescent="0.2">
      <c r="B9">
        <v>2025</v>
      </c>
      <c r="C9">
        <f>INDEX('Solar - PV Dist. Comm 2022'!$M$149:$BK$149,MATCH('NREL calcs'!$B9,'Solar - PV Dist. Comm 2022'!$M$147:$BK$147,0))</f>
        <v>1298.1848928232932</v>
      </c>
      <c r="D9">
        <f>C9*About!$B$33</f>
        <v>1151.6336719956696</v>
      </c>
    </row>
    <row r="10" spans="2:4" x14ac:dyDescent="0.2">
      <c r="B10">
        <v>2026</v>
      </c>
      <c r="C10">
        <f>INDEX('Solar - PV Dist. Comm 2022'!$M$149:$BK$149,MATCH('NREL calcs'!$B10,'Solar - PV Dist. Comm 2022'!$M$147:$BK$147,0))</f>
        <v>1224.1711427873574</v>
      </c>
      <c r="D10">
        <f>C10*About!$B$33</f>
        <v>1085.9752845015109</v>
      </c>
    </row>
    <row r="11" spans="2:4" x14ac:dyDescent="0.2">
      <c r="B11">
        <v>2027</v>
      </c>
      <c r="C11">
        <f>INDEX('Solar - PV Dist. Comm 2022'!$M$149:$BK$149,MATCH('NREL calcs'!$B11,'Solar - PV Dist. Comm 2022'!$M$147:$BK$147,0))</f>
        <v>1150.0415231884244</v>
      </c>
      <c r="D11">
        <f>C11*About!$B$33</f>
        <v>1020.2141078815164</v>
      </c>
    </row>
    <row r="12" spans="2:4" x14ac:dyDescent="0.2">
      <c r="B12">
        <v>2028</v>
      </c>
      <c r="C12">
        <f>INDEX('Solar - PV Dist. Comm 2022'!$M$149:$BK$149,MATCH('NREL calcs'!$B12,'Solar - PV Dist. Comm 2022'!$M$147:$BK$147,0))</f>
        <v>1075.7962026119585</v>
      </c>
      <c r="D12">
        <f>C12*About!$B$33</f>
        <v>954.35029168965002</v>
      </c>
    </row>
    <row r="13" spans="2:4" x14ac:dyDescent="0.2">
      <c r="B13">
        <v>2029</v>
      </c>
      <c r="C13">
        <f>INDEX('Solar - PV Dist. Comm 2022'!$M$149:$BK$149,MATCH('NREL calcs'!$B13,'Solar - PV Dist. Comm 2022'!$M$147:$BK$147,0))</f>
        <v>1001.4353489932919</v>
      </c>
      <c r="D13">
        <f>C13*About!$B$33</f>
        <v>888.38398490313739</v>
      </c>
    </row>
    <row r="14" spans="2:4" x14ac:dyDescent="0.2">
      <c r="B14">
        <v>2030</v>
      </c>
      <c r="C14">
        <f>INDEX('Solar - PV Dist. Comm 2022'!$M$149:$BK$149,MATCH('NREL calcs'!$B14,'Solar - PV Dist. Comm 2022'!$M$147:$BK$147,0))</f>
        <v>926.95912962152659</v>
      </c>
      <c r="D14">
        <f>C14*About!$B$33</f>
        <v>822.31533592592587</v>
      </c>
    </row>
    <row r="15" spans="2:4" x14ac:dyDescent="0.2">
      <c r="B15">
        <v>2031</v>
      </c>
      <c r="C15">
        <f>INDEX('Solar - PV Dist. Comm 2022'!$M$149:$BK$149,MATCH('NREL calcs'!$B15,'Solar - PV Dist. Comm 2022'!$M$147:$BK$147,0))</f>
        <v>916.19229618589918</v>
      </c>
      <c r="D15">
        <f>C15*About!$B$33</f>
        <v>812.76396308698372</v>
      </c>
    </row>
    <row r="16" spans="2:4" x14ac:dyDescent="0.2">
      <c r="B16">
        <v>2032</v>
      </c>
      <c r="C16">
        <f>INDEX('Solar - PV Dist. Comm 2022'!$M$149:$BK$149,MATCH('NREL calcs'!$B16,'Solar - PV Dist. Comm 2022'!$M$147:$BK$147,0))</f>
        <v>905.42546275027178</v>
      </c>
      <c r="D16">
        <f>C16*About!$B$33</f>
        <v>803.21259024804169</v>
      </c>
    </row>
    <row r="17" spans="2:4" x14ac:dyDescent="0.2">
      <c r="B17">
        <v>2033</v>
      </c>
      <c r="C17">
        <f>INDEX('Solar - PV Dist. Comm 2022'!$M$149:$BK$149,MATCH('NREL calcs'!$B17,'Solar - PV Dist. Comm 2022'!$M$147:$BK$147,0))</f>
        <v>894.65862931464449</v>
      </c>
      <c r="D17">
        <f>C17*About!$B$33</f>
        <v>793.66121740909966</v>
      </c>
    </row>
    <row r="18" spans="2:4" x14ac:dyDescent="0.2">
      <c r="B18">
        <v>2034</v>
      </c>
      <c r="C18">
        <f>INDEX('Solar - PV Dist. Comm 2022'!$M$149:$BK$149,MATCH('NREL calcs'!$B18,'Solar - PV Dist. Comm 2022'!$M$147:$BK$147,0))</f>
        <v>883.89179587901708</v>
      </c>
      <c r="D18">
        <f>C18*About!$B$33</f>
        <v>784.10984457015763</v>
      </c>
    </row>
    <row r="19" spans="2:4" x14ac:dyDescent="0.2">
      <c r="B19">
        <v>2035</v>
      </c>
      <c r="C19">
        <f>INDEX('Solar - PV Dist. Comm 2022'!$M$149:$BK$149,MATCH('NREL calcs'!$B19,'Solar - PV Dist. Comm 2022'!$M$147:$BK$147,0))</f>
        <v>873.12496244338979</v>
      </c>
      <c r="D19">
        <f>C19*About!$B$33</f>
        <v>774.5584717312156</v>
      </c>
    </row>
    <row r="20" spans="2:4" x14ac:dyDescent="0.2">
      <c r="B20">
        <v>2036</v>
      </c>
      <c r="C20">
        <f>INDEX('Solar - PV Dist. Comm 2022'!$M$149:$BK$149,MATCH('NREL calcs'!$B20,'Solar - PV Dist. Comm 2022'!$M$147:$BK$147,0))</f>
        <v>862.35812900776239</v>
      </c>
      <c r="D20">
        <f>C20*About!$B$33</f>
        <v>765.00709889227358</v>
      </c>
    </row>
    <row r="21" spans="2:4" x14ac:dyDescent="0.2">
      <c r="B21">
        <v>2037</v>
      </c>
      <c r="C21">
        <f>INDEX('Solar - PV Dist. Comm 2022'!$M$149:$BK$149,MATCH('NREL calcs'!$B21,'Solar - PV Dist. Comm 2022'!$M$147:$BK$147,0))</f>
        <v>851.59129557213498</v>
      </c>
      <c r="D21">
        <f>C21*About!$B$33</f>
        <v>755.45572605333155</v>
      </c>
    </row>
    <row r="22" spans="2:4" x14ac:dyDescent="0.2">
      <c r="B22">
        <v>2038</v>
      </c>
      <c r="C22">
        <f>INDEX('Solar - PV Dist. Comm 2022'!$M$149:$BK$149,MATCH('NREL calcs'!$B22,'Solar - PV Dist. Comm 2022'!$M$147:$BK$147,0))</f>
        <v>840.82446213650769</v>
      </c>
      <c r="D22">
        <f>C22*About!$B$33</f>
        <v>745.90435321438952</v>
      </c>
    </row>
    <row r="23" spans="2:4" x14ac:dyDescent="0.2">
      <c r="B23">
        <v>2039</v>
      </c>
      <c r="C23">
        <f>INDEX('Solar - PV Dist. Comm 2022'!$M$149:$BK$149,MATCH('NREL calcs'!$B23,'Solar - PV Dist. Comm 2022'!$M$147:$BK$147,0))</f>
        <v>830.05762870088029</v>
      </c>
      <c r="D23">
        <f>C23*About!$B$33</f>
        <v>736.35298037544749</v>
      </c>
    </row>
    <row r="24" spans="2:4" x14ac:dyDescent="0.2">
      <c r="B24">
        <v>2040</v>
      </c>
      <c r="C24">
        <f>INDEX('Solar - PV Dist. Comm 2022'!$M$149:$BK$149,MATCH('NREL calcs'!$B24,'Solar - PV Dist. Comm 2022'!$M$147:$BK$147,0))</f>
        <v>819.29079526525288</v>
      </c>
      <c r="D24">
        <f>C24*About!$B$33</f>
        <v>726.80160753650534</v>
      </c>
    </row>
    <row r="25" spans="2:4" x14ac:dyDescent="0.2">
      <c r="B25">
        <v>2041</v>
      </c>
      <c r="C25">
        <f>INDEX('Solar - PV Dist. Comm 2022'!$M$149:$BK$149,MATCH('NREL calcs'!$B25,'Solar - PV Dist. Comm 2022'!$M$147:$BK$147,0))</f>
        <v>808.52396182962559</v>
      </c>
      <c r="D25">
        <f>C25*About!$B$33</f>
        <v>717.25023469756343</v>
      </c>
    </row>
    <row r="26" spans="2:4" x14ac:dyDescent="0.2">
      <c r="B26">
        <v>2042</v>
      </c>
      <c r="C26">
        <f>INDEX('Solar - PV Dist. Comm 2022'!$M$149:$BK$149,MATCH('NREL calcs'!$B26,'Solar - PV Dist. Comm 2022'!$M$147:$BK$147,0))</f>
        <v>797.75712839399819</v>
      </c>
      <c r="D26">
        <f>C26*About!$B$33</f>
        <v>707.69886185862129</v>
      </c>
    </row>
    <row r="27" spans="2:4" x14ac:dyDescent="0.2">
      <c r="B27">
        <v>2043</v>
      </c>
      <c r="C27">
        <f>INDEX('Solar - PV Dist. Comm 2022'!$M$149:$BK$149,MATCH('NREL calcs'!$B27,'Solar - PV Dist. Comm 2022'!$M$147:$BK$147,0))</f>
        <v>786.99029495837078</v>
      </c>
      <c r="D27">
        <f>C27*About!$B$33</f>
        <v>698.14748901967926</v>
      </c>
    </row>
    <row r="28" spans="2:4" x14ac:dyDescent="0.2">
      <c r="B28">
        <v>2044</v>
      </c>
      <c r="C28">
        <f>INDEX('Solar - PV Dist. Comm 2022'!$M$149:$BK$149,MATCH('NREL calcs'!$B28,'Solar - PV Dist. Comm 2022'!$M$147:$BK$147,0))</f>
        <v>776.22346152274349</v>
      </c>
      <c r="D28">
        <f>C28*About!$B$33</f>
        <v>688.59611618073723</v>
      </c>
    </row>
    <row r="29" spans="2:4" x14ac:dyDescent="0.2">
      <c r="B29">
        <v>2045</v>
      </c>
      <c r="C29">
        <f>INDEX('Solar - PV Dist. Comm 2022'!$M$149:$BK$149,MATCH('NREL calcs'!$B29,'Solar - PV Dist. Comm 2022'!$M$147:$BK$147,0))</f>
        <v>765.45662808711609</v>
      </c>
      <c r="D29">
        <f>C29*About!$B$33</f>
        <v>679.0447433417952</v>
      </c>
    </row>
    <row r="30" spans="2:4" x14ac:dyDescent="0.2">
      <c r="B30">
        <v>2046</v>
      </c>
      <c r="C30">
        <f>INDEX('Solar - PV Dist. Comm 2022'!$M$149:$BK$149,MATCH('NREL calcs'!$B30,'Solar - PV Dist. Comm 2022'!$M$147:$BK$147,0))</f>
        <v>754.6897946514888</v>
      </c>
      <c r="D30">
        <f>C30*About!$B$33</f>
        <v>669.49337050285317</v>
      </c>
    </row>
    <row r="31" spans="2:4" x14ac:dyDescent="0.2">
      <c r="B31">
        <v>2047</v>
      </c>
      <c r="C31">
        <f>INDEX('Solar - PV Dist. Comm 2022'!$M$149:$BK$149,MATCH('NREL calcs'!$B31,'Solar - PV Dist. Comm 2022'!$M$147:$BK$147,0))</f>
        <v>743.92296121586139</v>
      </c>
      <c r="D31">
        <f>C31*About!$B$33</f>
        <v>659.94199766391114</v>
      </c>
    </row>
    <row r="32" spans="2:4" x14ac:dyDescent="0.2">
      <c r="B32">
        <v>2048</v>
      </c>
      <c r="C32">
        <f>INDEX('Solar - PV Dist. Comm 2022'!$M$149:$BK$149,MATCH('NREL calcs'!$B32,'Solar - PV Dist. Comm 2022'!$M$147:$BK$147,0))</f>
        <v>733.15612778023399</v>
      </c>
      <c r="D32">
        <f>C32*About!$B$33</f>
        <v>650.390624824969</v>
      </c>
    </row>
    <row r="33" spans="2:4" x14ac:dyDescent="0.2">
      <c r="B33">
        <v>2049</v>
      </c>
      <c r="C33">
        <f>INDEX('Solar - PV Dist. Comm 2022'!$M$149:$BK$149,MATCH('NREL calcs'!$B33,'Solar - PV Dist. Comm 2022'!$M$147:$BK$147,0))</f>
        <v>722.3892943446067</v>
      </c>
      <c r="D33">
        <f>C33*About!$B$33</f>
        <v>640.83925198602708</v>
      </c>
    </row>
    <row r="34" spans="2:4" x14ac:dyDescent="0.2">
      <c r="B34">
        <v>2050</v>
      </c>
      <c r="C34">
        <f>INDEX('Solar - PV Dist. Comm 2022'!$M$149:$BK$149,MATCH('NREL calcs'!$B34,'Solar - PV Dist. Comm 2022'!$M$147:$BK$147,0))</f>
        <v>711.62246090897838</v>
      </c>
      <c r="D34">
        <f>C34*About!$B$33</f>
        <v>631.28787914708414</v>
      </c>
    </row>
    <row r="35" spans="2:4" x14ac:dyDescent="0.2">
      <c r="B35" s="196">
        <v>2051</v>
      </c>
      <c r="C35">
        <f>INDEX('Solar - PV Dist. Comm 2022'!$M$149:$BK$149,MATCH('NREL calcs'!$B35,'Solar - PV Dist. Comm 2022'!$M$147:$BK$147,0))</f>
        <v>701.01610147696294</v>
      </c>
      <c r="D35">
        <f>C35*About!$B$33</f>
        <v>621.87886450924361</v>
      </c>
    </row>
    <row r="36" spans="2:4" x14ac:dyDescent="0.2">
      <c r="B36" s="196">
        <v>2052</v>
      </c>
      <c r="C36">
        <f>INDEX('Solar - PV Dist. Comm 2022'!$M$149:$BK$149,MATCH('NREL calcs'!$B36,'Solar - PV Dist. Comm 2022'!$M$147:$BK$147,0))</f>
        <v>690.56782426772804</v>
      </c>
      <c r="D36">
        <f>C36*About!$B$33</f>
        <v>612.61008629820515</v>
      </c>
    </row>
    <row r="37" spans="2:4" x14ac:dyDescent="0.2">
      <c r="B37" s="196">
        <v>2053</v>
      </c>
      <c r="C37">
        <f>INDEX('Solar - PV Dist. Comm 2022'!$M$149:$BK$149,MATCH('NREL calcs'!$B37,'Solar - PV Dist. Comm 2022'!$M$147:$BK$147,0))</f>
        <v>680.27527314868018</v>
      </c>
      <c r="D37">
        <f>C37*About!$B$33</f>
        <v>603.47945436360158</v>
      </c>
    </row>
    <row r="38" spans="2:4" x14ac:dyDescent="0.2">
      <c r="B38" s="196">
        <v>2054</v>
      </c>
      <c r="C38">
        <f>INDEX('Solar - PV Dist. Comm 2022'!$M$149:$BK$149,MATCH('NREL calcs'!$B38,'Solar - PV Dist. Comm 2022'!$M$147:$BK$147,0))</f>
        <v>670.13612710414543</v>
      </c>
      <c r="D38">
        <f>C38*About!$B$33</f>
        <v>594.48490970765999</v>
      </c>
    </row>
    <row r="39" spans="2:4" x14ac:dyDescent="0.2">
      <c r="B39" s="196">
        <v>2055</v>
      </c>
      <c r="C39">
        <f>INDEX('Solar - PV Dist. Comm 2022'!$M$149:$BK$149,MATCH('NREL calcs'!$B39,'Solar - PV Dist. Comm 2022'!$M$147:$BK$147,0))</f>
        <v>660.1480997119711</v>
      </c>
      <c r="D39">
        <f>C39*About!$B$33</f>
        <v>585.62442402088902</v>
      </c>
    </row>
    <row r="40" spans="2:4" x14ac:dyDescent="0.2">
      <c r="B40" s="196">
        <v>2056</v>
      </c>
      <c r="C40">
        <f>INDEX('Solar - PV Dist. Comm 2022'!$M$149:$BK$149,MATCH('NREL calcs'!$B40,'Solar - PV Dist. Comm 2022'!$M$147:$BK$147,0))</f>
        <v>650.30893862792732</v>
      </c>
      <c r="D40">
        <f>C40*About!$B$33</f>
        <v>576.89599922468653</v>
      </c>
    </row>
    <row r="41" spans="2:4" x14ac:dyDescent="0.2">
      <c r="B41" s="196">
        <v>2057</v>
      </c>
      <c r="C41">
        <f>INDEX('Solar - PV Dist. Comm 2022'!$M$149:$BK$149,MATCH('NREL calcs'!$B41,'Solar - PV Dist. Comm 2022'!$M$147:$BK$147,0))</f>
        <v>640.61642507779288</v>
      </c>
      <c r="D41">
        <f>C41*About!$B$33</f>
        <v>568.29766702076336</v>
      </c>
    </row>
    <row r="42" spans="2:4" x14ac:dyDescent="0.2">
      <c r="B42" s="196">
        <v>2058</v>
      </c>
      <c r="C42">
        <f>INDEX('Solar - PV Dist. Comm 2022'!$M$149:$BK$149,MATCH('NREL calcs'!$B42,'Solar - PV Dist. Comm 2022'!$M$147:$BK$147,0))</f>
        <v>631.06837335701266</v>
      </c>
      <c r="D42">
        <f>C42*About!$B$33</f>
        <v>559.82748844728383</v>
      </c>
    </row>
    <row r="43" spans="2:4" x14ac:dyDescent="0.2">
      <c r="B43" s="196">
        <v>2059</v>
      </c>
      <c r="C43">
        <f>INDEX('Solar - PV Dist. Comm 2022'!$M$149:$BK$149,MATCH('NREL calcs'!$B43,'Solar - PV Dist. Comm 2022'!$M$147:$BK$147,0))</f>
        <v>621.66263033781092</v>
      </c>
      <c r="D43">
        <f>C43*About!$B$33</f>
        <v>551.48355344162098</v>
      </c>
    </row>
    <row r="44" spans="2:4" x14ac:dyDescent="0.2">
      <c r="B44" s="196">
        <v>2060</v>
      </c>
      <c r="C44">
        <f>INDEX('Solar - PV Dist. Comm 2022'!$M$149:$BK$149,MATCH('NREL calcs'!$B44,'Solar - PV Dist. Comm 2022'!$M$147:$BK$147,0))</f>
        <v>612.39707498365203</v>
      </c>
      <c r="D44">
        <f>C44*About!$B$33</f>
        <v>543.26398040962954</v>
      </c>
    </row>
    <row r="45" spans="2:4" x14ac:dyDescent="0.2">
      <c r="B45" s="196">
        <v>2061</v>
      </c>
      <c r="C45">
        <f>INDEX('Solar - PV Dist. Comm 2022'!$M$149:$BK$149,MATCH('NREL calcs'!$B45,'Solar - PV Dist. Comm 2022'!$M$147:$BK$147,0))</f>
        <v>603.26961787093694</v>
      </c>
      <c r="D45">
        <f>C45*About!$B$33</f>
        <v>535.16691580133727</v>
      </c>
    </row>
    <row r="46" spans="2:4" x14ac:dyDescent="0.2">
      <c r="B46" s="196">
        <v>2062</v>
      </c>
      <c r="C46">
        <f>INDEX('Solar - PV Dist. Comm 2022'!$M$149:$BK$149,MATCH('NREL calcs'!$B46,'Solar - PV Dist. Comm 2022'!$M$147:$BK$147,0))</f>
        <v>594.27820071782912</v>
      </c>
      <c r="D46">
        <f>C46*About!$B$33</f>
        <v>527.19053369296228</v>
      </c>
    </row>
    <row r="47" spans="2:4" x14ac:dyDescent="0.2">
      <c r="B47" s="196">
        <v>2063</v>
      </c>
      <c r="C47">
        <f>INDEX('Solar - PV Dist. Comm 2022'!$M$149:$BK$149,MATCH('NREL calcs'!$B47,'Solar - PV Dist. Comm 2022'!$M$147:$BK$147,0))</f>
        <v>585.42079592010316</v>
      </c>
      <c r="D47">
        <f>C47*About!$B$33</f>
        <v>519.3330353751586</v>
      </c>
    </row>
    <row r="48" spans="2:4" x14ac:dyDescent="0.2">
      <c r="B48" s="196">
        <v>2064</v>
      </c>
      <c r="C48">
        <f>INDEX('Solar - PV Dist. Comm 2022'!$M$149:$BK$149,MATCH('NREL calcs'!$B48,'Solar - PV Dist. Comm 2022'!$M$147:$BK$147,0))</f>
        <v>576.69540609391083</v>
      </c>
      <c r="D48">
        <f>C48*About!$B$33</f>
        <v>511.59264894739937</v>
      </c>
    </row>
    <row r="49" spans="2:4" x14ac:dyDescent="0.2">
      <c r="B49" s="196">
        <v>2065</v>
      </c>
      <c r="C49">
        <f>INDEX('Solar - PV Dist. Comm 2022'!$M$149:$BK$149,MATCH('NREL calcs'!$B49,'Solar - PV Dist. Comm 2022'!$M$147:$BK$147,0))</f>
        <v>568.10006362536217</v>
      </c>
      <c r="D49">
        <f>C49*About!$B$33</f>
        <v>503.96762891840535</v>
      </c>
    </row>
    <row r="50" spans="2:4" x14ac:dyDescent="0.2">
      <c r="B50" s="196">
        <v>2066</v>
      </c>
      <c r="C50">
        <f>INDEX('Solar - PV Dist. Comm 2022'!$M$149:$BK$149,MATCH('NREL calcs'!$B50,'Solar - PV Dist. Comm 2022'!$M$147:$BK$147,0))</f>
        <v>559.63283022681981</v>
      </c>
      <c r="D50">
        <f>C50*About!$B$33</f>
        <v>496.45625581252915</v>
      </c>
    </row>
    <row r="51" spans="2:4" x14ac:dyDescent="0.2">
      <c r="B51" s="196">
        <v>2067</v>
      </c>
      <c r="C51">
        <f>INDEX('Solar - PV Dist. Comm 2022'!$M$149:$BK$149,MATCH('NREL calcs'!$B51,'Solar - PV Dist. Comm 2022'!$M$147:$BK$147,0))</f>
        <v>551.29179649980688</v>
      </c>
      <c r="D51">
        <f>C51*About!$B$33</f>
        <v>489.05683578200569</v>
      </c>
    </row>
    <row r="52" spans="2:4" x14ac:dyDescent="0.2">
      <c r="B52" s="196">
        <v>2068</v>
      </c>
      <c r="C52">
        <f>INDEX('Solar - PV Dist. Comm 2022'!$M$149:$BK$149,MATCH('NREL calcs'!$B52,'Solar - PV Dist. Comm 2022'!$M$147:$BK$147,0))</f>
        <v>543.07508150442902</v>
      </c>
      <c r="D52">
        <f>C52*About!$B$33</f>
        <v>481.76770022498226</v>
      </c>
    </row>
    <row r="53" spans="2:4" x14ac:dyDescent="0.2">
      <c r="B53" s="196">
        <v>2069</v>
      </c>
      <c r="C53">
        <f>INDEX('Solar - PV Dist. Comm 2022'!$M$149:$BK$149,MATCH('NREL calcs'!$B53,'Solar - PV Dist. Comm 2022'!$M$147:$BK$147,0))</f>
        <v>534.98083233521425</v>
      </c>
      <c r="D53">
        <f>C53*About!$B$33</f>
        <v>474.58720540924145</v>
      </c>
    </row>
    <row r="54" spans="2:4" x14ac:dyDescent="0.2">
      <c r="B54" s="196">
        <v>2070</v>
      </c>
      <c r="C54">
        <f>INDEX('Solar - PV Dist. Comm 2022'!$M$149:$BK$149,MATCH('NREL calcs'!$B54,'Solar - PV Dist. Comm 2022'!$M$147:$BK$147,0))</f>
        <v>527.00722370327446</v>
      </c>
      <c r="D54">
        <f>C54*About!$B$33</f>
        <v>467.51373210153201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23"/>
  <sheetViews>
    <sheetView topLeftCell="P1" workbookViewId="0">
      <selection activeCell="AI4" sqref="AI4"/>
    </sheetView>
  </sheetViews>
  <sheetFormatPr baseColWidth="10" defaultColWidth="8.83203125" defaultRowHeight="15" x14ac:dyDescent="0.2"/>
  <cols>
    <col min="1" max="1" width="25.83203125" customWidth="1"/>
    <col min="2" max="2" width="33.33203125" customWidth="1"/>
  </cols>
  <sheetData>
    <row r="1" spans="1:35" x14ac:dyDescent="0.2">
      <c r="A1" t="s">
        <v>19</v>
      </c>
    </row>
    <row r="3" spans="1:35" x14ac:dyDescent="0.2">
      <c r="C3">
        <v>2018</v>
      </c>
      <c r="D3">
        <v>2019</v>
      </c>
      <c r="E3">
        <v>2020</v>
      </c>
      <c r="F3">
        <v>2021</v>
      </c>
      <c r="G3">
        <v>2022</v>
      </c>
      <c r="H3">
        <v>2023</v>
      </c>
      <c r="I3">
        <v>2024</v>
      </c>
      <c r="J3">
        <v>2025</v>
      </c>
      <c r="K3">
        <v>2026</v>
      </c>
      <c r="L3">
        <v>2027</v>
      </c>
      <c r="M3">
        <v>2028</v>
      </c>
      <c r="N3">
        <v>2029</v>
      </c>
      <c r="O3">
        <v>2030</v>
      </c>
      <c r="P3">
        <v>2031</v>
      </c>
      <c r="Q3">
        <v>2032</v>
      </c>
      <c r="R3">
        <v>2033</v>
      </c>
      <c r="S3">
        <v>2034</v>
      </c>
      <c r="T3">
        <v>2035</v>
      </c>
      <c r="U3">
        <v>2036</v>
      </c>
      <c r="V3">
        <v>2037</v>
      </c>
      <c r="W3">
        <v>2038</v>
      </c>
      <c r="X3">
        <v>2039</v>
      </c>
      <c r="Y3">
        <v>2040</v>
      </c>
      <c r="Z3">
        <v>2041</v>
      </c>
      <c r="AA3">
        <v>2042</v>
      </c>
      <c r="AB3">
        <v>2043</v>
      </c>
      <c r="AC3">
        <v>2044</v>
      </c>
      <c r="AD3">
        <v>2045</v>
      </c>
      <c r="AE3">
        <v>2046</v>
      </c>
      <c r="AF3">
        <v>2047</v>
      </c>
      <c r="AG3">
        <v>2048</v>
      </c>
      <c r="AH3">
        <v>2049</v>
      </c>
      <c r="AI3">
        <v>2050</v>
      </c>
    </row>
    <row r="4" spans="1:35" x14ac:dyDescent="0.2">
      <c r="A4" t="s">
        <v>12</v>
      </c>
      <c r="B4" t="s">
        <v>20</v>
      </c>
      <c r="C4">
        <v>3054.318209074861</v>
      </c>
      <c r="D4">
        <v>2796.2450712039476</v>
      </c>
      <c r="E4">
        <v>2620.0097995821379</v>
      </c>
      <c r="F4">
        <v>2443.7745279603282</v>
      </c>
      <c r="G4">
        <v>2267.5392563385185</v>
      </c>
      <c r="H4">
        <v>2091.3039847167088</v>
      </c>
      <c r="I4">
        <v>1915.0687130948995</v>
      </c>
      <c r="J4">
        <v>1738.8334414730903</v>
      </c>
      <c r="K4">
        <v>1562.5981698512808</v>
      </c>
      <c r="L4">
        <v>1386.3628982294713</v>
      </c>
      <c r="M4">
        <v>1210.127626607662</v>
      </c>
      <c r="N4">
        <v>1033.8923549858525</v>
      </c>
      <c r="O4">
        <v>857.6570833640435</v>
      </c>
      <c r="P4">
        <v>844.89527525862138</v>
      </c>
      <c r="Q4">
        <v>832.13346715319938</v>
      </c>
      <c r="R4">
        <v>819.37165904777726</v>
      </c>
      <c r="S4">
        <v>806.60985094235525</v>
      </c>
      <c r="T4">
        <v>793.84804283693325</v>
      </c>
      <c r="U4">
        <v>781.08623473151113</v>
      </c>
      <c r="V4">
        <v>768.32442662608912</v>
      </c>
      <c r="W4">
        <v>755.56261852066712</v>
      </c>
      <c r="X4">
        <v>742.800810415245</v>
      </c>
      <c r="Y4">
        <v>730.03900230982299</v>
      </c>
      <c r="Z4">
        <v>717.27719420440098</v>
      </c>
      <c r="AA4">
        <v>704.51538609897887</v>
      </c>
      <c r="AB4">
        <v>691.75357799355686</v>
      </c>
      <c r="AC4">
        <v>678.99176988813485</v>
      </c>
      <c r="AD4">
        <v>666.22996178271273</v>
      </c>
      <c r="AE4">
        <v>653.46815367729073</v>
      </c>
      <c r="AF4">
        <v>640.70634557186872</v>
      </c>
      <c r="AG4">
        <v>627.9445374664466</v>
      </c>
      <c r="AH4">
        <v>615.1827293610246</v>
      </c>
      <c r="AI4">
        <v>602.42092125560248</v>
      </c>
    </row>
    <row r="5" spans="1:35" x14ac:dyDescent="0.2">
      <c r="B5" t="s">
        <v>21</v>
      </c>
      <c r="C5">
        <v>3054.318209074861</v>
      </c>
      <c r="D5">
        <v>2796.2450712039476</v>
      </c>
      <c r="E5">
        <v>2644.2786630962364</v>
      </c>
      <c r="F5">
        <v>2492.3122549885256</v>
      </c>
      <c r="G5">
        <v>2340.3458468808144</v>
      </c>
      <c r="H5">
        <v>2188.3794387731036</v>
      </c>
      <c r="I5">
        <v>2036.4130306653924</v>
      </c>
      <c r="J5">
        <v>1884.4466225576816</v>
      </c>
      <c r="K5">
        <v>1732.4802144499708</v>
      </c>
      <c r="L5">
        <v>1580.5138063422601</v>
      </c>
      <c r="M5">
        <v>1428.5473982345493</v>
      </c>
      <c r="N5">
        <v>1276.5809901268385</v>
      </c>
      <c r="O5">
        <v>1124.6145820191289</v>
      </c>
      <c r="P5">
        <v>1111.2667070863747</v>
      </c>
      <c r="Q5">
        <v>1097.9188321536203</v>
      </c>
      <c r="R5">
        <v>1084.5709572208661</v>
      </c>
      <c r="S5">
        <v>1071.223082288112</v>
      </c>
      <c r="T5">
        <v>1057.8752073553576</v>
      </c>
      <c r="U5">
        <v>1044.5273324226034</v>
      </c>
      <c r="V5">
        <v>1031.1794574898493</v>
      </c>
      <c r="W5">
        <v>1017.831582557095</v>
      </c>
      <c r="X5">
        <v>1004.4837076243407</v>
      </c>
      <c r="Y5">
        <v>991.13583269158642</v>
      </c>
      <c r="Z5">
        <v>977.78795775883225</v>
      </c>
      <c r="AA5">
        <v>964.44008282607797</v>
      </c>
      <c r="AB5">
        <v>951.09220789332369</v>
      </c>
      <c r="AC5">
        <v>937.74433296056952</v>
      </c>
      <c r="AD5">
        <v>924.39645802781524</v>
      </c>
      <c r="AE5">
        <v>911.04858309506096</v>
      </c>
      <c r="AF5">
        <v>897.70070816230668</v>
      </c>
      <c r="AG5">
        <v>884.35283322955252</v>
      </c>
      <c r="AH5">
        <v>871.00495829679824</v>
      </c>
      <c r="AI5">
        <v>857.6570833640435</v>
      </c>
    </row>
    <row r="6" spans="1:35" x14ac:dyDescent="0.2">
      <c r="B6" t="s">
        <v>22</v>
      </c>
      <c r="C6">
        <v>3054.318209074861</v>
      </c>
      <c r="D6">
        <v>2796.2450712039476</v>
      </c>
      <c r="E6">
        <v>2762.9653874516584</v>
      </c>
      <c r="F6">
        <v>2729.6857036993697</v>
      </c>
      <c r="G6">
        <v>2696.4060199470809</v>
      </c>
      <c r="H6">
        <v>2663.1263361947922</v>
      </c>
      <c r="I6">
        <v>2629.8466524425035</v>
      </c>
      <c r="J6">
        <v>2596.5669686902143</v>
      </c>
      <c r="K6">
        <v>2563.2872849379255</v>
      </c>
      <c r="L6">
        <v>2530.0076011856368</v>
      </c>
      <c r="M6">
        <v>2496.727917433348</v>
      </c>
      <c r="N6">
        <v>2463.4482336810588</v>
      </c>
      <c r="O6">
        <v>2430.1685499287696</v>
      </c>
      <c r="P6">
        <v>2364.8908515332878</v>
      </c>
      <c r="Q6">
        <v>2299.613153137806</v>
      </c>
      <c r="R6">
        <v>2234.3354547423241</v>
      </c>
      <c r="S6">
        <v>2169.0577563468419</v>
      </c>
      <c r="T6">
        <v>2103.78005795136</v>
      </c>
      <c r="U6">
        <v>2038.5023595558782</v>
      </c>
      <c r="V6">
        <v>1973.2246611603962</v>
      </c>
      <c r="W6">
        <v>1907.9469627649139</v>
      </c>
      <c r="X6">
        <v>1842.6692643694319</v>
      </c>
      <c r="Y6">
        <v>1777.3915659739496</v>
      </c>
      <c r="Z6">
        <v>1712.1138675784675</v>
      </c>
      <c r="AA6">
        <v>1646.8361691829853</v>
      </c>
      <c r="AB6">
        <v>1581.5584707875032</v>
      </c>
      <c r="AC6">
        <v>1516.2807723920212</v>
      </c>
      <c r="AD6">
        <v>1451.0030739965389</v>
      </c>
      <c r="AE6">
        <v>1385.7253756010568</v>
      </c>
      <c r="AF6">
        <v>1320.4476772055746</v>
      </c>
      <c r="AG6">
        <v>1255.1699788100925</v>
      </c>
      <c r="AH6">
        <v>1189.8922804146105</v>
      </c>
      <c r="AI6">
        <v>1124.6145820191289</v>
      </c>
    </row>
    <row r="7" spans="1:35" x14ac:dyDescent="0.2">
      <c r="B7" t="s">
        <v>23</v>
      </c>
      <c r="C7">
        <v>3054.318209074861</v>
      </c>
      <c r="D7">
        <v>2796.2450712039476</v>
      </c>
      <c r="E7">
        <v>2620.0097995821379</v>
      </c>
      <c r="F7">
        <v>2443.7745279603282</v>
      </c>
      <c r="G7">
        <v>2267.5392563385185</v>
      </c>
      <c r="H7">
        <v>2091.3039847167088</v>
      </c>
      <c r="I7">
        <v>1915.0687130948995</v>
      </c>
      <c r="J7">
        <v>1738.8334414730903</v>
      </c>
      <c r="K7">
        <v>1562.5981698512808</v>
      </c>
      <c r="L7">
        <v>1386.3628982294713</v>
      </c>
      <c r="M7">
        <v>1210.127626607662</v>
      </c>
      <c r="N7">
        <v>1033.8923549858525</v>
      </c>
      <c r="O7">
        <v>857.6570833640435</v>
      </c>
      <c r="P7">
        <v>844.89527525862138</v>
      </c>
      <c r="Q7">
        <v>832.13346715319938</v>
      </c>
      <c r="R7">
        <v>819.37165904777726</v>
      </c>
      <c r="S7">
        <v>806.60985094235525</v>
      </c>
      <c r="T7">
        <v>793.84804283693325</v>
      </c>
      <c r="U7">
        <v>781.08623473151113</v>
      </c>
      <c r="V7">
        <v>768.32442662608912</v>
      </c>
      <c r="W7">
        <v>755.56261852066712</v>
      </c>
      <c r="X7">
        <v>742.800810415245</v>
      </c>
      <c r="Y7">
        <v>730.03900230982299</v>
      </c>
      <c r="Z7">
        <v>717.27719420440098</v>
      </c>
      <c r="AA7">
        <v>704.51538609897887</v>
      </c>
      <c r="AB7">
        <v>691.75357799355686</v>
      </c>
      <c r="AC7">
        <v>678.99176988813485</v>
      </c>
      <c r="AD7">
        <v>666.22996178271273</v>
      </c>
      <c r="AE7">
        <v>653.46815367729073</v>
      </c>
      <c r="AF7">
        <v>640.70634557186872</v>
      </c>
      <c r="AG7">
        <v>627.9445374664466</v>
      </c>
      <c r="AH7">
        <v>615.1827293610246</v>
      </c>
      <c r="AI7">
        <v>602.42092125560248</v>
      </c>
    </row>
    <row r="8" spans="1:35" x14ac:dyDescent="0.2">
      <c r="B8" t="s">
        <v>24</v>
      </c>
      <c r="C8">
        <v>3054.318209074861</v>
      </c>
      <c r="D8">
        <v>2796.2450712039476</v>
      </c>
      <c r="E8">
        <v>2644.2786630962364</v>
      </c>
      <c r="F8">
        <v>2492.3122549885256</v>
      </c>
      <c r="G8">
        <v>2340.3458468808144</v>
      </c>
      <c r="H8">
        <v>2188.3794387731036</v>
      </c>
      <c r="I8">
        <v>2036.4130306653924</v>
      </c>
      <c r="J8">
        <v>1884.4466225576816</v>
      </c>
      <c r="K8">
        <v>1732.4802144499708</v>
      </c>
      <c r="L8">
        <v>1580.5138063422601</v>
      </c>
      <c r="M8">
        <v>1428.5473982345493</v>
      </c>
      <c r="N8">
        <v>1276.5809901268385</v>
      </c>
      <c r="O8">
        <v>1124.6145820191289</v>
      </c>
      <c r="P8">
        <v>1111.2667070863747</v>
      </c>
      <c r="Q8">
        <v>1097.9188321536203</v>
      </c>
      <c r="R8">
        <v>1084.5709572208661</v>
      </c>
      <c r="S8">
        <v>1071.223082288112</v>
      </c>
      <c r="T8">
        <v>1057.8752073553576</v>
      </c>
      <c r="U8">
        <v>1044.5273324226034</v>
      </c>
      <c r="V8">
        <v>1031.1794574898493</v>
      </c>
      <c r="W8">
        <v>1017.831582557095</v>
      </c>
      <c r="X8">
        <v>1004.4837076243407</v>
      </c>
      <c r="Y8">
        <v>991.13583269158642</v>
      </c>
      <c r="Z8">
        <v>977.78795775883225</v>
      </c>
      <c r="AA8">
        <v>964.44008282607797</v>
      </c>
      <c r="AB8">
        <v>951.09220789332369</v>
      </c>
      <c r="AC8">
        <v>937.74433296056952</v>
      </c>
      <c r="AD8">
        <v>924.39645802781524</v>
      </c>
      <c r="AE8">
        <v>911.04858309506096</v>
      </c>
      <c r="AF8">
        <v>897.70070816230668</v>
      </c>
      <c r="AG8">
        <v>884.35283322955252</v>
      </c>
      <c r="AH8">
        <v>871.00495829679824</v>
      </c>
      <c r="AI8">
        <v>857.6570833640435</v>
      </c>
    </row>
    <row r="9" spans="1:35" x14ac:dyDescent="0.2">
      <c r="B9" t="s">
        <v>25</v>
      </c>
      <c r="C9">
        <v>3054.318209074861</v>
      </c>
      <c r="D9">
        <v>2796.2450712039476</v>
      </c>
      <c r="E9">
        <v>2762.9653874516584</v>
      </c>
      <c r="F9">
        <v>2729.6857036993697</v>
      </c>
      <c r="G9">
        <v>2696.4060199470809</v>
      </c>
      <c r="H9">
        <v>2663.1263361947922</v>
      </c>
      <c r="I9">
        <v>2629.8466524425035</v>
      </c>
      <c r="J9">
        <v>2596.5669686902143</v>
      </c>
      <c r="K9">
        <v>2563.2872849379255</v>
      </c>
      <c r="L9">
        <v>2530.0076011856368</v>
      </c>
      <c r="M9">
        <v>2496.727917433348</v>
      </c>
      <c r="N9">
        <v>2463.4482336810588</v>
      </c>
      <c r="O9">
        <v>2430.1685499287696</v>
      </c>
      <c r="P9">
        <v>2364.8908515332878</v>
      </c>
      <c r="Q9">
        <v>2299.613153137806</v>
      </c>
      <c r="R9">
        <v>2234.3354547423241</v>
      </c>
      <c r="S9">
        <v>2169.0577563468419</v>
      </c>
      <c r="T9">
        <v>2103.78005795136</v>
      </c>
      <c r="U9">
        <v>2038.5023595558782</v>
      </c>
      <c r="V9">
        <v>1973.2246611603962</v>
      </c>
      <c r="W9">
        <v>1907.9469627649139</v>
      </c>
      <c r="X9">
        <v>1842.6692643694319</v>
      </c>
      <c r="Y9">
        <v>1777.3915659739496</v>
      </c>
      <c r="Z9">
        <v>1712.1138675784675</v>
      </c>
      <c r="AA9">
        <v>1646.8361691829853</v>
      </c>
      <c r="AB9">
        <v>1581.5584707875032</v>
      </c>
      <c r="AC9">
        <v>1516.2807723920212</v>
      </c>
      <c r="AD9">
        <v>1451.0030739965389</v>
      </c>
      <c r="AE9">
        <v>1385.7253756010568</v>
      </c>
      <c r="AF9">
        <v>1320.4476772055746</v>
      </c>
      <c r="AG9">
        <v>1255.1699788100925</v>
      </c>
      <c r="AH9">
        <v>1189.8922804146105</v>
      </c>
      <c r="AI9">
        <v>1124.6145820191289</v>
      </c>
    </row>
    <row r="10" spans="1:35" x14ac:dyDescent="0.2">
      <c r="B10" t="s">
        <v>26</v>
      </c>
      <c r="C10">
        <v>3054.318209074861</v>
      </c>
      <c r="D10">
        <v>2796.2450712039476</v>
      </c>
      <c r="E10">
        <v>2620.0097995821379</v>
      </c>
      <c r="F10">
        <v>2443.7745279603282</v>
      </c>
      <c r="G10">
        <v>2267.5392563385185</v>
      </c>
      <c r="H10">
        <v>2091.3039847167088</v>
      </c>
      <c r="I10">
        <v>1915.0687130948995</v>
      </c>
      <c r="J10">
        <v>1738.8334414730903</v>
      </c>
      <c r="K10">
        <v>1562.5981698512808</v>
      </c>
      <c r="L10">
        <v>1386.3628982294713</v>
      </c>
      <c r="M10">
        <v>1210.127626607662</v>
      </c>
      <c r="N10">
        <v>1033.8923549858525</v>
      </c>
      <c r="O10">
        <v>857.6570833640435</v>
      </c>
      <c r="P10">
        <v>844.89527525862138</v>
      </c>
      <c r="Q10">
        <v>832.13346715319938</v>
      </c>
      <c r="R10">
        <v>819.37165904777726</v>
      </c>
      <c r="S10">
        <v>806.60985094235525</v>
      </c>
      <c r="T10">
        <v>793.84804283693325</v>
      </c>
      <c r="U10">
        <v>781.08623473151113</v>
      </c>
      <c r="V10">
        <v>768.32442662608912</v>
      </c>
      <c r="W10">
        <v>755.56261852066712</v>
      </c>
      <c r="X10">
        <v>742.800810415245</v>
      </c>
      <c r="Y10">
        <v>730.03900230982299</v>
      </c>
      <c r="Z10">
        <v>717.27719420440098</v>
      </c>
      <c r="AA10">
        <v>704.51538609897887</v>
      </c>
      <c r="AB10">
        <v>691.75357799355686</v>
      </c>
      <c r="AC10">
        <v>678.99176988813485</v>
      </c>
      <c r="AD10">
        <v>666.22996178271273</v>
      </c>
      <c r="AE10">
        <v>653.46815367729073</v>
      </c>
      <c r="AF10">
        <v>640.70634557186872</v>
      </c>
      <c r="AG10">
        <v>627.9445374664466</v>
      </c>
      <c r="AH10">
        <v>615.1827293610246</v>
      </c>
      <c r="AI10">
        <v>602.42092125560248</v>
      </c>
    </row>
    <row r="11" spans="1:35" x14ac:dyDescent="0.2">
      <c r="B11" t="s">
        <v>27</v>
      </c>
      <c r="C11" s="196">
        <v>3054.318209074861</v>
      </c>
      <c r="D11" s="196">
        <v>2796.2450712039476</v>
      </c>
      <c r="E11" s="196">
        <v>2644.2786630962364</v>
      </c>
      <c r="F11" s="196">
        <v>2492.3122549885256</v>
      </c>
      <c r="G11" s="196">
        <v>2340.3458468808144</v>
      </c>
      <c r="H11" s="196">
        <v>2188.3794387731036</v>
      </c>
      <c r="I11" s="196">
        <v>2036.4130306653924</v>
      </c>
      <c r="J11" s="196">
        <v>1884.4466225576816</v>
      </c>
      <c r="K11" s="196">
        <v>1732.4802144499708</v>
      </c>
      <c r="L11" s="196">
        <v>1580.5138063422601</v>
      </c>
      <c r="M11" s="196">
        <v>1428.5473982345493</v>
      </c>
      <c r="N11" s="196">
        <v>1276.5809901268385</v>
      </c>
      <c r="O11" s="196">
        <v>1124.6145820191289</v>
      </c>
      <c r="P11" s="196">
        <v>1111.2667070863747</v>
      </c>
      <c r="Q11" s="196">
        <v>1097.9188321536203</v>
      </c>
      <c r="R11" s="196">
        <v>1084.5709572208661</v>
      </c>
      <c r="S11" s="196">
        <v>1071.223082288112</v>
      </c>
      <c r="T11" s="196">
        <v>1057.8752073553576</v>
      </c>
      <c r="U11" s="196">
        <v>1044.5273324226034</v>
      </c>
      <c r="V11" s="196">
        <v>1031.1794574898493</v>
      </c>
      <c r="W11" s="196">
        <v>1017.831582557095</v>
      </c>
      <c r="X11" s="196">
        <v>1004.4837076243407</v>
      </c>
      <c r="Y11" s="196">
        <v>991.13583269158642</v>
      </c>
      <c r="Z11" s="196">
        <v>977.78795775883225</v>
      </c>
      <c r="AA11" s="196">
        <v>964.44008282607797</v>
      </c>
      <c r="AB11" s="196">
        <v>951.09220789332369</v>
      </c>
      <c r="AC11" s="196">
        <v>937.74433296056952</v>
      </c>
      <c r="AD11" s="196">
        <v>924.39645802781524</v>
      </c>
      <c r="AE11" s="196">
        <v>911.04858309506096</v>
      </c>
      <c r="AF11" s="196">
        <v>897.70070816230668</v>
      </c>
      <c r="AG11" s="196">
        <v>884.35283322955252</v>
      </c>
      <c r="AH11" s="196">
        <v>871.00495829679824</v>
      </c>
      <c r="AI11" s="196">
        <v>857.6570833640435</v>
      </c>
    </row>
    <row r="12" spans="1:35" x14ac:dyDescent="0.2">
      <c r="B12" t="s">
        <v>28</v>
      </c>
      <c r="C12">
        <v>3054.318209074861</v>
      </c>
      <c r="D12">
        <v>2796.2450712039476</v>
      </c>
      <c r="E12">
        <v>2762.9653874516584</v>
      </c>
      <c r="F12">
        <v>2729.6857036993697</v>
      </c>
      <c r="G12">
        <v>2696.4060199470809</v>
      </c>
      <c r="H12">
        <v>2663.1263361947922</v>
      </c>
      <c r="I12">
        <v>2629.8466524425035</v>
      </c>
      <c r="J12">
        <v>2596.5669686902143</v>
      </c>
      <c r="K12">
        <v>2563.2872849379255</v>
      </c>
      <c r="L12">
        <v>2530.0076011856368</v>
      </c>
      <c r="M12">
        <v>2496.727917433348</v>
      </c>
      <c r="N12">
        <v>2463.4482336810588</v>
      </c>
      <c r="O12">
        <v>2430.1685499287696</v>
      </c>
      <c r="P12">
        <v>2364.8908515332878</v>
      </c>
      <c r="Q12">
        <v>2299.613153137806</v>
      </c>
      <c r="R12">
        <v>2234.3354547423241</v>
      </c>
      <c r="S12">
        <v>2169.0577563468419</v>
      </c>
      <c r="T12">
        <v>2103.78005795136</v>
      </c>
      <c r="U12">
        <v>2038.5023595558782</v>
      </c>
      <c r="V12">
        <v>1973.2246611603962</v>
      </c>
      <c r="W12">
        <v>1907.9469627649139</v>
      </c>
      <c r="X12">
        <v>1842.6692643694319</v>
      </c>
      <c r="Y12">
        <v>1777.3915659739496</v>
      </c>
      <c r="Z12">
        <v>1712.1138675784675</v>
      </c>
      <c r="AA12">
        <v>1646.8361691829853</v>
      </c>
      <c r="AB12">
        <v>1581.5584707875032</v>
      </c>
      <c r="AC12">
        <v>1516.2807723920212</v>
      </c>
      <c r="AD12">
        <v>1451.0030739965389</v>
      </c>
      <c r="AE12">
        <v>1385.7253756010568</v>
      </c>
      <c r="AF12">
        <v>1320.4476772055746</v>
      </c>
      <c r="AG12">
        <v>1255.1699788100925</v>
      </c>
      <c r="AH12">
        <v>1189.8922804146105</v>
      </c>
      <c r="AI12">
        <v>1124.6145820191289</v>
      </c>
    </row>
    <row r="13" spans="1:35" x14ac:dyDescent="0.2">
      <c r="B13" t="s">
        <v>29</v>
      </c>
      <c r="C13">
        <v>3054.318209074861</v>
      </c>
      <c r="D13">
        <v>2796.2450712039476</v>
      </c>
      <c r="E13">
        <v>2620.0097995821379</v>
      </c>
      <c r="F13">
        <v>2443.7745279603282</v>
      </c>
      <c r="G13">
        <v>2267.5392563385185</v>
      </c>
      <c r="H13">
        <v>2091.3039847167088</v>
      </c>
      <c r="I13">
        <v>1915.0687130948995</v>
      </c>
      <c r="J13">
        <v>1738.8334414730903</v>
      </c>
      <c r="K13">
        <v>1562.5981698512808</v>
      </c>
      <c r="L13">
        <v>1386.3628982294713</v>
      </c>
      <c r="M13">
        <v>1210.127626607662</v>
      </c>
      <c r="N13">
        <v>1033.8923549858525</v>
      </c>
      <c r="O13">
        <v>857.6570833640435</v>
      </c>
      <c r="P13">
        <v>844.89527525862138</v>
      </c>
      <c r="Q13">
        <v>832.13346715319938</v>
      </c>
      <c r="R13">
        <v>819.37165904777726</v>
      </c>
      <c r="S13">
        <v>806.60985094235525</v>
      </c>
      <c r="T13">
        <v>793.84804283693325</v>
      </c>
      <c r="U13">
        <v>781.08623473151113</v>
      </c>
      <c r="V13">
        <v>768.32442662608912</v>
      </c>
      <c r="W13">
        <v>755.56261852066712</v>
      </c>
      <c r="X13">
        <v>742.800810415245</v>
      </c>
      <c r="Y13">
        <v>730.03900230982299</v>
      </c>
      <c r="Z13">
        <v>717.27719420440098</v>
      </c>
      <c r="AA13">
        <v>704.51538609897887</v>
      </c>
      <c r="AB13">
        <v>691.75357799355686</v>
      </c>
      <c r="AC13">
        <v>678.99176988813485</v>
      </c>
      <c r="AD13">
        <v>666.22996178271273</v>
      </c>
      <c r="AE13">
        <v>653.46815367729073</v>
      </c>
      <c r="AF13">
        <v>640.70634557186872</v>
      </c>
      <c r="AG13">
        <v>627.9445374664466</v>
      </c>
      <c r="AH13">
        <v>615.1827293610246</v>
      </c>
      <c r="AI13">
        <v>602.42092125560248</v>
      </c>
    </row>
    <row r="14" spans="1:35" x14ac:dyDescent="0.2">
      <c r="B14" t="s">
        <v>30</v>
      </c>
      <c r="C14">
        <v>3054.318209074861</v>
      </c>
      <c r="D14">
        <v>2796.2450712039476</v>
      </c>
      <c r="E14">
        <v>2644.2786630962364</v>
      </c>
      <c r="F14">
        <v>2492.3122549885256</v>
      </c>
      <c r="G14">
        <v>2340.3458468808144</v>
      </c>
      <c r="H14">
        <v>2188.3794387731036</v>
      </c>
      <c r="I14">
        <v>2036.4130306653924</v>
      </c>
      <c r="J14">
        <v>1884.4466225576816</v>
      </c>
      <c r="K14">
        <v>1732.4802144499708</v>
      </c>
      <c r="L14">
        <v>1580.5138063422601</v>
      </c>
      <c r="M14">
        <v>1428.5473982345493</v>
      </c>
      <c r="N14">
        <v>1276.5809901268385</v>
      </c>
      <c r="O14">
        <v>1124.6145820191289</v>
      </c>
      <c r="P14">
        <v>1111.2667070863747</v>
      </c>
      <c r="Q14">
        <v>1097.9188321536203</v>
      </c>
      <c r="R14">
        <v>1084.5709572208661</v>
      </c>
      <c r="S14">
        <v>1071.223082288112</v>
      </c>
      <c r="T14">
        <v>1057.8752073553576</v>
      </c>
      <c r="U14">
        <v>1044.5273324226034</v>
      </c>
      <c r="V14">
        <v>1031.1794574898493</v>
      </c>
      <c r="W14">
        <v>1017.831582557095</v>
      </c>
      <c r="X14">
        <v>1004.4837076243407</v>
      </c>
      <c r="Y14">
        <v>991.13583269158642</v>
      </c>
      <c r="Z14">
        <v>977.78795775883225</v>
      </c>
      <c r="AA14">
        <v>964.44008282607797</v>
      </c>
      <c r="AB14">
        <v>951.09220789332369</v>
      </c>
      <c r="AC14">
        <v>937.74433296056952</v>
      </c>
      <c r="AD14">
        <v>924.39645802781524</v>
      </c>
      <c r="AE14">
        <v>911.04858309506096</v>
      </c>
      <c r="AF14">
        <v>897.70070816230668</v>
      </c>
      <c r="AG14">
        <v>884.35283322955252</v>
      </c>
      <c r="AH14">
        <v>871.00495829679824</v>
      </c>
      <c r="AI14">
        <v>857.6570833640435</v>
      </c>
    </row>
    <row r="15" spans="1:35" x14ac:dyDescent="0.2">
      <c r="B15" t="s">
        <v>31</v>
      </c>
      <c r="C15">
        <v>3054.318209074861</v>
      </c>
      <c r="D15">
        <v>2796.2450712039476</v>
      </c>
      <c r="E15">
        <v>2762.9653874516584</v>
      </c>
      <c r="F15">
        <v>2729.6857036993697</v>
      </c>
      <c r="G15">
        <v>2696.4060199470809</v>
      </c>
      <c r="H15">
        <v>2663.1263361947922</v>
      </c>
      <c r="I15">
        <v>2629.8466524425035</v>
      </c>
      <c r="J15">
        <v>2596.5669686902143</v>
      </c>
      <c r="K15">
        <v>2563.2872849379255</v>
      </c>
      <c r="L15">
        <v>2530.0076011856368</v>
      </c>
      <c r="M15">
        <v>2496.727917433348</v>
      </c>
      <c r="N15">
        <v>2463.4482336810588</v>
      </c>
      <c r="O15">
        <v>2430.1685499287696</v>
      </c>
      <c r="P15">
        <v>2364.8908515332878</v>
      </c>
      <c r="Q15">
        <v>2299.613153137806</v>
      </c>
      <c r="R15">
        <v>2234.3354547423241</v>
      </c>
      <c r="S15">
        <v>2169.0577563468419</v>
      </c>
      <c r="T15">
        <v>2103.78005795136</v>
      </c>
      <c r="U15">
        <v>2038.5023595558782</v>
      </c>
      <c r="V15">
        <v>1973.2246611603962</v>
      </c>
      <c r="W15">
        <v>1907.9469627649139</v>
      </c>
      <c r="X15">
        <v>1842.6692643694319</v>
      </c>
      <c r="Y15">
        <v>1777.3915659739496</v>
      </c>
      <c r="Z15">
        <v>1712.1138675784675</v>
      </c>
      <c r="AA15">
        <v>1646.8361691829853</v>
      </c>
      <c r="AB15">
        <v>1581.5584707875032</v>
      </c>
      <c r="AC15">
        <v>1516.2807723920212</v>
      </c>
      <c r="AD15">
        <v>1451.0030739965389</v>
      </c>
      <c r="AE15">
        <v>1385.7253756010568</v>
      </c>
      <c r="AF15">
        <v>1320.4476772055746</v>
      </c>
      <c r="AG15">
        <v>1255.1699788100925</v>
      </c>
      <c r="AH15">
        <v>1189.8922804146105</v>
      </c>
      <c r="AI15">
        <v>1124.6145820191289</v>
      </c>
    </row>
    <row r="16" spans="1:35" x14ac:dyDescent="0.2">
      <c r="B16" t="s">
        <v>32</v>
      </c>
      <c r="C16">
        <v>3054.318209074861</v>
      </c>
      <c r="D16">
        <v>2796.2450712039476</v>
      </c>
      <c r="E16">
        <v>2620.0097995821379</v>
      </c>
      <c r="F16">
        <v>2443.7745279603282</v>
      </c>
      <c r="G16">
        <v>2267.5392563385185</v>
      </c>
      <c r="H16">
        <v>2091.3039847167088</v>
      </c>
      <c r="I16">
        <v>1915.0687130948995</v>
      </c>
      <c r="J16">
        <v>1738.8334414730903</v>
      </c>
      <c r="K16">
        <v>1562.5981698512808</v>
      </c>
      <c r="L16">
        <v>1386.3628982294713</v>
      </c>
      <c r="M16">
        <v>1210.127626607662</v>
      </c>
      <c r="N16">
        <v>1033.8923549858525</v>
      </c>
      <c r="O16">
        <v>857.6570833640435</v>
      </c>
      <c r="P16">
        <v>844.89527525862138</v>
      </c>
      <c r="Q16">
        <v>832.13346715319938</v>
      </c>
      <c r="R16">
        <v>819.37165904777726</v>
      </c>
      <c r="S16">
        <v>806.60985094235525</v>
      </c>
      <c r="T16">
        <v>793.84804283693325</v>
      </c>
      <c r="U16">
        <v>781.08623473151113</v>
      </c>
      <c r="V16">
        <v>768.32442662608912</v>
      </c>
      <c r="W16">
        <v>755.56261852066712</v>
      </c>
      <c r="X16">
        <v>742.800810415245</v>
      </c>
      <c r="Y16">
        <v>730.03900230982299</v>
      </c>
      <c r="Z16">
        <v>717.27719420440098</v>
      </c>
      <c r="AA16">
        <v>704.51538609897887</v>
      </c>
      <c r="AB16">
        <v>691.75357799355686</v>
      </c>
      <c r="AC16">
        <v>678.99176988813485</v>
      </c>
      <c r="AD16">
        <v>666.22996178271273</v>
      </c>
      <c r="AE16">
        <v>653.46815367729073</v>
      </c>
      <c r="AF16">
        <v>640.70634557186872</v>
      </c>
      <c r="AG16">
        <v>627.9445374664466</v>
      </c>
      <c r="AH16">
        <v>615.1827293610246</v>
      </c>
      <c r="AI16">
        <v>602.42092125560248</v>
      </c>
    </row>
    <row r="17" spans="1:35" x14ac:dyDescent="0.2">
      <c r="B17" t="s">
        <v>33</v>
      </c>
      <c r="C17">
        <v>3054.318209074861</v>
      </c>
      <c r="D17">
        <v>2796.2450712039476</v>
      </c>
      <c r="E17">
        <v>2644.2786630962364</v>
      </c>
      <c r="F17">
        <v>2492.3122549885256</v>
      </c>
      <c r="G17">
        <v>2340.3458468808144</v>
      </c>
      <c r="H17">
        <v>2188.3794387731036</v>
      </c>
      <c r="I17">
        <v>2036.4130306653924</v>
      </c>
      <c r="J17">
        <v>1884.4466225576816</v>
      </c>
      <c r="K17">
        <v>1732.4802144499708</v>
      </c>
      <c r="L17">
        <v>1580.5138063422601</v>
      </c>
      <c r="M17">
        <v>1428.5473982345493</v>
      </c>
      <c r="N17">
        <v>1276.5809901268385</v>
      </c>
      <c r="O17">
        <v>1124.6145820191289</v>
      </c>
      <c r="P17">
        <v>1111.2667070863747</v>
      </c>
      <c r="Q17">
        <v>1097.9188321536203</v>
      </c>
      <c r="R17">
        <v>1084.5709572208661</v>
      </c>
      <c r="S17">
        <v>1071.223082288112</v>
      </c>
      <c r="T17">
        <v>1057.8752073553576</v>
      </c>
      <c r="U17">
        <v>1044.5273324226034</v>
      </c>
      <c r="V17">
        <v>1031.1794574898493</v>
      </c>
      <c r="W17">
        <v>1017.831582557095</v>
      </c>
      <c r="X17">
        <v>1004.4837076243407</v>
      </c>
      <c r="Y17">
        <v>991.13583269158642</v>
      </c>
      <c r="Z17">
        <v>977.78795775883225</v>
      </c>
      <c r="AA17">
        <v>964.44008282607797</v>
      </c>
      <c r="AB17">
        <v>951.09220789332369</v>
      </c>
      <c r="AC17">
        <v>937.74433296056952</v>
      </c>
      <c r="AD17">
        <v>924.39645802781524</v>
      </c>
      <c r="AE17">
        <v>911.04858309506096</v>
      </c>
      <c r="AF17">
        <v>897.70070816230668</v>
      </c>
      <c r="AG17">
        <v>884.35283322955252</v>
      </c>
      <c r="AH17">
        <v>871.00495829679824</v>
      </c>
      <c r="AI17">
        <v>857.6570833640435</v>
      </c>
    </row>
    <row r="18" spans="1:35" x14ac:dyDescent="0.2">
      <c r="B18" t="s">
        <v>34</v>
      </c>
      <c r="C18">
        <v>3054.318209074861</v>
      </c>
      <c r="D18">
        <v>2796.2450712039476</v>
      </c>
      <c r="E18">
        <v>2762.9653874516584</v>
      </c>
      <c r="F18">
        <v>2729.6857036993697</v>
      </c>
      <c r="G18">
        <v>2696.4060199470809</v>
      </c>
      <c r="H18">
        <v>2663.1263361947922</v>
      </c>
      <c r="I18">
        <v>2629.8466524425035</v>
      </c>
      <c r="J18">
        <v>2596.5669686902143</v>
      </c>
      <c r="K18">
        <v>2563.2872849379255</v>
      </c>
      <c r="L18">
        <v>2530.0076011856368</v>
      </c>
      <c r="M18">
        <v>2496.727917433348</v>
      </c>
      <c r="N18">
        <v>2463.4482336810588</v>
      </c>
      <c r="O18">
        <v>2430.1685499287696</v>
      </c>
      <c r="P18">
        <v>2364.8908515332878</v>
      </c>
      <c r="Q18">
        <v>2299.613153137806</v>
      </c>
      <c r="R18">
        <v>2234.3354547423241</v>
      </c>
      <c r="S18">
        <v>2169.0577563468419</v>
      </c>
      <c r="T18">
        <v>2103.78005795136</v>
      </c>
      <c r="U18">
        <v>2038.5023595558782</v>
      </c>
      <c r="V18">
        <v>1973.2246611603962</v>
      </c>
      <c r="W18">
        <v>1907.9469627649139</v>
      </c>
      <c r="X18">
        <v>1842.6692643694319</v>
      </c>
      <c r="Y18">
        <v>1777.3915659739496</v>
      </c>
      <c r="Z18">
        <v>1712.1138675784675</v>
      </c>
      <c r="AA18">
        <v>1646.8361691829853</v>
      </c>
      <c r="AB18">
        <v>1581.5584707875032</v>
      </c>
      <c r="AC18">
        <v>1516.2807723920212</v>
      </c>
      <c r="AD18">
        <v>1451.0030739965389</v>
      </c>
      <c r="AE18">
        <v>1385.7253756010568</v>
      </c>
      <c r="AF18">
        <v>1320.4476772055746</v>
      </c>
      <c r="AG18">
        <v>1255.1699788100925</v>
      </c>
      <c r="AH18">
        <v>1189.8922804146105</v>
      </c>
      <c r="AI18">
        <v>1124.6145820191289</v>
      </c>
    </row>
    <row r="20" spans="1:35" ht="16" thickBot="1" x14ac:dyDescent="0.25">
      <c r="A20" s="306" t="s">
        <v>10</v>
      </c>
      <c r="B20" s="307"/>
      <c r="C20" s="307"/>
      <c r="D20" s="307"/>
      <c r="E20" s="307"/>
      <c r="F20" s="308"/>
    </row>
    <row r="21" spans="1:35" x14ac:dyDescent="0.2">
      <c r="A21" s="276" t="s">
        <v>17</v>
      </c>
      <c r="B21" s="279"/>
      <c r="C21" s="279"/>
      <c r="D21" s="279"/>
      <c r="E21" s="279"/>
      <c r="F21" s="280"/>
    </row>
    <row r="22" spans="1:35" x14ac:dyDescent="0.2">
      <c r="A22" s="276" t="s">
        <v>18</v>
      </c>
      <c r="B22" s="279"/>
      <c r="C22" s="279"/>
      <c r="D22" s="279"/>
      <c r="E22" s="279"/>
      <c r="F22" s="280"/>
    </row>
    <row r="23" spans="1:35" ht="16" thickBot="1" x14ac:dyDescent="0.25">
      <c r="A23" s="306" t="s">
        <v>11</v>
      </c>
      <c r="B23" s="307"/>
      <c r="C23" s="307"/>
      <c r="D23" s="307"/>
      <c r="E23" s="307"/>
      <c r="F23" s="308"/>
    </row>
  </sheetData>
  <mergeCells count="4">
    <mergeCell ref="A20:F20"/>
    <mergeCell ref="A21:F21"/>
    <mergeCell ref="A22:F22"/>
    <mergeCell ref="A23:F2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1DC84-8E1C-4B41-A58F-99DEB8033653}">
  <dimension ref="A1:C10"/>
  <sheetViews>
    <sheetView workbookViewId="0">
      <selection activeCell="B10" sqref="B10"/>
    </sheetView>
  </sheetViews>
  <sheetFormatPr baseColWidth="10" defaultColWidth="8.83203125" defaultRowHeight="15" x14ac:dyDescent="0.2"/>
  <cols>
    <col min="1" max="1" width="17.5" customWidth="1"/>
    <col min="2" max="2" width="22" customWidth="1"/>
  </cols>
  <sheetData>
    <row r="1" spans="1:3" x14ac:dyDescent="0.2">
      <c r="A1" s="9" t="s">
        <v>37</v>
      </c>
      <c r="B1" s="9"/>
      <c r="C1" s="9"/>
    </row>
    <row r="3" spans="1:3" x14ac:dyDescent="0.2">
      <c r="A3" s="1" t="s">
        <v>38</v>
      </c>
      <c r="B3" s="10" t="s">
        <v>39</v>
      </c>
    </row>
    <row r="4" spans="1:3" x14ac:dyDescent="0.2">
      <c r="A4" t="s">
        <v>40</v>
      </c>
      <c r="B4" s="11">
        <v>0.63</v>
      </c>
    </row>
    <row r="5" spans="1:3" x14ac:dyDescent="0.2">
      <c r="A5" t="s">
        <v>41</v>
      </c>
      <c r="B5" s="11">
        <v>0.56000000000000005</v>
      </c>
    </row>
    <row r="6" spans="1:3" x14ac:dyDescent="0.2">
      <c r="A6" t="s">
        <v>42</v>
      </c>
      <c r="B6" s="11">
        <v>0.35</v>
      </c>
    </row>
    <row r="8" spans="1:3" x14ac:dyDescent="0.2">
      <c r="A8" t="s">
        <v>50</v>
      </c>
    </row>
    <row r="9" spans="1:3" x14ac:dyDescent="0.2">
      <c r="A9" t="s">
        <v>51</v>
      </c>
    </row>
    <row r="10" spans="1:3" x14ac:dyDescent="0.2">
      <c r="A10" t="s">
        <v>52</v>
      </c>
      <c r="B10" s="12">
        <f>AVERAGE(B4:B5)</f>
        <v>0.59499999999999997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theme="3"/>
  </sheetPr>
  <dimension ref="A1:C53"/>
  <sheetViews>
    <sheetView workbookViewId="0">
      <selection activeCell="E47" sqref="E47"/>
    </sheetView>
  </sheetViews>
  <sheetFormatPr baseColWidth="10" defaultColWidth="8.83203125" defaultRowHeight="15" x14ac:dyDescent="0.2"/>
  <cols>
    <col min="1" max="1" width="12.33203125" customWidth="1"/>
    <col min="2" max="2" width="15.1640625" customWidth="1"/>
  </cols>
  <sheetData>
    <row r="1" spans="1:3" x14ac:dyDescent="0.2">
      <c r="A1" s="14" t="s">
        <v>53</v>
      </c>
      <c r="B1" t="s">
        <v>55</v>
      </c>
    </row>
    <row r="2" spans="1:3" x14ac:dyDescent="0.2">
      <c r="A2">
        <v>2019</v>
      </c>
      <c r="B2" s="7">
        <f>(INDEX('NREL calcs'!$D$3:$D$54,MATCH('CpUDSC-totalcost'!$A2,'NREL calcs'!$B$3:$B$54,0))*1000)/'DC to AC'!$A$3</f>
        <v>1888594.2408226826</v>
      </c>
      <c r="C2" s="7"/>
    </row>
    <row r="3" spans="1:3" x14ac:dyDescent="0.2">
      <c r="A3">
        <v>2020</v>
      </c>
      <c r="B3" s="7">
        <f>(INDEX('NREL calcs'!$D$3:$D$54,MATCH('CpUDSC-totalcost'!$A3,'NREL calcs'!$B$3:$B$54,0))*1000)/'DC to AC'!$A$3</f>
        <v>1841929.1502789252</v>
      </c>
      <c r="C3" s="7"/>
    </row>
    <row r="4" spans="1:3" x14ac:dyDescent="0.2">
      <c r="A4">
        <v>2021</v>
      </c>
      <c r="B4" s="7">
        <f>(INDEX('NREL calcs'!$D$3:$D$54,MATCH('CpUDSC-totalcost'!$A4,'NREL calcs'!$B$3:$B$54,0))*1000)/'DC to AC'!$A$3</f>
        <v>1650288.3569508551</v>
      </c>
      <c r="C4" s="7"/>
    </row>
    <row r="5" spans="1:3" x14ac:dyDescent="0.2">
      <c r="A5">
        <v>2022</v>
      </c>
      <c r="B5" s="7">
        <f>(INDEX('NREL calcs'!$D$3:$D$54,MATCH('CpUDSC-totalcost'!$A5,'NREL calcs'!$B$3:$B$54,0))*1000)/'DC to AC'!$A$3</f>
        <v>1572883.2269668286</v>
      </c>
      <c r="C5" s="7"/>
    </row>
    <row r="6" spans="1:3" x14ac:dyDescent="0.2">
      <c r="A6">
        <v>2023</v>
      </c>
      <c r="B6" s="7">
        <f>(INDEX('NREL calcs'!$D$3:$D$54,MATCH('CpUDSC-totalcost'!$A6,'NREL calcs'!$B$3:$B$54,0))*1000)/'DC to AC'!$A$3</f>
        <v>1495478.0969828023</v>
      </c>
      <c r="C6" s="7"/>
    </row>
    <row r="7" spans="1:3" x14ac:dyDescent="0.2">
      <c r="A7">
        <v>2024</v>
      </c>
      <c r="B7" s="7">
        <f>(INDEX('NREL calcs'!$D$3:$D$54,MATCH('CpUDSC-totalcost'!$A7,'NREL calcs'!$B$3:$B$54,0))*1000)/'DC to AC'!$A$3</f>
        <v>1418072.9669987757</v>
      </c>
      <c r="C7" s="7"/>
    </row>
    <row r="8" spans="1:3" x14ac:dyDescent="0.2">
      <c r="A8">
        <v>2025</v>
      </c>
      <c r="B8" s="7">
        <f>(INDEX('NREL calcs'!$D$3:$D$54,MATCH('CpUDSC-totalcost'!$A8,'NREL calcs'!$B$3:$B$54,0))*1000)/'DC to AC'!$A$3</f>
        <v>1340667.8370147492</v>
      </c>
      <c r="C8" s="7"/>
    </row>
    <row r="9" spans="1:3" x14ac:dyDescent="0.2">
      <c r="A9">
        <v>2026</v>
      </c>
      <c r="B9" s="7">
        <f>(INDEX('NREL calcs'!$D$3:$D$54,MATCH('CpUDSC-totalcost'!$A9,'NREL calcs'!$B$3:$B$54,0))*1000)/'DC to AC'!$A$3</f>
        <v>1264231.9959272537</v>
      </c>
      <c r="C9" s="7"/>
    </row>
    <row r="10" spans="1:3" x14ac:dyDescent="0.2">
      <c r="A10">
        <v>2027</v>
      </c>
      <c r="B10" s="7">
        <f>(INDEX('NREL calcs'!$D$3:$D$54,MATCH('CpUDSC-totalcost'!$A10,'NREL calcs'!$B$3:$B$54,0))*1000)/'DC to AC'!$A$3</f>
        <v>1187676.4934592741</v>
      </c>
      <c r="C10" s="7"/>
    </row>
    <row r="11" spans="1:3" x14ac:dyDescent="0.2">
      <c r="A11">
        <v>2028</v>
      </c>
      <c r="B11" s="7">
        <f>(INDEX('NREL calcs'!$D$3:$D$54,MATCH('CpUDSC-totalcost'!$A11,'NREL calcs'!$B$3:$B$54,0))*1000)/'DC to AC'!$A$3</f>
        <v>1111001.5037132131</v>
      </c>
      <c r="C11" s="7"/>
    </row>
    <row r="12" spans="1:3" x14ac:dyDescent="0.2">
      <c r="A12">
        <v>2029</v>
      </c>
      <c r="B12" s="7">
        <f>(INDEX('NREL calcs'!$D$3:$D$54,MATCH('CpUDSC-totalcost'!$A12,'NREL calcs'!$B$3:$B$54,0))*1000)/'DC to AC'!$A$3</f>
        <v>1034207.2001200669</v>
      </c>
      <c r="C12" s="7"/>
    </row>
    <row r="13" spans="1:3" x14ac:dyDescent="0.2">
      <c r="A13">
        <v>2030</v>
      </c>
      <c r="B13" s="7">
        <f>(INDEX('NREL calcs'!$D$3:$D$54,MATCH('CpUDSC-totalcost'!$A13,'NREL calcs'!$B$3:$B$54,0))*1000)/'DC to AC'!$A$3</f>
        <v>957293.75544345274</v>
      </c>
      <c r="C13" s="7"/>
    </row>
    <row r="14" spans="1:3" x14ac:dyDescent="0.2">
      <c r="A14">
        <v>2031</v>
      </c>
      <c r="B14" s="7">
        <f>(INDEX('NREL calcs'!$D$3:$D$54,MATCH('CpUDSC-totalcost'!$A14,'NREL calcs'!$B$3:$B$54,0))*1000)/'DC to AC'!$A$3</f>
        <v>946174.57868100551</v>
      </c>
      <c r="C14" s="7"/>
    </row>
    <row r="15" spans="1:3" x14ac:dyDescent="0.2">
      <c r="A15">
        <v>2032</v>
      </c>
      <c r="B15" s="7">
        <f>(INDEX('NREL calcs'!$D$3:$D$54,MATCH('CpUDSC-totalcost'!$A15,'NREL calcs'!$B$3:$B$54,0))*1000)/'DC to AC'!$A$3</f>
        <v>935055.4019185584</v>
      </c>
      <c r="C15" s="7"/>
    </row>
    <row r="16" spans="1:3" x14ac:dyDescent="0.2">
      <c r="A16">
        <v>2033</v>
      </c>
      <c r="B16" s="7">
        <f>(INDEX('NREL calcs'!$D$3:$D$54,MATCH('CpUDSC-totalcost'!$A16,'NREL calcs'!$B$3:$B$54,0))*1000)/'DC to AC'!$A$3</f>
        <v>923936.22515611141</v>
      </c>
      <c r="C16" s="7"/>
    </row>
    <row r="17" spans="1:3" x14ac:dyDescent="0.2">
      <c r="A17">
        <v>2034</v>
      </c>
      <c r="B17" s="7">
        <f>(INDEX('NREL calcs'!$D$3:$D$54,MATCH('CpUDSC-totalcost'!$A17,'NREL calcs'!$B$3:$B$54,0))*1000)/'DC to AC'!$A$3</f>
        <v>912817.0483936643</v>
      </c>
      <c r="C17" s="7"/>
    </row>
    <row r="18" spans="1:3" x14ac:dyDescent="0.2">
      <c r="A18">
        <v>2035</v>
      </c>
      <c r="B18" s="7">
        <f>(INDEX('NREL calcs'!$D$3:$D$54,MATCH('CpUDSC-totalcost'!$A18,'NREL calcs'!$B$3:$B$54,0))*1000)/'DC to AC'!$A$3</f>
        <v>901697.87163121719</v>
      </c>
      <c r="C18" s="7"/>
    </row>
    <row r="19" spans="1:3" x14ac:dyDescent="0.2">
      <c r="A19">
        <v>2036</v>
      </c>
      <c r="B19" s="7">
        <f>(INDEX('NREL calcs'!$D$3:$D$54,MATCH('CpUDSC-totalcost'!$A19,'NREL calcs'!$B$3:$B$54,0))*1000)/'DC to AC'!$A$3</f>
        <v>890578.6948687702</v>
      </c>
      <c r="C19" s="7"/>
    </row>
    <row r="20" spans="1:3" x14ac:dyDescent="0.2">
      <c r="A20">
        <v>2037</v>
      </c>
      <c r="B20" s="7">
        <f>(INDEX('NREL calcs'!$D$3:$D$54,MATCH('CpUDSC-totalcost'!$A20,'NREL calcs'!$B$3:$B$54,0))*1000)/'DC to AC'!$A$3</f>
        <v>879459.51810632308</v>
      </c>
      <c r="C20" s="7"/>
    </row>
    <row r="21" spans="1:3" x14ac:dyDescent="0.2">
      <c r="A21">
        <v>2038</v>
      </c>
      <c r="B21" s="7">
        <f>(INDEX('NREL calcs'!$D$3:$D$54,MATCH('CpUDSC-totalcost'!$A21,'NREL calcs'!$B$3:$B$54,0))*1000)/'DC to AC'!$A$3</f>
        <v>868340.34134387609</v>
      </c>
      <c r="C21" s="7"/>
    </row>
    <row r="22" spans="1:3" x14ac:dyDescent="0.2">
      <c r="A22">
        <v>2039</v>
      </c>
      <c r="B22" s="7">
        <f>(INDEX('NREL calcs'!$D$3:$D$54,MATCH('CpUDSC-totalcost'!$A22,'NREL calcs'!$B$3:$B$54,0))*1000)/'DC to AC'!$A$3</f>
        <v>857221.1645814291</v>
      </c>
      <c r="C22" s="7"/>
    </row>
    <row r="23" spans="1:3" x14ac:dyDescent="0.2">
      <c r="A23">
        <v>2040</v>
      </c>
      <c r="B23" s="7">
        <f>(INDEX('NREL calcs'!$D$3:$D$54,MATCH('CpUDSC-totalcost'!$A23,'NREL calcs'!$B$3:$B$54,0))*1000)/'DC to AC'!$A$3</f>
        <v>846101.98781898175</v>
      </c>
      <c r="C23" s="7"/>
    </row>
    <row r="24" spans="1:3" x14ac:dyDescent="0.2">
      <c r="A24">
        <v>2041</v>
      </c>
      <c r="B24" s="7">
        <f>(INDEX('NREL calcs'!$D$3:$D$54,MATCH('CpUDSC-totalcost'!$A24,'NREL calcs'!$B$3:$B$54,0))*1000)/'DC to AC'!$A$3</f>
        <v>834982.81105653488</v>
      </c>
      <c r="C24" s="7"/>
    </row>
    <row r="25" spans="1:3" x14ac:dyDescent="0.2">
      <c r="A25">
        <v>2042</v>
      </c>
      <c r="B25" s="7">
        <f>(INDEX('NREL calcs'!$D$3:$D$54,MATCH('CpUDSC-totalcost'!$A25,'NREL calcs'!$B$3:$B$54,0))*1000)/'DC to AC'!$A$3</f>
        <v>823863.63429408765</v>
      </c>
      <c r="C25" s="7"/>
    </row>
    <row r="26" spans="1:3" x14ac:dyDescent="0.2">
      <c r="A26">
        <v>2043</v>
      </c>
      <c r="B26" s="7">
        <f>(INDEX('NREL calcs'!$D$3:$D$54,MATCH('CpUDSC-totalcost'!$A26,'NREL calcs'!$B$3:$B$54,0))*1000)/'DC to AC'!$A$3</f>
        <v>812744.45753164054</v>
      </c>
      <c r="C26" s="7"/>
    </row>
    <row r="27" spans="1:3" x14ac:dyDescent="0.2">
      <c r="A27">
        <v>2044</v>
      </c>
      <c r="B27" s="7">
        <f>(INDEX('NREL calcs'!$D$3:$D$54,MATCH('CpUDSC-totalcost'!$A27,'NREL calcs'!$B$3:$B$54,0))*1000)/'DC to AC'!$A$3</f>
        <v>801625.28076919354</v>
      </c>
      <c r="C27" s="7"/>
    </row>
    <row r="28" spans="1:3" x14ac:dyDescent="0.2">
      <c r="A28">
        <v>2045</v>
      </c>
      <c r="B28" s="7">
        <f>(INDEX('NREL calcs'!$D$3:$D$54,MATCH('CpUDSC-totalcost'!$A28,'NREL calcs'!$B$3:$B$54,0))*1000)/'DC to AC'!$A$3</f>
        <v>790506.10400674643</v>
      </c>
      <c r="C28" s="7"/>
    </row>
    <row r="29" spans="1:3" x14ac:dyDescent="0.2">
      <c r="A29">
        <v>2046</v>
      </c>
      <c r="B29" s="7">
        <f>(INDEX('NREL calcs'!$D$3:$D$54,MATCH('CpUDSC-totalcost'!$A29,'NREL calcs'!$B$3:$B$54,0))*1000)/'DC to AC'!$A$3</f>
        <v>779386.92724429944</v>
      </c>
      <c r="C29" s="7"/>
    </row>
    <row r="30" spans="1:3" x14ac:dyDescent="0.2">
      <c r="A30">
        <v>2047</v>
      </c>
      <c r="B30" s="7">
        <f>(INDEX('NREL calcs'!$D$3:$D$54,MATCH('CpUDSC-totalcost'!$A30,'NREL calcs'!$B$3:$B$54,0))*1000)/'DC to AC'!$A$3</f>
        <v>768267.75048185221</v>
      </c>
      <c r="C30" s="7"/>
    </row>
    <row r="31" spans="1:3" x14ac:dyDescent="0.2">
      <c r="A31">
        <v>2048</v>
      </c>
      <c r="B31" s="7">
        <f>(INDEX('NREL calcs'!$D$3:$D$54,MATCH('CpUDSC-totalcost'!$A31,'NREL calcs'!$B$3:$B$54,0))*1000)/'DC to AC'!$A$3</f>
        <v>757148.5737194051</v>
      </c>
      <c r="C31" s="7"/>
    </row>
    <row r="32" spans="1:3" x14ac:dyDescent="0.2">
      <c r="A32">
        <v>2049</v>
      </c>
      <c r="B32" s="7">
        <f>(INDEX('NREL calcs'!$D$3:$D$54,MATCH('CpUDSC-totalcost'!$A32,'NREL calcs'!$B$3:$B$54,0))*1000)/'DC to AC'!$A$3</f>
        <v>746029.39695695823</v>
      </c>
      <c r="C32" s="7"/>
    </row>
    <row r="33" spans="1:3" x14ac:dyDescent="0.2">
      <c r="A33">
        <v>2050</v>
      </c>
      <c r="B33" s="7">
        <f>(INDEX('NREL calcs'!$D$3:$D$54,MATCH('CpUDSC-totalcost'!$A33,'NREL calcs'!$B$3:$B$54,0))*1000)/'DC to AC'!$A$3</f>
        <v>734910.22019451018</v>
      </c>
      <c r="C33" s="7"/>
    </row>
    <row r="34" spans="1:3" x14ac:dyDescent="0.2">
      <c r="A34" s="196">
        <v>2051</v>
      </c>
      <c r="B34" s="7">
        <f>(INDEX('NREL calcs'!$D$3:$D$54,MATCH('CpUDSC-totalcost'!$A34,'NREL calcs'!$B$3:$B$54,0))*1000)/'DC to AC'!$A$3</f>
        <v>723956.76892810664</v>
      </c>
    </row>
    <row r="35" spans="1:3" x14ac:dyDescent="0.2">
      <c r="A35" s="196">
        <v>2052</v>
      </c>
      <c r="B35" s="7">
        <f>(INDEX('NREL calcs'!$D$3:$D$54,MATCH('CpUDSC-totalcost'!$A35,'NREL calcs'!$B$3:$B$54,0))*1000)/'DC to AC'!$A$3</f>
        <v>713166.57310617599</v>
      </c>
    </row>
    <row r="36" spans="1:3" x14ac:dyDescent="0.2">
      <c r="A36" s="196">
        <v>2053</v>
      </c>
      <c r="B36" s="7">
        <f>(INDEX('NREL calcs'!$D$3:$D$54,MATCH('CpUDSC-totalcost'!$A36,'NREL calcs'!$B$3:$B$54,0))*1000)/'DC to AC'!$A$3</f>
        <v>702537.19949196931</v>
      </c>
    </row>
    <row r="37" spans="1:3" x14ac:dyDescent="0.2">
      <c r="A37" s="196">
        <v>2054</v>
      </c>
      <c r="B37" s="7">
        <f>(INDEX('NREL calcs'!$D$3:$D$54,MATCH('CpUDSC-totalcost'!$A37,'NREL calcs'!$B$3:$B$54,0))*1000)/'DC to AC'!$A$3</f>
        <v>692066.25111485447</v>
      </c>
    </row>
    <row r="38" spans="1:3" x14ac:dyDescent="0.2">
      <c r="A38" s="196">
        <v>2055</v>
      </c>
      <c r="B38" s="7">
        <f>(INDEX('NREL calcs'!$D$3:$D$54,MATCH('CpUDSC-totalcost'!$A38,'NREL calcs'!$B$3:$B$54,0))*1000)/'DC to AC'!$A$3</f>
        <v>681751.3667297893</v>
      </c>
    </row>
    <row r="39" spans="1:3" x14ac:dyDescent="0.2">
      <c r="A39" s="196">
        <v>2056</v>
      </c>
      <c r="B39" s="7">
        <f>(INDEX('NREL calcs'!$D$3:$D$54,MATCH('CpUDSC-totalcost'!$A39,'NREL calcs'!$B$3:$B$54,0))*1000)/'DC to AC'!$A$3</f>
        <v>671590.22028485045</v>
      </c>
    </row>
    <row r="40" spans="1:3" x14ac:dyDescent="0.2">
      <c r="A40" s="196">
        <v>2057</v>
      </c>
      <c r="B40" s="7">
        <f>(INDEX('NREL calcs'!$D$3:$D$54,MATCH('CpUDSC-totalcost'!$A40,'NREL calcs'!$B$3:$B$54,0))*1000)/'DC to AC'!$A$3</f>
        <v>661580.5203966978</v>
      </c>
    </row>
    <row r="41" spans="1:3" x14ac:dyDescent="0.2">
      <c r="A41" s="196">
        <v>2058</v>
      </c>
      <c r="B41" s="7">
        <f>(INDEX('NREL calcs'!$D$3:$D$54,MATCH('CpUDSC-totalcost'!$A41,'NREL calcs'!$B$3:$B$54,0))*1000)/'DC to AC'!$A$3</f>
        <v>651720.00983385777</v>
      </c>
    </row>
    <row r="42" spans="1:3" x14ac:dyDescent="0.2">
      <c r="A42" s="196">
        <v>2059</v>
      </c>
      <c r="B42" s="7">
        <f>(INDEX('NREL calcs'!$D$3:$D$54,MATCH('CpUDSC-totalcost'!$A42,'NREL calcs'!$B$3:$B$54,0))*1000)/'DC to AC'!$A$3</f>
        <v>642006.46500770783</v>
      </c>
    </row>
    <row r="43" spans="1:3" x14ac:dyDescent="0.2">
      <c r="A43" s="196">
        <v>2060</v>
      </c>
      <c r="B43" s="7">
        <f>(INDEX('NREL calcs'!$D$3:$D$54,MATCH('CpUDSC-totalcost'!$A43,'NREL calcs'!$B$3:$B$54,0))*1000)/'DC to AC'!$A$3</f>
        <v>632437.69547104719</v>
      </c>
    </row>
    <row r="44" spans="1:3" x14ac:dyDescent="0.2">
      <c r="A44" s="196">
        <v>2061</v>
      </c>
      <c r="B44" s="7">
        <f>(INDEX('NREL calcs'!$D$3:$D$54,MATCH('CpUDSC-totalcost'!$A44,'NREL calcs'!$B$3:$B$54,0))*1000)/'DC to AC'!$A$3</f>
        <v>623011.54342414113</v>
      </c>
    </row>
    <row r="45" spans="1:3" x14ac:dyDescent="0.2">
      <c r="A45" s="196">
        <v>2062</v>
      </c>
      <c r="B45" s="7">
        <f>(INDEX('NREL calcs'!$D$3:$D$54,MATCH('CpUDSC-totalcost'!$A45,'NREL calcs'!$B$3:$B$54,0))*1000)/'DC to AC'!$A$3</f>
        <v>613725.88322812831</v>
      </c>
    </row>
    <row r="46" spans="1:3" x14ac:dyDescent="0.2">
      <c r="A46" s="196">
        <v>2063</v>
      </c>
      <c r="B46" s="7">
        <f>(INDEX('NREL calcs'!$D$3:$D$54,MATCH('CpUDSC-totalcost'!$A46,'NREL calcs'!$B$3:$B$54,0))*1000)/'DC to AC'!$A$3</f>
        <v>604578.62092567945</v>
      </c>
    </row>
    <row r="47" spans="1:3" x14ac:dyDescent="0.2">
      <c r="A47" s="196">
        <v>2064</v>
      </c>
      <c r="B47" s="7">
        <f>(INDEX('NREL calcs'!$D$3:$D$54,MATCH('CpUDSC-totalcost'!$A47,'NREL calcs'!$B$3:$B$54,0))*1000)/'DC to AC'!$A$3</f>
        <v>595567.69376880012</v>
      </c>
    </row>
    <row r="48" spans="1:3" x14ac:dyDescent="0.2">
      <c r="A48" s="196">
        <v>2065</v>
      </c>
      <c r="B48" s="7">
        <f>(INDEX('NREL calcs'!$D$3:$D$54,MATCH('CpUDSC-totalcost'!$A48,'NREL calcs'!$B$3:$B$54,0))*1000)/'DC to AC'!$A$3</f>
        <v>586691.06975367328</v>
      </c>
    </row>
    <row r="49" spans="1:2" x14ac:dyDescent="0.2">
      <c r="A49" s="196">
        <v>2066</v>
      </c>
      <c r="B49" s="7">
        <f>(INDEX('NREL calcs'!$D$3:$D$54,MATCH('CpUDSC-totalcost'!$A49,'NREL calcs'!$B$3:$B$54,0))*1000)/'DC to AC'!$A$3</f>
        <v>577946.74716243206</v>
      </c>
    </row>
    <row r="50" spans="1:2" x14ac:dyDescent="0.2">
      <c r="A50" s="196">
        <v>2067</v>
      </c>
      <c r="B50" s="7">
        <f>(INDEX('NREL calcs'!$D$3:$D$54,MATCH('CpUDSC-totalcost'!$A50,'NREL calcs'!$B$3:$B$54,0))*1000)/'DC to AC'!$A$3</f>
        <v>569332.75411176449</v>
      </c>
    </row>
    <row r="51" spans="1:2" x14ac:dyDescent="0.2">
      <c r="A51" s="196">
        <v>2068</v>
      </c>
      <c r="B51" s="7">
        <f>(INDEX('NREL calcs'!$D$3:$D$54,MATCH('CpUDSC-totalcost'!$A51,'NREL calcs'!$B$3:$B$54,0))*1000)/'DC to AC'!$A$3</f>
        <v>560847.14810824476</v>
      </c>
    </row>
    <row r="52" spans="1:2" x14ac:dyDescent="0.2">
      <c r="A52" s="196">
        <v>2069</v>
      </c>
      <c r="B52" s="7">
        <f>(INDEX('NREL calcs'!$D$3:$D$54,MATCH('CpUDSC-totalcost'!$A52,'NREL calcs'!$B$3:$B$54,0))*1000)/'DC to AC'!$A$3</f>
        <v>552488.01561029267</v>
      </c>
    </row>
    <row r="53" spans="1:2" x14ac:dyDescent="0.2">
      <c r="A53" s="196">
        <v>2070</v>
      </c>
      <c r="B53" s="7">
        <f>(INDEX('NREL calcs'!$D$3:$D$54,MATCH('CpUDSC-totalcost'!$A53,'NREL calcs'!$B$3:$B$54,0))*1000)/'DC to AC'!$A$3</f>
        <v>544253.47159666126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9C14F-5B4F-4B7E-AF1C-C0A6186374FC}">
  <sheetPr>
    <tabColor theme="3"/>
  </sheetPr>
  <dimension ref="A1:B53"/>
  <sheetViews>
    <sheetView tabSelected="1" workbookViewId="0">
      <selection activeCell="E46" sqref="E46"/>
    </sheetView>
  </sheetViews>
  <sheetFormatPr baseColWidth="10" defaultColWidth="8.83203125" defaultRowHeight="15" x14ac:dyDescent="0.2"/>
  <cols>
    <col min="1" max="1" width="12.33203125" customWidth="1"/>
    <col min="2" max="2" width="15.1640625" customWidth="1"/>
  </cols>
  <sheetData>
    <row r="1" spans="1:2" x14ac:dyDescent="0.2">
      <c r="A1" s="14" t="s">
        <v>53</v>
      </c>
      <c r="B1" t="s">
        <v>54</v>
      </c>
    </row>
    <row r="2" spans="1:2" x14ac:dyDescent="0.2">
      <c r="A2">
        <v>2019</v>
      </c>
      <c r="B2" s="7">
        <f>'Soft Cost Data'!$B$10*'CpUDSC-totalcost'!B2</f>
        <v>1123713.5732894961</v>
      </c>
    </row>
    <row r="3" spans="1:2" x14ac:dyDescent="0.2">
      <c r="A3">
        <v>2020</v>
      </c>
      <c r="B3" s="7">
        <f>'Soft Cost Data'!$B$10*'CpUDSC-totalcost'!B3</f>
        <v>1095947.8444159604</v>
      </c>
    </row>
    <row r="4" spans="1:2" x14ac:dyDescent="0.2">
      <c r="A4">
        <v>2021</v>
      </c>
      <c r="B4" s="7">
        <f>'Soft Cost Data'!$B$10*'CpUDSC-totalcost'!B4</f>
        <v>981921.57238575874</v>
      </c>
    </row>
    <row r="5" spans="1:2" x14ac:dyDescent="0.2">
      <c r="A5">
        <v>2022</v>
      </c>
      <c r="B5" s="7">
        <f>'Soft Cost Data'!$B$10*'CpUDSC-totalcost'!B5</f>
        <v>935865.52004526299</v>
      </c>
    </row>
    <row r="6" spans="1:2" x14ac:dyDescent="0.2">
      <c r="A6">
        <v>2023</v>
      </c>
      <c r="B6" s="7">
        <f>'Soft Cost Data'!$B$10*'CpUDSC-totalcost'!B6</f>
        <v>889809.46770476736</v>
      </c>
    </row>
    <row r="7" spans="1:2" x14ac:dyDescent="0.2">
      <c r="A7">
        <v>2024</v>
      </c>
      <c r="B7" s="7">
        <f>'Soft Cost Data'!$B$10*'CpUDSC-totalcost'!B7</f>
        <v>843753.4153642715</v>
      </c>
    </row>
    <row r="8" spans="1:2" x14ac:dyDescent="0.2">
      <c r="A8">
        <v>2025</v>
      </c>
      <c r="B8" s="7">
        <f>'Soft Cost Data'!$B$10*'CpUDSC-totalcost'!B8</f>
        <v>797697.36302377575</v>
      </c>
    </row>
    <row r="9" spans="1:2" x14ac:dyDescent="0.2">
      <c r="A9">
        <v>2026</v>
      </c>
      <c r="B9" s="7">
        <f>'Soft Cost Data'!$B$10*'CpUDSC-totalcost'!B9</f>
        <v>752218.03757671593</v>
      </c>
    </row>
    <row r="10" spans="1:2" x14ac:dyDescent="0.2">
      <c r="A10">
        <v>2027</v>
      </c>
      <c r="B10" s="7">
        <f>'Soft Cost Data'!$B$10*'CpUDSC-totalcost'!B10</f>
        <v>706667.513608268</v>
      </c>
    </row>
    <row r="11" spans="1:2" x14ac:dyDescent="0.2">
      <c r="A11">
        <v>2028</v>
      </c>
      <c r="B11" s="7">
        <f>'Soft Cost Data'!$B$10*'CpUDSC-totalcost'!B11</f>
        <v>661045.89470936183</v>
      </c>
    </row>
    <row r="12" spans="1:2" x14ac:dyDescent="0.2">
      <c r="A12">
        <v>2029</v>
      </c>
      <c r="B12" s="7">
        <f>'Soft Cost Data'!$B$10*'CpUDSC-totalcost'!B12</f>
        <v>615353.28407143976</v>
      </c>
    </row>
    <row r="13" spans="1:2" x14ac:dyDescent="0.2">
      <c r="A13">
        <v>2030</v>
      </c>
      <c r="B13" s="7">
        <f>'Soft Cost Data'!$B$10*'CpUDSC-totalcost'!B13</f>
        <v>569589.78448885435</v>
      </c>
    </row>
    <row r="14" spans="1:2" x14ac:dyDescent="0.2">
      <c r="A14">
        <v>2031</v>
      </c>
      <c r="B14" s="7">
        <f>'Soft Cost Data'!$B$10*'CpUDSC-totalcost'!B14</f>
        <v>562973.87431519828</v>
      </c>
    </row>
    <row r="15" spans="1:2" x14ac:dyDescent="0.2">
      <c r="A15">
        <v>2032</v>
      </c>
      <c r="B15" s="7">
        <f>'Soft Cost Data'!$B$10*'CpUDSC-totalcost'!B15</f>
        <v>556357.96414154221</v>
      </c>
    </row>
    <row r="16" spans="1:2" x14ac:dyDescent="0.2">
      <c r="A16">
        <v>2033</v>
      </c>
      <c r="B16" s="7">
        <f>'Soft Cost Data'!$B$10*'CpUDSC-totalcost'!B16</f>
        <v>549742.05396788626</v>
      </c>
    </row>
    <row r="17" spans="1:2" x14ac:dyDescent="0.2">
      <c r="A17">
        <v>2034</v>
      </c>
      <c r="B17" s="7">
        <f>'Soft Cost Data'!$B$10*'CpUDSC-totalcost'!B17</f>
        <v>543126.14379423019</v>
      </c>
    </row>
    <row r="18" spans="1:2" x14ac:dyDescent="0.2">
      <c r="A18">
        <v>2035</v>
      </c>
      <c r="B18" s="7">
        <f>'Soft Cost Data'!$B$10*'CpUDSC-totalcost'!B18</f>
        <v>536510.23362057423</v>
      </c>
    </row>
    <row r="19" spans="1:2" x14ac:dyDescent="0.2">
      <c r="A19">
        <v>2036</v>
      </c>
      <c r="B19" s="7">
        <f>'Soft Cost Data'!$B$10*'CpUDSC-totalcost'!B19</f>
        <v>529894.32344691828</v>
      </c>
    </row>
    <row r="20" spans="1:2" x14ac:dyDescent="0.2">
      <c r="A20">
        <v>2037</v>
      </c>
      <c r="B20" s="7">
        <f>'Soft Cost Data'!$B$10*'CpUDSC-totalcost'!B20</f>
        <v>523278.41327326221</v>
      </c>
    </row>
    <row r="21" spans="1:2" x14ac:dyDescent="0.2">
      <c r="A21">
        <v>2038</v>
      </c>
      <c r="B21" s="7">
        <f>'Soft Cost Data'!$B$10*'CpUDSC-totalcost'!B21</f>
        <v>516662.50309960626</v>
      </c>
    </row>
    <row r="22" spans="1:2" x14ac:dyDescent="0.2">
      <c r="A22">
        <v>2039</v>
      </c>
      <c r="B22" s="7">
        <f>'Soft Cost Data'!$B$10*'CpUDSC-totalcost'!B22</f>
        <v>510046.5929259503</v>
      </c>
    </row>
    <row r="23" spans="1:2" x14ac:dyDescent="0.2">
      <c r="A23">
        <v>2040</v>
      </c>
      <c r="B23" s="7">
        <f>'Soft Cost Data'!$B$10*'CpUDSC-totalcost'!B23</f>
        <v>503430.68275229412</v>
      </c>
    </row>
    <row r="24" spans="1:2" x14ac:dyDescent="0.2">
      <c r="A24">
        <v>2041</v>
      </c>
      <c r="B24" s="7">
        <f>'Soft Cost Data'!$B$10*'CpUDSC-totalcost'!B24</f>
        <v>496814.77257863822</v>
      </c>
    </row>
    <row r="25" spans="1:2" x14ac:dyDescent="0.2">
      <c r="A25">
        <v>2042</v>
      </c>
      <c r="B25" s="7">
        <f>'Soft Cost Data'!$B$10*'CpUDSC-totalcost'!B25</f>
        <v>490198.86240498215</v>
      </c>
    </row>
    <row r="26" spans="1:2" x14ac:dyDescent="0.2">
      <c r="A26">
        <v>2043</v>
      </c>
      <c r="B26" s="7">
        <f>'Soft Cost Data'!$B$10*'CpUDSC-totalcost'!B26</f>
        <v>483582.95223132608</v>
      </c>
    </row>
    <row r="27" spans="1:2" x14ac:dyDescent="0.2">
      <c r="A27">
        <v>2044</v>
      </c>
      <c r="B27" s="7">
        <f>'Soft Cost Data'!$B$10*'CpUDSC-totalcost'!B27</f>
        <v>476967.04205767013</v>
      </c>
    </row>
    <row r="28" spans="1:2" x14ac:dyDescent="0.2">
      <c r="A28">
        <v>2045</v>
      </c>
      <c r="B28" s="7">
        <f>'Soft Cost Data'!$B$10*'CpUDSC-totalcost'!B28</f>
        <v>470351.13188401412</v>
      </c>
    </row>
    <row r="29" spans="1:2" x14ac:dyDescent="0.2">
      <c r="A29">
        <v>2046</v>
      </c>
      <c r="B29" s="7">
        <f>'Soft Cost Data'!$B$10*'CpUDSC-totalcost'!B29</f>
        <v>463735.22171035816</v>
      </c>
    </row>
    <row r="30" spans="1:2" x14ac:dyDescent="0.2">
      <c r="A30">
        <v>2047</v>
      </c>
      <c r="B30" s="7">
        <f>'Soft Cost Data'!$B$10*'CpUDSC-totalcost'!B30</f>
        <v>457119.31153670204</v>
      </c>
    </row>
    <row r="31" spans="1:2" x14ac:dyDescent="0.2">
      <c r="A31">
        <v>2048</v>
      </c>
      <c r="B31" s="7">
        <f>'Soft Cost Data'!$B$10*'CpUDSC-totalcost'!B31</f>
        <v>450503.40136304602</v>
      </c>
    </row>
    <row r="32" spans="1:2" x14ac:dyDescent="0.2">
      <c r="A32">
        <v>2049</v>
      </c>
      <c r="B32" s="7">
        <f>'Soft Cost Data'!$B$10*'CpUDSC-totalcost'!B32</f>
        <v>443887.49118939013</v>
      </c>
    </row>
    <row r="33" spans="1:2" x14ac:dyDescent="0.2">
      <c r="A33">
        <v>2050</v>
      </c>
      <c r="B33" s="7">
        <f>'Soft Cost Data'!$B$10*'CpUDSC-totalcost'!B33</f>
        <v>437271.58101573354</v>
      </c>
    </row>
    <row r="34" spans="1:2" x14ac:dyDescent="0.2">
      <c r="A34" s="196">
        <v>2051</v>
      </c>
      <c r="B34" s="7">
        <f>'Soft Cost Data'!$B$10*'CpUDSC-totalcost'!B34</f>
        <v>430754.27751222346</v>
      </c>
    </row>
    <row r="35" spans="1:2" x14ac:dyDescent="0.2">
      <c r="A35" s="196">
        <v>2052</v>
      </c>
      <c r="B35" s="7">
        <f>'Soft Cost Data'!$B$10*'CpUDSC-totalcost'!B35</f>
        <v>424334.1109981747</v>
      </c>
    </row>
    <row r="36" spans="1:2" x14ac:dyDescent="0.2">
      <c r="A36" s="196">
        <v>2053</v>
      </c>
      <c r="B36" s="7">
        <f>'Soft Cost Data'!$B$10*'CpUDSC-totalcost'!B36</f>
        <v>418009.6336977217</v>
      </c>
    </row>
    <row r="37" spans="1:2" x14ac:dyDescent="0.2">
      <c r="A37" s="196">
        <v>2054</v>
      </c>
      <c r="B37" s="7">
        <f>'Soft Cost Data'!$B$10*'CpUDSC-totalcost'!B37</f>
        <v>411779.41941333842</v>
      </c>
    </row>
    <row r="38" spans="1:2" x14ac:dyDescent="0.2">
      <c r="A38" s="196">
        <v>2055</v>
      </c>
      <c r="B38" s="7">
        <f>'Soft Cost Data'!$B$10*'CpUDSC-totalcost'!B38</f>
        <v>405642.06320422463</v>
      </c>
    </row>
    <row r="39" spans="1:2" x14ac:dyDescent="0.2">
      <c r="A39" s="196">
        <v>2056</v>
      </c>
      <c r="B39" s="7">
        <f>'Soft Cost Data'!$B$10*'CpUDSC-totalcost'!B39</f>
        <v>399596.18106948602</v>
      </c>
    </row>
    <row r="40" spans="1:2" x14ac:dyDescent="0.2">
      <c r="A40" s="196">
        <v>2057</v>
      </c>
      <c r="B40" s="7">
        <f>'Soft Cost Data'!$B$10*'CpUDSC-totalcost'!B40</f>
        <v>393640.40963603515</v>
      </c>
    </row>
    <row r="41" spans="1:2" x14ac:dyDescent="0.2">
      <c r="A41" s="196">
        <v>2058</v>
      </c>
      <c r="B41" s="7">
        <f>'Soft Cost Data'!$B$10*'CpUDSC-totalcost'!B41</f>
        <v>387773.40585114533</v>
      </c>
    </row>
    <row r="42" spans="1:2" x14ac:dyDescent="0.2">
      <c r="A42" s="196">
        <v>2059</v>
      </c>
      <c r="B42" s="7">
        <f>'Soft Cost Data'!$B$10*'CpUDSC-totalcost'!B42</f>
        <v>381993.84667958616</v>
      </c>
    </row>
    <row r="43" spans="1:2" x14ac:dyDescent="0.2">
      <c r="A43" s="196">
        <v>2060</v>
      </c>
      <c r="B43" s="7">
        <f>'Soft Cost Data'!$B$10*'CpUDSC-totalcost'!B43</f>
        <v>376300.42880527308</v>
      </c>
    </row>
    <row r="44" spans="1:2" x14ac:dyDescent="0.2">
      <c r="A44" s="196">
        <v>2061</v>
      </c>
      <c r="B44" s="7">
        <f>'Soft Cost Data'!$B$10*'CpUDSC-totalcost'!B44</f>
        <v>370691.86833736394</v>
      </c>
    </row>
    <row r="45" spans="1:2" x14ac:dyDescent="0.2">
      <c r="A45" s="196">
        <v>2062</v>
      </c>
      <c r="B45" s="7">
        <f>'Soft Cost Data'!$B$10*'CpUDSC-totalcost'!B45</f>
        <v>365166.90052073635</v>
      </c>
    </row>
    <row r="46" spans="1:2" x14ac:dyDescent="0.2">
      <c r="A46" s="196">
        <v>2063</v>
      </c>
      <c r="B46" s="7">
        <f>'Soft Cost Data'!$B$10*'CpUDSC-totalcost'!B46</f>
        <v>359724.27945077926</v>
      </c>
    </row>
    <row r="47" spans="1:2" x14ac:dyDescent="0.2">
      <c r="A47" s="196">
        <v>2064</v>
      </c>
      <c r="B47" s="7">
        <f>'Soft Cost Data'!$B$10*'CpUDSC-totalcost'!B47</f>
        <v>354362.77779243607</v>
      </c>
    </row>
    <row r="48" spans="1:2" x14ac:dyDescent="0.2">
      <c r="A48" s="196">
        <v>2065</v>
      </c>
      <c r="B48" s="7">
        <f>'Soft Cost Data'!$B$10*'CpUDSC-totalcost'!B48</f>
        <v>349081.1865034356</v>
      </c>
    </row>
    <row r="49" spans="1:2" x14ac:dyDescent="0.2">
      <c r="A49" s="196">
        <v>2066</v>
      </c>
      <c r="B49" s="7">
        <f>'Soft Cost Data'!$B$10*'CpUDSC-totalcost'!B49</f>
        <v>343878.31456164707</v>
      </c>
    </row>
    <row r="50" spans="1:2" x14ac:dyDescent="0.2">
      <c r="A50" s="196">
        <v>2067</v>
      </c>
      <c r="B50" s="7">
        <f>'Soft Cost Data'!$B$10*'CpUDSC-totalcost'!B50</f>
        <v>338752.98869649984</v>
      </c>
    </row>
    <row r="51" spans="1:2" x14ac:dyDescent="0.2">
      <c r="A51" s="196">
        <v>2068</v>
      </c>
      <c r="B51" s="7">
        <f>'Soft Cost Data'!$B$10*'CpUDSC-totalcost'!B51</f>
        <v>333704.05312440562</v>
      </c>
    </row>
    <row r="52" spans="1:2" x14ac:dyDescent="0.2">
      <c r="A52" s="196">
        <v>2069</v>
      </c>
      <c r="B52" s="7">
        <f>'Soft Cost Data'!$B$10*'CpUDSC-totalcost'!B52</f>
        <v>328730.36928812414</v>
      </c>
    </row>
    <row r="53" spans="1:2" x14ac:dyDescent="0.2">
      <c r="A53" s="196">
        <v>2070</v>
      </c>
      <c r="B53" s="7">
        <f>'Soft Cost Data'!$B$10*'CpUDSC-totalcost'!B53</f>
        <v>323830.81560001342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About</vt:lpstr>
      <vt:lpstr>DC to AC</vt:lpstr>
      <vt:lpstr>Solar - PV Dist. Comm 2021</vt:lpstr>
      <vt:lpstr>Solar - PV Dist. Comm 2022</vt:lpstr>
      <vt:lpstr>NREL calcs</vt:lpstr>
      <vt:lpstr>NREL ATB</vt:lpstr>
      <vt:lpstr>Soft Cost Data</vt:lpstr>
      <vt:lpstr>CpUDSC-totalcost</vt:lpstr>
      <vt:lpstr>CpUDSC-softcosts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Sy, Saidou Abdoulaye</cp:lastModifiedBy>
  <dcterms:created xsi:type="dcterms:W3CDTF">2016-01-28T21:18:50Z</dcterms:created>
  <dcterms:modified xsi:type="dcterms:W3CDTF">2025-01-29T14:58:30Z</dcterms:modified>
</cp:coreProperties>
</file>